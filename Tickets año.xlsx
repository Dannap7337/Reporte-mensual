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13_ncr:1_{ADE89F94-0907-461A-B858-05EEF8E2DE1B}" xr6:coauthVersionLast="47" xr6:coauthVersionMax="47" xr10:uidLastSave="{00000000-0000-0000-0000-000000000000}"/>
  <bookViews>
    <workbookView xWindow="-96" yWindow="0" windowWidth="11712" windowHeight="13776" xr2:uid="{05309E47-F77E-413D-9CB3-D47FDD72FDB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71" i="1" l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K3210" i="1" s="1"/>
  <c r="F3209" i="1"/>
  <c r="K3209" i="1" s="1"/>
  <c r="F3208" i="1"/>
  <c r="K3208" i="1" s="1"/>
  <c r="F3207" i="1"/>
  <c r="K3207" i="1" s="1"/>
  <c r="F3206" i="1"/>
  <c r="K3206" i="1" s="1"/>
  <c r="F3205" i="1"/>
  <c r="K3205" i="1" s="1"/>
  <c r="F3204" i="1"/>
  <c r="K3204" i="1" s="1"/>
  <c r="F3203" i="1"/>
  <c r="K3203" i="1" s="1"/>
  <c r="F3202" i="1"/>
  <c r="K3202" i="1" s="1"/>
  <c r="F3201" i="1"/>
  <c r="K3201" i="1" s="1"/>
  <c r="F3200" i="1"/>
  <c r="K3200" i="1" s="1"/>
  <c r="F3199" i="1"/>
  <c r="K3199" i="1" s="1"/>
  <c r="F3198" i="1"/>
  <c r="K3198" i="1" s="1"/>
  <c r="F3197" i="1"/>
  <c r="K3197" i="1" s="1"/>
  <c r="F3196" i="1"/>
  <c r="K3196" i="1" s="1"/>
  <c r="F3195" i="1"/>
  <c r="K3195" i="1" s="1"/>
  <c r="F3194" i="1"/>
  <c r="K3194" i="1" s="1"/>
  <c r="F3193" i="1"/>
  <c r="K3193" i="1" s="1"/>
  <c r="F3192" i="1"/>
  <c r="K3192" i="1" s="1"/>
  <c r="F3191" i="1"/>
  <c r="K3191" i="1" s="1"/>
  <c r="F3190" i="1"/>
  <c r="K3190" i="1" s="1"/>
  <c r="F3189" i="1"/>
  <c r="K3189" i="1" s="1"/>
  <c r="F3188" i="1"/>
  <c r="K3188" i="1" s="1"/>
  <c r="F3187" i="1"/>
  <c r="K3187" i="1" s="1"/>
  <c r="F3186" i="1"/>
  <c r="K3186" i="1" s="1"/>
  <c r="F3185" i="1"/>
  <c r="K3185" i="1" s="1"/>
  <c r="F3184" i="1"/>
  <c r="K3184" i="1" s="1"/>
  <c r="F3183" i="1"/>
  <c r="K3183" i="1" s="1"/>
  <c r="F3182" i="1"/>
  <c r="K3182" i="1" s="1"/>
  <c r="F3181" i="1"/>
  <c r="K3181" i="1" s="1"/>
  <c r="F3180" i="1"/>
  <c r="K3180" i="1" s="1"/>
  <c r="F3179" i="1"/>
  <c r="K3179" i="1" s="1"/>
  <c r="F3178" i="1"/>
  <c r="K3178" i="1" s="1"/>
  <c r="F3177" i="1"/>
  <c r="K3177" i="1" s="1"/>
  <c r="F3176" i="1"/>
  <c r="K3176" i="1" s="1"/>
  <c r="F3175" i="1"/>
  <c r="K3175" i="1" s="1"/>
  <c r="F3174" i="1"/>
  <c r="K3174" i="1" s="1"/>
  <c r="F3173" i="1"/>
  <c r="K3173" i="1" s="1"/>
  <c r="F3172" i="1"/>
  <c r="K3172" i="1" s="1"/>
  <c r="F3171" i="1"/>
  <c r="K3171" i="1" s="1"/>
  <c r="F3170" i="1"/>
  <c r="K3170" i="1" s="1"/>
  <c r="F3169" i="1"/>
  <c r="K3169" i="1" s="1"/>
  <c r="F3168" i="1"/>
  <c r="K3168" i="1" s="1"/>
  <c r="F3167" i="1"/>
  <c r="K3167" i="1" s="1"/>
  <c r="F3166" i="1"/>
  <c r="K3166" i="1" s="1"/>
  <c r="F3165" i="1"/>
  <c r="K3165" i="1" s="1"/>
  <c r="F3164" i="1"/>
  <c r="K3164" i="1" s="1"/>
  <c r="F3163" i="1"/>
  <c r="K3163" i="1" s="1"/>
  <c r="F3162" i="1"/>
  <c r="K3162" i="1" s="1"/>
  <c r="F3161" i="1"/>
  <c r="K3161" i="1" s="1"/>
  <c r="F3160" i="1"/>
  <c r="K3160" i="1" s="1"/>
  <c r="F3159" i="1"/>
  <c r="K3159" i="1" s="1"/>
  <c r="F3158" i="1"/>
  <c r="K3158" i="1" s="1"/>
  <c r="F3157" i="1"/>
  <c r="K3157" i="1" s="1"/>
  <c r="F3156" i="1"/>
  <c r="K3156" i="1" s="1"/>
  <c r="F3155" i="1"/>
  <c r="K3155" i="1" s="1"/>
  <c r="F3154" i="1"/>
  <c r="K3154" i="1" s="1"/>
  <c r="F3153" i="1"/>
  <c r="K3153" i="1" s="1"/>
  <c r="F3152" i="1"/>
  <c r="K3152" i="1" s="1"/>
  <c r="F3151" i="1"/>
  <c r="K3151" i="1" s="1"/>
  <c r="F3150" i="1"/>
  <c r="K3150" i="1" s="1"/>
  <c r="F3149" i="1"/>
  <c r="K3149" i="1" s="1"/>
  <c r="F3148" i="1"/>
  <c r="K3148" i="1" s="1"/>
  <c r="F3147" i="1"/>
  <c r="K3147" i="1" s="1"/>
  <c r="F3146" i="1"/>
  <c r="K3146" i="1" s="1"/>
  <c r="F3145" i="1"/>
  <c r="K3145" i="1" s="1"/>
  <c r="F3144" i="1"/>
  <c r="K3144" i="1" s="1"/>
  <c r="F3143" i="1"/>
  <c r="K3143" i="1" s="1"/>
  <c r="F3142" i="1"/>
  <c r="K3142" i="1" s="1"/>
  <c r="F3141" i="1"/>
  <c r="K3141" i="1" s="1"/>
  <c r="F3140" i="1"/>
  <c r="K3140" i="1" s="1"/>
  <c r="F3139" i="1"/>
  <c r="K3139" i="1" s="1"/>
  <c r="F3138" i="1"/>
  <c r="K3138" i="1" s="1"/>
  <c r="F3137" i="1"/>
  <c r="K3137" i="1" s="1"/>
  <c r="F3136" i="1"/>
  <c r="K3136" i="1" s="1"/>
  <c r="F3135" i="1"/>
  <c r="K3135" i="1" s="1"/>
  <c r="F3134" i="1"/>
  <c r="K3134" i="1" s="1"/>
  <c r="F3133" i="1"/>
  <c r="K3133" i="1" s="1"/>
  <c r="F3132" i="1"/>
  <c r="K3132" i="1" s="1"/>
  <c r="F3131" i="1"/>
  <c r="K3131" i="1" s="1"/>
  <c r="F3130" i="1"/>
  <c r="K3130" i="1" s="1"/>
  <c r="F3129" i="1"/>
  <c r="K3129" i="1" s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K3089" i="1" s="1"/>
  <c r="F3088" i="1"/>
  <c r="K3088" i="1" s="1"/>
  <c r="F3087" i="1"/>
  <c r="K3087" i="1" s="1"/>
  <c r="F3086" i="1"/>
  <c r="K3086" i="1" s="1"/>
  <c r="F3085" i="1"/>
  <c r="K3085" i="1" s="1"/>
  <c r="F3084" i="1"/>
  <c r="K3084" i="1" s="1"/>
  <c r="F3083" i="1"/>
  <c r="K3083" i="1" s="1"/>
  <c r="F3082" i="1"/>
  <c r="K3082" i="1" s="1"/>
  <c r="F3081" i="1"/>
  <c r="K3081" i="1" s="1"/>
  <c r="F3080" i="1"/>
  <c r="K3080" i="1" s="1"/>
  <c r="F3079" i="1"/>
  <c r="K3079" i="1" s="1"/>
  <c r="F3078" i="1"/>
  <c r="K3078" i="1" s="1"/>
  <c r="F3077" i="1"/>
  <c r="K3077" i="1" s="1"/>
  <c r="F3076" i="1"/>
  <c r="K3076" i="1" s="1"/>
  <c r="F3075" i="1"/>
  <c r="K3075" i="1" s="1"/>
  <c r="F3074" i="1"/>
  <c r="K3074" i="1" s="1"/>
  <c r="F3073" i="1"/>
  <c r="K3073" i="1" s="1"/>
  <c r="F3072" i="1"/>
  <c r="K3072" i="1" s="1"/>
  <c r="F3071" i="1"/>
  <c r="K3071" i="1" s="1"/>
  <c r="F3070" i="1"/>
  <c r="K3070" i="1" s="1"/>
  <c r="F3069" i="1"/>
  <c r="K3069" i="1" s="1"/>
  <c r="F3068" i="1"/>
  <c r="K3068" i="1" s="1"/>
  <c r="F3067" i="1"/>
  <c r="K3067" i="1" s="1"/>
  <c r="F3066" i="1"/>
  <c r="K3066" i="1" s="1"/>
  <c r="F3065" i="1"/>
  <c r="K3065" i="1" s="1"/>
  <c r="F3064" i="1"/>
  <c r="K3064" i="1" s="1"/>
  <c r="F3063" i="1"/>
  <c r="K3063" i="1" s="1"/>
  <c r="F3062" i="1"/>
  <c r="K3062" i="1" s="1"/>
  <c r="F3061" i="1"/>
  <c r="K3061" i="1" s="1"/>
  <c r="F3060" i="1"/>
  <c r="K3060" i="1" s="1"/>
  <c r="F3059" i="1"/>
  <c r="K3059" i="1" s="1"/>
  <c r="F3058" i="1"/>
  <c r="K3058" i="1" s="1"/>
  <c r="F3057" i="1"/>
  <c r="K3057" i="1" s="1"/>
  <c r="F3056" i="1"/>
  <c r="K3056" i="1" s="1"/>
  <c r="F3055" i="1"/>
  <c r="K3055" i="1" s="1"/>
  <c r="F3054" i="1"/>
  <c r="K3054" i="1" s="1"/>
  <c r="F3053" i="1"/>
  <c r="K3053" i="1" s="1"/>
  <c r="F3052" i="1"/>
  <c r="K3052" i="1" s="1"/>
  <c r="F3051" i="1"/>
  <c r="K3051" i="1" s="1"/>
  <c r="F3050" i="1"/>
  <c r="K3050" i="1" s="1"/>
  <c r="F3049" i="1"/>
  <c r="K3049" i="1" s="1"/>
  <c r="F3048" i="1"/>
  <c r="K3048" i="1" s="1"/>
  <c r="F3047" i="1"/>
  <c r="K3047" i="1" s="1"/>
  <c r="F3046" i="1"/>
  <c r="K3046" i="1" s="1"/>
  <c r="F3045" i="1"/>
  <c r="K3045" i="1" s="1"/>
  <c r="F3044" i="1"/>
  <c r="K3044" i="1" s="1"/>
  <c r="F3043" i="1"/>
  <c r="K3043" i="1" s="1"/>
  <c r="F3042" i="1"/>
  <c r="K3042" i="1" s="1"/>
  <c r="F3041" i="1"/>
  <c r="K3041" i="1" s="1"/>
  <c r="F3040" i="1"/>
  <c r="K3040" i="1" s="1"/>
  <c r="F3039" i="1"/>
  <c r="K3039" i="1" s="1"/>
  <c r="F3038" i="1"/>
  <c r="K3038" i="1" s="1"/>
  <c r="F3037" i="1"/>
  <c r="K3037" i="1" s="1"/>
  <c r="F3036" i="1"/>
  <c r="K3036" i="1" s="1"/>
  <c r="F3035" i="1"/>
  <c r="K3035" i="1" s="1"/>
  <c r="F3034" i="1"/>
  <c r="K3034" i="1" s="1"/>
  <c r="F3033" i="1"/>
  <c r="K3033" i="1" s="1"/>
  <c r="F3032" i="1"/>
  <c r="K3032" i="1" s="1"/>
  <c r="F3031" i="1"/>
  <c r="K3031" i="1" s="1"/>
  <c r="F3030" i="1"/>
  <c r="K3030" i="1" s="1"/>
  <c r="F3029" i="1"/>
  <c r="K3029" i="1" s="1"/>
  <c r="F3028" i="1"/>
  <c r="K3028" i="1" s="1"/>
  <c r="F3027" i="1"/>
  <c r="K3027" i="1" s="1"/>
  <c r="F3026" i="1"/>
  <c r="K3026" i="1" s="1"/>
  <c r="F3025" i="1"/>
  <c r="K3025" i="1" s="1"/>
  <c r="F3024" i="1"/>
  <c r="K3024" i="1" s="1"/>
  <c r="F3023" i="1"/>
  <c r="K3023" i="1" s="1"/>
  <c r="F3022" i="1"/>
  <c r="K3022" i="1" s="1"/>
  <c r="F3021" i="1"/>
  <c r="K3021" i="1" s="1"/>
  <c r="F3020" i="1"/>
  <c r="K3020" i="1" s="1"/>
  <c r="F3019" i="1"/>
  <c r="K3019" i="1" s="1"/>
  <c r="F3018" i="1"/>
  <c r="K3018" i="1" s="1"/>
  <c r="F3017" i="1"/>
  <c r="K3017" i="1" s="1"/>
  <c r="F3016" i="1"/>
  <c r="K3016" i="1" s="1"/>
  <c r="F3015" i="1"/>
  <c r="K3015" i="1" s="1"/>
  <c r="F3014" i="1"/>
  <c r="K3014" i="1" s="1"/>
  <c r="F3013" i="1"/>
  <c r="K3013" i="1" s="1"/>
  <c r="F3012" i="1"/>
  <c r="K3012" i="1" s="1"/>
  <c r="F3011" i="1"/>
  <c r="K3011" i="1" s="1"/>
  <c r="F3010" i="1"/>
  <c r="K3010" i="1" s="1"/>
  <c r="F3009" i="1"/>
  <c r="K3009" i="1" s="1"/>
  <c r="F3008" i="1"/>
  <c r="K3008" i="1" s="1"/>
  <c r="F3007" i="1"/>
  <c r="K3007" i="1" s="1"/>
  <c r="F3006" i="1"/>
  <c r="K3006" i="1" s="1"/>
  <c r="F3005" i="1"/>
  <c r="K3005" i="1" s="1"/>
  <c r="F3004" i="1"/>
  <c r="K3004" i="1" s="1"/>
  <c r="F3003" i="1"/>
  <c r="K3003" i="1" s="1"/>
  <c r="F3002" i="1"/>
  <c r="K3002" i="1" s="1"/>
  <c r="F3001" i="1"/>
  <c r="K3001" i="1" s="1"/>
  <c r="F3000" i="1"/>
  <c r="K3000" i="1" s="1"/>
  <c r="F2999" i="1"/>
  <c r="K2999" i="1" s="1"/>
  <c r="F2998" i="1"/>
  <c r="K2998" i="1" s="1"/>
  <c r="F2997" i="1"/>
  <c r="K2997" i="1" s="1"/>
  <c r="F2996" i="1"/>
  <c r="K2996" i="1" s="1"/>
  <c r="F2995" i="1"/>
  <c r="K2995" i="1" s="1"/>
  <c r="F2994" i="1"/>
  <c r="K2994" i="1" s="1"/>
  <c r="F2993" i="1"/>
  <c r="K2993" i="1" s="1"/>
  <c r="F2992" i="1"/>
  <c r="K2992" i="1" s="1"/>
  <c r="F2991" i="1"/>
  <c r="K2991" i="1" s="1"/>
  <c r="F2990" i="1"/>
  <c r="K2990" i="1" s="1"/>
  <c r="F2989" i="1"/>
  <c r="K2989" i="1" s="1"/>
  <c r="F2988" i="1"/>
  <c r="K2988" i="1" s="1"/>
  <c r="F2987" i="1"/>
  <c r="K2987" i="1" s="1"/>
  <c r="F2986" i="1"/>
  <c r="K2986" i="1" s="1"/>
  <c r="F2985" i="1"/>
  <c r="K2985" i="1" s="1"/>
  <c r="F2984" i="1"/>
  <c r="K2984" i="1" s="1"/>
  <c r="F2983" i="1"/>
  <c r="K2983" i="1" s="1"/>
  <c r="F2982" i="1"/>
  <c r="K2982" i="1" s="1"/>
  <c r="F2981" i="1"/>
  <c r="K2981" i="1" s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K2772" i="1" s="1"/>
  <c r="F2771" i="1"/>
  <c r="K2771" i="1" s="1"/>
  <c r="F2770" i="1"/>
  <c r="F2769" i="1"/>
  <c r="F2768" i="1"/>
  <c r="J2768" i="1" s="1"/>
  <c r="F2767" i="1"/>
  <c r="J2767" i="1" s="1"/>
  <c r="F2766" i="1"/>
  <c r="J2766" i="1" s="1"/>
  <c r="F2765" i="1"/>
  <c r="J2765" i="1" s="1"/>
  <c r="F2764" i="1"/>
  <c r="J2764" i="1" s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K3211" i="1"/>
  <c r="K3212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F3126" i="1"/>
  <c r="F3127" i="1"/>
  <c r="F3128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K2930" i="1"/>
  <c r="K2931" i="1"/>
  <c r="K2932" i="1"/>
  <c r="K2933" i="1"/>
  <c r="K2934" i="1"/>
  <c r="K2935" i="1"/>
  <c r="K2936" i="1"/>
  <c r="K2937" i="1"/>
  <c r="K2938" i="1"/>
  <c r="K2939" i="1"/>
  <c r="K2940" i="1"/>
  <c r="F2941" i="1"/>
  <c r="K2941" i="1" s="1"/>
  <c r="F2942" i="1"/>
  <c r="K2942" i="1" s="1"/>
  <c r="F2943" i="1"/>
  <c r="K2943" i="1" s="1"/>
  <c r="F2944" i="1"/>
  <c r="K2944" i="1" s="1"/>
  <c r="F2945" i="1"/>
  <c r="K2945" i="1" s="1"/>
  <c r="F2946" i="1"/>
  <c r="J2946" i="1" s="1"/>
  <c r="F2947" i="1"/>
  <c r="J2947" i="1" s="1"/>
  <c r="F2948" i="1"/>
  <c r="K2948" i="1" s="1"/>
  <c r="F2949" i="1"/>
  <c r="J2949" i="1" s="1"/>
  <c r="F2950" i="1"/>
  <c r="K2950" i="1" s="1"/>
  <c r="F2951" i="1"/>
  <c r="K2951" i="1" s="1"/>
  <c r="F2952" i="1"/>
  <c r="J2952" i="1" s="1"/>
  <c r="F2953" i="1"/>
  <c r="K2953" i="1" s="1"/>
  <c r="F2954" i="1"/>
  <c r="K2954" i="1" s="1"/>
  <c r="F2955" i="1"/>
  <c r="K2955" i="1" s="1"/>
  <c r="F2956" i="1"/>
  <c r="K2956" i="1" s="1"/>
  <c r="F2957" i="1"/>
  <c r="K2957" i="1" s="1"/>
  <c r="F2958" i="1"/>
  <c r="K2958" i="1" s="1"/>
  <c r="F2959" i="1"/>
  <c r="K2959" i="1" s="1"/>
  <c r="F2960" i="1"/>
  <c r="K2960" i="1" s="1"/>
  <c r="F2961" i="1"/>
  <c r="K2961" i="1" s="1"/>
  <c r="F2962" i="1"/>
  <c r="J2962" i="1" s="1"/>
  <c r="F2963" i="1"/>
  <c r="K2963" i="1" s="1"/>
  <c r="F2964" i="1"/>
  <c r="K2964" i="1" s="1"/>
  <c r="F2965" i="1"/>
  <c r="K2965" i="1" s="1"/>
  <c r="F2966" i="1"/>
  <c r="K2966" i="1" s="1"/>
  <c r="F2967" i="1"/>
  <c r="K2967" i="1" s="1"/>
  <c r="F2968" i="1"/>
  <c r="J2968" i="1" s="1"/>
  <c r="F2969" i="1"/>
  <c r="K2969" i="1" s="1"/>
  <c r="F2970" i="1"/>
  <c r="K2970" i="1" s="1"/>
  <c r="F2971" i="1"/>
  <c r="K2971" i="1" s="1"/>
  <c r="F2972" i="1"/>
  <c r="K2972" i="1" s="1"/>
  <c r="F2973" i="1"/>
  <c r="K2973" i="1" s="1"/>
  <c r="F2974" i="1"/>
  <c r="K2974" i="1" s="1"/>
  <c r="F2975" i="1"/>
  <c r="K2975" i="1" s="1"/>
  <c r="F2976" i="1"/>
  <c r="K2976" i="1" s="1"/>
  <c r="F2977" i="1"/>
  <c r="K2977" i="1" s="1"/>
  <c r="F2978" i="1"/>
  <c r="K2978" i="1" s="1"/>
  <c r="F2979" i="1"/>
  <c r="K2979" i="1" s="1"/>
  <c r="F2980" i="1"/>
  <c r="K2980" i="1" s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J2930" i="1"/>
  <c r="J2931" i="1"/>
  <c r="J2932" i="1"/>
  <c r="J2933" i="1"/>
  <c r="J2934" i="1"/>
  <c r="J2935" i="1"/>
  <c r="J2936" i="1"/>
  <c r="J2937" i="1"/>
  <c r="J2938" i="1"/>
  <c r="J2939" i="1"/>
  <c r="J2940" i="1"/>
  <c r="J2943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F2574" i="1"/>
  <c r="J2574" i="1" s="1"/>
  <c r="F2575" i="1"/>
  <c r="K2575" i="1" s="1"/>
  <c r="F2576" i="1"/>
  <c r="K2576" i="1" s="1"/>
  <c r="F2577" i="1"/>
  <c r="K2577" i="1" s="1"/>
  <c r="F2578" i="1"/>
  <c r="K2578" i="1" s="1"/>
  <c r="F2579" i="1"/>
  <c r="J2579" i="1" s="1"/>
  <c r="F2580" i="1"/>
  <c r="J2580" i="1" s="1"/>
  <c r="F2581" i="1"/>
  <c r="K2581" i="1" s="1"/>
  <c r="F2582" i="1"/>
  <c r="K2582" i="1" s="1"/>
  <c r="F2583" i="1"/>
  <c r="J2583" i="1" s="1"/>
  <c r="F2584" i="1"/>
  <c r="K2584" i="1" s="1"/>
  <c r="F2585" i="1"/>
  <c r="K2585" i="1" s="1"/>
  <c r="F2586" i="1"/>
  <c r="J2586" i="1" s="1"/>
  <c r="F2587" i="1"/>
  <c r="K2587" i="1" s="1"/>
  <c r="F2588" i="1"/>
  <c r="K2588" i="1" s="1"/>
  <c r="F2589" i="1"/>
  <c r="K2589" i="1" s="1"/>
  <c r="F2590" i="1"/>
  <c r="K2590" i="1" s="1"/>
  <c r="F2591" i="1"/>
  <c r="K2591" i="1" s="1"/>
  <c r="F2592" i="1"/>
  <c r="K2592" i="1" s="1"/>
  <c r="F2593" i="1"/>
  <c r="K2593" i="1" s="1"/>
  <c r="F2594" i="1"/>
  <c r="K2594" i="1" s="1"/>
  <c r="F2595" i="1"/>
  <c r="K2595" i="1" s="1"/>
  <c r="F2596" i="1"/>
  <c r="K2596" i="1" s="1"/>
  <c r="F2597" i="1"/>
  <c r="K2597" i="1" s="1"/>
  <c r="F2598" i="1"/>
  <c r="K2598" i="1" s="1"/>
  <c r="F2599" i="1"/>
  <c r="K2599" i="1" s="1"/>
  <c r="F2600" i="1"/>
  <c r="K2600" i="1" s="1"/>
  <c r="F2601" i="1"/>
  <c r="K2601" i="1" s="1"/>
  <c r="F2602" i="1"/>
  <c r="K2602" i="1" s="1"/>
  <c r="F2603" i="1"/>
  <c r="K2603" i="1" s="1"/>
  <c r="F2604" i="1"/>
  <c r="K2604" i="1" s="1"/>
  <c r="F2605" i="1"/>
  <c r="K2605" i="1" s="1"/>
  <c r="F2606" i="1"/>
  <c r="F2607" i="1"/>
  <c r="F2608" i="1"/>
  <c r="F2609" i="1"/>
  <c r="K2609" i="1" s="1"/>
  <c r="F2610" i="1"/>
  <c r="K2610" i="1" s="1"/>
  <c r="F2611" i="1"/>
  <c r="K2611" i="1" s="1"/>
  <c r="F2612" i="1"/>
  <c r="K2612" i="1" s="1"/>
  <c r="F2613" i="1"/>
  <c r="K2613" i="1" s="1"/>
  <c r="F2614" i="1"/>
  <c r="K2614" i="1" s="1"/>
  <c r="F2615" i="1"/>
  <c r="K2615" i="1" s="1"/>
  <c r="F2616" i="1"/>
  <c r="K2616" i="1" s="1"/>
  <c r="F2617" i="1"/>
  <c r="K2617" i="1" s="1"/>
  <c r="F2618" i="1"/>
  <c r="K2618" i="1" s="1"/>
  <c r="F2619" i="1"/>
  <c r="K2619" i="1" s="1"/>
  <c r="F2620" i="1"/>
  <c r="K2620" i="1" s="1"/>
  <c r="F2621" i="1"/>
  <c r="K2621" i="1" s="1"/>
  <c r="F2622" i="1"/>
  <c r="K2622" i="1" s="1"/>
  <c r="F2623" i="1"/>
  <c r="F2624" i="1"/>
  <c r="F2625" i="1"/>
  <c r="K2625" i="1" s="1"/>
  <c r="F2626" i="1"/>
  <c r="F2627" i="1"/>
  <c r="K2627" i="1" s="1"/>
  <c r="F2628" i="1"/>
  <c r="K2628" i="1" s="1"/>
  <c r="F2629" i="1"/>
  <c r="K2629" i="1" s="1"/>
  <c r="F2630" i="1"/>
  <c r="K2630" i="1" s="1"/>
  <c r="F2631" i="1"/>
  <c r="K2631" i="1" s="1"/>
  <c r="F2632" i="1"/>
  <c r="K2632" i="1" s="1"/>
  <c r="F2633" i="1"/>
  <c r="K2633" i="1" s="1"/>
  <c r="F2634" i="1"/>
  <c r="K2634" i="1" s="1"/>
  <c r="F2635" i="1"/>
  <c r="F2636" i="1"/>
  <c r="K2636" i="1" s="1"/>
  <c r="F2637" i="1"/>
  <c r="F2638" i="1"/>
  <c r="F2639" i="1"/>
  <c r="F2640" i="1"/>
  <c r="F2641" i="1"/>
  <c r="K2641" i="1" s="1"/>
  <c r="F2642" i="1"/>
  <c r="F2643" i="1"/>
  <c r="F2644" i="1"/>
  <c r="K2644" i="1" s="1"/>
  <c r="F2645" i="1"/>
  <c r="F2646" i="1"/>
  <c r="K2646" i="1" s="1"/>
  <c r="F2647" i="1"/>
  <c r="F2648" i="1"/>
  <c r="F2649" i="1"/>
  <c r="K2649" i="1" s="1"/>
  <c r="F2650" i="1"/>
  <c r="K2650" i="1" s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K2703" i="1" s="1"/>
  <c r="F2704" i="1"/>
  <c r="K2704" i="1" s="1"/>
  <c r="F2705" i="1"/>
  <c r="K2705" i="1" s="1"/>
  <c r="F2706" i="1"/>
  <c r="K2706" i="1" s="1"/>
  <c r="F2707" i="1"/>
  <c r="K2707" i="1" s="1"/>
  <c r="F2708" i="1"/>
  <c r="K2708" i="1" s="1"/>
  <c r="F2709" i="1"/>
  <c r="K2709" i="1" s="1"/>
  <c r="F2710" i="1"/>
  <c r="K2710" i="1" s="1"/>
  <c r="F2711" i="1"/>
  <c r="K2711" i="1" s="1"/>
  <c r="F2712" i="1"/>
  <c r="K2712" i="1" s="1"/>
  <c r="F2713" i="1"/>
  <c r="K2713" i="1" s="1"/>
  <c r="F2714" i="1"/>
  <c r="K2714" i="1" s="1"/>
  <c r="F2715" i="1"/>
  <c r="K2715" i="1" s="1"/>
  <c r="F2716" i="1"/>
  <c r="K2716" i="1" s="1"/>
  <c r="F2717" i="1"/>
  <c r="K2717" i="1" s="1"/>
  <c r="F2718" i="1"/>
  <c r="K2718" i="1" s="1"/>
  <c r="F2719" i="1"/>
  <c r="K2719" i="1" s="1"/>
  <c r="F2720" i="1"/>
  <c r="K2720" i="1" s="1"/>
  <c r="F2721" i="1"/>
  <c r="K2721" i="1" s="1"/>
  <c r="F2722" i="1"/>
  <c r="K2722" i="1" s="1"/>
  <c r="F2723" i="1"/>
  <c r="K2723" i="1" s="1"/>
  <c r="F2724" i="1"/>
  <c r="K2724" i="1" s="1"/>
  <c r="F2725" i="1"/>
  <c r="K2725" i="1" s="1"/>
  <c r="F2726" i="1"/>
  <c r="K2726" i="1" s="1"/>
  <c r="F2727" i="1"/>
  <c r="K2727" i="1" s="1"/>
  <c r="F2728" i="1"/>
  <c r="K2728" i="1" s="1"/>
  <c r="F2729" i="1"/>
  <c r="K2729" i="1" s="1"/>
  <c r="F2730" i="1"/>
  <c r="K2730" i="1" s="1"/>
  <c r="F2731" i="1"/>
  <c r="K2731" i="1" s="1"/>
  <c r="F2732" i="1"/>
  <c r="K2732" i="1" s="1"/>
  <c r="F2733" i="1"/>
  <c r="K2733" i="1" s="1"/>
  <c r="F2734" i="1"/>
  <c r="K2734" i="1" s="1"/>
  <c r="F2735" i="1"/>
  <c r="K2735" i="1" s="1"/>
  <c r="F2736" i="1"/>
  <c r="K2736" i="1" s="1"/>
  <c r="F2737" i="1"/>
  <c r="K2737" i="1" s="1"/>
  <c r="F2738" i="1"/>
  <c r="K2738" i="1" s="1"/>
  <c r="F2739" i="1"/>
  <c r="K2739" i="1" s="1"/>
  <c r="F2740" i="1"/>
  <c r="K2740" i="1" s="1"/>
  <c r="F2741" i="1"/>
  <c r="K2741" i="1" s="1"/>
  <c r="F2742" i="1"/>
  <c r="K2742" i="1" s="1"/>
  <c r="F2743" i="1"/>
  <c r="K2743" i="1" s="1"/>
  <c r="F2744" i="1"/>
  <c r="K2744" i="1" s="1"/>
  <c r="F2745" i="1"/>
  <c r="K2745" i="1" s="1"/>
  <c r="F2746" i="1"/>
  <c r="K2746" i="1" s="1"/>
  <c r="F2747" i="1"/>
  <c r="K2747" i="1" s="1"/>
  <c r="F2748" i="1"/>
  <c r="K2748" i="1" s="1"/>
  <c r="F2749" i="1"/>
  <c r="K2749" i="1" s="1"/>
  <c r="F2750" i="1"/>
  <c r="K2750" i="1" s="1"/>
  <c r="F2751" i="1"/>
  <c r="K2751" i="1" s="1"/>
  <c r="F2752" i="1"/>
  <c r="K2752" i="1" s="1"/>
  <c r="F2753" i="1"/>
  <c r="K2753" i="1" s="1"/>
  <c r="F2754" i="1"/>
  <c r="K2754" i="1" s="1"/>
  <c r="F2755" i="1"/>
  <c r="K2755" i="1" s="1"/>
  <c r="F2756" i="1"/>
  <c r="K2756" i="1" s="1"/>
  <c r="F2757" i="1"/>
  <c r="K2757" i="1" s="1"/>
  <c r="F2758" i="1"/>
  <c r="K2758" i="1" s="1"/>
  <c r="F2759" i="1"/>
  <c r="K2759" i="1" s="1"/>
  <c r="F2760" i="1"/>
  <c r="K2760" i="1" s="1"/>
  <c r="F2761" i="1"/>
  <c r="K2761" i="1" s="1"/>
  <c r="F2762" i="1"/>
  <c r="K2762" i="1" s="1"/>
  <c r="F2763" i="1"/>
  <c r="K2763" i="1" s="1"/>
  <c r="K2764" i="1"/>
  <c r="K2765" i="1"/>
  <c r="K2766" i="1"/>
  <c r="K2767" i="1"/>
  <c r="K2768" i="1"/>
  <c r="K2769" i="1"/>
  <c r="K2770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J2587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F2567" i="1"/>
  <c r="K2567" i="1" s="1"/>
  <c r="F2568" i="1"/>
  <c r="K2568" i="1" s="1"/>
  <c r="F2569" i="1"/>
  <c r="K2569" i="1" s="1"/>
  <c r="F2570" i="1"/>
  <c r="K2570" i="1" s="1"/>
  <c r="F2571" i="1"/>
  <c r="J2571" i="1" s="1"/>
  <c r="F2572" i="1"/>
  <c r="K2572" i="1" s="1"/>
  <c r="F2573" i="1"/>
  <c r="K2573" i="1" s="1"/>
  <c r="H2567" i="1"/>
  <c r="H2568" i="1"/>
  <c r="H2569" i="1"/>
  <c r="H2570" i="1"/>
  <c r="H2571" i="1"/>
  <c r="H2572" i="1"/>
  <c r="H2573" i="1"/>
  <c r="I2567" i="1"/>
  <c r="I2568" i="1"/>
  <c r="I2569" i="1"/>
  <c r="I2570" i="1"/>
  <c r="I2571" i="1"/>
  <c r="I2572" i="1"/>
  <c r="I2573" i="1"/>
  <c r="J2567" i="1"/>
  <c r="J2568" i="1"/>
  <c r="M2567" i="1"/>
  <c r="M2568" i="1"/>
  <c r="M2569" i="1"/>
  <c r="M2570" i="1"/>
  <c r="M2571" i="1"/>
  <c r="M2572" i="1"/>
  <c r="M2573" i="1"/>
  <c r="F2554" i="1"/>
  <c r="K2554" i="1" s="1"/>
  <c r="F2555" i="1"/>
  <c r="K2555" i="1" s="1"/>
  <c r="F2556" i="1"/>
  <c r="K2556" i="1" s="1"/>
  <c r="F2557" i="1"/>
  <c r="K2557" i="1" s="1"/>
  <c r="F2558" i="1"/>
  <c r="K2558" i="1" s="1"/>
  <c r="F2559" i="1"/>
  <c r="K2559" i="1" s="1"/>
  <c r="F2560" i="1"/>
  <c r="K2560" i="1" s="1"/>
  <c r="F2561" i="1"/>
  <c r="K2561" i="1" s="1"/>
  <c r="F2562" i="1"/>
  <c r="K2562" i="1" s="1"/>
  <c r="F2563" i="1"/>
  <c r="K2563" i="1" s="1"/>
  <c r="F2564" i="1"/>
  <c r="K2564" i="1" s="1"/>
  <c r="F2565" i="1"/>
  <c r="K2565" i="1" s="1"/>
  <c r="F2566" i="1"/>
  <c r="K2566" i="1" s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J2554" i="1"/>
  <c r="J2555" i="1"/>
  <c r="J2556" i="1"/>
  <c r="J2557" i="1"/>
  <c r="J2559" i="1"/>
  <c r="J2560" i="1"/>
  <c r="J2561" i="1"/>
  <c r="J2562" i="1"/>
  <c r="J2565" i="1"/>
  <c r="J2566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F2515" i="1"/>
  <c r="K2515" i="1" s="1"/>
  <c r="F2516" i="1"/>
  <c r="J2516" i="1" s="1"/>
  <c r="F2517" i="1"/>
  <c r="J2517" i="1" s="1"/>
  <c r="F2518" i="1"/>
  <c r="J2518" i="1" s="1"/>
  <c r="F2519" i="1"/>
  <c r="K2519" i="1" s="1"/>
  <c r="F2520" i="1"/>
  <c r="K2520" i="1" s="1"/>
  <c r="F2521" i="1"/>
  <c r="K2521" i="1" s="1"/>
  <c r="F2522" i="1"/>
  <c r="K2522" i="1" s="1"/>
  <c r="F2523" i="1"/>
  <c r="K2523" i="1" s="1"/>
  <c r="F2524" i="1"/>
  <c r="K2524" i="1" s="1"/>
  <c r="F2525" i="1"/>
  <c r="J2525" i="1" s="1"/>
  <c r="F2526" i="1"/>
  <c r="K2526" i="1" s="1"/>
  <c r="F2527" i="1"/>
  <c r="K2527" i="1" s="1"/>
  <c r="F2528" i="1"/>
  <c r="K2528" i="1" s="1"/>
  <c r="F2529" i="1"/>
  <c r="K2529" i="1" s="1"/>
  <c r="F2530" i="1"/>
  <c r="K2530" i="1" s="1"/>
  <c r="F2531" i="1"/>
  <c r="K2531" i="1" s="1"/>
  <c r="F2532" i="1"/>
  <c r="K2532" i="1" s="1"/>
  <c r="F2533" i="1"/>
  <c r="K2533" i="1" s="1"/>
  <c r="F2534" i="1"/>
  <c r="K2534" i="1" s="1"/>
  <c r="F2535" i="1"/>
  <c r="K2535" i="1" s="1"/>
  <c r="F2536" i="1"/>
  <c r="K2536" i="1" s="1"/>
  <c r="F2537" i="1"/>
  <c r="K2537" i="1" s="1"/>
  <c r="F2538" i="1"/>
  <c r="K2538" i="1" s="1"/>
  <c r="F2539" i="1"/>
  <c r="K2539" i="1" s="1"/>
  <c r="F2540" i="1"/>
  <c r="K2540" i="1" s="1"/>
  <c r="F2541" i="1"/>
  <c r="J2541" i="1" s="1"/>
  <c r="F2542" i="1"/>
  <c r="K2542" i="1" s="1"/>
  <c r="F2543" i="1"/>
  <c r="J2543" i="1" s="1"/>
  <c r="F2544" i="1"/>
  <c r="J2544" i="1" s="1"/>
  <c r="F2545" i="1"/>
  <c r="K2545" i="1" s="1"/>
  <c r="F2546" i="1"/>
  <c r="K2546" i="1" s="1"/>
  <c r="F2547" i="1"/>
  <c r="K2547" i="1" s="1"/>
  <c r="F2548" i="1"/>
  <c r="K2548" i="1" s="1"/>
  <c r="F2549" i="1"/>
  <c r="K2549" i="1" s="1"/>
  <c r="F2550" i="1"/>
  <c r="K2550" i="1" s="1"/>
  <c r="F2551" i="1"/>
  <c r="K2551" i="1" s="1"/>
  <c r="F2552" i="1"/>
  <c r="K2552" i="1" s="1"/>
  <c r="F2553" i="1"/>
  <c r="K2553" i="1" s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J2515" i="1"/>
  <c r="J2519" i="1"/>
  <c r="J2520" i="1"/>
  <c r="J2521" i="1"/>
  <c r="J2522" i="1"/>
  <c r="J2527" i="1"/>
  <c r="J2528" i="1"/>
  <c r="J2529" i="1"/>
  <c r="J2530" i="1"/>
  <c r="J2531" i="1"/>
  <c r="J2532" i="1"/>
  <c r="J2533" i="1"/>
  <c r="J2534" i="1"/>
  <c r="J2536" i="1"/>
  <c r="J2538" i="1"/>
  <c r="J2545" i="1"/>
  <c r="J2548" i="1"/>
  <c r="J2550" i="1"/>
  <c r="J2551" i="1"/>
  <c r="J2553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F2502" i="1"/>
  <c r="K2502" i="1" s="1"/>
  <c r="F2503" i="1"/>
  <c r="K2503" i="1" s="1"/>
  <c r="F2504" i="1"/>
  <c r="K2504" i="1" s="1"/>
  <c r="F2505" i="1"/>
  <c r="J2505" i="1" s="1"/>
  <c r="F2506" i="1"/>
  <c r="K2506" i="1" s="1"/>
  <c r="F2507" i="1"/>
  <c r="K2507" i="1" s="1"/>
  <c r="F2508" i="1"/>
  <c r="K2508" i="1" s="1"/>
  <c r="F2509" i="1"/>
  <c r="K2509" i="1" s="1"/>
  <c r="F2510" i="1"/>
  <c r="K2510" i="1" s="1"/>
  <c r="F2511" i="1"/>
  <c r="K2511" i="1" s="1"/>
  <c r="F2512" i="1"/>
  <c r="K2512" i="1" s="1"/>
  <c r="F2513" i="1"/>
  <c r="K2513" i="1" s="1"/>
  <c r="F2514" i="1"/>
  <c r="K2514" i="1" s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J2510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F2453" i="1"/>
  <c r="J2453" i="1" s="1"/>
  <c r="F2454" i="1"/>
  <c r="J2454" i="1" s="1"/>
  <c r="F2455" i="1"/>
  <c r="K2455" i="1" s="1"/>
  <c r="F2456" i="1"/>
  <c r="J2456" i="1" s="1"/>
  <c r="F2457" i="1"/>
  <c r="K2457" i="1" s="1"/>
  <c r="F2458" i="1"/>
  <c r="K2458" i="1" s="1"/>
  <c r="F2459" i="1"/>
  <c r="K2459" i="1" s="1"/>
  <c r="F2460" i="1"/>
  <c r="K2460" i="1" s="1"/>
  <c r="F2461" i="1"/>
  <c r="K2461" i="1" s="1"/>
  <c r="F2462" i="1"/>
  <c r="J2462" i="1" s="1"/>
  <c r="F2463" i="1"/>
  <c r="K2463" i="1" s="1"/>
  <c r="F2464" i="1"/>
  <c r="K2464" i="1" s="1"/>
  <c r="F2465" i="1"/>
  <c r="J2465" i="1" s="1"/>
  <c r="F2466" i="1"/>
  <c r="K2466" i="1" s="1"/>
  <c r="F2467" i="1"/>
  <c r="K2467" i="1" s="1"/>
  <c r="F2468" i="1"/>
  <c r="K2468" i="1" s="1"/>
  <c r="F2469" i="1"/>
  <c r="K2469" i="1" s="1"/>
  <c r="F2470" i="1"/>
  <c r="K2470" i="1" s="1"/>
  <c r="F2471" i="1"/>
  <c r="K2471" i="1" s="1"/>
  <c r="F2472" i="1"/>
  <c r="K2472" i="1" s="1"/>
  <c r="F2473" i="1"/>
  <c r="J2473" i="1" s="1"/>
  <c r="F2474" i="1"/>
  <c r="J2474" i="1" s="1"/>
  <c r="F2475" i="1"/>
  <c r="K2475" i="1" s="1"/>
  <c r="F2476" i="1"/>
  <c r="K2476" i="1" s="1"/>
  <c r="F2477" i="1"/>
  <c r="K2477" i="1" s="1"/>
  <c r="F2478" i="1"/>
  <c r="J2478" i="1" s="1"/>
  <c r="F2479" i="1"/>
  <c r="J2479" i="1" s="1"/>
  <c r="F2480" i="1"/>
  <c r="K2480" i="1" s="1"/>
  <c r="F2481" i="1"/>
  <c r="K2481" i="1" s="1"/>
  <c r="F2482" i="1"/>
  <c r="J2482" i="1" s="1"/>
  <c r="F2483" i="1"/>
  <c r="K2483" i="1" s="1"/>
  <c r="F2484" i="1"/>
  <c r="K2484" i="1" s="1"/>
  <c r="F2485" i="1"/>
  <c r="K2485" i="1" s="1"/>
  <c r="F2486" i="1"/>
  <c r="K2486" i="1" s="1"/>
  <c r="F2487" i="1"/>
  <c r="K2487" i="1" s="1"/>
  <c r="F2488" i="1"/>
  <c r="J2488" i="1" s="1"/>
  <c r="F2489" i="1"/>
  <c r="K2489" i="1" s="1"/>
  <c r="F2490" i="1"/>
  <c r="K2490" i="1" s="1"/>
  <c r="F2491" i="1"/>
  <c r="K2491" i="1" s="1"/>
  <c r="F2492" i="1"/>
  <c r="J2492" i="1" s="1"/>
  <c r="F2493" i="1"/>
  <c r="K2493" i="1" s="1"/>
  <c r="F2494" i="1"/>
  <c r="K2494" i="1" s="1"/>
  <c r="F2495" i="1"/>
  <c r="K2495" i="1" s="1"/>
  <c r="F2496" i="1"/>
  <c r="K2496" i="1" s="1"/>
  <c r="F2497" i="1"/>
  <c r="K2497" i="1" s="1"/>
  <c r="F2498" i="1"/>
  <c r="K2498" i="1" s="1"/>
  <c r="F2499" i="1"/>
  <c r="K2499" i="1" s="1"/>
  <c r="F2500" i="1"/>
  <c r="K2500" i="1" s="1"/>
  <c r="F2501" i="1"/>
  <c r="K2501" i="1" s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J2457" i="1"/>
  <c r="J2472" i="1"/>
  <c r="J2480" i="1"/>
  <c r="J2499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F2423" i="1"/>
  <c r="J2423" i="1" s="1"/>
  <c r="F2424" i="1"/>
  <c r="K2424" i="1" s="1"/>
  <c r="F2425" i="1"/>
  <c r="J2425" i="1" s="1"/>
  <c r="F2426" i="1"/>
  <c r="K2426" i="1" s="1"/>
  <c r="F2427" i="1"/>
  <c r="K2427" i="1" s="1"/>
  <c r="F2428" i="1"/>
  <c r="K2428" i="1" s="1"/>
  <c r="F2429" i="1"/>
  <c r="K2429" i="1" s="1"/>
  <c r="F2430" i="1"/>
  <c r="K2430" i="1" s="1"/>
  <c r="F2431" i="1"/>
  <c r="K2431" i="1" s="1"/>
  <c r="F2432" i="1"/>
  <c r="K2432" i="1" s="1"/>
  <c r="F2433" i="1"/>
  <c r="K2433" i="1" s="1"/>
  <c r="F2434" i="1"/>
  <c r="K2434" i="1" s="1"/>
  <c r="F2435" i="1"/>
  <c r="J2435" i="1" s="1"/>
  <c r="F2436" i="1"/>
  <c r="K2436" i="1" s="1"/>
  <c r="F2437" i="1"/>
  <c r="K2437" i="1" s="1"/>
  <c r="F2438" i="1"/>
  <c r="K2438" i="1" s="1"/>
  <c r="F2439" i="1"/>
  <c r="K2439" i="1" s="1"/>
  <c r="F2440" i="1"/>
  <c r="J2440" i="1" s="1"/>
  <c r="F2441" i="1"/>
  <c r="K2441" i="1" s="1"/>
  <c r="F2442" i="1"/>
  <c r="K2442" i="1" s="1"/>
  <c r="F2443" i="1"/>
  <c r="K2443" i="1" s="1"/>
  <c r="F2444" i="1"/>
  <c r="K2444" i="1" s="1"/>
  <c r="F2445" i="1"/>
  <c r="K2445" i="1" s="1"/>
  <c r="F2446" i="1"/>
  <c r="K2446" i="1" s="1"/>
  <c r="F2447" i="1"/>
  <c r="K2447" i="1" s="1"/>
  <c r="F2448" i="1"/>
  <c r="K2448" i="1" s="1"/>
  <c r="F2449" i="1"/>
  <c r="K2449" i="1" s="1"/>
  <c r="F2450" i="1"/>
  <c r="K2450" i="1" s="1"/>
  <c r="F2451" i="1"/>
  <c r="K2451" i="1" s="1"/>
  <c r="F2452" i="1"/>
  <c r="J2452" i="1" s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J2426" i="1"/>
  <c r="J2430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F2395" i="1"/>
  <c r="J2395" i="1" s="1"/>
  <c r="F2396" i="1"/>
  <c r="J2396" i="1" s="1"/>
  <c r="F2397" i="1"/>
  <c r="K2397" i="1" s="1"/>
  <c r="F2398" i="1"/>
  <c r="K2398" i="1" s="1"/>
  <c r="F2399" i="1"/>
  <c r="K2399" i="1" s="1"/>
  <c r="F2400" i="1"/>
  <c r="K2400" i="1" s="1"/>
  <c r="F2401" i="1"/>
  <c r="K2401" i="1" s="1"/>
  <c r="F2402" i="1"/>
  <c r="K2402" i="1" s="1"/>
  <c r="F2403" i="1"/>
  <c r="K2403" i="1" s="1"/>
  <c r="F2404" i="1"/>
  <c r="J2404" i="1" s="1"/>
  <c r="F2405" i="1"/>
  <c r="K2405" i="1" s="1"/>
  <c r="F2406" i="1"/>
  <c r="K2406" i="1" s="1"/>
  <c r="F2407" i="1"/>
  <c r="K2407" i="1" s="1"/>
  <c r="F2408" i="1"/>
  <c r="K2408" i="1" s="1"/>
  <c r="F2409" i="1"/>
  <c r="J2409" i="1" s="1"/>
  <c r="F2410" i="1"/>
  <c r="K2410" i="1" s="1"/>
  <c r="F2411" i="1"/>
  <c r="J2411" i="1" s="1"/>
  <c r="F2412" i="1"/>
  <c r="K2412" i="1" s="1"/>
  <c r="F2413" i="1"/>
  <c r="K2413" i="1" s="1"/>
  <c r="F2414" i="1"/>
  <c r="K2414" i="1" s="1"/>
  <c r="F2415" i="1"/>
  <c r="K2415" i="1" s="1"/>
  <c r="F2416" i="1"/>
  <c r="K2416" i="1" s="1"/>
  <c r="F2417" i="1"/>
  <c r="K2417" i="1" s="1"/>
  <c r="F2418" i="1"/>
  <c r="K2418" i="1" s="1"/>
  <c r="F2419" i="1"/>
  <c r="K2419" i="1" s="1"/>
  <c r="F2420" i="1"/>
  <c r="K2420" i="1" s="1"/>
  <c r="F2421" i="1"/>
  <c r="K2421" i="1" s="1"/>
  <c r="F2422" i="1"/>
  <c r="K2422" i="1" s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J2397" i="1"/>
  <c r="J2415" i="1"/>
  <c r="J2418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387" i="1"/>
  <c r="F2388" i="1"/>
  <c r="K2388" i="1" s="1"/>
  <c r="F2389" i="1"/>
  <c r="K2389" i="1" s="1"/>
  <c r="F2390" i="1"/>
  <c r="K2390" i="1" s="1"/>
  <c r="F2391" i="1"/>
  <c r="J2391" i="1" s="1"/>
  <c r="F2392" i="1"/>
  <c r="J2392" i="1" s="1"/>
  <c r="F2393" i="1"/>
  <c r="K2393" i="1" s="1"/>
  <c r="F2394" i="1"/>
  <c r="K2394" i="1" s="1"/>
  <c r="H2388" i="1"/>
  <c r="H2389" i="1"/>
  <c r="H2390" i="1"/>
  <c r="H2391" i="1"/>
  <c r="H2392" i="1"/>
  <c r="H2393" i="1"/>
  <c r="H2394" i="1"/>
  <c r="I2388" i="1"/>
  <c r="I2389" i="1"/>
  <c r="I2390" i="1"/>
  <c r="I2391" i="1"/>
  <c r="I2392" i="1"/>
  <c r="I2393" i="1"/>
  <c r="I2394" i="1"/>
  <c r="J2393" i="1"/>
  <c r="M2388" i="1"/>
  <c r="M2389" i="1"/>
  <c r="M2390" i="1"/>
  <c r="M2391" i="1"/>
  <c r="M2392" i="1"/>
  <c r="M2393" i="1"/>
  <c r="M2394" i="1"/>
  <c r="F2352" i="1"/>
  <c r="K2352" i="1" s="1"/>
  <c r="F2350" i="1"/>
  <c r="J2350" i="1" s="1"/>
  <c r="F2351" i="1"/>
  <c r="K2351" i="1" s="1"/>
  <c r="F2353" i="1"/>
  <c r="K2353" i="1" s="1"/>
  <c r="F2354" i="1"/>
  <c r="K2354" i="1" s="1"/>
  <c r="F2355" i="1"/>
  <c r="K2355" i="1" s="1"/>
  <c r="F2356" i="1"/>
  <c r="J2356" i="1" s="1"/>
  <c r="F2357" i="1"/>
  <c r="J2357" i="1" s="1"/>
  <c r="F2358" i="1"/>
  <c r="K2358" i="1" s="1"/>
  <c r="F2359" i="1"/>
  <c r="K2359" i="1" s="1"/>
  <c r="F2360" i="1"/>
  <c r="K2360" i="1" s="1"/>
  <c r="F2361" i="1"/>
  <c r="J2361" i="1" s="1"/>
  <c r="F2362" i="1"/>
  <c r="J2362" i="1" s="1"/>
  <c r="F2363" i="1"/>
  <c r="J2363" i="1" s="1"/>
  <c r="F2364" i="1"/>
  <c r="K2364" i="1" s="1"/>
  <c r="F2365" i="1"/>
  <c r="K2365" i="1" s="1"/>
  <c r="F2366" i="1"/>
  <c r="K2366" i="1" s="1"/>
  <c r="F2367" i="1"/>
  <c r="K2367" i="1" s="1"/>
  <c r="F2368" i="1"/>
  <c r="K2368" i="1" s="1"/>
  <c r="F2369" i="1"/>
  <c r="K2369" i="1" s="1"/>
  <c r="F2370" i="1"/>
  <c r="K2370" i="1" s="1"/>
  <c r="F2371" i="1"/>
  <c r="K2371" i="1" s="1"/>
  <c r="F2372" i="1"/>
  <c r="K2372" i="1" s="1"/>
  <c r="F2373" i="1"/>
  <c r="K2373" i="1" s="1"/>
  <c r="F2374" i="1"/>
  <c r="K2374" i="1" s="1"/>
  <c r="F2375" i="1"/>
  <c r="K2375" i="1" s="1"/>
  <c r="F2376" i="1"/>
  <c r="K2376" i="1" s="1"/>
  <c r="F2377" i="1"/>
  <c r="K2377" i="1" s="1"/>
  <c r="F2378" i="1"/>
  <c r="K2378" i="1" s="1"/>
  <c r="F2379" i="1"/>
  <c r="K2379" i="1" s="1"/>
  <c r="F2380" i="1"/>
  <c r="K2380" i="1" s="1"/>
  <c r="F2381" i="1"/>
  <c r="J2381" i="1" s="1"/>
  <c r="F2382" i="1"/>
  <c r="K2382" i="1" s="1"/>
  <c r="F2383" i="1"/>
  <c r="K2383" i="1" s="1"/>
  <c r="F2384" i="1"/>
  <c r="K2384" i="1" s="1"/>
  <c r="F2385" i="1"/>
  <c r="K2385" i="1" s="1"/>
  <c r="F2386" i="1"/>
  <c r="K2386" i="1" s="1"/>
  <c r="F2387" i="1"/>
  <c r="K2387" i="1" s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J2351" i="1"/>
  <c r="J2372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F2335" i="1"/>
  <c r="K2335" i="1" s="1"/>
  <c r="F2336" i="1"/>
  <c r="K2336" i="1" s="1"/>
  <c r="F2337" i="1"/>
  <c r="K2337" i="1" s="1"/>
  <c r="F2338" i="1"/>
  <c r="K2338" i="1" s="1"/>
  <c r="F2339" i="1"/>
  <c r="K2339" i="1" s="1"/>
  <c r="F2340" i="1"/>
  <c r="K2340" i="1" s="1"/>
  <c r="F2341" i="1"/>
  <c r="K2341" i="1" s="1"/>
  <c r="F2342" i="1"/>
  <c r="K2342" i="1" s="1"/>
  <c r="F2343" i="1"/>
  <c r="K2343" i="1" s="1"/>
  <c r="F2344" i="1"/>
  <c r="K2344" i="1" s="1"/>
  <c r="F2345" i="1"/>
  <c r="K2345" i="1" s="1"/>
  <c r="F2346" i="1"/>
  <c r="K2346" i="1" s="1"/>
  <c r="F2347" i="1"/>
  <c r="K2347" i="1" s="1"/>
  <c r="F2348" i="1"/>
  <c r="K2348" i="1" s="1"/>
  <c r="F2349" i="1"/>
  <c r="K2349" i="1" s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F2328" i="1"/>
  <c r="K2328" i="1" s="1"/>
  <c r="F2329" i="1"/>
  <c r="K2329" i="1" s="1"/>
  <c r="F2330" i="1"/>
  <c r="K2330" i="1" s="1"/>
  <c r="F2331" i="1"/>
  <c r="K2331" i="1" s="1"/>
  <c r="F2332" i="1"/>
  <c r="K2332" i="1" s="1"/>
  <c r="F2333" i="1"/>
  <c r="K2333" i="1" s="1"/>
  <c r="F2334" i="1"/>
  <c r="K2334" i="1" s="1"/>
  <c r="H2328" i="1"/>
  <c r="H2329" i="1"/>
  <c r="H2330" i="1"/>
  <c r="H2331" i="1"/>
  <c r="H2332" i="1"/>
  <c r="H2333" i="1"/>
  <c r="H2334" i="1"/>
  <c r="I2328" i="1"/>
  <c r="I2329" i="1"/>
  <c r="I2330" i="1"/>
  <c r="I2331" i="1"/>
  <c r="I2332" i="1"/>
  <c r="I2333" i="1"/>
  <c r="I2334" i="1"/>
  <c r="M2328" i="1"/>
  <c r="M2329" i="1"/>
  <c r="M2330" i="1"/>
  <c r="M2331" i="1"/>
  <c r="M2332" i="1"/>
  <c r="M2333" i="1"/>
  <c r="M2334" i="1"/>
  <c r="F2327" i="1"/>
  <c r="K2327" i="1" s="1"/>
  <c r="H2327" i="1"/>
  <c r="I2327" i="1"/>
  <c r="J2327" i="1"/>
  <c r="M2327" i="1"/>
  <c r="F2317" i="1"/>
  <c r="K2317" i="1" s="1"/>
  <c r="F2318" i="1"/>
  <c r="K2318" i="1" s="1"/>
  <c r="F2319" i="1"/>
  <c r="K2319" i="1" s="1"/>
  <c r="F2320" i="1"/>
  <c r="K2320" i="1" s="1"/>
  <c r="F2321" i="1"/>
  <c r="K2321" i="1" s="1"/>
  <c r="F2322" i="1"/>
  <c r="K2322" i="1" s="1"/>
  <c r="F2323" i="1"/>
  <c r="K2323" i="1" s="1"/>
  <c r="F2324" i="1"/>
  <c r="J2324" i="1" s="1"/>
  <c r="F2325" i="1"/>
  <c r="K2325" i="1" s="1"/>
  <c r="F2326" i="1"/>
  <c r="K2326" i="1" s="1"/>
  <c r="H2317" i="1"/>
  <c r="H2318" i="1"/>
  <c r="H2319" i="1"/>
  <c r="H2320" i="1"/>
  <c r="H2321" i="1"/>
  <c r="H2322" i="1"/>
  <c r="H2323" i="1"/>
  <c r="H2324" i="1"/>
  <c r="H2325" i="1"/>
  <c r="H2326" i="1"/>
  <c r="I2317" i="1"/>
  <c r="I2318" i="1"/>
  <c r="I2319" i="1"/>
  <c r="I2320" i="1"/>
  <c r="I2321" i="1"/>
  <c r="I2322" i="1"/>
  <c r="I2323" i="1"/>
  <c r="I2324" i="1"/>
  <c r="I2325" i="1"/>
  <c r="I2326" i="1"/>
  <c r="M2317" i="1"/>
  <c r="M2318" i="1"/>
  <c r="M2319" i="1"/>
  <c r="M2320" i="1"/>
  <c r="M2321" i="1"/>
  <c r="M2322" i="1"/>
  <c r="M2323" i="1"/>
  <c r="M2324" i="1"/>
  <c r="M2325" i="1"/>
  <c r="M2326" i="1"/>
  <c r="F2265" i="1"/>
  <c r="K2265" i="1" s="1"/>
  <c r="F2266" i="1"/>
  <c r="K2266" i="1" s="1"/>
  <c r="F2267" i="1"/>
  <c r="K2267" i="1" s="1"/>
  <c r="F2268" i="1"/>
  <c r="K2268" i="1" s="1"/>
  <c r="F2269" i="1"/>
  <c r="K2269" i="1" s="1"/>
  <c r="F2270" i="1"/>
  <c r="J2270" i="1" s="1"/>
  <c r="F2271" i="1"/>
  <c r="K2271" i="1" s="1"/>
  <c r="F2272" i="1"/>
  <c r="K2272" i="1" s="1"/>
  <c r="F2273" i="1"/>
  <c r="K2273" i="1" s="1"/>
  <c r="F2274" i="1"/>
  <c r="K2274" i="1" s="1"/>
  <c r="F2275" i="1"/>
  <c r="K2275" i="1" s="1"/>
  <c r="F2276" i="1"/>
  <c r="K2276" i="1" s="1"/>
  <c r="F2277" i="1"/>
  <c r="K2277" i="1" s="1"/>
  <c r="F2278" i="1"/>
  <c r="K2278" i="1" s="1"/>
  <c r="F2279" i="1"/>
  <c r="K2279" i="1" s="1"/>
  <c r="F2280" i="1"/>
  <c r="K2280" i="1" s="1"/>
  <c r="F2281" i="1"/>
  <c r="K2281" i="1" s="1"/>
  <c r="F2282" i="1"/>
  <c r="K2282" i="1" s="1"/>
  <c r="F2283" i="1"/>
  <c r="K2283" i="1" s="1"/>
  <c r="F2284" i="1"/>
  <c r="K2284" i="1" s="1"/>
  <c r="F2285" i="1"/>
  <c r="K2285" i="1" s="1"/>
  <c r="F2286" i="1"/>
  <c r="K2286" i="1" s="1"/>
  <c r="F2287" i="1"/>
  <c r="K2287" i="1" s="1"/>
  <c r="F2288" i="1"/>
  <c r="K2288" i="1" s="1"/>
  <c r="F2289" i="1"/>
  <c r="K2289" i="1" s="1"/>
  <c r="F2290" i="1"/>
  <c r="K2290" i="1" s="1"/>
  <c r="F2291" i="1"/>
  <c r="K2291" i="1" s="1"/>
  <c r="F2292" i="1"/>
  <c r="K2292" i="1" s="1"/>
  <c r="F2293" i="1"/>
  <c r="K2293" i="1" s="1"/>
  <c r="F2294" i="1"/>
  <c r="K2294" i="1" s="1"/>
  <c r="F2295" i="1"/>
  <c r="K2295" i="1" s="1"/>
  <c r="F2296" i="1"/>
  <c r="K2296" i="1" s="1"/>
  <c r="F2297" i="1"/>
  <c r="K2297" i="1" s="1"/>
  <c r="F2298" i="1"/>
  <c r="K2298" i="1" s="1"/>
  <c r="F2299" i="1"/>
  <c r="K2299" i="1" s="1"/>
  <c r="F2300" i="1"/>
  <c r="K2300" i="1" s="1"/>
  <c r="F2301" i="1"/>
  <c r="K2301" i="1" s="1"/>
  <c r="F2302" i="1"/>
  <c r="K2302" i="1" s="1"/>
  <c r="F2303" i="1"/>
  <c r="K2303" i="1" s="1"/>
  <c r="F2304" i="1"/>
  <c r="K2304" i="1" s="1"/>
  <c r="F2305" i="1"/>
  <c r="K2305" i="1" s="1"/>
  <c r="F2306" i="1"/>
  <c r="K2306" i="1" s="1"/>
  <c r="F2307" i="1"/>
  <c r="K2307" i="1" s="1"/>
  <c r="F2308" i="1"/>
  <c r="K2308" i="1" s="1"/>
  <c r="F2309" i="1"/>
  <c r="K2309" i="1" s="1"/>
  <c r="F2310" i="1"/>
  <c r="K2310" i="1" s="1"/>
  <c r="F2311" i="1"/>
  <c r="K2311" i="1" s="1"/>
  <c r="F2312" i="1"/>
  <c r="K2312" i="1" s="1"/>
  <c r="F2313" i="1"/>
  <c r="K2313" i="1" s="1"/>
  <c r="F2314" i="1"/>
  <c r="K2314" i="1" s="1"/>
  <c r="F2315" i="1"/>
  <c r="K2315" i="1" s="1"/>
  <c r="F2316" i="1"/>
  <c r="K2316" i="1" s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J2310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F2209" i="1"/>
  <c r="K2209" i="1" s="1"/>
  <c r="F2210" i="1"/>
  <c r="J2210" i="1" s="1"/>
  <c r="F2211" i="1"/>
  <c r="K2211" i="1" s="1"/>
  <c r="F2212" i="1"/>
  <c r="J2212" i="1" s="1"/>
  <c r="F2213" i="1"/>
  <c r="K2213" i="1" s="1"/>
  <c r="F2214" i="1"/>
  <c r="K2214" i="1" s="1"/>
  <c r="F2215" i="1"/>
  <c r="J2215" i="1" s="1"/>
  <c r="F2216" i="1"/>
  <c r="K2216" i="1" s="1"/>
  <c r="F2217" i="1"/>
  <c r="J2217" i="1" s="1"/>
  <c r="F2218" i="1"/>
  <c r="K2218" i="1" s="1"/>
  <c r="F2219" i="1"/>
  <c r="K2219" i="1" s="1"/>
  <c r="F2220" i="1"/>
  <c r="K2220" i="1" s="1"/>
  <c r="F2221" i="1"/>
  <c r="K2221" i="1" s="1"/>
  <c r="F2222" i="1"/>
  <c r="K2222" i="1" s="1"/>
  <c r="F2223" i="1"/>
  <c r="J2223" i="1" s="1"/>
  <c r="F2224" i="1"/>
  <c r="K2224" i="1" s="1"/>
  <c r="F2225" i="1"/>
  <c r="K2225" i="1" s="1"/>
  <c r="F2226" i="1"/>
  <c r="K2226" i="1" s="1"/>
  <c r="F2227" i="1"/>
  <c r="J2227" i="1" s="1"/>
  <c r="F2228" i="1"/>
  <c r="K2228" i="1" s="1"/>
  <c r="F2229" i="1"/>
  <c r="K2229" i="1" s="1"/>
  <c r="F2230" i="1"/>
  <c r="K2230" i="1" s="1"/>
  <c r="F2231" i="1"/>
  <c r="K2231" i="1" s="1"/>
  <c r="F2232" i="1"/>
  <c r="K2232" i="1" s="1"/>
  <c r="F2233" i="1"/>
  <c r="K2233" i="1" s="1"/>
  <c r="F2234" i="1"/>
  <c r="K2234" i="1" s="1"/>
  <c r="F2235" i="1"/>
  <c r="J2235" i="1" s="1"/>
  <c r="F2236" i="1"/>
  <c r="J2236" i="1" s="1"/>
  <c r="F2237" i="1"/>
  <c r="K2237" i="1" s="1"/>
  <c r="F2238" i="1"/>
  <c r="K2238" i="1" s="1"/>
  <c r="F2239" i="1"/>
  <c r="K2239" i="1" s="1"/>
  <c r="F2240" i="1"/>
  <c r="K2240" i="1" s="1"/>
  <c r="F2241" i="1"/>
  <c r="K2241" i="1" s="1"/>
  <c r="F2242" i="1"/>
  <c r="K2242" i="1" s="1"/>
  <c r="F2243" i="1"/>
  <c r="K2243" i="1" s="1"/>
  <c r="F2244" i="1"/>
  <c r="K2244" i="1" s="1"/>
  <c r="F2245" i="1"/>
  <c r="K2245" i="1" s="1"/>
  <c r="F2246" i="1"/>
  <c r="K2246" i="1" s="1"/>
  <c r="F2247" i="1"/>
  <c r="K2247" i="1" s="1"/>
  <c r="F2248" i="1"/>
  <c r="K2248" i="1" s="1"/>
  <c r="F2249" i="1"/>
  <c r="K2249" i="1" s="1"/>
  <c r="F2250" i="1"/>
  <c r="K2250" i="1" s="1"/>
  <c r="F2251" i="1"/>
  <c r="K2251" i="1" s="1"/>
  <c r="F2252" i="1"/>
  <c r="K2252" i="1" s="1"/>
  <c r="F2253" i="1"/>
  <c r="K2253" i="1" s="1"/>
  <c r="F2254" i="1"/>
  <c r="K2254" i="1" s="1"/>
  <c r="F2255" i="1"/>
  <c r="K2255" i="1" s="1"/>
  <c r="F2256" i="1"/>
  <c r="J2256" i="1" s="1"/>
  <c r="F2257" i="1"/>
  <c r="K2257" i="1" s="1"/>
  <c r="F2258" i="1"/>
  <c r="K2258" i="1" s="1"/>
  <c r="F2259" i="1"/>
  <c r="K2259" i="1" s="1"/>
  <c r="F2260" i="1"/>
  <c r="K2260" i="1" s="1"/>
  <c r="F2261" i="1"/>
  <c r="K2261" i="1" s="1"/>
  <c r="F2262" i="1"/>
  <c r="K2262" i="1" s="1"/>
  <c r="F2263" i="1"/>
  <c r="K2263" i="1" s="1"/>
  <c r="F2264" i="1"/>
  <c r="K2264" i="1" s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F2193" i="1"/>
  <c r="K2193" i="1" s="1"/>
  <c r="F2194" i="1"/>
  <c r="K2194" i="1" s="1"/>
  <c r="F2195" i="1"/>
  <c r="K2195" i="1" s="1"/>
  <c r="F2196" i="1"/>
  <c r="K2196" i="1" s="1"/>
  <c r="F2197" i="1"/>
  <c r="K2197" i="1" s="1"/>
  <c r="F2198" i="1"/>
  <c r="K2198" i="1" s="1"/>
  <c r="F2199" i="1"/>
  <c r="K2199" i="1" s="1"/>
  <c r="F2200" i="1"/>
  <c r="K2200" i="1" s="1"/>
  <c r="F2201" i="1"/>
  <c r="K2201" i="1" s="1"/>
  <c r="F2202" i="1"/>
  <c r="K2202" i="1" s="1"/>
  <c r="F2203" i="1"/>
  <c r="K2203" i="1" s="1"/>
  <c r="F2204" i="1"/>
  <c r="K2204" i="1" s="1"/>
  <c r="F2205" i="1"/>
  <c r="K2205" i="1" s="1"/>
  <c r="F2206" i="1"/>
  <c r="K2206" i="1" s="1"/>
  <c r="F2207" i="1"/>
  <c r="K2207" i="1" s="1"/>
  <c r="F2208" i="1"/>
  <c r="K2208" i="1" s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J2193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F2169" i="1"/>
  <c r="K2169" i="1" s="1"/>
  <c r="F2170" i="1"/>
  <c r="K2170" i="1" s="1"/>
  <c r="F2171" i="1"/>
  <c r="K2171" i="1" s="1"/>
  <c r="F2172" i="1"/>
  <c r="K2172" i="1" s="1"/>
  <c r="F2173" i="1"/>
  <c r="K2173" i="1" s="1"/>
  <c r="F2174" i="1"/>
  <c r="K2174" i="1" s="1"/>
  <c r="F2175" i="1"/>
  <c r="J2175" i="1" s="1"/>
  <c r="F2176" i="1"/>
  <c r="K2176" i="1" s="1"/>
  <c r="F2177" i="1"/>
  <c r="K2177" i="1" s="1"/>
  <c r="F2178" i="1"/>
  <c r="K2178" i="1" s="1"/>
  <c r="F2179" i="1"/>
  <c r="K2179" i="1" s="1"/>
  <c r="F2180" i="1"/>
  <c r="K2180" i="1" s="1"/>
  <c r="F2181" i="1"/>
  <c r="K2181" i="1" s="1"/>
  <c r="F2182" i="1"/>
  <c r="K2182" i="1" s="1"/>
  <c r="F2183" i="1"/>
  <c r="K2183" i="1" s="1"/>
  <c r="F2184" i="1"/>
  <c r="K2184" i="1" s="1"/>
  <c r="F2185" i="1"/>
  <c r="K2185" i="1" s="1"/>
  <c r="F2186" i="1"/>
  <c r="K2186" i="1" s="1"/>
  <c r="F2187" i="1"/>
  <c r="K2187" i="1" s="1"/>
  <c r="F2188" i="1"/>
  <c r="K2188" i="1" s="1"/>
  <c r="F2189" i="1"/>
  <c r="K2189" i="1" s="1"/>
  <c r="F2190" i="1"/>
  <c r="K2190" i="1" s="1"/>
  <c r="F2191" i="1"/>
  <c r="K2191" i="1" s="1"/>
  <c r="F2192" i="1"/>
  <c r="K2192" i="1" s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F2168" i="1"/>
  <c r="K2168" i="1" s="1"/>
  <c r="H2168" i="1"/>
  <c r="I2168" i="1"/>
  <c r="M2168" i="1"/>
  <c r="F2167" i="1"/>
  <c r="K2167" i="1" s="1"/>
  <c r="H2167" i="1"/>
  <c r="I2167" i="1"/>
  <c r="M2167" i="1"/>
  <c r="F2077" i="1"/>
  <c r="K2077" i="1" s="1"/>
  <c r="F2152" i="1"/>
  <c r="K2152" i="1" s="1"/>
  <c r="F2153" i="1"/>
  <c r="K2153" i="1" s="1"/>
  <c r="F2154" i="1"/>
  <c r="K2154" i="1" s="1"/>
  <c r="F2155" i="1"/>
  <c r="K2155" i="1" s="1"/>
  <c r="F2156" i="1"/>
  <c r="K2156" i="1" s="1"/>
  <c r="F2157" i="1"/>
  <c r="K2157" i="1" s="1"/>
  <c r="F2158" i="1"/>
  <c r="K2158" i="1" s="1"/>
  <c r="F2159" i="1"/>
  <c r="K2159" i="1" s="1"/>
  <c r="F2160" i="1"/>
  <c r="K2160" i="1" s="1"/>
  <c r="F2161" i="1"/>
  <c r="K2161" i="1" s="1"/>
  <c r="F2162" i="1"/>
  <c r="K2162" i="1" s="1"/>
  <c r="F2163" i="1"/>
  <c r="K2163" i="1" s="1"/>
  <c r="F2164" i="1"/>
  <c r="K2164" i="1" s="1"/>
  <c r="F2165" i="1"/>
  <c r="K2165" i="1" s="1"/>
  <c r="F2166" i="1"/>
  <c r="K2166" i="1" s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F2092" i="1"/>
  <c r="K2092" i="1" s="1"/>
  <c r="F2093" i="1"/>
  <c r="K2093" i="1" s="1"/>
  <c r="F2094" i="1"/>
  <c r="K2094" i="1" s="1"/>
  <c r="F2095" i="1"/>
  <c r="J2095" i="1" s="1"/>
  <c r="F2096" i="1"/>
  <c r="J2096" i="1" s="1"/>
  <c r="F2097" i="1"/>
  <c r="K2097" i="1" s="1"/>
  <c r="F2098" i="1"/>
  <c r="K2098" i="1" s="1"/>
  <c r="F2099" i="1"/>
  <c r="K2099" i="1" s="1"/>
  <c r="F2100" i="1"/>
  <c r="J2100" i="1" s="1"/>
  <c r="F2101" i="1"/>
  <c r="J2101" i="1" s="1"/>
  <c r="F2102" i="1"/>
  <c r="K2102" i="1" s="1"/>
  <c r="F2103" i="1"/>
  <c r="K2103" i="1" s="1"/>
  <c r="F2104" i="1"/>
  <c r="K2104" i="1" s="1"/>
  <c r="F2105" i="1"/>
  <c r="K2105" i="1" s="1"/>
  <c r="F2106" i="1"/>
  <c r="K2106" i="1" s="1"/>
  <c r="F2107" i="1"/>
  <c r="K2107" i="1" s="1"/>
  <c r="F2108" i="1"/>
  <c r="K2108" i="1" s="1"/>
  <c r="F2109" i="1"/>
  <c r="J2109" i="1" s="1"/>
  <c r="F2110" i="1"/>
  <c r="K2110" i="1" s="1"/>
  <c r="F2111" i="1"/>
  <c r="K2111" i="1" s="1"/>
  <c r="F2112" i="1"/>
  <c r="K2112" i="1" s="1"/>
  <c r="F2113" i="1"/>
  <c r="K2113" i="1" s="1"/>
  <c r="F2114" i="1"/>
  <c r="J2114" i="1" s="1"/>
  <c r="F2115" i="1"/>
  <c r="K2115" i="1" s="1"/>
  <c r="F2116" i="1"/>
  <c r="K2116" i="1" s="1"/>
  <c r="F2117" i="1"/>
  <c r="J2117" i="1" s="1"/>
  <c r="F2118" i="1"/>
  <c r="J2118" i="1" s="1"/>
  <c r="F2119" i="1"/>
  <c r="K2119" i="1" s="1"/>
  <c r="F2120" i="1"/>
  <c r="K2120" i="1" s="1"/>
  <c r="F2121" i="1"/>
  <c r="K2121" i="1" s="1"/>
  <c r="F2122" i="1"/>
  <c r="J2122" i="1" s="1"/>
  <c r="F2123" i="1"/>
  <c r="K2123" i="1" s="1"/>
  <c r="F2124" i="1"/>
  <c r="J2124" i="1" s="1"/>
  <c r="F2125" i="1"/>
  <c r="K2125" i="1" s="1"/>
  <c r="F2126" i="1"/>
  <c r="J2126" i="1" s="1"/>
  <c r="F2127" i="1"/>
  <c r="K2127" i="1" s="1"/>
  <c r="F2128" i="1"/>
  <c r="K2128" i="1" s="1"/>
  <c r="F2129" i="1"/>
  <c r="K2129" i="1" s="1"/>
  <c r="F2130" i="1"/>
  <c r="J2130" i="1" s="1"/>
  <c r="F2131" i="1"/>
  <c r="K2131" i="1" s="1"/>
  <c r="F2132" i="1"/>
  <c r="K2132" i="1" s="1"/>
  <c r="F2133" i="1"/>
  <c r="J2133" i="1" s="1"/>
  <c r="F2134" i="1"/>
  <c r="K2134" i="1" s="1"/>
  <c r="F2135" i="1"/>
  <c r="K2135" i="1" s="1"/>
  <c r="F2136" i="1"/>
  <c r="K2136" i="1" s="1"/>
  <c r="F2137" i="1"/>
  <c r="K2137" i="1" s="1"/>
  <c r="F2138" i="1"/>
  <c r="K2138" i="1" s="1"/>
  <c r="F2139" i="1"/>
  <c r="K2139" i="1" s="1"/>
  <c r="F2140" i="1"/>
  <c r="K2140" i="1" s="1"/>
  <c r="F2141" i="1"/>
  <c r="K2141" i="1" s="1"/>
  <c r="F2142" i="1"/>
  <c r="K2142" i="1" s="1"/>
  <c r="F2143" i="1"/>
  <c r="K2143" i="1" s="1"/>
  <c r="F2144" i="1"/>
  <c r="K2144" i="1" s="1"/>
  <c r="F2145" i="1"/>
  <c r="K2145" i="1" s="1"/>
  <c r="F2146" i="1"/>
  <c r="J2146" i="1" s="1"/>
  <c r="F2147" i="1"/>
  <c r="K2147" i="1" s="1"/>
  <c r="F2148" i="1"/>
  <c r="K2148" i="1" s="1"/>
  <c r="F2149" i="1"/>
  <c r="K2149" i="1" s="1"/>
  <c r="F2150" i="1"/>
  <c r="J2150" i="1" s="1"/>
  <c r="F2151" i="1"/>
  <c r="K2151" i="1" s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F2050" i="1"/>
  <c r="K2050" i="1" s="1"/>
  <c r="F2051" i="1"/>
  <c r="J2051" i="1" s="1"/>
  <c r="F2052" i="1"/>
  <c r="K2052" i="1" s="1"/>
  <c r="F2053" i="1"/>
  <c r="K2053" i="1" s="1"/>
  <c r="F2054" i="1"/>
  <c r="K2054" i="1" s="1"/>
  <c r="F2055" i="1"/>
  <c r="K2055" i="1" s="1"/>
  <c r="F2056" i="1"/>
  <c r="K2056" i="1" s="1"/>
  <c r="F2057" i="1"/>
  <c r="K2057" i="1" s="1"/>
  <c r="F2058" i="1"/>
  <c r="K2058" i="1" s="1"/>
  <c r="F2059" i="1"/>
  <c r="K2059" i="1" s="1"/>
  <c r="F2060" i="1"/>
  <c r="J2060" i="1" s="1"/>
  <c r="F2061" i="1"/>
  <c r="J2061" i="1" s="1"/>
  <c r="F2062" i="1"/>
  <c r="K2062" i="1" s="1"/>
  <c r="F2063" i="1"/>
  <c r="K2063" i="1" s="1"/>
  <c r="F2064" i="1"/>
  <c r="K2064" i="1" s="1"/>
  <c r="F2065" i="1"/>
  <c r="K2065" i="1" s="1"/>
  <c r="F2066" i="1"/>
  <c r="J2066" i="1" s="1"/>
  <c r="F2067" i="1"/>
  <c r="K2067" i="1" s="1"/>
  <c r="F2068" i="1"/>
  <c r="K2068" i="1" s="1"/>
  <c r="F2069" i="1"/>
  <c r="K2069" i="1" s="1"/>
  <c r="F2070" i="1"/>
  <c r="K2070" i="1" s="1"/>
  <c r="F2071" i="1"/>
  <c r="K2071" i="1" s="1"/>
  <c r="F2072" i="1"/>
  <c r="K2072" i="1" s="1"/>
  <c r="F2073" i="1"/>
  <c r="K2073" i="1" s="1"/>
  <c r="F2074" i="1"/>
  <c r="K2074" i="1" s="1"/>
  <c r="F2075" i="1"/>
  <c r="J2075" i="1" s="1"/>
  <c r="F2076" i="1"/>
  <c r="K2076" i="1" s="1"/>
  <c r="F2078" i="1"/>
  <c r="K2078" i="1" s="1"/>
  <c r="F2079" i="1"/>
  <c r="K2079" i="1" s="1"/>
  <c r="F2080" i="1"/>
  <c r="K2080" i="1" s="1"/>
  <c r="F2081" i="1"/>
  <c r="K2081" i="1" s="1"/>
  <c r="F2082" i="1"/>
  <c r="K2082" i="1" s="1"/>
  <c r="F2083" i="1"/>
  <c r="K2083" i="1" s="1"/>
  <c r="F2084" i="1"/>
  <c r="K2084" i="1" s="1"/>
  <c r="F2085" i="1"/>
  <c r="K2085" i="1" s="1"/>
  <c r="F2086" i="1"/>
  <c r="K2086" i="1" s="1"/>
  <c r="F2087" i="1"/>
  <c r="K2087" i="1" s="1"/>
  <c r="F2088" i="1"/>
  <c r="K2088" i="1" s="1"/>
  <c r="F2089" i="1"/>
  <c r="K2089" i="1" s="1"/>
  <c r="F2090" i="1"/>
  <c r="K2090" i="1" s="1"/>
  <c r="F2091" i="1"/>
  <c r="K2091" i="1" s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F2045" i="1"/>
  <c r="K2045" i="1" s="1"/>
  <c r="F2046" i="1"/>
  <c r="K2046" i="1" s="1"/>
  <c r="F2047" i="1"/>
  <c r="K2047" i="1" s="1"/>
  <c r="F2048" i="1"/>
  <c r="K2048" i="1" s="1"/>
  <c r="F2049" i="1"/>
  <c r="J2049" i="1" s="1"/>
  <c r="H2045" i="1"/>
  <c r="H2046" i="1"/>
  <c r="H2047" i="1"/>
  <c r="H2048" i="1"/>
  <c r="H2049" i="1"/>
  <c r="I2045" i="1"/>
  <c r="I2046" i="1"/>
  <c r="I2047" i="1"/>
  <c r="I2048" i="1"/>
  <c r="I2049" i="1"/>
  <c r="M2045" i="1"/>
  <c r="M2046" i="1"/>
  <c r="M2047" i="1"/>
  <c r="M2048" i="1"/>
  <c r="M2049" i="1"/>
  <c r="F2008" i="1"/>
  <c r="K2008" i="1" s="1"/>
  <c r="F2009" i="1"/>
  <c r="K2009" i="1" s="1"/>
  <c r="F2010" i="1"/>
  <c r="K2010" i="1" s="1"/>
  <c r="F2011" i="1"/>
  <c r="J2011" i="1" s="1"/>
  <c r="F2012" i="1"/>
  <c r="K2012" i="1" s="1"/>
  <c r="F2013" i="1"/>
  <c r="K2013" i="1" s="1"/>
  <c r="F2014" i="1"/>
  <c r="K2014" i="1" s="1"/>
  <c r="F2015" i="1"/>
  <c r="K2015" i="1" s="1"/>
  <c r="F2016" i="1"/>
  <c r="J2016" i="1" s="1"/>
  <c r="F2017" i="1"/>
  <c r="K2017" i="1" s="1"/>
  <c r="F2018" i="1"/>
  <c r="K2018" i="1" s="1"/>
  <c r="F2019" i="1"/>
  <c r="J2019" i="1" s="1"/>
  <c r="F2020" i="1"/>
  <c r="J2020" i="1" s="1"/>
  <c r="F2021" i="1"/>
  <c r="K2021" i="1" s="1"/>
  <c r="F2022" i="1"/>
  <c r="K2022" i="1" s="1"/>
  <c r="F2023" i="1"/>
  <c r="K2023" i="1" s="1"/>
  <c r="F2024" i="1"/>
  <c r="K2024" i="1" s="1"/>
  <c r="F2025" i="1"/>
  <c r="K2025" i="1" s="1"/>
  <c r="F2026" i="1"/>
  <c r="K2026" i="1" s="1"/>
  <c r="F2027" i="1"/>
  <c r="K2027" i="1" s="1"/>
  <c r="F2028" i="1"/>
  <c r="K2028" i="1" s="1"/>
  <c r="F2029" i="1"/>
  <c r="K2029" i="1" s="1"/>
  <c r="F2030" i="1"/>
  <c r="K2030" i="1" s="1"/>
  <c r="F2031" i="1"/>
  <c r="K2031" i="1" s="1"/>
  <c r="F2032" i="1"/>
  <c r="J2032" i="1" s="1"/>
  <c r="F2033" i="1"/>
  <c r="K2033" i="1" s="1"/>
  <c r="F2034" i="1"/>
  <c r="K2034" i="1" s="1"/>
  <c r="F2035" i="1"/>
  <c r="K2035" i="1" s="1"/>
  <c r="F2036" i="1"/>
  <c r="K2036" i="1" s="1"/>
  <c r="F2037" i="1"/>
  <c r="K2037" i="1" s="1"/>
  <c r="F2038" i="1"/>
  <c r="K2038" i="1" s="1"/>
  <c r="F2039" i="1"/>
  <c r="K2039" i="1" s="1"/>
  <c r="F2040" i="1"/>
  <c r="K2040" i="1" s="1"/>
  <c r="F2041" i="1"/>
  <c r="K2041" i="1" s="1"/>
  <c r="F2042" i="1"/>
  <c r="K2042" i="1" s="1"/>
  <c r="F2043" i="1"/>
  <c r="K2043" i="1" s="1"/>
  <c r="F2044" i="1"/>
  <c r="K2044" i="1" s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F1957" i="1"/>
  <c r="K1957" i="1" s="1"/>
  <c r="F1958" i="1"/>
  <c r="K1958" i="1" s="1"/>
  <c r="F1959" i="1"/>
  <c r="K1959" i="1" s="1"/>
  <c r="F1960" i="1"/>
  <c r="K1960" i="1" s="1"/>
  <c r="F1961" i="1"/>
  <c r="K1961" i="1" s="1"/>
  <c r="F1962" i="1"/>
  <c r="K1962" i="1" s="1"/>
  <c r="F1963" i="1"/>
  <c r="K1963" i="1" s="1"/>
  <c r="F1964" i="1"/>
  <c r="K1964" i="1" s="1"/>
  <c r="F1965" i="1"/>
  <c r="K1965" i="1" s="1"/>
  <c r="F1966" i="1"/>
  <c r="K1966" i="1" s="1"/>
  <c r="F1967" i="1"/>
  <c r="J1967" i="1" s="1"/>
  <c r="F1968" i="1"/>
  <c r="K1968" i="1" s="1"/>
  <c r="F1969" i="1"/>
  <c r="K1969" i="1" s="1"/>
  <c r="F1970" i="1"/>
  <c r="K1970" i="1" s="1"/>
  <c r="F1971" i="1"/>
  <c r="J1971" i="1" s="1"/>
  <c r="F1972" i="1"/>
  <c r="K1972" i="1" s="1"/>
  <c r="F1973" i="1"/>
  <c r="K1973" i="1" s="1"/>
  <c r="F1974" i="1"/>
  <c r="K1974" i="1" s="1"/>
  <c r="F1975" i="1"/>
  <c r="K1975" i="1" s="1"/>
  <c r="F1976" i="1"/>
  <c r="K1976" i="1" s="1"/>
  <c r="F1977" i="1"/>
  <c r="K1977" i="1" s="1"/>
  <c r="F1978" i="1"/>
  <c r="K1978" i="1" s="1"/>
  <c r="F1979" i="1"/>
  <c r="K1979" i="1" s="1"/>
  <c r="F1980" i="1"/>
  <c r="K1980" i="1" s="1"/>
  <c r="F1981" i="1"/>
  <c r="J1981" i="1" s="1"/>
  <c r="F1982" i="1"/>
  <c r="K1982" i="1" s="1"/>
  <c r="F1983" i="1"/>
  <c r="J1983" i="1" s="1"/>
  <c r="F1984" i="1"/>
  <c r="K1984" i="1" s="1"/>
  <c r="F1985" i="1"/>
  <c r="K1985" i="1" s="1"/>
  <c r="F1986" i="1"/>
  <c r="K1986" i="1" s="1"/>
  <c r="F1987" i="1"/>
  <c r="K1987" i="1" s="1"/>
  <c r="F1988" i="1"/>
  <c r="K1988" i="1" s="1"/>
  <c r="F1989" i="1"/>
  <c r="K1989" i="1" s="1"/>
  <c r="F1990" i="1"/>
  <c r="K1990" i="1" s="1"/>
  <c r="F1991" i="1"/>
  <c r="K1991" i="1" s="1"/>
  <c r="F1992" i="1"/>
  <c r="K1992" i="1" s="1"/>
  <c r="F1993" i="1"/>
  <c r="K1993" i="1" s="1"/>
  <c r="F1994" i="1"/>
  <c r="K1994" i="1" s="1"/>
  <c r="F1995" i="1"/>
  <c r="K1995" i="1" s="1"/>
  <c r="F1996" i="1"/>
  <c r="K1996" i="1" s="1"/>
  <c r="F1997" i="1"/>
  <c r="K1997" i="1" s="1"/>
  <c r="F1998" i="1"/>
  <c r="K1998" i="1" s="1"/>
  <c r="F1999" i="1"/>
  <c r="K1999" i="1" s="1"/>
  <c r="F2000" i="1"/>
  <c r="K2000" i="1" s="1"/>
  <c r="F2001" i="1"/>
  <c r="K2001" i="1" s="1"/>
  <c r="F2002" i="1"/>
  <c r="K2002" i="1" s="1"/>
  <c r="F2003" i="1"/>
  <c r="K2003" i="1" s="1"/>
  <c r="F2004" i="1"/>
  <c r="K2004" i="1" s="1"/>
  <c r="F2005" i="1"/>
  <c r="K2005" i="1" s="1"/>
  <c r="F2006" i="1"/>
  <c r="K2006" i="1" s="1"/>
  <c r="F2007" i="1"/>
  <c r="K2007" i="1" s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F1912" i="1"/>
  <c r="K1912" i="1" s="1"/>
  <c r="F1913" i="1"/>
  <c r="K1913" i="1" s="1"/>
  <c r="F1914" i="1"/>
  <c r="K1914" i="1" s="1"/>
  <c r="F1915" i="1"/>
  <c r="K1915" i="1" s="1"/>
  <c r="F1916" i="1"/>
  <c r="J1916" i="1" s="1"/>
  <c r="F1917" i="1"/>
  <c r="K1917" i="1" s="1"/>
  <c r="F1918" i="1"/>
  <c r="K1918" i="1" s="1"/>
  <c r="F1919" i="1"/>
  <c r="K1919" i="1" s="1"/>
  <c r="F1920" i="1"/>
  <c r="K1920" i="1" s="1"/>
  <c r="F1921" i="1"/>
  <c r="K1921" i="1" s="1"/>
  <c r="F1922" i="1"/>
  <c r="K1922" i="1" s="1"/>
  <c r="F1923" i="1"/>
  <c r="K1923" i="1" s="1"/>
  <c r="F1924" i="1"/>
  <c r="K1924" i="1" s="1"/>
  <c r="F1925" i="1"/>
  <c r="K1925" i="1" s="1"/>
  <c r="F1926" i="1"/>
  <c r="J1926" i="1" s="1"/>
  <c r="F1927" i="1"/>
  <c r="K1927" i="1" s="1"/>
  <c r="F1928" i="1"/>
  <c r="K1928" i="1" s="1"/>
  <c r="F1929" i="1"/>
  <c r="J1929" i="1" s="1"/>
  <c r="F1930" i="1"/>
  <c r="J1930" i="1" s="1"/>
  <c r="F1931" i="1"/>
  <c r="K1931" i="1" s="1"/>
  <c r="F1932" i="1"/>
  <c r="J1932" i="1" s="1"/>
  <c r="F1933" i="1"/>
  <c r="K1933" i="1" s="1"/>
  <c r="F1934" i="1"/>
  <c r="K1934" i="1" s="1"/>
  <c r="F1935" i="1"/>
  <c r="K1935" i="1" s="1"/>
  <c r="F1936" i="1"/>
  <c r="K1936" i="1" s="1"/>
  <c r="F1937" i="1"/>
  <c r="K1937" i="1" s="1"/>
  <c r="F1938" i="1"/>
  <c r="K1938" i="1" s="1"/>
  <c r="F1939" i="1"/>
  <c r="K1939" i="1" s="1"/>
  <c r="F1940" i="1"/>
  <c r="K1940" i="1" s="1"/>
  <c r="F1941" i="1"/>
  <c r="K1941" i="1" s="1"/>
  <c r="F1942" i="1"/>
  <c r="K1942" i="1" s="1"/>
  <c r="F1943" i="1"/>
  <c r="K1943" i="1" s="1"/>
  <c r="F1944" i="1"/>
  <c r="K1944" i="1" s="1"/>
  <c r="F1945" i="1"/>
  <c r="K1945" i="1" s="1"/>
  <c r="F1946" i="1"/>
  <c r="K1946" i="1" s="1"/>
  <c r="F1947" i="1"/>
  <c r="K1947" i="1" s="1"/>
  <c r="F1948" i="1"/>
  <c r="K1948" i="1" s="1"/>
  <c r="F1949" i="1"/>
  <c r="K1949" i="1" s="1"/>
  <c r="F1950" i="1"/>
  <c r="K1950" i="1" s="1"/>
  <c r="F1951" i="1"/>
  <c r="K1951" i="1" s="1"/>
  <c r="F1952" i="1"/>
  <c r="K1952" i="1" s="1"/>
  <c r="F1953" i="1"/>
  <c r="K1953" i="1" s="1"/>
  <c r="F1954" i="1"/>
  <c r="K1954" i="1" s="1"/>
  <c r="F1955" i="1"/>
  <c r="K1955" i="1" s="1"/>
  <c r="F1956" i="1"/>
  <c r="J1956" i="1" s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F1910" i="1"/>
  <c r="J1910" i="1" s="1"/>
  <c r="F1911" i="1"/>
  <c r="J1911" i="1" s="1"/>
  <c r="H1910" i="1"/>
  <c r="H1911" i="1"/>
  <c r="I1910" i="1"/>
  <c r="I1911" i="1"/>
  <c r="M1910" i="1"/>
  <c r="M1911" i="1"/>
  <c r="F1903" i="1"/>
  <c r="K1903" i="1" s="1"/>
  <c r="F1904" i="1"/>
  <c r="K1904" i="1" s="1"/>
  <c r="F1905" i="1"/>
  <c r="K1905" i="1" s="1"/>
  <c r="F1906" i="1"/>
  <c r="K1906" i="1" s="1"/>
  <c r="F1907" i="1"/>
  <c r="J1907" i="1" s="1"/>
  <c r="F1908" i="1"/>
  <c r="K1908" i="1" s="1"/>
  <c r="F1909" i="1"/>
  <c r="K1909" i="1" s="1"/>
  <c r="H1903" i="1"/>
  <c r="H1904" i="1"/>
  <c r="H1905" i="1"/>
  <c r="H1906" i="1"/>
  <c r="H1907" i="1"/>
  <c r="H1908" i="1"/>
  <c r="H1909" i="1"/>
  <c r="I1903" i="1"/>
  <c r="I1904" i="1"/>
  <c r="I1905" i="1"/>
  <c r="I1906" i="1"/>
  <c r="I1907" i="1"/>
  <c r="I1908" i="1"/>
  <c r="I1909" i="1"/>
  <c r="J1908" i="1"/>
  <c r="J1909" i="1"/>
  <c r="M1903" i="1"/>
  <c r="M1904" i="1"/>
  <c r="M1905" i="1"/>
  <c r="M1906" i="1"/>
  <c r="M1907" i="1"/>
  <c r="M1908" i="1"/>
  <c r="M1909" i="1"/>
  <c r="F1893" i="1"/>
  <c r="K1893" i="1" s="1"/>
  <c r="F1894" i="1"/>
  <c r="K1894" i="1" s="1"/>
  <c r="F1895" i="1"/>
  <c r="K1895" i="1" s="1"/>
  <c r="F1896" i="1"/>
  <c r="K1896" i="1" s="1"/>
  <c r="F1897" i="1"/>
  <c r="K1897" i="1" s="1"/>
  <c r="F1898" i="1"/>
  <c r="K1898" i="1" s="1"/>
  <c r="F1899" i="1"/>
  <c r="K1899" i="1" s="1"/>
  <c r="F1900" i="1"/>
  <c r="K1900" i="1" s="1"/>
  <c r="F1901" i="1"/>
  <c r="K1901" i="1" s="1"/>
  <c r="F1902" i="1"/>
  <c r="K1902" i="1" s="1"/>
  <c r="H1893" i="1"/>
  <c r="H1894" i="1"/>
  <c r="H1895" i="1"/>
  <c r="H1896" i="1"/>
  <c r="H1897" i="1"/>
  <c r="H1898" i="1"/>
  <c r="H1899" i="1"/>
  <c r="H1900" i="1"/>
  <c r="H1901" i="1"/>
  <c r="H1902" i="1"/>
  <c r="I1893" i="1"/>
  <c r="I1894" i="1"/>
  <c r="I1895" i="1"/>
  <c r="I1896" i="1"/>
  <c r="I1897" i="1"/>
  <c r="I1898" i="1"/>
  <c r="I1899" i="1"/>
  <c r="I1900" i="1"/>
  <c r="I1901" i="1"/>
  <c r="I1902" i="1"/>
  <c r="M1893" i="1"/>
  <c r="M1894" i="1"/>
  <c r="M1895" i="1"/>
  <c r="M1896" i="1"/>
  <c r="M1897" i="1"/>
  <c r="M1898" i="1"/>
  <c r="M1899" i="1"/>
  <c r="M1900" i="1"/>
  <c r="M1901" i="1"/>
  <c r="M190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J834" i="1" s="1"/>
  <c r="F835" i="1"/>
  <c r="F836" i="1"/>
  <c r="F837" i="1"/>
  <c r="J837" i="1" s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J1112" i="1" s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J1242" i="1" s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J1359" i="1" s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J1596" i="1" s="1"/>
  <c r="F1597" i="1"/>
  <c r="F1598" i="1"/>
  <c r="F1599" i="1"/>
  <c r="K1599" i="1" s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K1655" i="1" s="1"/>
  <c r="F1656" i="1"/>
  <c r="K1656" i="1" s="1"/>
  <c r="F1657" i="1"/>
  <c r="K1657" i="1" s="1"/>
  <c r="F1658" i="1"/>
  <c r="J1658" i="1" s="1"/>
  <c r="F1659" i="1"/>
  <c r="K1659" i="1" s="1"/>
  <c r="F1660" i="1"/>
  <c r="K1660" i="1" s="1"/>
  <c r="F1661" i="1"/>
  <c r="K1661" i="1" s="1"/>
  <c r="F1662" i="1"/>
  <c r="K1662" i="1" s="1"/>
  <c r="F1663" i="1"/>
  <c r="J1663" i="1" s="1"/>
  <c r="F1664" i="1"/>
  <c r="J1664" i="1" s="1"/>
  <c r="F1665" i="1"/>
  <c r="J1665" i="1" s="1"/>
  <c r="F1666" i="1"/>
  <c r="K1666" i="1" s="1"/>
  <c r="F1667" i="1"/>
  <c r="K1667" i="1" s="1"/>
  <c r="F1668" i="1"/>
  <c r="K1668" i="1" s="1"/>
  <c r="F1669" i="1"/>
  <c r="J1669" i="1" s="1"/>
  <c r="F1670" i="1"/>
  <c r="K1670" i="1" s="1"/>
  <c r="F1671" i="1"/>
  <c r="K1671" i="1" s="1"/>
  <c r="F1672" i="1"/>
  <c r="J1672" i="1" s="1"/>
  <c r="F1673" i="1"/>
  <c r="K1673" i="1" s="1"/>
  <c r="F1674" i="1"/>
  <c r="K1674" i="1" s="1"/>
  <c r="F1675" i="1"/>
  <c r="K1675" i="1" s="1"/>
  <c r="F1676" i="1"/>
  <c r="K1676" i="1" s="1"/>
  <c r="F1677" i="1"/>
  <c r="K1677" i="1" s="1"/>
  <c r="F1678" i="1"/>
  <c r="K1678" i="1" s="1"/>
  <c r="F1679" i="1"/>
  <c r="K1679" i="1" s="1"/>
  <c r="F1680" i="1"/>
  <c r="J1680" i="1" s="1"/>
  <c r="F1681" i="1"/>
  <c r="K1681" i="1" s="1"/>
  <c r="F1682" i="1"/>
  <c r="J1682" i="1" s="1"/>
  <c r="F1683" i="1"/>
  <c r="K1683" i="1" s="1"/>
  <c r="F1684" i="1"/>
  <c r="K1684" i="1" s="1"/>
  <c r="F1685" i="1"/>
  <c r="K1685" i="1" s="1"/>
  <c r="F1686" i="1"/>
  <c r="K1686" i="1" s="1"/>
  <c r="F1687" i="1"/>
  <c r="K1687" i="1" s="1"/>
  <c r="F1688" i="1"/>
  <c r="K1688" i="1" s="1"/>
  <c r="F1689" i="1"/>
  <c r="J1689" i="1" s="1"/>
  <c r="F1690" i="1"/>
  <c r="K1690" i="1" s="1"/>
  <c r="F1691" i="1"/>
  <c r="K1691" i="1" s="1"/>
  <c r="F1692" i="1"/>
  <c r="K1692" i="1" s="1"/>
  <c r="F1693" i="1"/>
  <c r="K1693" i="1" s="1"/>
  <c r="F1694" i="1"/>
  <c r="K1694" i="1" s="1"/>
  <c r="F1695" i="1"/>
  <c r="K1695" i="1" s="1"/>
  <c r="F1696" i="1"/>
  <c r="K1696" i="1" s="1"/>
  <c r="F1697" i="1"/>
  <c r="K1697" i="1" s="1"/>
  <c r="F1698" i="1"/>
  <c r="K1698" i="1" s="1"/>
  <c r="F1699" i="1"/>
  <c r="K1699" i="1" s="1"/>
  <c r="F1700" i="1"/>
  <c r="K1700" i="1" s="1"/>
  <c r="F1701" i="1"/>
  <c r="K1701" i="1" s="1"/>
  <c r="F1702" i="1"/>
  <c r="K1702" i="1" s="1"/>
  <c r="F1703" i="1"/>
  <c r="J1703" i="1" s="1"/>
  <c r="F1704" i="1"/>
  <c r="K1704" i="1" s="1"/>
  <c r="F1705" i="1"/>
  <c r="K1705" i="1" s="1"/>
  <c r="F1706" i="1"/>
  <c r="K1706" i="1" s="1"/>
  <c r="F1707" i="1"/>
  <c r="J1707" i="1" s="1"/>
  <c r="F1708" i="1"/>
  <c r="K1708" i="1" s="1"/>
  <c r="F1709" i="1"/>
  <c r="K1709" i="1" s="1"/>
  <c r="F1710" i="1"/>
  <c r="K1710" i="1" s="1"/>
  <c r="F1711" i="1"/>
  <c r="K1711" i="1" s="1"/>
  <c r="F1712" i="1"/>
  <c r="K1712" i="1" s="1"/>
  <c r="F1713" i="1"/>
  <c r="K1713" i="1" s="1"/>
  <c r="F1714" i="1"/>
  <c r="K1714" i="1" s="1"/>
  <c r="F1715" i="1"/>
  <c r="K1715" i="1" s="1"/>
  <c r="F1716" i="1"/>
  <c r="K1716" i="1" s="1"/>
  <c r="F1717" i="1"/>
  <c r="K1717" i="1" s="1"/>
  <c r="F1718" i="1"/>
  <c r="K1718" i="1" s="1"/>
  <c r="F1719" i="1"/>
  <c r="K1719" i="1" s="1"/>
  <c r="F1720" i="1"/>
  <c r="K1720" i="1" s="1"/>
  <c r="F1721" i="1"/>
  <c r="K1721" i="1" s="1"/>
  <c r="F1722" i="1"/>
  <c r="K1722" i="1" s="1"/>
  <c r="F1723" i="1"/>
  <c r="K1723" i="1" s="1"/>
  <c r="F1724" i="1"/>
  <c r="K1724" i="1" s="1"/>
  <c r="F1725" i="1"/>
  <c r="K1725" i="1" s="1"/>
  <c r="F1726" i="1"/>
  <c r="K1726" i="1" s="1"/>
  <c r="F1727" i="1"/>
  <c r="K1727" i="1" s="1"/>
  <c r="F1728" i="1"/>
  <c r="K1728" i="1" s="1"/>
  <c r="F1729" i="1"/>
  <c r="K1729" i="1" s="1"/>
  <c r="F1730" i="1"/>
  <c r="K1730" i="1" s="1"/>
  <c r="F1731" i="1"/>
  <c r="K1731" i="1" s="1"/>
  <c r="F1732" i="1"/>
  <c r="K1732" i="1" s="1"/>
  <c r="F1733" i="1"/>
  <c r="K1733" i="1" s="1"/>
  <c r="F1734" i="1"/>
  <c r="K1734" i="1" s="1"/>
  <c r="F1735" i="1"/>
  <c r="K1735" i="1" s="1"/>
  <c r="F1736" i="1"/>
  <c r="K1736" i="1" s="1"/>
  <c r="F1737" i="1"/>
  <c r="J1737" i="1" s="1"/>
  <c r="F1738" i="1"/>
  <c r="K1738" i="1" s="1"/>
  <c r="F1739" i="1"/>
  <c r="K1739" i="1" s="1"/>
  <c r="F1740" i="1"/>
  <c r="K1740" i="1" s="1"/>
  <c r="F1741" i="1"/>
  <c r="K1741" i="1" s="1"/>
  <c r="F1742" i="1"/>
  <c r="K1742" i="1" s="1"/>
  <c r="F1743" i="1"/>
  <c r="K1743" i="1" s="1"/>
  <c r="F1744" i="1"/>
  <c r="J1744" i="1" s="1"/>
  <c r="F1745" i="1"/>
  <c r="K1745" i="1" s="1"/>
  <c r="F1746" i="1"/>
  <c r="J1746" i="1" s="1"/>
  <c r="F1747" i="1"/>
  <c r="K1747" i="1" s="1"/>
  <c r="F1748" i="1"/>
  <c r="K1748" i="1" s="1"/>
  <c r="F1749" i="1"/>
  <c r="K1749" i="1" s="1"/>
  <c r="F1750" i="1"/>
  <c r="K1750" i="1" s="1"/>
  <c r="F1751" i="1"/>
  <c r="K1751" i="1" s="1"/>
  <c r="F1752" i="1"/>
  <c r="J1752" i="1" s="1"/>
  <c r="F1753" i="1"/>
  <c r="K1753" i="1" s="1"/>
  <c r="F1754" i="1"/>
  <c r="J1754" i="1" s="1"/>
  <c r="F1755" i="1"/>
  <c r="K1755" i="1" s="1"/>
  <c r="F1756" i="1"/>
  <c r="J1756" i="1" s="1"/>
  <c r="F1757" i="1"/>
  <c r="K1757" i="1" s="1"/>
  <c r="F1758" i="1"/>
  <c r="J1758" i="1" s="1"/>
  <c r="F1759" i="1"/>
  <c r="J1759" i="1" s="1"/>
  <c r="F1760" i="1"/>
  <c r="K1760" i="1" s="1"/>
  <c r="F1761" i="1"/>
  <c r="K1761" i="1" s="1"/>
  <c r="F1762" i="1"/>
  <c r="K1762" i="1" s="1"/>
  <c r="F1763" i="1"/>
  <c r="K1763" i="1" s="1"/>
  <c r="F1764" i="1"/>
  <c r="K1764" i="1" s="1"/>
  <c r="F1765" i="1"/>
  <c r="J1765" i="1" s="1"/>
  <c r="F1766" i="1"/>
  <c r="K1766" i="1" s="1"/>
  <c r="F1767" i="1"/>
  <c r="K1767" i="1" s="1"/>
  <c r="F1768" i="1"/>
  <c r="K1768" i="1" s="1"/>
  <c r="F1769" i="1"/>
  <c r="K1769" i="1" s="1"/>
  <c r="F1770" i="1"/>
  <c r="J1770" i="1" s="1"/>
  <c r="F1771" i="1"/>
  <c r="K1771" i="1" s="1"/>
  <c r="F1772" i="1"/>
  <c r="K1772" i="1" s="1"/>
  <c r="F1773" i="1"/>
  <c r="K1773" i="1" s="1"/>
  <c r="F1774" i="1"/>
  <c r="J1774" i="1" s="1"/>
  <c r="F1775" i="1"/>
  <c r="K1775" i="1" s="1"/>
  <c r="F1776" i="1"/>
  <c r="J1776" i="1" s="1"/>
  <c r="F1777" i="1"/>
  <c r="K1777" i="1" s="1"/>
  <c r="F1778" i="1"/>
  <c r="K1778" i="1" s="1"/>
  <c r="F1779" i="1"/>
  <c r="K1779" i="1" s="1"/>
  <c r="F1780" i="1"/>
  <c r="K1780" i="1" s="1"/>
  <c r="F1781" i="1"/>
  <c r="K1781" i="1" s="1"/>
  <c r="F1782" i="1"/>
  <c r="K1782" i="1" s="1"/>
  <c r="F1783" i="1"/>
  <c r="K1783" i="1" s="1"/>
  <c r="F1784" i="1"/>
  <c r="K1784" i="1" s="1"/>
  <c r="F1785" i="1"/>
  <c r="K1785" i="1" s="1"/>
  <c r="F1786" i="1"/>
  <c r="K1786" i="1" s="1"/>
  <c r="F1787" i="1"/>
  <c r="K1787" i="1" s="1"/>
  <c r="F1788" i="1"/>
  <c r="K1788" i="1" s="1"/>
  <c r="F1789" i="1"/>
  <c r="K1789" i="1" s="1"/>
  <c r="F1790" i="1"/>
  <c r="K1790" i="1" s="1"/>
  <c r="F1791" i="1"/>
  <c r="K1791" i="1" s="1"/>
  <c r="F1792" i="1"/>
  <c r="K1792" i="1" s="1"/>
  <c r="F1793" i="1"/>
  <c r="K1793" i="1" s="1"/>
  <c r="F1794" i="1"/>
  <c r="K1794" i="1" s="1"/>
  <c r="F1795" i="1"/>
  <c r="K1795" i="1" s="1"/>
  <c r="F1796" i="1"/>
  <c r="K1796" i="1" s="1"/>
  <c r="F1797" i="1"/>
  <c r="K1797" i="1" s="1"/>
  <c r="F1798" i="1"/>
  <c r="K1798" i="1" s="1"/>
  <c r="F1799" i="1"/>
  <c r="K1799" i="1" s="1"/>
  <c r="F1800" i="1"/>
  <c r="K1800" i="1" s="1"/>
  <c r="F1801" i="1"/>
  <c r="K1801" i="1" s="1"/>
  <c r="F1802" i="1"/>
  <c r="K1802" i="1" s="1"/>
  <c r="F1803" i="1"/>
  <c r="K1803" i="1" s="1"/>
  <c r="F1804" i="1"/>
  <c r="K1804" i="1" s="1"/>
  <c r="F1805" i="1"/>
  <c r="K1805" i="1" s="1"/>
  <c r="F1806" i="1"/>
  <c r="K1806" i="1" s="1"/>
  <c r="F1807" i="1"/>
  <c r="K1807" i="1" s="1"/>
  <c r="F1808" i="1"/>
  <c r="K1808" i="1" s="1"/>
  <c r="F1809" i="1"/>
  <c r="K1809" i="1" s="1"/>
  <c r="F1810" i="1"/>
  <c r="J1810" i="1" s="1"/>
  <c r="F1811" i="1"/>
  <c r="K1811" i="1" s="1"/>
  <c r="F1812" i="1"/>
  <c r="K1812" i="1" s="1"/>
  <c r="F1813" i="1"/>
  <c r="K1813" i="1" s="1"/>
  <c r="F1814" i="1"/>
  <c r="K1814" i="1" s="1"/>
  <c r="F1815" i="1"/>
  <c r="K1815" i="1" s="1"/>
  <c r="F1816" i="1"/>
  <c r="K1816" i="1" s="1"/>
  <c r="F1817" i="1"/>
  <c r="K1817" i="1" s="1"/>
  <c r="F1818" i="1"/>
  <c r="K1818" i="1" s="1"/>
  <c r="F1819" i="1"/>
  <c r="K1819" i="1" s="1"/>
  <c r="F1820" i="1"/>
  <c r="K1820" i="1" s="1"/>
  <c r="F1821" i="1"/>
  <c r="K1821" i="1" s="1"/>
  <c r="F1822" i="1"/>
  <c r="K1822" i="1" s="1"/>
  <c r="F1823" i="1"/>
  <c r="K1823" i="1" s="1"/>
  <c r="F1824" i="1"/>
  <c r="K1824" i="1" s="1"/>
  <c r="F1825" i="1"/>
  <c r="K1825" i="1" s="1"/>
  <c r="F1826" i="1"/>
  <c r="K1826" i="1" s="1"/>
  <c r="F1827" i="1"/>
  <c r="K1827" i="1" s="1"/>
  <c r="F1828" i="1"/>
  <c r="K1828" i="1" s="1"/>
  <c r="F1829" i="1"/>
  <c r="K1829" i="1" s="1"/>
  <c r="F1830" i="1"/>
  <c r="K1830" i="1" s="1"/>
  <c r="F1831" i="1"/>
  <c r="K1831" i="1" s="1"/>
  <c r="F1832" i="1"/>
  <c r="K1832" i="1" s="1"/>
  <c r="F1833" i="1"/>
  <c r="K1833" i="1" s="1"/>
  <c r="F1834" i="1"/>
  <c r="K1834" i="1" s="1"/>
  <c r="F1835" i="1"/>
  <c r="K1835" i="1" s="1"/>
  <c r="F1836" i="1"/>
  <c r="K1836" i="1" s="1"/>
  <c r="F1837" i="1"/>
  <c r="K1837" i="1" s="1"/>
  <c r="F1838" i="1"/>
  <c r="K1838" i="1" s="1"/>
  <c r="F1839" i="1"/>
  <c r="K1839" i="1" s="1"/>
  <c r="F1840" i="1"/>
  <c r="K1840" i="1" s="1"/>
  <c r="F1841" i="1"/>
  <c r="K1841" i="1" s="1"/>
  <c r="F1842" i="1"/>
  <c r="K1842" i="1" s="1"/>
  <c r="F1843" i="1"/>
  <c r="K1843" i="1" s="1"/>
  <c r="F1844" i="1"/>
  <c r="K1844" i="1" s="1"/>
  <c r="F1845" i="1"/>
  <c r="K1845" i="1" s="1"/>
  <c r="F1846" i="1"/>
  <c r="K1846" i="1" s="1"/>
  <c r="F1847" i="1"/>
  <c r="K1847" i="1" s="1"/>
  <c r="F1848" i="1"/>
  <c r="J1848" i="1" s="1"/>
  <c r="F1849" i="1"/>
  <c r="K1849" i="1" s="1"/>
  <c r="F1850" i="1"/>
  <c r="K1850" i="1" s="1"/>
  <c r="F1851" i="1"/>
  <c r="K1851" i="1" s="1"/>
  <c r="F1852" i="1"/>
  <c r="K1852" i="1" s="1"/>
  <c r="F1853" i="1"/>
  <c r="K1853" i="1" s="1"/>
  <c r="F1854" i="1"/>
  <c r="K1854" i="1" s="1"/>
  <c r="F1855" i="1"/>
  <c r="K1855" i="1" s="1"/>
  <c r="F1856" i="1"/>
  <c r="K1856" i="1" s="1"/>
  <c r="F1857" i="1"/>
  <c r="K1857" i="1" s="1"/>
  <c r="F1858" i="1"/>
  <c r="J1858" i="1" s="1"/>
  <c r="F1859" i="1"/>
  <c r="K1859" i="1" s="1"/>
  <c r="F1860" i="1"/>
  <c r="K1860" i="1" s="1"/>
  <c r="F1861" i="1"/>
  <c r="K1861" i="1" s="1"/>
  <c r="F1862" i="1"/>
  <c r="J1862" i="1" s="1"/>
  <c r="F1863" i="1"/>
  <c r="J1863" i="1" s="1"/>
  <c r="F1864" i="1"/>
  <c r="K1864" i="1" s="1"/>
  <c r="F1865" i="1"/>
  <c r="K1865" i="1" s="1"/>
  <c r="F1866" i="1"/>
  <c r="K1866" i="1" s="1"/>
  <c r="F1867" i="1"/>
  <c r="J1867" i="1" s="1"/>
  <c r="F1868" i="1"/>
  <c r="K1868" i="1" s="1"/>
  <c r="F1869" i="1"/>
  <c r="K1869" i="1" s="1"/>
  <c r="F1870" i="1"/>
  <c r="K1870" i="1" s="1"/>
  <c r="F1871" i="1"/>
  <c r="K1871" i="1" s="1"/>
  <c r="F1872" i="1"/>
  <c r="K1872" i="1" s="1"/>
  <c r="F1873" i="1"/>
  <c r="K1873" i="1" s="1"/>
  <c r="F1874" i="1"/>
  <c r="K1874" i="1" s="1"/>
  <c r="F1875" i="1"/>
  <c r="K1875" i="1" s="1"/>
  <c r="F1876" i="1"/>
  <c r="K1876" i="1" s="1"/>
  <c r="F1877" i="1"/>
  <c r="K1877" i="1" s="1"/>
  <c r="F1878" i="1"/>
  <c r="J1878" i="1" s="1"/>
  <c r="F1879" i="1"/>
  <c r="K1879" i="1" s="1"/>
  <c r="F1880" i="1"/>
  <c r="K1880" i="1" s="1"/>
  <c r="F1881" i="1"/>
  <c r="K1881" i="1" s="1"/>
  <c r="F1882" i="1"/>
  <c r="K1882" i="1" s="1"/>
  <c r="F1883" i="1"/>
  <c r="K1883" i="1" s="1"/>
  <c r="F1884" i="1"/>
  <c r="K1884" i="1" s="1"/>
  <c r="F1885" i="1"/>
  <c r="K1885" i="1" s="1"/>
  <c r="F1886" i="1"/>
  <c r="K1886" i="1" s="1"/>
  <c r="F1887" i="1"/>
  <c r="K1887" i="1" s="1"/>
  <c r="F1888" i="1"/>
  <c r="K1888" i="1" s="1"/>
  <c r="F1889" i="1"/>
  <c r="K1889" i="1" s="1"/>
  <c r="F1890" i="1"/>
  <c r="K1890" i="1" s="1"/>
  <c r="F1891" i="1"/>
  <c r="K1891" i="1" s="1"/>
  <c r="F1892" i="1"/>
  <c r="K1892" i="1" s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H1880" i="1"/>
  <c r="I1880" i="1"/>
  <c r="M1880" i="1"/>
  <c r="H1879" i="1"/>
  <c r="I1879" i="1"/>
  <c r="M1879" i="1"/>
  <c r="H1876" i="1"/>
  <c r="H1877" i="1"/>
  <c r="H1878" i="1"/>
  <c r="I1876" i="1"/>
  <c r="I1877" i="1"/>
  <c r="I1878" i="1"/>
  <c r="M1876" i="1"/>
  <c r="M1877" i="1"/>
  <c r="M1878" i="1"/>
  <c r="H1873" i="1"/>
  <c r="H1874" i="1"/>
  <c r="H1875" i="1"/>
  <c r="I1873" i="1"/>
  <c r="I1874" i="1"/>
  <c r="I1875" i="1"/>
  <c r="M1873" i="1"/>
  <c r="M1874" i="1"/>
  <c r="M1875" i="1"/>
  <c r="H1866" i="1"/>
  <c r="H1867" i="1"/>
  <c r="H1868" i="1"/>
  <c r="H1869" i="1"/>
  <c r="H1870" i="1"/>
  <c r="H1871" i="1"/>
  <c r="H1872" i="1"/>
  <c r="I1866" i="1"/>
  <c r="I1867" i="1"/>
  <c r="I1868" i="1"/>
  <c r="I1869" i="1"/>
  <c r="I1870" i="1"/>
  <c r="I1871" i="1"/>
  <c r="I1872" i="1"/>
  <c r="M1866" i="1"/>
  <c r="M1867" i="1"/>
  <c r="M1868" i="1"/>
  <c r="M1869" i="1"/>
  <c r="M1870" i="1"/>
  <c r="M1871" i="1"/>
  <c r="M1872" i="1"/>
  <c r="H1858" i="1"/>
  <c r="H1859" i="1"/>
  <c r="H1860" i="1"/>
  <c r="H1861" i="1"/>
  <c r="H1862" i="1"/>
  <c r="H1863" i="1"/>
  <c r="H1864" i="1"/>
  <c r="H1865" i="1"/>
  <c r="I1858" i="1"/>
  <c r="I1859" i="1"/>
  <c r="I1860" i="1"/>
  <c r="I1861" i="1"/>
  <c r="I1862" i="1"/>
  <c r="I1863" i="1"/>
  <c r="I1864" i="1"/>
  <c r="I1865" i="1"/>
  <c r="M1858" i="1"/>
  <c r="M1859" i="1"/>
  <c r="M1860" i="1"/>
  <c r="M1861" i="1"/>
  <c r="M1862" i="1"/>
  <c r="M1863" i="1"/>
  <c r="M1864" i="1"/>
  <c r="M186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I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J1751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J1721" i="1"/>
  <c r="J1722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J266" i="1"/>
  <c r="J277" i="1"/>
  <c r="J309" i="1"/>
  <c r="J311" i="1"/>
  <c r="J326" i="1"/>
  <c r="J339" i="1"/>
  <c r="J351" i="1"/>
  <c r="J357" i="1"/>
  <c r="J360" i="1"/>
  <c r="J361" i="1"/>
  <c r="J362" i="1"/>
  <c r="J363" i="1"/>
  <c r="J379" i="1"/>
  <c r="J382" i="1"/>
  <c r="J385" i="1"/>
  <c r="J392" i="1"/>
  <c r="J401" i="1"/>
  <c r="J403" i="1"/>
  <c r="J408" i="1"/>
  <c r="J424" i="1"/>
  <c r="J446" i="1"/>
  <c r="J463" i="1"/>
  <c r="J464" i="1"/>
  <c r="J548" i="1"/>
  <c r="J561" i="1"/>
  <c r="J576" i="1"/>
  <c r="J577" i="1"/>
  <c r="J578" i="1"/>
  <c r="J585" i="1"/>
  <c r="J587" i="1"/>
  <c r="J613" i="1"/>
  <c r="J649" i="1"/>
  <c r="J661" i="1"/>
  <c r="J662" i="1"/>
  <c r="J709" i="1"/>
  <c r="J710" i="1"/>
  <c r="J723" i="1"/>
  <c r="J725" i="1"/>
  <c r="J802" i="1"/>
  <c r="J805" i="1"/>
  <c r="J816" i="1"/>
  <c r="J817" i="1"/>
  <c r="J825" i="1"/>
  <c r="J857" i="1"/>
  <c r="J859" i="1"/>
  <c r="J864" i="1"/>
  <c r="J882" i="1"/>
  <c r="J883" i="1"/>
  <c r="J893" i="1"/>
  <c r="J894" i="1"/>
  <c r="J909" i="1"/>
  <c r="J926" i="1"/>
  <c r="J953" i="1"/>
  <c r="J980" i="1"/>
  <c r="J1023" i="1"/>
  <c r="J1032" i="1"/>
  <c r="J1035" i="1"/>
  <c r="J1045" i="1"/>
  <c r="J1066" i="1"/>
  <c r="J1092" i="1"/>
  <c r="J1095" i="1"/>
  <c r="J1101" i="1"/>
  <c r="J1118" i="1"/>
  <c r="J1146" i="1"/>
  <c r="J1167" i="1"/>
  <c r="J1168" i="1"/>
  <c r="J1199" i="1"/>
  <c r="J1211" i="1"/>
  <c r="J1213" i="1"/>
  <c r="J1221" i="1"/>
  <c r="J1222" i="1"/>
  <c r="J1245" i="1"/>
  <c r="J1246" i="1"/>
  <c r="J1272" i="1"/>
  <c r="J1284" i="1"/>
  <c r="J1306" i="1"/>
  <c r="J1330" i="1"/>
  <c r="J1331" i="1"/>
  <c r="J1342" i="1"/>
  <c r="J1343" i="1"/>
  <c r="J1347" i="1"/>
  <c r="J1348" i="1"/>
  <c r="J1364" i="1"/>
  <c r="J1372" i="1"/>
  <c r="J1373" i="1"/>
  <c r="J1374" i="1"/>
  <c r="J1433" i="1"/>
  <c r="J1493" i="1"/>
  <c r="J1509" i="1"/>
  <c r="J1578" i="1"/>
  <c r="J1592" i="1"/>
  <c r="J1615" i="1"/>
  <c r="J1635" i="1"/>
  <c r="H1599" i="1"/>
  <c r="K2661" i="1" l="1"/>
  <c r="J2661" i="1"/>
  <c r="K2662" i="1"/>
  <c r="J2662" i="1"/>
  <c r="K2663" i="1"/>
  <c r="J2663" i="1"/>
  <c r="K2664" i="1"/>
  <c r="J2664" i="1"/>
  <c r="K2665" i="1"/>
  <c r="J2665" i="1"/>
  <c r="K2666" i="1"/>
  <c r="J2666" i="1"/>
  <c r="K2667" i="1"/>
  <c r="J2667" i="1"/>
  <c r="K2668" i="1"/>
  <c r="J2668" i="1"/>
  <c r="K2669" i="1"/>
  <c r="J2669" i="1"/>
  <c r="K2670" i="1"/>
  <c r="J2670" i="1"/>
  <c r="K2671" i="1"/>
  <c r="J2671" i="1"/>
  <c r="K2672" i="1"/>
  <c r="J2672" i="1"/>
  <c r="K2673" i="1"/>
  <c r="J2673" i="1"/>
  <c r="K2674" i="1"/>
  <c r="J2674" i="1"/>
  <c r="K2675" i="1"/>
  <c r="J2675" i="1"/>
  <c r="K2676" i="1"/>
  <c r="J2676" i="1"/>
  <c r="K2677" i="1"/>
  <c r="J2677" i="1"/>
  <c r="K2678" i="1"/>
  <c r="J2678" i="1"/>
  <c r="K2679" i="1"/>
  <c r="J2679" i="1"/>
  <c r="K2680" i="1"/>
  <c r="J2680" i="1"/>
  <c r="K2681" i="1"/>
  <c r="J2681" i="1"/>
  <c r="K2682" i="1"/>
  <c r="J2682" i="1"/>
  <c r="K2683" i="1"/>
  <c r="J2683" i="1"/>
  <c r="K2684" i="1"/>
  <c r="J2684" i="1"/>
  <c r="K2685" i="1"/>
  <c r="J2685" i="1"/>
  <c r="K2686" i="1"/>
  <c r="J2686" i="1"/>
  <c r="K2687" i="1"/>
  <c r="J2687" i="1"/>
  <c r="K2688" i="1"/>
  <c r="J2688" i="1"/>
  <c r="K2689" i="1"/>
  <c r="J2689" i="1"/>
  <c r="K2690" i="1"/>
  <c r="J2690" i="1"/>
  <c r="K2691" i="1"/>
  <c r="J2691" i="1"/>
  <c r="K2692" i="1"/>
  <c r="J2692" i="1"/>
  <c r="K2693" i="1"/>
  <c r="J2693" i="1"/>
  <c r="K2694" i="1"/>
  <c r="J2694" i="1"/>
  <c r="K2695" i="1"/>
  <c r="J2695" i="1"/>
  <c r="K2696" i="1"/>
  <c r="J2696" i="1"/>
  <c r="K2697" i="1"/>
  <c r="J2697" i="1"/>
  <c r="K2698" i="1"/>
  <c r="J2698" i="1"/>
  <c r="K2699" i="1"/>
  <c r="J2699" i="1"/>
  <c r="K2700" i="1"/>
  <c r="J2700" i="1"/>
  <c r="K2701" i="1"/>
  <c r="J2701" i="1"/>
  <c r="K2702" i="1"/>
  <c r="J2702" i="1"/>
  <c r="K2655" i="1"/>
  <c r="J2655" i="1"/>
  <c r="K2656" i="1"/>
  <c r="J2656" i="1"/>
  <c r="K2657" i="1"/>
  <c r="J2657" i="1"/>
  <c r="K2658" i="1"/>
  <c r="J2658" i="1"/>
  <c r="K2659" i="1"/>
  <c r="J2659" i="1"/>
  <c r="K2660" i="1"/>
  <c r="J2660" i="1"/>
  <c r="K3126" i="1"/>
  <c r="J3126" i="1"/>
  <c r="K3127" i="1"/>
  <c r="J3127" i="1"/>
  <c r="K3128" i="1"/>
  <c r="J3128" i="1"/>
  <c r="K2606" i="1"/>
  <c r="J2606" i="1"/>
  <c r="K2607" i="1"/>
  <c r="J2607" i="1"/>
  <c r="K2608" i="1"/>
  <c r="J2608" i="1"/>
  <c r="K2623" i="1"/>
  <c r="J2623" i="1"/>
  <c r="K2624" i="1"/>
  <c r="J2624" i="1"/>
  <c r="K2626" i="1"/>
  <c r="J2626" i="1"/>
  <c r="K2635" i="1"/>
  <c r="J2635" i="1"/>
  <c r="K2637" i="1"/>
  <c r="J2637" i="1"/>
  <c r="K2638" i="1"/>
  <c r="J2638" i="1"/>
  <c r="K2639" i="1"/>
  <c r="J2639" i="1"/>
  <c r="K2640" i="1"/>
  <c r="J2640" i="1"/>
  <c r="K2642" i="1"/>
  <c r="J2642" i="1"/>
  <c r="K2643" i="1"/>
  <c r="J2643" i="1"/>
  <c r="K2645" i="1"/>
  <c r="J2645" i="1"/>
  <c r="K2647" i="1"/>
  <c r="J2647" i="1"/>
  <c r="K2648" i="1"/>
  <c r="J2648" i="1"/>
  <c r="K2651" i="1"/>
  <c r="J2651" i="1"/>
  <c r="K2652" i="1"/>
  <c r="J2652" i="1"/>
  <c r="K2653" i="1"/>
  <c r="J2653" i="1"/>
  <c r="K2654" i="1"/>
  <c r="J2654" i="1"/>
  <c r="J2622" i="1"/>
  <c r="J2644" i="1"/>
  <c r="J2650" i="1"/>
  <c r="J2649" i="1"/>
  <c r="J2620" i="1"/>
  <c r="J2641" i="1"/>
  <c r="J2636" i="1"/>
  <c r="J2625" i="1"/>
  <c r="J2646" i="1"/>
  <c r="J2621" i="1"/>
  <c r="J2619" i="1"/>
  <c r="J2634" i="1"/>
  <c r="J2616" i="1"/>
  <c r="J2633" i="1"/>
  <c r="J2615" i="1"/>
  <c r="J2632" i="1"/>
  <c r="J2609" i="1"/>
  <c r="J2631" i="1"/>
  <c r="J2630" i="1"/>
  <c r="J2629" i="1"/>
  <c r="J2628" i="1"/>
  <c r="J2627" i="1"/>
  <c r="J2576" i="1"/>
  <c r="K2968" i="1"/>
  <c r="J2618" i="1"/>
  <c r="J2617" i="1"/>
  <c r="J2613" i="1"/>
  <c r="J2612" i="1"/>
  <c r="J2611" i="1"/>
  <c r="J2610" i="1"/>
  <c r="J2605" i="1"/>
  <c r="J2604" i="1"/>
  <c r="J2603" i="1"/>
  <c r="J2602" i="1"/>
  <c r="K2962" i="1"/>
  <c r="K2947" i="1"/>
  <c r="K2946" i="1"/>
  <c r="J2614" i="1"/>
  <c r="J2979" i="1"/>
  <c r="J2978" i="1"/>
  <c r="J2967" i="1"/>
  <c r="J2966" i="1"/>
  <c r="J2948" i="1"/>
  <c r="J2950" i="1"/>
  <c r="J2590" i="1"/>
  <c r="K2952" i="1"/>
  <c r="J2951" i="1"/>
  <c r="J2980" i="1"/>
  <c r="J2965" i="1"/>
  <c r="J2964" i="1"/>
  <c r="J2578" i="1"/>
  <c r="J2963" i="1"/>
  <c r="K2949" i="1"/>
  <c r="J2956" i="1"/>
  <c r="J2955" i="1"/>
  <c r="J2961" i="1"/>
  <c r="J2959" i="1"/>
  <c r="J2945" i="1"/>
  <c r="J2589" i="1"/>
  <c r="J2975" i="1"/>
  <c r="J2954" i="1"/>
  <c r="J2588" i="1"/>
  <c r="J2972" i="1"/>
  <c r="J2953" i="1"/>
  <c r="J2977" i="1"/>
  <c r="J2971" i="1"/>
  <c r="J2970" i="1"/>
  <c r="J2969" i="1"/>
  <c r="J2593" i="1"/>
  <c r="J2592" i="1"/>
  <c r="J2591" i="1"/>
  <c r="J2976" i="1"/>
  <c r="J2960" i="1"/>
  <c r="J2944" i="1"/>
  <c r="J2974" i="1"/>
  <c r="J2958" i="1"/>
  <c r="J2942" i="1"/>
  <c r="J2973" i="1"/>
  <c r="J2957" i="1"/>
  <c r="J2941" i="1"/>
  <c r="J2598" i="1"/>
  <c r="J2417" i="1"/>
  <c r="J2597" i="1"/>
  <c r="J2600" i="1"/>
  <c r="J2575" i="1"/>
  <c r="J2596" i="1"/>
  <c r="J2599" i="1"/>
  <c r="K2574" i="1"/>
  <c r="J2595" i="1"/>
  <c r="J2594" i="1"/>
  <c r="J2601" i="1"/>
  <c r="K2571" i="1"/>
  <c r="J2577" i="1"/>
  <c r="K2583" i="1"/>
  <c r="J2582" i="1"/>
  <c r="K2579" i="1"/>
  <c r="K2586" i="1"/>
  <c r="J2585" i="1"/>
  <c r="J2584" i="1"/>
  <c r="J2581" i="1"/>
  <c r="J2200" i="1"/>
  <c r="J2199" i="1"/>
  <c r="J2572" i="1"/>
  <c r="J2569" i="1"/>
  <c r="J2570" i="1"/>
  <c r="J2546" i="1"/>
  <c r="J2458" i="1"/>
  <c r="K2580" i="1"/>
  <c r="J2208" i="1"/>
  <c r="J2207" i="1"/>
  <c r="J2206" i="1"/>
  <c r="J2205" i="1"/>
  <c r="J2170" i="1"/>
  <c r="J2573" i="1"/>
  <c r="J2202" i="1"/>
  <c r="J2201" i="1"/>
  <c r="J2204" i="1"/>
  <c r="J2196" i="1"/>
  <c r="K2465" i="1"/>
  <c r="J2195" i="1"/>
  <c r="J2197" i="1"/>
  <c r="K2482" i="1"/>
  <c r="J2203" i="1"/>
  <c r="J2198" i="1"/>
  <c r="J2466" i="1"/>
  <c r="J2508" i="1"/>
  <c r="J2526" i="1"/>
  <c r="J2194" i="1"/>
  <c r="J2498" i="1"/>
  <c r="J2471" i="1"/>
  <c r="J2460" i="1"/>
  <c r="J2564" i="1"/>
  <c r="J2171" i="1"/>
  <c r="J2459" i="1"/>
  <c r="J2463" i="1"/>
  <c r="K2479" i="1"/>
  <c r="J2450" i="1"/>
  <c r="J2455" i="1"/>
  <c r="J1899" i="1"/>
  <c r="J2172" i="1"/>
  <c r="J2502" i="1"/>
  <c r="J2563" i="1"/>
  <c r="J2495" i="1"/>
  <c r="J2487" i="1"/>
  <c r="J2169" i="1"/>
  <c r="J2209" i="1"/>
  <c r="K2474" i="1"/>
  <c r="J2428" i="1"/>
  <c r="J2497" i="1"/>
  <c r="J2509" i="1"/>
  <c r="J2506" i="1"/>
  <c r="J2476" i="1"/>
  <c r="J2475" i="1"/>
  <c r="J2535" i="1"/>
  <c r="J2504" i="1"/>
  <c r="K2544" i="1"/>
  <c r="J2512" i="1"/>
  <c r="J2511" i="1"/>
  <c r="J2540" i="1"/>
  <c r="J2491" i="1"/>
  <c r="J2542" i="1"/>
  <c r="J2483" i="1"/>
  <c r="J2467" i="1"/>
  <c r="K2518" i="1"/>
  <c r="K2361" i="1"/>
  <c r="J2524" i="1"/>
  <c r="K2543" i="1"/>
  <c r="J2549" i="1"/>
  <c r="K2517" i="1"/>
  <c r="K2516" i="1"/>
  <c r="J2447" i="1"/>
  <c r="K2541" i="1"/>
  <c r="J2558" i="1"/>
  <c r="K2525" i="1"/>
  <c r="J2552" i="1"/>
  <c r="J2371" i="1"/>
  <c r="J2427" i="1"/>
  <c r="J2523" i="1"/>
  <c r="J2263" i="1"/>
  <c r="J2507" i="1"/>
  <c r="J2547" i="1"/>
  <c r="J2539" i="1"/>
  <c r="J2514" i="1"/>
  <c r="K2505" i="1"/>
  <c r="J2431" i="1"/>
  <c r="J2403" i="1"/>
  <c r="J2513" i="1"/>
  <c r="J2537" i="1"/>
  <c r="J2174" i="1"/>
  <c r="K2423" i="1"/>
  <c r="J2503" i="1"/>
  <c r="J2343" i="1"/>
  <c r="J2489" i="1"/>
  <c r="J2173" i="1"/>
  <c r="J2312" i="1"/>
  <c r="J2341" i="1"/>
  <c r="J2288" i="1"/>
  <c r="J2380" i="1"/>
  <c r="J2419" i="1"/>
  <c r="J2416" i="1"/>
  <c r="J2306" i="1"/>
  <c r="J2302" i="1"/>
  <c r="J2347" i="1"/>
  <c r="J2384" i="1"/>
  <c r="J2389" i="1"/>
  <c r="J2442" i="1"/>
  <c r="J2291" i="1"/>
  <c r="J2346" i="1"/>
  <c r="J2383" i="1"/>
  <c r="J2406" i="1"/>
  <c r="J2434" i="1"/>
  <c r="J2307" i="1"/>
  <c r="J2315" i="1"/>
  <c r="J2290" i="1"/>
  <c r="J2501" i="1"/>
  <c r="J2314" i="1"/>
  <c r="J2422" i="1"/>
  <c r="J2399" i="1"/>
  <c r="K2492" i="1"/>
  <c r="J2338" i="1"/>
  <c r="J2398" i="1"/>
  <c r="J2289" i="1"/>
  <c r="J2320" i="1"/>
  <c r="J2349" i="1"/>
  <c r="J2368" i="1"/>
  <c r="J2319" i="1"/>
  <c r="J2348" i="1"/>
  <c r="J2353" i="1"/>
  <c r="J2414" i="1"/>
  <c r="J2451" i="1"/>
  <c r="K2488" i="1"/>
  <c r="J2490" i="1"/>
  <c r="J2352" i="1"/>
  <c r="J2407" i="1"/>
  <c r="J2345" i="1"/>
  <c r="K2440" i="1"/>
  <c r="J2390" i="1"/>
  <c r="J2432" i="1"/>
  <c r="J2496" i="1"/>
  <c r="J2388" i="1"/>
  <c r="J1760" i="1"/>
  <c r="J2283" i="1"/>
  <c r="J2331" i="1"/>
  <c r="J2337" i="1"/>
  <c r="J2378" i="1"/>
  <c r="J2441" i="1"/>
  <c r="J2486" i="1"/>
  <c r="J2268" i="1"/>
  <c r="J2325" i="1"/>
  <c r="J2330" i="1"/>
  <c r="J2377" i="1"/>
  <c r="K2411" i="1"/>
  <c r="K2425" i="1"/>
  <c r="J2439" i="1"/>
  <c r="J2494" i="1"/>
  <c r="J2484" i="1"/>
  <c r="J2265" i="1"/>
  <c r="J2322" i="1"/>
  <c r="J2329" i="1"/>
  <c r="J2394" i="1"/>
  <c r="J2437" i="1"/>
  <c r="J2500" i="1"/>
  <c r="J2386" i="1"/>
  <c r="J2433" i="1"/>
  <c r="J2481" i="1"/>
  <c r="J2317" i="1"/>
  <c r="J2342" i="1"/>
  <c r="J2400" i="1"/>
  <c r="J2449" i="1"/>
  <c r="K2435" i="1"/>
  <c r="J2493" i="1"/>
  <c r="J2485" i="1"/>
  <c r="J2443" i="1"/>
  <c r="J2370" i="1"/>
  <c r="K2473" i="1"/>
  <c r="K2456" i="1"/>
  <c r="J2468" i="1"/>
  <c r="K2409" i="1"/>
  <c r="J2448" i="1"/>
  <c r="J2446" i="1"/>
  <c r="J2424" i="1"/>
  <c r="J2464" i="1"/>
  <c r="J2445" i="1"/>
  <c r="K2396" i="1"/>
  <c r="K2454" i="1"/>
  <c r="K2395" i="1"/>
  <c r="J2477" i="1"/>
  <c r="K2391" i="1"/>
  <c r="J2366" i="1"/>
  <c r="J2410" i="1"/>
  <c r="K2452" i="1"/>
  <c r="K2453" i="1"/>
  <c r="K2362" i="1"/>
  <c r="J2376" i="1"/>
  <c r="J2438" i="1"/>
  <c r="J2429" i="1"/>
  <c r="J2461" i="1"/>
  <c r="J2469" i="1"/>
  <c r="J2412" i="1"/>
  <c r="K2462" i="1"/>
  <c r="J2420" i="1"/>
  <c r="K2478" i="1"/>
  <c r="J2470" i="1"/>
  <c r="K2404" i="1"/>
  <c r="J2444" i="1"/>
  <c r="J2436" i="1"/>
  <c r="J2401" i="1"/>
  <c r="K2363" i="1"/>
  <c r="J2365" i="1"/>
  <c r="J2421" i="1"/>
  <c r="J2402" i="1"/>
  <c r="J2243" i="1"/>
  <c r="K2350" i="1"/>
  <c r="J2408" i="1"/>
  <c r="J2326" i="1"/>
  <c r="J2219" i="1"/>
  <c r="J2387" i="1"/>
  <c r="J2335" i="1"/>
  <c r="J2413" i="1"/>
  <c r="J2405" i="1"/>
  <c r="J2379" i="1"/>
  <c r="K2392" i="1"/>
  <c r="J2375" i="1"/>
  <c r="J2280" i="1"/>
  <c r="J2382" i="1"/>
  <c r="J2374" i="1"/>
  <c r="K2324" i="1"/>
  <c r="K2381" i="1"/>
  <c r="K2357" i="1"/>
  <c r="J2373" i="1"/>
  <c r="J2358" i="1"/>
  <c r="J2336" i="1"/>
  <c r="J2385" i="1"/>
  <c r="J2328" i="1"/>
  <c r="J2360" i="1"/>
  <c r="J2333" i="1"/>
  <c r="J2344" i="1"/>
  <c r="J2323" i="1"/>
  <c r="J2332" i="1"/>
  <c r="J2354" i="1"/>
  <c r="J2321" i="1"/>
  <c r="J2275" i="1"/>
  <c r="J2299" i="1"/>
  <c r="J2339" i="1"/>
  <c r="J2369" i="1"/>
  <c r="J2355" i="1"/>
  <c r="J2316" i="1"/>
  <c r="J2301" i="1"/>
  <c r="J2367" i="1"/>
  <c r="J2359" i="1"/>
  <c r="J2340" i="1"/>
  <c r="K2356" i="1"/>
  <c r="J2364" i="1"/>
  <c r="J2305" i="1"/>
  <c r="J2281" i="1"/>
  <c r="J2334" i="1"/>
  <c r="J2297" i="1"/>
  <c r="J2309" i="1"/>
  <c r="J2273" i="1"/>
  <c r="J2293" i="1"/>
  <c r="J2178" i="1"/>
  <c r="J2298" i="1"/>
  <c r="J2282" i="1"/>
  <c r="J2313" i="1"/>
  <c r="J2311" i="1"/>
  <c r="J2164" i="1"/>
  <c r="J2303" i="1"/>
  <c r="J2160" i="1"/>
  <c r="J2237" i="1"/>
  <c r="J2278" i="1"/>
  <c r="J2090" i="1"/>
  <c r="J2152" i="1"/>
  <c r="J2318" i="1"/>
  <c r="J2188" i="1"/>
  <c r="J2287" i="1"/>
  <c r="J2110" i="1"/>
  <c r="J2179" i="1"/>
  <c r="J2296" i="1"/>
  <c r="J2285" i="1"/>
  <c r="J2272" i="1"/>
  <c r="K2235" i="1"/>
  <c r="J2304" i="1"/>
  <c r="J2295" i="1"/>
  <c r="J2140" i="1"/>
  <c r="J2192" i="1"/>
  <c r="J2189" i="1"/>
  <c r="J2211" i="1"/>
  <c r="J2308" i="1"/>
  <c r="J2300" i="1"/>
  <c r="J2292" i="1"/>
  <c r="J2284" i="1"/>
  <c r="J2262" i="1"/>
  <c r="J2187" i="1"/>
  <c r="J2259" i="1"/>
  <c r="J1708" i="1"/>
  <c r="J2186" i="1"/>
  <c r="J2254" i="1"/>
  <c r="K2227" i="1"/>
  <c r="J2294" i="1"/>
  <c r="J2286" i="1"/>
  <c r="J2161" i="1"/>
  <c r="J2168" i="1"/>
  <c r="J2176" i="1"/>
  <c r="J2274" i="1"/>
  <c r="J2159" i="1"/>
  <c r="J2167" i="1"/>
  <c r="J2184" i="1"/>
  <c r="J2279" i="1"/>
  <c r="J2266" i="1"/>
  <c r="J2165" i="1"/>
  <c r="J2182" i="1"/>
  <c r="J2276" i="1"/>
  <c r="J2162" i="1"/>
  <c r="J2190" i="1"/>
  <c r="J2261" i="1"/>
  <c r="J2253" i="1"/>
  <c r="J2245" i="1"/>
  <c r="J2269" i="1"/>
  <c r="J2242" i="1"/>
  <c r="J2277" i="1"/>
  <c r="J2258" i="1"/>
  <c r="J2264" i="1"/>
  <c r="J2250" i="1"/>
  <c r="J2232" i="1"/>
  <c r="J2271" i="1"/>
  <c r="J2248" i="1"/>
  <c r="K2256" i="1"/>
  <c r="J2218" i="1"/>
  <c r="J2267" i="1"/>
  <c r="J2240" i="1"/>
  <c r="K2223" i="1"/>
  <c r="K2270" i="1"/>
  <c r="J2233" i="1"/>
  <c r="J2251" i="1"/>
  <c r="J2257" i="1"/>
  <c r="K2217" i="1"/>
  <c r="J2225" i="1"/>
  <c r="J2241" i="1"/>
  <c r="J2249" i="1"/>
  <c r="J2181" i="1"/>
  <c r="J2247" i="1"/>
  <c r="J2255" i="1"/>
  <c r="J2246" i="1"/>
  <c r="J2244" i="1"/>
  <c r="J2260" i="1"/>
  <c r="J2252" i="1"/>
  <c r="J2185" i="1"/>
  <c r="J2177" i="1"/>
  <c r="J2183" i="1"/>
  <c r="J2180" i="1"/>
  <c r="K2175" i="1"/>
  <c r="J2191" i="1"/>
  <c r="K2215" i="1"/>
  <c r="K2236" i="1"/>
  <c r="J2228" i="1"/>
  <c r="J2239" i="1"/>
  <c r="J2238" i="1"/>
  <c r="J2220" i="1"/>
  <c r="J2226" i="1"/>
  <c r="J2234" i="1"/>
  <c r="J2222" i="1"/>
  <c r="J2231" i="1"/>
  <c r="J2221" i="1"/>
  <c r="J2230" i="1"/>
  <c r="J2213" i="1"/>
  <c r="J2229" i="1"/>
  <c r="J2214" i="1"/>
  <c r="J2224" i="1"/>
  <c r="J2216" i="1"/>
  <c r="K2212" i="1"/>
  <c r="K2210" i="1"/>
  <c r="J2025" i="1"/>
  <c r="J2141" i="1"/>
  <c r="J2072" i="1"/>
  <c r="J2166" i="1"/>
  <c r="J2044" i="1"/>
  <c r="J2036" i="1"/>
  <c r="J2157" i="1"/>
  <c r="J2024" i="1"/>
  <c r="J2040" i="1"/>
  <c r="J2030" i="1"/>
  <c r="J2000" i="1"/>
  <c r="J2047" i="1"/>
  <c r="J2017" i="1"/>
  <c r="J2158" i="1"/>
  <c r="J2009" i="1"/>
  <c r="J1985" i="1"/>
  <c r="J2041" i="1"/>
  <c r="J1960" i="1"/>
  <c r="J2043" i="1"/>
  <c r="J2018" i="1"/>
  <c r="J2035" i="1"/>
  <c r="J2151" i="1"/>
  <c r="J2042" i="1"/>
  <c r="J2027" i="1"/>
  <c r="J2069" i="1"/>
  <c r="J2037" i="1"/>
  <c r="J2021" i="1"/>
  <c r="J1996" i="1"/>
  <c r="J1993" i="1"/>
  <c r="J2046" i="1"/>
  <c r="J2149" i="1"/>
  <c r="J2034" i="1"/>
  <c r="J2013" i="1"/>
  <c r="J2045" i="1"/>
  <c r="J2144" i="1"/>
  <c r="J2154" i="1"/>
  <c r="J2153" i="1"/>
  <c r="J2134" i="1"/>
  <c r="K2118" i="1"/>
  <c r="J2163" i="1"/>
  <c r="J2156" i="1"/>
  <c r="J2102" i="1"/>
  <c r="K2150" i="1"/>
  <c r="J2142" i="1"/>
  <c r="K2126" i="1"/>
  <c r="J2098" i="1"/>
  <c r="J2135" i="1"/>
  <c r="J2155" i="1"/>
  <c r="K2114" i="1"/>
  <c r="J2089" i="1"/>
  <c r="J2081" i="1"/>
  <c r="J2091" i="1"/>
  <c r="K2146" i="1"/>
  <c r="J2147" i="1"/>
  <c r="J2115" i="1"/>
  <c r="J2139" i="1"/>
  <c r="K2061" i="1"/>
  <c r="J2059" i="1"/>
  <c r="K2122" i="1"/>
  <c r="K2051" i="1"/>
  <c r="J2137" i="1"/>
  <c r="J2145" i="1"/>
  <c r="K2095" i="1"/>
  <c r="J2103" i="1"/>
  <c r="J2143" i="1"/>
  <c r="J2129" i="1"/>
  <c r="J2127" i="1"/>
  <c r="K2066" i="1"/>
  <c r="K2130" i="1"/>
  <c r="J2094" i="1"/>
  <c r="J2119" i="1"/>
  <c r="K2117" i="1"/>
  <c r="K2133" i="1"/>
  <c r="J2093" i="1"/>
  <c r="K2109" i="1"/>
  <c r="J2125" i="1"/>
  <c r="J2107" i="1"/>
  <c r="K2101" i="1"/>
  <c r="J2123" i="1"/>
  <c r="J2082" i="1"/>
  <c r="J2131" i="1"/>
  <c r="J2099" i="1"/>
  <c r="K2075" i="1"/>
  <c r="J2084" i="1"/>
  <c r="J2132" i="1"/>
  <c r="J2121" i="1"/>
  <c r="J2108" i="1"/>
  <c r="J2148" i="1"/>
  <c r="J2077" i="1"/>
  <c r="J2076" i="1"/>
  <c r="K2124" i="1"/>
  <c r="J2116" i="1"/>
  <c r="J2058" i="1"/>
  <c r="K2060" i="1"/>
  <c r="J2074" i="1"/>
  <c r="J2052" i="1"/>
  <c r="K2100" i="1"/>
  <c r="J2106" i="1"/>
  <c r="J2085" i="1"/>
  <c r="J2050" i="1"/>
  <c r="K2096" i="1"/>
  <c r="J2138" i="1"/>
  <c r="J2104" i="1"/>
  <c r="J2112" i="1"/>
  <c r="J2083" i="1"/>
  <c r="J2068" i="1"/>
  <c r="J2136" i="1"/>
  <c r="J2128" i="1"/>
  <c r="J2120" i="1"/>
  <c r="J2111" i="1"/>
  <c r="J2092" i="1"/>
  <c r="J2067" i="1"/>
  <c r="J2065" i="1"/>
  <c r="J2073" i="1"/>
  <c r="J2008" i="1"/>
  <c r="K2032" i="1"/>
  <c r="J2088" i="1"/>
  <c r="J2080" i="1"/>
  <c r="J2063" i="1"/>
  <c r="K2016" i="1"/>
  <c r="J2087" i="1"/>
  <c r="J2079" i="1"/>
  <c r="J2071" i="1"/>
  <c r="J2086" i="1"/>
  <c r="J2078" i="1"/>
  <c r="J2070" i="1"/>
  <c r="J2005" i="1"/>
  <c r="J2113" i="1"/>
  <c r="J2105" i="1"/>
  <c r="J2097" i="1"/>
  <c r="J2064" i="1"/>
  <c r="K2049" i="1"/>
  <c r="J2054" i="1"/>
  <c r="J2053" i="1"/>
  <c r="J2062" i="1"/>
  <c r="J1997" i="1"/>
  <c r="J2057" i="1"/>
  <c r="J2056" i="1"/>
  <c r="J2055" i="1"/>
  <c r="J1989" i="1"/>
  <c r="J2048" i="1"/>
  <c r="K1981" i="1"/>
  <c r="K1971" i="1"/>
  <c r="J2003" i="1"/>
  <c r="J1977" i="1"/>
  <c r="K1916" i="1"/>
  <c r="J2001" i="1"/>
  <c r="J1968" i="1"/>
  <c r="J1948" i="1"/>
  <c r="K2019" i="1"/>
  <c r="J2038" i="1"/>
  <c r="J2026" i="1"/>
  <c r="J2010" i="1"/>
  <c r="J1961" i="1"/>
  <c r="J1995" i="1"/>
  <c r="J1949" i="1"/>
  <c r="J2004" i="1"/>
  <c r="J2033" i="1"/>
  <c r="J1992" i="1"/>
  <c r="J1850" i="1"/>
  <c r="J2002" i="1"/>
  <c r="K2011" i="1"/>
  <c r="J1984" i="1"/>
  <c r="K1929" i="1"/>
  <c r="J1990" i="1"/>
  <c r="J1918" i="1"/>
  <c r="J1974" i="1"/>
  <c r="J2029" i="1"/>
  <c r="J1991" i="1"/>
  <c r="K2020" i="1"/>
  <c r="J1999" i="1"/>
  <c r="J2012" i="1"/>
  <c r="J1982" i="1"/>
  <c r="K1911" i="1"/>
  <c r="J1945" i="1"/>
  <c r="J1889" i="1"/>
  <c r="J2039" i="1"/>
  <c r="J2031" i="1"/>
  <c r="J2023" i="1"/>
  <c r="J2015" i="1"/>
  <c r="J2006" i="1"/>
  <c r="J1998" i="1"/>
  <c r="J2022" i="1"/>
  <c r="J2014" i="1"/>
  <c r="J1987" i="1"/>
  <c r="J1963" i="1"/>
  <c r="K1910" i="1"/>
  <c r="J1946" i="1"/>
  <c r="J1979" i="1"/>
  <c r="J2028" i="1"/>
  <c r="J1855" i="1"/>
  <c r="J1943" i="1"/>
  <c r="K1967" i="1"/>
  <c r="J1853" i="1"/>
  <c r="J1942" i="1"/>
  <c r="J1941" i="1"/>
  <c r="J1784" i="1"/>
  <c r="J1922" i="1"/>
  <c r="J1966" i="1"/>
  <c r="J1884" i="1"/>
  <c r="J1883" i="1"/>
  <c r="J1902" i="1"/>
  <c r="J1724" i="1"/>
  <c r="J1851" i="1"/>
  <c r="J1860" i="1"/>
  <c r="J1881" i="1"/>
  <c r="J1937" i="1"/>
  <c r="K1983" i="1"/>
  <c r="J1936" i="1"/>
  <c r="J1844" i="1"/>
  <c r="J1876" i="1"/>
  <c r="J1935" i="1"/>
  <c r="J1720" i="1"/>
  <c r="J1812" i="1"/>
  <c r="J1891" i="1"/>
  <c r="J1944" i="1"/>
  <c r="J1934" i="1"/>
  <c r="J1976" i="1"/>
  <c r="J1864" i="1"/>
  <c r="J1882" i="1"/>
  <c r="J1938" i="1"/>
  <c r="J1975" i="1"/>
  <c r="J1895" i="1"/>
  <c r="J1906" i="1"/>
  <c r="J1904" i="1"/>
  <c r="J1931" i="1"/>
  <c r="J1903" i="1"/>
  <c r="J1955" i="1"/>
  <c r="J1880" i="1"/>
  <c r="J1854" i="1"/>
  <c r="J1988" i="1"/>
  <c r="J1969" i="1"/>
  <c r="J1965" i="1"/>
  <c r="J1964" i="1"/>
  <c r="J1952" i="1"/>
  <c r="J1973" i="1"/>
  <c r="J2007" i="1"/>
  <c r="J1957" i="1"/>
  <c r="K1930" i="1"/>
  <c r="K1956" i="1"/>
  <c r="J1980" i="1"/>
  <c r="J1972" i="1"/>
  <c r="J1994" i="1"/>
  <c r="J1986" i="1"/>
  <c r="J1978" i="1"/>
  <c r="J1970" i="1"/>
  <c r="K1932" i="1"/>
  <c r="J1914" i="1"/>
  <c r="J1913" i="1"/>
  <c r="J1954" i="1"/>
  <c r="J1958" i="1"/>
  <c r="J1921" i="1"/>
  <c r="J1953" i="1"/>
  <c r="J1962" i="1"/>
  <c r="J1951" i="1"/>
  <c r="J1959" i="1"/>
  <c r="K1907" i="1"/>
  <c r="J1939" i="1"/>
  <c r="J1947" i="1"/>
  <c r="J1923" i="1"/>
  <c r="J1915" i="1"/>
  <c r="J1905" i="1"/>
  <c r="J1892" i="1"/>
  <c r="K1926" i="1"/>
  <c r="J1919" i="1"/>
  <c r="J1950" i="1"/>
  <c r="J1928" i="1"/>
  <c r="J1920" i="1"/>
  <c r="J1840" i="1"/>
  <c r="J1933" i="1"/>
  <c r="J1925" i="1"/>
  <c r="J1917" i="1"/>
  <c r="J1912" i="1"/>
  <c r="J1833" i="1"/>
  <c r="J1940" i="1"/>
  <c r="J1924" i="1"/>
  <c r="J1927" i="1"/>
  <c r="J1897" i="1"/>
  <c r="J1885" i="1"/>
  <c r="J1900" i="1"/>
  <c r="J1896" i="1"/>
  <c r="K1848" i="1"/>
  <c r="J1898" i="1"/>
  <c r="J1656" i="1"/>
  <c r="J1832" i="1"/>
  <c r="K1658" i="1"/>
  <c r="J1894" i="1"/>
  <c r="J1901" i="1"/>
  <c r="J1893" i="1"/>
  <c r="J1888" i="1"/>
  <c r="J1790" i="1"/>
  <c r="J1827" i="1"/>
  <c r="J1861" i="1"/>
  <c r="K1867" i="1"/>
  <c r="J1890" i="1"/>
  <c r="J1859" i="1"/>
  <c r="J1801" i="1"/>
  <c r="K1858" i="1"/>
  <c r="J1887" i="1"/>
  <c r="J1886" i="1"/>
  <c r="K1863" i="1"/>
  <c r="K1862" i="1"/>
  <c r="J1873" i="1"/>
  <c r="J1871" i="1"/>
  <c r="J1745" i="1"/>
  <c r="J1865" i="1"/>
  <c r="J1857" i="1"/>
  <c r="J1657" i="1"/>
  <c r="J1877" i="1"/>
  <c r="J1870" i="1"/>
  <c r="J1879" i="1"/>
  <c r="J1830" i="1"/>
  <c r="J1874" i="1"/>
  <c r="J1826" i="1"/>
  <c r="K1878" i="1"/>
  <c r="J1841" i="1"/>
  <c r="J1875" i="1"/>
  <c r="J1869" i="1"/>
  <c r="J1829" i="1"/>
  <c r="J1813" i="1"/>
  <c r="J1837" i="1"/>
  <c r="J1811" i="1"/>
  <c r="J1868" i="1"/>
  <c r="J1809" i="1"/>
  <c r="J1866" i="1"/>
  <c r="J1872" i="1"/>
  <c r="J1825" i="1"/>
  <c r="J1783" i="1"/>
  <c r="J1780" i="1"/>
  <c r="J1764" i="1"/>
  <c r="J1842" i="1"/>
  <c r="J1820" i="1"/>
  <c r="J1795" i="1"/>
  <c r="J1834" i="1"/>
  <c r="J1849" i="1"/>
  <c r="J1819" i="1"/>
  <c r="K1810" i="1"/>
  <c r="J1846" i="1"/>
  <c r="J1739" i="1"/>
  <c r="J1808" i="1"/>
  <c r="J1856" i="1"/>
  <c r="J1775" i="1"/>
  <c r="J1816" i="1"/>
  <c r="J1799" i="1"/>
  <c r="J1768" i="1"/>
  <c r="J1824" i="1"/>
  <c r="J1815" i="1"/>
  <c r="J1787" i="1"/>
  <c r="J1691" i="1"/>
  <c r="J1843" i="1"/>
  <c r="J1779" i="1"/>
  <c r="J1731" i="1"/>
  <c r="K1759" i="1"/>
  <c r="J1835" i="1"/>
  <c r="J1831" i="1"/>
  <c r="J1823" i="1"/>
  <c r="J1767" i="1"/>
  <c r="J1847" i="1"/>
  <c r="J1839" i="1"/>
  <c r="J1807" i="1"/>
  <c r="J1723" i="1"/>
  <c r="J1845" i="1"/>
  <c r="J1836" i="1"/>
  <c r="J1828" i="1"/>
  <c r="J1852" i="1"/>
  <c r="J1800" i="1"/>
  <c r="J1791" i="1"/>
  <c r="J1806" i="1"/>
  <c r="J1766" i="1"/>
  <c r="K1758" i="1"/>
  <c r="J1798" i="1"/>
  <c r="J1838" i="1"/>
  <c r="J1822" i="1"/>
  <c r="J1817" i="1"/>
  <c r="J1796" i="1"/>
  <c r="J1668" i="1"/>
  <c r="J1757" i="1"/>
  <c r="J1814" i="1"/>
  <c r="J1804" i="1"/>
  <c r="J1769" i="1"/>
  <c r="J1803" i="1"/>
  <c r="K1770" i="1"/>
  <c r="J1719" i="1"/>
  <c r="J1821" i="1"/>
  <c r="J1805" i="1"/>
  <c r="J1797" i="1"/>
  <c r="J1818" i="1"/>
  <c r="J1802" i="1"/>
  <c r="J1794" i="1"/>
  <c r="J1686" i="1"/>
  <c r="J1675" i="1"/>
  <c r="J1697" i="1"/>
  <c r="J1734" i="1"/>
  <c r="J1753" i="1"/>
  <c r="K1776" i="1"/>
  <c r="J1782" i="1"/>
  <c r="K1774" i="1"/>
  <c r="J1792" i="1"/>
  <c r="K1754" i="1"/>
  <c r="J1687" i="1"/>
  <c r="J1710" i="1"/>
  <c r="K1746" i="1"/>
  <c r="J1678" i="1"/>
  <c r="J1702" i="1"/>
  <c r="J1692" i="1"/>
  <c r="J1698" i="1"/>
  <c r="J1735" i="1"/>
  <c r="K1756" i="1"/>
  <c r="J1685" i="1"/>
  <c r="J1748" i="1"/>
  <c r="J1696" i="1"/>
  <c r="J1716" i="1"/>
  <c r="J1676" i="1"/>
  <c r="J1712" i="1"/>
  <c r="J1727" i="1"/>
  <c r="J1778" i="1"/>
  <c r="J1709" i="1"/>
  <c r="J1690" i="1"/>
  <c r="J1743" i="1"/>
  <c r="J1786" i="1"/>
  <c r="J1661" i="1"/>
  <c r="J1742" i="1"/>
  <c r="J1785" i="1"/>
  <c r="J1762" i="1"/>
  <c r="J1733" i="1"/>
  <c r="J1750" i="1"/>
  <c r="J1732" i="1"/>
  <c r="J1749" i="1"/>
  <c r="J1777" i="1"/>
  <c r="J1741" i="1"/>
  <c r="J1747" i="1"/>
  <c r="J1740" i="1"/>
  <c r="J1726" i="1"/>
  <c r="J1718" i="1"/>
  <c r="J1755" i="1"/>
  <c r="J1793" i="1"/>
  <c r="J1763" i="1"/>
  <c r="J1725" i="1"/>
  <c r="J1717" i="1"/>
  <c r="J1771" i="1"/>
  <c r="J1761" i="1"/>
  <c r="K1744" i="1"/>
  <c r="K1765" i="1"/>
  <c r="J1789" i="1"/>
  <c r="J1781" i="1"/>
  <c r="J1773" i="1"/>
  <c r="J1738" i="1"/>
  <c r="J1730" i="1"/>
  <c r="J1788" i="1"/>
  <c r="J1772" i="1"/>
  <c r="J1674" i="1"/>
  <c r="K1737" i="1"/>
  <c r="J1729" i="1"/>
  <c r="K1752" i="1"/>
  <c r="J1736" i="1"/>
  <c r="J1728" i="1"/>
  <c r="J1713" i="1"/>
  <c r="J1677" i="1"/>
  <c r="J1715" i="1"/>
  <c r="J1714" i="1"/>
  <c r="J1684" i="1"/>
  <c r="J1704" i="1"/>
  <c r="J1683" i="1"/>
  <c r="J1700" i="1"/>
  <c r="J1699" i="1"/>
  <c r="J1671" i="1"/>
  <c r="K1682" i="1"/>
  <c r="J1681" i="1"/>
  <c r="J1666" i="1"/>
  <c r="K1672" i="1"/>
  <c r="J1706" i="1"/>
  <c r="K1664" i="1"/>
  <c r="K1707" i="1"/>
  <c r="K1665" i="1"/>
  <c r="K1689" i="1"/>
  <c r="J1693" i="1"/>
  <c r="J1673" i="1"/>
  <c r="K1703" i="1"/>
  <c r="J1701" i="1"/>
  <c r="J1688" i="1"/>
  <c r="J1667" i="1"/>
  <c r="J1705" i="1"/>
  <c r="K1663" i="1"/>
  <c r="J1711" i="1"/>
  <c r="J1695" i="1"/>
  <c r="K1680" i="1"/>
  <c r="J1694" i="1"/>
  <c r="K1669" i="1"/>
  <c r="J1679" i="1"/>
  <c r="J1670" i="1"/>
  <c r="J1662" i="1"/>
  <c r="J1655" i="1"/>
  <c r="J1659" i="1"/>
  <c r="J1660" i="1"/>
  <c r="J1599" i="1"/>
  <c r="J1607" i="1"/>
  <c r="K1615" i="1"/>
  <c r="K1635" i="1"/>
  <c r="J1654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K1578" i="1"/>
  <c r="K1592" i="1"/>
  <c r="K159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600" i="1"/>
  <c r="H1601" i="1"/>
  <c r="H1602" i="1"/>
  <c r="H1603" i="1"/>
  <c r="H1604" i="1"/>
  <c r="H1605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28" i="1"/>
  <c r="H1521" i="1"/>
  <c r="H1522" i="1"/>
  <c r="H1523" i="1"/>
  <c r="H1524" i="1"/>
  <c r="H1525" i="1"/>
  <c r="H1526" i="1"/>
  <c r="H1527" i="1"/>
  <c r="H1520" i="1"/>
  <c r="K1493" i="1"/>
  <c r="K1509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K1649" i="1" l="1"/>
  <c r="J1649" i="1"/>
  <c r="K1558" i="1"/>
  <c r="J1558" i="1"/>
  <c r="K1499" i="1"/>
  <c r="J1499" i="1"/>
  <c r="K1603" i="1"/>
  <c r="J1603" i="1"/>
  <c r="K1593" i="1"/>
  <c r="J1593" i="1"/>
  <c r="K1634" i="1"/>
  <c r="J1634" i="1"/>
  <c r="K1601" i="1"/>
  <c r="J1601" i="1"/>
  <c r="K1512" i="1"/>
  <c r="J1512" i="1"/>
  <c r="K1549" i="1"/>
  <c r="J1549" i="1"/>
  <c r="K1574" i="1"/>
  <c r="J1574" i="1"/>
  <c r="K1614" i="1"/>
  <c r="J1614" i="1"/>
  <c r="K1477" i="1"/>
  <c r="J1477" i="1"/>
  <c r="K1637" i="1"/>
  <c r="J1637" i="1"/>
  <c r="K1517" i="1"/>
  <c r="J1517" i="1"/>
  <c r="K1562" i="1"/>
  <c r="J1562" i="1"/>
  <c r="K1621" i="1"/>
  <c r="J1621" i="1"/>
  <c r="K1613" i="1"/>
  <c r="J1613" i="1"/>
  <c r="K1531" i="1"/>
  <c r="J1531" i="1"/>
  <c r="K1646" i="1"/>
  <c r="J1646" i="1"/>
  <c r="K1636" i="1"/>
  <c r="J1636" i="1"/>
  <c r="K1618" i="1"/>
  <c r="J1618" i="1"/>
  <c r="K1490" i="1"/>
  <c r="J1490" i="1"/>
  <c r="K1591" i="1"/>
  <c r="J1591" i="1"/>
  <c r="K1575" i="1"/>
  <c r="J1575" i="1"/>
  <c r="K1625" i="1"/>
  <c r="J1625" i="1"/>
  <c r="K1623" i="1"/>
  <c r="J1623" i="1"/>
  <c r="K1561" i="1"/>
  <c r="J1561" i="1"/>
  <c r="K1644" i="1"/>
  <c r="J1644" i="1"/>
  <c r="K1560" i="1"/>
  <c r="J1560" i="1"/>
  <c r="K1651" i="1"/>
  <c r="J1651" i="1"/>
  <c r="K1643" i="1"/>
  <c r="J1643" i="1"/>
  <c r="K1642" i="1"/>
  <c r="J1642" i="1"/>
  <c r="K1606" i="1"/>
  <c r="J1606" i="1"/>
  <c r="K1640" i="1"/>
  <c r="J1640" i="1"/>
  <c r="K1624" i="1"/>
  <c r="J1624" i="1"/>
  <c r="K1608" i="1"/>
  <c r="J1608" i="1"/>
  <c r="K1647" i="1"/>
  <c r="J1647" i="1"/>
  <c r="K1631" i="1"/>
  <c r="J1631" i="1"/>
  <c r="K1654" i="1"/>
  <c r="K1607" i="1"/>
  <c r="K1513" i="1"/>
  <c r="J1513" i="1"/>
  <c r="K1505" i="1"/>
  <c r="J1505" i="1"/>
  <c r="K1497" i="1"/>
  <c r="J1497" i="1"/>
  <c r="K1489" i="1"/>
  <c r="J1489" i="1"/>
  <c r="K1481" i="1"/>
  <c r="J1481" i="1"/>
  <c r="K1473" i="1"/>
  <c r="J1473" i="1"/>
  <c r="K1565" i="1"/>
  <c r="J1565" i="1"/>
  <c r="K1557" i="1"/>
  <c r="J1557" i="1"/>
  <c r="K1541" i="1"/>
  <c r="J1541" i="1"/>
  <c r="K1533" i="1"/>
  <c r="J1533" i="1"/>
  <c r="K1598" i="1"/>
  <c r="J1598" i="1"/>
  <c r="K1590" i="1"/>
  <c r="J1590" i="1"/>
  <c r="K1582" i="1"/>
  <c r="J1582" i="1"/>
  <c r="K1653" i="1"/>
  <c r="J1653" i="1"/>
  <c r="K1645" i="1"/>
  <c r="J1645" i="1"/>
  <c r="K1629" i="1"/>
  <c r="J1629" i="1"/>
  <c r="K1504" i="1"/>
  <c r="J1504" i="1"/>
  <c r="K1496" i="1"/>
  <c r="J1496" i="1"/>
  <c r="K1488" i="1"/>
  <c r="J1488" i="1"/>
  <c r="K1480" i="1"/>
  <c r="J1480" i="1"/>
  <c r="K1472" i="1"/>
  <c r="J1472" i="1"/>
  <c r="K1527" i="1"/>
  <c r="J1527" i="1"/>
  <c r="K1564" i="1"/>
  <c r="J1564" i="1"/>
  <c r="K1556" i="1"/>
  <c r="J1556" i="1"/>
  <c r="K1548" i="1"/>
  <c r="J1548" i="1"/>
  <c r="K1540" i="1"/>
  <c r="J1540" i="1"/>
  <c r="K1532" i="1"/>
  <c r="J1532" i="1"/>
  <c r="K1597" i="1"/>
  <c r="J1597" i="1"/>
  <c r="K1589" i="1"/>
  <c r="J1589" i="1"/>
  <c r="K1581" i="1"/>
  <c r="J1581" i="1"/>
  <c r="K1573" i="1"/>
  <c r="J1573" i="1"/>
  <c r="K1652" i="1"/>
  <c r="J1652" i="1"/>
  <c r="K1628" i="1"/>
  <c r="J1628" i="1"/>
  <c r="K1620" i="1"/>
  <c r="J1620" i="1"/>
  <c r="K1612" i="1"/>
  <c r="J1612" i="1"/>
  <c r="K1511" i="1"/>
  <c r="J1511" i="1"/>
  <c r="K1471" i="1"/>
  <c r="J1471" i="1"/>
  <c r="K1528" i="1"/>
  <c r="J1528" i="1"/>
  <c r="K1547" i="1"/>
  <c r="J1547" i="1"/>
  <c r="K1580" i="1"/>
  <c r="J1580" i="1"/>
  <c r="K1619" i="1"/>
  <c r="J1619" i="1"/>
  <c r="K1510" i="1"/>
  <c r="J1510" i="1"/>
  <c r="K1470" i="1"/>
  <c r="J1470" i="1"/>
  <c r="K1538" i="1"/>
  <c r="J1538" i="1"/>
  <c r="K1595" i="1"/>
  <c r="J1595" i="1"/>
  <c r="K1501" i="1"/>
  <c r="J1501" i="1"/>
  <c r="K1485" i="1"/>
  <c r="J1485" i="1"/>
  <c r="K1469" i="1"/>
  <c r="J1469" i="1"/>
  <c r="K1524" i="1"/>
  <c r="J1524" i="1"/>
  <c r="K1553" i="1"/>
  <c r="J1553" i="1"/>
  <c r="K1545" i="1"/>
  <c r="J1545" i="1"/>
  <c r="K1537" i="1"/>
  <c r="J1537" i="1"/>
  <c r="K1529" i="1"/>
  <c r="J1529" i="1"/>
  <c r="K1594" i="1"/>
  <c r="J1594" i="1"/>
  <c r="K1586" i="1"/>
  <c r="J1586" i="1"/>
  <c r="K1570" i="1"/>
  <c r="J1570" i="1"/>
  <c r="K1641" i="1"/>
  <c r="J1641" i="1"/>
  <c r="K1633" i="1"/>
  <c r="J1633" i="1"/>
  <c r="K1617" i="1"/>
  <c r="J1617" i="1"/>
  <c r="K1609" i="1"/>
  <c r="J1609" i="1"/>
  <c r="K1495" i="1"/>
  <c r="J1495" i="1"/>
  <c r="K1520" i="1"/>
  <c r="J1520" i="1"/>
  <c r="K1563" i="1"/>
  <c r="J1563" i="1"/>
  <c r="K1555" i="1"/>
  <c r="J1555" i="1"/>
  <c r="K1572" i="1"/>
  <c r="J1572" i="1"/>
  <c r="K1627" i="1"/>
  <c r="J1627" i="1"/>
  <c r="K1518" i="1"/>
  <c r="J1518" i="1"/>
  <c r="K1486" i="1"/>
  <c r="J1486" i="1"/>
  <c r="K1530" i="1"/>
  <c r="J1530" i="1"/>
  <c r="K1579" i="1"/>
  <c r="J1579" i="1"/>
  <c r="K1650" i="1"/>
  <c r="J1650" i="1"/>
  <c r="K1626" i="1"/>
  <c r="J1626" i="1"/>
  <c r="K1610" i="1"/>
  <c r="J1610" i="1"/>
  <c r="K1516" i="1"/>
  <c r="J1516" i="1"/>
  <c r="K1508" i="1"/>
  <c r="J1508" i="1"/>
  <c r="K1500" i="1"/>
  <c r="J1500" i="1"/>
  <c r="K1492" i="1"/>
  <c r="J1492" i="1"/>
  <c r="K1484" i="1"/>
  <c r="J1484" i="1"/>
  <c r="K1476" i="1"/>
  <c r="J1476" i="1"/>
  <c r="K1468" i="1"/>
  <c r="J1468" i="1"/>
  <c r="K1523" i="1"/>
  <c r="J1523" i="1"/>
  <c r="K1552" i="1"/>
  <c r="J1552" i="1"/>
  <c r="K1544" i="1"/>
  <c r="J1544" i="1"/>
  <c r="K1536" i="1"/>
  <c r="J1536" i="1"/>
  <c r="K1602" i="1"/>
  <c r="J1602" i="1"/>
  <c r="K1585" i="1"/>
  <c r="J1585" i="1"/>
  <c r="K1577" i="1"/>
  <c r="J1577" i="1"/>
  <c r="K1569" i="1"/>
  <c r="J1569" i="1"/>
  <c r="K1648" i="1"/>
  <c r="J1648" i="1"/>
  <c r="K1632" i="1"/>
  <c r="J1632" i="1"/>
  <c r="K1616" i="1"/>
  <c r="J1616" i="1"/>
  <c r="K1503" i="1"/>
  <c r="J1503" i="1"/>
  <c r="K1479" i="1"/>
  <c r="J1479" i="1"/>
  <c r="K1526" i="1"/>
  <c r="J1526" i="1"/>
  <c r="K1494" i="1"/>
  <c r="J1494" i="1"/>
  <c r="K1554" i="1"/>
  <c r="J1554" i="1"/>
  <c r="K1587" i="1"/>
  <c r="J1587" i="1"/>
  <c r="K1515" i="1"/>
  <c r="J1515" i="1"/>
  <c r="K1507" i="1"/>
  <c r="J1507" i="1"/>
  <c r="K1491" i="1"/>
  <c r="J1491" i="1"/>
  <c r="K1483" i="1"/>
  <c r="J1483" i="1"/>
  <c r="K1475" i="1"/>
  <c r="J1475" i="1"/>
  <c r="K1467" i="1"/>
  <c r="J1467" i="1"/>
  <c r="K1522" i="1"/>
  <c r="J1522" i="1"/>
  <c r="K1559" i="1"/>
  <c r="J1559" i="1"/>
  <c r="K1551" i="1"/>
  <c r="J1551" i="1"/>
  <c r="K1543" i="1"/>
  <c r="J1543" i="1"/>
  <c r="K1535" i="1"/>
  <c r="J1535" i="1"/>
  <c r="K1584" i="1"/>
  <c r="J1584" i="1"/>
  <c r="K1576" i="1"/>
  <c r="J1576" i="1"/>
  <c r="K1568" i="1"/>
  <c r="J1568" i="1"/>
  <c r="K1639" i="1"/>
  <c r="J1639" i="1"/>
  <c r="K1519" i="1"/>
  <c r="J1519" i="1"/>
  <c r="K1487" i="1"/>
  <c r="J1487" i="1"/>
  <c r="K1539" i="1"/>
  <c r="J1539" i="1"/>
  <c r="K1605" i="1"/>
  <c r="J1605" i="1"/>
  <c r="K1588" i="1"/>
  <c r="J1588" i="1"/>
  <c r="K1611" i="1"/>
  <c r="J1611" i="1"/>
  <c r="K1502" i="1"/>
  <c r="J1502" i="1"/>
  <c r="K1478" i="1"/>
  <c r="J1478" i="1"/>
  <c r="K1525" i="1"/>
  <c r="J1525" i="1"/>
  <c r="K1546" i="1"/>
  <c r="J1546" i="1"/>
  <c r="K1604" i="1"/>
  <c r="J1604" i="1"/>
  <c r="K1571" i="1"/>
  <c r="J1571" i="1"/>
  <c r="K1514" i="1"/>
  <c r="J1514" i="1"/>
  <c r="K1506" i="1"/>
  <c r="J1506" i="1"/>
  <c r="K1498" i="1"/>
  <c r="J1498" i="1"/>
  <c r="K1482" i="1"/>
  <c r="J1482" i="1"/>
  <c r="K1474" i="1"/>
  <c r="J1474" i="1"/>
  <c r="K1466" i="1"/>
  <c r="J1466" i="1"/>
  <c r="K1521" i="1"/>
  <c r="J1521" i="1"/>
  <c r="K1566" i="1"/>
  <c r="J1566" i="1"/>
  <c r="K1550" i="1"/>
  <c r="J1550" i="1"/>
  <c r="K1542" i="1"/>
  <c r="J1542" i="1"/>
  <c r="K1534" i="1"/>
  <c r="J1534" i="1"/>
  <c r="K1600" i="1"/>
  <c r="J1600" i="1"/>
  <c r="K1583" i="1"/>
  <c r="J1583" i="1"/>
  <c r="K1567" i="1"/>
  <c r="J1567" i="1"/>
  <c r="K1638" i="1"/>
  <c r="J1638" i="1"/>
  <c r="K1630" i="1"/>
  <c r="J1630" i="1"/>
  <c r="K1622" i="1"/>
  <c r="J1622" i="1"/>
  <c r="H1414" i="1"/>
  <c r="H1403" i="1"/>
  <c r="K1433" i="1"/>
  <c r="H1358" i="1"/>
  <c r="H1370" i="1"/>
  <c r="H1375" i="1"/>
  <c r="H1404" i="1"/>
  <c r="H1406" i="1"/>
  <c r="H1410" i="1"/>
  <c r="H1411" i="1"/>
  <c r="H1412" i="1"/>
  <c r="H1418" i="1"/>
  <c r="H1420" i="1"/>
  <c r="H1422" i="1"/>
  <c r="H1423" i="1"/>
  <c r="H1424" i="1"/>
  <c r="H1426" i="1"/>
  <c r="H1428" i="1"/>
  <c r="H1429" i="1"/>
  <c r="H1431" i="1"/>
  <c r="H1433" i="1"/>
  <c r="H1434" i="1"/>
  <c r="H1435" i="1"/>
  <c r="H1436" i="1"/>
  <c r="H1437" i="1"/>
  <c r="H1438" i="1"/>
  <c r="H1443" i="1"/>
  <c r="H1402" i="1"/>
  <c r="H1405" i="1"/>
  <c r="H1407" i="1"/>
  <c r="H1415" i="1"/>
  <c r="H1416" i="1"/>
  <c r="H1417" i="1"/>
  <c r="H1439" i="1"/>
  <c r="H1441" i="1"/>
  <c r="H1444" i="1"/>
  <c r="H1451" i="1"/>
  <c r="H1442" i="1"/>
  <c r="H1449" i="1"/>
  <c r="H1453" i="1"/>
  <c r="H1455" i="1"/>
  <c r="H1408" i="1"/>
  <c r="H1419" i="1"/>
  <c r="H1462" i="1"/>
  <c r="H1409" i="1"/>
  <c r="H1448" i="1"/>
  <c r="H1445" i="1"/>
  <c r="H1446" i="1"/>
  <c r="H1447" i="1"/>
  <c r="H1454" i="1"/>
  <c r="H1456" i="1"/>
  <c r="H1413" i="1"/>
  <c r="H1421" i="1"/>
  <c r="H1425" i="1"/>
  <c r="H1427" i="1"/>
  <c r="H1430" i="1"/>
  <c r="H1432" i="1"/>
  <c r="H1440" i="1"/>
  <c r="H1450" i="1"/>
  <c r="H1452" i="1"/>
  <c r="H1457" i="1"/>
  <c r="H1458" i="1"/>
  <c r="H1459" i="1"/>
  <c r="H1460" i="1"/>
  <c r="H1461" i="1"/>
  <c r="H1463" i="1"/>
  <c r="H1464" i="1"/>
  <c r="H1465" i="1"/>
  <c r="K1359" i="1"/>
  <c r="H1359" i="1"/>
  <c r="H1401" i="1"/>
  <c r="H1400" i="1"/>
  <c r="H1399" i="1"/>
  <c r="H1398" i="1"/>
  <c r="H1397" i="1"/>
  <c r="H1396" i="1"/>
  <c r="H1395" i="1"/>
  <c r="H1394" i="1"/>
  <c r="H1393" i="1"/>
  <c r="H2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K277" i="1"/>
  <c r="K1342" i="1"/>
  <c r="K1343" i="1"/>
  <c r="H277" i="1"/>
  <c r="H428" i="1"/>
  <c r="H1334" i="1"/>
  <c r="H1345" i="1"/>
  <c r="H1342" i="1"/>
  <c r="H1343" i="1"/>
  <c r="K1348" i="1"/>
  <c r="K1347" i="1"/>
  <c r="K1331" i="1"/>
  <c r="K1364" i="1"/>
  <c r="K1372" i="1"/>
  <c r="K1373" i="1"/>
  <c r="K1374" i="1"/>
  <c r="H1348" i="1"/>
  <c r="H1322" i="1"/>
  <c r="H1336" i="1"/>
  <c r="H1335" i="1"/>
  <c r="H1319" i="1"/>
  <c r="H1320" i="1"/>
  <c r="H1356" i="1"/>
  <c r="H1347" i="1"/>
  <c r="H1346" i="1"/>
  <c r="H1350" i="1"/>
  <c r="H1352" i="1"/>
  <c r="H1331" i="1"/>
  <c r="H1329" i="1"/>
  <c r="H1344" i="1"/>
  <c r="H1363" i="1"/>
  <c r="H1357" i="1"/>
  <c r="H1323" i="1"/>
  <c r="H1324" i="1"/>
  <c r="H1327" i="1"/>
  <c r="H1332" i="1"/>
  <c r="H1361" i="1"/>
  <c r="H1364" i="1"/>
  <c r="H1365" i="1"/>
  <c r="H1368" i="1"/>
  <c r="H1369" i="1"/>
  <c r="H1353" i="1"/>
  <c r="H1354" i="1"/>
  <c r="H1355" i="1"/>
  <c r="H1372" i="1"/>
  <c r="H1371" i="1"/>
  <c r="H1326" i="1"/>
  <c r="H1325" i="1"/>
  <c r="H1351" i="1"/>
  <c r="H1373" i="1"/>
  <c r="H1374" i="1"/>
  <c r="H1349" i="1"/>
  <c r="H1376" i="1"/>
  <c r="H1333" i="1"/>
  <c r="H1378" i="1"/>
  <c r="H1362" i="1"/>
  <c r="H1377" i="1"/>
  <c r="H1315" i="1"/>
  <c r="H1367" i="1"/>
  <c r="H1366" i="1"/>
  <c r="H1360" i="1"/>
  <c r="K1421" i="1" l="1"/>
  <c r="J1421" i="1"/>
  <c r="K1413" i="1"/>
  <c r="J1413" i="1"/>
  <c r="K1345" i="1"/>
  <c r="J1345" i="1"/>
  <c r="K1432" i="1"/>
  <c r="J1432" i="1"/>
  <c r="K1379" i="1"/>
  <c r="J1379" i="1"/>
  <c r="K1378" i="1"/>
  <c r="J1378" i="1"/>
  <c r="K1326" i="1"/>
  <c r="J1326" i="1"/>
  <c r="K1365" i="1"/>
  <c r="J1365" i="1"/>
  <c r="K1363" i="1"/>
  <c r="J1363" i="1"/>
  <c r="K1356" i="1"/>
  <c r="J1356" i="1"/>
  <c r="K1386" i="1"/>
  <c r="J1386" i="1"/>
  <c r="K1393" i="1"/>
  <c r="J1393" i="1"/>
  <c r="K1401" i="1"/>
  <c r="J1401" i="1"/>
  <c r="K1463" i="1"/>
  <c r="J1463" i="1"/>
  <c r="K1440" i="1"/>
  <c r="J1440" i="1"/>
  <c r="K1454" i="1"/>
  <c r="J1454" i="1"/>
  <c r="K1408" i="1"/>
  <c r="J1408" i="1"/>
  <c r="K1439" i="1"/>
  <c r="J1439" i="1"/>
  <c r="K1438" i="1"/>
  <c r="J1438" i="1"/>
  <c r="K1428" i="1"/>
  <c r="J1428" i="1"/>
  <c r="K1411" i="1"/>
  <c r="J1411" i="1"/>
  <c r="K1360" i="1"/>
  <c r="J1360" i="1"/>
  <c r="K1376" i="1"/>
  <c r="J1376" i="1"/>
  <c r="K1361" i="1"/>
  <c r="J1361" i="1"/>
  <c r="K1329" i="1"/>
  <c r="J1329" i="1"/>
  <c r="K1319" i="1"/>
  <c r="J1319" i="1"/>
  <c r="K1384" i="1"/>
  <c r="J1384" i="1"/>
  <c r="K1392" i="1"/>
  <c r="J1392" i="1"/>
  <c r="K1399" i="1"/>
  <c r="J1399" i="1"/>
  <c r="K1460" i="1"/>
  <c r="J1460" i="1"/>
  <c r="K1430" i="1"/>
  <c r="J1430" i="1"/>
  <c r="K1446" i="1"/>
  <c r="J1446" i="1"/>
  <c r="K1453" i="1"/>
  <c r="J1453" i="1"/>
  <c r="K1416" i="1"/>
  <c r="J1416" i="1"/>
  <c r="K1436" i="1"/>
  <c r="J1436" i="1"/>
  <c r="K1424" i="1"/>
  <c r="J1424" i="1"/>
  <c r="K1406" i="1"/>
  <c r="J1406" i="1"/>
  <c r="K1366" i="1"/>
  <c r="J1366" i="1"/>
  <c r="K1355" i="1"/>
  <c r="J1355" i="1"/>
  <c r="K1332" i="1"/>
  <c r="J1332" i="1"/>
  <c r="K1335" i="1"/>
  <c r="J1335" i="1"/>
  <c r="K1394" i="1"/>
  <c r="J1394" i="1"/>
  <c r="K1459" i="1"/>
  <c r="J1459" i="1"/>
  <c r="K1449" i="1"/>
  <c r="J1449" i="1"/>
  <c r="K1415" i="1"/>
  <c r="J1415" i="1"/>
  <c r="K1349" i="1"/>
  <c r="J1349" i="1"/>
  <c r="K1387" i="1"/>
  <c r="J1387" i="1"/>
  <c r="K1427" i="1"/>
  <c r="J1427" i="1"/>
  <c r="K1445" i="1"/>
  <c r="J1445" i="1"/>
  <c r="K1435" i="1"/>
  <c r="J1435" i="1"/>
  <c r="K1423" i="1"/>
  <c r="J1423" i="1"/>
  <c r="K1404" i="1"/>
  <c r="J1404" i="1"/>
  <c r="K1367" i="1"/>
  <c r="J1367" i="1"/>
  <c r="K1354" i="1"/>
  <c r="J1354" i="1"/>
  <c r="K1327" i="1"/>
  <c r="J1327" i="1"/>
  <c r="K1352" i="1"/>
  <c r="J1352" i="1"/>
  <c r="K1336" i="1"/>
  <c r="J1336" i="1"/>
  <c r="K1382" i="1"/>
  <c r="J1382" i="1"/>
  <c r="K1390" i="1"/>
  <c r="J1390" i="1"/>
  <c r="K1397" i="1"/>
  <c r="J1397" i="1"/>
  <c r="K1458" i="1"/>
  <c r="J1458" i="1"/>
  <c r="K1425" i="1"/>
  <c r="J1425" i="1"/>
  <c r="K1448" i="1"/>
  <c r="J1448" i="1"/>
  <c r="K1442" i="1"/>
  <c r="J1442" i="1"/>
  <c r="K1407" i="1"/>
  <c r="J1407" i="1"/>
  <c r="K1434" i="1"/>
  <c r="J1434" i="1"/>
  <c r="K1422" i="1"/>
  <c r="J1422" i="1"/>
  <c r="K1375" i="1"/>
  <c r="J1375" i="1"/>
  <c r="K1414" i="1"/>
  <c r="J1414" i="1"/>
  <c r="K1368" i="1"/>
  <c r="J1368" i="1"/>
  <c r="K1357" i="1"/>
  <c r="J1357" i="1"/>
  <c r="K1391" i="1"/>
  <c r="J1391" i="1"/>
  <c r="K1464" i="1"/>
  <c r="J1464" i="1"/>
  <c r="K1456" i="1"/>
  <c r="J1456" i="1"/>
  <c r="K1441" i="1"/>
  <c r="J1441" i="1"/>
  <c r="K1443" i="1"/>
  <c r="J1443" i="1"/>
  <c r="K1429" i="1"/>
  <c r="J1429" i="1"/>
  <c r="K1412" i="1"/>
  <c r="J1412" i="1"/>
  <c r="K1333" i="1"/>
  <c r="J1333" i="1"/>
  <c r="K1371" i="1"/>
  <c r="J1371" i="1"/>
  <c r="K1344" i="1"/>
  <c r="J1344" i="1"/>
  <c r="K1381" i="1"/>
  <c r="J1381" i="1"/>
  <c r="K1389" i="1"/>
  <c r="J1389" i="1"/>
  <c r="K1455" i="1"/>
  <c r="J1455" i="1"/>
  <c r="K1437" i="1"/>
  <c r="J1437" i="1"/>
  <c r="K1410" i="1"/>
  <c r="J1410" i="1"/>
  <c r="K1403" i="1"/>
  <c r="J1403" i="1"/>
  <c r="K1362" i="1"/>
  <c r="J1362" i="1"/>
  <c r="K1325" i="1"/>
  <c r="J1325" i="1"/>
  <c r="K428" i="1"/>
  <c r="J428" i="1"/>
  <c r="K1383" i="1"/>
  <c r="J1383" i="1"/>
  <c r="K1398" i="1"/>
  <c r="J1398" i="1"/>
  <c r="K1450" i="1"/>
  <c r="J1450" i="1"/>
  <c r="K1419" i="1"/>
  <c r="J1419" i="1"/>
  <c r="K1320" i="1"/>
  <c r="J1320" i="1"/>
  <c r="K1396" i="1"/>
  <c r="J1396" i="1"/>
  <c r="K1461" i="1"/>
  <c r="J1461" i="1"/>
  <c r="K1447" i="1"/>
  <c r="J1447" i="1"/>
  <c r="K1417" i="1"/>
  <c r="J1417" i="1"/>
  <c r="K1426" i="1"/>
  <c r="J1426" i="1"/>
  <c r="K1315" i="1"/>
  <c r="J1315" i="1"/>
  <c r="K1353" i="1"/>
  <c r="J1353" i="1"/>
  <c r="K1324" i="1"/>
  <c r="J1324" i="1"/>
  <c r="K1350" i="1"/>
  <c r="J1350" i="1"/>
  <c r="K1322" i="1"/>
  <c r="J1322" i="1"/>
  <c r="K1385" i="1"/>
  <c r="J1385" i="1"/>
  <c r="K2" i="1"/>
  <c r="J2" i="1"/>
  <c r="K1400" i="1"/>
  <c r="J1400" i="1"/>
  <c r="K1457" i="1"/>
  <c r="J1457" i="1"/>
  <c r="K1409" i="1"/>
  <c r="J1409" i="1"/>
  <c r="K1451" i="1"/>
  <c r="J1451" i="1"/>
  <c r="K1405" i="1"/>
  <c r="J1405" i="1"/>
  <c r="K1420" i="1"/>
  <c r="J1420" i="1"/>
  <c r="K1370" i="1"/>
  <c r="J1370" i="1"/>
  <c r="K1377" i="1"/>
  <c r="J1377" i="1"/>
  <c r="K1351" i="1"/>
  <c r="J1351" i="1"/>
  <c r="K1369" i="1"/>
  <c r="J1369" i="1"/>
  <c r="K1323" i="1"/>
  <c r="J1323" i="1"/>
  <c r="K1346" i="1"/>
  <c r="J1346" i="1"/>
  <c r="K1334" i="1"/>
  <c r="J1334" i="1"/>
  <c r="K1380" i="1"/>
  <c r="J1380" i="1"/>
  <c r="K1388" i="1"/>
  <c r="J1388" i="1"/>
  <c r="K1395" i="1"/>
  <c r="J1395" i="1"/>
  <c r="K1465" i="1"/>
  <c r="J1465" i="1"/>
  <c r="K1452" i="1"/>
  <c r="J1452" i="1"/>
  <c r="K1462" i="1"/>
  <c r="J1462" i="1"/>
  <c r="K1444" i="1"/>
  <c r="J1444" i="1"/>
  <c r="K1402" i="1"/>
  <c r="J1402" i="1"/>
  <c r="K1431" i="1"/>
  <c r="J1431" i="1"/>
  <c r="K1418" i="1"/>
  <c r="J1418" i="1"/>
  <c r="K1358" i="1"/>
  <c r="J1358" i="1"/>
  <c r="H1292" i="1"/>
  <c r="H1297" i="1"/>
  <c r="H1298" i="1"/>
  <c r="K1330" i="1"/>
  <c r="K1306" i="1"/>
  <c r="H1281" i="1"/>
  <c r="H1300" i="1"/>
  <c r="H1307" i="1"/>
  <c r="H1305" i="1"/>
  <c r="H1302" i="1"/>
  <c r="H1280" i="1"/>
  <c r="H1309" i="1"/>
  <c r="H1308" i="1"/>
  <c r="H1296" i="1"/>
  <c r="H1301" i="1"/>
  <c r="H1294" i="1"/>
  <c r="H1253" i="1"/>
  <c r="H1311" i="1"/>
  <c r="H1290" i="1"/>
  <c r="H1244" i="1"/>
  <c r="H1310" i="1"/>
  <c r="H1318" i="1"/>
  <c r="H1304" i="1"/>
  <c r="H1316" i="1"/>
  <c r="H1313" i="1"/>
  <c r="H1312" i="1"/>
  <c r="H1314" i="1"/>
  <c r="H1328" i="1"/>
  <c r="H1303" i="1"/>
  <c r="H1338" i="1"/>
  <c r="H1340" i="1"/>
  <c r="H1337" i="1"/>
  <c r="H1339" i="1"/>
  <c r="H1330" i="1"/>
  <c r="H1317" i="1"/>
  <c r="H1341" i="1"/>
  <c r="H1306" i="1"/>
  <c r="H1321" i="1"/>
  <c r="K1316" i="1" l="1"/>
  <c r="J1316" i="1"/>
  <c r="K1294" i="1"/>
  <c r="J1294" i="1"/>
  <c r="K1297" i="1"/>
  <c r="J1297" i="1"/>
  <c r="K1340" i="1"/>
  <c r="J1340" i="1"/>
  <c r="K1304" i="1"/>
  <c r="J1304" i="1"/>
  <c r="K1301" i="1"/>
  <c r="J1301" i="1"/>
  <c r="K1300" i="1"/>
  <c r="J1300" i="1"/>
  <c r="K1296" i="1"/>
  <c r="J1296" i="1"/>
  <c r="K1303" i="1"/>
  <c r="J1303" i="1"/>
  <c r="K1310" i="1"/>
  <c r="J1310" i="1"/>
  <c r="K1308" i="1"/>
  <c r="J1308" i="1"/>
  <c r="K1292" i="1"/>
  <c r="J1292" i="1"/>
  <c r="K1337" i="1"/>
  <c r="J1337" i="1"/>
  <c r="K1307" i="1"/>
  <c r="J1307" i="1"/>
  <c r="K1338" i="1"/>
  <c r="J1338" i="1"/>
  <c r="K1341" i="1"/>
  <c r="J1341" i="1"/>
  <c r="K1321" i="1"/>
  <c r="J1321" i="1"/>
  <c r="K1318" i="1"/>
  <c r="J1318" i="1"/>
  <c r="K1281" i="1"/>
  <c r="J1281" i="1"/>
  <c r="K1317" i="1"/>
  <c r="J1317" i="1"/>
  <c r="K1314" i="1"/>
  <c r="J1314" i="1"/>
  <c r="K1290" i="1"/>
  <c r="J1290" i="1"/>
  <c r="K1280" i="1"/>
  <c r="J1280" i="1"/>
  <c r="K1298" i="1"/>
  <c r="J1298" i="1"/>
  <c r="K1244" i="1"/>
  <c r="J1244" i="1"/>
  <c r="K1328" i="1"/>
  <c r="J1328" i="1"/>
  <c r="K1309" i="1"/>
  <c r="J1309" i="1"/>
  <c r="K1312" i="1"/>
  <c r="J1312" i="1"/>
  <c r="K1311" i="1"/>
  <c r="J1311" i="1"/>
  <c r="K1302" i="1"/>
  <c r="J1302" i="1"/>
  <c r="K1339" i="1"/>
  <c r="J1339" i="1"/>
  <c r="K1313" i="1"/>
  <c r="J1313" i="1"/>
  <c r="K1253" i="1"/>
  <c r="J1253" i="1"/>
  <c r="K1305" i="1"/>
  <c r="J1305" i="1"/>
  <c r="H8" i="1"/>
  <c r="H5" i="1"/>
  <c r="H13" i="1"/>
  <c r="H10" i="1"/>
  <c r="H16" i="1"/>
  <c r="H14" i="1"/>
  <c r="H4" i="1"/>
  <c r="H6" i="1"/>
  <c r="H7" i="1"/>
  <c r="H9" i="1"/>
  <c r="H11" i="1"/>
  <c r="H12" i="1"/>
  <c r="H17" i="1"/>
  <c r="H33" i="1"/>
  <c r="H27" i="1"/>
  <c r="H30" i="1"/>
  <c r="H32" i="1"/>
  <c r="H26" i="1"/>
  <c r="H15" i="1"/>
  <c r="H38" i="1"/>
  <c r="H22" i="1"/>
  <c r="H25" i="1"/>
  <c r="H24" i="1"/>
  <c r="H36" i="1"/>
  <c r="H37" i="1"/>
  <c r="H42" i="1"/>
  <c r="H18" i="1"/>
  <c r="H19" i="1"/>
  <c r="H20" i="1"/>
  <c r="H41" i="1"/>
  <c r="H21" i="1"/>
  <c r="H23" i="1"/>
  <c r="H35" i="1"/>
  <c r="H46" i="1"/>
  <c r="H28" i="1"/>
  <c r="H29" i="1"/>
  <c r="H34" i="1"/>
  <c r="H31" i="1"/>
  <c r="H52" i="1"/>
  <c r="H49" i="1"/>
  <c r="H54" i="1"/>
  <c r="H55" i="1"/>
  <c r="H50" i="1"/>
  <c r="H62" i="1"/>
  <c r="H67" i="1"/>
  <c r="H45" i="1"/>
  <c r="H68" i="1"/>
  <c r="H56" i="1"/>
  <c r="H69" i="1"/>
  <c r="H71" i="1"/>
  <c r="H66" i="1"/>
  <c r="H3" i="1"/>
  <c r="H70" i="1"/>
  <c r="H72" i="1"/>
  <c r="H63" i="1"/>
  <c r="H39" i="1"/>
  <c r="H40" i="1"/>
  <c r="H58" i="1"/>
  <c r="H73" i="1"/>
  <c r="H43" i="1"/>
  <c r="H47" i="1"/>
  <c r="H51" i="1"/>
  <c r="H59" i="1"/>
  <c r="H57" i="1"/>
  <c r="H44" i="1"/>
  <c r="H48" i="1"/>
  <c r="H80" i="1"/>
  <c r="H76" i="1"/>
  <c r="H77" i="1"/>
  <c r="H53" i="1"/>
  <c r="H91" i="1"/>
  <c r="H79" i="1"/>
  <c r="H81" i="1"/>
  <c r="H90" i="1"/>
  <c r="H64" i="1"/>
  <c r="H89" i="1"/>
  <c r="H74" i="1"/>
  <c r="H82" i="1"/>
  <c r="H88" i="1"/>
  <c r="H85" i="1"/>
  <c r="H60" i="1"/>
  <c r="H65" i="1"/>
  <c r="H61" i="1"/>
  <c r="H83" i="1"/>
  <c r="H86" i="1"/>
  <c r="H75" i="1"/>
  <c r="H102" i="1"/>
  <c r="H92" i="1"/>
  <c r="H103" i="1"/>
  <c r="H104" i="1"/>
  <c r="H93" i="1"/>
  <c r="H101" i="1"/>
  <c r="H97" i="1"/>
  <c r="H78" i="1"/>
  <c r="H87" i="1"/>
  <c r="H105" i="1"/>
  <c r="H84" i="1"/>
  <c r="H94" i="1"/>
  <c r="H110" i="1"/>
  <c r="H109" i="1"/>
  <c r="H114" i="1"/>
  <c r="H113" i="1"/>
  <c r="H111" i="1"/>
  <c r="H95" i="1"/>
  <c r="H96" i="1"/>
  <c r="H98" i="1"/>
  <c r="H99" i="1"/>
  <c r="H100" i="1"/>
  <c r="H129" i="1"/>
  <c r="H122" i="1"/>
  <c r="H119" i="1"/>
  <c r="H120" i="1"/>
  <c r="H118" i="1"/>
  <c r="H112" i="1"/>
  <c r="H128" i="1"/>
  <c r="H130" i="1"/>
  <c r="H126" i="1"/>
  <c r="H134" i="1"/>
  <c r="H133" i="1"/>
  <c r="H131" i="1"/>
  <c r="H107" i="1"/>
  <c r="H108" i="1"/>
  <c r="H125" i="1"/>
  <c r="H138" i="1"/>
  <c r="H115" i="1"/>
  <c r="H124" i="1"/>
  <c r="H135" i="1"/>
  <c r="H121" i="1"/>
  <c r="H123" i="1"/>
  <c r="H147" i="1"/>
  <c r="H137" i="1"/>
  <c r="H148" i="1"/>
  <c r="H153" i="1"/>
  <c r="H136" i="1"/>
  <c r="H150" i="1"/>
  <c r="H151" i="1"/>
  <c r="H145" i="1"/>
  <c r="H142" i="1"/>
  <c r="H143" i="1"/>
  <c r="H144" i="1"/>
  <c r="H156" i="1"/>
  <c r="H149" i="1"/>
  <c r="H170" i="1"/>
  <c r="H159" i="1"/>
  <c r="H162" i="1"/>
  <c r="H141" i="1"/>
  <c r="H140" i="1"/>
  <c r="H106" i="1"/>
  <c r="H174" i="1"/>
  <c r="H180" i="1"/>
  <c r="H127" i="1"/>
  <c r="H172" i="1"/>
  <c r="H155" i="1"/>
  <c r="H177" i="1"/>
  <c r="H158" i="1"/>
  <c r="H166" i="1"/>
  <c r="H167" i="1"/>
  <c r="H168" i="1"/>
  <c r="H146" i="1"/>
  <c r="H178" i="1"/>
  <c r="H185" i="1"/>
  <c r="H191" i="1"/>
  <c r="H189" i="1"/>
  <c r="H169" i="1"/>
  <c r="H195" i="1"/>
  <c r="H165" i="1"/>
  <c r="H164" i="1"/>
  <c r="H176" i="1"/>
  <c r="H175" i="1"/>
  <c r="H192" i="1"/>
  <c r="H188" i="1"/>
  <c r="H205" i="1"/>
  <c r="H200" i="1"/>
  <c r="H201" i="1"/>
  <c r="H204" i="1"/>
  <c r="H208" i="1"/>
  <c r="H117" i="1"/>
  <c r="H181" i="1"/>
  <c r="H217" i="1"/>
  <c r="H182" i="1"/>
  <c r="H203" i="1"/>
  <c r="H154" i="1"/>
  <c r="H160" i="1"/>
  <c r="H206" i="1"/>
  <c r="H211" i="1"/>
  <c r="H116" i="1"/>
  <c r="H224" i="1"/>
  <c r="H198" i="1"/>
  <c r="H218" i="1"/>
  <c r="H219" i="1"/>
  <c r="H214" i="1"/>
  <c r="H226" i="1"/>
  <c r="H190" i="1"/>
  <c r="H225" i="1"/>
  <c r="H223" i="1"/>
  <c r="H152" i="1"/>
  <c r="H229" i="1"/>
  <c r="H171" i="1"/>
  <c r="H187" i="1"/>
  <c r="H183" i="1"/>
  <c r="H228" i="1"/>
  <c r="H196" i="1"/>
  <c r="H237" i="1"/>
  <c r="H238" i="1"/>
  <c r="H194" i="1"/>
  <c r="H216" i="1"/>
  <c r="H221" i="1"/>
  <c r="H231" i="1"/>
  <c r="H215" i="1"/>
  <c r="H235" i="1"/>
  <c r="H173" i="1"/>
  <c r="H243" i="1"/>
  <c r="H249" i="1"/>
  <c r="H247" i="1"/>
  <c r="H233" i="1"/>
  <c r="H222" i="1"/>
  <c r="H163" i="1"/>
  <c r="H236" i="1"/>
  <c r="H245" i="1"/>
  <c r="H179" i="1"/>
  <c r="H230" i="1"/>
  <c r="H250" i="1"/>
  <c r="H255" i="1"/>
  <c r="H254" i="1"/>
  <c r="H132" i="1"/>
  <c r="H248" i="1"/>
  <c r="H184" i="1"/>
  <c r="H202" i="1"/>
  <c r="H257" i="1"/>
  <c r="H265" i="1"/>
  <c r="H234" i="1"/>
  <c r="H252" i="1"/>
  <c r="H240" i="1"/>
  <c r="H266" i="1"/>
  <c r="H253" i="1"/>
  <c r="H212" i="1"/>
  <c r="H259" i="1"/>
  <c r="H244" i="1"/>
  <c r="H270" i="1"/>
  <c r="H276" i="1"/>
  <c r="H139" i="1"/>
  <c r="H246" i="1"/>
  <c r="H261" i="1"/>
  <c r="H264" i="1"/>
  <c r="H262" i="1"/>
  <c r="H275" i="1"/>
  <c r="H251" i="1"/>
  <c r="H283" i="1"/>
  <c r="H273" i="1"/>
  <c r="H279" i="1"/>
  <c r="H161" i="1"/>
  <c r="H193" i="1"/>
  <c r="H197" i="1"/>
  <c r="H199" i="1"/>
  <c r="H220" i="1"/>
  <c r="H232" i="1"/>
  <c r="H281" i="1"/>
  <c r="H227" i="1"/>
  <c r="H239" i="1"/>
  <c r="H242" i="1"/>
  <c r="H278" i="1"/>
  <c r="H263" i="1"/>
  <c r="H260" i="1"/>
  <c r="H287" i="1"/>
  <c r="H290" i="1"/>
  <c r="H286" i="1"/>
  <c r="H285" i="1"/>
  <c r="H267" i="1"/>
  <c r="H256" i="1"/>
  <c r="H295" i="1"/>
  <c r="H300" i="1"/>
  <c r="H291" i="1"/>
  <c r="H301" i="1"/>
  <c r="H272" i="1"/>
  <c r="H294" i="1"/>
  <c r="H284" i="1"/>
  <c r="H308" i="1"/>
  <c r="H271" i="1"/>
  <c r="H316" i="1"/>
  <c r="H269" i="1"/>
  <c r="H312" i="1"/>
  <c r="H304" i="1"/>
  <c r="H307" i="1"/>
  <c r="H157" i="1"/>
  <c r="H320" i="1"/>
  <c r="H318" i="1"/>
  <c r="H321" i="1"/>
  <c r="H305" i="1"/>
  <c r="H241" i="1"/>
  <c r="H323" i="1"/>
  <c r="H319" i="1"/>
  <c r="H309" i="1"/>
  <c r="H315" i="1"/>
  <c r="H314" i="1"/>
  <c r="H327" i="1"/>
  <c r="H324" i="1"/>
  <c r="H332" i="1"/>
  <c r="H330" i="1"/>
  <c r="H331" i="1"/>
  <c r="H326" i="1"/>
  <c r="H268" i="1"/>
  <c r="H334" i="1"/>
  <c r="H298" i="1"/>
  <c r="H335" i="1"/>
  <c r="H311" i="1"/>
  <c r="H317" i="1"/>
  <c r="H329" i="1"/>
  <c r="H306" i="1"/>
  <c r="H313" i="1"/>
  <c r="H302" i="1"/>
  <c r="H336" i="1"/>
  <c r="H310" i="1"/>
  <c r="H338" i="1"/>
  <c r="H288" i="1"/>
  <c r="H346" i="1"/>
  <c r="H333" i="1"/>
  <c r="H349" i="1"/>
  <c r="H350" i="1"/>
  <c r="H340" i="1"/>
  <c r="H342" i="1"/>
  <c r="H343" i="1"/>
  <c r="H328" i="1"/>
  <c r="H344" i="1"/>
  <c r="H348" i="1"/>
  <c r="H341" i="1"/>
  <c r="H353" i="1"/>
  <c r="H322" i="1"/>
  <c r="H359" i="1"/>
  <c r="H360" i="1"/>
  <c r="H213" i="1"/>
  <c r="H361" i="1"/>
  <c r="H358" i="1"/>
  <c r="H356" i="1"/>
  <c r="H303" i="1"/>
  <c r="H357" i="1"/>
  <c r="H347" i="1"/>
  <c r="H362" i="1"/>
  <c r="H351" i="1"/>
  <c r="H379" i="1"/>
  <c r="H292" i="1"/>
  <c r="H339" i="1"/>
  <c r="H296" i="1"/>
  <c r="H352" i="1"/>
  <c r="H376" i="1"/>
  <c r="H378" i="1"/>
  <c r="H375" i="1"/>
  <c r="H345" i="1"/>
  <c r="H280" i="1"/>
  <c r="H383" i="1"/>
  <c r="H385" i="1"/>
  <c r="H393" i="1"/>
  <c r="H390" i="1"/>
  <c r="H382" i="1"/>
  <c r="H388" i="1"/>
  <c r="H389" i="1"/>
  <c r="H381" i="1"/>
  <c r="H400" i="1"/>
  <c r="H399" i="1"/>
  <c r="H397" i="1"/>
  <c r="H355" i="1"/>
  <c r="H386" i="1"/>
  <c r="H384" i="1"/>
  <c r="H391" i="1"/>
  <c r="H186" i="1"/>
  <c r="H404" i="1"/>
  <c r="H394" i="1"/>
  <c r="H289" i="1"/>
  <c r="H402" i="1"/>
  <c r="H367" i="1"/>
  <c r="H368" i="1"/>
  <c r="H369" i="1"/>
  <c r="H371" i="1"/>
  <c r="H372" i="1"/>
  <c r="H407" i="1"/>
  <c r="H413" i="1"/>
  <c r="H380" i="1"/>
  <c r="H403" i="1"/>
  <c r="H406" i="1"/>
  <c r="H366" i="1"/>
  <c r="H282" i="1"/>
  <c r="H363" i="1"/>
  <c r="H412" i="1"/>
  <c r="H420" i="1"/>
  <c r="H410" i="1"/>
  <c r="H417" i="1"/>
  <c r="H416" i="1"/>
  <c r="H409" i="1"/>
  <c r="H392" i="1"/>
  <c r="H425" i="1"/>
  <c r="H424" i="1"/>
  <c r="H365" i="1"/>
  <c r="H426" i="1"/>
  <c r="H408" i="1"/>
  <c r="H429" i="1"/>
  <c r="H427" i="1"/>
  <c r="H422" i="1"/>
  <c r="H274" i="1"/>
  <c r="H325" i="1"/>
  <c r="H423" i="1"/>
  <c r="H414" i="1"/>
  <c r="H297" i="1"/>
  <c r="H370" i="1"/>
  <c r="H377" i="1"/>
  <c r="H432" i="1"/>
  <c r="H398" i="1"/>
  <c r="H354" i="1"/>
  <c r="H401" i="1"/>
  <c r="H438" i="1"/>
  <c r="H444" i="1"/>
  <c r="H434" i="1"/>
  <c r="H373" i="1"/>
  <c r="H442" i="1"/>
  <c r="H436" i="1"/>
  <c r="H374" i="1"/>
  <c r="H419" i="1"/>
  <c r="H450" i="1"/>
  <c r="H455" i="1"/>
  <c r="H446" i="1"/>
  <c r="H258" i="1"/>
  <c r="H435" i="1"/>
  <c r="H461" i="1"/>
  <c r="H460" i="1"/>
  <c r="H465" i="1"/>
  <c r="H457" i="1"/>
  <c r="H452" i="1"/>
  <c r="H459" i="1"/>
  <c r="H447" i="1"/>
  <c r="H458" i="1"/>
  <c r="H463" i="1"/>
  <c r="H415" i="1"/>
  <c r="H470" i="1"/>
  <c r="H433" i="1"/>
  <c r="H468" i="1"/>
  <c r="H466" i="1"/>
  <c r="H472" i="1"/>
  <c r="H477" i="1"/>
  <c r="H464" i="1"/>
  <c r="H396" i="1"/>
  <c r="H364" i="1"/>
  <c r="H475" i="1"/>
  <c r="H451" i="1"/>
  <c r="H471" i="1"/>
  <c r="H476" i="1"/>
  <c r="H481" i="1"/>
  <c r="H482" i="1"/>
  <c r="H484" i="1"/>
  <c r="H439" i="1"/>
  <c r="H479" i="1"/>
  <c r="H488" i="1"/>
  <c r="H490" i="1"/>
  <c r="H493" i="1"/>
  <c r="H505" i="1"/>
  <c r="H513" i="1"/>
  <c r="H510" i="1"/>
  <c r="H509" i="1"/>
  <c r="H515" i="1"/>
  <c r="H518" i="1"/>
  <c r="H523" i="1"/>
  <c r="H521" i="1"/>
  <c r="H539" i="1"/>
  <c r="H548" i="1"/>
  <c r="H544" i="1"/>
  <c r="H551" i="1"/>
  <c r="H550" i="1"/>
  <c r="H562" i="1"/>
  <c r="H560" i="1"/>
  <c r="H207" i="1"/>
  <c r="H563" i="1"/>
  <c r="H566" i="1"/>
  <c r="H570" i="1"/>
  <c r="H569" i="1"/>
  <c r="H581" i="1"/>
  <c r="H577" i="1"/>
  <c r="H586" i="1"/>
  <c r="H589" i="1"/>
  <c r="H591" i="1"/>
  <c r="H593" i="1"/>
  <c r="H597" i="1"/>
  <c r="H600" i="1"/>
  <c r="H602" i="1"/>
  <c r="H603" i="1"/>
  <c r="H606" i="1"/>
  <c r="H612" i="1"/>
  <c r="H610" i="1"/>
  <c r="H617" i="1"/>
  <c r="H614" i="1"/>
  <c r="H615" i="1"/>
  <c r="H506" i="1"/>
  <c r="H494" i="1"/>
  <c r="H511" i="1"/>
  <c r="H524" i="1"/>
  <c r="H517" i="1"/>
  <c r="H531" i="1"/>
  <c r="H526" i="1"/>
  <c r="H530" i="1"/>
  <c r="H527" i="1"/>
  <c r="H540" i="1"/>
  <c r="H545" i="1"/>
  <c r="H543" i="1"/>
  <c r="H547" i="1"/>
  <c r="H553" i="1"/>
  <c r="H573" i="1"/>
  <c r="H574" i="1"/>
  <c r="H578" i="1"/>
  <c r="H585" i="1"/>
  <c r="H587" i="1"/>
  <c r="H598" i="1"/>
  <c r="H595" i="1"/>
  <c r="H605" i="1"/>
  <c r="H613" i="1"/>
  <c r="H483" i="1"/>
  <c r="H485" i="1"/>
  <c r="H512" i="1"/>
  <c r="H541" i="1"/>
  <c r="H556" i="1"/>
  <c r="H567" i="1"/>
  <c r="H571" i="1"/>
  <c r="H565" i="1"/>
  <c r="H576" i="1"/>
  <c r="H590" i="1"/>
  <c r="H487" i="1"/>
  <c r="H496" i="1"/>
  <c r="H497" i="1"/>
  <c r="H491" i="1"/>
  <c r="H516" i="1"/>
  <c r="H519" i="1"/>
  <c r="H542" i="1"/>
  <c r="H559" i="1"/>
  <c r="H592" i="1"/>
  <c r="H588" i="1"/>
  <c r="H473" i="1"/>
  <c r="H486" i="1"/>
  <c r="H499" i="1"/>
  <c r="H500" i="1"/>
  <c r="H502" i="1"/>
  <c r="H503" i="1"/>
  <c r="H538" i="1"/>
  <c r="H293" i="1"/>
  <c r="H534" i="1"/>
  <c r="H557" i="1"/>
  <c r="H568" i="1"/>
  <c r="H582" i="1"/>
  <c r="H584" i="1"/>
  <c r="H594" i="1"/>
  <c r="H467" i="1"/>
  <c r="H469" i="1"/>
  <c r="H495" i="1"/>
  <c r="H514" i="1"/>
  <c r="H552" i="1"/>
  <c r="H580" i="1"/>
  <c r="H583" i="1"/>
  <c r="H478" i="1"/>
  <c r="H492" i="1"/>
  <c r="H546" i="1"/>
  <c r="H549" i="1"/>
  <c r="H449" i="1"/>
  <c r="H501" i="1"/>
  <c r="H507" i="1"/>
  <c r="H561" i="1"/>
  <c r="H579" i="1"/>
  <c r="H462" i="1"/>
  <c r="H533" i="1"/>
  <c r="H554" i="1"/>
  <c r="H474" i="1"/>
  <c r="H480" i="1"/>
  <c r="H529" i="1"/>
  <c r="H453" i="1"/>
  <c r="H445" i="1"/>
  <c r="H498" i="1"/>
  <c r="H536" i="1"/>
  <c r="H504" i="1"/>
  <c r="H431" i="1"/>
  <c r="H532" i="1"/>
  <c r="H437" i="1"/>
  <c r="H441" i="1"/>
  <c r="H405" i="1"/>
  <c r="H395" i="1"/>
  <c r="H443" i="1"/>
  <c r="H456" i="1"/>
  <c r="H418" i="1"/>
  <c r="H337" i="1"/>
  <c r="H411" i="1"/>
  <c r="H387" i="1"/>
  <c r="H299" i="1"/>
  <c r="H209" i="1"/>
  <c r="H210" i="1"/>
  <c r="H430" i="1"/>
  <c r="H522" i="1"/>
  <c r="H508" i="1"/>
  <c r="H448" i="1"/>
  <c r="H645" i="1"/>
  <c r="H564" i="1"/>
  <c r="H650" i="1"/>
  <c r="H421" i="1"/>
  <c r="H535" i="1"/>
  <c r="H520" i="1"/>
  <c r="H625" i="1"/>
  <c r="H528" i="1"/>
  <c r="H630" i="1"/>
  <c r="H572" i="1"/>
  <c r="H609" i="1"/>
  <c r="H489" i="1"/>
  <c r="H555" i="1"/>
  <c r="H558" i="1"/>
  <c r="H637" i="1"/>
  <c r="H668" i="1"/>
  <c r="H575" i="1"/>
  <c r="H662" i="1"/>
  <c r="H638" i="1"/>
  <c r="H639" i="1"/>
  <c r="H640" i="1"/>
  <c r="H642" i="1"/>
  <c r="H643" i="1"/>
  <c r="H641" i="1"/>
  <c r="H665" i="1"/>
  <c r="H680" i="1"/>
  <c r="H611" i="1"/>
  <c r="H634" i="1"/>
  <c r="H648" i="1"/>
  <c r="H657" i="1"/>
  <c r="H537" i="1"/>
  <c r="H649" i="1"/>
  <c r="H601" i="1"/>
  <c r="H604" i="1"/>
  <c r="H624" i="1"/>
  <c r="H607" i="1"/>
  <c r="H666" i="1"/>
  <c r="H631" i="1"/>
  <c r="H664" i="1"/>
  <c r="H667" i="1"/>
  <c r="H698" i="1"/>
  <c r="H700" i="1"/>
  <c r="H699" i="1"/>
  <c r="H618" i="1"/>
  <c r="H655" i="1"/>
  <c r="H682" i="1"/>
  <c r="H697" i="1"/>
  <c r="H703" i="1"/>
  <c r="H654" i="1"/>
  <c r="H672" i="1"/>
  <c r="H677" i="1"/>
  <c r="H691" i="1"/>
  <c r="H695" i="1"/>
  <c r="H616" i="1"/>
  <c r="H619" i="1"/>
  <c r="H628" i="1"/>
  <c r="H636" i="1"/>
  <c r="H651" i="1"/>
  <c r="H660" i="1"/>
  <c r="H674" i="1"/>
  <c r="H675" i="1"/>
  <c r="H676" i="1"/>
  <c r="H679" i="1"/>
  <c r="H684" i="1"/>
  <c r="H687" i="1"/>
  <c r="H623" i="1"/>
  <c r="H633" i="1"/>
  <c r="H632" i="1"/>
  <c r="H629" i="1"/>
  <c r="H644" i="1"/>
  <c r="H653" i="1"/>
  <c r="H661" i="1"/>
  <c r="H683" i="1"/>
  <c r="H689" i="1"/>
  <c r="H704" i="1"/>
  <c r="H707" i="1"/>
  <c r="H718" i="1"/>
  <c r="H717" i="1"/>
  <c r="H620" i="1"/>
  <c r="H622" i="1"/>
  <c r="H626" i="1"/>
  <c r="H646" i="1"/>
  <c r="H647" i="1"/>
  <c r="H659" i="1"/>
  <c r="H671" i="1"/>
  <c r="H670" i="1"/>
  <c r="H673" i="1"/>
  <c r="H681" i="1"/>
  <c r="H688" i="1"/>
  <c r="H686" i="1"/>
  <c r="H685" i="1"/>
  <c r="H692" i="1"/>
  <c r="H701" i="1"/>
  <c r="H709" i="1"/>
  <c r="H710" i="1"/>
  <c r="H715" i="1"/>
  <c r="H716" i="1"/>
  <c r="H722" i="1"/>
  <c r="H712" i="1"/>
  <c r="H723" i="1"/>
  <c r="H711" i="1"/>
  <c r="H658" i="1"/>
  <c r="H724" i="1"/>
  <c r="H727" i="1"/>
  <c r="H669" i="1"/>
  <c r="H714" i="1"/>
  <c r="H731" i="1"/>
  <c r="H720" i="1"/>
  <c r="H740" i="1"/>
  <c r="H721" i="1"/>
  <c r="H702" i="1"/>
  <c r="H729" i="1"/>
  <c r="H735" i="1"/>
  <c r="H746" i="1"/>
  <c r="H656" i="1"/>
  <c r="H748" i="1"/>
  <c r="H725" i="1"/>
  <c r="H754" i="1"/>
  <c r="H753" i="1"/>
  <c r="H708" i="1"/>
  <c r="H743" i="1"/>
  <c r="H726" i="1"/>
  <c r="H756" i="1"/>
  <c r="H741" i="1"/>
  <c r="H728" i="1"/>
  <c r="H758" i="1"/>
  <c r="H737" i="1"/>
  <c r="H736" i="1"/>
  <c r="H696" i="1"/>
  <c r="H761" i="1"/>
  <c r="H760" i="1"/>
  <c r="H734" i="1"/>
  <c r="H733" i="1"/>
  <c r="H599" i="1"/>
  <c r="H751" i="1"/>
  <c r="H749" i="1"/>
  <c r="H744" i="1"/>
  <c r="H732" i="1"/>
  <c r="H766" i="1"/>
  <c r="H764" i="1"/>
  <c r="H742" i="1"/>
  <c r="H769" i="1"/>
  <c r="H768" i="1"/>
  <c r="H772" i="1"/>
  <c r="H454" i="1"/>
  <c r="H775" i="1"/>
  <c r="H730" i="1"/>
  <c r="H778" i="1"/>
  <c r="H779" i="1"/>
  <c r="H780" i="1"/>
  <c r="H663" i="1"/>
  <c r="H750" i="1"/>
  <c r="H771" i="1"/>
  <c r="H785" i="1"/>
  <c r="H739" i="1"/>
  <c r="H790" i="1"/>
  <c r="H788" i="1"/>
  <c r="H752" i="1"/>
  <c r="H773" i="1"/>
  <c r="H762" i="1"/>
  <c r="H608" i="1"/>
  <c r="H781" i="1"/>
  <c r="H770" i="1"/>
  <c r="H791" i="1"/>
  <c r="H787" i="1"/>
  <c r="H765" i="1"/>
  <c r="H678" i="1"/>
  <c r="H783" i="1"/>
  <c r="H789" i="1"/>
  <c r="H795" i="1"/>
  <c r="H796" i="1"/>
  <c r="H797" i="1"/>
  <c r="H767" i="1"/>
  <c r="H782" i="1"/>
  <c r="H652" i="1"/>
  <c r="H799" i="1"/>
  <c r="H776" i="1"/>
  <c r="H777" i="1"/>
  <c r="H745" i="1"/>
  <c r="H794" i="1"/>
  <c r="H801" i="1"/>
  <c r="H793" i="1"/>
  <c r="H810" i="1"/>
  <c r="H807" i="1"/>
  <c r="H805" i="1"/>
  <c r="H802" i="1"/>
  <c r="H812" i="1"/>
  <c r="H798" i="1"/>
  <c r="H811" i="1"/>
  <c r="H706" i="1"/>
  <c r="H816" i="1"/>
  <c r="H817" i="1"/>
  <c r="H809" i="1"/>
  <c r="H804" i="1"/>
  <c r="H803" i="1"/>
  <c r="H808" i="1"/>
  <c r="H820" i="1"/>
  <c r="H822" i="1"/>
  <c r="H800" i="1"/>
  <c r="H821" i="1"/>
  <c r="H792" i="1"/>
  <c r="H819" i="1"/>
  <c r="H738" i="1"/>
  <c r="H635" i="1"/>
  <c r="H824" i="1"/>
  <c r="H693" i="1"/>
  <c r="H806" i="1"/>
  <c r="H786" i="1"/>
  <c r="H831" i="1"/>
  <c r="H759" i="1"/>
  <c r="H813" i="1"/>
  <c r="H814" i="1"/>
  <c r="H823" i="1"/>
  <c r="H755" i="1"/>
  <c r="H747" i="1"/>
  <c r="H757" i="1"/>
  <c r="H784" i="1"/>
  <c r="H827" i="1"/>
  <c r="H828" i="1"/>
  <c r="H829" i="1"/>
  <c r="H830" i="1"/>
  <c r="H834" i="1"/>
  <c r="H837" i="1"/>
  <c r="H838" i="1"/>
  <c r="H818" i="1"/>
  <c r="H826" i="1"/>
  <c r="H835" i="1"/>
  <c r="H833" i="1"/>
  <c r="H832" i="1"/>
  <c r="H815" i="1"/>
  <c r="H763" i="1"/>
  <c r="H825" i="1"/>
  <c r="H842" i="1"/>
  <c r="H844" i="1"/>
  <c r="H850" i="1"/>
  <c r="H853" i="1"/>
  <c r="H855" i="1"/>
  <c r="H839" i="1"/>
  <c r="H840" i="1"/>
  <c r="H841" i="1"/>
  <c r="H861" i="1"/>
  <c r="H864" i="1"/>
  <c r="H857" i="1"/>
  <c r="H854" i="1"/>
  <c r="H863" i="1"/>
  <c r="H856" i="1"/>
  <c r="H866" i="1"/>
  <c r="H865" i="1"/>
  <c r="H843" i="1"/>
  <c r="H862" i="1"/>
  <c r="H871" i="1"/>
  <c r="H869" i="1"/>
  <c r="H836" i="1"/>
  <c r="H877" i="1"/>
  <c r="H874" i="1"/>
  <c r="H719" i="1"/>
  <c r="H880" i="1"/>
  <c r="H870" i="1"/>
  <c r="H774" i="1"/>
  <c r="H713" i="1"/>
  <c r="H882" i="1"/>
  <c r="H883" i="1"/>
  <c r="H879" i="1"/>
  <c r="H885" i="1"/>
  <c r="H860" i="1"/>
  <c r="H859" i="1"/>
  <c r="H852" i="1"/>
  <c r="H887" i="1"/>
  <c r="H889" i="1"/>
  <c r="H888" i="1"/>
  <c r="H881" i="1"/>
  <c r="H890" i="1"/>
  <c r="H891" i="1"/>
  <c r="H873" i="1"/>
  <c r="H845" i="1"/>
  <c r="H846" i="1"/>
  <c r="H847" i="1"/>
  <c r="H848" i="1"/>
  <c r="H849" i="1"/>
  <c r="H893" i="1"/>
  <c r="H898" i="1"/>
  <c r="H900" i="1"/>
  <c r="H899" i="1"/>
  <c r="H886" i="1"/>
  <c r="H525" i="1"/>
  <c r="H903" i="1"/>
  <c r="H908" i="1"/>
  <c r="H909" i="1"/>
  <c r="H905" i="1"/>
  <c r="H916" i="1"/>
  <c r="H901" i="1"/>
  <c r="H906" i="1"/>
  <c r="H902" i="1"/>
  <c r="H920" i="1"/>
  <c r="H878" i="1"/>
  <c r="H914" i="1"/>
  <c r="H910" i="1"/>
  <c r="H872" i="1"/>
  <c r="H896" i="1"/>
  <c r="H897" i="1"/>
  <c r="H876" i="1"/>
  <c r="H895" i="1"/>
  <c r="H918" i="1"/>
  <c r="H919" i="1"/>
  <c r="H911" i="1"/>
  <c r="H922" i="1"/>
  <c r="H915" i="1"/>
  <c r="H907" i="1"/>
  <c r="H927" i="1"/>
  <c r="H884" i="1"/>
  <c r="H928" i="1"/>
  <c r="H912" i="1"/>
  <c r="H931" i="1"/>
  <c r="H926" i="1"/>
  <c r="H929" i="1"/>
  <c r="H939" i="1"/>
  <c r="H930" i="1"/>
  <c r="H690" i="1"/>
  <c r="H913" i="1"/>
  <c r="H935" i="1"/>
  <c r="H921" i="1"/>
  <c r="H940" i="1"/>
  <c r="H892" i="1"/>
  <c r="H904" i="1"/>
  <c r="H925" i="1"/>
  <c r="H868" i="1"/>
  <c r="H941" i="1"/>
  <c r="H937" i="1"/>
  <c r="H934" i="1"/>
  <c r="H932" i="1"/>
  <c r="H923" i="1"/>
  <c r="H924" i="1"/>
  <c r="H875" i="1"/>
  <c r="H938" i="1"/>
  <c r="H894" i="1"/>
  <c r="H627" i="1"/>
  <c r="H917" i="1"/>
  <c r="H867" i="1"/>
  <c r="H694" i="1"/>
  <c r="H858" i="1"/>
  <c r="H936" i="1"/>
  <c r="H943" i="1"/>
  <c r="H946" i="1"/>
  <c r="H953" i="1"/>
  <c r="H957" i="1"/>
  <c r="H947" i="1"/>
  <c r="H956" i="1"/>
  <c r="H596" i="1"/>
  <c r="H958" i="1"/>
  <c r="H959" i="1"/>
  <c r="H960" i="1"/>
  <c r="H962" i="1"/>
  <c r="H963" i="1"/>
  <c r="H705" i="1"/>
  <c r="H942" i="1"/>
  <c r="H955" i="1"/>
  <c r="H961" i="1"/>
  <c r="H973" i="1"/>
  <c r="H967" i="1"/>
  <c r="H970" i="1"/>
  <c r="H965" i="1"/>
  <c r="H968" i="1"/>
  <c r="H952" i="1"/>
  <c r="H980" i="1"/>
  <c r="H981" i="1"/>
  <c r="H975" i="1"/>
  <c r="H983" i="1"/>
  <c r="H950" i="1"/>
  <c r="H948" i="1"/>
  <c r="H951" i="1"/>
  <c r="H985" i="1"/>
  <c r="H978" i="1"/>
  <c r="H944" i="1"/>
  <c r="H982" i="1"/>
  <c r="H986" i="1"/>
  <c r="H974" i="1"/>
  <c r="H988" i="1"/>
  <c r="H984" i="1"/>
  <c r="H964" i="1"/>
  <c r="H969" i="1"/>
  <c r="H972" i="1"/>
  <c r="H993" i="1"/>
  <c r="H989" i="1"/>
  <c r="H998" i="1"/>
  <c r="H440" i="1"/>
  <c r="H992" i="1"/>
  <c r="H996" i="1"/>
  <c r="H997" i="1"/>
  <c r="H999" i="1"/>
  <c r="H979" i="1"/>
  <c r="H976" i="1"/>
  <c r="H977" i="1"/>
  <c r="H994" i="1"/>
  <c r="H971" i="1"/>
  <c r="H945" i="1"/>
  <c r="H995" i="1"/>
  <c r="H933" i="1"/>
  <c r="H1005" i="1"/>
  <c r="H1003" i="1"/>
  <c r="H1009" i="1"/>
  <c r="H1008" i="1"/>
  <c r="H1001" i="1"/>
  <c r="H1007" i="1"/>
  <c r="H1002" i="1"/>
  <c r="H1016" i="1"/>
  <c r="H1011" i="1"/>
  <c r="H1012" i="1"/>
  <c r="H949" i="1"/>
  <c r="H1014" i="1"/>
  <c r="H1017" i="1"/>
  <c r="H1018" i="1"/>
  <c r="H1019" i="1"/>
  <c r="H1021" i="1"/>
  <c r="H1026" i="1"/>
  <c r="H991" i="1"/>
  <c r="H1024" i="1"/>
  <c r="H1025" i="1"/>
  <c r="H851" i="1"/>
  <c r="H1027" i="1"/>
  <c r="H1032" i="1"/>
  <c r="H1029" i="1"/>
  <c r="H1031" i="1"/>
  <c r="H1015" i="1"/>
  <c r="H1036" i="1"/>
  <c r="H1023" i="1"/>
  <c r="H987" i="1"/>
  <c r="H1013" i="1"/>
  <c r="H1028" i="1"/>
  <c r="H1045" i="1"/>
  <c r="H1037" i="1"/>
  <c r="H1033" i="1"/>
  <c r="H1044" i="1"/>
  <c r="H1035" i="1"/>
  <c r="H1041" i="1"/>
  <c r="H954" i="1"/>
  <c r="H1000" i="1"/>
  <c r="H1004" i="1"/>
  <c r="H1006" i="1"/>
  <c r="H1030" i="1"/>
  <c r="H1034" i="1"/>
  <c r="H1042" i="1"/>
  <c r="H1043" i="1"/>
  <c r="H1046" i="1"/>
  <c r="H1048" i="1"/>
  <c r="H966" i="1"/>
  <c r="H1038" i="1"/>
  <c r="H1054" i="1"/>
  <c r="H1010" i="1"/>
  <c r="H1051" i="1"/>
  <c r="H1056" i="1"/>
  <c r="H1039" i="1"/>
  <c r="H990" i="1"/>
  <c r="H1052" i="1"/>
  <c r="H1020" i="1"/>
  <c r="H1022" i="1"/>
  <c r="H1067" i="1"/>
  <c r="H1066" i="1"/>
  <c r="H1074" i="1"/>
  <c r="H1070" i="1"/>
  <c r="H1063" i="1"/>
  <c r="H1072" i="1"/>
  <c r="H1077" i="1"/>
  <c r="H1069" i="1"/>
  <c r="H1050" i="1"/>
  <c r="H1083" i="1"/>
  <c r="H1075" i="1"/>
  <c r="H1073" i="1"/>
  <c r="H1071" i="1"/>
  <c r="H1085" i="1"/>
  <c r="H1092" i="1"/>
  <c r="H1087" i="1"/>
  <c r="H1084" i="1"/>
  <c r="H1082" i="1"/>
  <c r="H1090" i="1"/>
  <c r="H1091" i="1"/>
  <c r="H1062" i="1"/>
  <c r="H1094" i="1"/>
  <c r="H1093" i="1"/>
  <c r="H1095" i="1"/>
  <c r="H1064" i="1"/>
  <c r="H1096" i="1"/>
  <c r="H1088" i="1"/>
  <c r="H1102" i="1"/>
  <c r="H1058" i="1"/>
  <c r="H1059" i="1"/>
  <c r="H1060" i="1"/>
  <c r="H1061" i="1"/>
  <c r="H1076" i="1"/>
  <c r="H1040" i="1"/>
  <c r="H1100" i="1"/>
  <c r="H621" i="1"/>
  <c r="H1098" i="1"/>
  <c r="H1047" i="1"/>
  <c r="H1103" i="1"/>
  <c r="H1081" i="1"/>
  <c r="H1104" i="1"/>
  <c r="H1109" i="1"/>
  <c r="H1108" i="1"/>
  <c r="H1111" i="1"/>
  <c r="H1089" i="1"/>
  <c r="H1117" i="1"/>
  <c r="H1065" i="1"/>
  <c r="H1110" i="1"/>
  <c r="H1057" i="1"/>
  <c r="H1086" i="1"/>
  <c r="H1080" i="1"/>
  <c r="H1115" i="1"/>
  <c r="H1097" i="1"/>
  <c r="H1122" i="1"/>
  <c r="H1124" i="1"/>
  <c r="H1123" i="1"/>
  <c r="H1127" i="1"/>
  <c r="H1053" i="1"/>
  <c r="H1118" i="1"/>
  <c r="H1121" i="1"/>
  <c r="H1125" i="1"/>
  <c r="H1130" i="1"/>
  <c r="H1135" i="1"/>
  <c r="H1120" i="1"/>
  <c r="H1049" i="1"/>
  <c r="H1146" i="1"/>
  <c r="H1131" i="1"/>
  <c r="H1133" i="1"/>
  <c r="H1099" i="1"/>
  <c r="H1114" i="1"/>
  <c r="H1126" i="1"/>
  <c r="H1106" i="1"/>
  <c r="H1132" i="1"/>
  <c r="H1143" i="1"/>
  <c r="H1142" i="1"/>
  <c r="H1136" i="1"/>
  <c r="H1145" i="1"/>
  <c r="H1116" i="1"/>
  <c r="H1129" i="1"/>
  <c r="H1149" i="1"/>
  <c r="H1140" i="1"/>
  <c r="H1152" i="1"/>
  <c r="H1156" i="1"/>
  <c r="H1150" i="1"/>
  <c r="H1148" i="1"/>
  <c r="H1154" i="1"/>
  <c r="H1134" i="1"/>
  <c r="H1155" i="1"/>
  <c r="H1147" i="1"/>
  <c r="H1113" i="1"/>
  <c r="H1162" i="1"/>
  <c r="H1165" i="1"/>
  <c r="H1160" i="1"/>
  <c r="H1167" i="1"/>
  <c r="H1151" i="1"/>
  <c r="H1170" i="1"/>
  <c r="H1168" i="1"/>
  <c r="H1169" i="1"/>
  <c r="H1107" i="1"/>
  <c r="H1158" i="1"/>
  <c r="H1175" i="1"/>
  <c r="H1181" i="1"/>
  <c r="H1171" i="1"/>
  <c r="H1161" i="1"/>
  <c r="H1178" i="1"/>
  <c r="H1105" i="1"/>
  <c r="H1112" i="1"/>
  <c r="H1119" i="1"/>
  <c r="H1137" i="1"/>
  <c r="H1172" i="1"/>
  <c r="H1180" i="1"/>
  <c r="H1176" i="1"/>
  <c r="H1177" i="1"/>
  <c r="H1163" i="1"/>
  <c r="H1174" i="1"/>
  <c r="H1068" i="1"/>
  <c r="H1166" i="1"/>
  <c r="H1153" i="1"/>
  <c r="H1139" i="1"/>
  <c r="H1079" i="1"/>
  <c r="H1101" i="1"/>
  <c r="H1195" i="1"/>
  <c r="H1192" i="1"/>
  <c r="H1191" i="1"/>
  <c r="H1173" i="1"/>
  <c r="H1185" i="1"/>
  <c r="H1128" i="1"/>
  <c r="H1164" i="1"/>
  <c r="H1141" i="1"/>
  <c r="H1196" i="1"/>
  <c r="H1179" i="1"/>
  <c r="H1144" i="1"/>
  <c r="H1194" i="1"/>
  <c r="H1201" i="1"/>
  <c r="H1182" i="1"/>
  <c r="H1183" i="1"/>
  <c r="H1204" i="1"/>
  <c r="H1184" i="1"/>
  <c r="H1205" i="1"/>
  <c r="H1210" i="1"/>
  <c r="H1208" i="1"/>
  <c r="H1209" i="1"/>
  <c r="H1157" i="1"/>
  <c r="H1212" i="1"/>
  <c r="H1055" i="1"/>
  <c r="H1190" i="1"/>
  <c r="H1187" i="1"/>
  <c r="H1189" i="1"/>
  <c r="H1188" i="1"/>
  <c r="H1159" i="1"/>
  <c r="H1219" i="1"/>
  <c r="H1213" i="1"/>
  <c r="H1218" i="1"/>
  <c r="H1221" i="1"/>
  <c r="H1200" i="1"/>
  <c r="H1224" i="1"/>
  <c r="H1223" i="1"/>
  <c r="H1211" i="1"/>
  <c r="H1138" i="1"/>
  <c r="H1206" i="1"/>
  <c r="H1186" i="1"/>
  <c r="H1193" i="1"/>
  <c r="H1197" i="1"/>
  <c r="H1198" i="1"/>
  <c r="H1202" i="1"/>
  <c r="H1199" i="1"/>
  <c r="H1203" i="1"/>
  <c r="H1214" i="1"/>
  <c r="H1207" i="1"/>
  <c r="H1215" i="1"/>
  <c r="H1216" i="1"/>
  <c r="H1217" i="1"/>
  <c r="H1222" i="1"/>
  <c r="H1220" i="1"/>
  <c r="H1226" i="1"/>
  <c r="H1078" i="1"/>
  <c r="H1229" i="1"/>
  <c r="H1234" i="1"/>
  <c r="H1235" i="1"/>
  <c r="H1238" i="1"/>
  <c r="H1236" i="1"/>
  <c r="H1241" i="1"/>
  <c r="H1252" i="1"/>
  <c r="H1249" i="1"/>
  <c r="H1245" i="1"/>
  <c r="H1250" i="1"/>
  <c r="H1247" i="1"/>
  <c r="H1231" i="1"/>
  <c r="H1240" i="1"/>
  <c r="H1255" i="1"/>
  <c r="H1225" i="1"/>
  <c r="H1237" i="1"/>
  <c r="H1251" i="1"/>
  <c r="H1262" i="1"/>
  <c r="H1267" i="1"/>
  <c r="H1269" i="1"/>
  <c r="H1270" i="1"/>
  <c r="H1271" i="1"/>
  <c r="H1274" i="1"/>
  <c r="H1277" i="1"/>
  <c r="H1278" i="1"/>
  <c r="H1257" i="1"/>
  <c r="H1272" i="1"/>
  <c r="H1276" i="1"/>
  <c r="H1232" i="1"/>
  <c r="H1239" i="1"/>
  <c r="H1254" i="1"/>
  <c r="H1258" i="1"/>
  <c r="H1259" i="1"/>
  <c r="H1260" i="1"/>
  <c r="H1266" i="1"/>
  <c r="H1268" i="1"/>
  <c r="H1275" i="1"/>
  <c r="H1283" i="1"/>
  <c r="H1286" i="1"/>
  <c r="H1287" i="1"/>
  <c r="H1264" i="1"/>
  <c r="H1279" i="1"/>
  <c r="H1282" i="1"/>
  <c r="H1248" i="1"/>
  <c r="H1265" i="1"/>
  <c r="H1273" i="1"/>
  <c r="H1285" i="1"/>
  <c r="H1289" i="1"/>
  <c r="H1227" i="1"/>
  <c r="H1228" i="1"/>
  <c r="H1230" i="1"/>
  <c r="H1233" i="1"/>
  <c r="H1242" i="1"/>
  <c r="H1243" i="1"/>
  <c r="H1246" i="1"/>
  <c r="H1256" i="1"/>
  <c r="H1261" i="1"/>
  <c r="H1263" i="1"/>
  <c r="H1284" i="1"/>
  <c r="H1288" i="1"/>
  <c r="H1291" i="1"/>
  <c r="H1293" i="1"/>
  <c r="H1295" i="1"/>
  <c r="H1299" i="1"/>
  <c r="K266" i="1"/>
  <c r="K309" i="1"/>
  <c r="K326" i="1"/>
  <c r="K311" i="1"/>
  <c r="K360" i="1"/>
  <c r="K361" i="1"/>
  <c r="K357" i="1"/>
  <c r="K362" i="1"/>
  <c r="K351" i="1"/>
  <c r="K379" i="1"/>
  <c r="K339" i="1"/>
  <c r="K385" i="1"/>
  <c r="K382" i="1"/>
  <c r="K403" i="1"/>
  <c r="K363" i="1"/>
  <c r="K392" i="1"/>
  <c r="K424" i="1"/>
  <c r="K408" i="1"/>
  <c r="K401" i="1"/>
  <c r="K446" i="1"/>
  <c r="K463" i="1"/>
  <c r="K464" i="1"/>
  <c r="K548" i="1"/>
  <c r="K577" i="1"/>
  <c r="K578" i="1"/>
  <c r="K585" i="1"/>
  <c r="K587" i="1"/>
  <c r="K613" i="1"/>
  <c r="K576" i="1"/>
  <c r="K561" i="1"/>
  <c r="K662" i="1"/>
  <c r="K649" i="1"/>
  <c r="K661" i="1"/>
  <c r="K709" i="1"/>
  <c r="K710" i="1"/>
  <c r="K723" i="1"/>
  <c r="K725" i="1"/>
  <c r="K805" i="1"/>
  <c r="K802" i="1"/>
  <c r="K816" i="1"/>
  <c r="K817" i="1"/>
  <c r="K834" i="1"/>
  <c r="K837" i="1"/>
  <c r="K825" i="1"/>
  <c r="K864" i="1"/>
  <c r="K857" i="1"/>
  <c r="K882" i="1"/>
  <c r="K883" i="1"/>
  <c r="K859" i="1"/>
  <c r="K893" i="1"/>
  <c r="K909" i="1"/>
  <c r="K926" i="1"/>
  <c r="K894" i="1"/>
  <c r="K953" i="1"/>
  <c r="K980" i="1"/>
  <c r="K1032" i="1"/>
  <c r="K1023" i="1"/>
  <c r="K1045" i="1"/>
  <c r="K1035" i="1"/>
  <c r="K1066" i="1"/>
  <c r="K1092" i="1"/>
  <c r="K1095" i="1"/>
  <c r="K1118" i="1"/>
  <c r="K1146" i="1"/>
  <c r="K1167" i="1"/>
  <c r="K1168" i="1"/>
  <c r="K1112" i="1"/>
  <c r="K1101" i="1"/>
  <c r="J1157" i="1"/>
  <c r="K1213" i="1"/>
  <c r="K1221" i="1"/>
  <c r="K1211" i="1"/>
  <c r="K1199" i="1"/>
  <c r="K1222" i="1"/>
  <c r="K1245" i="1"/>
  <c r="K1272" i="1"/>
  <c r="K1242" i="1"/>
  <c r="K1246" i="1"/>
  <c r="K1284" i="1"/>
  <c r="K936" i="1" l="1"/>
  <c r="J936" i="1"/>
  <c r="K1233" i="1"/>
  <c r="J1233" i="1"/>
  <c r="K1119" i="1"/>
  <c r="J1119" i="1"/>
  <c r="K1243" i="1"/>
  <c r="J1243" i="1"/>
  <c r="K1042" i="1"/>
  <c r="J1042" i="1"/>
  <c r="K1270" i="1"/>
  <c r="J1270" i="1"/>
  <c r="K1194" i="1"/>
  <c r="J1194" i="1"/>
  <c r="K1160" i="1"/>
  <c r="J1160" i="1"/>
  <c r="K1098" i="1"/>
  <c r="J1098" i="1"/>
  <c r="K1063" i="1"/>
  <c r="J1063" i="1"/>
  <c r="K1002" i="1"/>
  <c r="J1002" i="1"/>
  <c r="K955" i="1"/>
  <c r="J955" i="1"/>
  <c r="K924" i="1"/>
  <c r="J924" i="1"/>
  <c r="K897" i="1"/>
  <c r="J897" i="1"/>
  <c r="K869" i="1"/>
  <c r="J869" i="1"/>
  <c r="K814" i="1"/>
  <c r="J814" i="1"/>
  <c r="K798" i="1"/>
  <c r="J798" i="1"/>
  <c r="K778" i="1"/>
  <c r="J778" i="1"/>
  <c r="K692" i="1"/>
  <c r="J692" i="1"/>
  <c r="K607" i="1"/>
  <c r="J607" i="1"/>
  <c r="K639" i="1"/>
  <c r="J639" i="1"/>
  <c r="K533" i="1"/>
  <c r="J533" i="1"/>
  <c r="K406" i="1"/>
  <c r="J406" i="1"/>
  <c r="K384" i="1"/>
  <c r="J384" i="1"/>
  <c r="K213" i="1"/>
  <c r="J213" i="1"/>
  <c r="K323" i="1"/>
  <c r="J323" i="1"/>
  <c r="K227" i="1"/>
  <c r="J227" i="1"/>
  <c r="K236" i="1"/>
  <c r="J236" i="1"/>
  <c r="K191" i="1"/>
  <c r="J191" i="1"/>
  <c r="K98" i="1"/>
  <c r="J98" i="1"/>
  <c r="K46" i="1"/>
  <c r="J46" i="1"/>
  <c r="K1288" i="1"/>
  <c r="J1288" i="1"/>
  <c r="K1248" i="1"/>
  <c r="J1248" i="1"/>
  <c r="K1268" i="1"/>
  <c r="J1268" i="1"/>
  <c r="K1276" i="1"/>
  <c r="J1276" i="1"/>
  <c r="K1269" i="1"/>
  <c r="J1269" i="1"/>
  <c r="K1231" i="1"/>
  <c r="J1231" i="1"/>
  <c r="K1238" i="1"/>
  <c r="J1238" i="1"/>
  <c r="K1217" i="1"/>
  <c r="J1217" i="1"/>
  <c r="K1198" i="1"/>
  <c r="J1198" i="1"/>
  <c r="K1224" i="1"/>
  <c r="J1224" i="1"/>
  <c r="K1189" i="1"/>
  <c r="J1189" i="1"/>
  <c r="K1210" i="1"/>
  <c r="J1210" i="1"/>
  <c r="K1144" i="1"/>
  <c r="J1144" i="1"/>
  <c r="K1191" i="1"/>
  <c r="J1191" i="1"/>
  <c r="K1068" i="1"/>
  <c r="J1068" i="1"/>
  <c r="K1158" i="1"/>
  <c r="J1158" i="1"/>
  <c r="K1165" i="1"/>
  <c r="J1165" i="1"/>
  <c r="K1150" i="1"/>
  <c r="J1150" i="1"/>
  <c r="K1136" i="1"/>
  <c r="J1136" i="1"/>
  <c r="K1133" i="1"/>
  <c r="J1133" i="1"/>
  <c r="K1121" i="1"/>
  <c r="J1121" i="1"/>
  <c r="K1115" i="1"/>
  <c r="J1115" i="1"/>
  <c r="K1111" i="1"/>
  <c r="J1111" i="1"/>
  <c r="K621" i="1"/>
  <c r="J621" i="1"/>
  <c r="K1102" i="1"/>
  <c r="J1102" i="1"/>
  <c r="K1091" i="1"/>
  <c r="J1091" i="1"/>
  <c r="K1073" i="1"/>
  <c r="J1073" i="1"/>
  <c r="K1070" i="1"/>
  <c r="J1070" i="1"/>
  <c r="K1039" i="1"/>
  <c r="J1039" i="1"/>
  <c r="K1046" i="1"/>
  <c r="J1046" i="1"/>
  <c r="K954" i="1"/>
  <c r="J954" i="1"/>
  <c r="K1013" i="1"/>
  <c r="J1013" i="1"/>
  <c r="K1027" i="1"/>
  <c r="J1027" i="1"/>
  <c r="K1018" i="1"/>
  <c r="J1018" i="1"/>
  <c r="K1007" i="1"/>
  <c r="J1007" i="1"/>
  <c r="K945" i="1"/>
  <c r="J945" i="1"/>
  <c r="K996" i="1"/>
  <c r="J996" i="1"/>
  <c r="K964" i="1"/>
  <c r="J964" i="1"/>
  <c r="K985" i="1"/>
  <c r="J985" i="1"/>
  <c r="K952" i="1"/>
  <c r="J952" i="1"/>
  <c r="K942" i="1"/>
  <c r="J942" i="1"/>
  <c r="K956" i="1"/>
  <c r="J956" i="1"/>
  <c r="K694" i="1"/>
  <c r="J694" i="1"/>
  <c r="K923" i="1"/>
  <c r="J923" i="1"/>
  <c r="K892" i="1"/>
  <c r="J892" i="1"/>
  <c r="K929" i="1"/>
  <c r="J929" i="1"/>
  <c r="K915" i="1"/>
  <c r="J915" i="1"/>
  <c r="K896" i="1"/>
  <c r="J896" i="1"/>
  <c r="K901" i="1"/>
  <c r="J901" i="1"/>
  <c r="K899" i="1"/>
  <c r="J899" i="1"/>
  <c r="K845" i="1"/>
  <c r="J845" i="1"/>
  <c r="K852" i="1"/>
  <c r="J852" i="1"/>
  <c r="K774" i="1"/>
  <c r="J774" i="1"/>
  <c r="K871" i="1"/>
  <c r="J871" i="1"/>
  <c r="K850" i="1"/>
  <c r="J850" i="1"/>
  <c r="K835" i="1"/>
  <c r="J835" i="1"/>
  <c r="K828" i="1"/>
  <c r="J828" i="1"/>
  <c r="K813" i="1"/>
  <c r="J813" i="1"/>
  <c r="K738" i="1"/>
  <c r="J738" i="1"/>
  <c r="K803" i="1"/>
  <c r="J803" i="1"/>
  <c r="K812" i="1"/>
  <c r="J812" i="1"/>
  <c r="K745" i="1"/>
  <c r="J745" i="1"/>
  <c r="K796" i="1"/>
  <c r="J796" i="1"/>
  <c r="K770" i="1"/>
  <c r="J770" i="1"/>
  <c r="K739" i="1"/>
  <c r="J739" i="1"/>
  <c r="K730" i="1"/>
  <c r="J730" i="1"/>
  <c r="K766" i="1"/>
  <c r="J766" i="1"/>
  <c r="K760" i="1"/>
  <c r="J760" i="1"/>
  <c r="K756" i="1"/>
  <c r="J756" i="1"/>
  <c r="K656" i="1"/>
  <c r="J656" i="1"/>
  <c r="K731" i="1"/>
  <c r="J731" i="1"/>
  <c r="K712" i="1"/>
  <c r="J712" i="1"/>
  <c r="K685" i="1"/>
  <c r="J685" i="1"/>
  <c r="K647" i="1"/>
  <c r="J647" i="1"/>
  <c r="K704" i="1"/>
  <c r="J704" i="1"/>
  <c r="K633" i="1"/>
  <c r="J633" i="1"/>
  <c r="K660" i="1"/>
  <c r="J660" i="1"/>
  <c r="K677" i="1"/>
  <c r="J677" i="1"/>
  <c r="K699" i="1"/>
  <c r="J699" i="1"/>
  <c r="K624" i="1"/>
  <c r="J624" i="1"/>
  <c r="K611" i="1"/>
  <c r="J611" i="1"/>
  <c r="K638" i="1"/>
  <c r="J638" i="1"/>
  <c r="K609" i="1"/>
  <c r="J609" i="1"/>
  <c r="K650" i="1"/>
  <c r="J650" i="1"/>
  <c r="K209" i="1"/>
  <c r="J209" i="1"/>
  <c r="K395" i="1"/>
  <c r="J395" i="1"/>
  <c r="K498" i="1"/>
  <c r="J498" i="1"/>
  <c r="K462" i="1"/>
  <c r="J462" i="1"/>
  <c r="K492" i="1"/>
  <c r="J492" i="1"/>
  <c r="K467" i="1"/>
  <c r="J467" i="1"/>
  <c r="K538" i="1"/>
  <c r="J538" i="1"/>
  <c r="K592" i="1"/>
  <c r="J592" i="1"/>
  <c r="K487" i="1"/>
  <c r="J487" i="1"/>
  <c r="K512" i="1"/>
  <c r="J512" i="1"/>
  <c r="K540" i="1"/>
  <c r="J540" i="1"/>
  <c r="K494" i="1"/>
  <c r="J494" i="1"/>
  <c r="K603" i="1"/>
  <c r="J603" i="1"/>
  <c r="K562" i="1"/>
  <c r="J562" i="1"/>
  <c r="K518" i="1"/>
  <c r="J518" i="1"/>
  <c r="K488" i="1"/>
  <c r="J488" i="1"/>
  <c r="K451" i="1"/>
  <c r="J451" i="1"/>
  <c r="K468" i="1"/>
  <c r="J468" i="1"/>
  <c r="K452" i="1"/>
  <c r="J452" i="1"/>
  <c r="K455" i="1"/>
  <c r="J455" i="1"/>
  <c r="K444" i="1"/>
  <c r="J444" i="1"/>
  <c r="K297" i="1"/>
  <c r="J297" i="1"/>
  <c r="K417" i="1"/>
  <c r="J417" i="1"/>
  <c r="K367" i="1"/>
  <c r="J367" i="1"/>
  <c r="K386" i="1"/>
  <c r="J386" i="1"/>
  <c r="K378" i="1"/>
  <c r="J378" i="1"/>
  <c r="K343" i="1"/>
  <c r="J343" i="1"/>
  <c r="K338" i="1"/>
  <c r="J338" i="1"/>
  <c r="K332" i="1"/>
  <c r="J332" i="1"/>
  <c r="K241" i="1"/>
  <c r="J241" i="1"/>
  <c r="K312" i="1"/>
  <c r="J312" i="1"/>
  <c r="K301" i="1"/>
  <c r="J301" i="1"/>
  <c r="K290" i="1"/>
  <c r="J290" i="1"/>
  <c r="K281" i="1"/>
  <c r="J281" i="1"/>
  <c r="K273" i="1"/>
  <c r="J273" i="1"/>
  <c r="K139" i="1"/>
  <c r="J139" i="1"/>
  <c r="K240" i="1"/>
  <c r="J240" i="1"/>
  <c r="K132" i="1"/>
  <c r="J132" i="1"/>
  <c r="K163" i="1"/>
  <c r="J163" i="1"/>
  <c r="K215" i="1"/>
  <c r="J215" i="1"/>
  <c r="K228" i="1"/>
  <c r="J228" i="1"/>
  <c r="K190" i="1"/>
  <c r="J190" i="1"/>
  <c r="K211" i="1"/>
  <c r="J211" i="1"/>
  <c r="K117" i="1"/>
  <c r="J117" i="1"/>
  <c r="K175" i="1"/>
  <c r="J175" i="1"/>
  <c r="K185" i="1"/>
  <c r="J185" i="1"/>
  <c r="K155" i="1"/>
  <c r="J155" i="1"/>
  <c r="K162" i="1"/>
  <c r="J162" i="1"/>
  <c r="K145" i="1"/>
  <c r="J145" i="1"/>
  <c r="K123" i="1"/>
  <c r="J123" i="1"/>
  <c r="K107" i="1"/>
  <c r="J107" i="1"/>
  <c r="K118" i="1"/>
  <c r="J118" i="1"/>
  <c r="K96" i="1"/>
  <c r="J96" i="1"/>
  <c r="K84" i="1"/>
  <c r="J84" i="1"/>
  <c r="K103" i="1"/>
  <c r="J103" i="1"/>
  <c r="K60" i="1"/>
  <c r="J60" i="1"/>
  <c r="K81" i="1"/>
  <c r="J81" i="1"/>
  <c r="K44" i="1"/>
  <c r="J44" i="1"/>
  <c r="K40" i="1"/>
  <c r="J40" i="1"/>
  <c r="K69" i="1"/>
  <c r="J69" i="1"/>
  <c r="K54" i="1"/>
  <c r="J54" i="1"/>
  <c r="K35" i="1"/>
  <c r="J35" i="1"/>
  <c r="K37" i="1"/>
  <c r="J37" i="1"/>
  <c r="K32" i="1"/>
  <c r="J32" i="1"/>
  <c r="K7" i="1"/>
  <c r="J7" i="1"/>
  <c r="K8" i="1"/>
  <c r="J8" i="1"/>
  <c r="K1173" i="1"/>
  <c r="J1173" i="1"/>
  <c r="K1145" i="1"/>
  <c r="J1145" i="1"/>
  <c r="K1062" i="1"/>
  <c r="J1062" i="1"/>
  <c r="K1000" i="1"/>
  <c r="J1000" i="1"/>
  <c r="K997" i="1"/>
  <c r="J997" i="1"/>
  <c r="K596" i="1"/>
  <c r="J596" i="1"/>
  <c r="K939" i="1"/>
  <c r="J939" i="1"/>
  <c r="K846" i="1"/>
  <c r="J846" i="1"/>
  <c r="K833" i="1"/>
  <c r="J833" i="1"/>
  <c r="K791" i="1"/>
  <c r="J791" i="1"/>
  <c r="K741" i="1"/>
  <c r="J741" i="1"/>
  <c r="K659" i="1"/>
  <c r="J659" i="1"/>
  <c r="K618" i="1"/>
  <c r="J618" i="1"/>
  <c r="K210" i="1"/>
  <c r="J210" i="1"/>
  <c r="K293" i="1"/>
  <c r="J293" i="1"/>
  <c r="K541" i="1"/>
  <c r="J541" i="1"/>
  <c r="K586" i="1"/>
  <c r="J586" i="1"/>
  <c r="K466" i="1"/>
  <c r="J466" i="1"/>
  <c r="K370" i="1"/>
  <c r="J370" i="1"/>
  <c r="K388" i="1"/>
  <c r="J388" i="1"/>
  <c r="K317" i="1"/>
  <c r="J317" i="1"/>
  <c r="K286" i="1"/>
  <c r="J286" i="1"/>
  <c r="K248" i="1"/>
  <c r="J248" i="1"/>
  <c r="K181" i="1"/>
  <c r="J181" i="1"/>
  <c r="K112" i="1"/>
  <c r="J112" i="1"/>
  <c r="K48" i="1"/>
  <c r="J48" i="1"/>
  <c r="K42" i="1"/>
  <c r="J42" i="1"/>
  <c r="K1282" i="1"/>
  <c r="J1282" i="1"/>
  <c r="K1216" i="1"/>
  <c r="J1216" i="1"/>
  <c r="K1080" i="1"/>
  <c r="J1080" i="1"/>
  <c r="K1088" i="1"/>
  <c r="J1088" i="1"/>
  <c r="K1043" i="1"/>
  <c r="J1043" i="1"/>
  <c r="K1001" i="1"/>
  <c r="J1001" i="1"/>
  <c r="K984" i="1"/>
  <c r="J984" i="1"/>
  <c r="K947" i="1"/>
  <c r="J947" i="1"/>
  <c r="K932" i="1"/>
  <c r="J932" i="1"/>
  <c r="K872" i="1"/>
  <c r="J872" i="1"/>
  <c r="K870" i="1"/>
  <c r="J870" i="1"/>
  <c r="K826" i="1"/>
  <c r="J826" i="1"/>
  <c r="K804" i="1"/>
  <c r="J804" i="1"/>
  <c r="K785" i="1"/>
  <c r="J785" i="1"/>
  <c r="K726" i="1"/>
  <c r="J726" i="1"/>
  <c r="K623" i="1"/>
  <c r="J623" i="1"/>
  <c r="K700" i="1"/>
  <c r="J700" i="1"/>
  <c r="K572" i="1"/>
  <c r="J572" i="1"/>
  <c r="K445" i="1"/>
  <c r="J445" i="1"/>
  <c r="K590" i="1"/>
  <c r="J590" i="1"/>
  <c r="K506" i="1"/>
  <c r="J506" i="1"/>
  <c r="K479" i="1"/>
  <c r="J479" i="1"/>
  <c r="K450" i="1"/>
  <c r="J450" i="1"/>
  <c r="K355" i="1"/>
  <c r="J355" i="1"/>
  <c r="K359" i="1"/>
  <c r="J359" i="1"/>
  <c r="K305" i="1"/>
  <c r="J305" i="1"/>
  <c r="K232" i="1"/>
  <c r="J232" i="1"/>
  <c r="K183" i="1"/>
  <c r="J183" i="1"/>
  <c r="K178" i="1"/>
  <c r="J178" i="1"/>
  <c r="K120" i="1"/>
  <c r="J120" i="1"/>
  <c r="K79" i="1"/>
  <c r="J79" i="1"/>
  <c r="K23" i="1"/>
  <c r="J23" i="1"/>
  <c r="K1263" i="1"/>
  <c r="J1263" i="1"/>
  <c r="K1228" i="1"/>
  <c r="J1228" i="1"/>
  <c r="K1279" i="1"/>
  <c r="J1279" i="1"/>
  <c r="K1260" i="1"/>
  <c r="J1260" i="1"/>
  <c r="K1257" i="1"/>
  <c r="J1257" i="1"/>
  <c r="K1262" i="1"/>
  <c r="J1262" i="1"/>
  <c r="K1250" i="1"/>
  <c r="J1250" i="1"/>
  <c r="K1234" i="1"/>
  <c r="J1234" i="1"/>
  <c r="K1215" i="1"/>
  <c r="J1215" i="1"/>
  <c r="K1193" i="1"/>
  <c r="J1193" i="1"/>
  <c r="K1190" i="1"/>
  <c r="J1190" i="1"/>
  <c r="K1184" i="1"/>
  <c r="J1184" i="1"/>
  <c r="K1196" i="1"/>
  <c r="J1196" i="1"/>
  <c r="K1195" i="1"/>
  <c r="J1195" i="1"/>
  <c r="K1163" i="1"/>
  <c r="J1163" i="1"/>
  <c r="K1105" i="1"/>
  <c r="J1105" i="1"/>
  <c r="K1169" i="1"/>
  <c r="J1169" i="1"/>
  <c r="K1113" i="1"/>
  <c r="J1113" i="1"/>
  <c r="K1152" i="1"/>
  <c r="J1152" i="1"/>
  <c r="K1143" i="1"/>
  <c r="J1143" i="1"/>
  <c r="K1053" i="1"/>
  <c r="J1053" i="1"/>
  <c r="K1086" i="1"/>
  <c r="J1086" i="1"/>
  <c r="K1109" i="1"/>
  <c r="J1109" i="1"/>
  <c r="K1040" i="1"/>
  <c r="J1040" i="1"/>
  <c r="K1096" i="1"/>
  <c r="J1096" i="1"/>
  <c r="K1082" i="1"/>
  <c r="J1082" i="1"/>
  <c r="K1083" i="1"/>
  <c r="J1083" i="1"/>
  <c r="K1051" i="1"/>
  <c r="J1051" i="1"/>
  <c r="K1025" i="1"/>
  <c r="J1025" i="1"/>
  <c r="K1014" i="1"/>
  <c r="J1014" i="1"/>
  <c r="K1008" i="1"/>
  <c r="J1008" i="1"/>
  <c r="K994" i="1"/>
  <c r="J994" i="1"/>
  <c r="K440" i="1"/>
  <c r="J440" i="1"/>
  <c r="K988" i="1"/>
  <c r="J988" i="1"/>
  <c r="K948" i="1"/>
  <c r="J948" i="1"/>
  <c r="K965" i="1"/>
  <c r="J965" i="1"/>
  <c r="K963" i="1"/>
  <c r="J963" i="1"/>
  <c r="K957" i="1"/>
  <c r="J957" i="1"/>
  <c r="K917" i="1"/>
  <c r="J917" i="1"/>
  <c r="K934" i="1"/>
  <c r="J934" i="1"/>
  <c r="K921" i="1"/>
  <c r="J921" i="1"/>
  <c r="K931" i="1"/>
  <c r="J931" i="1"/>
  <c r="K911" i="1"/>
  <c r="J911" i="1"/>
  <c r="K910" i="1"/>
  <c r="J910" i="1"/>
  <c r="K905" i="1"/>
  <c r="J905" i="1"/>
  <c r="K898" i="1"/>
  <c r="J898" i="1"/>
  <c r="K891" i="1"/>
  <c r="J891" i="1"/>
  <c r="K860" i="1"/>
  <c r="J860" i="1"/>
  <c r="K880" i="1"/>
  <c r="J880" i="1"/>
  <c r="K843" i="1"/>
  <c r="J843" i="1"/>
  <c r="K861" i="1"/>
  <c r="J861" i="1"/>
  <c r="K842" i="1"/>
  <c r="J842" i="1"/>
  <c r="K818" i="1"/>
  <c r="J818" i="1"/>
  <c r="K784" i="1"/>
  <c r="J784" i="1"/>
  <c r="K831" i="1"/>
  <c r="J831" i="1"/>
  <c r="K792" i="1"/>
  <c r="J792" i="1"/>
  <c r="K809" i="1"/>
  <c r="J809" i="1"/>
  <c r="K776" i="1"/>
  <c r="J776" i="1"/>
  <c r="K789" i="1"/>
  <c r="J789" i="1"/>
  <c r="K608" i="1"/>
  <c r="J608" i="1"/>
  <c r="K771" i="1"/>
  <c r="J771" i="1"/>
  <c r="K454" i="1"/>
  <c r="J454" i="1"/>
  <c r="K744" i="1"/>
  <c r="J744" i="1"/>
  <c r="K696" i="1"/>
  <c r="J696" i="1"/>
  <c r="K743" i="1"/>
  <c r="J743" i="1"/>
  <c r="K735" i="1"/>
  <c r="J735" i="1"/>
  <c r="K669" i="1"/>
  <c r="J669" i="1"/>
  <c r="K716" i="1"/>
  <c r="J716" i="1"/>
  <c r="K688" i="1"/>
  <c r="J688" i="1"/>
  <c r="K626" i="1"/>
  <c r="J626" i="1"/>
  <c r="K683" i="1"/>
  <c r="J683" i="1"/>
  <c r="K687" i="1"/>
  <c r="J687" i="1"/>
  <c r="K636" i="1"/>
  <c r="J636" i="1"/>
  <c r="K654" i="1"/>
  <c r="J654" i="1"/>
  <c r="K698" i="1"/>
  <c r="J698" i="1"/>
  <c r="K601" i="1"/>
  <c r="J601" i="1"/>
  <c r="K665" i="1"/>
  <c r="J665" i="1"/>
  <c r="K575" i="1"/>
  <c r="J575" i="1"/>
  <c r="K630" i="1"/>
  <c r="J630" i="1"/>
  <c r="K645" i="1"/>
  <c r="J645" i="1"/>
  <c r="K387" i="1"/>
  <c r="J387" i="1"/>
  <c r="K441" i="1"/>
  <c r="J441" i="1"/>
  <c r="K453" i="1"/>
  <c r="J453" i="1"/>
  <c r="K583" i="1"/>
  <c r="J583" i="1"/>
  <c r="K584" i="1"/>
  <c r="J584" i="1"/>
  <c r="K502" i="1"/>
  <c r="J502" i="1"/>
  <c r="K542" i="1"/>
  <c r="J542" i="1"/>
  <c r="K483" i="1"/>
  <c r="J483" i="1"/>
  <c r="K574" i="1"/>
  <c r="J574" i="1"/>
  <c r="K530" i="1"/>
  <c r="J530" i="1"/>
  <c r="K615" i="1"/>
  <c r="J615" i="1"/>
  <c r="K600" i="1"/>
  <c r="J600" i="1"/>
  <c r="K569" i="1"/>
  <c r="J569" i="1"/>
  <c r="K551" i="1"/>
  <c r="J551" i="1"/>
  <c r="K509" i="1"/>
  <c r="J509" i="1"/>
  <c r="K439" i="1"/>
  <c r="J439" i="1"/>
  <c r="K364" i="1"/>
  <c r="J364" i="1"/>
  <c r="K470" i="1"/>
  <c r="J470" i="1"/>
  <c r="K465" i="1"/>
  <c r="J465" i="1"/>
  <c r="K419" i="1"/>
  <c r="J419" i="1"/>
  <c r="K423" i="1"/>
  <c r="J423" i="1"/>
  <c r="K365" i="1"/>
  <c r="J365" i="1"/>
  <c r="K420" i="1"/>
  <c r="J420" i="1"/>
  <c r="K413" i="1"/>
  <c r="J413" i="1"/>
  <c r="K289" i="1"/>
  <c r="J289" i="1"/>
  <c r="K397" i="1"/>
  <c r="J397" i="1"/>
  <c r="K393" i="1"/>
  <c r="J393" i="1"/>
  <c r="K352" i="1"/>
  <c r="J352" i="1"/>
  <c r="K322" i="1"/>
  <c r="J322" i="1"/>
  <c r="K340" i="1"/>
  <c r="J340" i="1"/>
  <c r="K336" i="1"/>
  <c r="J336" i="1"/>
  <c r="K298" i="1"/>
  <c r="J298" i="1"/>
  <c r="K327" i="1"/>
  <c r="J327" i="1"/>
  <c r="K321" i="1"/>
  <c r="J321" i="1"/>
  <c r="K316" i="1"/>
  <c r="J316" i="1"/>
  <c r="K300" i="1"/>
  <c r="J300" i="1"/>
  <c r="K260" i="1"/>
  <c r="J260" i="1"/>
  <c r="K220" i="1"/>
  <c r="J220" i="1"/>
  <c r="K251" i="1"/>
  <c r="J251" i="1"/>
  <c r="K270" i="1"/>
  <c r="J270" i="1"/>
  <c r="K234" i="1"/>
  <c r="J234" i="1"/>
  <c r="K255" i="1"/>
  <c r="J255" i="1"/>
  <c r="K233" i="1"/>
  <c r="J233" i="1"/>
  <c r="K221" i="1"/>
  <c r="J221" i="1"/>
  <c r="K187" i="1"/>
  <c r="J187" i="1"/>
  <c r="K214" i="1"/>
  <c r="J214" i="1"/>
  <c r="K160" i="1"/>
  <c r="J160" i="1"/>
  <c r="K204" i="1"/>
  <c r="J204" i="1"/>
  <c r="K164" i="1"/>
  <c r="J164" i="1"/>
  <c r="K146" i="1"/>
  <c r="J146" i="1"/>
  <c r="K127" i="1"/>
  <c r="J127" i="1"/>
  <c r="K170" i="1"/>
  <c r="J170" i="1"/>
  <c r="K150" i="1"/>
  <c r="J150" i="1"/>
  <c r="K135" i="1"/>
  <c r="J135" i="1"/>
  <c r="K133" i="1"/>
  <c r="J133" i="1"/>
  <c r="K119" i="1"/>
  <c r="J119" i="1"/>
  <c r="K111" i="1"/>
  <c r="J111" i="1"/>
  <c r="K87" i="1"/>
  <c r="J87" i="1"/>
  <c r="K102" i="1"/>
  <c r="J102" i="1"/>
  <c r="K88" i="1"/>
  <c r="J88" i="1"/>
  <c r="K91" i="1"/>
  <c r="J91" i="1"/>
  <c r="K59" i="1"/>
  <c r="J59" i="1"/>
  <c r="K63" i="1"/>
  <c r="J63" i="1"/>
  <c r="K68" i="1"/>
  <c r="J68" i="1"/>
  <c r="K52" i="1"/>
  <c r="J52" i="1"/>
  <c r="K21" i="1"/>
  <c r="J21" i="1"/>
  <c r="K24" i="1"/>
  <c r="J24" i="1"/>
  <c r="K27" i="1"/>
  <c r="J27" i="1"/>
  <c r="K4" i="1"/>
  <c r="J4" i="1"/>
  <c r="K1265" i="1"/>
  <c r="J1265" i="1"/>
  <c r="K1236" i="1"/>
  <c r="J1236" i="1"/>
  <c r="K1188" i="1"/>
  <c r="J1188" i="1"/>
  <c r="K1137" i="1"/>
  <c r="J1137" i="1"/>
  <c r="K1099" i="1"/>
  <c r="J1099" i="1"/>
  <c r="K1058" i="1"/>
  <c r="J1058" i="1"/>
  <c r="K1048" i="1"/>
  <c r="J1048" i="1"/>
  <c r="K907" i="1"/>
  <c r="J907" i="1"/>
  <c r="K713" i="1"/>
  <c r="J713" i="1"/>
  <c r="K853" i="1"/>
  <c r="J853" i="1"/>
  <c r="K808" i="1"/>
  <c r="J808" i="1"/>
  <c r="K790" i="1"/>
  <c r="J790" i="1"/>
  <c r="K632" i="1"/>
  <c r="J632" i="1"/>
  <c r="K634" i="1"/>
  <c r="J634" i="1"/>
  <c r="K443" i="1"/>
  <c r="J443" i="1"/>
  <c r="K546" i="1"/>
  <c r="J546" i="1"/>
  <c r="K496" i="1"/>
  <c r="J496" i="1"/>
  <c r="K606" i="1"/>
  <c r="J606" i="1"/>
  <c r="K560" i="1"/>
  <c r="J560" i="1"/>
  <c r="K471" i="1"/>
  <c r="J471" i="1"/>
  <c r="K429" i="1"/>
  <c r="J429" i="1"/>
  <c r="K368" i="1"/>
  <c r="J368" i="1"/>
  <c r="K328" i="1"/>
  <c r="J328" i="1"/>
  <c r="K272" i="1"/>
  <c r="J272" i="1"/>
  <c r="K279" i="1"/>
  <c r="J279" i="1"/>
  <c r="K235" i="1"/>
  <c r="J235" i="1"/>
  <c r="K192" i="1"/>
  <c r="J192" i="1"/>
  <c r="K141" i="1"/>
  <c r="J141" i="1"/>
  <c r="K94" i="1"/>
  <c r="J94" i="1"/>
  <c r="K58" i="1"/>
  <c r="J58" i="1"/>
  <c r="K9" i="1"/>
  <c r="J9" i="1"/>
  <c r="K1197" i="1"/>
  <c r="J1197" i="1"/>
  <c r="K1192" i="1"/>
  <c r="J1192" i="1"/>
  <c r="K1162" i="1"/>
  <c r="J1162" i="1"/>
  <c r="K1156" i="1"/>
  <c r="J1156" i="1"/>
  <c r="K1108" i="1"/>
  <c r="J1108" i="1"/>
  <c r="K1074" i="1"/>
  <c r="J1074" i="1"/>
  <c r="K987" i="1"/>
  <c r="J987" i="1"/>
  <c r="K992" i="1"/>
  <c r="J992" i="1"/>
  <c r="K705" i="1"/>
  <c r="J705" i="1"/>
  <c r="K922" i="1"/>
  <c r="J922" i="1"/>
  <c r="K900" i="1"/>
  <c r="J900" i="1"/>
  <c r="K873" i="1"/>
  <c r="J873" i="1"/>
  <c r="K844" i="1"/>
  <c r="J844" i="1"/>
  <c r="K759" i="1"/>
  <c r="J759" i="1"/>
  <c r="K795" i="1"/>
  <c r="J795" i="1"/>
  <c r="K761" i="1"/>
  <c r="J761" i="1"/>
  <c r="K686" i="1"/>
  <c r="J686" i="1"/>
  <c r="K651" i="1"/>
  <c r="J651" i="1"/>
  <c r="K680" i="1"/>
  <c r="J680" i="1"/>
  <c r="K299" i="1"/>
  <c r="J299" i="1"/>
  <c r="K594" i="1"/>
  <c r="J594" i="1"/>
  <c r="K485" i="1"/>
  <c r="J485" i="1"/>
  <c r="K550" i="1"/>
  <c r="J550" i="1"/>
  <c r="K457" i="1"/>
  <c r="J457" i="1"/>
  <c r="K426" i="1"/>
  <c r="J426" i="1"/>
  <c r="K390" i="1"/>
  <c r="J390" i="1"/>
  <c r="K335" i="1"/>
  <c r="J335" i="1"/>
  <c r="K283" i="1"/>
  <c r="J283" i="1"/>
  <c r="K254" i="1"/>
  <c r="J254" i="1"/>
  <c r="K226" i="1"/>
  <c r="J226" i="1"/>
  <c r="K172" i="1"/>
  <c r="J172" i="1"/>
  <c r="K131" i="1"/>
  <c r="J131" i="1"/>
  <c r="K92" i="1"/>
  <c r="J92" i="1"/>
  <c r="K49" i="1"/>
  <c r="J49" i="1"/>
  <c r="K6" i="1"/>
  <c r="J6" i="1"/>
  <c r="K1227" i="1"/>
  <c r="J1227" i="1"/>
  <c r="K1259" i="1"/>
  <c r="J1259" i="1"/>
  <c r="K1207" i="1"/>
  <c r="J1207" i="1"/>
  <c r="K1218" i="1"/>
  <c r="J1218" i="1"/>
  <c r="K1204" i="1"/>
  <c r="J1204" i="1"/>
  <c r="K1141" i="1"/>
  <c r="J1141" i="1"/>
  <c r="K1177" i="1"/>
  <c r="J1177" i="1"/>
  <c r="K1178" i="1"/>
  <c r="J1178" i="1"/>
  <c r="K1147" i="1"/>
  <c r="J1147" i="1"/>
  <c r="K1140" i="1"/>
  <c r="J1140" i="1"/>
  <c r="K1049" i="1"/>
  <c r="J1049" i="1"/>
  <c r="K1127" i="1"/>
  <c r="J1127" i="1"/>
  <c r="K1104" i="1"/>
  <c r="J1104" i="1"/>
  <c r="K1084" i="1"/>
  <c r="J1084" i="1"/>
  <c r="K1050" i="1"/>
  <c r="J1050" i="1"/>
  <c r="K1010" i="1"/>
  <c r="J1010" i="1"/>
  <c r="K1034" i="1"/>
  <c r="J1034" i="1"/>
  <c r="K1036" i="1"/>
  <c r="J1036" i="1"/>
  <c r="K1024" i="1"/>
  <c r="J1024" i="1"/>
  <c r="K949" i="1"/>
  <c r="J949" i="1"/>
  <c r="K1009" i="1"/>
  <c r="J1009" i="1"/>
  <c r="K977" i="1"/>
  <c r="J977" i="1"/>
  <c r="K998" i="1"/>
  <c r="J998" i="1"/>
  <c r="K974" i="1"/>
  <c r="J974" i="1"/>
  <c r="K950" i="1"/>
  <c r="J950" i="1"/>
  <c r="K970" i="1"/>
  <c r="J970" i="1"/>
  <c r="K962" i="1"/>
  <c r="J962" i="1"/>
  <c r="K627" i="1"/>
  <c r="J627" i="1"/>
  <c r="K937" i="1"/>
  <c r="J937" i="1"/>
  <c r="K935" i="1"/>
  <c r="J935" i="1"/>
  <c r="K912" i="1"/>
  <c r="J912" i="1"/>
  <c r="K919" i="1"/>
  <c r="J919" i="1"/>
  <c r="K914" i="1"/>
  <c r="J914" i="1"/>
  <c r="K890" i="1"/>
  <c r="J890" i="1"/>
  <c r="K885" i="1"/>
  <c r="J885" i="1"/>
  <c r="K719" i="1"/>
  <c r="J719" i="1"/>
  <c r="K865" i="1"/>
  <c r="J865" i="1"/>
  <c r="K841" i="1"/>
  <c r="J841" i="1"/>
  <c r="K838" i="1"/>
  <c r="J838" i="1"/>
  <c r="K757" i="1"/>
  <c r="J757" i="1"/>
  <c r="K786" i="1"/>
  <c r="J786" i="1"/>
  <c r="K821" i="1"/>
  <c r="J821" i="1"/>
  <c r="K807" i="1"/>
  <c r="J807" i="1"/>
  <c r="K799" i="1"/>
  <c r="J799" i="1"/>
  <c r="K783" i="1"/>
  <c r="J783" i="1"/>
  <c r="K762" i="1"/>
  <c r="J762" i="1"/>
  <c r="K750" i="1"/>
  <c r="J750" i="1"/>
  <c r="K772" i="1"/>
  <c r="J772" i="1"/>
  <c r="K749" i="1"/>
  <c r="J749" i="1"/>
  <c r="K736" i="1"/>
  <c r="J736" i="1"/>
  <c r="K708" i="1"/>
  <c r="J708" i="1"/>
  <c r="K729" i="1"/>
  <c r="J729" i="1"/>
  <c r="K727" i="1"/>
  <c r="J727" i="1"/>
  <c r="K715" i="1"/>
  <c r="J715" i="1"/>
  <c r="K681" i="1"/>
  <c r="J681" i="1"/>
  <c r="K622" i="1"/>
  <c r="J622" i="1"/>
  <c r="K684" i="1"/>
  <c r="J684" i="1"/>
  <c r="K628" i="1"/>
  <c r="J628" i="1"/>
  <c r="K703" i="1"/>
  <c r="J703" i="1"/>
  <c r="K667" i="1"/>
  <c r="J667" i="1"/>
  <c r="K641" i="1"/>
  <c r="J641" i="1"/>
  <c r="K668" i="1"/>
  <c r="J668" i="1"/>
  <c r="K528" i="1"/>
  <c r="J528" i="1"/>
  <c r="K448" i="1"/>
  <c r="J448" i="1"/>
  <c r="K411" i="1"/>
  <c r="J411" i="1"/>
  <c r="K437" i="1"/>
  <c r="J437" i="1"/>
  <c r="K529" i="1"/>
  <c r="J529" i="1"/>
  <c r="K507" i="1"/>
  <c r="J507" i="1"/>
  <c r="K580" i="1"/>
  <c r="J580" i="1"/>
  <c r="K582" i="1"/>
  <c r="J582" i="1"/>
  <c r="K500" i="1"/>
  <c r="J500" i="1"/>
  <c r="K519" i="1"/>
  <c r="J519" i="1"/>
  <c r="K565" i="1"/>
  <c r="J565" i="1"/>
  <c r="K573" i="1"/>
  <c r="J573" i="1"/>
  <c r="K526" i="1"/>
  <c r="J526" i="1"/>
  <c r="K614" i="1"/>
  <c r="J614" i="1"/>
  <c r="K597" i="1"/>
  <c r="J597" i="1"/>
  <c r="K570" i="1"/>
  <c r="J570" i="1"/>
  <c r="K544" i="1"/>
  <c r="J544" i="1"/>
  <c r="K510" i="1"/>
  <c r="J510" i="1"/>
  <c r="K484" i="1"/>
  <c r="J484" i="1"/>
  <c r="K396" i="1"/>
  <c r="J396" i="1"/>
  <c r="K415" i="1"/>
  <c r="J415" i="1"/>
  <c r="K460" i="1"/>
  <c r="J460" i="1"/>
  <c r="K374" i="1"/>
  <c r="J374" i="1"/>
  <c r="K354" i="1"/>
  <c r="J354" i="1"/>
  <c r="K325" i="1"/>
  <c r="J325" i="1"/>
  <c r="K412" i="1"/>
  <c r="J412" i="1"/>
  <c r="K407" i="1"/>
  <c r="J407" i="1"/>
  <c r="K394" i="1"/>
  <c r="J394" i="1"/>
  <c r="K399" i="1"/>
  <c r="J399" i="1"/>
  <c r="K296" i="1"/>
  <c r="J296" i="1"/>
  <c r="K303" i="1"/>
  <c r="J303" i="1"/>
  <c r="K353" i="1"/>
  <c r="J353" i="1"/>
  <c r="K350" i="1"/>
  <c r="J350" i="1"/>
  <c r="K302" i="1"/>
  <c r="J302" i="1"/>
  <c r="K334" i="1"/>
  <c r="J334" i="1"/>
  <c r="K314" i="1"/>
  <c r="J314" i="1"/>
  <c r="K318" i="1"/>
  <c r="J318" i="1"/>
  <c r="K271" i="1"/>
  <c r="J271" i="1"/>
  <c r="K295" i="1"/>
  <c r="J295" i="1"/>
  <c r="K263" i="1"/>
  <c r="J263" i="1"/>
  <c r="K199" i="1"/>
  <c r="J199" i="1"/>
  <c r="K275" i="1"/>
  <c r="J275" i="1"/>
  <c r="K244" i="1"/>
  <c r="J244" i="1"/>
  <c r="K265" i="1"/>
  <c r="J265" i="1"/>
  <c r="K250" i="1"/>
  <c r="J250" i="1"/>
  <c r="K247" i="1"/>
  <c r="J247" i="1"/>
  <c r="K216" i="1"/>
  <c r="J216" i="1"/>
  <c r="K171" i="1"/>
  <c r="J171" i="1"/>
  <c r="K219" i="1"/>
  <c r="J219" i="1"/>
  <c r="K154" i="1"/>
  <c r="J154" i="1"/>
  <c r="K201" i="1"/>
  <c r="J201" i="1"/>
  <c r="K165" i="1"/>
  <c r="J165" i="1"/>
  <c r="K168" i="1"/>
  <c r="J168" i="1"/>
  <c r="K180" i="1"/>
  <c r="J180" i="1"/>
  <c r="K149" i="1"/>
  <c r="J149" i="1"/>
  <c r="K136" i="1"/>
  <c r="J136" i="1"/>
  <c r="K124" i="1"/>
  <c r="J124" i="1"/>
  <c r="K134" i="1"/>
  <c r="J134" i="1"/>
  <c r="K122" i="1"/>
  <c r="J122" i="1"/>
  <c r="K113" i="1"/>
  <c r="J113" i="1"/>
  <c r="K78" i="1"/>
  <c r="J78" i="1"/>
  <c r="K75" i="1"/>
  <c r="J75" i="1"/>
  <c r="K82" i="1"/>
  <c r="J82" i="1"/>
  <c r="K53" i="1"/>
  <c r="J53" i="1"/>
  <c r="K51" i="1"/>
  <c r="J51" i="1"/>
  <c r="K72" i="1"/>
  <c r="J72" i="1"/>
  <c r="K45" i="1"/>
  <c r="J45" i="1"/>
  <c r="K31" i="1"/>
  <c r="J31" i="1"/>
  <c r="K41" i="1"/>
  <c r="J41" i="1"/>
  <c r="K25" i="1"/>
  <c r="J25" i="1"/>
  <c r="K33" i="1"/>
  <c r="J33" i="1"/>
  <c r="K14" i="1"/>
  <c r="J14" i="1"/>
  <c r="K1275" i="1"/>
  <c r="J1275" i="1"/>
  <c r="K1202" i="1"/>
  <c r="J1202" i="1"/>
  <c r="K1166" i="1"/>
  <c r="J1166" i="1"/>
  <c r="K1148" i="1"/>
  <c r="J1148" i="1"/>
  <c r="K1089" i="1"/>
  <c r="J1089" i="1"/>
  <c r="K990" i="1"/>
  <c r="J990" i="1"/>
  <c r="K1019" i="1"/>
  <c r="J1019" i="1"/>
  <c r="K969" i="1"/>
  <c r="J969" i="1"/>
  <c r="K858" i="1"/>
  <c r="J858" i="1"/>
  <c r="K886" i="1"/>
  <c r="J886" i="1"/>
  <c r="K854" i="1"/>
  <c r="J854" i="1"/>
  <c r="K829" i="1"/>
  <c r="J829" i="1"/>
  <c r="K794" i="1"/>
  <c r="J794" i="1"/>
  <c r="K764" i="1"/>
  <c r="J764" i="1"/>
  <c r="K748" i="1"/>
  <c r="J748" i="1"/>
  <c r="K691" i="1"/>
  <c r="J691" i="1"/>
  <c r="K489" i="1"/>
  <c r="J489" i="1"/>
  <c r="K536" i="1"/>
  <c r="J536" i="1"/>
  <c r="K588" i="1"/>
  <c r="J588" i="1"/>
  <c r="K545" i="1"/>
  <c r="J545" i="1"/>
  <c r="K523" i="1"/>
  <c r="J523" i="1"/>
  <c r="K459" i="1"/>
  <c r="J459" i="1"/>
  <c r="K416" i="1"/>
  <c r="J416" i="1"/>
  <c r="K375" i="1"/>
  <c r="J375" i="1"/>
  <c r="K288" i="1"/>
  <c r="J288" i="1"/>
  <c r="K304" i="1"/>
  <c r="J304" i="1"/>
  <c r="K246" i="1"/>
  <c r="J246" i="1"/>
  <c r="K196" i="1"/>
  <c r="J196" i="1"/>
  <c r="K116" i="1"/>
  <c r="J116" i="1"/>
  <c r="K147" i="1"/>
  <c r="J147" i="1"/>
  <c r="K65" i="1"/>
  <c r="J65" i="1"/>
  <c r="K71" i="1"/>
  <c r="J71" i="1"/>
  <c r="K5" i="1"/>
  <c r="J5" i="1"/>
  <c r="K1267" i="1"/>
  <c r="J1267" i="1"/>
  <c r="K1187" i="1"/>
  <c r="J1187" i="1"/>
  <c r="K1174" i="1"/>
  <c r="J1174" i="1"/>
  <c r="K1131" i="1"/>
  <c r="J1131" i="1"/>
  <c r="K1090" i="1"/>
  <c r="J1090" i="1"/>
  <c r="K1041" i="1"/>
  <c r="J1041" i="1"/>
  <c r="K1017" i="1"/>
  <c r="J1017" i="1"/>
  <c r="K951" i="1"/>
  <c r="J951" i="1"/>
  <c r="K940" i="1"/>
  <c r="J940" i="1"/>
  <c r="K827" i="1"/>
  <c r="J827" i="1"/>
  <c r="K777" i="1"/>
  <c r="J777" i="1"/>
  <c r="K732" i="1"/>
  <c r="J732" i="1"/>
  <c r="K714" i="1"/>
  <c r="J714" i="1"/>
  <c r="K689" i="1"/>
  <c r="J689" i="1"/>
  <c r="K604" i="1"/>
  <c r="J604" i="1"/>
  <c r="K405" i="1"/>
  <c r="J405" i="1"/>
  <c r="K581" i="1"/>
  <c r="J581" i="1"/>
  <c r="K475" i="1"/>
  <c r="J475" i="1"/>
  <c r="K410" i="1"/>
  <c r="J410" i="1"/>
  <c r="K376" i="1"/>
  <c r="J376" i="1"/>
  <c r="K310" i="1"/>
  <c r="J310" i="1"/>
  <c r="K269" i="1"/>
  <c r="J269" i="1"/>
  <c r="K276" i="1"/>
  <c r="J276" i="1"/>
  <c r="K231" i="1"/>
  <c r="J231" i="1"/>
  <c r="K176" i="1"/>
  <c r="J176" i="1"/>
  <c r="K121" i="1"/>
  <c r="J121" i="1"/>
  <c r="K105" i="1"/>
  <c r="J105" i="1"/>
  <c r="K39" i="1"/>
  <c r="J39" i="1"/>
  <c r="K30" i="1"/>
  <c r="J30" i="1"/>
  <c r="K1261" i="1"/>
  <c r="J1261" i="1"/>
  <c r="K1264" i="1"/>
  <c r="J1264" i="1"/>
  <c r="K1278" i="1"/>
  <c r="J1278" i="1"/>
  <c r="K1251" i="1"/>
  <c r="J1251" i="1"/>
  <c r="K1229" i="1"/>
  <c r="J1229" i="1"/>
  <c r="K1186" i="1"/>
  <c r="J1186" i="1"/>
  <c r="K1055" i="1"/>
  <c r="J1055" i="1"/>
  <c r="K1132" i="1"/>
  <c r="J1132" i="1"/>
  <c r="K1057" i="1"/>
  <c r="J1057" i="1"/>
  <c r="K1076" i="1"/>
  <c r="J1076" i="1"/>
  <c r="K1064" i="1"/>
  <c r="J1064" i="1"/>
  <c r="K1067" i="1"/>
  <c r="J1067" i="1"/>
  <c r="K1044" i="1"/>
  <c r="J1044" i="1"/>
  <c r="K1299" i="1"/>
  <c r="J1299" i="1"/>
  <c r="K1256" i="1"/>
  <c r="J1256" i="1"/>
  <c r="K1289" i="1"/>
  <c r="J1289" i="1"/>
  <c r="K1287" i="1"/>
  <c r="J1287" i="1"/>
  <c r="K1258" i="1"/>
  <c r="J1258" i="1"/>
  <c r="K1277" i="1"/>
  <c r="J1277" i="1"/>
  <c r="K1237" i="1"/>
  <c r="J1237" i="1"/>
  <c r="K1249" i="1"/>
  <c r="J1249" i="1"/>
  <c r="K1078" i="1"/>
  <c r="J1078" i="1"/>
  <c r="K1214" i="1"/>
  <c r="J1214" i="1"/>
  <c r="K1206" i="1"/>
  <c r="J1206" i="1"/>
  <c r="K1212" i="1"/>
  <c r="J1212" i="1"/>
  <c r="K1183" i="1"/>
  <c r="J1183" i="1"/>
  <c r="K1164" i="1"/>
  <c r="J1164" i="1"/>
  <c r="K1079" i="1"/>
  <c r="J1079" i="1"/>
  <c r="K1176" i="1"/>
  <c r="J1176" i="1"/>
  <c r="K1161" i="1"/>
  <c r="J1161" i="1"/>
  <c r="K1170" i="1"/>
  <c r="J1170" i="1"/>
  <c r="K1155" i="1"/>
  <c r="J1155" i="1"/>
  <c r="K1149" i="1"/>
  <c r="J1149" i="1"/>
  <c r="K1106" i="1"/>
  <c r="J1106" i="1"/>
  <c r="K1120" i="1"/>
  <c r="J1120" i="1"/>
  <c r="K1123" i="1"/>
  <c r="J1123" i="1"/>
  <c r="K1110" i="1"/>
  <c r="J1110" i="1"/>
  <c r="K1081" i="1"/>
  <c r="J1081" i="1"/>
  <c r="K1061" i="1"/>
  <c r="J1061" i="1"/>
  <c r="K1087" i="1"/>
  <c r="J1087" i="1"/>
  <c r="K1069" i="1"/>
  <c r="J1069" i="1"/>
  <c r="K1022" i="1"/>
  <c r="J1022" i="1"/>
  <c r="K1054" i="1"/>
  <c r="J1054" i="1"/>
  <c r="K1030" i="1"/>
  <c r="J1030" i="1"/>
  <c r="K1033" i="1"/>
  <c r="J1033" i="1"/>
  <c r="K1015" i="1"/>
  <c r="J1015" i="1"/>
  <c r="K991" i="1"/>
  <c r="J991" i="1"/>
  <c r="K1012" i="1"/>
  <c r="J1012" i="1"/>
  <c r="K1003" i="1"/>
  <c r="J1003" i="1"/>
  <c r="K976" i="1"/>
  <c r="J976" i="1"/>
  <c r="K989" i="1"/>
  <c r="J989" i="1"/>
  <c r="K986" i="1"/>
  <c r="J986" i="1"/>
  <c r="K983" i="1"/>
  <c r="J983" i="1"/>
  <c r="K967" i="1"/>
  <c r="J967" i="1"/>
  <c r="K960" i="1"/>
  <c r="J960" i="1"/>
  <c r="K946" i="1"/>
  <c r="J946" i="1"/>
  <c r="K941" i="1"/>
  <c r="J941" i="1"/>
  <c r="K913" i="1"/>
  <c r="J913" i="1"/>
  <c r="K928" i="1"/>
  <c r="J928" i="1"/>
  <c r="K918" i="1"/>
  <c r="J918" i="1"/>
  <c r="K878" i="1"/>
  <c r="J878" i="1"/>
  <c r="K908" i="1"/>
  <c r="J908" i="1"/>
  <c r="K849" i="1"/>
  <c r="J849" i="1"/>
  <c r="K881" i="1"/>
  <c r="J881" i="1"/>
  <c r="K879" i="1"/>
  <c r="J879" i="1"/>
  <c r="K874" i="1"/>
  <c r="J874" i="1"/>
  <c r="K866" i="1"/>
  <c r="J866" i="1"/>
  <c r="K840" i="1"/>
  <c r="J840" i="1"/>
  <c r="K763" i="1"/>
  <c r="J763" i="1"/>
  <c r="K747" i="1"/>
  <c r="J747" i="1"/>
  <c r="K806" i="1"/>
  <c r="J806" i="1"/>
  <c r="K800" i="1"/>
  <c r="J800" i="1"/>
  <c r="K810" i="1"/>
  <c r="J810" i="1"/>
  <c r="K652" i="1"/>
  <c r="J652" i="1"/>
  <c r="K678" i="1"/>
  <c r="J678" i="1"/>
  <c r="K773" i="1"/>
  <c r="J773" i="1"/>
  <c r="K663" i="1"/>
  <c r="J663" i="1"/>
  <c r="K768" i="1"/>
  <c r="J768" i="1"/>
  <c r="K751" i="1"/>
  <c r="J751" i="1"/>
  <c r="K737" i="1"/>
  <c r="J737" i="1"/>
  <c r="K753" i="1"/>
  <c r="J753" i="1"/>
  <c r="K702" i="1"/>
  <c r="J702" i="1"/>
  <c r="K724" i="1"/>
  <c r="J724" i="1"/>
  <c r="K673" i="1"/>
  <c r="J673" i="1"/>
  <c r="K620" i="1"/>
  <c r="J620" i="1"/>
  <c r="K653" i="1"/>
  <c r="J653" i="1"/>
  <c r="K679" i="1"/>
  <c r="J679" i="1"/>
  <c r="K619" i="1"/>
  <c r="J619" i="1"/>
  <c r="K697" i="1"/>
  <c r="J697" i="1"/>
  <c r="K664" i="1"/>
  <c r="J664" i="1"/>
  <c r="K537" i="1"/>
  <c r="J537" i="1"/>
  <c r="K643" i="1"/>
  <c r="J643" i="1"/>
  <c r="K637" i="1"/>
  <c r="J637" i="1"/>
  <c r="K625" i="1"/>
  <c r="J625" i="1"/>
  <c r="K508" i="1"/>
  <c r="J508" i="1"/>
  <c r="K337" i="1"/>
  <c r="J337" i="1"/>
  <c r="K532" i="1"/>
  <c r="J532" i="1"/>
  <c r="K480" i="1"/>
  <c r="J480" i="1"/>
  <c r="K501" i="1"/>
  <c r="J501" i="1"/>
  <c r="K552" i="1"/>
  <c r="J552" i="1"/>
  <c r="K568" i="1"/>
  <c r="J568" i="1"/>
  <c r="K499" i="1"/>
  <c r="J499" i="1"/>
  <c r="K516" i="1"/>
  <c r="J516" i="1"/>
  <c r="K571" i="1"/>
  <c r="J571" i="1"/>
  <c r="K605" i="1"/>
  <c r="J605" i="1"/>
  <c r="K553" i="1"/>
  <c r="J553" i="1"/>
  <c r="K531" i="1"/>
  <c r="J531" i="1"/>
  <c r="K617" i="1"/>
  <c r="J617" i="1"/>
  <c r="K593" i="1"/>
  <c r="J593" i="1"/>
  <c r="K566" i="1"/>
  <c r="J566" i="1"/>
  <c r="K513" i="1"/>
  <c r="J513" i="1"/>
  <c r="K482" i="1"/>
  <c r="J482" i="1"/>
  <c r="K461" i="1"/>
  <c r="J461" i="1"/>
  <c r="K436" i="1"/>
  <c r="J436" i="1"/>
  <c r="K398" i="1"/>
  <c r="J398" i="1"/>
  <c r="K274" i="1"/>
  <c r="J274" i="1"/>
  <c r="K425" i="1"/>
  <c r="J425" i="1"/>
  <c r="K372" i="1"/>
  <c r="J372" i="1"/>
  <c r="K404" i="1"/>
  <c r="J404" i="1"/>
  <c r="K400" i="1"/>
  <c r="J400" i="1"/>
  <c r="K383" i="1"/>
  <c r="J383" i="1"/>
  <c r="K356" i="1"/>
  <c r="J356" i="1"/>
  <c r="K341" i="1"/>
  <c r="J341" i="1"/>
  <c r="K349" i="1"/>
  <c r="J349" i="1"/>
  <c r="K313" i="1"/>
  <c r="J313" i="1"/>
  <c r="K268" i="1"/>
  <c r="J268" i="1"/>
  <c r="K315" i="1"/>
  <c r="J315" i="1"/>
  <c r="K320" i="1"/>
  <c r="J320" i="1"/>
  <c r="K308" i="1"/>
  <c r="J308" i="1"/>
  <c r="K256" i="1"/>
  <c r="J256" i="1"/>
  <c r="K278" i="1"/>
  <c r="J278" i="1"/>
  <c r="K197" i="1"/>
  <c r="J197" i="1"/>
  <c r="K262" i="1"/>
  <c r="J262" i="1"/>
  <c r="K259" i="1"/>
  <c r="J259" i="1"/>
  <c r="K257" i="1"/>
  <c r="J257" i="1"/>
  <c r="K230" i="1"/>
  <c r="J230" i="1"/>
  <c r="K249" i="1"/>
  <c r="J249" i="1"/>
  <c r="K194" i="1"/>
  <c r="J194" i="1"/>
  <c r="K229" i="1"/>
  <c r="J229" i="1"/>
  <c r="K218" i="1"/>
  <c r="J218" i="1"/>
  <c r="K203" i="1"/>
  <c r="J203" i="1"/>
  <c r="K200" i="1"/>
  <c r="J200" i="1"/>
  <c r="K195" i="1"/>
  <c r="J195" i="1"/>
  <c r="K167" i="1"/>
  <c r="J167" i="1"/>
  <c r="K174" i="1"/>
  <c r="J174" i="1"/>
  <c r="K156" i="1"/>
  <c r="J156" i="1"/>
  <c r="K153" i="1"/>
  <c r="J153" i="1"/>
  <c r="K115" i="1"/>
  <c r="J115" i="1"/>
  <c r="K126" i="1"/>
  <c r="J126" i="1"/>
  <c r="K129" i="1"/>
  <c r="J129" i="1"/>
  <c r="K114" i="1"/>
  <c r="J114" i="1"/>
  <c r="K97" i="1"/>
  <c r="J97" i="1"/>
  <c r="K86" i="1"/>
  <c r="J86" i="1"/>
  <c r="K74" i="1"/>
  <c r="J74" i="1"/>
  <c r="K77" i="1"/>
  <c r="J77" i="1"/>
  <c r="K47" i="1"/>
  <c r="J47" i="1"/>
  <c r="K70" i="1"/>
  <c r="J70" i="1"/>
  <c r="K67" i="1"/>
  <c r="J67" i="1"/>
  <c r="K34" i="1"/>
  <c r="J34" i="1"/>
  <c r="K20" i="1"/>
  <c r="J20" i="1"/>
  <c r="K22" i="1"/>
  <c r="J22" i="1"/>
  <c r="K17" i="1"/>
  <c r="J17" i="1"/>
  <c r="K16" i="1"/>
  <c r="J16" i="1"/>
  <c r="K1291" i="1"/>
  <c r="J1291" i="1"/>
  <c r="K1232" i="1"/>
  <c r="J1232" i="1"/>
  <c r="K1223" i="1"/>
  <c r="J1223" i="1"/>
  <c r="K1125" i="1"/>
  <c r="J1125" i="1"/>
  <c r="K978" i="1"/>
  <c r="J978" i="1"/>
  <c r="K904" i="1"/>
  <c r="J904" i="1"/>
  <c r="K887" i="1"/>
  <c r="J887" i="1"/>
  <c r="K635" i="1"/>
  <c r="J635" i="1"/>
  <c r="K797" i="1"/>
  <c r="J797" i="1"/>
  <c r="K734" i="1"/>
  <c r="J734" i="1"/>
  <c r="K720" i="1"/>
  <c r="J720" i="1"/>
  <c r="K674" i="1"/>
  <c r="J674" i="1"/>
  <c r="K421" i="1"/>
  <c r="J421" i="1"/>
  <c r="K469" i="1"/>
  <c r="J469" i="1"/>
  <c r="K511" i="1"/>
  <c r="J511" i="1"/>
  <c r="K490" i="1"/>
  <c r="J490" i="1"/>
  <c r="K434" i="1"/>
  <c r="J434" i="1"/>
  <c r="K330" i="1"/>
  <c r="J330" i="1"/>
  <c r="K225" i="1"/>
  <c r="J225" i="1"/>
  <c r="K177" i="1"/>
  <c r="J177" i="1"/>
  <c r="K108" i="1"/>
  <c r="J108" i="1"/>
  <c r="K104" i="1"/>
  <c r="J104" i="1"/>
  <c r="K55" i="1"/>
  <c r="J55" i="1"/>
  <c r="K1230" i="1"/>
  <c r="J1230" i="1"/>
  <c r="K1247" i="1"/>
  <c r="J1247" i="1"/>
  <c r="K1200" i="1"/>
  <c r="J1200" i="1"/>
  <c r="K1205" i="1"/>
  <c r="J1205" i="1"/>
  <c r="K1107" i="1"/>
  <c r="J1107" i="1"/>
  <c r="K1142" i="1"/>
  <c r="J1142" i="1"/>
  <c r="K1075" i="1"/>
  <c r="J1075" i="1"/>
  <c r="K851" i="1"/>
  <c r="J851" i="1"/>
  <c r="K968" i="1"/>
  <c r="J968" i="1"/>
  <c r="K867" i="1"/>
  <c r="J867" i="1"/>
  <c r="K916" i="1"/>
  <c r="J916" i="1"/>
  <c r="K862" i="1"/>
  <c r="J862" i="1"/>
  <c r="K819" i="1"/>
  <c r="J819" i="1"/>
  <c r="K781" i="1"/>
  <c r="J781" i="1"/>
  <c r="K722" i="1"/>
  <c r="J722" i="1"/>
  <c r="K579" i="1"/>
  <c r="J579" i="1"/>
  <c r="K503" i="1"/>
  <c r="J503" i="1"/>
  <c r="K602" i="1"/>
  <c r="J602" i="1"/>
  <c r="K433" i="1"/>
  <c r="J433" i="1"/>
  <c r="K414" i="1"/>
  <c r="J414" i="1"/>
  <c r="K402" i="1"/>
  <c r="J402" i="1"/>
  <c r="K347" i="1"/>
  <c r="J347" i="1"/>
  <c r="K324" i="1"/>
  <c r="J324" i="1"/>
  <c r="K287" i="1"/>
  <c r="J287" i="1"/>
  <c r="K222" i="1"/>
  <c r="J222" i="1"/>
  <c r="K208" i="1"/>
  <c r="J208" i="1"/>
  <c r="K151" i="1"/>
  <c r="J151" i="1"/>
  <c r="K85" i="1"/>
  <c r="J85" i="1"/>
  <c r="K56" i="1"/>
  <c r="J56" i="1"/>
  <c r="K1139" i="1"/>
  <c r="J1139" i="1"/>
  <c r="K1180" i="1"/>
  <c r="J1180" i="1"/>
  <c r="K1151" i="1"/>
  <c r="J1151" i="1"/>
  <c r="K1129" i="1"/>
  <c r="J1129" i="1"/>
  <c r="K1135" i="1"/>
  <c r="J1135" i="1"/>
  <c r="K1065" i="1"/>
  <c r="J1065" i="1"/>
  <c r="K1093" i="1"/>
  <c r="J1093" i="1"/>
  <c r="K1077" i="1"/>
  <c r="J1077" i="1"/>
  <c r="K1038" i="1"/>
  <c r="J1038" i="1"/>
  <c r="K1037" i="1"/>
  <c r="J1037" i="1"/>
  <c r="K1026" i="1"/>
  <c r="J1026" i="1"/>
  <c r="K1005" i="1"/>
  <c r="J1005" i="1"/>
  <c r="K993" i="1"/>
  <c r="J993" i="1"/>
  <c r="K975" i="1"/>
  <c r="J975" i="1"/>
  <c r="K959" i="1"/>
  <c r="J959" i="1"/>
  <c r="K938" i="1"/>
  <c r="J938" i="1"/>
  <c r="K690" i="1"/>
  <c r="J690" i="1"/>
  <c r="K895" i="1"/>
  <c r="J895" i="1"/>
  <c r="K903" i="1"/>
  <c r="J903" i="1"/>
  <c r="K848" i="1"/>
  <c r="J848" i="1"/>
  <c r="K877" i="1"/>
  <c r="J877" i="1"/>
  <c r="K856" i="1"/>
  <c r="J856" i="1"/>
  <c r="K839" i="1"/>
  <c r="J839" i="1"/>
  <c r="K815" i="1"/>
  <c r="J815" i="1"/>
  <c r="K755" i="1"/>
  <c r="J755" i="1"/>
  <c r="K706" i="1"/>
  <c r="J706" i="1"/>
  <c r="K782" i="1"/>
  <c r="J782" i="1"/>
  <c r="K752" i="1"/>
  <c r="J752" i="1"/>
  <c r="K780" i="1"/>
  <c r="J780" i="1"/>
  <c r="K599" i="1"/>
  <c r="J599" i="1"/>
  <c r="K754" i="1"/>
  <c r="J754" i="1"/>
  <c r="K658" i="1"/>
  <c r="J658" i="1"/>
  <c r="K670" i="1"/>
  <c r="J670" i="1"/>
  <c r="K644" i="1"/>
  <c r="J644" i="1"/>
  <c r="K676" i="1"/>
  <c r="J676" i="1"/>
  <c r="K616" i="1"/>
  <c r="J616" i="1"/>
  <c r="K682" i="1"/>
  <c r="J682" i="1"/>
  <c r="K631" i="1"/>
  <c r="J631" i="1"/>
  <c r="K657" i="1"/>
  <c r="J657" i="1"/>
  <c r="K642" i="1"/>
  <c r="J642" i="1"/>
  <c r="K558" i="1"/>
  <c r="J558" i="1"/>
  <c r="K520" i="1"/>
  <c r="J520" i="1"/>
  <c r="K522" i="1"/>
  <c r="J522" i="1"/>
  <c r="K418" i="1"/>
  <c r="J418" i="1"/>
  <c r="K431" i="1"/>
  <c r="J431" i="1"/>
  <c r="K474" i="1"/>
  <c r="J474" i="1"/>
  <c r="K449" i="1"/>
  <c r="J449" i="1"/>
  <c r="K514" i="1"/>
  <c r="J514" i="1"/>
  <c r="K557" i="1"/>
  <c r="J557" i="1"/>
  <c r="K486" i="1"/>
  <c r="J486" i="1"/>
  <c r="K491" i="1"/>
  <c r="J491" i="1"/>
  <c r="K567" i="1"/>
  <c r="J567" i="1"/>
  <c r="K595" i="1"/>
  <c r="J595" i="1"/>
  <c r="K547" i="1"/>
  <c r="J547" i="1"/>
  <c r="K517" i="1"/>
  <c r="J517" i="1"/>
  <c r="K610" i="1"/>
  <c r="J610" i="1"/>
  <c r="K591" i="1"/>
  <c r="J591" i="1"/>
  <c r="K563" i="1"/>
  <c r="J563" i="1"/>
  <c r="K539" i="1"/>
  <c r="J539" i="1"/>
  <c r="K505" i="1"/>
  <c r="J505" i="1"/>
  <c r="K481" i="1"/>
  <c r="J481" i="1"/>
  <c r="K477" i="1"/>
  <c r="J477" i="1"/>
  <c r="K458" i="1"/>
  <c r="J458" i="1"/>
  <c r="K435" i="1"/>
  <c r="J435" i="1"/>
  <c r="K442" i="1"/>
  <c r="J442" i="1"/>
  <c r="K432" i="1"/>
  <c r="J432" i="1"/>
  <c r="K422" i="1"/>
  <c r="J422" i="1"/>
  <c r="K282" i="1"/>
  <c r="J282" i="1"/>
  <c r="K371" i="1"/>
  <c r="J371" i="1"/>
  <c r="K186" i="1"/>
  <c r="J186" i="1"/>
  <c r="K381" i="1"/>
  <c r="J381" i="1"/>
  <c r="K280" i="1"/>
  <c r="J280" i="1"/>
  <c r="K292" i="1"/>
  <c r="J292" i="1"/>
  <c r="K358" i="1"/>
  <c r="J358" i="1"/>
  <c r="K348" i="1"/>
  <c r="J348" i="1"/>
  <c r="K333" i="1"/>
  <c r="J333" i="1"/>
  <c r="K306" i="1"/>
  <c r="J306" i="1"/>
  <c r="K157" i="1"/>
  <c r="J157" i="1"/>
  <c r="K284" i="1"/>
  <c r="J284" i="1"/>
  <c r="K267" i="1"/>
  <c r="J267" i="1"/>
  <c r="K242" i="1"/>
  <c r="J242" i="1"/>
  <c r="K193" i="1"/>
  <c r="J193" i="1"/>
  <c r="K264" i="1"/>
  <c r="J264" i="1"/>
  <c r="K212" i="1"/>
  <c r="J212" i="1"/>
  <c r="K202" i="1"/>
  <c r="J202" i="1"/>
  <c r="K179" i="1"/>
  <c r="J179" i="1"/>
  <c r="K243" i="1"/>
  <c r="J243" i="1"/>
  <c r="K238" i="1"/>
  <c r="J238" i="1"/>
  <c r="K152" i="1"/>
  <c r="J152" i="1"/>
  <c r="K198" i="1"/>
  <c r="J198" i="1"/>
  <c r="K182" i="1"/>
  <c r="J182" i="1"/>
  <c r="K205" i="1"/>
  <c r="J205" i="1"/>
  <c r="K169" i="1"/>
  <c r="J169" i="1"/>
  <c r="K166" i="1"/>
  <c r="J166" i="1"/>
  <c r="K106" i="1"/>
  <c r="J106" i="1"/>
  <c r="K144" i="1"/>
  <c r="J144" i="1"/>
  <c r="K148" i="1"/>
  <c r="J148" i="1"/>
  <c r="K138" i="1"/>
  <c r="J138" i="1"/>
  <c r="K130" i="1"/>
  <c r="J130" i="1"/>
  <c r="K100" i="1"/>
  <c r="J100" i="1"/>
  <c r="K109" i="1"/>
  <c r="J109" i="1"/>
  <c r="K101" i="1"/>
  <c r="J101" i="1"/>
  <c r="K83" i="1"/>
  <c r="J83" i="1"/>
  <c r="K89" i="1"/>
  <c r="J89" i="1"/>
  <c r="K76" i="1"/>
  <c r="J76" i="1"/>
  <c r="K43" i="1"/>
  <c r="J43" i="1"/>
  <c r="K3" i="1"/>
  <c r="J3" i="1"/>
  <c r="K62" i="1"/>
  <c r="J62" i="1"/>
  <c r="K29" i="1"/>
  <c r="J29" i="1"/>
  <c r="K19" i="1"/>
  <c r="J19" i="1"/>
  <c r="K38" i="1"/>
  <c r="J38" i="1"/>
  <c r="K12" i="1"/>
  <c r="J12" i="1"/>
  <c r="K10" i="1"/>
  <c r="J10" i="1"/>
  <c r="K1240" i="1"/>
  <c r="J1240" i="1"/>
  <c r="K1208" i="1"/>
  <c r="J1208" i="1"/>
  <c r="K1175" i="1"/>
  <c r="J1175" i="1"/>
  <c r="K1097" i="1"/>
  <c r="J1097" i="1"/>
  <c r="K1071" i="1"/>
  <c r="J1071" i="1"/>
  <c r="K1028" i="1"/>
  <c r="J1028" i="1"/>
  <c r="K995" i="1"/>
  <c r="J995" i="1"/>
  <c r="K906" i="1"/>
  <c r="J906" i="1"/>
  <c r="K707" i="1"/>
  <c r="J707" i="1"/>
  <c r="K142" i="1"/>
  <c r="J142" i="1"/>
  <c r="K90" i="1"/>
  <c r="J90" i="1"/>
  <c r="K26" i="1"/>
  <c r="J26" i="1"/>
  <c r="K1266" i="1"/>
  <c r="J1266" i="1"/>
  <c r="K1235" i="1"/>
  <c r="J1235" i="1"/>
  <c r="K1179" i="1"/>
  <c r="J1179" i="1"/>
  <c r="K1100" i="1"/>
  <c r="J1100" i="1"/>
  <c r="K1056" i="1"/>
  <c r="J1056" i="1"/>
  <c r="K971" i="1"/>
  <c r="J971" i="1"/>
  <c r="K775" i="1"/>
  <c r="J775" i="1"/>
  <c r="K746" i="1"/>
  <c r="J746" i="1"/>
  <c r="K646" i="1"/>
  <c r="J646" i="1"/>
  <c r="K672" i="1"/>
  <c r="J672" i="1"/>
  <c r="K564" i="1"/>
  <c r="J564" i="1"/>
  <c r="K478" i="1"/>
  <c r="J478" i="1"/>
  <c r="K559" i="1"/>
  <c r="J559" i="1"/>
  <c r="K527" i="1"/>
  <c r="J527" i="1"/>
  <c r="K515" i="1"/>
  <c r="J515" i="1"/>
  <c r="K438" i="1"/>
  <c r="J438" i="1"/>
  <c r="K380" i="1"/>
  <c r="J380" i="1"/>
  <c r="K342" i="1"/>
  <c r="J342" i="1"/>
  <c r="K291" i="1"/>
  <c r="J291" i="1"/>
  <c r="K252" i="1"/>
  <c r="J252" i="1"/>
  <c r="K206" i="1"/>
  <c r="J206" i="1"/>
  <c r="K159" i="1"/>
  <c r="J159" i="1"/>
  <c r="K95" i="1"/>
  <c r="J95" i="1"/>
  <c r="K57" i="1"/>
  <c r="J57" i="1"/>
  <c r="K36" i="1"/>
  <c r="J36" i="1"/>
  <c r="K1295" i="1"/>
  <c r="J1295" i="1"/>
  <c r="K1285" i="1"/>
  <c r="J1285" i="1"/>
  <c r="K1286" i="1"/>
  <c r="J1286" i="1"/>
  <c r="K1254" i="1"/>
  <c r="J1254" i="1"/>
  <c r="K1274" i="1"/>
  <c r="J1274" i="1"/>
  <c r="K1225" i="1"/>
  <c r="J1225" i="1"/>
  <c r="K1252" i="1"/>
  <c r="J1252" i="1"/>
  <c r="K1226" i="1"/>
  <c r="J1226" i="1"/>
  <c r="K1203" i="1"/>
  <c r="J1203" i="1"/>
  <c r="K1138" i="1"/>
  <c r="J1138" i="1"/>
  <c r="K1219" i="1"/>
  <c r="J1219" i="1"/>
  <c r="K1182" i="1"/>
  <c r="J1182" i="1"/>
  <c r="K1128" i="1"/>
  <c r="J1128" i="1"/>
  <c r="K1171" i="1"/>
  <c r="J1171" i="1"/>
  <c r="K1134" i="1"/>
  <c r="J1134" i="1"/>
  <c r="K1126" i="1"/>
  <c r="J1126" i="1"/>
  <c r="K1124" i="1"/>
  <c r="J1124" i="1"/>
  <c r="K1103" i="1"/>
  <c r="J1103" i="1"/>
  <c r="K1060" i="1"/>
  <c r="J1060" i="1"/>
  <c r="K1020" i="1"/>
  <c r="J1020" i="1"/>
  <c r="K1006" i="1"/>
  <c r="J1006" i="1"/>
  <c r="K1031" i="1"/>
  <c r="J1031" i="1"/>
  <c r="K1011" i="1"/>
  <c r="J1011" i="1"/>
  <c r="K979" i="1"/>
  <c r="J979" i="1"/>
  <c r="K982" i="1"/>
  <c r="J982" i="1"/>
  <c r="K973" i="1"/>
  <c r="J973" i="1"/>
  <c r="K943" i="1"/>
  <c r="J943" i="1"/>
  <c r="K868" i="1"/>
  <c r="J868" i="1"/>
  <c r="K884" i="1"/>
  <c r="J884" i="1"/>
  <c r="K920" i="1"/>
  <c r="J920" i="1"/>
  <c r="K888" i="1"/>
  <c r="J888" i="1"/>
  <c r="K693" i="1"/>
  <c r="J693" i="1"/>
  <c r="K822" i="1"/>
  <c r="J822" i="1"/>
  <c r="K793" i="1"/>
  <c r="J793" i="1"/>
  <c r="K765" i="1"/>
  <c r="J765" i="1"/>
  <c r="K769" i="1"/>
  <c r="J769" i="1"/>
  <c r="K758" i="1"/>
  <c r="J758" i="1"/>
  <c r="K721" i="1"/>
  <c r="J721" i="1"/>
  <c r="K717" i="1"/>
  <c r="J717" i="1"/>
  <c r="K1293" i="1"/>
  <c r="J1293" i="1"/>
  <c r="K1273" i="1"/>
  <c r="J1273" i="1"/>
  <c r="K1283" i="1"/>
  <c r="J1283" i="1"/>
  <c r="K1239" i="1"/>
  <c r="J1239" i="1"/>
  <c r="K1271" i="1"/>
  <c r="J1271" i="1"/>
  <c r="K1255" i="1"/>
  <c r="J1255" i="1"/>
  <c r="K1241" i="1"/>
  <c r="J1241" i="1"/>
  <c r="K1220" i="1"/>
  <c r="J1220" i="1"/>
  <c r="K1159" i="1"/>
  <c r="J1159" i="1"/>
  <c r="K1209" i="1"/>
  <c r="J1209" i="1"/>
  <c r="K1201" i="1"/>
  <c r="J1201" i="1"/>
  <c r="K1185" i="1"/>
  <c r="J1185" i="1"/>
  <c r="K1153" i="1"/>
  <c r="J1153" i="1"/>
  <c r="K1172" i="1"/>
  <c r="J1172" i="1"/>
  <c r="K1181" i="1"/>
  <c r="J1181" i="1"/>
  <c r="K1154" i="1"/>
  <c r="J1154" i="1"/>
  <c r="K1116" i="1"/>
  <c r="J1116" i="1"/>
  <c r="K1114" i="1"/>
  <c r="J1114" i="1"/>
  <c r="K1130" i="1"/>
  <c r="J1130" i="1"/>
  <c r="K1122" i="1"/>
  <c r="J1122" i="1"/>
  <c r="K1117" i="1"/>
  <c r="J1117" i="1"/>
  <c r="K1047" i="1"/>
  <c r="J1047" i="1"/>
  <c r="K1059" i="1"/>
  <c r="J1059" i="1"/>
  <c r="K1094" i="1"/>
  <c r="J1094" i="1"/>
  <c r="K1085" i="1"/>
  <c r="J1085" i="1"/>
  <c r="K1072" i="1"/>
  <c r="J1072" i="1"/>
  <c r="K1052" i="1"/>
  <c r="J1052" i="1"/>
  <c r="K966" i="1"/>
  <c r="J966" i="1"/>
  <c r="K1004" i="1"/>
  <c r="J1004" i="1"/>
  <c r="K1029" i="1"/>
  <c r="J1029" i="1"/>
  <c r="K1021" i="1"/>
  <c r="J1021" i="1"/>
  <c r="K1016" i="1"/>
  <c r="J1016" i="1"/>
  <c r="K933" i="1"/>
  <c r="J933" i="1"/>
  <c r="K999" i="1"/>
  <c r="J999" i="1"/>
  <c r="K972" i="1"/>
  <c r="J972" i="1"/>
  <c r="K944" i="1"/>
  <c r="J944" i="1"/>
  <c r="K981" i="1"/>
  <c r="J981" i="1"/>
  <c r="K961" i="1"/>
  <c r="J961" i="1"/>
  <c r="K958" i="1"/>
  <c r="J958" i="1"/>
  <c r="K875" i="1"/>
  <c r="J875" i="1"/>
  <c r="K925" i="1"/>
  <c r="J925" i="1"/>
  <c r="K930" i="1"/>
  <c r="J930" i="1"/>
  <c r="K927" i="1"/>
  <c r="J927" i="1"/>
  <c r="K876" i="1"/>
  <c r="J876" i="1"/>
  <c r="K902" i="1"/>
  <c r="J902" i="1"/>
  <c r="K525" i="1"/>
  <c r="J525" i="1"/>
  <c r="K847" i="1"/>
  <c r="J847" i="1"/>
  <c r="K889" i="1"/>
  <c r="J889" i="1"/>
  <c r="K836" i="1"/>
  <c r="J836" i="1"/>
  <c r="K863" i="1"/>
  <c r="J863" i="1"/>
  <c r="K855" i="1"/>
  <c r="J855" i="1"/>
  <c r="K832" i="1"/>
  <c r="J832" i="1"/>
  <c r="K830" i="1"/>
  <c r="J830" i="1"/>
  <c r="K823" i="1"/>
  <c r="J823" i="1"/>
  <c r="K824" i="1"/>
  <c r="J824" i="1"/>
  <c r="K820" i="1"/>
  <c r="J820" i="1"/>
  <c r="K811" i="1"/>
  <c r="J811" i="1"/>
  <c r="K801" i="1"/>
  <c r="J801" i="1"/>
  <c r="K767" i="1"/>
  <c r="J767" i="1"/>
  <c r="K787" i="1"/>
  <c r="J787" i="1"/>
  <c r="K788" i="1"/>
  <c r="J788" i="1"/>
  <c r="K779" i="1"/>
  <c r="J779" i="1"/>
  <c r="K742" i="1"/>
  <c r="J742" i="1"/>
  <c r="K733" i="1"/>
  <c r="J733" i="1"/>
  <c r="K728" i="1"/>
  <c r="J728" i="1"/>
  <c r="K740" i="1"/>
  <c r="J740" i="1"/>
  <c r="K711" i="1"/>
  <c r="J711" i="1"/>
  <c r="K701" i="1"/>
  <c r="J701" i="1"/>
  <c r="K671" i="1"/>
  <c r="J671" i="1"/>
  <c r="K718" i="1"/>
  <c r="J718" i="1"/>
  <c r="K629" i="1"/>
  <c r="J629" i="1"/>
  <c r="K675" i="1"/>
  <c r="J675" i="1"/>
  <c r="K695" i="1"/>
  <c r="J695" i="1"/>
  <c r="K655" i="1"/>
  <c r="J655" i="1"/>
  <c r="K666" i="1"/>
  <c r="J666" i="1"/>
  <c r="K648" i="1"/>
  <c r="J648" i="1"/>
  <c r="K640" i="1"/>
  <c r="J640" i="1"/>
  <c r="K555" i="1"/>
  <c r="J555" i="1"/>
  <c r="K535" i="1"/>
  <c r="J535" i="1"/>
  <c r="K430" i="1"/>
  <c r="J430" i="1"/>
  <c r="K456" i="1"/>
  <c r="J456" i="1"/>
  <c r="K504" i="1"/>
  <c r="J504" i="1"/>
  <c r="K554" i="1"/>
  <c r="J554" i="1"/>
  <c r="K549" i="1"/>
  <c r="J549" i="1"/>
  <c r="K495" i="1"/>
  <c r="J495" i="1"/>
  <c r="K534" i="1"/>
  <c r="J534" i="1"/>
  <c r="K473" i="1"/>
  <c r="J473" i="1"/>
  <c r="K497" i="1"/>
  <c r="J497" i="1"/>
  <c r="K556" i="1"/>
  <c r="J556" i="1"/>
  <c r="K598" i="1"/>
  <c r="J598" i="1"/>
  <c r="K543" i="1"/>
  <c r="J543" i="1"/>
  <c r="K524" i="1"/>
  <c r="J524" i="1"/>
  <c r="K612" i="1"/>
  <c r="J612" i="1"/>
  <c r="K589" i="1"/>
  <c r="J589" i="1"/>
  <c r="K207" i="1"/>
  <c r="J207" i="1"/>
  <c r="K521" i="1"/>
  <c r="J521" i="1"/>
  <c r="K493" i="1"/>
  <c r="J493" i="1"/>
  <c r="K476" i="1"/>
  <c r="J476" i="1"/>
  <c r="K472" i="1"/>
  <c r="J472" i="1"/>
  <c r="K447" i="1"/>
  <c r="J447" i="1"/>
  <c r="K258" i="1"/>
  <c r="J258" i="1"/>
  <c r="K373" i="1"/>
  <c r="J373" i="1"/>
  <c r="K377" i="1"/>
  <c r="J377" i="1"/>
  <c r="K427" i="1"/>
  <c r="J427" i="1"/>
  <c r="K409" i="1"/>
  <c r="J409" i="1"/>
  <c r="K366" i="1"/>
  <c r="J366" i="1"/>
  <c r="K369" i="1"/>
  <c r="J369" i="1"/>
  <c r="K391" i="1"/>
  <c r="J391" i="1"/>
  <c r="K389" i="1"/>
  <c r="J389" i="1"/>
  <c r="K345" i="1"/>
  <c r="J345" i="1"/>
  <c r="K344" i="1"/>
  <c r="J344" i="1"/>
  <c r="K346" i="1"/>
  <c r="J346" i="1"/>
  <c r="K329" i="1"/>
  <c r="J329" i="1"/>
  <c r="K331" i="1"/>
  <c r="J331" i="1"/>
  <c r="K319" i="1"/>
  <c r="J319" i="1"/>
  <c r="K307" i="1"/>
  <c r="J307" i="1"/>
  <c r="K294" i="1"/>
  <c r="J294" i="1"/>
  <c r="K285" i="1"/>
  <c r="J285" i="1"/>
  <c r="K239" i="1"/>
  <c r="J239" i="1"/>
  <c r="K161" i="1"/>
  <c r="J161" i="1"/>
  <c r="K261" i="1"/>
  <c r="J261" i="1"/>
  <c r="K253" i="1"/>
  <c r="J253" i="1"/>
  <c r="K184" i="1"/>
  <c r="J184" i="1"/>
  <c r="K245" i="1"/>
  <c r="J245" i="1"/>
  <c r="K173" i="1"/>
  <c r="J173" i="1"/>
  <c r="K237" i="1"/>
  <c r="J237" i="1"/>
  <c r="K223" i="1"/>
  <c r="J223" i="1"/>
  <c r="K224" i="1"/>
  <c r="J224" i="1"/>
  <c r="K217" i="1"/>
  <c r="J217" i="1"/>
  <c r="K188" i="1"/>
  <c r="J188" i="1"/>
  <c r="K189" i="1"/>
  <c r="J189" i="1"/>
  <c r="K158" i="1"/>
  <c r="J158" i="1"/>
  <c r="K140" i="1"/>
  <c r="J140" i="1"/>
  <c r="K143" i="1"/>
  <c r="J143" i="1"/>
  <c r="K137" i="1"/>
  <c r="J137" i="1"/>
  <c r="K125" i="1"/>
  <c r="J125" i="1"/>
  <c r="K128" i="1"/>
  <c r="J128" i="1"/>
  <c r="K99" i="1"/>
  <c r="J99" i="1"/>
  <c r="K110" i="1"/>
  <c r="J110" i="1"/>
  <c r="K93" i="1"/>
  <c r="J93" i="1"/>
  <c r="K61" i="1"/>
  <c r="J61" i="1"/>
  <c r="K64" i="1"/>
  <c r="J64" i="1"/>
  <c r="K80" i="1"/>
  <c r="J80" i="1"/>
  <c r="K73" i="1"/>
  <c r="J73" i="1"/>
  <c r="K66" i="1"/>
  <c r="J66" i="1"/>
  <c r="K50" i="1"/>
  <c r="J50" i="1"/>
  <c r="K28" i="1"/>
  <c r="J28" i="1"/>
  <c r="K18" i="1"/>
  <c r="J18" i="1"/>
  <c r="K15" i="1"/>
  <c r="J15" i="1"/>
  <c r="K11" i="1"/>
  <c r="J11" i="1"/>
  <c r="K13" i="1"/>
  <c r="J13" i="1"/>
</calcChain>
</file>

<file path=xl/sharedStrings.xml><?xml version="1.0" encoding="utf-8"?>
<sst xmlns="http://schemas.openxmlformats.org/spreadsheetml/2006/main" count="8919" uniqueCount="6044">
  <si>
    <t>INICIO</t>
  </si>
  <si>
    <t>N° TICKET</t>
  </si>
  <si>
    <t>FALLA</t>
  </si>
  <si>
    <t>USUARIO</t>
  </si>
  <si>
    <t>CORREO</t>
  </si>
  <si>
    <t>INICIO ESTIMADO</t>
  </si>
  <si>
    <t>FIN</t>
  </si>
  <si>
    <t>SEMANA</t>
  </si>
  <si>
    <t>DIAS</t>
  </si>
  <si>
    <t>RANGO</t>
  </si>
  <si>
    <t>GENERACIÓN TICKET</t>
  </si>
  <si>
    <t>PRIMER CONTACTO</t>
  </si>
  <si>
    <t>DIAS PRIMER CONTACTO</t>
  </si>
  <si>
    <t>SMART.223212</t>
  </si>
  <si>
    <t>AMD AMD Christin Herrmann</t>
  </si>
  <si>
    <t>Iglesias Muzquiz, Rafael Alfredo</t>
  </si>
  <si>
    <t>SMART.222841</t>
  </si>
  <si>
    <t>IMPRESORA DE ALMACEN</t>
  </si>
  <si>
    <t>ALCOCER OCHOA, CARLOS</t>
  </si>
  <si>
    <t>SMART.223299</t>
  </si>
  <si>
    <t>Usuario bloqueado</t>
  </si>
  <si>
    <t xml:space="preserve"> OSORIO GARCIA, NAYELI</t>
  </si>
  <si>
    <t>SMART.223230</t>
  </si>
  <si>
    <t>IT tips (mes de diciembre)</t>
  </si>
  <si>
    <t>Arrazola Hernández, Israel (Mr.)</t>
  </si>
  <si>
    <t>SMART.223302</t>
  </si>
  <si>
    <t>Permiso laptop</t>
  </si>
  <si>
    <t>Garcia Torres, Marina</t>
  </si>
  <si>
    <t>SMART.223300</t>
  </si>
  <si>
    <t>Torque Trace.</t>
  </si>
  <si>
    <t>Flores Rosas, Israel</t>
  </si>
  <si>
    <t>SMART.222837</t>
  </si>
  <si>
    <t>Revision de equipos de Calidad (laboratorio)</t>
  </si>
  <si>
    <t>SMART.223166</t>
  </si>
  <si>
    <t>Acceso a progrma de XML+SAT</t>
  </si>
  <si>
    <t>SMART.223172</t>
  </si>
  <si>
    <t>Zona WE - PCO- Acceso</t>
  </si>
  <si>
    <t>Srita. VÁZQUEZ OCHOA, ALICIA</t>
  </si>
  <si>
    <t>SMART.223222</t>
  </si>
  <si>
    <t xml:space="preserve"> Activación de Nodo Impresora Producción</t>
  </si>
  <si>
    <t>SMART.223257</t>
  </si>
  <si>
    <t>Instalación de programa "Analysis"</t>
  </si>
  <si>
    <t>Lara Matías, Luz Adriana</t>
  </si>
  <si>
    <t>SMART.223266</t>
  </si>
  <si>
    <t>SOLICITUD DE PERMISOS PARA CUENTA NOE ROMERO FLORES</t>
  </si>
  <si>
    <t>HECTOR MUÑOZ FLORES</t>
  </si>
  <si>
    <t>SMART.223303</t>
  </si>
  <si>
    <t xml:space="preserve"> Entrega de accesorios SJC</t>
  </si>
  <si>
    <t>Herrmann, Christin</t>
  </si>
  <si>
    <t>SMART.223320</t>
  </si>
  <si>
    <t>REVISON TABLETA</t>
  </si>
  <si>
    <t>SMART.223314</t>
  </si>
  <si>
    <t>Acceso via Team Viewer a Programa de descarga XML</t>
  </si>
  <si>
    <t>Lobato Rodríguez, Ángel Marcel</t>
  </si>
  <si>
    <t>SMART.223317</t>
  </si>
  <si>
    <t>SAP sin acceso</t>
  </si>
  <si>
    <t>MR. HERRERA MONTES, GILBERTO FRANCISCO</t>
  </si>
  <si>
    <t>SMART.223319</t>
  </si>
  <si>
    <t>Apoyo revision pantallas SJ</t>
  </si>
  <si>
    <t>SMART.223313</t>
  </si>
  <si>
    <t>SOLICITUD DE ACCESO DE EQUIPOS PPUE//JUEVES 9 DE ENERO 2025//KRESTON BSG</t>
  </si>
  <si>
    <t>Brito Gómez, Mayra</t>
  </si>
  <si>
    <t>SMART.223301</t>
  </si>
  <si>
    <t>Revision biometricos</t>
  </si>
  <si>
    <t>SMART.223325</t>
  </si>
  <si>
    <t>ACCESO COMPUTADORA T SYSTEMS</t>
  </si>
  <si>
    <t>SMART.223308</t>
  </si>
  <si>
    <t>ESCANEO MENSUAL ENERO SIPROCCA</t>
  </si>
  <si>
    <t>MUÑOZ FLORES, HECTOR</t>
  </si>
  <si>
    <t>SMART.223311</t>
  </si>
  <si>
    <t>ESCANEO MENSUAL ENERO TORAB</t>
  </si>
  <si>
    <t>SMART.223310</t>
  </si>
  <si>
    <t>ESCANEO MENSUAL ENERO RACON 2</t>
  </si>
  <si>
    <t>SMART.223323</t>
  </si>
  <si>
    <t>Impresora</t>
  </si>
  <si>
    <t>BAZAN AGUILAR, LEOPOLDO</t>
  </si>
  <si>
    <t>SMART.223324</t>
  </si>
  <si>
    <t>Material para t systems</t>
  </si>
  <si>
    <t>SMART.223329</t>
  </si>
  <si>
    <t>IT tips (mes de enero 25 semana 1)</t>
  </si>
  <si>
    <t>SMART.223304</t>
  </si>
  <si>
    <t>Soporte para acceso a ¡Audited</t>
  </si>
  <si>
    <t>HERNANDEZ GARCIA, JESUS</t>
  </si>
  <si>
    <t>SMART.223305</t>
  </si>
  <si>
    <t>Activación de Nodo Impresora Producción</t>
  </si>
  <si>
    <t>OSORIO GARCIA, NAYELI</t>
  </si>
  <si>
    <t>SMART.223306</t>
  </si>
  <si>
    <t>SMART.223328</t>
  </si>
  <si>
    <t>uso de archivos</t>
  </si>
  <si>
    <t>Vázquez Caballero, Ivonne</t>
  </si>
  <si>
    <t>SMART.223307</t>
  </si>
  <si>
    <t>ESCANEO MENSUAL ENERO INTERACT</t>
  </si>
  <si>
    <t>SMART.223309</t>
  </si>
  <si>
    <t>ESCANEO MENSUAL ENERO RACON 1</t>
  </si>
  <si>
    <t>SMART.223322</t>
  </si>
  <si>
    <t>Escaner de calidad no reconoce usuarios</t>
  </si>
  <si>
    <t>OSORIO FLORES, GIOVANI</t>
  </si>
  <si>
    <t>SMART.223333</t>
  </si>
  <si>
    <t>SMART.223315</t>
  </si>
  <si>
    <t>Acceso a Jitinfo</t>
  </si>
  <si>
    <t>López Flores, Rolando</t>
  </si>
  <si>
    <t>SMART.223316</t>
  </si>
  <si>
    <t>Acceso a JitInfo</t>
  </si>
  <si>
    <t>Valencia Vázquez, Pablo</t>
  </si>
  <si>
    <t>SMART.223321</t>
  </si>
  <si>
    <t>Solicitud de usuario</t>
  </si>
  <si>
    <t>SMART.223318</t>
  </si>
  <si>
    <t>Reinicio de sap</t>
  </si>
  <si>
    <t>HUERTA NIETO, OSVALDO</t>
  </si>
  <si>
    <t>SMART.223339</t>
  </si>
  <si>
    <t>REVISION FISICA GBICS</t>
  </si>
  <si>
    <t>SMART.223336</t>
  </si>
  <si>
    <t>ASIGNAR USUARIO Y CONTRASEÑA PARA NVR EN PPUE Y PSJC</t>
  </si>
  <si>
    <t>SMART.223341</t>
  </si>
  <si>
    <t>LEVANTAMIENTO DE HW EXTENSORES STARTECH.COM</t>
  </si>
  <si>
    <t>SMART.223342</t>
  </si>
  <si>
    <t>RETIRO DE DISPOSITIVO SITE 1 PUEBLA</t>
  </si>
  <si>
    <t>SMART.223337</t>
  </si>
  <si>
    <t>Acceso a cámaras</t>
  </si>
  <si>
    <t>HUMBERTO CARRERA, GALICIA</t>
  </si>
  <si>
    <t>SMART.223349</t>
  </si>
  <si>
    <t>CAMBIO UPS SJCH</t>
  </si>
  <si>
    <t>SMART.223354</t>
  </si>
  <si>
    <t>Correo sospechoso</t>
  </si>
  <si>
    <t>SMART.223332</t>
  </si>
  <si>
    <t>SMART.223355</t>
  </si>
  <si>
    <t>IT tips (mes de enero 25 semana 2)</t>
  </si>
  <si>
    <t>SMART.223343</t>
  </si>
  <si>
    <t>Lenguaje maquina beatriz</t>
  </si>
  <si>
    <t>SMART.223356</t>
  </si>
  <si>
    <t>LIMPIEZA LUGAR SJCH</t>
  </si>
  <si>
    <t>SMART.223358</t>
  </si>
  <si>
    <t>Devolución de equipo</t>
  </si>
  <si>
    <t>MARTINEZ PEÑA, LUIS FELIPE</t>
  </si>
  <si>
    <t>SMART.223353</t>
  </si>
  <si>
    <t>Acceso a DIto</t>
  </si>
  <si>
    <t>De Ita Joaquín, Erik</t>
  </si>
  <si>
    <t>SMART.222373</t>
  </si>
  <si>
    <t>Soporte de red pantallas andonboard</t>
  </si>
  <si>
    <t>CUERVO AJA, YANKO</t>
  </si>
  <si>
    <t>SMART.223357</t>
  </si>
  <si>
    <t>INGRESAR A INVENTARIO TABLETA</t>
  </si>
  <si>
    <t>SMART.223359</t>
  </si>
  <si>
    <t>Reimpresion de etiqueta con QR</t>
  </si>
  <si>
    <t>SMART.223350</t>
  </si>
  <si>
    <t>INFORMACIÓN EQUIPO PRESTAMO A METALURGIA</t>
  </si>
  <si>
    <t>SMART.223326</t>
  </si>
  <si>
    <t>RE: 8ID YAMILET TELLEZ BERNABE</t>
  </si>
  <si>
    <t>VAZQUEZ TECUATL, CONSTANTINO</t>
  </si>
  <si>
    <t>SMART.223327</t>
  </si>
  <si>
    <t>AMD WENDY MANCILLA PUERTOS</t>
  </si>
  <si>
    <t>Ramírez Zulaica, Marco Antonio</t>
  </si>
  <si>
    <t>SMART.223345</t>
  </si>
  <si>
    <t>Acceso a portal VWM</t>
  </si>
  <si>
    <t>Rodríguez Cruz, Ricardo</t>
  </si>
  <si>
    <t>SMART.223360</t>
  </si>
  <si>
    <t>Problemas al actualizar archivo</t>
  </si>
  <si>
    <t>SMART.223330</t>
  </si>
  <si>
    <t>Programa en laptop</t>
  </si>
  <si>
    <t>SMART.223334</t>
  </si>
  <si>
    <t>SMART.223338</t>
  </si>
  <si>
    <t>Solicitud ingreso de equipo de computo</t>
  </si>
  <si>
    <t>Enciso Corona, Jose Daniel</t>
  </si>
  <si>
    <t>SMART.223346</t>
  </si>
  <si>
    <t>SMART.223344</t>
  </si>
  <si>
    <t>CONTINUACION DE INENTARIO SAN JOSE CHIAPA-RFID</t>
  </si>
  <si>
    <t>SMART.223331</t>
  </si>
  <si>
    <t>INVENTARIO SAN JOSE CHIAPA</t>
  </si>
  <si>
    <t>SMART.223335</t>
  </si>
  <si>
    <t>SMART.223367</t>
  </si>
  <si>
    <t>Ingreso de Lap Top (Sindicato)</t>
  </si>
  <si>
    <t>Aguilar Ramírez, Mario</t>
  </si>
  <si>
    <t>SMART.223363</t>
  </si>
  <si>
    <t>ACCESO COMPUTADORA  T SYSTEMS</t>
  </si>
  <si>
    <t>SMART.223364</t>
  </si>
  <si>
    <t>ACCESO COMPUTADORA METROCARRIER</t>
  </si>
  <si>
    <t>SMART.223340</t>
  </si>
  <si>
    <t>SMART.223378</t>
  </si>
  <si>
    <t>Envio de IT Tip</t>
  </si>
  <si>
    <t>SMART.223366</t>
  </si>
  <si>
    <t>SMART.223368</t>
  </si>
  <si>
    <t>Revision de equipo</t>
  </si>
  <si>
    <t>SMART.223377</t>
  </si>
  <si>
    <t>SOLICITUD DE ACCESO DE EQUIPOS PPUE//MARTES 28 DE ENERO 2025//KRESTON BSG</t>
  </si>
  <si>
    <t>SMART.223351</t>
  </si>
  <si>
    <t>Back up correo electronico 2019</t>
  </si>
  <si>
    <t>Meza Hernandez, Vladimir</t>
  </si>
  <si>
    <t>SMART.223376</t>
  </si>
  <si>
    <t>ACTUALIZAR EQUIPOS LINEA DE PRODUCCION PSJC</t>
  </si>
  <si>
    <t>SMART.223361</t>
  </si>
  <si>
    <t>Passwork</t>
  </si>
  <si>
    <t>CERVANTES MENDOZA, RICARDO</t>
  </si>
  <si>
    <t>SMART.223369</t>
  </si>
  <si>
    <t>recepción de equipos de computo y celular asignados -baja AMD (Sandra Colotl)</t>
  </si>
  <si>
    <t>Martínez Morales, Jaime Pedro</t>
  </si>
  <si>
    <t>SMART.223375</t>
  </si>
  <si>
    <t>ACTUALIZAR EQUIPOS LINEA DE PRODUCCION PPUE</t>
  </si>
  <si>
    <t>SMART.223372</t>
  </si>
  <si>
    <t>Desbloqueo de cuenta SAP</t>
  </si>
  <si>
    <t>PEREZ MORA, EMMANUEL DE JESÚS</t>
  </si>
  <si>
    <t>SMART.223347</t>
  </si>
  <si>
    <t>SMART.223352</t>
  </si>
  <si>
    <t>new password</t>
  </si>
  <si>
    <t>SMART.223348</t>
  </si>
  <si>
    <t>SMART.223370</t>
  </si>
  <si>
    <t>Reseteo de pssw SAP</t>
  </si>
  <si>
    <t>SMART.223373</t>
  </si>
  <si>
    <t>DESBLOQUEO SAP</t>
  </si>
  <si>
    <t>Bernardo Paredes, Ameyalli</t>
  </si>
  <si>
    <t>SMART.223362</t>
  </si>
  <si>
    <t>SMART.223389</t>
  </si>
  <si>
    <t>IT tip whats-app</t>
  </si>
  <si>
    <t>SMART.223379</t>
  </si>
  <si>
    <t>solicitud ingreso de equipo de computo</t>
  </si>
  <si>
    <t>SMART.223390</t>
  </si>
  <si>
    <t>IT tips (mes de enero 25 semana 3)</t>
  </si>
  <si>
    <t>SMART.223391</t>
  </si>
  <si>
    <t>Whats app It-Tip</t>
  </si>
  <si>
    <t>SMART.223380</t>
  </si>
  <si>
    <t>SOLICITUD DE APOYO CON MAQUINA VIRTUAL</t>
  </si>
  <si>
    <t>SMART.223388</t>
  </si>
  <si>
    <t>Validar condiciones de equipo</t>
  </si>
  <si>
    <t>SMART.223384</t>
  </si>
  <si>
    <t>REVISION UPS- PSJC</t>
  </si>
  <si>
    <t>SMART.223365</t>
  </si>
  <si>
    <t>SEGUIMIENTO INVENTARIO PUEBLA</t>
  </si>
  <si>
    <t>SMART.223374</t>
  </si>
  <si>
    <t>Lenguaje SO, teclado y generacion de It-Tip</t>
  </si>
  <si>
    <t>SMART.223392</t>
  </si>
  <si>
    <t>Cambio de idioma</t>
  </si>
  <si>
    <t>De Bernardo Paredes, Ameyalli</t>
  </si>
  <si>
    <t>SMART.223371</t>
  </si>
  <si>
    <t>SMART.223381</t>
  </si>
  <si>
    <t>Problemas para conectarse a junta desde celular</t>
  </si>
  <si>
    <t>SMART.223397</t>
  </si>
  <si>
    <t>Acceso a Workflow SAP y Concour</t>
  </si>
  <si>
    <t>SMART.223396</t>
  </si>
  <si>
    <t>Acceso a plataforma de credenciales</t>
  </si>
  <si>
    <t>Lopez Fernandez, Ana Patricia</t>
  </si>
  <si>
    <t>SMART.223401</t>
  </si>
  <si>
    <t>Entrega de UPS de Mantenimiento</t>
  </si>
  <si>
    <t>SMART.223400</t>
  </si>
  <si>
    <t>Quitar equipos del site 2 Puebla</t>
  </si>
  <si>
    <t>SMART.223398</t>
  </si>
  <si>
    <t>SMART.223382</t>
  </si>
  <si>
    <t>Equipo temporal AUTOCAD - PSJC</t>
  </si>
  <si>
    <t>SMART.223383</t>
  </si>
  <si>
    <t>Webdispatcher</t>
  </si>
  <si>
    <t>SMART.223385</t>
  </si>
  <si>
    <t>Revision de equipo de computo asignado por apagado sin motivo</t>
  </si>
  <si>
    <t>SMART.223386</t>
  </si>
  <si>
    <t>Extracción y envío de video</t>
  </si>
  <si>
    <t>SMART.223387</t>
  </si>
  <si>
    <t>SMART.223416</t>
  </si>
  <si>
    <t>Sin acceso a SAP</t>
  </si>
  <si>
    <t>SMART.223409</t>
  </si>
  <si>
    <t>IT tips (mes de enero 25 semana 4)</t>
  </si>
  <si>
    <t>SMART.223406</t>
  </si>
  <si>
    <t>Tour PSJC</t>
  </si>
  <si>
    <t>SMART.223407</t>
  </si>
  <si>
    <t>TOUR Puebla</t>
  </si>
  <si>
    <t>SMART.223405</t>
  </si>
  <si>
    <t>Pila candado</t>
  </si>
  <si>
    <t>SMART.223399</t>
  </si>
  <si>
    <t>UPS DE SAN JOSE A  PUEBLA</t>
  </si>
  <si>
    <t>SMART.223415</t>
  </si>
  <si>
    <t>SMART.223417</t>
  </si>
  <si>
    <t>SMART.223413</t>
  </si>
  <si>
    <t>Revisión de teclado</t>
  </si>
  <si>
    <t>MUÑOZ GARCIA, RAUL</t>
  </si>
  <si>
    <t>SMART.223422</t>
  </si>
  <si>
    <t>Correo Malicioso</t>
  </si>
  <si>
    <t>SMART.223421</t>
  </si>
  <si>
    <t>Extracción y envío de video RA070</t>
  </si>
  <si>
    <t>SMART.223418</t>
  </si>
  <si>
    <t>RUEBAS DIA LUNES 3 DE FEBRERO-PLANTA SJCH</t>
  </si>
  <si>
    <t>SMART.223394</t>
  </si>
  <si>
    <t>8ID YAMILET TELLEZ BERNABE</t>
  </si>
  <si>
    <t>SMART.223395</t>
  </si>
  <si>
    <t>SMART.223412</t>
  </si>
  <si>
    <t>Reinicio de cuenta de sap</t>
  </si>
  <si>
    <t>SMART.223426</t>
  </si>
  <si>
    <t>Acceso a Audited</t>
  </si>
  <si>
    <t>SMART.223402</t>
  </si>
  <si>
    <t>SMART.223411</t>
  </si>
  <si>
    <t>Recuperar de almacen no productivo PGS</t>
  </si>
  <si>
    <t>SMART.223423</t>
  </si>
  <si>
    <t>Reactivación TOTP</t>
  </si>
  <si>
    <t>Ojeda Palma, José Arturo</t>
  </si>
  <si>
    <t>SMART.223408</t>
  </si>
  <si>
    <t>Retirar equipo de planta puebla y SCJ</t>
  </si>
  <si>
    <t>SMART.223410</t>
  </si>
  <si>
    <t>SEGUIMIENTO A INVENTARIO PUEBLA IDF</t>
  </si>
  <si>
    <t>SMART.223435</t>
  </si>
  <si>
    <t>Nuevo Scorecard</t>
  </si>
  <si>
    <t>SMART.223425</t>
  </si>
  <si>
    <t>IT tips (mes de febrero 25 semana 1)</t>
  </si>
  <si>
    <t>SMART.223436</t>
  </si>
  <si>
    <t>SMART.223442</t>
  </si>
  <si>
    <t>Su contraseña de Office 365 caduca hoy (pishign)</t>
  </si>
  <si>
    <t>SMART.223424</t>
  </si>
  <si>
    <t>IDENTIFICACION SITE 2 PUEBLA</t>
  </si>
  <si>
    <t>SMART.223439</t>
  </si>
  <si>
    <t>SOLICITUD DE ACCESO DE EQUIPOS PPUE//LUNES 10 DE FEBRERO 2025//KRESTON BSG</t>
  </si>
  <si>
    <t>SMART.223440</t>
  </si>
  <si>
    <t>Ingreso de equipo de computo</t>
  </si>
  <si>
    <t>SMART.223433</t>
  </si>
  <si>
    <t>Extracción fotos</t>
  </si>
  <si>
    <t>AGUILAR SANCHEZ, LUIS ALBERTO</t>
  </si>
  <si>
    <t>SMART.223430</t>
  </si>
  <si>
    <t>(PROGRAMADO) ESCANEO MENSUAL FEBRERO RACON 1</t>
  </si>
  <si>
    <t>SMART.223431</t>
  </si>
  <si>
    <t>(PROGRAMADO) ESCANEO MENSUAL FEBRERO RACON 2</t>
  </si>
  <si>
    <t>SMART.223432</t>
  </si>
  <si>
    <t>(PROGRAMADO) ESCANEO MENSUAL FEBRERO TORAB</t>
  </si>
  <si>
    <t>SMART.223446</t>
  </si>
  <si>
    <t>CAMBIO DE POSICIÓN DEL NVR EN SITE 1 DE PSJC</t>
  </si>
  <si>
    <t>SMART.223438</t>
  </si>
  <si>
    <t>Solicitud de videos PSJC</t>
  </si>
  <si>
    <t>SMART.223460</t>
  </si>
  <si>
    <t>ACCESO COMPUTADORA-ACG</t>
  </si>
  <si>
    <t xml:space="preserve"> Garcia Torres, Marina</t>
  </si>
  <si>
    <t>SMART.223449</t>
  </si>
  <si>
    <t>Ingreso equipos AFN</t>
  </si>
  <si>
    <t>SMART.223452</t>
  </si>
  <si>
    <t>Acceso de equipo de computo</t>
  </si>
  <si>
    <t>SMART.223429</t>
  </si>
  <si>
    <t>ESCANEO MENSUAL FEBRERO SIPROCCA</t>
  </si>
  <si>
    <t>SMART.223428</t>
  </si>
  <si>
    <t>ESCANEO MENSUAL FEBRERO INTERACT</t>
  </si>
  <si>
    <t>SMART.223393</t>
  </si>
  <si>
    <t>SMART.223465</t>
  </si>
  <si>
    <t>ESCANEO DE SERVIDOR TERMINAL SERVER PUEBLA</t>
  </si>
  <si>
    <t>SMART.223471</t>
  </si>
  <si>
    <t>HOSTNAME COMPUTADORAS</t>
  </si>
  <si>
    <t>SMART.223414</t>
  </si>
  <si>
    <t>SMART.223462</t>
  </si>
  <si>
    <t xml:space="preserve"> Commputadora BACKUP PARA JAIME MORALES</t>
  </si>
  <si>
    <t>SMART.223445</t>
  </si>
  <si>
    <t>IT tips (mes de febrero 25 semana 2)</t>
  </si>
  <si>
    <t>SMART.223468</t>
  </si>
  <si>
    <t>Problemas transacciones SAP</t>
  </si>
  <si>
    <t>Cabrera, Beatriz</t>
  </si>
  <si>
    <t>SMART.223448</t>
  </si>
  <si>
    <t>CAMBIO DE UPS PLANTA PUEBLA</t>
  </si>
  <si>
    <t>SMART.223456</t>
  </si>
  <si>
    <t>Extracción y envío de video RA190</t>
  </si>
  <si>
    <t>SMART.223457</t>
  </si>
  <si>
    <t>IDENTIFICACION PDU SITE PRINCIPAL PLANTA PUEBLA</t>
  </si>
  <si>
    <t>SMART.223458</t>
  </si>
  <si>
    <t>sin acceso ao optidimax</t>
  </si>
  <si>
    <t>Aguilar Abud, Gabriel</t>
  </si>
  <si>
    <t>SMART.223434</t>
  </si>
  <si>
    <t>Baja usuario Alfredo Montaño</t>
  </si>
  <si>
    <t>SMART.223469</t>
  </si>
  <si>
    <t>Solicitud de acceso a PPUE</t>
  </si>
  <si>
    <t>SMART.223476</t>
  </si>
  <si>
    <t>Acceso a carpetas de PPUE</t>
  </si>
  <si>
    <t>SMART.223482</t>
  </si>
  <si>
    <t>Error en página Santander</t>
  </si>
  <si>
    <t>SMART.223480</t>
  </si>
  <si>
    <t>LAPTOP PRESTAMO ANA PATRICIA</t>
  </si>
  <si>
    <t>SMART.223459</t>
  </si>
  <si>
    <t>Documento no abre en app excel</t>
  </si>
  <si>
    <t>SMART.223487</t>
  </si>
  <si>
    <t>RECIBIMIENTO DE UPS PLANTA PUEBLA</t>
  </si>
  <si>
    <t>SMART.223455</t>
  </si>
  <si>
    <t>Update Zoom Meetings to version 6.3.56144.0</t>
  </si>
  <si>
    <t>SMART.223454</t>
  </si>
  <si>
    <t>Revision y actualización</t>
  </si>
  <si>
    <t>SMART.223467</t>
  </si>
  <si>
    <t>ERROR IMPRESORAS Prt04 y Prt01</t>
  </si>
  <si>
    <t>CRUZ RAMIREZ, SANTIAGO ALONSO</t>
  </si>
  <si>
    <t>SMART.223466</t>
  </si>
  <si>
    <t>Archivo TXT resultado atornilladores.</t>
  </si>
  <si>
    <t>SMART.223483</t>
  </si>
  <si>
    <t>Conectar archivo de datos outlook</t>
  </si>
  <si>
    <t>SMART.223479</t>
  </si>
  <si>
    <t>LOCALIZACION DE SWITHCES PUEBLA</t>
  </si>
  <si>
    <t>SMART.223497</t>
  </si>
  <si>
    <t>Correo sospechoso Lilly Foster</t>
  </si>
  <si>
    <t>SMART.223492</t>
  </si>
  <si>
    <t>reseteo de contraseña</t>
  </si>
  <si>
    <t>SMART.223493</t>
  </si>
  <si>
    <t>SMART.223496</t>
  </si>
  <si>
    <t>INGRESO DE EQUIPO DE COMPUTO 22 FEBRERO 2025 / SIN CONECCION A RED/  UNICA OCASIÓN.</t>
  </si>
  <si>
    <t>SMART.223500</t>
  </si>
  <si>
    <t>SACAR DE ALMACEN UPS PLANTA SJC</t>
  </si>
  <si>
    <t>SMART.223404</t>
  </si>
  <si>
    <t>8IDMAURICIO COLOMBRES SERRANO ALTA AMD</t>
  </si>
  <si>
    <t>SMART.223472</t>
  </si>
  <si>
    <t>Error de impresión</t>
  </si>
  <si>
    <t>RODRIGUEZ RODRIGUEZ, MARTIN</t>
  </si>
  <si>
    <t>SMART.223509</t>
  </si>
  <si>
    <t>ACCESO COMPUTADORA ACG</t>
  </si>
  <si>
    <t>SMART.223473</t>
  </si>
  <si>
    <t>IT tips (mes de febrero 25 semana 3)</t>
  </si>
  <si>
    <t>SMART.223495</t>
  </si>
  <si>
    <t>SMART.223444</t>
  </si>
  <si>
    <t>Conectar las pantallas de SJC a we creen</t>
  </si>
  <si>
    <t>SMART.223450</t>
  </si>
  <si>
    <t>Traspaso de telefóno de compañía</t>
  </si>
  <si>
    <t>SMART.223498</t>
  </si>
  <si>
    <t>reseteo de acceso</t>
  </si>
  <si>
    <t>SMART.223503</t>
  </si>
  <si>
    <t>Cambio de SO de Español a Ingles</t>
  </si>
  <si>
    <t>TLAPALE HERNÁNDEZ, JUAN NAZARIO</t>
  </si>
  <si>
    <t>SMART.223403</t>
  </si>
  <si>
    <t>SMART.223516</t>
  </si>
  <si>
    <t>SMART.223490</t>
  </si>
  <si>
    <t>Acceso AutoCad</t>
  </si>
  <si>
    <t>Colón Jara, Jaime Alfonso</t>
  </si>
  <si>
    <t>SMART.223510</t>
  </si>
  <si>
    <t>Solicitud de mouse.</t>
  </si>
  <si>
    <t>Ruíz Rodríguez, Mario Ángel</t>
  </si>
  <si>
    <t>SMART.223511</t>
  </si>
  <si>
    <t>marcos.duarte@thyssenkrupp-automotive.com te ha enviado archivos a través de WeTransfer</t>
  </si>
  <si>
    <t>SMART.223506</t>
  </si>
  <si>
    <t>Acceso a disco duro</t>
  </si>
  <si>
    <t>SMART.223518</t>
  </si>
  <si>
    <t>CAMBIO DE CINTAS</t>
  </si>
  <si>
    <t>SMART.223481</t>
  </si>
  <si>
    <t>FALLA DOCUMENTOS E IMPRESORA-SINGH SANCHEZ, ALEXANDRA</t>
  </si>
  <si>
    <t>SINGH SANCHEZ, ALEXANDRA</t>
  </si>
  <si>
    <t>SMART.223517</t>
  </si>
  <si>
    <t>PCP</t>
  </si>
  <si>
    <t>SMART.223515</t>
  </si>
  <si>
    <t>SMART.223441</t>
  </si>
  <si>
    <t>Hacer investigacion de perfiles productivos</t>
  </si>
  <si>
    <t>SMART.223521</t>
  </si>
  <si>
    <t>Asistencia auditoría TAS 2024</t>
  </si>
  <si>
    <t>SMART.223461</t>
  </si>
  <si>
    <t>SMART.223478</t>
  </si>
  <si>
    <t>impresion desde la computadora de programadores</t>
  </si>
  <si>
    <t>GOMEZ PEREZ, VICTOR MANUEL</t>
  </si>
  <si>
    <t>SMART.223474</t>
  </si>
  <si>
    <t>Problemas con laptop</t>
  </si>
  <si>
    <t>SMART.223520</t>
  </si>
  <si>
    <t>Verificación de switches PPUE</t>
  </si>
  <si>
    <t>SMART.223488</t>
  </si>
  <si>
    <t>LOCALIZACION DE SWITHCES PSJC</t>
  </si>
  <si>
    <t>SMART.223529</t>
  </si>
  <si>
    <t>Instalacion de escanerHP en maquina prestada (RH)</t>
  </si>
  <si>
    <t>SMART.223530</t>
  </si>
  <si>
    <t>ENTREGA DE PG EN RESGUARDO</t>
  </si>
  <si>
    <t>SMART.223485</t>
  </si>
  <si>
    <t>Inventario general</t>
  </si>
  <si>
    <t>SMART.223508</t>
  </si>
  <si>
    <t>Bloqueo de computadora Kiosko Ingeniería</t>
  </si>
  <si>
    <t>Marin Medina, Abraham</t>
  </si>
  <si>
    <t>SMART.223513</t>
  </si>
  <si>
    <t>SOLICITUD DE APOYO PARA REVISAR EL ACCESO A UN TRAMITE EN PAGINA DEL SAT</t>
  </si>
  <si>
    <t>SMART.223523</t>
  </si>
  <si>
    <t>NO ABRE ARCHIVOS</t>
  </si>
  <si>
    <t>TELLEZ BERNABE, YAMILET</t>
  </si>
  <si>
    <t>SMART.223507</t>
  </si>
  <si>
    <t>Solicitud de equipo oficina de ingeniería PPUE</t>
  </si>
  <si>
    <t>SMART.223527</t>
  </si>
  <si>
    <t>LISTADO DE EQUIPOS - PUE/PSJC</t>
  </si>
  <si>
    <t>SMART.223463</t>
  </si>
  <si>
    <t>ESCANEO EQUIPOS DE RH</t>
  </si>
  <si>
    <t>SMART.223536</t>
  </si>
  <si>
    <t>acceso computadora tsystems</t>
  </si>
  <si>
    <t>SMART.223542</t>
  </si>
  <si>
    <t>remplazo de etiqueta</t>
  </si>
  <si>
    <t>SMART.223540</t>
  </si>
  <si>
    <t>Regreo del equipo de Jaime Martinez</t>
  </si>
  <si>
    <t>SMART.223525</t>
  </si>
  <si>
    <t>INC0312091 Update: Updaet Edge</t>
  </si>
  <si>
    <t>SMART.223514</t>
  </si>
  <si>
    <t>IT tips (mes de febrero 25 semana 4)</t>
  </si>
  <si>
    <t>SMART.223453</t>
  </si>
  <si>
    <t>Actualizar VLC</t>
  </si>
  <si>
    <t>SMART.223528</t>
  </si>
  <si>
    <t>Acceso equipo de computo</t>
  </si>
  <si>
    <t>SMART.223538</t>
  </si>
  <si>
    <t>Monitor oficina de produccion</t>
  </si>
  <si>
    <t>Díaz Coello, Hector</t>
  </si>
  <si>
    <t>SMART.223470</t>
  </si>
  <si>
    <t>PSJC Teléfono lento</t>
  </si>
  <si>
    <t>SMART.223522</t>
  </si>
  <si>
    <t>Error al enviar a imprimir</t>
  </si>
  <si>
    <t>Delgado Bustos, Miguel Ángel</t>
  </si>
  <si>
    <t>SMART.223543</t>
  </si>
  <si>
    <t>SMART.223548</t>
  </si>
  <si>
    <t>Equipo no "butea"</t>
  </si>
  <si>
    <t>SMART.223547</t>
  </si>
  <si>
    <t>Equipo en oprestamo</t>
  </si>
  <si>
    <t>SMART.223420</t>
  </si>
  <si>
    <t>ACTUALIZACION DE RVS</t>
  </si>
  <si>
    <t>SMART.223541</t>
  </si>
  <si>
    <t>Licencias PG2- Ing. Gabriel</t>
  </si>
  <si>
    <t>SMART.223475</t>
  </si>
  <si>
    <t>Solicitud de movimiento equipos de computo</t>
  </si>
  <si>
    <t>SMART.223494</t>
  </si>
  <si>
    <t>accesos para svision</t>
  </si>
  <si>
    <t>SMART.223550</t>
  </si>
  <si>
    <t>APOYO PARA ENTREGAR EL UPS EATON A MTTO para revisión</t>
  </si>
  <si>
    <t>SMART.223558</t>
  </si>
  <si>
    <t>COMPARATIVO DE PERFILES</t>
  </si>
  <si>
    <t>SMART.223526</t>
  </si>
  <si>
    <t>IMPRIMIR EN OFICINA ALMACEN</t>
  </si>
  <si>
    <t>SMART.223545</t>
  </si>
  <si>
    <t>Acceso equipo de computo 04.03.2025 a TKA</t>
  </si>
  <si>
    <t>Hernández Ramírez, Mireya</t>
  </si>
  <si>
    <t>SMART.223532</t>
  </si>
  <si>
    <t>Update APIS FMEA IQ-PRO</t>
  </si>
  <si>
    <t>SMART.223559</t>
  </si>
  <si>
    <t>ASAP - Conexion de monitor teclado y mouse</t>
  </si>
  <si>
    <t>SMART.223546</t>
  </si>
  <si>
    <t>Auditoria de producto -equipo de computo</t>
  </si>
  <si>
    <t>SMART.223504</t>
  </si>
  <si>
    <t>Problema con la impresora</t>
  </si>
  <si>
    <t>SMART.223552</t>
  </si>
  <si>
    <t>Entrega de PC industrial laboratorio</t>
  </si>
  <si>
    <t>SMART.223537</t>
  </si>
  <si>
    <t>Solicitud de Escaneo de Equipo de Computo</t>
  </si>
  <si>
    <t>Gutierrez Tiempo, Roberto</t>
  </si>
  <si>
    <t>SMART.223563</t>
  </si>
  <si>
    <t>INGRESO DE EQUIPO DE COMPUTO 08 MARZO Y 15 MARZO 2025 / SIN CONECCIÓN A RED</t>
  </si>
  <si>
    <t>SMART.223569</t>
  </si>
  <si>
    <t>INGRESO DE EQUIPO DE COMPUTO 11, 13, 20 y 21 de MARZO 2025 / SIN CONECCIÓN A RED / yellow belt</t>
  </si>
  <si>
    <t>SMART.223427</t>
  </si>
  <si>
    <t>Listado de personal con 8ID (05.02.2025) - Información confidencial</t>
  </si>
  <si>
    <t>SMART.223539</t>
  </si>
  <si>
    <t>Cambio emial relay</t>
  </si>
  <si>
    <t>SMART.223554</t>
  </si>
  <si>
    <t>ESCANEO MENSUAL MARZO SIPROCCA</t>
  </si>
  <si>
    <t>SMART.223557</t>
  </si>
  <si>
    <t>ESCANEO MENSUAL MARZO TORAB</t>
  </si>
  <si>
    <t>SMART.223555</t>
  </si>
  <si>
    <t>ESCANEO MENSUAL MARZO RACON 1</t>
  </si>
  <si>
    <t>SMART.223568</t>
  </si>
  <si>
    <t>SOLICITUD DE ACCESO DE EQUIPOS PPUE//10 Y 11 DE MARZO 2025//KRESTON BSG</t>
  </si>
  <si>
    <t>SMART.223544</t>
  </si>
  <si>
    <t>IT tips (mes de marzo 25 semana 1)</t>
  </si>
  <si>
    <t>SMART.223576</t>
  </si>
  <si>
    <t>CONEXION DE SWITCH Y MAQUINA PUENTE</t>
  </si>
  <si>
    <t>HERNANDEZ SANCHEZ, MARCO ANTONIO</t>
  </si>
  <si>
    <t>SMART.223566</t>
  </si>
  <si>
    <t>Extracción de archivo</t>
  </si>
  <si>
    <t>SMART.223572</t>
  </si>
  <si>
    <t>ACCESO PARA CREACIÓN DE CANALES Y GRUPOS EN TEAMS</t>
  </si>
  <si>
    <t>SMART.223451</t>
  </si>
  <si>
    <t>Actualizar Google chrome</t>
  </si>
  <si>
    <t>SMART.223484</t>
  </si>
  <si>
    <t>Localizar y actualizar edge</t>
  </si>
  <si>
    <t>SMART.223489</t>
  </si>
  <si>
    <t>ACTUALIZACION EDGE</t>
  </si>
  <si>
    <t>SMART.223491</t>
  </si>
  <si>
    <t>7zip</t>
  </si>
  <si>
    <t>SMART.223512</t>
  </si>
  <si>
    <t>Localizar ya ctualziar Office</t>
  </si>
  <si>
    <t>SMART.223524</t>
  </si>
  <si>
    <t>Actualizar chrome</t>
  </si>
  <si>
    <t>SMART.223574</t>
  </si>
  <si>
    <t>Video de camara de recepción</t>
  </si>
  <si>
    <t>SMART.223519</t>
  </si>
  <si>
    <t>Localizar y actualziar  24.02.24</t>
  </si>
  <si>
    <t>SMART.223531</t>
  </si>
  <si>
    <t>SMART.223535</t>
  </si>
  <si>
    <t>USO DE EQUIPO DE CÓMPUTO POR AUDITORES</t>
  </si>
  <si>
    <t>Torres Gutiérrez, Marcelino</t>
  </si>
  <si>
    <t>SMART.223571</t>
  </si>
  <si>
    <t>INGRESO DE EQUIPO DE COMPUTO SABADOS 08, 15, 22, 29 de MARZO y SABADOS 05 y 12  ABRIL 2025 / SIN CONECCIÓN A RED / Formación de instructores</t>
  </si>
  <si>
    <t>SMART.223556</t>
  </si>
  <si>
    <t>ESCANEO MENSUAL MARZO RACON 2</t>
  </si>
  <si>
    <t>SMART.223553</t>
  </si>
  <si>
    <t>ESCANEO MENSUAL MARZO INTERACT</t>
  </si>
  <si>
    <t>SMART.223580</t>
  </si>
  <si>
    <t>Ingreso de Equipo de cómputo</t>
  </si>
  <si>
    <t>Vera Serrano, Idalia</t>
  </si>
  <si>
    <t>SMART.223583</t>
  </si>
  <si>
    <t>Ticket por cámara de Conference room</t>
  </si>
  <si>
    <t>SMART.223579</t>
  </si>
  <si>
    <t xml:space="preserve">Recuperacion Jabra - Takshi </t>
  </si>
  <si>
    <t>SMART.223578</t>
  </si>
  <si>
    <t>INC0317166 Update: CVE-2025-1916-Update Edge</t>
  </si>
  <si>
    <t>SMART.223560</t>
  </si>
  <si>
    <t>Loclaizar equipo</t>
  </si>
  <si>
    <t>SMART.223549</t>
  </si>
  <si>
    <t>Entrega del listado</t>
  </si>
  <si>
    <t>SMART.223588</t>
  </si>
  <si>
    <t>SOPORTE PARA PROVEEDOR DE PUERTA SITE 2</t>
  </si>
  <si>
    <t>SMART.223593</t>
  </si>
  <si>
    <t>Usuario KVP Audi</t>
  </si>
  <si>
    <t>Flores Hernandez, David</t>
  </si>
  <si>
    <t>SMART.223584</t>
  </si>
  <si>
    <t>Correo proveedor</t>
  </si>
  <si>
    <t>SMART.223594</t>
  </si>
  <si>
    <t>ACTUALIZACION DE ARCHIVO GBICS</t>
  </si>
  <si>
    <t>SMART.223565</t>
  </si>
  <si>
    <t>Problemas para imprimir</t>
  </si>
  <si>
    <t>PEÑA CABILDO, ROBERTO</t>
  </si>
  <si>
    <t>SMART.223587</t>
  </si>
  <si>
    <t>INGRESO DE EQUIPO DE CÓMPUTO SICMA</t>
  </si>
  <si>
    <t>SMART.223577</t>
  </si>
  <si>
    <t>IT tips (mes de marzo 25 semana 2)</t>
  </si>
  <si>
    <t>SMART.223601</t>
  </si>
  <si>
    <t>Solicitud ingreso equipo de cómputo</t>
  </si>
  <si>
    <t>SMART.223564</t>
  </si>
  <si>
    <t>IVMS 4200</t>
  </si>
  <si>
    <t>SMART.223609</t>
  </si>
  <si>
    <t>Enviar aviso poshing ambas plantas</t>
  </si>
  <si>
    <t>SMART.223562</t>
  </si>
  <si>
    <t>SMART.223605</t>
  </si>
  <si>
    <t>SMART.223597</t>
  </si>
  <si>
    <t>speaker jabra</t>
  </si>
  <si>
    <t>SMART.223600</t>
  </si>
  <si>
    <t>CAMBIAR LA CONSOLA DE PUEBLA</t>
  </si>
  <si>
    <t>SMART.223447</t>
  </si>
  <si>
    <t>Problema con encendido de laptop</t>
  </si>
  <si>
    <t>SMART.223613</t>
  </si>
  <si>
    <t>Correo Sospechoso</t>
  </si>
  <si>
    <t>SMART.223611</t>
  </si>
  <si>
    <t>ingreso equipo de computo capacitación VIMA</t>
  </si>
  <si>
    <t>SMART.223614</t>
  </si>
  <si>
    <t>Favor de enviar aviso a ambas plantas</t>
  </si>
  <si>
    <t>SMART.223598</t>
  </si>
  <si>
    <t>ERROR DE CORREO</t>
  </si>
  <si>
    <t>Vázquez Tostado, Alejandro</t>
  </si>
  <si>
    <t>SMART.223534</t>
  </si>
  <si>
    <t>Instalación de Impresora RH PPUE</t>
  </si>
  <si>
    <t>García Pérez, Edith</t>
  </si>
  <si>
    <t>SMART.223616</t>
  </si>
  <si>
    <t>Visit to PSCJ/PPUE CW13</t>
  </si>
  <si>
    <t>SMART.223612</t>
  </si>
  <si>
    <t>Cambio de lugar Logística - Ameyalli de Bernardo (6258)</t>
  </si>
  <si>
    <t>FLORES CARRETO, OSCAR</t>
  </si>
  <si>
    <t>SMART.223602</t>
  </si>
  <si>
    <t>ASAP-Update zoom</t>
  </si>
  <si>
    <t>SMART.223608</t>
  </si>
  <si>
    <t>IT tips (mes de marzo 25 semana 3)</t>
  </si>
  <si>
    <t>SMART.223607</t>
  </si>
  <si>
    <t>Acceso de equipo de cómputo</t>
  </si>
  <si>
    <t>SMART.223620</t>
  </si>
  <si>
    <t>Contraseña incorrecta, cursos compliance</t>
  </si>
  <si>
    <t>Navarrete Perez, Cuautemoc</t>
  </si>
  <si>
    <t>SMART.223617</t>
  </si>
  <si>
    <t>Cambio de lugar Logística - Santiago Temoltzin</t>
  </si>
  <si>
    <t>SMART.223625</t>
  </si>
  <si>
    <t>ETIQUETA lap top</t>
  </si>
  <si>
    <t>SMART.223623</t>
  </si>
  <si>
    <t>SMART.223624</t>
  </si>
  <si>
    <t>SMART.223619</t>
  </si>
  <si>
    <t>ASAP COLOCACION DE CARGA A UPS EATON</t>
  </si>
  <si>
    <t>SMART.223561</t>
  </si>
  <si>
    <t>Solicitud de acceso a equipo de computo</t>
  </si>
  <si>
    <t>SMART.223627</t>
  </si>
  <si>
    <t>Visita VWM</t>
  </si>
  <si>
    <t>MR. LARA MORANCHEL, ALEJANDRO</t>
  </si>
  <si>
    <t>SMART.223591</t>
  </si>
  <si>
    <t>ACCESO EN PLANNER</t>
  </si>
  <si>
    <t>SMART.223628</t>
  </si>
  <si>
    <t>Recuperación de password</t>
  </si>
  <si>
    <t>Morales Espinosa, Juan Carlos</t>
  </si>
  <si>
    <t>SMART.223604</t>
  </si>
  <si>
    <t>ASAP-Loclaizar URGENTE PARA HOY</t>
  </si>
  <si>
    <t>SMART.223610</t>
  </si>
  <si>
    <t>APOYO PARA LLEVAR MATERIAL A LOS SITES PSJC</t>
  </si>
  <si>
    <t>SMART.223622</t>
  </si>
  <si>
    <t>INGRESO DE COMPUTO 27 Y 28 MARZO CIFH CURSO: INTELIGENCIA EMOCIONAL</t>
  </si>
  <si>
    <t>SMART.223599</t>
  </si>
  <si>
    <t>Acceso permanente equipo de computo</t>
  </si>
  <si>
    <t>SMART.223606</t>
  </si>
  <si>
    <t>Revision de funcionamiento estrella de Puebla</t>
  </si>
  <si>
    <t>Muzquiz, Rafael Alfredo</t>
  </si>
  <si>
    <t>SMART.223595</t>
  </si>
  <si>
    <t>Equipo de la compañía, celular</t>
  </si>
  <si>
    <t>SMART.223629</t>
  </si>
  <si>
    <t>SACAR SWITCH DE SITE 1</t>
  </si>
  <si>
    <t>SMART.223603</t>
  </si>
  <si>
    <t>Localizar y borrar y/o explicar</t>
  </si>
  <si>
    <t>SMART.223631</t>
  </si>
  <si>
    <t>ACCESO CON LAP TOP</t>
  </si>
  <si>
    <t>SMART.223581</t>
  </si>
  <si>
    <t>Adobe Acrobat</t>
  </si>
  <si>
    <t>SMART.223639</t>
  </si>
  <si>
    <t>cambio de ubicacion</t>
  </si>
  <si>
    <t>SMART.223626</t>
  </si>
  <si>
    <t>IT tips (mes de marzo 25 semana 4)</t>
  </si>
  <si>
    <t>SMART.223642</t>
  </si>
  <si>
    <t>Acceso Lap top</t>
  </si>
  <si>
    <t>SMART.223643</t>
  </si>
  <si>
    <t>SMART.223633</t>
  </si>
  <si>
    <t>Problemas para conectarse a junta por teams</t>
  </si>
  <si>
    <t>SMART.223635</t>
  </si>
  <si>
    <t>CAMBIO DE IDIOMA EQUIPO</t>
  </si>
  <si>
    <t>SMART.223636</t>
  </si>
  <si>
    <t>Revisar casos de Alexa y Angel</t>
  </si>
  <si>
    <t>SMART.223621</t>
  </si>
  <si>
    <t>Solicitud de Escaneo de Equipo MCI TECHNOLOGY</t>
  </si>
  <si>
    <t>SMART.223637</t>
  </si>
  <si>
    <t>No permite guadar documentos en IMS</t>
  </si>
  <si>
    <t>SMART.223641</t>
  </si>
  <si>
    <t>ACTIVIDAD TSYSTEMS</t>
  </si>
  <si>
    <t>SMART.223634</t>
  </si>
  <si>
    <t>SMART.223646</t>
  </si>
  <si>
    <t>Acceso a impresora PPUE</t>
  </si>
  <si>
    <t>SMART.223615</t>
  </si>
  <si>
    <t>solicitud de clave Hall nios</t>
  </si>
  <si>
    <t>SMART.223652</t>
  </si>
  <si>
    <t>wifi connection</t>
  </si>
  <si>
    <t>SMART.223653</t>
  </si>
  <si>
    <t>URGENTE CRITICO -ASAP- Permiso de acceso de equipo de computo</t>
  </si>
  <si>
    <t>SMART.223505</t>
  </si>
  <si>
    <t>IMPRESORA</t>
  </si>
  <si>
    <t>Cayetano Fernandez, Zerafin</t>
  </si>
  <si>
    <t>SMART.223654</t>
  </si>
  <si>
    <t>ASAP-UPS PLANTA PUEBLA</t>
  </si>
  <si>
    <t>García Torres, Marina</t>
  </si>
  <si>
    <t>SMART.223651</t>
  </si>
  <si>
    <t>Equipo de computo Leadec</t>
  </si>
  <si>
    <t>SMART.223649</t>
  </si>
  <si>
    <t>Trozo de papel atorado en copiadora</t>
  </si>
  <si>
    <t>SMART.223596</t>
  </si>
  <si>
    <t>Acceso a Sistemas de Nóminas</t>
  </si>
  <si>
    <t>SMART.223650</t>
  </si>
  <si>
    <t>ASAP-Traer ups de San Jose</t>
  </si>
  <si>
    <t>SMART.223640</t>
  </si>
  <si>
    <t>Contraseña de SAP</t>
  </si>
  <si>
    <t>SMART.223655</t>
  </si>
  <si>
    <t>ASAP-SOLICITUD DE REVISION DE COMPUTADORA VIRTUAL//PROGRAMA CELERE TRANSFER</t>
  </si>
  <si>
    <t>SMART.223644</t>
  </si>
  <si>
    <t>ASAP-ACTUALIZACION DE RVS PPUE/PSJC</t>
  </si>
  <si>
    <t>SMART.223672</t>
  </si>
  <si>
    <t>ASAP-ENTREGA DE EQUIPOS PARA PRUEBA DE EATON</t>
  </si>
  <si>
    <t>SMART.223585</t>
  </si>
  <si>
    <t>Mi equipo no genera impresion</t>
  </si>
  <si>
    <t>Serrano Bustamante, Alberto</t>
  </si>
  <si>
    <t>SMART.223632</t>
  </si>
  <si>
    <t>ASAP-ACTUALIZACION DE RVS</t>
  </si>
  <si>
    <t>SMART.223589</t>
  </si>
  <si>
    <t>Eliminación de documento obsoleto</t>
  </si>
  <si>
    <t>SMART.223645</t>
  </si>
  <si>
    <t>IT tips (mes de abril 25 semana 1)</t>
  </si>
  <si>
    <t>SMART.223669</t>
  </si>
  <si>
    <t>Envío de archivo GSD</t>
  </si>
  <si>
    <t>SMART.223671</t>
  </si>
  <si>
    <t>INSTALACIÓN DE ZOOM</t>
  </si>
  <si>
    <t>SMART.223668</t>
  </si>
  <si>
    <t>SOLICITUD DE ACCESO DE EQUIPOS PPUE//7 DE ABRIL 2025//KRESTON BSG</t>
  </si>
  <si>
    <t>SMART.223638</t>
  </si>
  <si>
    <t>Activación de autenticador en teléfono</t>
  </si>
  <si>
    <t>SMART.223573</t>
  </si>
  <si>
    <t>Listado de personal con 8ID (06.03.2025)-Información confidencial</t>
  </si>
  <si>
    <t>SMART.223676</t>
  </si>
  <si>
    <t>Ticket para extracción de archivo RA210</t>
  </si>
  <si>
    <t>SMART.223678</t>
  </si>
  <si>
    <t>ASAP-COLOCAR SWITCH DE FB2</t>
  </si>
  <si>
    <t>SMART.223686</t>
  </si>
  <si>
    <t>Impresora PSJC</t>
  </si>
  <si>
    <t>SMART.223683</t>
  </si>
  <si>
    <t>Acceso a plataforma KVP B2B</t>
  </si>
  <si>
    <t>PEREZ VAZQUEZ, JOSE ERASMO</t>
  </si>
  <si>
    <t>SMART.223675</t>
  </si>
  <si>
    <t>ASAP-FAILOVER PSJC</t>
  </si>
  <si>
    <t>SMART.223681</t>
  </si>
  <si>
    <t>Curso de Seguridad del Producto</t>
  </si>
  <si>
    <t>SMART.223682</t>
  </si>
  <si>
    <t>Permiso para acceso a KVP B2B</t>
  </si>
  <si>
    <t>Domínguez Olmos, Xavier</t>
  </si>
  <si>
    <t>SMART.223674</t>
  </si>
  <si>
    <t>Celular - no responde</t>
  </si>
  <si>
    <t>SMART.223693</t>
  </si>
  <si>
    <t>SMART.223692</t>
  </si>
  <si>
    <t>Actualizar iphone</t>
  </si>
  <si>
    <t>SMART.223690</t>
  </si>
  <si>
    <t>Win SCP</t>
  </si>
  <si>
    <t>SMART.223648</t>
  </si>
  <si>
    <t>SAP</t>
  </si>
  <si>
    <t>SMART.223679</t>
  </si>
  <si>
    <t>Prestamo de monitor</t>
  </si>
  <si>
    <t>SMART.223677</t>
  </si>
  <si>
    <t>RECEPCION DE IPC</t>
  </si>
  <si>
    <t>SMART.223684</t>
  </si>
  <si>
    <t>Patas Telescópicas Tiguan</t>
  </si>
  <si>
    <t>SMART.223477</t>
  </si>
  <si>
    <t>THYSSENKRUPP FTY _ REINSTALACION W10 ENTERPRISE</t>
  </si>
  <si>
    <t>SMART.223697</t>
  </si>
  <si>
    <t>Accesos para personal AUDI</t>
  </si>
  <si>
    <t>SMART.223687</t>
  </si>
  <si>
    <t>Solicitud de Escaneo de Computo MCI</t>
  </si>
  <si>
    <t>SMART.223582</t>
  </si>
  <si>
    <t>WE - PCO- Acceso</t>
  </si>
  <si>
    <t>VÁZQUEZ OCHOA, ALICIA</t>
  </si>
  <si>
    <t>SMART.223695</t>
  </si>
  <si>
    <t>Solicitud de ingreso de equipo de computo</t>
  </si>
  <si>
    <t>SMART.223660</t>
  </si>
  <si>
    <t>ESCANEO MENSUAL ABRIL INTERACT</t>
  </si>
  <si>
    <t>SMART.223661</t>
  </si>
  <si>
    <t>ESCANEO MENSUAL ABRIL SIPROCCA</t>
  </si>
  <si>
    <t>SMART.223662</t>
  </si>
  <si>
    <t>ESCANEO MENSUAL ABRIL RACON 1</t>
  </si>
  <si>
    <t>SMART.223664</t>
  </si>
  <si>
    <t>ESCANEO MENSUAL ABRIL RACON 3</t>
  </si>
  <si>
    <t>SMART.223665</t>
  </si>
  <si>
    <t>ESCANEO MENSUAL ABRIL TORAB</t>
  </si>
  <si>
    <t>SMART.223700</t>
  </si>
  <si>
    <t>Anuncios de actualización 24H2</t>
  </si>
  <si>
    <t>SMART.223706</t>
  </si>
  <si>
    <t>u contraseña de Office 365 caduca hoy</t>
  </si>
  <si>
    <t>SMART.223673</t>
  </si>
  <si>
    <t>IT tips (mes de abril 25 semana 2)</t>
  </si>
  <si>
    <t>SMART.223696</t>
  </si>
  <si>
    <t>ASAP-CAMBIO DE UPS PLANTA SJC</t>
  </si>
  <si>
    <t>SMART.223699</t>
  </si>
  <si>
    <t>Solicitud de video</t>
  </si>
  <si>
    <t>SMART.223659</t>
  </si>
  <si>
    <t>REVISIÓN DE CAMARAS</t>
  </si>
  <si>
    <t>SMART.223575</t>
  </si>
  <si>
    <t>SMART.223656</t>
  </si>
  <si>
    <t>ASAP-CASO HP SERVER</t>
  </si>
  <si>
    <t>SMART.223705</t>
  </si>
  <si>
    <t>Actualización de maquina virtual (11/04/2025)</t>
  </si>
  <si>
    <t>SMART.223713</t>
  </si>
  <si>
    <t>ACCESO COMPUTADORA -TSYSTEMS</t>
  </si>
  <si>
    <t>SMART.223703</t>
  </si>
  <si>
    <t>Ingreso laptop de proveedor de Capacitación</t>
  </si>
  <si>
    <t>SMART.223710</t>
  </si>
  <si>
    <t>Solicitud de Ingreso de Equipo de Cómputo</t>
  </si>
  <si>
    <t>SMART.223709</t>
  </si>
  <si>
    <t>informacion de los atornilladores</t>
  </si>
  <si>
    <t>SMART.223702</t>
  </si>
  <si>
    <t>Identificación de equipos</t>
  </si>
  <si>
    <t>SMART.223685</t>
  </si>
  <si>
    <t>ASAP-SOLICITUD RESTAURACION DE BASE DE DATOS CAMPA//PROGRAMA CELERE TRANSFER</t>
  </si>
  <si>
    <t>SMART.223718</t>
  </si>
  <si>
    <t>Solicitud de acceso de equipo de computo para Planta Puebla</t>
  </si>
  <si>
    <t>SMART.223717</t>
  </si>
  <si>
    <t>ASAP-Retiro de equipo T-systems</t>
  </si>
  <si>
    <t>SMART.223658</t>
  </si>
  <si>
    <t>please test your access</t>
  </si>
  <si>
    <t>SMART.223719</t>
  </si>
  <si>
    <t>INGRESO EQUIPO DE COMPUTO SIPS-Excel Básico</t>
  </si>
  <si>
    <t>SMART.223701</t>
  </si>
  <si>
    <t>ASAP-COLOCACION DE  SWITCH PUEBLA</t>
  </si>
  <si>
    <t>SMART.223722</t>
  </si>
  <si>
    <t>Falla de teclado monitor</t>
  </si>
  <si>
    <t>RAMOS GUZMAN, JAZMIN GUADALUPE</t>
  </si>
  <si>
    <t>SMART.223720</t>
  </si>
  <si>
    <t>Extracción de archivo Adat</t>
  </si>
  <si>
    <t>SMART.223715</t>
  </si>
  <si>
    <t>Clave de acceso scanner</t>
  </si>
  <si>
    <t>SMART.223567</t>
  </si>
  <si>
    <t>Microsoft Azure cloud platform</t>
  </si>
  <si>
    <t>SMART.223618</t>
  </si>
  <si>
    <t>Solicitud de Toner</t>
  </si>
  <si>
    <t>FLORES MARTINEZ, RICARDO</t>
  </si>
  <si>
    <t>SMART.223716</t>
  </si>
  <si>
    <t>Acceso Lap Top Personal de CCYRL</t>
  </si>
  <si>
    <t>SMART.223707</t>
  </si>
  <si>
    <t>IT tips (mes de abril 25 semana 3)</t>
  </si>
  <si>
    <t>SMART.223590</t>
  </si>
  <si>
    <t>Activación de KPM FELD_B2B</t>
  </si>
  <si>
    <t>SMART.223663</t>
  </si>
  <si>
    <t>ESCANEO MENSUAL ABRIL RACON 2</t>
  </si>
  <si>
    <t>SMART.223670</t>
  </si>
  <si>
    <t>SALA DE COMPUTO</t>
  </si>
  <si>
    <t>SMART.223725</t>
  </si>
  <si>
    <t>SMART.223691</t>
  </si>
  <si>
    <t>Datos  Atornillador FC30</t>
  </si>
  <si>
    <t>SMART.223647</t>
  </si>
  <si>
    <t>Desbloqueo de usuario 10360563</t>
  </si>
  <si>
    <t>Gonzalez Ramos, Juan Carlos</t>
  </si>
  <si>
    <t>SMART.223694</t>
  </si>
  <si>
    <t>ASAP-Teams</t>
  </si>
  <si>
    <t>SMART.223731</t>
  </si>
  <si>
    <t>INGRESO EQUIPO DE COMPUTO CURSO CQI-20 industrem</t>
  </si>
  <si>
    <t>SMART.223737</t>
  </si>
  <si>
    <t>Recordatorio de nuestro Código de Conducta</t>
  </si>
  <si>
    <t>SMART.223727</t>
  </si>
  <si>
    <t>Acceso al portal del SAT</t>
  </si>
  <si>
    <t>SMART.223666</t>
  </si>
  <si>
    <t>Solicitud de conexión de impresora de laboratorio de calidad PSJC</t>
  </si>
  <si>
    <t>SMART.223735</t>
  </si>
  <si>
    <t>impresora BG en fallo</t>
  </si>
  <si>
    <t>Castillo Molina, Benjamín</t>
  </si>
  <si>
    <t>SMART.223729</t>
  </si>
  <si>
    <t>REVICION DE  INFORMACION</t>
  </si>
  <si>
    <t>SMART.223667</t>
  </si>
  <si>
    <t>We.screens</t>
  </si>
  <si>
    <t>SMART.223712</t>
  </si>
  <si>
    <t>Audio de Lap Top</t>
  </si>
  <si>
    <t>SMART.223743</t>
  </si>
  <si>
    <t>APOYO PARA MONITOR Y TECLADO</t>
  </si>
  <si>
    <t>SMART.223748</t>
  </si>
  <si>
    <t>Restear contraseña de incio de session en Windows</t>
  </si>
  <si>
    <t>SMART.223739</t>
  </si>
  <si>
    <t>ASAP-Cambio de ups en RA</t>
  </si>
  <si>
    <t>SMART.223551</t>
  </si>
  <si>
    <t>Impresora oficina de produccione impresora a color</t>
  </si>
  <si>
    <t>SMART.223728</t>
  </si>
  <si>
    <t>Nueva contraseña SAP</t>
  </si>
  <si>
    <t>SMART.223754</t>
  </si>
  <si>
    <t>actualizar adobe</t>
  </si>
  <si>
    <t>SMART.223753</t>
  </si>
  <si>
    <t>ENTREGA DE EQUIPO DE COMUTO PRACTICATNE FINANZAS SALVADOR ALONSO HERNÁNDEZ</t>
  </si>
  <si>
    <t>SMART.223758</t>
  </si>
  <si>
    <t>SMART.223750</t>
  </si>
  <si>
    <t>Solicitud de cambio de password mail</t>
  </si>
  <si>
    <t>SMART.223745</t>
  </si>
  <si>
    <t>Contraseña Outlook</t>
  </si>
  <si>
    <t>SMART.223752</t>
  </si>
  <si>
    <t>INGRESO EQUIPO DE COMPUTO 24 ABIRL 2025</t>
  </si>
  <si>
    <t>SMART.223740</t>
  </si>
  <si>
    <t>eudct00002350</t>
  </si>
  <si>
    <t>SMART.223751</t>
  </si>
  <si>
    <t>COLOCACION DE DISPOSITIVOS EN PSJC</t>
  </si>
  <si>
    <t>SMART.223756</t>
  </si>
  <si>
    <t>ASAP-CONEXION FAILOVER PSJC</t>
  </si>
  <si>
    <t>SMART.223708</t>
  </si>
  <si>
    <t>Error Excel.</t>
  </si>
  <si>
    <t>Espinoza Garcia, Ausencio</t>
  </si>
  <si>
    <t>SMART.223763</t>
  </si>
  <si>
    <t>usuario de sap</t>
  </si>
  <si>
    <t>Silva Robles, Alfredo</t>
  </si>
  <si>
    <t>SMART.223726</t>
  </si>
  <si>
    <t>SMART.223761</t>
  </si>
  <si>
    <t>ACCESO A SAP</t>
  </si>
  <si>
    <t>SMART.223759</t>
  </si>
  <si>
    <t>ERROR EN IMPRESORA SJC</t>
  </si>
  <si>
    <t>SMART.223765</t>
  </si>
  <si>
    <t>Acceso equipos de cómputo AUDI</t>
  </si>
  <si>
    <t>SMART.223770</t>
  </si>
  <si>
    <t>Manual para la configuración del móvil Iphone</t>
  </si>
  <si>
    <t>SMART.223757</t>
  </si>
  <si>
    <t>ASAP-CONEXION FAILOVE PUEBLA</t>
  </si>
  <si>
    <t>SMART.223689</t>
  </si>
  <si>
    <t>Preparar equipo apra jitcats browsre</t>
  </si>
  <si>
    <t>SMART.223657</t>
  </si>
  <si>
    <t>NO ABRE ARCHIVO</t>
  </si>
  <si>
    <t>SMART.223768</t>
  </si>
  <si>
    <t>Restablecer contraseña outlook</t>
  </si>
  <si>
    <t>SMART.223744</t>
  </si>
  <si>
    <t>Uso de Chrome por error de geolocalizacion en edge para banco santander</t>
  </si>
  <si>
    <t>SMART.223764</t>
  </si>
  <si>
    <t>CAMBIO DE UPS DE RA EN FS EN SJC</t>
  </si>
  <si>
    <t>SMART.223769</t>
  </si>
  <si>
    <t>Solicitud de videos_SJC</t>
  </si>
  <si>
    <t>SMART.223774</t>
  </si>
  <si>
    <t>Migración iphone nuevo</t>
  </si>
  <si>
    <t>SMART.223775</t>
  </si>
  <si>
    <t>Actualizacion Celular asignado</t>
  </si>
  <si>
    <t>SMART.223777</t>
  </si>
  <si>
    <t>soporte de actualizacion de celular</t>
  </si>
  <si>
    <t>SMART.223732</t>
  </si>
  <si>
    <t>REVISION IDF SAN JOSE</t>
  </si>
  <si>
    <t>SMART.223772</t>
  </si>
  <si>
    <t>ACCESO COMPUTADORA SJC</t>
  </si>
  <si>
    <t>SMART.223781</t>
  </si>
  <si>
    <t>CONEXION DISPOSITIVOS NUEVOS ANX</t>
  </si>
  <si>
    <t>SMART.223783</t>
  </si>
  <si>
    <t>SOLICITUD DE ACCESO DE EQUIPOS PPUE//8 DE MAYO 2025//KRESTON BSG</t>
  </si>
  <si>
    <t>SMART.223786</t>
  </si>
  <si>
    <t>Configuración del móvil con sistema Android</t>
  </si>
  <si>
    <t>SMART.223798</t>
  </si>
  <si>
    <t>SOLICITUD DE ACCESO DE EQUIPOS PPUE//06 DE MAYO 2025//KRESTON BSG</t>
  </si>
  <si>
    <t>SMART.223806</t>
  </si>
  <si>
    <t>Acceso a Maquina Virtual</t>
  </si>
  <si>
    <t>SMART.223803</t>
  </si>
  <si>
    <t>UPS EN PUEBLA</t>
  </si>
  <si>
    <t>SMART.223802</t>
  </si>
  <si>
    <t>RETIRO Y REVISION DE EQUIPOS PLANTA PUE</t>
  </si>
  <si>
    <t>SMART.223808</t>
  </si>
  <si>
    <t>ACCESO SEGUNDA COMPUTADORA</t>
  </si>
  <si>
    <t>SMART.223811</t>
  </si>
  <si>
    <t>Apoyo para tener acceso a link</t>
  </si>
  <si>
    <t>Colombres Serrano, Mauricio</t>
  </si>
  <si>
    <t>SMART.223816</t>
  </si>
  <si>
    <t>Habilitar transacción XD02</t>
  </si>
  <si>
    <t>SMART.223814</t>
  </si>
  <si>
    <t>Video cuarentena 2 de mayo</t>
  </si>
  <si>
    <t>SMART.223832</t>
  </si>
  <si>
    <t>SOLICITUD DE ACCESO DE EQUIPOS PPUE//12 DE MAYO 2025//KRESTON BSG</t>
  </si>
  <si>
    <t>SMART.223842</t>
  </si>
  <si>
    <t>REVISION DE EQUIPOS SJC-ASAP</t>
  </si>
  <si>
    <t>SMART.223838</t>
  </si>
  <si>
    <t>Desbloqueo de computo</t>
  </si>
  <si>
    <t>Castillo, Jose Maria</t>
  </si>
  <si>
    <t>SMART.223845</t>
  </si>
  <si>
    <t>SOLICITUD DE ACCESO DE EQUIPOS PPUE//14 DE MAYO 2025//KRESTON BSG</t>
  </si>
  <si>
    <t>SMART.223844</t>
  </si>
  <si>
    <t>Solicitud de ingreso de equipo de cómputo</t>
  </si>
  <si>
    <t>SMART.223857</t>
  </si>
  <si>
    <t>SMART.223855</t>
  </si>
  <si>
    <t>Curso Formación de Instructores (ingreso de laptop)</t>
  </si>
  <si>
    <t>SMART.223499</t>
  </si>
  <si>
    <t>ERROR DE IMPRESION</t>
  </si>
  <si>
    <t>Pedraza Domínguez, Edgar</t>
  </si>
  <si>
    <t>SMART.223858</t>
  </si>
  <si>
    <t>cambio de clave</t>
  </si>
  <si>
    <t>SMART.223861</t>
  </si>
  <si>
    <t>ZSCALER</t>
  </si>
  <si>
    <t>MANCILLA PUERTOS, WENDY</t>
  </si>
  <si>
    <t>SMART.223865</t>
  </si>
  <si>
    <t>SMART.223864</t>
  </si>
  <si>
    <t>Restablecer password</t>
  </si>
  <si>
    <t>SMART.223876</t>
  </si>
  <si>
    <t>Modelos</t>
  </si>
  <si>
    <t>SMART.223872</t>
  </si>
  <si>
    <t>ASAP-RECIBIMIENTO DE UPS A PLANTA PUEBLA</t>
  </si>
  <si>
    <t>SMART.223881</t>
  </si>
  <si>
    <t>Solicitud de actualizacion version solidworks</t>
  </si>
  <si>
    <t>SMART.223884</t>
  </si>
  <si>
    <t>Actualización de Solidworks</t>
  </si>
  <si>
    <t>SMART.223886</t>
  </si>
  <si>
    <t>INGRESO DE EQUIPO DE COMPUTO CURSO "TOMA DE DESICIONES" UDAAN</t>
  </si>
  <si>
    <t>SMART.223888</t>
  </si>
  <si>
    <t>ACCESO COMPUTADORA HP</t>
  </si>
  <si>
    <t>SMART.223892</t>
  </si>
  <si>
    <t>CONSULTA DE ACCESO PAGINA RNIE</t>
  </si>
  <si>
    <t>SMART.223895</t>
  </si>
  <si>
    <t>SMART.223897</t>
  </si>
  <si>
    <t>ACCESO COMPUTADORA- METROCARREIR</t>
  </si>
  <si>
    <t>SMART.223898</t>
  </si>
  <si>
    <t>Acceso a concur- Tarjeta AMEX</t>
  </si>
  <si>
    <t>SMART.223901</t>
  </si>
  <si>
    <t>Información en PC técnicos de calidad</t>
  </si>
  <si>
    <t>SMART.223907</t>
  </si>
  <si>
    <t>Revisar impresion vs impresora</t>
  </si>
  <si>
    <t>SMART.223905</t>
  </si>
  <si>
    <t>Ticket para extracción de ADAT</t>
  </si>
  <si>
    <t>SMART.223912</t>
  </si>
  <si>
    <t>CORREO SOSPECHOSO (International Material Data System) THYSSENKRUPP</t>
  </si>
  <si>
    <t>SMART.223909</t>
  </si>
  <si>
    <t>SMART.223910</t>
  </si>
  <si>
    <t>SMART.223799</t>
  </si>
  <si>
    <t>CAMBIO DE TONNER PARA IMPRESORA DE PPUE</t>
  </si>
  <si>
    <t>SMART.223787</t>
  </si>
  <si>
    <t>SMART.223804</t>
  </si>
  <si>
    <t>Envío de videos</t>
  </si>
  <si>
    <t>SMART.223817</t>
  </si>
  <si>
    <t>Scanner ScanJet Pro 3000 s4</t>
  </si>
  <si>
    <t>SMART.223810</t>
  </si>
  <si>
    <t>CAMBIO DE TONNER PARA IMPRESORA DE PSJC</t>
  </si>
  <si>
    <t>SMART.223824</t>
  </si>
  <si>
    <t>SMART.223819</t>
  </si>
  <si>
    <t>Apoyo a entrar a realizar el curso de e-learning sobre phishing</t>
  </si>
  <si>
    <t>SMART.223823</t>
  </si>
  <si>
    <t>Ticket para acceso de equipo de cómputo</t>
  </si>
  <si>
    <t>SMART.223820</t>
  </si>
  <si>
    <t>Solicitud de videos</t>
  </si>
  <si>
    <t>SMART.223833</t>
  </si>
  <si>
    <t>COMUNICACIÓN ASERTIVA</t>
  </si>
  <si>
    <t>SMART.223839</t>
  </si>
  <si>
    <t>NUMERO DE TELEFONOCO PPUE Y PSJC</t>
  </si>
  <si>
    <t>RAMIREZ, SANTIAGO ALONSO</t>
  </si>
  <si>
    <t>SMART.223837</t>
  </si>
  <si>
    <t>SMART.223841</t>
  </si>
  <si>
    <t>equipo movil no reconoce authenticador</t>
  </si>
  <si>
    <t>HERRERA MONTES, GILBERTO FRANCISCO</t>
  </si>
  <si>
    <t>SMART.223847</t>
  </si>
  <si>
    <t>solicitud de documentos</t>
  </si>
  <si>
    <t>SMART.223868</t>
  </si>
  <si>
    <t>Acceso Lap Top Proveedor Linfolab (Radiografia)</t>
  </si>
  <si>
    <t>SMART.223869</t>
  </si>
  <si>
    <t>acceso a SAP</t>
  </si>
  <si>
    <t>SMART.223873</t>
  </si>
  <si>
    <t>ASAP-INFORMACION DE RVS</t>
  </si>
  <si>
    <t>SMART.223880</t>
  </si>
  <si>
    <t>ASAP-revision de pantalla en FB2</t>
  </si>
  <si>
    <t>SMART.223882</t>
  </si>
  <si>
    <t>ASAP-Prestamo equipo de cómputo</t>
  </si>
  <si>
    <t>SMART.223893</t>
  </si>
  <si>
    <t>Problemas con acceso SAP</t>
  </si>
  <si>
    <t>SMART.223890</t>
  </si>
  <si>
    <t>Solicitud ingreso equipo</t>
  </si>
  <si>
    <t>SMART.223900</t>
  </si>
  <si>
    <t>Acceso a perfil de administrador</t>
  </si>
  <si>
    <t>SMART.223908</t>
  </si>
  <si>
    <t>ASAP-Baja de Practicante de Logística</t>
  </si>
  <si>
    <t>SMART.223776</t>
  </si>
  <si>
    <t>Apoyo pruebas con atornilladores</t>
  </si>
  <si>
    <t>SMART.223778</t>
  </si>
  <si>
    <t>SMART.223805</t>
  </si>
  <si>
    <t>Reestablecer contraseña correo electronico</t>
  </si>
  <si>
    <t>SMART.223834</t>
  </si>
  <si>
    <t>CAMBIO DE UPS DE LA SALA DE DIRECCION</t>
  </si>
  <si>
    <t>SMART.223850</t>
  </si>
  <si>
    <t>Autentificador Portal VWM</t>
  </si>
  <si>
    <t>SMART.223862</t>
  </si>
  <si>
    <t>CAMBIO DE TAPES PUEBLA</t>
  </si>
  <si>
    <t>SMART.223866</t>
  </si>
  <si>
    <t>Actualización de ScanJet Pro 3000 s4</t>
  </si>
  <si>
    <t>SMART.223860</t>
  </si>
  <si>
    <t>ERROR ZSCALER</t>
  </si>
  <si>
    <t>SMART.223871</t>
  </si>
  <si>
    <t>ASAP-REVISION DEL IDF FC- SJC</t>
  </si>
  <si>
    <t>SMART.223885</t>
  </si>
  <si>
    <t>SOLICITUD DE INGRESO A EQUIPO DE COMPUTO</t>
  </si>
  <si>
    <t>SMART.223780</t>
  </si>
  <si>
    <t>Cambio de UPS de RA a FC</t>
  </si>
  <si>
    <t>SMART.223789</t>
  </si>
  <si>
    <t>Extracción de archivo RA210</t>
  </si>
  <si>
    <t>SMART.223790</t>
  </si>
  <si>
    <t>IT tips (mes de mayo 25 semana 1)</t>
  </si>
  <si>
    <t>SMART.223784</t>
  </si>
  <si>
    <t>Solicitud para reestablecer contraseña de Correo (outlook)</t>
  </si>
  <si>
    <t>Mr. Munguía León, Juan Carlos</t>
  </si>
  <si>
    <t>SMART.223809</t>
  </si>
  <si>
    <t>Solicitud de Escaneo de Computo MCI  8.05.25</t>
  </si>
  <si>
    <t>SMART.223812</t>
  </si>
  <si>
    <t>SOPOSRTE PARA ACTIVIDAD DE RVS PUEBLA</t>
  </si>
  <si>
    <t>SMART.223836</t>
  </si>
  <si>
    <t>UPS PLANTA PUEBLA</t>
  </si>
  <si>
    <t>SMART.223854</t>
  </si>
  <si>
    <t>Acceso SAP</t>
  </si>
  <si>
    <t>SMART.223887</t>
  </si>
  <si>
    <t>acceso al bosch</t>
  </si>
  <si>
    <t>SMART.223883</t>
  </si>
  <si>
    <t>kvs VW PPUE</t>
  </si>
  <si>
    <t>SMART.223766</t>
  </si>
  <si>
    <t>IT tips (mes de abril 25 semana 4)</t>
  </si>
  <si>
    <t>SMART.223779</t>
  </si>
  <si>
    <t>equipo bloqueado</t>
  </si>
  <si>
    <t>SMART.223792</t>
  </si>
  <si>
    <t>ESCANEO MENSUAL MAYO SIPROCCA</t>
  </si>
  <si>
    <t>SMART.223793</t>
  </si>
  <si>
    <t>ESCANEO MENSUAL MAYO RACON 1</t>
  </si>
  <si>
    <t>SMART.223795</t>
  </si>
  <si>
    <t>ESCANEO MENSUAL MAYO RACON 3</t>
  </si>
  <si>
    <t>SMART.223796</t>
  </si>
  <si>
    <t>ESCANEO MENSUAL MAYO TORAB</t>
  </si>
  <si>
    <t>SMART.223831</t>
  </si>
  <si>
    <t>IT tips (mes de mayo 25 semana 2)</t>
  </si>
  <si>
    <t>SMART.223586</t>
  </si>
  <si>
    <t>contenedores sin editar</t>
  </si>
  <si>
    <t>SMART.223827</t>
  </si>
  <si>
    <t>activación de KioscoPSJC, validar que la PC este en red y funcionando</t>
  </si>
  <si>
    <t>SMART.223851</t>
  </si>
  <si>
    <t>SIN RED, Y SIN EQUIPO DE COMPUTO DE CASETA VIGILANCIA</t>
  </si>
  <si>
    <t>SMART.223863</t>
  </si>
  <si>
    <t>IT tips (mes de mayo 25 semana 3)</t>
  </si>
  <si>
    <t>SMART.223877</t>
  </si>
  <si>
    <t>Docking no funciona</t>
  </si>
  <si>
    <t>LUNA MERINO, GUADALUPE</t>
  </si>
  <si>
    <t>SMART.223879</t>
  </si>
  <si>
    <t>APOYO PARA RECIBIR A PROVEEDOR DBOAR</t>
  </si>
  <si>
    <t>SMART.223889</t>
  </si>
  <si>
    <t>IT tips (mes de mayo 25 semana 4)</t>
  </si>
  <si>
    <t>SMART.223760</t>
  </si>
  <si>
    <t>Acceso al B2B VW</t>
  </si>
  <si>
    <t>SMART.223762</t>
  </si>
  <si>
    <t>Solicitud de ADAT</t>
  </si>
  <si>
    <t>SMART.223788</t>
  </si>
  <si>
    <t>Correo</t>
  </si>
  <si>
    <t>SMART.223807</t>
  </si>
  <si>
    <t>Información PDF banco de calibración.</t>
  </si>
  <si>
    <t>SMART.223846</t>
  </si>
  <si>
    <t>Cambio de Mouse y teclado</t>
  </si>
  <si>
    <t>SMART.223875</t>
  </si>
  <si>
    <t>Acceso LINK OneDrive - thyssenkrupp Automotive Technology\08_PSJC\08_Offers</t>
  </si>
  <si>
    <t>SMART.223878</t>
  </si>
  <si>
    <t>Reset contraseña de SAP</t>
  </si>
  <si>
    <t>SMART.223771</t>
  </si>
  <si>
    <t>SMART.223785</t>
  </si>
  <si>
    <t>Kelopatra &amp; gpg4win.de</t>
  </si>
  <si>
    <t>SMART.223840</t>
  </si>
  <si>
    <t>ERROR llamadas al extranjero por TEAMS</t>
  </si>
  <si>
    <t>SMART.223843</t>
  </si>
  <si>
    <t>Solicitud de ticket espicificaciones de teclado</t>
  </si>
  <si>
    <t>SMART.223742</t>
  </si>
  <si>
    <t>activación de TOTP en B2B</t>
  </si>
  <si>
    <t>SMART.223794</t>
  </si>
  <si>
    <t>ESCANEO MENSUAL MAYO RACON 2</t>
  </si>
  <si>
    <t>SMART.223800</t>
  </si>
  <si>
    <t>Maquina de respaldo equipo compartido</t>
  </si>
  <si>
    <t>SMART.223856</t>
  </si>
  <si>
    <t>ASAP-SOPORTE PARA TIKCET CON HP</t>
  </si>
  <si>
    <t>SMART.223874</t>
  </si>
  <si>
    <t>Acceso a portal Kiosco</t>
  </si>
  <si>
    <t>SMART.223755</t>
  </si>
  <si>
    <t>Autenticación TOTP-B2B</t>
  </si>
  <si>
    <t>SMART.223826</t>
  </si>
  <si>
    <t>Bloqueo SAP</t>
  </si>
  <si>
    <t>Gomez Vazquez, Sheila Vanesa</t>
  </si>
  <si>
    <t>SMART.223848</t>
  </si>
  <si>
    <t>Instalación de software</t>
  </si>
  <si>
    <t>SMART.223767</t>
  </si>
  <si>
    <t>Entrega de manos-libres</t>
  </si>
  <si>
    <t>SMART.223773</t>
  </si>
  <si>
    <t>Cambio de equipo celular /TOTP / DUNS 812771158</t>
  </si>
  <si>
    <t>SMART.223822</t>
  </si>
  <si>
    <t>Acceso a ruta</t>
  </si>
  <si>
    <t>SMART.223746</t>
  </si>
  <si>
    <t>Maquina de respaldo</t>
  </si>
  <si>
    <t>SMART.223738</t>
  </si>
  <si>
    <t>Acceso con Autenticación TOTP</t>
  </si>
  <si>
    <t>SMART.223791</t>
  </si>
  <si>
    <t>ESCANEO MENSUAL MAYO INTERACT</t>
  </si>
  <si>
    <t>SMART.223829</t>
  </si>
  <si>
    <t>FALLA EN MONITOR</t>
  </si>
  <si>
    <t>Pérez Jiménez, Carlos Ricardo</t>
  </si>
  <si>
    <t>SMART.223797</t>
  </si>
  <si>
    <t>Envío de 2 routers de SJC al proveedor ANX</t>
  </si>
  <si>
    <t>SMART.223724</t>
  </si>
  <si>
    <t>Acceso a KBP B2B</t>
  </si>
  <si>
    <t>SMART.223825</t>
  </si>
  <si>
    <t>LIBERAR ESPACIO EN ALMACEN SJC</t>
  </si>
  <si>
    <t>SMART.223730</t>
  </si>
  <si>
    <t>Activación HAMON - One KBP</t>
  </si>
  <si>
    <t>SMART.223734</t>
  </si>
  <si>
    <t>Actualización de Grupo</t>
  </si>
  <si>
    <t>SMART.223698</t>
  </si>
  <si>
    <t>Listado de personal con 8ID (09.04.2025) - Información confidencial</t>
  </si>
  <si>
    <t>SMART.223688</t>
  </si>
  <si>
    <t>Adjuntar mailbox de Takeshi a Chirstin</t>
  </si>
  <si>
    <t>SMART.223736</t>
  </si>
  <si>
    <t>TM1</t>
  </si>
  <si>
    <t>SMART.223749</t>
  </si>
  <si>
    <t>SMART.223711</t>
  </si>
  <si>
    <t>Acceso a Plataforma KVP B2B</t>
  </si>
  <si>
    <t>SMART.223630</t>
  </si>
  <si>
    <t>Captura de scrap en Scrap Impact</t>
  </si>
  <si>
    <t>SMART.223704</t>
  </si>
  <si>
    <t>Acceso carpeta IMS</t>
  </si>
  <si>
    <t>SMART.223680</t>
  </si>
  <si>
    <t>CONFIGURACIÓN DE IPC</t>
  </si>
  <si>
    <t>SMART.223592</t>
  </si>
  <si>
    <t>Acceso a aplicaciones en B2B</t>
  </si>
  <si>
    <t>SMART.223501</t>
  </si>
  <si>
    <t>thyssenkrupp San Jose Chiapa HP Z600 workstation</t>
  </si>
  <si>
    <t>SMART.223502</t>
  </si>
  <si>
    <t>Falla de conexióon en impresora</t>
  </si>
  <si>
    <t>SMART.223723</t>
  </si>
  <si>
    <t>Listado de entrega</t>
  </si>
  <si>
    <t>SMART.223815</t>
  </si>
  <si>
    <t>Escaneo de documento</t>
  </si>
  <si>
    <t>SMART.223801</t>
  </si>
  <si>
    <t>Listado de personal con 8ID (06.05.2025) - Información confidencial</t>
  </si>
  <si>
    <t>SMART.223741</t>
  </si>
  <si>
    <t>CVE-2024-32002 &lt;---- OCTAVIO favor de realizarlo mañana 23.04.25</t>
  </si>
  <si>
    <t>SMART.223940</t>
  </si>
  <si>
    <t>Problema para abrir archivos .jt en Solidworks</t>
  </si>
  <si>
    <t>SMART.223859</t>
  </si>
  <si>
    <t>Reacondicionamiento Impresora SJC</t>
  </si>
  <si>
    <t>SMART.223945</t>
  </si>
  <si>
    <t>RealVNC y CREEFORM</t>
  </si>
  <si>
    <t>SMART.223714</t>
  </si>
  <si>
    <t>Entrega de equipos celulares</t>
  </si>
  <si>
    <t>SMART.223828</t>
  </si>
  <si>
    <t>Instalación de Keyence Smart Navigator</t>
  </si>
  <si>
    <t>SMART.223813</t>
  </si>
  <si>
    <t>AMD Roman Peláez</t>
  </si>
  <si>
    <t>SMART.223920</t>
  </si>
  <si>
    <t>RESTAURACION DE EQUIPO</t>
  </si>
  <si>
    <t>SMART.223821</t>
  </si>
  <si>
    <t>AMD Victor Basilio</t>
  </si>
  <si>
    <t>SMART.223925</t>
  </si>
  <si>
    <t>Solicitud de Instalación Spinfire</t>
  </si>
  <si>
    <t>SMART.223867</t>
  </si>
  <si>
    <t xml:space="preserve">RECEPCION DE EQUIPO CALIDAD SJC </t>
  </si>
  <si>
    <t>SMART.223904</t>
  </si>
  <si>
    <t>Error en scaner ScanJet Pro 3000 s4</t>
  </si>
  <si>
    <t>SMART.223782</t>
  </si>
  <si>
    <t>Entrega modelos Galaxy A06 THYSSENKRUPP AUTOMOTIVE SYSTEMS DE MEXICO SA DE CV</t>
  </si>
  <si>
    <t>SMART.223849</t>
  </si>
  <si>
    <t>iPC URGENTE</t>
  </si>
  <si>
    <t>SMART.223852</t>
  </si>
  <si>
    <t>Cierre de practicas- Salvador Alonso</t>
  </si>
  <si>
    <t>SMART.223932</t>
  </si>
  <si>
    <t>Acceso a SAP</t>
  </si>
  <si>
    <t>SMART.223963</t>
  </si>
  <si>
    <t>BAJA PRACTICANTE FINANZAS MAURISIO SERRANO COLOMBRE</t>
  </si>
  <si>
    <t>SMART.223870</t>
  </si>
  <si>
    <t>AMD José Romero</t>
  </si>
  <si>
    <t>SMART.223957</t>
  </si>
  <si>
    <t>ASAP-ONBOARDNING MEX04841</t>
  </si>
  <si>
    <t>SMART.223933</t>
  </si>
  <si>
    <t>ESCANEO MENSUAL JUNIO INTERACT</t>
  </si>
  <si>
    <t>SMART.223934</t>
  </si>
  <si>
    <t>ESCANEO MENSUAL JUNIO SIPROCCA</t>
  </si>
  <si>
    <t>SMART.223935</t>
  </si>
  <si>
    <t>ESCANEO MENSUAL JUNIO RACON 1</t>
  </si>
  <si>
    <t>SMART.223937</t>
  </si>
  <si>
    <t>ESCANEO MENSUAL JUNIO RACON 3</t>
  </si>
  <si>
    <t>SMART.223938</t>
  </si>
  <si>
    <t>ESCANEO MENSUAL JUNIO TORAB</t>
  </si>
  <si>
    <t>SMART.223936</t>
  </si>
  <si>
    <t>ESCANEO MENSUAL JUNIO RACON 2</t>
  </si>
  <si>
    <t>SMART.223960</t>
  </si>
  <si>
    <t>Sin acceso a escritorio remoto</t>
  </si>
  <si>
    <t>SMART.223975</t>
  </si>
  <si>
    <t>Surtimiento de Tóner</t>
  </si>
  <si>
    <t>SMART.223906</t>
  </si>
  <si>
    <t>Insatalación de SolidWorks</t>
  </si>
  <si>
    <t>SMART.223929</t>
  </si>
  <si>
    <t>IMPRESORA RECIBO DE MATERIALES</t>
  </si>
  <si>
    <t xml:space="preserve">SMART.223943 </t>
  </si>
  <si>
    <t xml:space="preserve">EQUIPO DESKTOP PRINTSERVER </t>
  </si>
  <si>
    <t xml:space="preserve"> Arrazola Hernández, Israel (Mr.)</t>
  </si>
  <si>
    <t>SMART.223952</t>
  </si>
  <si>
    <t>permisos para los usuarios autorizados al IVMS 4200 para el acceso a camaras pendientes</t>
  </si>
  <si>
    <t xml:space="preserve">CRUZ RAMIREZ, SANTIAGO </t>
  </si>
  <si>
    <t>SMART.223830</t>
  </si>
  <si>
    <t>Autenticador.</t>
  </si>
  <si>
    <t>SMART.223944</t>
  </si>
  <si>
    <t>ASAP- Equipo se vigilancia sin red y sin funcionamiento</t>
  </si>
  <si>
    <t>SMART.223896</t>
  </si>
  <si>
    <t>Autentificador sin enlazar</t>
  </si>
  <si>
    <t>SMART.223899</t>
  </si>
  <si>
    <t>SMART.223919</t>
  </si>
  <si>
    <t>Extracción de archivos PDF. Banco SCS</t>
  </si>
  <si>
    <t>SMART.223902</t>
  </si>
  <si>
    <t>ESCANEO LIDITEK</t>
  </si>
  <si>
    <t>SMART.223961</t>
  </si>
  <si>
    <t>Problema con acceso a escáner</t>
  </si>
  <si>
    <t>SMART.223926</t>
  </si>
  <si>
    <t>Problems to VPN access - IN10383439</t>
  </si>
  <si>
    <t>SMART.223959</t>
  </si>
  <si>
    <t>Desecho de equipo scanner</t>
  </si>
  <si>
    <t>SMART.223962</t>
  </si>
  <si>
    <t>APOYO PARA MOVER UPS PUE-SEGUNDA PARTE</t>
  </si>
  <si>
    <t>SMART.223994</t>
  </si>
  <si>
    <t>Recordatorios en la app To Do en equipo móvil</t>
  </si>
  <si>
    <t>SMART.223996</t>
  </si>
  <si>
    <t>Actualizacion pendiente en maquina nueva</t>
  </si>
  <si>
    <t>SMART.223995</t>
  </si>
  <si>
    <t>Acceso remoto denegado a maquina virtual - modulo nomina</t>
  </si>
  <si>
    <t>SMART.223913</t>
  </si>
  <si>
    <t>IT tips (mes de junio 25 semana 1)</t>
  </si>
  <si>
    <t>SMART.223950</t>
  </si>
  <si>
    <t>IT tips (mes de junio 25 semana 2)</t>
  </si>
  <si>
    <t>SMART.223978</t>
  </si>
  <si>
    <t>Iphone blanco</t>
  </si>
  <si>
    <t>SMART.223993</t>
  </si>
  <si>
    <t>MOVIMIENTO DE UPS A PLANTA SJC</t>
  </si>
  <si>
    <t>SMART.223999</t>
  </si>
  <si>
    <t>SMART.223972-IT tips (mes de junio 25 semana 4)</t>
  </si>
  <si>
    <t>SMART.223949</t>
  </si>
  <si>
    <t>SMART.223967</t>
  </si>
  <si>
    <t>PARPADEO EN DISPLAY DE LAPTOP</t>
  </si>
  <si>
    <t>Ramiro López, Alvaro</t>
  </si>
  <si>
    <t>SMART.223972</t>
  </si>
  <si>
    <t>IT tips (mes de junio 25 semana 3)</t>
  </si>
  <si>
    <t>SMART.223987</t>
  </si>
  <si>
    <t>Problemas de impresión</t>
  </si>
  <si>
    <t>SMART.223991</t>
  </si>
  <si>
    <t>Heavy forwarders servers</t>
  </si>
  <si>
    <t>SMART.223911</t>
  </si>
  <si>
    <t>Tech Soft 3D Order #79358 Solicitud de Instalación Spinfire</t>
  </si>
  <si>
    <t>SMART.223914</t>
  </si>
  <si>
    <t>Video RA260</t>
  </si>
  <si>
    <t>SMART.223923</t>
  </si>
  <si>
    <t>Falla monitor</t>
  </si>
  <si>
    <t>SMART.223931</t>
  </si>
  <si>
    <t>APOYO PARA RECIBIR PROVEEDOR CORPORATIVA</t>
  </si>
  <si>
    <t>SMART.223946</t>
  </si>
  <si>
    <t>APOYO PARA MOVER UPS PUE</t>
  </si>
  <si>
    <t>SMART.223955</t>
  </si>
  <si>
    <t>SOLICITUD DE ACCESO DE EQUIPOS PPUE//11 DE JUNIO 2025//KRESTON BSG</t>
  </si>
  <si>
    <t>SMART.223969</t>
  </si>
  <si>
    <t>SMART.223970</t>
  </si>
  <si>
    <t>SMART.223971</t>
  </si>
  <si>
    <t>ALTA AMD VERONICA</t>
  </si>
  <si>
    <t>SMART.223974</t>
  </si>
  <si>
    <t>Video de camara-7</t>
  </si>
  <si>
    <t>SMART.223980</t>
  </si>
  <si>
    <t>Problemas con Teams</t>
  </si>
  <si>
    <t>PEREZ HERNANDEZ, VERONICA ROSALIA</t>
  </si>
  <si>
    <t>SMART.223983</t>
  </si>
  <si>
    <t>Sin acceso a scanner</t>
  </si>
  <si>
    <t>SMART.223918</t>
  </si>
  <si>
    <t>Monitor extra</t>
  </si>
  <si>
    <t>SMART.223928</t>
  </si>
  <si>
    <t>ACCESO COMPUTADORA ACGb</t>
  </si>
  <si>
    <t>SMART.223927</t>
  </si>
  <si>
    <t>SMART.223924</t>
  </si>
  <si>
    <t>Importante: Convocatoria adicional a todos los empleados</t>
  </si>
  <si>
    <t>SMART.223939</t>
  </si>
  <si>
    <t>Solicitud de ingreso Equipo de Cómputo</t>
  </si>
  <si>
    <t>SMART.223948</t>
  </si>
  <si>
    <t>Curso Formación de Instructores (ingreso de laptop9)</t>
  </si>
  <si>
    <t>SMART.223956</t>
  </si>
  <si>
    <t>ASAP-TRASLADO PRESTA-FINSA</t>
  </si>
  <si>
    <t>SMART.223979</t>
  </si>
  <si>
    <t>CAMBIO DE TECLADO</t>
  </si>
  <si>
    <t>SMART.223985</t>
  </si>
  <si>
    <t>Solicitud de video RA080-RA070</t>
  </si>
  <si>
    <t>SMART.224000</t>
  </si>
  <si>
    <t>Asignacion temporal Lap Top</t>
  </si>
  <si>
    <t>SMART.224003</t>
  </si>
  <si>
    <t>Infonavit USB</t>
  </si>
  <si>
    <t>SMART.224014</t>
  </si>
  <si>
    <t>Datos equipo de cómputo - ingreso día lunes 30 de Junio a PSJC</t>
  </si>
  <si>
    <t>SMART.224013</t>
  </si>
  <si>
    <t xml:space="preserve"> FW: liga </t>
  </si>
  <si>
    <t>SMART.223915</t>
  </si>
  <si>
    <t>Consulta correo PHISING Ihr web.login Passwort läuft in 1 Tag(en) ab. / Your web.login password will expire in 1 day(s)</t>
  </si>
  <si>
    <t>SMART.223917</t>
  </si>
  <si>
    <t>Solicitud de asignación de iPad en resguardo</t>
  </si>
  <si>
    <t>SMART.223921</t>
  </si>
  <si>
    <t>ADAT RA210</t>
  </si>
  <si>
    <t>SMART.223941</t>
  </si>
  <si>
    <t>Acceso de equipos Laptop leadec</t>
  </si>
  <si>
    <t>SMART.223942</t>
  </si>
  <si>
    <t>SOLICITUD DE ACCESO DE EQUIPOS PPUE//10 DE JUNIO 2025//KRESTON BSG</t>
  </si>
  <si>
    <t>SMART.223954</t>
  </si>
  <si>
    <t>Instalación de Chrome en equipo Rafael Iglesias</t>
  </si>
  <si>
    <t>SMART.223966</t>
  </si>
  <si>
    <t>ACCESO COMPUTADORA TSYSTems</t>
  </si>
  <si>
    <t>SMART.223965</t>
  </si>
  <si>
    <t>SMART.223968</t>
  </si>
  <si>
    <t>Chrome</t>
  </si>
  <si>
    <t>SMART.223976</t>
  </si>
  <si>
    <t>Solicitud de apoyo- Actualización SPINFIRE</t>
  </si>
  <si>
    <t>SMART.223984</t>
  </si>
  <si>
    <t>Licencias TIA Vq9</t>
  </si>
  <si>
    <t>SMART.223982</t>
  </si>
  <si>
    <t>Extracción de archivos PDF. Banco de calibración</t>
  </si>
  <si>
    <t>SMART.223981</t>
  </si>
  <si>
    <t>Solicitud de Reestablecimiento de Contraseña-Pantalla PSJC S2QDC</t>
  </si>
  <si>
    <t>SMART.223988</t>
  </si>
  <si>
    <t>Solicitud de información</t>
  </si>
  <si>
    <t>URGENTE-Vera Serrano, Idalia</t>
  </si>
  <si>
    <t>SMART.223997</t>
  </si>
  <si>
    <t>SMART.224005</t>
  </si>
  <si>
    <t>ASAP-Alerta !</t>
  </si>
  <si>
    <t>SMART.224006</t>
  </si>
  <si>
    <t>ASAP - FALLA IMPRESORA RH</t>
  </si>
  <si>
    <t>SMART.224011</t>
  </si>
  <si>
    <t>Ingreso de Equipo de Cómputo</t>
  </si>
  <si>
    <t>SMART.224012</t>
  </si>
  <si>
    <t>Acceso equipo de computo, etc. Sabado 28.06.25</t>
  </si>
  <si>
    <t>SMART.224018</t>
  </si>
  <si>
    <t>Transaction FB03</t>
  </si>
  <si>
    <t>Document Overview -Display</t>
  </si>
  <si>
    <t>SMART.224008</t>
  </si>
  <si>
    <t>Falla en pantalla cuando conecto a Dock In</t>
  </si>
  <si>
    <t>SMART.224019</t>
  </si>
  <si>
    <t>ASAP-RECEPCION DE 2 USB DE FINANZAS</t>
  </si>
  <si>
    <t>SMART.224007</t>
  </si>
  <si>
    <t>LOCALIZACIÓN DE EQUIPO- PUE</t>
  </si>
  <si>
    <t>SMART.223953</t>
  </si>
  <si>
    <t>SMART.224020</t>
  </si>
  <si>
    <t>Instalación de navegadores</t>
  </si>
  <si>
    <t>SMART.224023</t>
  </si>
  <si>
    <t>SOLICITUD DE ACCESO DE EQUIPOS PPUE//7 DE JULIO 2025//KRESTON BSG</t>
  </si>
  <si>
    <t>SMART.223964</t>
  </si>
  <si>
    <t>AJA CLAUDIA VELASCO ARENAS</t>
  </si>
  <si>
    <t>SMART.224010</t>
  </si>
  <si>
    <t>Seguimiento a caliper con daño</t>
  </si>
  <si>
    <t>SMART.224027</t>
  </si>
  <si>
    <t>IMAGENES BROWSER</t>
  </si>
  <si>
    <t>SMART.224016</t>
  </si>
  <si>
    <t>IT tips (mes de julio 25 semana 1)</t>
  </si>
  <si>
    <t>SMART.224036</t>
  </si>
  <si>
    <t>Invitación a un evento de la empresa</t>
  </si>
  <si>
    <t>SMART.224017</t>
  </si>
  <si>
    <t>COLOCACION DE BARRAS PDU EN SITE 2</t>
  </si>
  <si>
    <t>SMART.223998</t>
  </si>
  <si>
    <t>Tickets por problemas de impresión en area de laboratorio</t>
  </si>
  <si>
    <t>SMART.224025</t>
  </si>
  <si>
    <t>NO SE TIENE INTERNET POR FALTA DE LUZ</t>
  </si>
  <si>
    <t>SMART.224031</t>
  </si>
  <si>
    <t>ESCANEO MENSUAL JULIO RACON 2</t>
  </si>
  <si>
    <t>SMART.224042</t>
  </si>
  <si>
    <t>Swap tapes / MEX01823</t>
  </si>
  <si>
    <t>SMART.223951</t>
  </si>
  <si>
    <t>ALTA AMD</t>
  </si>
  <si>
    <t>SMART.224044</t>
  </si>
  <si>
    <t>Recuperar contraseña</t>
  </si>
  <si>
    <t>SINGH SANCHEZ, ALEXANDR</t>
  </si>
  <si>
    <t>SMART.224021</t>
  </si>
  <si>
    <t>ASAP-PROBLEMAS DE IMPRESION PRESTA</t>
  </si>
  <si>
    <t>SMART.224050</t>
  </si>
  <si>
    <t>Acceso equipo de cómputo</t>
  </si>
  <si>
    <t>SMART.224049</t>
  </si>
  <si>
    <t>Reset Contraseña SAP KAS</t>
  </si>
  <si>
    <t>SMART.224004</t>
  </si>
  <si>
    <t>Nueva contraseña SAP por caducada</t>
  </si>
  <si>
    <t>SMART.224039</t>
  </si>
  <si>
    <t>Factura de equipos tkNA SSC</t>
  </si>
  <si>
    <t>SMART.224022</t>
  </si>
  <si>
    <t>Escaneo de equipo de computo</t>
  </si>
  <si>
    <t>SMART.224052</t>
  </si>
  <si>
    <t>Extracción y envío de video FC020</t>
  </si>
  <si>
    <t>SMART.224037</t>
  </si>
  <si>
    <t>MOVIMIENTO DE UPS PUE-PSJC</t>
  </si>
  <si>
    <t>SMART.224024</t>
  </si>
  <si>
    <t>AMD Wendy Mancilla</t>
  </si>
  <si>
    <t>SMART.224054</t>
  </si>
  <si>
    <t>ACCESO COMPUTADORA MAST</t>
  </si>
  <si>
    <t>SMART.224033</t>
  </si>
  <si>
    <t>ESCANEO MENSUAL JULIO TORAB</t>
  </si>
  <si>
    <t>SMART.224032</t>
  </si>
  <si>
    <t>ESCANEO MENSUAL JULIO RACON 3</t>
  </si>
  <si>
    <t>SMART.223992</t>
  </si>
  <si>
    <t>Problemas de impresión.</t>
  </si>
  <si>
    <t>SMART.224057</t>
  </si>
  <si>
    <t>Extracción y envío de ADAT RA210</t>
  </si>
  <si>
    <t>SMART.224056</t>
  </si>
  <si>
    <t>Problemas para ingresar a EDIFAST</t>
  </si>
  <si>
    <t>SMART.224030</t>
  </si>
  <si>
    <t>ESCANEO MENSUAL JULIO RACON 1</t>
  </si>
  <si>
    <t>SMART.224029</t>
  </si>
  <si>
    <t>ESCANEO MENSUAL JULIO SIPROCCA</t>
  </si>
  <si>
    <t>SMART.223894</t>
  </si>
  <si>
    <t>Permiso para contestar notificaciones en Tool-and Changemanagement WÄM</t>
  </si>
  <si>
    <t>SMART.224047</t>
  </si>
  <si>
    <t>levantamiento de ticket</t>
  </si>
  <si>
    <t>SMART.224045</t>
  </si>
  <si>
    <t>SMART.224040</t>
  </si>
  <si>
    <t>IT tips (mes de julio 25 semana 2)</t>
  </si>
  <si>
    <t>SMART.224028</t>
  </si>
  <si>
    <t>ESCANEO MENSUAL JULIO INTERACT</t>
  </si>
  <si>
    <t>SMART.224062</t>
  </si>
  <si>
    <t>DAÑO EN LAP TOP</t>
  </si>
  <si>
    <t>SMART.224060</t>
  </si>
  <si>
    <t>Calendario de eventos</t>
  </si>
  <si>
    <t>SMART.224038</t>
  </si>
  <si>
    <t>FILELOVER</t>
  </si>
  <si>
    <t>SMART.224065</t>
  </si>
  <si>
    <t>Ingreso de computadora Racon</t>
  </si>
  <si>
    <t>SMART.224064</t>
  </si>
  <si>
    <t>SMART.224068</t>
  </si>
  <si>
    <t>SMART.223747</t>
  </si>
  <si>
    <t>Nuevo correo para encargados de linea</t>
  </si>
  <si>
    <t>SMART.224071</t>
  </si>
  <si>
    <t>Mensaje ambas plantas</t>
  </si>
  <si>
    <t>SMART.224026</t>
  </si>
  <si>
    <t>Telefonos celulares Miquel</t>
  </si>
  <si>
    <t>SMART.224075</t>
  </si>
  <si>
    <t>Versión SUA 3.6.6</t>
  </si>
  <si>
    <t>SMART.224076</t>
  </si>
  <si>
    <t>Rifa de "hardware de Apple" para empleados</t>
  </si>
  <si>
    <t>SMART.224077</t>
  </si>
  <si>
    <t>Correo Pishing</t>
  </si>
  <si>
    <t>SMART.223958</t>
  </si>
  <si>
    <t>Licencia Project</t>
  </si>
  <si>
    <t>SMART.224046</t>
  </si>
  <si>
    <t>Desbloqueo SAP</t>
  </si>
  <si>
    <t>SMART.224067</t>
  </si>
  <si>
    <t>TONNERS PUE Y PSJC</t>
  </si>
  <si>
    <t>Garcia Torres, Marin</t>
  </si>
  <si>
    <t>SMART.224082</t>
  </si>
  <si>
    <t>Computadora jitCATS browser</t>
  </si>
  <si>
    <t>SMART.224035</t>
  </si>
  <si>
    <t>PO Visualization ME23N</t>
  </si>
  <si>
    <t>GUEVARA, MARIANA</t>
  </si>
  <si>
    <t>SMART.224087</t>
  </si>
  <si>
    <t>Error de acceso en SAP</t>
  </si>
  <si>
    <t>Ojeda Palma, José Art</t>
  </si>
  <si>
    <t>SMART.224085</t>
  </si>
  <si>
    <t>ESCANEO PROVEEDOR MAST-PUE</t>
  </si>
  <si>
    <t>SMART.224048</t>
  </si>
  <si>
    <t>Reset de clave sap</t>
  </si>
  <si>
    <t>SMART.224069</t>
  </si>
  <si>
    <t>SMART.224058</t>
  </si>
  <si>
    <t>SMART.223903</t>
  </si>
  <si>
    <t>Puesta en operación y conexion de pantallas we screen - PSJC</t>
  </si>
  <si>
    <t>SMART.224078</t>
  </si>
  <si>
    <t>soporte USB</t>
  </si>
  <si>
    <t>SMART.224066</t>
  </si>
  <si>
    <t>IT tips (mes de julio 25 semana 3)</t>
  </si>
  <si>
    <t>SMART.224088</t>
  </si>
  <si>
    <t>Videos Planta puebla</t>
  </si>
  <si>
    <t>SMART.224084</t>
  </si>
  <si>
    <t>Acceso a racon</t>
  </si>
  <si>
    <t>SMART.224061</t>
  </si>
  <si>
    <t>Permisos para SAP</t>
  </si>
  <si>
    <t>Olmedo Palacios, Noemy Anery</t>
  </si>
  <si>
    <t>SMART.223973</t>
  </si>
  <si>
    <t>Alta AMD Noemí Anery</t>
  </si>
  <si>
    <t>SMART.224080</t>
  </si>
  <si>
    <t>Hora atrasada</t>
  </si>
  <si>
    <t>SMART.224086</t>
  </si>
  <si>
    <t>Videos</t>
  </si>
  <si>
    <t>SMART.224092</t>
  </si>
  <si>
    <t>LAp Top a prestamo tema critico calidad / riesgo de paro de linea</t>
  </si>
  <si>
    <t>SMART.224093</t>
  </si>
  <si>
    <t>SMART.224094</t>
  </si>
  <si>
    <t>SMART.224063</t>
  </si>
  <si>
    <t>REVISIÓN Y LISTADO DE UPS PLANTA PUEBLA</t>
  </si>
  <si>
    <t>SMART.224079</t>
  </si>
  <si>
    <t>REVISIÓN Y LISTADO DE UPS PLANTA PSJC</t>
  </si>
  <si>
    <t>SMART.223947</t>
  </si>
  <si>
    <t>SMART.224096</t>
  </si>
  <si>
    <t>2506 Visita Strama-MPS a ThyssenKrupp 22 Julio 2025</t>
  </si>
  <si>
    <t>SMART.224073</t>
  </si>
  <si>
    <t>Contraseña Clementino</t>
  </si>
  <si>
    <t>SMART.224074</t>
  </si>
  <si>
    <t>INGRESO DE EQUIPO DE CÓMPUTO A TK</t>
  </si>
  <si>
    <t>SMART.224041</t>
  </si>
  <si>
    <t>instalacion para Curso</t>
  </si>
  <si>
    <t>SMART.224091</t>
  </si>
  <si>
    <t>Revisar acceso Olimpo</t>
  </si>
  <si>
    <t>SMART.224098</t>
  </si>
  <si>
    <t>Problemas portal VW</t>
  </si>
  <si>
    <t>SMART.224090</t>
  </si>
  <si>
    <t>Acceso Portal VWM</t>
  </si>
  <si>
    <t>SMART.224107</t>
  </si>
  <si>
    <t>SMART.224104</t>
  </si>
  <si>
    <t>Visita tkAS_LVA</t>
  </si>
  <si>
    <t>SMART.224102</t>
  </si>
  <si>
    <t>ASAP - Prestamo de USB Miquel Tora</t>
  </si>
  <si>
    <t>SMART.224099</t>
  </si>
  <si>
    <t>ASAP-Permiso de acceso de equipo de cómputo</t>
  </si>
  <si>
    <t>SMART.224109</t>
  </si>
  <si>
    <t>Idioma de One DMS</t>
  </si>
  <si>
    <t>SMART.224095</t>
  </si>
  <si>
    <t>IT tips (mes de julio 25 semana 4)</t>
  </si>
  <si>
    <t>SMART.224108</t>
  </si>
  <si>
    <t>soporte USB-</t>
  </si>
  <si>
    <t>SMART.224002</t>
  </si>
  <si>
    <t>Funcionamiento autenticado número empleado y nombre en el biométrico entrada lado izquierdo</t>
  </si>
  <si>
    <t>SMART.224113</t>
  </si>
  <si>
    <t>ASAP-INSTALACION DE WEB CONNECTOR SANTANDER</t>
  </si>
  <si>
    <t>SMART.224114</t>
  </si>
  <si>
    <t>ASAP-Ingreso de equipo de computo</t>
  </si>
  <si>
    <t>SMART.224106</t>
  </si>
  <si>
    <t>SMART.224101</t>
  </si>
  <si>
    <t>Pasar fotos de camara Canon</t>
  </si>
  <si>
    <t>SMART.224100</t>
  </si>
  <si>
    <t>Revisión de impresora</t>
  </si>
  <si>
    <t>SMART.224105</t>
  </si>
  <si>
    <t>Anexar Copia de Correo de Christin a Roman</t>
  </si>
  <si>
    <t>SMART.224119</t>
  </si>
  <si>
    <t>Funcionamiento del teclado</t>
  </si>
  <si>
    <t>SMART.224121</t>
  </si>
  <si>
    <t>USB mouse roto</t>
  </si>
  <si>
    <t>SMART.224097</t>
  </si>
  <si>
    <t>ingreso de proveedores a traves de Olympo</t>
  </si>
  <si>
    <t>SMART.224120</t>
  </si>
  <si>
    <t>FALLA EN CONEXION DE DOCK COMPRAS</t>
  </si>
  <si>
    <t>SMART.224089</t>
  </si>
  <si>
    <t>Escaneo de laptops, Servoprensas 2507</t>
  </si>
  <si>
    <t>SMART.224118</t>
  </si>
  <si>
    <t>Aceeso de equipo de computo METROKAL</t>
  </si>
  <si>
    <t>SMART.224034</t>
  </si>
  <si>
    <t>Listado de personal con 8ID (02.07.2025) - Información confidencial</t>
  </si>
  <si>
    <t>SMART.223930</t>
  </si>
  <si>
    <t>Listado de personal con 8ID (04.06.2025) - Información confidencial</t>
  </si>
  <si>
    <t>SMART.224123</t>
  </si>
  <si>
    <t>Problema para abrir Spinfire</t>
  </si>
  <si>
    <t>SMART.223989</t>
  </si>
  <si>
    <t>Sin acceso.</t>
  </si>
  <si>
    <t>SMART.224103</t>
  </si>
  <si>
    <t>ACTUALIZACION DE RVS PUEBLA</t>
  </si>
  <si>
    <t>SMART.224083</t>
  </si>
  <si>
    <t>Instalacion de team viewer</t>
  </si>
  <si>
    <t>SMART.224130</t>
  </si>
  <si>
    <t>Error - Web Page</t>
  </si>
  <si>
    <t>LOPEZ, PAULA</t>
  </si>
  <si>
    <t>SMART.224055</t>
  </si>
  <si>
    <t>Toner 105 A</t>
  </si>
  <si>
    <t>SMART.224110</t>
  </si>
  <si>
    <t>Instalación de scanner nuevo</t>
  </si>
  <si>
    <t>SMART.224111</t>
  </si>
  <si>
    <t>Cierre de practicas - Yamileth Tellez</t>
  </si>
  <si>
    <t>SMART.224122</t>
  </si>
  <si>
    <t>Baja Christin</t>
  </si>
  <si>
    <t>SMART.224051</t>
  </si>
  <si>
    <t>Problemas para deshabilitar Zscaler</t>
  </si>
  <si>
    <t>SMART.224043</t>
  </si>
  <si>
    <t>Cambio de token / Token Change</t>
  </si>
  <si>
    <t>SMART.224053</t>
  </si>
  <si>
    <t>PROGRAMADO-BAndas de transferencia</t>
  </si>
  <si>
    <t>SMART.224081</t>
  </si>
  <si>
    <t>Instalación de impresora</t>
  </si>
  <si>
    <t>SMART.224126</t>
  </si>
  <si>
    <t>SSC-Acceso a la pagina del Infonavit</t>
  </si>
  <si>
    <t>SMART.224127</t>
  </si>
  <si>
    <t>SSC-Instalación de Google Chrome en 3 equipos</t>
  </si>
  <si>
    <t>SMART.224128</t>
  </si>
  <si>
    <t>SSC-Instalación de “Certifica"</t>
  </si>
  <si>
    <t>SMART.224129</t>
  </si>
  <si>
    <t>SSC-PROGRAMADO-Instalación de Adobe profesional</t>
  </si>
  <si>
    <t>SMART.224133</t>
  </si>
  <si>
    <t>Entrada y salida de equipo de computo-RE ETIQUETAR PARQUE ACTIVO</t>
  </si>
  <si>
    <t>SMART.224136</t>
  </si>
  <si>
    <t>Acceso a KVS para VW</t>
  </si>
  <si>
    <t>SMART.224137</t>
  </si>
  <si>
    <t>SSC-Ticket por error en excel</t>
  </si>
  <si>
    <t>MORALES TELLEZ, DANIEL</t>
  </si>
  <si>
    <t>SMART.224115</t>
  </si>
  <si>
    <t>SMART.224125</t>
  </si>
  <si>
    <t>Conexión a TV desde sus laptops</t>
  </si>
  <si>
    <t>SMART.224134</t>
  </si>
  <si>
    <t>Recoger equipo viejo SSC</t>
  </si>
  <si>
    <t>SMART.224132</t>
  </si>
  <si>
    <t>Entrada y salida de equipo de computo-Hernández Ramírez, Mireya</t>
  </si>
  <si>
    <t>SMART.224131</t>
  </si>
  <si>
    <t>Entrada y salida de equipo de computo-BAZAN AGUILAR, LEOPOLDO</t>
  </si>
  <si>
    <t>SMART.224112</t>
  </si>
  <si>
    <t>Activación de correo</t>
  </si>
  <si>
    <t>SMART.224059</t>
  </si>
  <si>
    <t>Accesos VWM</t>
  </si>
  <si>
    <t>SMART.224124</t>
  </si>
  <si>
    <t>ASAP-ACTUALZIAR SERVIDOR PRIMARIO RVS PUEBLA</t>
  </si>
  <si>
    <t>SMART.224141</t>
  </si>
  <si>
    <t>PC Software IMC</t>
  </si>
  <si>
    <t>SMART.224143</t>
  </si>
  <si>
    <t>Contraseña de correo</t>
  </si>
  <si>
    <t>SMART.224149</t>
  </si>
  <si>
    <t>SOLICITUD DE ACCESO DE EQUIPOS PPUE//11 DE AGOSTO 2025//KRESTON BSG</t>
  </si>
  <si>
    <t>SMART.224152</t>
  </si>
  <si>
    <t>Wichtig / Important: Download Anti-Virus Program</t>
  </si>
  <si>
    <t>SMART.224154</t>
  </si>
  <si>
    <t>usuario inactivo temporalmente en KVS</t>
  </si>
  <si>
    <t>SMART.224138</t>
  </si>
  <si>
    <t>Entrada y salida de equipo de computo-ENVIO DE LISTADO</t>
  </si>
  <si>
    <t>SMART.224139</t>
  </si>
  <si>
    <t>cambio de contraseña en SAP</t>
  </si>
  <si>
    <t>SMART.224140</t>
  </si>
  <si>
    <t>SMART.224161</t>
  </si>
  <si>
    <t>Correo phishing</t>
  </si>
  <si>
    <t>SMART.224164</t>
  </si>
  <si>
    <t>ASAP-soporte USB</t>
  </si>
  <si>
    <t>SMART.224156</t>
  </si>
  <si>
    <t>ASAP-RETIRO DE EQUIPO MTTO PUE</t>
  </si>
  <si>
    <t>SMART.224153</t>
  </si>
  <si>
    <t>Falla en conexión remota.</t>
  </si>
  <si>
    <t>SMART.224163</t>
  </si>
  <si>
    <t>Acceso a proveedor SEISS</t>
  </si>
  <si>
    <t>SMART.224155</t>
  </si>
  <si>
    <t>Problema para abrir archivo</t>
  </si>
  <si>
    <t>SMART.224166</t>
  </si>
  <si>
    <t>Dispositivos - Zona WE</t>
  </si>
  <si>
    <t>SMART.224165</t>
  </si>
  <si>
    <t>Retiro y resguardo de pantalla s2qdc Puebla</t>
  </si>
  <si>
    <t>SMART.224142</t>
  </si>
  <si>
    <t>IT tips (mes de agosto 25 semana 1)</t>
  </si>
  <si>
    <t>SMART.224162</t>
  </si>
  <si>
    <t>PROCESO BAJA</t>
  </si>
  <si>
    <t>Pelaez Perez, Román</t>
  </si>
  <si>
    <t>SMART.224170</t>
  </si>
  <si>
    <t>PHISHING! FW: Cobertura de prensa negativa - ¡Eche un vistazo!</t>
  </si>
  <si>
    <t>SMART.224169</t>
  </si>
  <si>
    <t>Recordatorio de nuestro Código de Conducta, PHISHING</t>
  </si>
  <si>
    <t>SMART.224135</t>
  </si>
  <si>
    <t>Acceso carpetas</t>
  </si>
  <si>
    <t>SMART.224177</t>
  </si>
  <si>
    <t>Conexión lao y pantalla</t>
  </si>
  <si>
    <t>Flores Palestino, Liliana Danae</t>
  </si>
  <si>
    <t>SMART.224173</t>
  </si>
  <si>
    <t>SMART.224015</t>
  </si>
  <si>
    <t>Camaras no se ven</t>
  </si>
  <si>
    <t>Omayey Vázquez, Claudia</t>
  </si>
  <si>
    <t>SMART.224180</t>
  </si>
  <si>
    <t>ACCESO COMPUTADORA NETFORGE</t>
  </si>
  <si>
    <t>SMART.22417</t>
  </si>
  <si>
    <t>Teclado y mouose Humberto Carrera</t>
  </si>
  <si>
    <t>SMART.224070</t>
  </si>
  <si>
    <t>Listado renovacion Laptops y pc</t>
  </si>
  <si>
    <t>SMART.224009</t>
  </si>
  <si>
    <t>No permite imprimir</t>
  </si>
  <si>
    <t>SMART.224182</t>
  </si>
  <si>
    <t>ASAP-Revisión de Switches CISCO en Planta Puebla</t>
  </si>
  <si>
    <t>SMART.224183</t>
  </si>
  <si>
    <t>ASAP-Prueba de desconexión de UPS de IDF en SW2</t>
  </si>
  <si>
    <t>SMART.224179</t>
  </si>
  <si>
    <t>Ingreso de laptop proveedor Mitutoyo</t>
  </si>
  <si>
    <t>SMART.224185</t>
  </si>
  <si>
    <t>SPAM</t>
  </si>
  <si>
    <t>SMART.224160</t>
  </si>
  <si>
    <t>Problemas con el microfono de mi laptop</t>
  </si>
  <si>
    <t>SMART.224159</t>
  </si>
  <si>
    <t>ASAP - FW: INC0351267 Update: RE: New CISCO AP configuracion</t>
  </si>
  <si>
    <t>Arrazola Hernández, Israel</t>
  </si>
  <si>
    <t>SMART.224151</t>
  </si>
  <si>
    <t>Listado de personal con 8ID (04.08.2025) - Información confidencial</t>
  </si>
  <si>
    <t>SMART.224187</t>
  </si>
  <si>
    <t>Acceso a Correo</t>
  </si>
  <si>
    <t>SMART.224189</t>
  </si>
  <si>
    <t>EQUIPO DE SJC A PUEBLA</t>
  </si>
  <si>
    <t>SMART.224188</t>
  </si>
  <si>
    <t>Apoyo para recibir UPS</t>
  </si>
  <si>
    <t>SMART.224181</t>
  </si>
  <si>
    <t>SSC-Instalación de " Analysis" en Excel</t>
  </si>
  <si>
    <t>SMART.224190</t>
  </si>
  <si>
    <t>SMART.224191</t>
  </si>
  <si>
    <t>Acceso equipo de computo 18 y 19 de Agosto</t>
  </si>
  <si>
    <t>SMART.224172</t>
  </si>
  <si>
    <t>IT tips (mes de agosto 25 semana 2)</t>
  </si>
  <si>
    <t>SMART.224144</t>
  </si>
  <si>
    <t>ESCANEO MENSUAL AGOSTO INTERACT</t>
  </si>
  <si>
    <t>SMART.224145</t>
  </si>
  <si>
    <t>ESCANEO MENSUAL AGOSTO SIPROCCA</t>
  </si>
  <si>
    <t>SMART.224146</t>
  </si>
  <si>
    <t>ESCANEO MENSUAL AGOSTO RACON 1</t>
  </si>
  <si>
    <t>SMART.224147</t>
  </si>
  <si>
    <t>ESCANEO MENSUAL AGOSTO RACON 3</t>
  </si>
  <si>
    <t>SMART.224148</t>
  </si>
  <si>
    <t>ESCANEO MENSUAL AGOSTO TORAB</t>
  </si>
  <si>
    <t>SMART.224193</t>
  </si>
  <si>
    <t>ASAP- ESCANEO DE COMPUTADORA MAST</t>
  </si>
  <si>
    <t>SMART.224198</t>
  </si>
  <si>
    <t>PROGRAMADO -Instalación AdobeConnect y desactivar VPN (Curso KARRASS Negociación Eficaz II)</t>
  </si>
  <si>
    <t>SMART.224200</t>
  </si>
  <si>
    <t>Tranferencia de archivos</t>
  </si>
  <si>
    <t>SMART.224199</t>
  </si>
  <si>
    <t>Revision de proyecto</t>
  </si>
  <si>
    <t>SMART.224186</t>
  </si>
  <si>
    <t>CONTRASEÑA SAP//10368351</t>
  </si>
  <si>
    <t>SMART.223818</t>
  </si>
  <si>
    <t>PROGRAMADO-Alta de Correo Electrónico</t>
  </si>
  <si>
    <t>SMART.224203</t>
  </si>
  <si>
    <t>acceso de tablet</t>
  </si>
  <si>
    <t>SMART.224208</t>
  </si>
  <si>
    <t>Acceso de usuarios a work station.</t>
  </si>
  <si>
    <t>SMART.224209</t>
  </si>
  <si>
    <t>ASAP- MOVIMIENTO UPS PPUE A PSJC</t>
  </si>
  <si>
    <t>SMART.224205</t>
  </si>
  <si>
    <t>VERIFICACION Y RETIRO DE EQUIPO PPUE - equipo Telmex</t>
  </si>
  <si>
    <t>SMART.224218</t>
  </si>
  <si>
    <t>PERMISO DE ACCESO COMPUTADORA - MAST</t>
  </si>
  <si>
    <t>SMART.224201</t>
  </si>
  <si>
    <t>IT tips (mes de agosto 25 semana 3)</t>
  </si>
  <si>
    <t>SMART.224206</t>
  </si>
  <si>
    <t>VERIFICAR Y RETIRAR EQUIPO PPUE- Switch QR 374</t>
  </si>
  <si>
    <t>SMART.224202</t>
  </si>
  <si>
    <t>Loclaizar dos puertos en salas de jutnas Puebla/SJC</t>
  </si>
  <si>
    <t>SMART.224222</t>
  </si>
  <si>
    <t>SMART.224178</t>
  </si>
  <si>
    <t>Your mailbox is full. - Ticket</t>
  </si>
  <si>
    <t>SMART.224214</t>
  </si>
  <si>
    <t>Revisar funcionamiento mouse y/o procesador lap</t>
  </si>
  <si>
    <t>SMART.224210</t>
  </si>
  <si>
    <t>Alta impresora PPUE</t>
  </si>
  <si>
    <t>SMART.224171</t>
  </si>
  <si>
    <t>PROGRAMADO -NEGOCIACIÓN EFICAZ II® VIRTUAL de KARRASS- Confirmación</t>
  </si>
  <si>
    <t>SMART.224196</t>
  </si>
  <si>
    <t xml:space="preserve">SMART.224197 </t>
  </si>
  <si>
    <t>SMART.224175</t>
  </si>
  <si>
    <t>SMART.224195</t>
  </si>
  <si>
    <t>Torá Rodamilans, Miquel</t>
  </si>
  <si>
    <t>SMART.224220</t>
  </si>
  <si>
    <t>SMART.224221</t>
  </si>
  <si>
    <t>SMART.224211</t>
  </si>
  <si>
    <t>Acceso de usuario workstation</t>
  </si>
  <si>
    <t>SMART.224224</t>
  </si>
  <si>
    <t>Acceso equipo de cómputo STRAMA</t>
  </si>
  <si>
    <t>SMART.224217</t>
  </si>
  <si>
    <t>SMART.224207</t>
  </si>
  <si>
    <t>Acceso de equipo de cómputo LCA</t>
  </si>
  <si>
    <t>SMART.224229</t>
  </si>
  <si>
    <t>SMART.224184</t>
  </si>
  <si>
    <t>SSC-Actualización FIEL en programa Cloudcore</t>
  </si>
  <si>
    <t>CASCO REYES, ANAHI</t>
  </si>
  <si>
    <t>SMART.224230</t>
  </si>
  <si>
    <t>SOLICITUD DE ACCESO DE EQUIPOS PPUE//27 AGOSTO 2025//KRESTON BSG</t>
  </si>
  <si>
    <t>SMART.224212</t>
  </si>
  <si>
    <t>Revisión de mouse Gerencia de RRHH</t>
  </si>
  <si>
    <t>SMART.224233</t>
  </si>
  <si>
    <t>actualizacion de portal de santander</t>
  </si>
  <si>
    <t>SMART.224228</t>
  </si>
  <si>
    <t>ASAP-4 iPC Rack Label</t>
  </si>
  <si>
    <t>SMART.224231</t>
  </si>
  <si>
    <t>Ihr web.login Passwort läuft in 7 Tag(en) ab. / Your web.login password will expire in 7 day(s)</t>
  </si>
  <si>
    <t>SMART.224241</t>
  </si>
  <si>
    <t>Acceso Mast</t>
  </si>
  <si>
    <t>SMART.224232</t>
  </si>
  <si>
    <t>Transferencia de archivos a PG</t>
  </si>
  <si>
    <t>SMART.223986</t>
  </si>
  <si>
    <t>Habilitar Aplicación INCA a usuario D89518D</t>
  </si>
  <si>
    <t>SMART.224213</t>
  </si>
  <si>
    <t>Desbloqueo de asignacion IPs en software keyence</t>
  </si>
  <si>
    <t>SMART.224237</t>
  </si>
  <si>
    <t>ALTA DE LICENCIA SIEMENS</t>
  </si>
  <si>
    <t>SMART.224223</t>
  </si>
  <si>
    <t>IT tips (mes de agosto 25 semana 4)</t>
  </si>
  <si>
    <t>SMART.224242</t>
  </si>
  <si>
    <t>Acceso de equipo de computo visita TK</t>
  </si>
  <si>
    <t>SMART.224192</t>
  </si>
  <si>
    <t>PROGRAMADO - Baja confidencial</t>
  </si>
  <si>
    <t>SMART.224204</t>
  </si>
  <si>
    <t>Acceso OHUB</t>
  </si>
  <si>
    <t>SMART.224227</t>
  </si>
  <si>
    <t>PROGRAMADO -Cámara no activa</t>
  </si>
  <si>
    <t>SMART.224168</t>
  </si>
  <si>
    <t>PROGRAMADO-Cierre de practicas - Cuautemoc Navarrate</t>
  </si>
  <si>
    <t>SMART.224243</t>
  </si>
  <si>
    <t>solicitud reestablecer contraseña QAS</t>
  </si>
  <si>
    <t>SMART.224239</t>
  </si>
  <si>
    <t>iPC SJC</t>
  </si>
  <si>
    <t>SMART.224236</t>
  </si>
  <si>
    <t>Soporte de red pantallas andonboard (Conectividad a equipo de Vladimir)</t>
  </si>
  <si>
    <t>SMART.224234</t>
  </si>
  <si>
    <t>SMART.224225</t>
  </si>
  <si>
    <t>Acceso JOhn Diaz</t>
  </si>
  <si>
    <t>SMART.224226</t>
  </si>
  <si>
    <t>home office</t>
  </si>
  <si>
    <t>SMART.224174</t>
  </si>
  <si>
    <t>Tonner</t>
  </si>
  <si>
    <t>SMART.224240</t>
  </si>
  <si>
    <t>SOLICITO LICENCIA/ACCESO AUTOCAD</t>
  </si>
  <si>
    <t>SMART.224194</t>
  </si>
  <si>
    <t>SMART.9R1201-ASAP-AMD BAJA JAIME COLON</t>
  </si>
  <si>
    <t>SMART.223922</t>
  </si>
  <si>
    <t>Usuario KVS</t>
  </si>
  <si>
    <t>SMART.224219</t>
  </si>
  <si>
    <t>PROGRAMADO -INC0349793 - [tkCDC#2025071110000053] [vladimir_meza_iPhone17,1] Device tried to access a phishing site - Central Services - SOC/SIEM assigned to AT.AS.LOCAL.ME</t>
  </si>
  <si>
    <t>SMART.224167</t>
  </si>
  <si>
    <t xml:space="preserve">PROGRAMADO - AMD Baja </t>
  </si>
  <si>
    <t>Christin Herrmann-Pelaez Perez, Román</t>
  </si>
  <si>
    <t>SMART.223990</t>
  </si>
  <si>
    <t>Solicitud de resolución en problemas de conectividad</t>
  </si>
  <si>
    <t>SMART.224158</t>
  </si>
  <si>
    <t>usuario nuevo para KVS</t>
  </si>
  <si>
    <t>SMART.224238</t>
  </si>
  <si>
    <t>SOLICITUD DE UBICACION DE RESPALDOS DE LA BASE//CELERE COMMERCE</t>
  </si>
  <si>
    <t>SMART.224245</t>
  </si>
  <si>
    <t>SMART.224248</t>
  </si>
  <si>
    <t>Ingreso del cliente con equipo de computo</t>
  </si>
  <si>
    <t>SANCHEZ PAREDES, ANAHI</t>
  </si>
  <si>
    <t>SMART.224255</t>
  </si>
  <si>
    <t xml:space="preserve">ASAP - Colocación de Nuevo EATON </t>
  </si>
  <si>
    <t>SMART.224259</t>
  </si>
  <si>
    <t>Asesoria</t>
  </si>
  <si>
    <t>SMART.224249</t>
  </si>
  <si>
    <t>Your mailbox is almost full</t>
  </si>
  <si>
    <t>SMART.224258</t>
  </si>
  <si>
    <t>SOLICITUD DE ACCESO LUNES 8 DE SEPTIEMBRE//KRESTON BSG</t>
  </si>
  <si>
    <t>SMART.223891</t>
  </si>
  <si>
    <t>SMART.224260</t>
  </si>
  <si>
    <t>Manager ME54N</t>
  </si>
  <si>
    <t>SMART.224261</t>
  </si>
  <si>
    <t>jitCATS Browser PPUE</t>
  </si>
  <si>
    <t>SMART.224262</t>
  </si>
  <si>
    <t>SMART.224264</t>
  </si>
  <si>
    <t>SMART.224265</t>
  </si>
  <si>
    <t>SMART.224001</t>
  </si>
  <si>
    <t>Escritorio Remoto</t>
  </si>
  <si>
    <t>SMART.224244</t>
  </si>
  <si>
    <t>IT tips (mes de septiembre 25 semana 1)</t>
  </si>
  <si>
    <t>SMART.224257</t>
  </si>
  <si>
    <t>MOVER MATERIAL DE SJC</t>
  </si>
  <si>
    <t>SMART.224263</t>
  </si>
  <si>
    <t>Revisión de scanner</t>
  </si>
  <si>
    <t>SMART.224275</t>
  </si>
  <si>
    <t>SMART.224269</t>
  </si>
  <si>
    <t>Revsiión de equipo</t>
  </si>
  <si>
    <t>SMART.224272</t>
  </si>
  <si>
    <t>Reset cuenta de Osvaldo Huerta Nieto</t>
  </si>
  <si>
    <t>SMART.224267</t>
  </si>
  <si>
    <t>Dock in y equipo computo Jaime</t>
  </si>
  <si>
    <t>SMART.224270</t>
  </si>
  <si>
    <t>SMART.224254</t>
  </si>
  <si>
    <t>ESCANEO MENSUAL SEPTIEMBRE TORAB</t>
  </si>
  <si>
    <t>SMART.224282</t>
  </si>
  <si>
    <t>ASAP-Versión SUA 3.6.6</t>
  </si>
  <si>
    <t>SMART.224283</t>
  </si>
  <si>
    <t>ADAT</t>
  </si>
  <si>
    <t>SMART.224277</t>
  </si>
  <si>
    <t>Actualización de correo</t>
  </si>
  <si>
    <t>SMART.224285</t>
  </si>
  <si>
    <t>ACCESO COMPUTADORA HPE</t>
  </si>
  <si>
    <t>SMART.224252</t>
  </si>
  <si>
    <t>ESCANEO MENSUAL SEPTIEMBRE RACON 1</t>
  </si>
  <si>
    <t>SMART.224250</t>
  </si>
  <si>
    <t>ESCANEO MENSUAL SEPTIEMBRE INTERACT</t>
  </si>
  <si>
    <t>SMART.224253</t>
  </si>
  <si>
    <t>ESCANEO MENSUAL SEPTIEMBRE RACON 3</t>
  </si>
  <si>
    <t>SMART.224287</t>
  </si>
  <si>
    <t>Acceso Equipo de Computo thyssenkrupp</t>
  </si>
  <si>
    <t>SMART.224280</t>
  </si>
  <si>
    <t>INGRESO EQUIPO DE COMPUTO  curso SVISION</t>
  </si>
  <si>
    <t>SMART.224246</t>
  </si>
  <si>
    <t>BAJA PROGRAMDA DEL MES DE JULIO</t>
  </si>
  <si>
    <t>SMART.224284</t>
  </si>
  <si>
    <t>Contraseña</t>
  </si>
  <si>
    <t>SMART.224288</t>
  </si>
  <si>
    <t>licitud de ingreso de equipo de cómputo</t>
  </si>
  <si>
    <t>SMART.224276</t>
  </si>
  <si>
    <t>desbloqueo SAP</t>
  </si>
  <si>
    <t>SMART.224290</t>
  </si>
  <si>
    <t>ngreso de equipo de computo</t>
  </si>
  <si>
    <t>SMART.224286</t>
  </si>
  <si>
    <t>Plan RACON_tkAS</t>
  </si>
  <si>
    <t>SMART.224266</t>
  </si>
  <si>
    <t>PROGRAMADO-Movimiento de Equipos de Técnicos de calidad a nuevas oficinas</t>
  </si>
  <si>
    <t>SMART.224271</t>
  </si>
  <si>
    <t>IT tips (mes de septiembre 25 semana 2)</t>
  </si>
  <si>
    <t>SMART.224274</t>
  </si>
  <si>
    <t>Revision 2 PC</t>
  </si>
  <si>
    <t>SMART.224295</t>
  </si>
  <si>
    <t>Acceso a We. Learn</t>
  </si>
  <si>
    <t>SMART.224291</t>
  </si>
  <si>
    <t>Archivos PDF. Banco de calibración</t>
  </si>
  <si>
    <t>SMART.224300</t>
  </si>
  <si>
    <t>CORREO PISHING</t>
  </si>
  <si>
    <t>SMART.223733</t>
  </si>
  <si>
    <t>24H2</t>
  </si>
  <si>
    <t>SMART.224294</t>
  </si>
  <si>
    <t>Reconexion MDF2 Puebla</t>
  </si>
  <si>
    <t>SMART.224298</t>
  </si>
  <si>
    <t>CURSO ERGONOMIA INDUSTREM-septiembre 18</t>
  </si>
  <si>
    <t>SMART.224299</t>
  </si>
  <si>
    <t>Información de personal SIPS - Curos Montacargas-</t>
  </si>
  <si>
    <t>SMART.224301</t>
  </si>
  <si>
    <t>SMART.224281</t>
  </si>
  <si>
    <t>PROGRAMADO -  Configurar como un dispositivo compartido Logistica</t>
  </si>
  <si>
    <t>SMART.224278</t>
  </si>
  <si>
    <t>ALTA AMD-Equipos para nuevos empleados(Ximena Elizabeth Tadeo García)</t>
  </si>
  <si>
    <t>SMART.224279</t>
  </si>
  <si>
    <t>ALTA AMD-Equipos para nuevos empleados(Ana Paulina Chaltell Pérez )</t>
  </si>
  <si>
    <t>SMART.224296</t>
  </si>
  <si>
    <t>MOVER EQUIPO DE MANTNEMIENTO A SALA DE CAPACITACION PARA CURSO SVISION</t>
  </si>
  <si>
    <t>SMART.224273</t>
  </si>
  <si>
    <t>Listado de personal con 8ID (04.09.2025) - Información confidencial</t>
  </si>
  <si>
    <t>SMART.224247</t>
  </si>
  <si>
    <t>PROGRAMADO-Prueba Scanner Alaa</t>
  </si>
  <si>
    <t>SMART.224297</t>
  </si>
  <si>
    <t>IT tips (mes de septiembre 25 semana 3)</t>
  </si>
  <si>
    <t>SMART.224235</t>
  </si>
  <si>
    <t>PROGRAMADO - SAP RH Y LOGISITICA -- COTIZACION RH</t>
  </si>
  <si>
    <t>SMART.224307</t>
  </si>
  <si>
    <t>Agregar software</t>
  </si>
  <si>
    <t>SMART.224305</t>
  </si>
  <si>
    <t>SERVICIO SCANER</t>
  </si>
  <si>
    <t>SMART.224311</t>
  </si>
  <si>
    <t>Alerta de seguridad informática</t>
  </si>
  <si>
    <t>SMART.224310</t>
  </si>
  <si>
    <t>INGRESO DE LAPTOP PARA PRUEBAS EN CUARTO DE BOMBAS</t>
  </si>
  <si>
    <t>SMART.224303</t>
  </si>
  <si>
    <t>Reset de cta SAP</t>
  </si>
  <si>
    <t>SMART.224309</t>
  </si>
  <si>
    <t>Password SAP - su apoyo por favor</t>
  </si>
  <si>
    <t>SMART.224304</t>
  </si>
  <si>
    <t>SMART.224318</t>
  </si>
  <si>
    <t>mpresora almacen de refacciones</t>
  </si>
  <si>
    <t>SMART.224313</t>
  </si>
  <si>
    <t>SMART.224314</t>
  </si>
  <si>
    <t>ACTUALIZAR EQUIPOS LINEA DE PRODUCCION PSJC-</t>
  </si>
  <si>
    <t>SMART.224251</t>
  </si>
  <si>
    <t>ESCANEO MENSUAL SEPTIEMBRE SIPROCCA</t>
  </si>
  <si>
    <t>SMART.224316</t>
  </si>
  <si>
    <t>Extracción de archivo de PG PSJC</t>
  </si>
  <si>
    <t>SMART.224319</t>
  </si>
  <si>
    <t>TRANSFERENCIA DE ARCHIVO</t>
  </si>
  <si>
    <t>SMART.224320</t>
  </si>
  <si>
    <t>SOLICITUD DE ACCESO LUNES 29 DE SEPTIEMBRE//KRESTON BSG</t>
  </si>
  <si>
    <t>SMART.224321</t>
  </si>
  <si>
    <t>ENTREGA DE MODEMS</t>
  </si>
  <si>
    <t>SMART.224323</t>
  </si>
  <si>
    <t>Acceso a equipo de computo</t>
  </si>
  <si>
    <t>SMART.224328</t>
  </si>
  <si>
    <t>Draft EF TK automotive</t>
  </si>
  <si>
    <t>SMART.224293</t>
  </si>
  <si>
    <t>Activación de TOTP en B2B-Meza Hernandez, Vladimir</t>
  </si>
  <si>
    <t>SMART.224326</t>
  </si>
  <si>
    <t>Revision de impresora HP Deskjet</t>
  </si>
  <si>
    <t>SMART.224327</t>
  </si>
  <si>
    <t>Revison de Estrella direction room</t>
  </si>
  <si>
    <t>SMART.224150</t>
  </si>
  <si>
    <t>Problemas con camaras del área productiva PSJC</t>
  </si>
  <si>
    <t>SMART.224329</t>
  </si>
  <si>
    <t>SMART.224335</t>
  </si>
  <si>
    <t>ASAP-RECEPCION DE USB KISTLER</t>
  </si>
  <si>
    <t>SMART.224332</t>
  </si>
  <si>
    <t>SOLICITUD DE ACCESO 27 SEP PPUE Y 28 SEP PSJC//KPMG</t>
  </si>
  <si>
    <t>SMART.224334</t>
  </si>
  <si>
    <t>Activación de Spinfire</t>
  </si>
  <si>
    <t>SMART.224317</t>
  </si>
  <si>
    <t>Apoyo con error de SAP</t>
  </si>
  <si>
    <t>SMART.224339</t>
  </si>
  <si>
    <t>Solicitud de Instalación de UPS</t>
  </si>
  <si>
    <t>SMART.224325</t>
  </si>
  <si>
    <t>ASAP-Asignar 3 Ipcs</t>
  </si>
  <si>
    <t>SMART.224289</t>
  </si>
  <si>
    <t>PROGRAMADO-Cierre de AMD Jose Arturo Ojeda Palma</t>
  </si>
  <si>
    <t>SMART.224315</t>
  </si>
  <si>
    <t>IT tips (mes de septiembre 25 semana 4)</t>
  </si>
  <si>
    <t>SMART.224330</t>
  </si>
  <si>
    <t>Recuperación de contraseña SAP</t>
  </si>
  <si>
    <t>SMART.224348</t>
  </si>
  <si>
    <t>ASAP-Prestamo DD de Backup</t>
  </si>
  <si>
    <t>SMART.224340</t>
  </si>
  <si>
    <t>movimiento de ups a SJC</t>
  </si>
  <si>
    <t>SMART.224336</t>
  </si>
  <si>
    <t>Permiso para ingreso de laptop, sin conexión</t>
  </si>
  <si>
    <t>SMART.224347</t>
  </si>
  <si>
    <t>SMART.224338</t>
  </si>
  <si>
    <t>ASAP- APOYO STRAMA KISTLER SJC</t>
  </si>
  <si>
    <t>SMART.224344</t>
  </si>
  <si>
    <t>Error en Teams</t>
  </si>
  <si>
    <t>SMART.224256</t>
  </si>
  <si>
    <t>Acceso a OptiDMax</t>
  </si>
  <si>
    <t>SMART.224302</t>
  </si>
  <si>
    <t>Cambio setting de seguridad a Authenticator 2221860130</t>
  </si>
  <si>
    <t>SMART.224306</t>
  </si>
  <si>
    <t>Habilitar dashboard</t>
  </si>
  <si>
    <t>SMART.224308</t>
  </si>
  <si>
    <t>Ordeny limpieza bodega 1 FINSA</t>
  </si>
  <si>
    <t>SMART.224333</t>
  </si>
  <si>
    <t>Soporte para configuracion de Metra scan y Ctrack</t>
  </si>
  <si>
    <t>SMART.224337</t>
  </si>
  <si>
    <t>No enciende equipo computo.</t>
  </si>
  <si>
    <t>SMART.224345</t>
  </si>
  <si>
    <t>Solicitud de Pantalla siempre encendida</t>
  </si>
  <si>
    <t>SMART.224346</t>
  </si>
  <si>
    <t>Acceso a Quantum</t>
  </si>
  <si>
    <t>SMART.224349</t>
  </si>
  <si>
    <t>REVISION IMPRESORAS FINSA</t>
  </si>
  <si>
    <t>SMART.224351</t>
  </si>
  <si>
    <t>MENSAJE  EN SISTEMA SAP</t>
  </si>
  <si>
    <t>SMART.224268</t>
  </si>
  <si>
    <t>PROGRAMADO-ALINEADORA MANUAL- SJC</t>
  </si>
  <si>
    <t>SMART.224341</t>
  </si>
  <si>
    <t>Add New email address</t>
  </si>
  <si>
    <t>SMART.224357</t>
  </si>
  <si>
    <t>Apoyo con canales de teams</t>
  </si>
  <si>
    <t>SMART.224312</t>
  </si>
  <si>
    <t>REVISION DE TONNER</t>
  </si>
  <si>
    <t>SMART.224354</t>
  </si>
  <si>
    <t>SOLICITUD DE ACCESO JUEVES 9 DE OCTUBRE//KRESTON BSG//PPUE</t>
  </si>
  <si>
    <t>SMART.224359</t>
  </si>
  <si>
    <t>REVISION DE TONNER(03-10-25)</t>
  </si>
  <si>
    <t>SMART.224342</t>
  </si>
  <si>
    <t>IT tips (mes de octubre 25 semana 1)</t>
  </si>
  <si>
    <t>SMART.224292</t>
  </si>
  <si>
    <t>Solicitud de acceso a equipo</t>
  </si>
  <si>
    <t>SMART.224355</t>
  </si>
  <si>
    <t>SMART.224322</t>
  </si>
  <si>
    <t>Actualización de organigrama Logística</t>
  </si>
  <si>
    <t>SMART.224324</t>
  </si>
  <si>
    <t>AP upggrade test</t>
  </si>
  <si>
    <t>SMART.224370</t>
  </si>
  <si>
    <t>Reseteo de PSW</t>
  </si>
  <si>
    <t>SMART.224369</t>
  </si>
  <si>
    <t>ASAP Acceso VWM - URGENTE</t>
  </si>
  <si>
    <t>SMART.224377</t>
  </si>
  <si>
    <t>Ingreso acceso equipo computo Audi MX - 07.10.2025</t>
  </si>
  <si>
    <t>SMART.224373</t>
  </si>
  <si>
    <t>cambio  de clave Bosch</t>
  </si>
  <si>
    <t>SMART.224366</t>
  </si>
  <si>
    <t>cambio en el flujo de autorización (requisiciones)</t>
  </si>
  <si>
    <t>SMART.224375</t>
  </si>
  <si>
    <t>nueva contraseña/acceso IAS en SAP</t>
  </si>
  <si>
    <t>SMART.224380</t>
  </si>
  <si>
    <t>SMART.224372</t>
  </si>
  <si>
    <t>LICENCIAS SJC</t>
  </si>
  <si>
    <t>SMART.224353</t>
  </si>
  <si>
    <t>Impresora reparada de SJC</t>
  </si>
  <si>
    <t>SMART.224386</t>
  </si>
  <si>
    <t>desbloqueo de cuenta y cpu logistica</t>
  </si>
  <si>
    <t>SMART.224378</t>
  </si>
  <si>
    <t>acceso  a microsoft 365</t>
  </si>
  <si>
    <t>SMART.224376</t>
  </si>
  <si>
    <t>Acceso a IAS SAP</t>
  </si>
  <si>
    <t>SMART.224374</t>
  </si>
  <si>
    <t>Password - IAS SAP</t>
  </si>
  <si>
    <t>SMART.224388</t>
  </si>
  <si>
    <t>CHAT BLOQUEADO CLASE DE INGLES</t>
  </si>
  <si>
    <t>SMART.224395</t>
  </si>
  <si>
    <t>ASAP -Consulta en disco duro externo</t>
  </si>
  <si>
    <t>SMART.224390</t>
  </si>
  <si>
    <t>Bloqueo de equipo</t>
  </si>
  <si>
    <t>SMART.224387</t>
  </si>
  <si>
    <t>Acceso equipo de computo 13 de octubre</t>
  </si>
  <si>
    <t>SMART.224385</t>
  </si>
  <si>
    <t>Restriccion de llamadas entrantes</t>
  </si>
  <si>
    <t>SMART.224393</t>
  </si>
  <si>
    <t>Solicitud video vigilancia</t>
  </si>
  <si>
    <t>SMART.224394</t>
  </si>
  <si>
    <t>Revision Monitor</t>
  </si>
  <si>
    <t>SMART.224365</t>
  </si>
  <si>
    <t>IT tips (mes de octubre 25 semana 2)</t>
  </si>
  <si>
    <t>SMART.224397</t>
  </si>
  <si>
    <t>Acceso a we.net bloqueado</t>
  </si>
  <si>
    <t>Tadeo Garcia, Ximena Elizabeth</t>
  </si>
  <si>
    <t>SMART.224396</t>
  </si>
  <si>
    <t>Transferencia de archivos</t>
  </si>
  <si>
    <t>SMART.224398</t>
  </si>
  <si>
    <t>ASAP-Descarga de aplicacion en Iphone</t>
  </si>
  <si>
    <t>Chaltell Perez, Ana Paulina</t>
  </si>
  <si>
    <t>SMART.224367</t>
  </si>
  <si>
    <t>MATERIAL DE  SJC A PUEBLA</t>
  </si>
  <si>
    <t>SMART.224399</t>
  </si>
  <si>
    <t>SMART.224391</t>
  </si>
  <si>
    <t>Video RA230</t>
  </si>
  <si>
    <t>SMART.224405</t>
  </si>
  <si>
    <t>SR. GARCIA LOPEZ, JOSE EDUARDO</t>
  </si>
  <si>
    <t>SMART.224361</t>
  </si>
  <si>
    <t>ESCANEO MENSUAL OCTUBRE SIPROCCA</t>
  </si>
  <si>
    <t>SMART.224362</t>
  </si>
  <si>
    <t>ESCANEO MENSUAL OCTUBRE RACON 1</t>
  </si>
  <si>
    <t>SMART.224363</t>
  </si>
  <si>
    <t>ESCANEO MENSUAL OCTUBRE RACON 3</t>
  </si>
  <si>
    <t>SMART.224364</t>
  </si>
  <si>
    <t>ESCANEO MENSUAL OCTUBRE TORAB</t>
  </si>
  <si>
    <t>SMART.224379</t>
  </si>
  <si>
    <t>camara lapt top</t>
  </si>
  <si>
    <t>SMART.224343</t>
  </si>
  <si>
    <t>PROGRAMADO-Equipos transferencia a Alexandra</t>
  </si>
  <si>
    <t>SMART.224403</t>
  </si>
  <si>
    <t>SIN ACCESO AL CCTV</t>
  </si>
  <si>
    <t>SMART.223916</t>
  </si>
  <si>
    <t>PROGRAMADO -CAMBIO DE LAPTOP</t>
  </si>
  <si>
    <t>SMART.224401</t>
  </si>
  <si>
    <t>Información de equipo de Computo para Visita 14.Oct.25</t>
  </si>
  <si>
    <t>SMART.224350</t>
  </si>
  <si>
    <t>PROGRAMADO -Prueba Scanner</t>
  </si>
  <si>
    <t>SMART.224406</t>
  </si>
  <si>
    <t>Dongle token Santander</t>
  </si>
  <si>
    <t>SMART.224384</t>
  </si>
  <si>
    <t>Listado de personal con 8ID (06.10.2025) - Información confidencial</t>
  </si>
  <si>
    <t>SMART.224407</t>
  </si>
  <si>
    <t>Acceso de equipo de cómputo Strama</t>
  </si>
  <si>
    <t>SMART.224412</t>
  </si>
  <si>
    <t>IDIOMA EN ESPAÑOL SO</t>
  </si>
  <si>
    <t>SMART.224411</t>
  </si>
  <si>
    <t>Consulta a disco duro externo</t>
  </si>
  <si>
    <t>SMART.224414</t>
  </si>
  <si>
    <t>Desbloquear</t>
  </si>
  <si>
    <t>SMART.224392</t>
  </si>
  <si>
    <t>ENTREGA DOCKING  SJC CONFERENCE ROOM</t>
  </si>
  <si>
    <t>MARINA GARCIA TORRES</t>
  </si>
  <si>
    <t>SMART.224420</t>
  </si>
  <si>
    <t>Versión SUA 3.6.8</t>
  </si>
  <si>
    <t>SMART.224368</t>
  </si>
  <si>
    <t>REVISION DE TONNER (06-10-25)</t>
  </si>
  <si>
    <t>SMART.224413</t>
  </si>
  <si>
    <t>Acceso equipo de computo para Clases de Bachillerato</t>
  </si>
  <si>
    <t>SMART.224360</t>
  </si>
  <si>
    <t>ESCANEO MENSUAL OCTUBRE INTERACT</t>
  </si>
  <si>
    <t>SMART.224389</t>
  </si>
  <si>
    <t>PROGRAMADO - IPC PARA SAN JOSE</t>
  </si>
  <si>
    <t>SMART.224383</t>
  </si>
  <si>
    <t>migracion de inforcion de telefono</t>
  </si>
  <si>
    <t>SMART.224418</t>
  </si>
  <si>
    <t>Información de equipo de Computo para Visita 14.Oct.25(EXTENSION)</t>
  </si>
  <si>
    <t>SMART.224400</t>
  </si>
  <si>
    <t>IT tips (mes de octubre 25 semana 3)</t>
  </si>
  <si>
    <t>SMART.224425</t>
  </si>
  <si>
    <t>SMART.224427</t>
  </si>
  <si>
    <t>REVISION DE TONNER (17-10-25)</t>
  </si>
  <si>
    <t>SMART.224426</t>
  </si>
  <si>
    <t>Enlace Internet Telmex :: Activación</t>
  </si>
  <si>
    <t>SMART.224431</t>
  </si>
  <si>
    <t>Access to Quantum</t>
  </si>
  <si>
    <t>SMART.224356</t>
  </si>
  <si>
    <t>PROGRAMADO-AMD-Nuevo usuario SSC</t>
  </si>
  <si>
    <t>SMART.224421</t>
  </si>
  <si>
    <t>ASAP-ESCANERES PUEBLA</t>
  </si>
  <si>
    <t>SMART.224424</t>
  </si>
  <si>
    <t>Scaner no esta disponible para uno en la nueva lap top</t>
  </si>
  <si>
    <t>SMART.224429</t>
  </si>
  <si>
    <t>SMART.224434</t>
  </si>
  <si>
    <t>Acceso a equipo de cómputo 23 de octubre (Proveedor Touching Life)</t>
  </si>
  <si>
    <t>SMART.224439</t>
  </si>
  <si>
    <t>Monitor oficina de produccion-Díaz Coello, Hector</t>
  </si>
  <si>
    <t>SMART.224423</t>
  </si>
  <si>
    <t>Retiro de Teles HR2 SW2</t>
  </si>
  <si>
    <t>SMART.224352</t>
  </si>
  <si>
    <t>PROGRAMADO -EQUIPO RECIBO SAN JOSE</t>
  </si>
  <si>
    <t>SMART.224450</t>
  </si>
  <si>
    <t>CAMBIO DE CARGADOR-ASAP</t>
  </si>
  <si>
    <t>SMART.224435</t>
  </si>
  <si>
    <t>acceso al correo en el cel</t>
  </si>
  <si>
    <t>SMART.224437</t>
  </si>
  <si>
    <t>conexion al Bosch</t>
  </si>
  <si>
    <t>SMART.224402</t>
  </si>
  <si>
    <t>SMART.224417</t>
  </si>
  <si>
    <t>PROGRAMADO-ESCANEO DE USB-MAST</t>
  </si>
  <si>
    <t>SMART.224430</t>
  </si>
  <si>
    <t>Problemas para accesar a Correo y Teams</t>
  </si>
  <si>
    <t>SMART.224409</t>
  </si>
  <si>
    <t>INSTALACION DE 12-TAS-Sandboxsystem</t>
  </si>
  <si>
    <t>SMART.224436</t>
  </si>
  <si>
    <t>Permiso para ingreso de laptop sin conexión.</t>
  </si>
  <si>
    <t>SMART.224447</t>
  </si>
  <si>
    <t>Solicitud de ingreso de computo RACON</t>
  </si>
  <si>
    <t>SMART.224446</t>
  </si>
  <si>
    <t>SMART.224440</t>
  </si>
  <si>
    <t>Pegar en SJC desplegado</t>
  </si>
  <si>
    <t>SMART.224449</t>
  </si>
  <si>
    <t>SMART.224419</t>
  </si>
  <si>
    <t>Acceso equipo de computo 20 de octubre</t>
  </si>
  <si>
    <t>SMART.224433</t>
  </si>
  <si>
    <t>IT tips (mes de octubre 25 semana 4)</t>
  </si>
  <si>
    <t>SMART.224453</t>
  </si>
  <si>
    <t>SMART.224443</t>
  </si>
  <si>
    <t>Acceso IAS</t>
  </si>
  <si>
    <t>SMART.224456</t>
  </si>
  <si>
    <t>rotular lap top asignada</t>
  </si>
  <si>
    <t>SMART.224460</t>
  </si>
  <si>
    <t>CONFIRMACION DE EMBARQUE 08.15.2025</t>
  </si>
  <si>
    <t>SMART.224454</t>
  </si>
  <si>
    <t>RESETEO USUARIO SAP</t>
  </si>
  <si>
    <t>SMART.224452</t>
  </si>
  <si>
    <t>Desbloque de cuenta de SAP</t>
  </si>
  <si>
    <t>SMART.224458</t>
  </si>
  <si>
    <t>SMART.224438</t>
  </si>
  <si>
    <t>SMART.224459</t>
  </si>
  <si>
    <t>SMART.224451</t>
  </si>
  <si>
    <t>Apoyo para acceso a Portal SAT</t>
  </si>
  <si>
    <t>SMART.224416</t>
  </si>
  <si>
    <t>PROGRAMADO-Revisio de celulares SJC</t>
  </si>
  <si>
    <t>SMART.224466</t>
  </si>
  <si>
    <t>Nuevo password SAP</t>
  </si>
  <si>
    <t>SMART.224469</t>
  </si>
  <si>
    <t>Error para abrir test</t>
  </si>
  <si>
    <t>SMART.224464</t>
  </si>
  <si>
    <t>SIN SEÑAL SCANERS</t>
  </si>
  <si>
    <t>SMART.224471</t>
  </si>
  <si>
    <t>REVISION DE BUHOS SJC-ASAP</t>
  </si>
  <si>
    <t>SMART.224455</t>
  </si>
  <si>
    <t>FCA-UNAM Inicio de clases Curso Finanzas para no Financieros 25-04</t>
  </si>
  <si>
    <t>SMART.224474</t>
  </si>
  <si>
    <t>Ingreso equipo computo cliente Audi</t>
  </si>
  <si>
    <t>SMART.224472</t>
  </si>
  <si>
    <t xml:space="preserve">ASAP - Instalar Impresora Dir. Fiananciera Laptop Alemania Ing Miquel </t>
  </si>
  <si>
    <t>SMART.224473</t>
  </si>
  <si>
    <t>MONITOR NO ENCIENDE PC SUPERVISORES OFICINA ALMACEN</t>
  </si>
  <si>
    <t>SMART.224410</t>
  </si>
  <si>
    <t>PROGRAMADO- RECEPCION LAPTOP DE Torá Rodamilans, Miquel</t>
  </si>
  <si>
    <t>SMART.224462</t>
  </si>
  <si>
    <t>IT tips (mes de octubre 25 semana 5)</t>
  </si>
  <si>
    <t>SMART.224479</t>
  </si>
  <si>
    <t>SMART.224485</t>
  </si>
  <si>
    <t>Acceso equipo de cómputo Strama</t>
  </si>
  <si>
    <t>SMART.224475</t>
  </si>
  <si>
    <t>Acceso a correo</t>
  </si>
  <si>
    <t>SMART.224465</t>
  </si>
  <si>
    <t>Expiring system permission for your UserID</t>
  </si>
  <si>
    <t>SMART.224482</t>
  </si>
  <si>
    <t>Reset SAP</t>
  </si>
  <si>
    <t>SMART.224408</t>
  </si>
  <si>
    <t>AS-Office</t>
  </si>
  <si>
    <t>SMART.224415</t>
  </si>
  <si>
    <t>Donacion de equipo obsoleto</t>
  </si>
  <si>
    <t>SMART.224422</t>
  </si>
  <si>
    <t>BLOQUEO OPCION ZSCALER LOG OUT SSC</t>
  </si>
  <si>
    <t>SMART.224441</t>
  </si>
  <si>
    <t>AMD ALTA</t>
  </si>
  <si>
    <t>SMART.224476</t>
  </si>
  <si>
    <t>PROGRAMADO-Teclado dañado</t>
  </si>
  <si>
    <t>García Jeronimo, Eliseo</t>
  </si>
  <si>
    <t>SMART.224484</t>
  </si>
  <si>
    <t>PROGRAMADO-Pestamo de equipo viejo - dato de IVMS</t>
  </si>
  <si>
    <t>SMART.224480</t>
  </si>
  <si>
    <t>Solicitud de memoria USD</t>
  </si>
  <si>
    <t>SMART.224481</t>
  </si>
  <si>
    <t>Presta o USB</t>
  </si>
  <si>
    <t>SMART.224467</t>
  </si>
  <si>
    <t>AMD TC</t>
  </si>
  <si>
    <t>SMART.224478</t>
  </si>
  <si>
    <t>Recepción de equipo móvil</t>
  </si>
  <si>
    <t>SMART.224371</t>
  </si>
  <si>
    <t>AMD Martin Rodriguez</t>
  </si>
  <si>
    <t>SMART.224470</t>
  </si>
  <si>
    <t>Habilitar aplicación Inventory of Tools (WIN) en B2B</t>
  </si>
  <si>
    <t>SMART.224457</t>
  </si>
  <si>
    <t>REVISION DE TONNER (24-10-25)</t>
  </si>
  <si>
    <t>SMART.224442</t>
  </si>
  <si>
    <t>Escaner no se reconoce en laptop (21.10.2025)</t>
  </si>
  <si>
    <t>SMART.224382</t>
  </si>
  <si>
    <t>SMART.224404</t>
  </si>
  <si>
    <t>ASAP-PROGRAMADO-configuración celulares</t>
  </si>
  <si>
    <t>SMART.224500</t>
  </si>
  <si>
    <t>REVISION DEL SENSOR O LECTOR DE TARJETAS PARA ACCESAR A PLANTA</t>
  </si>
  <si>
    <t>SMART.224497</t>
  </si>
  <si>
    <t>impresora</t>
  </si>
  <si>
    <t>SMART.224496</t>
  </si>
  <si>
    <t>Acceso con lap top</t>
  </si>
  <si>
    <t>SMART.224477</t>
  </si>
  <si>
    <t>Entrega IPC</t>
  </si>
  <si>
    <t>SMART.224489</t>
  </si>
  <si>
    <t>Revision IATF/etiquetado de cintas PSJC</t>
  </si>
  <si>
    <t>SMART.224432</t>
  </si>
  <si>
    <t>AMD - Tecnico de Calidad</t>
  </si>
  <si>
    <t>SMART.224468</t>
  </si>
  <si>
    <t>SMART.224444</t>
  </si>
  <si>
    <t>Acceso a BOSCH</t>
  </si>
  <si>
    <t>SMART.224501</t>
  </si>
  <si>
    <t>Ingreso equipo de cómputo Cliente Audi</t>
  </si>
  <si>
    <t>SMART.224483</t>
  </si>
  <si>
    <t>BLOQUEO SAP CUANDO INGRESO A WMS (MOBISYS)</t>
  </si>
  <si>
    <t>SMART.224448</t>
  </si>
  <si>
    <t>PROGRAMADO -Subir respaldo a la red. Banco de calibración</t>
  </si>
  <si>
    <t>SMART.224499</t>
  </si>
  <si>
    <t>SOLICITUD DE ACCESO LUNES 10 DE NOVIEMBRE//KRESTON BSG//PPUE</t>
  </si>
  <si>
    <t>SMART.224506</t>
  </si>
  <si>
    <t>reseteo contraseña outlook</t>
  </si>
  <si>
    <t>SMART.224486</t>
  </si>
  <si>
    <t>IT tips (mes de noviembre 25 semana 1)</t>
  </si>
  <si>
    <t>SMART.224487</t>
  </si>
  <si>
    <t>Problemas de Conexion a Internet</t>
  </si>
  <si>
    <t xml:space="preserve"> MORALES TELLEZ, DANIEL</t>
  </si>
  <si>
    <t>SMART.224509</t>
  </si>
  <si>
    <t>SMART.224488</t>
  </si>
  <si>
    <t>Solicitud de Escaneo de equipo de computo MCI</t>
  </si>
  <si>
    <t>SMART.224510</t>
  </si>
  <si>
    <t>Acceso a equipo  - Creform</t>
  </si>
  <si>
    <t>SMART.224515</t>
  </si>
  <si>
    <t>Visita Strama Germany</t>
  </si>
  <si>
    <t>SMART.224513</t>
  </si>
  <si>
    <t>Aceso a Zoom</t>
  </si>
  <si>
    <t>SMART.224514</t>
  </si>
  <si>
    <t>cambiar entreda de impresora logistica</t>
  </si>
  <si>
    <t>SMART.224461</t>
  </si>
  <si>
    <t>Retención de mouse y credencial acceso Audi</t>
  </si>
  <si>
    <t>SMART.224517</t>
  </si>
  <si>
    <t>Devolución de Monitor</t>
  </si>
  <si>
    <t>SMART.224358</t>
  </si>
  <si>
    <t>PROGRAMADO -PRESTAMO DE ACCESORIOS</t>
  </si>
  <si>
    <t>SMART.224495</t>
  </si>
  <si>
    <t>ESCANEO MENSUAL NOVIEMBRE TORAB</t>
  </si>
  <si>
    <t>SMART.224491</t>
  </si>
  <si>
    <t>ESCANEO MENSUAL NOVIEMBRE SIPROCCA</t>
  </si>
  <si>
    <t>SMART.224494</t>
  </si>
  <si>
    <t>ESCANEO MENSUAL NOVIEMBRE RACON3</t>
  </si>
  <si>
    <t>SMART.224492</t>
  </si>
  <si>
    <t>ESCANEO MENSUAL NOVIEMBRE RACON1</t>
  </si>
  <si>
    <t>SMART.224463</t>
  </si>
  <si>
    <t>COLOCACION DE PDU'S SJC</t>
  </si>
  <si>
    <t>SMART.224524</t>
  </si>
  <si>
    <t>Solictud desbloqueo SAP</t>
  </si>
  <si>
    <t>SMART.224518</t>
  </si>
  <si>
    <t>APAGAR NAS- SJC- ASAP</t>
  </si>
  <si>
    <t>SMART.224523</t>
  </si>
  <si>
    <t>Acceso a planta - Jueves 14.Nov.25</t>
  </si>
  <si>
    <t>SMART.224526</t>
  </si>
  <si>
    <t>ASAP-Versión SUA 3.6.9</t>
  </si>
  <si>
    <t>SMART.224505</t>
  </si>
  <si>
    <t>Instalación Kleopatra</t>
  </si>
  <si>
    <t>SMART.224530</t>
  </si>
  <si>
    <t>SOLICITUD DE ACCESO MARTES 11 DE NOVIEMBRE//VISITA SAT//PPUE</t>
  </si>
  <si>
    <t>SMART.224528</t>
  </si>
  <si>
    <t>Intel connection</t>
  </si>
  <si>
    <t>SMART.224516</t>
  </si>
  <si>
    <t>ASAP-DIRECTORIO TK 2025</t>
  </si>
  <si>
    <t xml:space="preserve">SMART.224441 </t>
  </si>
  <si>
    <t>SMART.224511</t>
  </si>
  <si>
    <t>IT tips (mes de noviembre 25 semana 2)</t>
  </si>
  <si>
    <t>SMART.224490</t>
  </si>
  <si>
    <t>ESCANEO MENSUAL NOVIEMBRE INTERACT</t>
  </si>
  <si>
    <t>SMART.224498</t>
  </si>
  <si>
    <t>PROGRAMADO-TICKET-MOVIL RESTABLECIDO</t>
  </si>
  <si>
    <t>SMART.224502</t>
  </si>
  <si>
    <t>Solicitud de IPC estación RDCKD</t>
  </si>
  <si>
    <t>SMART.224503</t>
  </si>
  <si>
    <t>Revisión de tecla de laptop</t>
  </si>
  <si>
    <t>SMART.224507</t>
  </si>
  <si>
    <t>Listado de personal con 8ID (04.11.2025) - Información confidencial</t>
  </si>
  <si>
    <t>SMART.224504</t>
  </si>
  <si>
    <t>SSC-AMD ASAP</t>
  </si>
  <si>
    <t>SMART.224508</t>
  </si>
  <si>
    <t>REVISION DE TONNER (07-11-25)</t>
  </si>
  <si>
    <t>SMART.224519</t>
  </si>
  <si>
    <t>Copia de Correo Electrónico</t>
  </si>
  <si>
    <t>SMART.224512</t>
  </si>
  <si>
    <t>Cierre de cesión correo Clementino Carrillo</t>
  </si>
  <si>
    <t>SMART.224520</t>
  </si>
  <si>
    <t>actualizacion</t>
  </si>
  <si>
    <t>SMART.224521</t>
  </si>
  <si>
    <t>SMART.224522</t>
  </si>
  <si>
    <t>PROCESO PARA ENTRADA Y SALIDA DE PERSONAL</t>
  </si>
  <si>
    <t>SMART.224527</t>
  </si>
  <si>
    <t>ASAP-Actualizar impresora</t>
  </si>
  <si>
    <t>SMART.224525</t>
  </si>
  <si>
    <t>EQUIPO NUEVO AZURE</t>
  </si>
  <si>
    <t>SMART.224532</t>
  </si>
  <si>
    <t>EQUIPO ENTREGA A TORAB</t>
  </si>
  <si>
    <t>SMART.224381</t>
  </si>
  <si>
    <t>CAMARAS SIN CONEXION</t>
  </si>
  <si>
    <t>SMART.224535</t>
  </si>
  <si>
    <t>Vulnerability- search</t>
  </si>
  <si>
    <t>SMART.224540</t>
  </si>
  <si>
    <t>RETIRO DE ACCESORIOS VIEJOS DE LA SALA DE JUNTAS</t>
  </si>
  <si>
    <t>SMART.224541</t>
  </si>
  <si>
    <t>UBICACION DE NODOS DE LA SALA 3 EN AS-OFFICE</t>
  </si>
  <si>
    <t>SMART.224544</t>
  </si>
  <si>
    <t>OCULTAR CABLE AZUL</t>
  </si>
  <si>
    <t>SMART.224542</t>
  </si>
  <si>
    <t>COLOCACION DE DOCKING NUEVO SALA DE CONFERENCIAS PPUE</t>
  </si>
  <si>
    <t>SMART.224547</t>
  </si>
  <si>
    <t>SSC-Usuario</t>
  </si>
  <si>
    <t>Serrano Toxtle, Abigail</t>
  </si>
  <si>
    <t>SMART.224558</t>
  </si>
  <si>
    <t>ENTREGA DE TECLADOS INALAMBRICOS</t>
  </si>
  <si>
    <t>SMART.224555</t>
  </si>
  <si>
    <t>SMART.224551</t>
  </si>
  <si>
    <t>ASAP- TIP A PLANTA SJC Y PUEBLA</t>
  </si>
  <si>
    <t>SMART.224556</t>
  </si>
  <si>
    <t>SMART.224553</t>
  </si>
  <si>
    <t>SOLICITUD DE ACCESO DE EQUIPOS PPUE//25 NOV 2025//KRESTON BSG</t>
  </si>
  <si>
    <t>SMART.224537</t>
  </si>
  <si>
    <t>SAP User Access Review - KAS, M587</t>
  </si>
  <si>
    <t>SMART.224546</t>
  </si>
  <si>
    <t>RETIRO DE NAS- SJC</t>
  </si>
  <si>
    <t>SMART.224561</t>
  </si>
  <si>
    <t>permiso de ingreso de equipo (laptop )</t>
  </si>
  <si>
    <t>SMART.224531</t>
  </si>
  <si>
    <t>AMD nuevo encargado de linea</t>
  </si>
  <si>
    <t>SMART.224543</t>
  </si>
  <si>
    <t>IT tips (mes de noviembre 25 semana 3)</t>
  </si>
  <si>
    <t>SMART.224557</t>
  </si>
  <si>
    <t>ACCESO A LA RED DE PSJC</t>
  </si>
  <si>
    <t>SMART.224568</t>
  </si>
  <si>
    <t>Acceso a Teams</t>
  </si>
  <si>
    <t>SMART.224573</t>
  </si>
  <si>
    <t>COLOCACION DE TERMOS IDF PUE</t>
  </si>
  <si>
    <t>SMART.224575</t>
  </si>
  <si>
    <t>SMART.224576</t>
  </si>
  <si>
    <t>SMART.224577</t>
  </si>
  <si>
    <t>Solicitud de conexión de PDUs</t>
  </si>
  <si>
    <t>SMART.224580</t>
  </si>
  <si>
    <t>SMART.224583</t>
  </si>
  <si>
    <t>SMART.224584</t>
  </si>
  <si>
    <t>Sin conexión escritorio remoto</t>
  </si>
  <si>
    <t>SMART.224563</t>
  </si>
  <si>
    <t>Create a New Generic Email</t>
  </si>
  <si>
    <t>SMART.224578</t>
  </si>
  <si>
    <t>ASAP-Levantamiento de ticket</t>
  </si>
  <si>
    <t>SMART.224582</t>
  </si>
  <si>
    <t>Ingreso de laptop sin conexión a red.</t>
  </si>
  <si>
    <t>SMART.224538</t>
  </si>
  <si>
    <t>PROGRAMADO -Trámite SAT - generación de CSD</t>
  </si>
  <si>
    <t>SMART.224545</t>
  </si>
  <si>
    <t>Acceso Gustavo Zarate</t>
  </si>
  <si>
    <t>SMART.224560</t>
  </si>
  <si>
    <t>Ticket Revisión de computadora</t>
  </si>
  <si>
    <t>SMART.224564</t>
  </si>
  <si>
    <t>No cuento con acceso a archivos de produccion en  excel</t>
  </si>
  <si>
    <t>SMART.224565</t>
  </si>
  <si>
    <t>No se puede guardar informacion en archivo de NIOS calidad</t>
  </si>
  <si>
    <t>Hernandez Gaspar, Jorge Isaias</t>
  </si>
  <si>
    <t>SMART.224566</t>
  </si>
  <si>
    <t>NIOS HR2</t>
  </si>
  <si>
    <t>SMART.224572</t>
  </si>
  <si>
    <t>COLOCACION DE TERMOS SJC</t>
  </si>
  <si>
    <t>SMART.224574</t>
  </si>
  <si>
    <t>Auditoria de estados financieros 2024</t>
  </si>
  <si>
    <t>SMART.224581</t>
  </si>
  <si>
    <t>Error_SHAREPOINT</t>
  </si>
  <si>
    <t>SMART.224589</t>
  </si>
  <si>
    <t>Sin acceso a internet</t>
  </si>
  <si>
    <t>Balderas Rodea, Juan Pablo</t>
  </si>
  <si>
    <t>SMART.224592</t>
  </si>
  <si>
    <t>iV Schön GmbH: provisional insolvency l ThyssenKrupp Automotive l Terms of further cooperation l Important</t>
  </si>
  <si>
    <t>SMART.224593</t>
  </si>
  <si>
    <t>Información de equipo de Computo para Visita 26.Nov.25</t>
  </si>
  <si>
    <t>SMART.224570</t>
  </si>
  <si>
    <t>López Gaona, Ramiro</t>
  </si>
  <si>
    <t>SMART.224585</t>
  </si>
  <si>
    <t>FIRMA DIGITAL-digicert</t>
  </si>
  <si>
    <t>SMART.224588</t>
  </si>
  <si>
    <t>PROBLEMAS PRA GUARDAR Y MODIFICAR INFORMACION</t>
  </si>
  <si>
    <t>SMART.224554</t>
  </si>
  <si>
    <t>PROBLEMA CON IPHONE</t>
  </si>
  <si>
    <t>SMART.224571</t>
  </si>
  <si>
    <t>Espacio en Sharepoint</t>
  </si>
  <si>
    <t>SMART.224579</t>
  </si>
  <si>
    <t>IT tips (mes de noviembre 25 semana 4)</t>
  </si>
  <si>
    <t>SMART.224591</t>
  </si>
  <si>
    <t>Acceso a la carpeta IMS</t>
  </si>
  <si>
    <t>SMART.224595</t>
  </si>
  <si>
    <t>Toner collection and drum</t>
  </si>
  <si>
    <t>SMART.224533</t>
  </si>
  <si>
    <t>SMART.224534</t>
  </si>
  <si>
    <t>Vulnerabiliy printer HBSBPI04007</t>
  </si>
  <si>
    <t>SMART.224536</t>
  </si>
  <si>
    <t>escan sin funcionar</t>
  </si>
  <si>
    <t>SMART.224539</t>
  </si>
  <si>
    <t>Equipo de Calidad Jitcats- estación FC</t>
  </si>
  <si>
    <t>SMART.224548</t>
  </si>
  <si>
    <t>SSC-Habilitar scanner oficina TK Components Puebla</t>
  </si>
  <si>
    <t>GARCIA SANCHEZ, ULISES</t>
  </si>
  <si>
    <t>SMART.224549</t>
  </si>
  <si>
    <t>quitar el protocolo SNMP de estos dispositivos</t>
  </si>
  <si>
    <t>SMART.224552</t>
  </si>
  <si>
    <t>ASAP-BAJA AMD</t>
  </si>
  <si>
    <t>SMART.224562</t>
  </si>
  <si>
    <t>Recuperación</t>
  </si>
  <si>
    <t>SMART.224567</t>
  </si>
  <si>
    <t>Monitor en oficina de calidad</t>
  </si>
  <si>
    <t>SMART.224569</t>
  </si>
  <si>
    <t>INC0367211 Update: SSC network connection</t>
  </si>
  <si>
    <t>SMART.224590</t>
  </si>
  <si>
    <t>ASAP-RECOLECCION DE EQUIPOS SSC</t>
  </si>
  <si>
    <t>SMART.224594</t>
  </si>
  <si>
    <t>AMD-8ID Ing de Procesos y MC</t>
  </si>
  <si>
    <t>SMART.224597</t>
  </si>
  <si>
    <t>ticket acceso scrap impact</t>
  </si>
  <si>
    <t>SMART.224599</t>
  </si>
  <si>
    <t>Solicitud de acceso a JITCATS BROWSER</t>
  </si>
  <si>
    <t>SMART.224601</t>
  </si>
  <si>
    <t>Drum &amp; Tonner collection</t>
  </si>
  <si>
    <t>SMART.224605</t>
  </si>
  <si>
    <t>REVISION DE TONNER (28-11-25)</t>
  </si>
  <si>
    <t>SMART.224598</t>
  </si>
  <si>
    <t>Acceso a Olipmpo FR</t>
  </si>
  <si>
    <t>CARRERA GALICIA, HUMBERTO</t>
  </si>
  <si>
    <t>SMART.224603</t>
  </si>
  <si>
    <t>SOLICITUD DE ACCESO DE EQUIPOS PPUE//01 DIC 2025//KRESTON BSG</t>
  </si>
  <si>
    <t>SMART.224604</t>
  </si>
  <si>
    <t>Solicitud de nueva contraseña</t>
  </si>
  <si>
    <t>SMART.224587</t>
  </si>
  <si>
    <t>Acceso registro salida Olimpo</t>
  </si>
  <si>
    <t>SMART.224606</t>
  </si>
  <si>
    <t>ingresop a sistema IMPACT</t>
  </si>
  <si>
    <t>SMART.224613</t>
  </si>
  <si>
    <t>SOLICITUD DE ACCESO LUNES 8 DE DICIEMBRE//KRESTON BSG//PPUE</t>
  </si>
  <si>
    <t>SMART.224611</t>
  </si>
  <si>
    <t>permiso de computadora MAST</t>
  </si>
  <si>
    <t>SMART.224608</t>
  </si>
  <si>
    <t>Activación Authenticator One KBP</t>
  </si>
  <si>
    <t>SMART.224586</t>
  </si>
  <si>
    <t>Solicitud de nuevo email</t>
  </si>
  <si>
    <t>SMART.224615</t>
  </si>
  <si>
    <t>Acceso - Mariana Guevara Miercoles 03.Dic.25</t>
  </si>
  <si>
    <t>SMART.224614</t>
  </si>
  <si>
    <t>Acceso a carpeta de mantenimiento</t>
  </si>
  <si>
    <t>SMART.224602</t>
  </si>
  <si>
    <t>Cambio de nombre</t>
  </si>
  <si>
    <t>SMART.224607</t>
  </si>
  <si>
    <t>solictiud instalación SAP analysis</t>
  </si>
  <si>
    <t>SMART.224600</t>
  </si>
  <si>
    <t>PROGRAMADO-ASIGNACION x ADQUISICION DE CAMARA WEB MIQUEL TORA</t>
  </si>
  <si>
    <t>SMART.224559</t>
  </si>
  <si>
    <t>PROGRAMADO-ASIGNACION x ADQUISICION DE TECLADOS INALAMBRICOS MIQUEL TORA</t>
  </si>
  <si>
    <t>SMART.224617</t>
  </si>
  <si>
    <t>ZOOM PARA TALLER RH</t>
  </si>
  <si>
    <t>SMART.224596</t>
  </si>
  <si>
    <t>Preparacion auditoria IATF (Finsa)</t>
  </si>
  <si>
    <t>SMART.224550</t>
  </si>
  <si>
    <t>PROGRAMADO-VALIDACION DE BAMS / FOMATEO DE TELEFGONOS ANDROID EN PSJC</t>
  </si>
  <si>
    <t>SMART.224616</t>
  </si>
  <si>
    <t>Solicitud para impresora</t>
  </si>
  <si>
    <t>CHAVEZ ARREOLA, JUAN ENRIQUE</t>
  </si>
  <si>
    <t>SMART.224624</t>
  </si>
  <si>
    <t>CONVEYOR FRONTEND NUESTRA COTIZACION FT25-06-01 Revision B</t>
  </si>
  <si>
    <t>SMART.224610</t>
  </si>
  <si>
    <t>IT tips (mes de diciembre 25 semana 1)</t>
  </si>
  <si>
    <t>SMART.224622</t>
  </si>
  <si>
    <t>Acceso a PC Oficina Producción</t>
  </si>
  <si>
    <t>SMART.224619</t>
  </si>
  <si>
    <t>Falta de espacio en la red. OneDrive</t>
  </si>
  <si>
    <t>SMART.224618</t>
  </si>
  <si>
    <t>Bloqueo PC</t>
  </si>
  <si>
    <t>SMART.224620</t>
  </si>
  <si>
    <t>Duda</t>
  </si>
  <si>
    <t>SMART.224634</t>
  </si>
  <si>
    <t>Problemas registro entrada flexibilidad</t>
  </si>
  <si>
    <t>SMART.224609</t>
  </si>
  <si>
    <t>reset sap-qas  8id 10344513</t>
  </si>
  <si>
    <t>SMART.224644</t>
  </si>
  <si>
    <t>contraseña SAP QAS</t>
  </si>
  <si>
    <t>SMART.224646</t>
  </si>
  <si>
    <t>SOLICITUD DE ACCESO DE EQUIPOS PPUE//08 DIC 2025//KRESTON BSG</t>
  </si>
  <si>
    <t>SMART.224643</t>
  </si>
  <si>
    <t>ACCESO A QAS  SAP    10381218</t>
  </si>
  <si>
    <t>SMART.224645</t>
  </si>
  <si>
    <t>DESBLOQUEO  PROVEEDOR EN SAP PR010835 SCA</t>
  </si>
  <si>
    <t>SMART.224636</t>
  </si>
  <si>
    <t>COLOCACION DE CONVERTIDOR- ASAP</t>
  </si>
  <si>
    <t>SMART.224623</t>
  </si>
  <si>
    <t>Toner impresora logística</t>
  </si>
  <si>
    <t>SMART.224647</t>
  </si>
  <si>
    <t>Ajuste de pantalla laptop</t>
  </si>
  <si>
    <t>SMART.224612</t>
  </si>
  <si>
    <t>Quitar SWEET32 ASAP</t>
  </si>
  <si>
    <t>SMART.224627</t>
  </si>
  <si>
    <t>Revicion de impresoras laserjet LP FINSA y oficina Color Vieja</t>
  </si>
  <si>
    <t>Fuera</t>
  </si>
  <si>
    <t>SMART.224654</t>
  </si>
  <si>
    <t>SMART.224628</t>
  </si>
  <si>
    <t>SMART.224642</t>
  </si>
  <si>
    <t>SMART.224641</t>
  </si>
  <si>
    <t>SMART.224625</t>
  </si>
  <si>
    <t>SMART.224626</t>
  </si>
  <si>
    <t>SMART.224663</t>
  </si>
  <si>
    <t>SMART.224653</t>
  </si>
  <si>
    <t>SMART.224652</t>
  </si>
  <si>
    <t>SMART.224656</t>
  </si>
  <si>
    <t>SMART.224659</t>
  </si>
  <si>
    <t>SMART.224637</t>
  </si>
  <si>
    <t>SMART.224635</t>
  </si>
  <si>
    <t>SMART.224650</t>
  </si>
  <si>
    <t>SMART.224670</t>
  </si>
  <si>
    <t>SMART.224664</t>
  </si>
  <si>
    <t>SMART.224629</t>
  </si>
  <si>
    <t>SMART.224630</t>
  </si>
  <si>
    <t>SMART.224633</t>
  </si>
  <si>
    <t>SMART.224638</t>
  </si>
  <si>
    <t>SMART.224668</t>
  </si>
  <si>
    <t>SMART.224671</t>
  </si>
  <si>
    <t>SMART.224672</t>
  </si>
  <si>
    <t>SMART.224677</t>
  </si>
  <si>
    <t>SMART.224678</t>
  </si>
  <si>
    <t>SMART.224660</t>
  </si>
  <si>
    <t>SMART.224661</t>
  </si>
  <si>
    <t>SMART.224662</t>
  </si>
  <si>
    <t>SMART.224682</t>
  </si>
  <si>
    <t>SMART.224681</t>
  </si>
  <si>
    <t>SMART.224632</t>
  </si>
  <si>
    <t>SMART.224631</t>
  </si>
  <si>
    <t>SMART.224658</t>
  </si>
  <si>
    <t>SMART.224683</t>
  </si>
  <si>
    <t>SMART.224684</t>
  </si>
  <si>
    <t>SMART.224655</t>
  </si>
  <si>
    <t>SMART.224686</t>
  </si>
  <si>
    <t>SMART.224639</t>
  </si>
  <si>
    <t>SMART.224688</t>
  </si>
  <si>
    <t>SMART.224669</t>
  </si>
  <si>
    <t>SMART.224687</t>
  </si>
  <si>
    <t>SMART.224621</t>
  </si>
  <si>
    <t>SMART.224674</t>
  </si>
  <si>
    <t>SMART.224673</t>
  </si>
  <si>
    <t>SMART.224667</t>
  </si>
  <si>
    <t>SMART.223570</t>
  </si>
  <si>
    <t>SMART.223721</t>
  </si>
  <si>
    <t>SMART.224640</t>
  </si>
  <si>
    <t>SMART.224651</t>
  </si>
  <si>
    <t>SMART.224648</t>
  </si>
  <si>
    <t>SMART.224649</t>
  </si>
  <si>
    <t>ASAP-Onboarding PCS-PG FINSA</t>
  </si>
  <si>
    <t>Uso de Chrome</t>
  </si>
  <si>
    <t>Falla en app teams Iphone</t>
  </si>
  <si>
    <t>Asignación de teclado</t>
  </si>
  <si>
    <t>Instalación de programa - Thyssenkrupp Addendas</t>
  </si>
  <si>
    <t>ESCANEO MENSUAL DICIEMBRE INTERACT</t>
  </si>
  <si>
    <t>ESCANEO MENSUAL DICIEMBRE SIPROCCA</t>
  </si>
  <si>
    <t>ESCANEO MENSUAL DICIEMBRE RACON1</t>
  </si>
  <si>
    <t>ESCANEO MENSUAL DICIEMBRE RACON3</t>
  </si>
  <si>
    <t>ESCANEO MENSUAL DICIEMBRE TORAB</t>
  </si>
  <si>
    <t>REVISION DE TONNER (05-12-25)</t>
  </si>
  <si>
    <t>ASAP-APOYO PARA MOVIMIENTO DE EQUIPO EN SITE 2.SJC</t>
  </si>
  <si>
    <t>IT tips (mes de diciembre 25 semana 2)</t>
  </si>
  <si>
    <t>Listado de personal con 8ID (05.12.2025) - Información confidencial</t>
  </si>
  <si>
    <t>Ticket Instalación de programa Kleopatra para CONCUR</t>
  </si>
  <si>
    <t>ticket para problemas celular</t>
  </si>
  <si>
    <t>ticket para acceso al scanner impresora PPUE</t>
  </si>
  <si>
    <t xml:space="preserve"> SSC- ASAP -AMD de Baja JUAN PABLO RODEA </t>
  </si>
  <si>
    <t>SSC- ASAP - AMD de Baja XIMENA TADEO</t>
  </si>
  <si>
    <t>Reseteo de password</t>
  </si>
  <si>
    <t>Caso MArio</t>
  </si>
  <si>
    <t>acceso a Olympo</t>
  </si>
  <si>
    <t>ASAP -  Retiro de material</t>
  </si>
  <si>
    <t>PERMISO DE COMPUTADORA- ASAP</t>
  </si>
  <si>
    <t>Acceso a Olympus</t>
  </si>
  <si>
    <t>Acceso a proveedor</t>
  </si>
  <si>
    <t>Error en ZSCALER</t>
  </si>
  <si>
    <t>Video comedor</t>
  </si>
  <si>
    <t>Correo que no están llegado</t>
  </si>
  <si>
    <t>Video RA100</t>
  </si>
  <si>
    <t>Entrega de Informacion mediante USB//Auditoria SAT</t>
  </si>
  <si>
    <t>INGRESO EQUIPO DE COMPUTO</t>
  </si>
  <si>
    <t>Reset de SAP password</t>
  </si>
  <si>
    <t>Acceso SDD</t>
  </si>
  <si>
    <t>FALTA DE INTERNET</t>
  </si>
  <si>
    <t>ASAP-IVMS 4200 + Biométricos</t>
  </si>
  <si>
    <t>REVISION DE TONNER (12-12-25)</t>
  </si>
  <si>
    <t>Sin acceso Olymus.</t>
  </si>
  <si>
    <t>cceso a Olympus</t>
  </si>
  <si>
    <t>Accesso bloqueados y deshabilitados.</t>
  </si>
  <si>
    <t>SENSOR DE ACCESO A PLANTA DANADO</t>
  </si>
  <si>
    <t>ASAP-LIBRANZA ELECTRICA</t>
  </si>
  <si>
    <t>ACCESO DE COMPUTO MAST-ASAP</t>
  </si>
  <si>
    <t>ASAP - Fw: Permiso de trabajo para y permiso de acceso Lap Top Net Forge</t>
  </si>
  <si>
    <t>acceso a planta</t>
  </si>
  <si>
    <t>Solicitud de Accesos// Inventarios Planta Puebla y San Jose Chiapa//Kreston B.S.G.</t>
  </si>
  <si>
    <t>SMART.224689</t>
  </si>
  <si>
    <t>Acceso a Santander</t>
  </si>
  <si>
    <t>SMART.224690</t>
  </si>
  <si>
    <t>SMART.224691</t>
  </si>
  <si>
    <t>Levantamiento de ticket -prestamo equipo</t>
  </si>
  <si>
    <t>SMART.224693</t>
  </si>
  <si>
    <t>Movement of ESX03 from DC3 to IDF</t>
  </si>
  <si>
    <t>SMART.224694</t>
  </si>
  <si>
    <t>TECLADO INDUSTRIAL- ROBERTO SJC</t>
  </si>
  <si>
    <t>SMART.224695</t>
  </si>
  <si>
    <t>TICKET-PRESTAMO EQUIPO</t>
  </si>
  <si>
    <t>SMART.224696</t>
  </si>
  <si>
    <t>Solicitud de Accesos// Inventarios Planta San Jose Chiapa//KPMG</t>
  </si>
  <si>
    <t>SMART.224697</t>
  </si>
  <si>
    <t>activacion de celular</t>
  </si>
  <si>
    <t>SMART.224698</t>
  </si>
  <si>
    <t>Solicitud de Accesos// Inventarios Planta Puebla//KPMG</t>
  </si>
  <si>
    <t>SMART.224699</t>
  </si>
  <si>
    <t>Solicitud de Acceso de Equipo de Computo-MAST</t>
  </si>
  <si>
    <t>SMART.224701</t>
  </si>
  <si>
    <t>CURSOS DE CAPACITACION</t>
  </si>
  <si>
    <t>SMART.224703</t>
  </si>
  <si>
    <t>REVISION DE TONNER (19-12-25)</t>
  </si>
  <si>
    <t>Desbloqueo de cuenta</t>
  </si>
  <si>
    <t>SMART.224705</t>
  </si>
  <si>
    <t>SMART.224708</t>
  </si>
  <si>
    <t>IT tips (mes de diciembre 25 semana 4)</t>
  </si>
  <si>
    <t>SMART 224709</t>
  </si>
  <si>
    <t>SMART.224710</t>
  </si>
  <si>
    <t>ALTA AMD-8ID Jefe de Compras</t>
  </si>
  <si>
    <t>Zárate Garza, Gustavo Fernando</t>
  </si>
  <si>
    <t>SMART.224711</t>
  </si>
  <si>
    <t>REVISION DE TONNER (02-01-26)</t>
  </si>
  <si>
    <t>SMART.224712</t>
  </si>
  <si>
    <t>IT tips (mes de enero 26 semana 1)</t>
  </si>
  <si>
    <t>SMART.224713</t>
  </si>
  <si>
    <t>INGRESO EQUIPO DE COMPUTO  6 enero 2026</t>
  </si>
  <si>
    <t>SMART.224714</t>
  </si>
  <si>
    <t>monitor</t>
  </si>
  <si>
    <t>SMART.224715</t>
  </si>
  <si>
    <t>ERROR OLYMPUS</t>
  </si>
  <si>
    <t>SMART.224716</t>
  </si>
  <si>
    <t>Acceso a aplicación forms</t>
  </si>
  <si>
    <t>LOPEZ MEDINA, BLAS</t>
  </si>
  <si>
    <t>SMART.224717</t>
  </si>
  <si>
    <t>Desbloqueo de cuenta - Alfredo Silva</t>
  </si>
  <si>
    <t>SMART.224718</t>
  </si>
  <si>
    <t>Signature requested on "KL_EU Model Clauses (Controller - Controller) ThyssenKrupp Automotive Systems de México, S.A. de C.V</t>
  </si>
  <si>
    <t>SMART.224666</t>
  </si>
  <si>
    <t>SMART.224729</t>
  </si>
  <si>
    <t>SMART.224736</t>
  </si>
  <si>
    <t>SMART.224740</t>
  </si>
  <si>
    <t>SMART.224742</t>
  </si>
  <si>
    <t>SMART.224745</t>
  </si>
  <si>
    <t>SMART.224747</t>
  </si>
  <si>
    <t>SMART.224755</t>
  </si>
  <si>
    <t>SMART.224769</t>
  </si>
  <si>
    <t>SMART.224771</t>
  </si>
  <si>
    <t>SMART.224788</t>
  </si>
  <si>
    <t>SMART.224789</t>
  </si>
  <si>
    <t>SMART.224790</t>
  </si>
  <si>
    <t>SMART.224792</t>
  </si>
  <si>
    <t>SMART.224794</t>
  </si>
  <si>
    <t>SMART.224797</t>
  </si>
  <si>
    <t>SMART.224798</t>
  </si>
  <si>
    <t>SMART.224799</t>
  </si>
  <si>
    <t>SMART.224665</t>
  </si>
  <si>
    <t>SMART.224680</t>
  </si>
  <si>
    <t>SMART.224685</t>
  </si>
  <si>
    <t>SMART.224719</t>
  </si>
  <si>
    <t>SMART.224720</t>
  </si>
  <si>
    <t>SMART.224722</t>
  </si>
  <si>
    <t>SMART.224726</t>
  </si>
  <si>
    <t>SMART.224727</t>
  </si>
  <si>
    <t>SMART.224728</t>
  </si>
  <si>
    <t>SMART.224733</t>
  </si>
  <si>
    <t>SMART.224735</t>
  </si>
  <si>
    <t>SMART.224737</t>
  </si>
  <si>
    <t>SMART.224738</t>
  </si>
  <si>
    <t>SMART.224739</t>
  </si>
  <si>
    <t>SMART.224741</t>
  </si>
  <si>
    <t>SMART.224743</t>
  </si>
  <si>
    <t>SMART.224744</t>
  </si>
  <si>
    <t>SMART.224746</t>
  </si>
  <si>
    <t>SMART.224748</t>
  </si>
  <si>
    <t>SMART.224749</t>
  </si>
  <si>
    <t>SMART.224750</t>
  </si>
  <si>
    <t>SMART.224751</t>
  </si>
  <si>
    <t>SMART.224752</t>
  </si>
  <si>
    <t>SMART.224753</t>
  </si>
  <si>
    <t>SMART.224758</t>
  </si>
  <si>
    <t>SMART.224721</t>
  </si>
  <si>
    <t>SMART.224723</t>
  </si>
  <si>
    <t>SMART.224730</t>
  </si>
  <si>
    <t>SMART.224731</t>
  </si>
  <si>
    <t>SMART.224732</t>
  </si>
  <si>
    <t>SMART.224754</t>
  </si>
  <si>
    <t>SMART.224756</t>
  </si>
  <si>
    <t>SMART.224759</t>
  </si>
  <si>
    <t>SMART.224770</t>
  </si>
  <si>
    <t>SMART.224757</t>
  </si>
  <si>
    <t>SMART.224766</t>
  </si>
  <si>
    <t>SMART.224778</t>
  </si>
  <si>
    <t>SMART.224780</t>
  </si>
  <si>
    <t>SMART.224724</t>
  </si>
  <si>
    <t>SMART.224734</t>
  </si>
  <si>
    <t>SMART.224795</t>
  </si>
  <si>
    <t>SMART.224725</t>
  </si>
  <si>
    <t>SMART.224765</t>
  </si>
  <si>
    <t>SMART.224760</t>
  </si>
  <si>
    <t>SMART.224761</t>
  </si>
  <si>
    <t>SMART.224764</t>
  </si>
  <si>
    <t>SMART.224779</t>
  </si>
  <si>
    <t>SMART.224782</t>
  </si>
  <si>
    <t>SMART.22472999</t>
  </si>
  <si>
    <t>PROBLEMA DE IMPRESIÓN</t>
  </si>
  <si>
    <t>ESCANEO MENSUAL ENERO 26 INTERACT</t>
  </si>
  <si>
    <t>ESCANEO MENSUAL ENERO 26 SIPROCCA</t>
  </si>
  <si>
    <t>ESCANEO MENSUAL ENERO 26 RACON 1</t>
  </si>
  <si>
    <t>ESCANEO MENSUAL ENERO 26 RACON 3</t>
  </si>
  <si>
    <t>ESCANEO MENSUAL ENERO 26 TORAB</t>
  </si>
  <si>
    <t>movimiento site SJC</t>
  </si>
  <si>
    <t>Solicitud de Asignación de IP para impresora RDCKD-</t>
  </si>
  <si>
    <t>Prestamo de equipo viejo para uso de IVMS</t>
  </si>
  <si>
    <t>Your device is non-compliant</t>
  </si>
  <si>
    <t>SMART.224800</t>
  </si>
  <si>
    <t>SMART.224801</t>
  </si>
  <si>
    <t>SMART.224802</t>
  </si>
  <si>
    <t>SMART.224803</t>
  </si>
  <si>
    <t>SMART.224804</t>
  </si>
  <si>
    <t>SMART.224805</t>
  </si>
  <si>
    <t>SMART.224806</t>
  </si>
  <si>
    <t>SMART.224807</t>
  </si>
  <si>
    <t>SMART.224808</t>
  </si>
  <si>
    <t>SMART.224809</t>
  </si>
  <si>
    <t>SMART.224810</t>
  </si>
  <si>
    <t>SMART.224811</t>
  </si>
  <si>
    <t>SMART.224812</t>
  </si>
  <si>
    <t>SMART.224813</t>
  </si>
  <si>
    <t>SMART.224814</t>
  </si>
  <si>
    <t>SMART.224815</t>
  </si>
  <si>
    <t>SMART.224816</t>
  </si>
  <si>
    <t>SMART.224817</t>
  </si>
  <si>
    <t>SMART.224818</t>
  </si>
  <si>
    <t>SMART.224819</t>
  </si>
  <si>
    <t>SMART.224820</t>
  </si>
  <si>
    <t>SMART.224821</t>
  </si>
  <si>
    <t>SMART.224822</t>
  </si>
  <si>
    <t>SMART.224823</t>
  </si>
  <si>
    <t>SMART.224824</t>
  </si>
  <si>
    <t>SMART.224825</t>
  </si>
  <si>
    <t>SMART.224826</t>
  </si>
  <si>
    <t>SMART.224827</t>
  </si>
  <si>
    <t>SMART.224828</t>
  </si>
  <si>
    <t>SMART.224829</t>
  </si>
  <si>
    <t>SMART.224830</t>
  </si>
  <si>
    <t>SMART.224831</t>
  </si>
  <si>
    <t>SMART.224832</t>
  </si>
  <si>
    <t>SMART.224833</t>
  </si>
  <si>
    <t>SMART.224834</t>
  </si>
  <si>
    <t>SMART.224835</t>
  </si>
  <si>
    <t>SMART.224836</t>
  </si>
  <si>
    <t>SMART.224837</t>
  </si>
  <si>
    <t>SMART.224838</t>
  </si>
  <si>
    <t>SMART.224839</t>
  </si>
  <si>
    <t>SMART.224840</t>
  </si>
  <si>
    <t>SMART.224841</t>
  </si>
  <si>
    <t>SMART.224842</t>
  </si>
  <si>
    <t>SMART.224843</t>
  </si>
  <si>
    <t>SMART.224844</t>
  </si>
  <si>
    <t>SMART.224845</t>
  </si>
  <si>
    <t>SMART.224846</t>
  </si>
  <si>
    <t>SMART.224847</t>
  </si>
  <si>
    <t>SMART.224848</t>
  </si>
  <si>
    <t>SMART.224849</t>
  </si>
  <si>
    <t>SMART.224850</t>
  </si>
  <si>
    <t>SMART.224851</t>
  </si>
  <si>
    <t>SMART.224852</t>
  </si>
  <si>
    <t>SMART.224853</t>
  </si>
  <si>
    <t>actualización de la versión SUA 3.7.0</t>
  </si>
  <si>
    <t>Equipos Ingenieria</t>
  </si>
  <si>
    <t>PROGRAMADO- Listado de equipos</t>
  </si>
  <si>
    <t>Sin acceso a escritorio remoto.</t>
  </si>
  <si>
    <t>acceso a Bosch</t>
  </si>
  <si>
    <t>Ticket de Acceso a Scrap Impact</t>
  </si>
  <si>
    <t>MR. MARTINEZ ROQUE, CARLOS</t>
  </si>
  <si>
    <t>BIS-SOLICITUD DE ACCESO LUNES 12 DE ENERO//KRESTON BSG//PPUE</t>
  </si>
  <si>
    <t>SSC-ALTA AMD-Ariadna García Castillo</t>
  </si>
  <si>
    <t>SSC-ALTA AMD-María de Jesús Paola Xicoténcatl Castillo</t>
  </si>
  <si>
    <t>SSC-ALTA AMD-Laura Castillo Contreras</t>
  </si>
  <si>
    <t>Actualización maquina de kiosco RH</t>
  </si>
  <si>
    <t>REVISION DE TONNER (09-01-26)</t>
  </si>
  <si>
    <t>Compra de IPhone SE</t>
  </si>
  <si>
    <t>Desactivacion de zscaler</t>
  </si>
  <si>
    <t>Cache SAP</t>
  </si>
  <si>
    <t>IT tips (mes de enero 26 semana 2)</t>
  </si>
  <si>
    <t>Laptop obsoleta que tenía asignada</t>
  </si>
  <si>
    <t>coneccion a impresora</t>
  </si>
  <si>
    <t>teams en celular</t>
  </si>
  <si>
    <t>Instalacion de Poliworks en laptop de metra scan</t>
  </si>
  <si>
    <t>SOLICITUD DE ACCESO DE EQUIPO PPUE//15 DIC 2025//KRESTON BSG</t>
  </si>
  <si>
    <t>PROGRAMADO -Camara sala de juntas</t>
  </si>
  <si>
    <t>ASAP-ALTA EQUIPO PUEBLA</t>
  </si>
  <si>
    <t>INGRESO DE EQUIPO- SJC- MAST</t>
  </si>
  <si>
    <t>Monitor isla de calidad tkPSJC</t>
  </si>
  <si>
    <t>Problemas con Solid Works 2025</t>
  </si>
  <si>
    <t>Extracción archivo RA210</t>
  </si>
  <si>
    <t>ARELLANO CRUZ, JOSE ALFONSO</t>
  </si>
  <si>
    <t>ENTREGA URGENTE TONERS   PPUE &amp; PSJC</t>
  </si>
  <si>
    <t>Soporte para audifonos para juntas teams</t>
  </si>
  <si>
    <t>IT tips (mes de enero 26 semana 3)</t>
  </si>
  <si>
    <t>Batería - laptop</t>
  </si>
  <si>
    <t>Entrega de IPCs</t>
  </si>
  <si>
    <t>Movimiento PC y cables</t>
  </si>
  <si>
    <t>Biometrico Prueba-</t>
  </si>
  <si>
    <t>PR011519-Liberación factura Enero-música ambiental</t>
  </si>
  <si>
    <t>FACT. 14041-THYSSENKRUPP AUTOMOTIVE</t>
  </si>
  <si>
    <t>SIN ACCESO A MONETA</t>
  </si>
  <si>
    <t>Hector Muñoz Flores&lt;hmunoz@seien.com.mx&gt;</t>
  </si>
  <si>
    <t>PRO11749 MONETA</t>
  </si>
  <si>
    <t>Fernando Bonilla Fernández&lt;ingmanttoservices@hotmail.com&gt;</t>
  </si>
  <si>
    <t>PR011654-PPUE-Factura de Purchase Order   PPUE    PO : 4500031355 -SERVICIO ESPECIALIZADO DE LIMPIEZA  DICIEMBRE 2025</t>
  </si>
  <si>
    <t xml:space="preserve">CHECAR EQUIPO </t>
  </si>
  <si>
    <t>Rodolfo Carvajal Mateos&lt;contacto@clean-home.com.mx&gt;</t>
  </si>
  <si>
    <t>Instalación de visor dibujos 3D</t>
  </si>
  <si>
    <t>Silva Solis, Carlos Enrique</t>
  </si>
  <si>
    <t>Apoyo correos</t>
  </si>
  <si>
    <t>PR010889-1: APOYO CON APP AUTHENTICATOR</t>
  </si>
  <si>
    <t>Credito Autin&lt;credito@balerosautin.com&gt;</t>
  </si>
  <si>
    <t>Solicito el proceso por cambio de celular</t>
  </si>
  <si>
    <t>Yair Almanza&lt;yair.almanza@liditek.com&gt;</t>
  </si>
  <si>
    <t>APOYO RAZAR</t>
  </si>
  <si>
    <t>selene.prieto@razar.mx</t>
  </si>
  <si>
    <t>Factura 9010142736 SJC PO 4500031489</t>
  </si>
  <si>
    <t>DAYANA.PEREZ-NAVARRO</t>
  </si>
  <si>
    <t>SOLICITUD DE ACCESO DE EQUIPO PPUE//20.01.2026//KRESTON BSG</t>
  </si>
  <si>
    <t>Solicitud de app Quality Status (SCQ) en B2B</t>
  </si>
  <si>
    <t>Acceso a correos  Automotive &amp; Components</t>
  </si>
  <si>
    <t>Xicotencatl Castillo, Maria de Jesus Paola</t>
  </si>
  <si>
    <t>SSC-alta AMD MACARIO ALEJANDRO RANGEL LOPEZ</t>
  </si>
  <si>
    <t>PWD. Cuenta vdi.</t>
  </si>
  <si>
    <t>Accesos a PSJC (No funciona el sistema)</t>
  </si>
  <si>
    <t>COLOCACION DE RACK EN SITE 1 SJC/PDU</t>
  </si>
  <si>
    <t>PROGRAMADO-Commisioning SWITCH 10 - IDF almacen de logistica Puebla</t>
  </si>
  <si>
    <t>SAP password</t>
  </si>
  <si>
    <t>Ticket para préstamo de equipo</t>
  </si>
  <si>
    <t>SSC-alta AMD ULISES MARIANO ISALAS LOPEZ</t>
  </si>
  <si>
    <t xml:space="preserve">Configuracion del Authenticator </t>
  </si>
  <si>
    <t>ThyssenKrupp | Portal MoNETA Solicitud de actualización de denominación social</t>
  </si>
  <si>
    <t>DENISSE ELIZABETH DELIT CÁRDENAS</t>
  </si>
  <si>
    <t>Solicitud de alta a Proxy de MoNETA | AJR CAPACITACIÓN</t>
  </si>
  <si>
    <t>Ariadna Flores</t>
  </si>
  <si>
    <t>Solicitud de alta a Proxy de MoNETA</t>
  </si>
  <si>
    <t>Liliana Cuautle</t>
  </si>
  <si>
    <t>Acceso a AS PSJC-HUB - Documents 10672151</t>
  </si>
  <si>
    <t>Soporte con mi lap</t>
  </si>
  <si>
    <t>Guadalupe Luna</t>
  </si>
  <si>
    <t>Problemas con camaras en area de produccion</t>
  </si>
  <si>
    <t>Estimado/a  nayeli.osorio-garcia@thyssenkrupp-automotive.com , le envío la solicitud de cotización para su evaluación No. 20260123-120644</t>
  </si>
  <si>
    <t>REVISION DE TONNER (23-01-26)</t>
  </si>
  <si>
    <t>IT tips (mes de enero 26 semana 4)</t>
  </si>
  <si>
    <t>NetForge || Revisión de facturas de trabajos completados en TSK planta Finsa</t>
  </si>
  <si>
    <t>No posteo de OC en MoNETA por falta de carga de factura por el proveedor</t>
  </si>
  <si>
    <t>DESLOQUEEO USUARIO:10620052 SAP</t>
  </si>
  <si>
    <t>CASTILLO CONTRERAS, LAURA</t>
  </si>
  <si>
    <t xml:space="preserve">Trámite SAT </t>
  </si>
  <si>
    <t>Server APP01.mex01823.aszc.de CPU &gt; 90%</t>
  </si>
  <si>
    <t>Error en SAP-</t>
  </si>
  <si>
    <t>Prestamo de celular - Alejandro Monranchel</t>
  </si>
  <si>
    <t>SAP ERROR DE ACCESO</t>
  </si>
  <si>
    <t>EQUIPOS STRAMA-KISTLER</t>
  </si>
  <si>
    <t>Habilitar aplicación: Online Orders Non-series Material (OHUB)</t>
  </si>
  <si>
    <t>VW-Julian Gonzalez</t>
  </si>
  <si>
    <t>PR011524 Comunicado a proveedores - tk ASM</t>
  </si>
  <si>
    <t>ASAP Vulnerabilidad</t>
  </si>
  <si>
    <t>Apoyo en envio de archivo</t>
  </si>
  <si>
    <t>Acceso a AS PSJC-HUB - IMS\11 MATRIZ DE RIESGOS</t>
  </si>
  <si>
    <t>Pruebas del Switch - MEX01823-ASW-003 (Failover host Puebla)</t>
  </si>
  <si>
    <t>ACTIVIDAD ACTUALIZACION RVS PPUE</t>
  </si>
  <si>
    <t>ALTA PARA EL PORTAL MONETA</t>
  </si>
  <si>
    <t>Gutierrez Vazquez, Abel</t>
  </si>
  <si>
    <t>Acceso camaras</t>
  </si>
  <si>
    <t>REQUEST: Access to  TK printing</t>
  </si>
  <si>
    <t>Vargas Cacho, Abril</t>
  </si>
  <si>
    <t>SSC - Acceso a correos  Automotive &amp; Components</t>
  </si>
  <si>
    <t>Garcia Castillo, Ariadna</t>
  </si>
  <si>
    <t>Usuario de kiosco Producción</t>
  </si>
  <si>
    <t>FACTURAS CON RETENCION MONETA</t>
  </si>
  <si>
    <t>Error en retención de ISR / DOC 51004029</t>
  </si>
  <si>
    <t>Reestablecer contraseña de correo electronio en equipo movil</t>
  </si>
  <si>
    <t>Acceso Equipo de Cómputo CENTJC 01 de febrero 2026</t>
  </si>
  <si>
    <t>Solicitud de acceso Sharepoint</t>
  </si>
  <si>
    <t>OSORIO MENDEZ, OMAR ALEJANDRO</t>
  </si>
  <si>
    <t>SIN ACCESO</t>
  </si>
  <si>
    <t>Solicitud de acceso para imprimir en Impresora PSJC</t>
  </si>
  <si>
    <t>Recuperacion respaldo Alejandro Vazquez Tostado</t>
  </si>
  <si>
    <t>Acceso al Inbox Components Technology Mexico</t>
  </si>
  <si>
    <t>Puebla Accounting-Rangel Lopez, Macario Alejandro</t>
  </si>
  <si>
    <t>PR0111852-1  FACTURA CON ERROR EN EL PORTAL</t>
  </si>
  <si>
    <t>Evelyn Ramos</t>
  </si>
  <si>
    <t>Mensaje en la conexión a la maquina virtual de nomina</t>
  </si>
  <si>
    <t>FACTURAS AQS</t>
  </si>
  <si>
    <t>ABIGAIL SERRANO - PERFIL</t>
  </si>
  <si>
    <t>REVISION DE TONNER (30-01-26)</t>
  </si>
  <si>
    <t>Error Acceso a Intune y office en móvil</t>
  </si>
  <si>
    <t>SMART.224854</t>
  </si>
  <si>
    <t>SMART.224855</t>
  </si>
  <si>
    <t>SMART.224856</t>
  </si>
  <si>
    <t>SMART.224857</t>
  </si>
  <si>
    <t>SMART.224858</t>
  </si>
  <si>
    <t>SMART.224859</t>
  </si>
  <si>
    <t>SMART.224860</t>
  </si>
  <si>
    <t>SMART.224861</t>
  </si>
  <si>
    <t>IT tips (mes de febrero 26 semana 1)</t>
  </si>
  <si>
    <t>SOLICITUD DE ACCESO VIERNES 6 DE FEBRERO 2026//KRESTON BSG//PPUE</t>
  </si>
  <si>
    <t>ACTUALZIACION RVS SJC</t>
  </si>
  <si>
    <t>Solicitud de Acceso de Equipo de Computo</t>
  </si>
  <si>
    <t>docking no funciona RH</t>
  </si>
  <si>
    <t>Prestamo de equipo viejo</t>
  </si>
  <si>
    <t>ERROR CARGA FACTURAS POR SUBTOTAL</t>
  </si>
  <si>
    <t>Marisol Ayala</t>
  </si>
  <si>
    <t>SMART.224862</t>
  </si>
  <si>
    <t>SMART.224863</t>
  </si>
  <si>
    <t>SMART.224864</t>
  </si>
  <si>
    <t>SMART.224865</t>
  </si>
  <si>
    <t>SMART.224866</t>
  </si>
  <si>
    <t>SMART.224867</t>
  </si>
  <si>
    <t>SMART.224868</t>
  </si>
  <si>
    <t>SMART.224869</t>
  </si>
  <si>
    <t>SMART.224870</t>
  </si>
  <si>
    <t>SMART.224871</t>
  </si>
  <si>
    <t>SMART.224872</t>
  </si>
  <si>
    <t>SMART.224873</t>
  </si>
  <si>
    <t>SMART.224874</t>
  </si>
  <si>
    <t>SMART.224875</t>
  </si>
  <si>
    <t>SMART.224876</t>
  </si>
  <si>
    <t>SMART.224877</t>
  </si>
  <si>
    <t>SMART.224878</t>
  </si>
  <si>
    <t>SMART.224879</t>
  </si>
  <si>
    <t>SMART.224880</t>
  </si>
  <si>
    <t>SMART.224881</t>
  </si>
  <si>
    <t>SMART.224882</t>
  </si>
  <si>
    <t>SMART.224883</t>
  </si>
  <si>
    <t>SMART.224884</t>
  </si>
  <si>
    <t>SMART.224885</t>
  </si>
  <si>
    <t>SMART.224886</t>
  </si>
  <si>
    <t>SMART.224887</t>
  </si>
  <si>
    <t>SMART.224888</t>
  </si>
  <si>
    <t>SMART.224889</t>
  </si>
  <si>
    <t>SMART.224890</t>
  </si>
  <si>
    <t>SMART.224891</t>
  </si>
  <si>
    <t>SMART.224893</t>
  </si>
  <si>
    <t>SMART.224894</t>
  </si>
  <si>
    <t>SMART.224895</t>
  </si>
  <si>
    <t>SMART.224896</t>
  </si>
  <si>
    <t>SMART.224897</t>
  </si>
  <si>
    <t>SMART.224898</t>
  </si>
  <si>
    <t>SMART.224899</t>
  </si>
  <si>
    <t>SMART.224900</t>
  </si>
  <si>
    <t>SMART.224901</t>
  </si>
  <si>
    <t>RE ETIQUETAR PARQUE</t>
  </si>
  <si>
    <t>REVISION DE UPS SJC</t>
  </si>
  <si>
    <t>Baja AMD de personal</t>
  </si>
  <si>
    <t>Soporte envio de archivos pesados</t>
  </si>
  <si>
    <t>Proceso de renovación de certificado IDSE</t>
  </si>
  <si>
    <t>THYSSENKRUP ALTA EN PORTAL</t>
  </si>
  <si>
    <t>Charraga, monica</t>
  </si>
  <si>
    <t>SMART.224902</t>
  </si>
  <si>
    <t>SMART.224903</t>
  </si>
  <si>
    <t>SMART.224904</t>
  </si>
  <si>
    <t>SMART.224905</t>
  </si>
  <si>
    <t>SMART.224906</t>
  </si>
  <si>
    <t>SMART.224907</t>
  </si>
  <si>
    <t>SMART.224908</t>
  </si>
  <si>
    <t>SMART.224909</t>
  </si>
  <si>
    <t>SMART.224910</t>
  </si>
  <si>
    <t>SMART.224911</t>
  </si>
  <si>
    <t>SMART.224912</t>
  </si>
  <si>
    <t>SMART.224913</t>
  </si>
  <si>
    <t>SMART.224914</t>
  </si>
  <si>
    <t>SMART.224915</t>
  </si>
  <si>
    <t>SMART.224916</t>
  </si>
  <si>
    <t>SMART.224917</t>
  </si>
  <si>
    <t>SMART.224918</t>
  </si>
  <si>
    <t>SMART.224919</t>
  </si>
  <si>
    <t>SMART.224920</t>
  </si>
  <si>
    <t>SMART.224921</t>
  </si>
  <si>
    <t>SMART.224922</t>
  </si>
  <si>
    <t>SMART.224923</t>
  </si>
  <si>
    <t>SMART.224924</t>
  </si>
  <si>
    <t>SMART.224925</t>
  </si>
  <si>
    <t>SMART.224926</t>
  </si>
  <si>
    <t>SMART.224927</t>
  </si>
  <si>
    <t>SMART.224928</t>
  </si>
  <si>
    <t>SMART.224929</t>
  </si>
  <si>
    <t>SMART.224930</t>
  </si>
  <si>
    <t>SMART.224931</t>
  </si>
  <si>
    <t>SMART.224932</t>
  </si>
  <si>
    <t>SMART.224933</t>
  </si>
  <si>
    <t>SMART.224934</t>
  </si>
  <si>
    <t>SMART.224935</t>
  </si>
  <si>
    <t>SMART.224936</t>
  </si>
  <si>
    <t>SMART.224937</t>
  </si>
  <si>
    <t>SMART.224938</t>
  </si>
  <si>
    <t>SMART.224939</t>
  </si>
  <si>
    <t>SMART.224940</t>
  </si>
  <si>
    <t>No me deja entrar a Quantum</t>
  </si>
  <si>
    <t>Rangel Lopez, Macario Alejandro</t>
  </si>
  <si>
    <t>Retenciones IVA e ISR / MONETA</t>
  </si>
  <si>
    <t>solicitud de alta a Proxy de MoNETA</t>
  </si>
  <si>
    <t>Brenda Garcilazo Gonzalez</t>
  </si>
  <si>
    <t>Programado-Instalacion de memoria en ESXi</t>
  </si>
  <si>
    <t>Solicitud de soporte para cambio numero telefónico en sistema Moneta</t>
  </si>
  <si>
    <t>Ernesto Rosas</t>
  </si>
  <si>
    <t>Instalación de Sistemas</t>
  </si>
  <si>
    <t>permisos para generar requisiciones SAP</t>
  </si>
  <si>
    <t>Listado de personal con 8ID (02.01.2026) - Información confidencial</t>
  </si>
  <si>
    <t>Request to add Email address for AR-activitie</t>
  </si>
  <si>
    <t>Isalas Lopez, Ulises Mariano</t>
  </si>
  <si>
    <t>Solicitud- Instalación de Dock-Station</t>
  </si>
  <si>
    <t>correo sospechoso</t>
  </si>
  <si>
    <t>puertas de tarjetas desmagnetizadas</t>
  </si>
  <si>
    <t>Apoyo con instalación de ejecutable</t>
  </si>
  <si>
    <t>SAP Sin ingreso-Garcia Castillo</t>
  </si>
  <si>
    <t>Solicitud de ticket para asignacion de audifonos para conferencias en lap top</t>
  </si>
  <si>
    <t>Acceso Teams</t>
  </si>
  <si>
    <t>ACTIVACION AUTHENTICATOR</t>
  </si>
  <si>
    <t>Dinorah Montfort Teran</t>
  </si>
  <si>
    <t>ESCANEO MENSUAL FEBRERO 26 INTERACT</t>
  </si>
  <si>
    <t>ESCANEO MENSUAL FEBRERO 26 SIPROCCA</t>
  </si>
  <si>
    <t>ESCANEO MENSUAL FEBRERO 26 RACON 1</t>
  </si>
  <si>
    <t>ESCANEO MENSUAL FEBRERO 26 RACON 3</t>
  </si>
  <si>
    <t>ESCANEO MENSUAL FEBRERO 26 TORAB</t>
  </si>
  <si>
    <t>SMART.224941</t>
  </si>
  <si>
    <t>SMART.224942</t>
  </si>
  <si>
    <t>SMART.224943</t>
  </si>
  <si>
    <t>SMART.224944</t>
  </si>
  <si>
    <t>SMART.224945</t>
  </si>
  <si>
    <t>SMART.224946</t>
  </si>
  <si>
    <t>SMART.224947</t>
  </si>
  <si>
    <t>SMART.224948</t>
  </si>
  <si>
    <t>SMART.224950</t>
  </si>
  <si>
    <t>SMART.224951</t>
  </si>
  <si>
    <t>SMART.224953</t>
  </si>
  <si>
    <t>SMART.224954</t>
  </si>
  <si>
    <t>SMART.224955</t>
  </si>
  <si>
    <t>SMART.224956</t>
  </si>
  <si>
    <t>SMART.224957</t>
  </si>
  <si>
    <t>SMART.224958</t>
  </si>
  <si>
    <t>SMART.224959</t>
  </si>
  <si>
    <t>SMART.224960</t>
  </si>
  <si>
    <t>SMART.224961</t>
  </si>
  <si>
    <t>SMART.224962</t>
  </si>
  <si>
    <t>SMART.224963</t>
  </si>
  <si>
    <t>SMART.224964</t>
  </si>
  <si>
    <t>SMART.224965</t>
  </si>
  <si>
    <t>SMART.224966</t>
  </si>
  <si>
    <t>SMART.224967</t>
  </si>
  <si>
    <t>SMART.224968</t>
  </si>
  <si>
    <t>SMART.224969</t>
  </si>
  <si>
    <t>SMART.224970</t>
  </si>
  <si>
    <t>SMART.224971</t>
  </si>
  <si>
    <t>SMART.224973</t>
  </si>
  <si>
    <t>SMART.224974</t>
  </si>
  <si>
    <t>SMART.224975</t>
  </si>
  <si>
    <t>SMART.224976</t>
  </si>
  <si>
    <t>SMART.224977</t>
  </si>
  <si>
    <t>SMART.224978</t>
  </si>
  <si>
    <t>SMART.224979</t>
  </si>
  <si>
    <t>SMART.224980</t>
  </si>
  <si>
    <t>SMART.224981</t>
  </si>
  <si>
    <t>SMART.224982</t>
  </si>
  <si>
    <t>SMART.224983</t>
  </si>
  <si>
    <t>SMART.224984</t>
  </si>
  <si>
    <t>SMART.224985</t>
  </si>
  <si>
    <t>SMART.224986</t>
  </si>
  <si>
    <t>SMART.224987</t>
  </si>
  <si>
    <t>SMART.224988</t>
  </si>
  <si>
    <t>SMART.224989</t>
  </si>
  <si>
    <t>SMART.224990</t>
  </si>
  <si>
    <t>SMART.224991</t>
  </si>
  <si>
    <t>SMART.224992</t>
  </si>
  <si>
    <t>SSC-AMD BAJA DE ANA PAULINA CHALTELL PEREZ</t>
  </si>
  <si>
    <t>BAJA AMD - Eduardo Garcia</t>
  </si>
  <si>
    <t>Correo Components</t>
  </si>
  <si>
    <t>PR011852 MARIO ESTEBAN MANRIQUE ORDOÑEZ</t>
  </si>
  <si>
    <t>Baja de Correo Electrónico</t>
  </si>
  <si>
    <t>PROGRAMADO- Acceso Sheila PSJC</t>
  </si>
  <si>
    <t>Email address change</t>
  </si>
  <si>
    <t>Ingreso equipo de computo Oscar Linares Sindicato FENASA</t>
  </si>
  <si>
    <t>Reinstalar equipos para RackLabels</t>
  </si>
  <si>
    <t>SOLICITO LA INVITACION DE NUEVO PARA ACCEDER AL PORTAL</t>
  </si>
  <si>
    <t>LAURA ROJAS ROSAS</t>
  </si>
  <si>
    <t>PROGRAMADO-INSTALACION DE CAMARA</t>
  </si>
  <si>
    <t>IT tips (mes de febrero 26 semana 2)</t>
  </si>
  <si>
    <t>Problemas con Temas.</t>
  </si>
  <si>
    <t>CARRILLO SANTIBAÑEZ, CLEMENTINO</t>
  </si>
  <si>
    <t>Acceso MAST</t>
  </si>
  <si>
    <t>Soporte archivo en RA250</t>
  </si>
  <si>
    <t>SOLICITUD DE ACCESO A PORTAL</t>
  </si>
  <si>
    <t>Gorostieta Vazquez, Socorro</t>
  </si>
  <si>
    <t>Solicitud de soporte para cambio de correo Moneta</t>
  </si>
  <si>
    <t>Respaldo de información, banco de calibración a la red</t>
  </si>
  <si>
    <t>Printout 4500031896 ALTA EN MONETA</t>
  </si>
  <si>
    <t>JAN WEBER</t>
  </si>
  <si>
    <t>ENVIO CORREO A PROVEEDORES PARA CARGA DE FACTURAS</t>
  </si>
  <si>
    <t>ASAP-RETIRO DE TONER PPUE</t>
  </si>
  <si>
    <t>ACTUALIZACION CONTACTOS PROVEEDORES TK 2026--UPDATE SUPPLIER CONTACTS TK 2026</t>
  </si>
  <si>
    <t>Paulina Celis Ronquillo</t>
  </si>
  <si>
    <t>CARGA DE FACTURAS EN MONETA GENERADORESAMABI</t>
  </si>
  <si>
    <t>Israel López Fernández</t>
  </si>
  <si>
    <t>CONEXION DE ATS/PDU SITE 1 Y 2 SJC</t>
  </si>
  <si>
    <t>Acceso- AS-QAS-Quality</t>
  </si>
  <si>
    <t>INGRESO DE EQUIPO DE CÓMPUTO PARA AUDITORÍA</t>
  </si>
  <si>
    <t>UPDATE SUPPLIER CONTACTS TK 2026-ACCESO A PORTAL</t>
  </si>
  <si>
    <t>IXTAB PEREZ ROMERO</t>
  </si>
  <si>
    <t>Problemas con el Mouse.</t>
  </si>
  <si>
    <t>Alta a Portal Moneta</t>
  </si>
  <si>
    <t>Ernesto Eliud Olvares Verdejo</t>
  </si>
  <si>
    <t>RECEPCION DE EQUIPO PPUE</t>
  </si>
  <si>
    <t>PROGRAMACION PAGO//Thyssenkrupp Automotive Systems//HP</t>
  </si>
  <si>
    <t>Etiquetar IPAD</t>
  </si>
  <si>
    <t>RECEPCION y ENTREGA DE ACCESORIOS DIR FINANZAS</t>
  </si>
  <si>
    <t>SOLICITUD DE EMITIR SELLOS DIGITALES SAT//VUCEM//COMERCIO EXTERIOR</t>
  </si>
  <si>
    <t>ASAP-SMTP on PLCS</t>
  </si>
  <si>
    <t>Revision de Camaras</t>
  </si>
  <si>
    <t>Acceso a Equipo de Cómputo de CENTJC</t>
  </si>
  <si>
    <t>tia portal 17</t>
  </si>
  <si>
    <t>NTP- NVR</t>
  </si>
  <si>
    <t>INFORMACIÓN PARA SUBIR FACTURAS</t>
  </si>
  <si>
    <t>Heriberto Perez</t>
  </si>
  <si>
    <t>Error en posteo de la OC 4500031872</t>
  </si>
  <si>
    <t>Error en posteo de factura de la OC 4500031906</t>
  </si>
  <si>
    <t>Acceso a Carpetas Calidad y Material No Productivo</t>
  </si>
  <si>
    <t>PROGRAMADO - Asigancion de líneas / teléfonos</t>
  </si>
  <si>
    <t>Correos USER BATCH</t>
  </si>
  <si>
    <t>REVISION DE TONNER (13-02-26)</t>
  </si>
  <si>
    <t>Comunicado Remote Desktop</t>
  </si>
  <si>
    <t>LIBERACIÓN DE FACTURA EN EL PORTAL</t>
  </si>
  <si>
    <t>JOSELIN CEREZO CUELLAR</t>
  </si>
  <si>
    <t>Asignación de celular - Ulises Islas</t>
  </si>
  <si>
    <t>IT tips (mes de febrero 26 semana 3)</t>
  </si>
  <si>
    <t>Error de Impresora</t>
  </si>
  <si>
    <t>SAP error ME23N</t>
  </si>
  <si>
    <t>Name change</t>
  </si>
  <si>
    <t>Instalacion de App Microsoft Teams</t>
  </si>
  <si>
    <t>ASAP - Santander</t>
  </si>
  <si>
    <t>Accesso a Equipo Movil</t>
  </si>
  <si>
    <t>Adquisición de móvil</t>
  </si>
  <si>
    <t>sin acceso en teams en celular</t>
  </si>
  <si>
    <t>Acceso al authenticator</t>
  </si>
  <si>
    <t>Revisión de candados digitales</t>
  </si>
  <si>
    <t>ENTREGA DE MOVIL A SOPORTE</t>
  </si>
  <si>
    <t>ALTA PROVEEDOR   ERSA</t>
  </si>
  <si>
    <t>CARGA DE FACTURAS EN MONETA</t>
  </si>
  <si>
    <t>PCUNISERVICIOS</t>
  </si>
  <si>
    <t>INGRESO EQUIPO DE COMPUTO LUNES 23 FEBRERO 8:00AM</t>
  </si>
  <si>
    <t>SOLICITUD DE ACCESO JUEVES 19 DE FEBRERO 2026//KRESTON BSG//PPUE</t>
  </si>
  <si>
    <t>Soporte - Compartir Dibujos 3D .stp</t>
  </si>
  <si>
    <t>UPS PPUE</t>
  </si>
  <si>
    <t>UPS SJC</t>
  </si>
  <si>
    <t>Problemas con acceso a Outlook y TEams desde Celular</t>
  </si>
  <si>
    <t>IMC</t>
  </si>
  <si>
    <t>actualziacion RVS PPUE</t>
  </si>
  <si>
    <t>CAMBIO DE UPS SJC-ASAP</t>
  </si>
  <si>
    <t>PROGRAMADO-ACTUALIZACION RVS PSJC</t>
  </si>
  <si>
    <t>Ayuda configurar conexión celular</t>
  </si>
  <si>
    <t>Acceso a Personal KPMG</t>
  </si>
  <si>
    <t>ERROR EN CONTRASEÑA MONETA</t>
  </si>
  <si>
    <t>Arturo Mendoza Fraga</t>
  </si>
  <si>
    <t>KPMG ALTA MONETA</t>
  </si>
  <si>
    <t>Tejeda, Gloria</t>
  </si>
  <si>
    <t>error moneta//PO 4500031154// PR010021 BOSCH REXROT</t>
  </si>
  <si>
    <t>otro error moneta//PO 4500031154// PR010021 BOSCH REXROT</t>
  </si>
  <si>
    <t>RECEPCIÓN DE EQUIPO</t>
  </si>
  <si>
    <t>taller tk automotive</t>
  </si>
  <si>
    <t>Solicitud usuario IMS</t>
  </si>
  <si>
    <t>PROVEEDOR PRO11832-1-ERROR DE CONTRASEÑA</t>
  </si>
  <si>
    <t>MARY M</t>
  </si>
  <si>
    <t>ACCESO DENEGADO SAP</t>
  </si>
  <si>
    <t>CONECTAR PATCH CORD A SWITC</t>
  </si>
  <si>
    <t>ENVIO DE IP-TIP DE ACTUALIZACION DE CELULAR</t>
  </si>
  <si>
    <t>ERROR CARGA DE FACTURA POR SUBTOTAL INVALIDO</t>
  </si>
  <si>
    <t>REVISION DE TONNER (20-02-26)</t>
  </si>
  <si>
    <t>Dias no laborales</t>
  </si>
  <si>
    <t>SMART.224993</t>
  </si>
  <si>
    <t>SMART.224994</t>
  </si>
  <si>
    <t>SMART.224995</t>
  </si>
  <si>
    <t>SMART.224996</t>
  </si>
  <si>
    <t>SMART.224997</t>
  </si>
  <si>
    <t>SMART.224998</t>
  </si>
  <si>
    <t>SMART.224999</t>
  </si>
  <si>
    <t>SMART.225000</t>
  </si>
  <si>
    <t>SMART.225001</t>
  </si>
  <si>
    <t>SMART.225002</t>
  </si>
  <si>
    <t>SMART.225003</t>
  </si>
  <si>
    <t>SMART.225004</t>
  </si>
  <si>
    <t>SMART.225005</t>
  </si>
  <si>
    <t>SMART.225006</t>
  </si>
  <si>
    <t>SMART.225007</t>
  </si>
  <si>
    <t>SMART.225008</t>
  </si>
  <si>
    <t>SMART.225009</t>
  </si>
  <si>
    <t>SMART.225010</t>
  </si>
  <si>
    <t>SMART.225011</t>
  </si>
  <si>
    <t>SMART.225012</t>
  </si>
  <si>
    <t>SMART.225013</t>
  </si>
  <si>
    <t>SMART.225014</t>
  </si>
  <si>
    <t>SMART.225015</t>
  </si>
  <si>
    <t>SMART.225016</t>
  </si>
  <si>
    <t>SMART.225017</t>
  </si>
  <si>
    <t>SMART.225018</t>
  </si>
  <si>
    <t>SMART.225019</t>
  </si>
  <si>
    <t>SMART.225020</t>
  </si>
  <si>
    <t>SMART.225022</t>
  </si>
  <si>
    <t>SMART.225023</t>
  </si>
  <si>
    <t>SMART.225024</t>
  </si>
  <si>
    <t>SMART.225025</t>
  </si>
  <si>
    <t>SMART.225026</t>
  </si>
  <si>
    <t>SMART.225027</t>
  </si>
  <si>
    <t>SMART.225028</t>
  </si>
  <si>
    <t>CONFIGURACION  Y ENTREGA DE MOVIL</t>
  </si>
  <si>
    <t>CARLOS ENRIQUE SILVA SOLIS</t>
  </si>
  <si>
    <t>Observaciones Vendor PR011383- código de retención ISR</t>
  </si>
  <si>
    <t>Reactivacion de Microsoft Authenticator: Portal MoNETA</t>
  </si>
  <si>
    <t>Erika Escobar Agis</t>
  </si>
  <si>
    <t>IT tips (mes de febrero 26 semana 4)</t>
  </si>
  <si>
    <t>Información de personal SIPS</t>
  </si>
  <si>
    <t>Iconos en escritorio.</t>
  </si>
  <si>
    <t>Docking no funciona RH</t>
  </si>
  <si>
    <t>INSTALACION DE FUENTE DE PODER - SJC</t>
  </si>
  <si>
    <t>Solicitud de ingreso equipo de computo</t>
  </si>
  <si>
    <t>Reseteo de contraseña - SAP</t>
  </si>
  <si>
    <t>OLICITUD DE ACCESO A PORTAL</t>
  </si>
  <si>
    <t>Configuración de escaners para Shipping Control</t>
  </si>
  <si>
    <t>Cambio de equipo prestado</t>
  </si>
  <si>
    <t>ALTA MONETA</t>
  </si>
  <si>
    <t>ACTUALIZACION CONTACTOS PROVEEDORES TK 2026-ALTA MONETA</t>
  </si>
  <si>
    <t>Applied México</t>
  </si>
  <si>
    <t>Erika Escobar</t>
  </si>
  <si>
    <t>Acceso a KAS</t>
  </si>
  <si>
    <t>iconos PDF ???</t>
  </si>
  <si>
    <t>PROGRAMADO-Olimpo portal</t>
  </si>
  <si>
    <t>CONFIGURACION DE EQUIPO</t>
  </si>
  <si>
    <t>accso a IP de auditoria</t>
  </si>
  <si>
    <t>PROGRAMADO-Donacion de equipo obsoleto</t>
  </si>
  <si>
    <t>Activacion permisos para Imprimir</t>
  </si>
  <si>
    <t>Error en correo no enviado</t>
  </si>
  <si>
    <t>COLOCACION DE UPS RS10-sjc</t>
  </si>
  <si>
    <t>INGRESO DE PERSONAL EXTERNO A PSJC CON EQUIPO DE CÓMPUTO</t>
  </si>
  <si>
    <t>Error en moneda PO 4500031722 liberada y registrada en</t>
  </si>
  <si>
    <t>CONFIGURACION  &amp; CAMBIO DE EQUIPO</t>
  </si>
  <si>
    <t>Celular vinculado a crédito vencido</t>
  </si>
  <si>
    <t>LISTA DE MATERIAL A TIRAR</t>
  </si>
  <si>
    <t>INSTALACION DE OWL MEETING SJC</t>
  </si>
  <si>
    <t>Proyección de imágen en Direction Room</t>
  </si>
  <si>
    <t>PO 4500031248// PR011519 ARTE SENSORIAL, SA DE CV</t>
  </si>
  <si>
    <t>REVISION DE TONNER (27-02-26)</t>
  </si>
  <si>
    <t>SMART.225029</t>
  </si>
  <si>
    <t>SMART.225030</t>
  </si>
  <si>
    <t>SMART.225031</t>
  </si>
  <si>
    <t>SMART.225032</t>
  </si>
  <si>
    <t>SMART.225033</t>
  </si>
  <si>
    <t>SMART.225034</t>
  </si>
  <si>
    <t>SMART.225035</t>
  </si>
  <si>
    <t>SMART.225036</t>
  </si>
  <si>
    <t>SMART.225037</t>
  </si>
  <si>
    <t>SMART.225038</t>
  </si>
  <si>
    <t>SMART.225039</t>
  </si>
  <si>
    <t>SMART.225040</t>
  </si>
  <si>
    <t>SMART.225041</t>
  </si>
  <si>
    <t>SMART.225042</t>
  </si>
  <si>
    <t>SMART.225043</t>
  </si>
  <si>
    <t>SMART.225044</t>
  </si>
  <si>
    <t>SMART.225045</t>
  </si>
  <si>
    <t>SMART.225046</t>
  </si>
  <si>
    <t>SMART.225047</t>
  </si>
  <si>
    <t>SMART.225048</t>
  </si>
  <si>
    <t>SMART.225049</t>
  </si>
  <si>
    <t>SMART.225050</t>
  </si>
  <si>
    <t>SMART.225051</t>
  </si>
  <si>
    <t>sin acceso a sistema optidimax</t>
  </si>
  <si>
    <t>error de impresora</t>
  </si>
  <si>
    <t>Error en MoNETA por entrada incorrecta</t>
  </si>
  <si>
    <t>TOTP</t>
  </si>
  <si>
    <t>Problemas ara ingresar a SAP</t>
  </si>
  <si>
    <t>Fernanda Zárate</t>
  </si>
  <si>
    <t>REBECA PACHECO</t>
  </si>
  <si>
    <t>facts AUDI ERROR MIRO/MONETA</t>
  </si>
  <si>
    <t>ERROR AL SUBIR FACTURA A MONETA</t>
  </si>
  <si>
    <t>ERROR SUBIR FACTURA</t>
  </si>
  <si>
    <t>ALEJANDRO LOPEZ GOYA</t>
  </si>
  <si>
    <t>No hubo sistema en SAP</t>
  </si>
  <si>
    <t>PO 4500022774</t>
  </si>
  <si>
    <t>SOLICITUD DE ACCESO MARTES 10 DE MARZO 2026//KRESTON BSG//PPUE</t>
  </si>
  <si>
    <t>Extracción de archivo ADAT RA210</t>
  </si>
  <si>
    <t>Extracción de archivo en PG</t>
  </si>
  <si>
    <t>GARANTIA iPHONE GUSTAVO</t>
  </si>
  <si>
    <t>APOYO CON PORTAL ELECTRIMAS</t>
  </si>
  <si>
    <t>ACCESO SAP</t>
  </si>
  <si>
    <t>SMART.225052</t>
  </si>
  <si>
    <t>SMART.225053</t>
  </si>
  <si>
    <t>SMART.225054</t>
  </si>
  <si>
    <t>SMART.225055</t>
  </si>
  <si>
    <t>SMART.225056</t>
  </si>
  <si>
    <t>SMART.225057</t>
  </si>
  <si>
    <t>SMART.225058</t>
  </si>
  <si>
    <t>SMART.225059</t>
  </si>
  <si>
    <t>SMART.225061</t>
  </si>
  <si>
    <t>SMART.225062</t>
  </si>
  <si>
    <t>SMART.225063</t>
  </si>
  <si>
    <t>SMART.225064</t>
  </si>
  <si>
    <t>SMART.225065</t>
  </si>
  <si>
    <t>SMART.225066</t>
  </si>
  <si>
    <t>SMART.225067</t>
  </si>
  <si>
    <t>SMART.225068</t>
  </si>
  <si>
    <t>SMART.225069</t>
  </si>
  <si>
    <t>SMART.225070</t>
  </si>
  <si>
    <t>SMART.225071</t>
  </si>
  <si>
    <t>SMART.225072</t>
  </si>
  <si>
    <t>SMART.225073</t>
  </si>
  <si>
    <t>SMART.225074</t>
  </si>
  <si>
    <t>SMART.225075</t>
  </si>
  <si>
    <t>SMART.225076</t>
  </si>
  <si>
    <t>SMART.225077</t>
  </si>
  <si>
    <t>SMART.225078</t>
  </si>
  <si>
    <t>SMART.225079</t>
  </si>
  <si>
    <t>SMART.225080</t>
  </si>
  <si>
    <t>SMART.225081</t>
  </si>
  <si>
    <t>SMART.225082</t>
  </si>
  <si>
    <t>SMART.225083</t>
  </si>
  <si>
    <t>SMART.225084</t>
  </si>
  <si>
    <t>SMART.225085</t>
  </si>
  <si>
    <t>SMART.225086</t>
  </si>
  <si>
    <t>SMART.225087</t>
  </si>
  <si>
    <t>SMART.225088</t>
  </si>
  <si>
    <t>SMART.225089</t>
  </si>
  <si>
    <t>SMART.225090</t>
  </si>
  <si>
    <t>SMART.225091</t>
  </si>
  <si>
    <t>SMART.225092</t>
  </si>
  <si>
    <t>SMART.225093</t>
  </si>
  <si>
    <t>SMART.225094</t>
  </si>
  <si>
    <t>SMART.225095</t>
  </si>
  <si>
    <t>SMART.225096</t>
  </si>
  <si>
    <t>SMART.225097</t>
  </si>
  <si>
    <t>Error en posteo MONETA/ PO 4500028583</t>
  </si>
  <si>
    <t>Toma ethernet</t>
  </si>
  <si>
    <t>Baja de usuario SAP Roberto G.</t>
  </si>
  <si>
    <t>SMART.225098</t>
  </si>
  <si>
    <t>SMART.225099</t>
  </si>
  <si>
    <t>SMART.225100</t>
  </si>
  <si>
    <t>SMART.225101</t>
  </si>
  <si>
    <t>SMART.225102</t>
  </si>
  <si>
    <t>SMART.225103</t>
  </si>
  <si>
    <t>SMART.225104</t>
  </si>
  <si>
    <t>SMART.225105</t>
  </si>
  <si>
    <t>SMART.225106</t>
  </si>
  <si>
    <t>SMART.225107</t>
  </si>
  <si>
    <t>SMART.225108</t>
  </si>
  <si>
    <t>SMART.225109</t>
  </si>
  <si>
    <t>SMART.225110</t>
  </si>
  <si>
    <t>SMART.225111</t>
  </si>
  <si>
    <t>SMART.225112</t>
  </si>
  <si>
    <t>SMART.225113</t>
  </si>
  <si>
    <t>SMART.225114</t>
  </si>
  <si>
    <t>SMART.225115</t>
  </si>
  <si>
    <t>SMART.225116</t>
  </si>
  <si>
    <t>SMART.225117</t>
  </si>
  <si>
    <t>SMART.225118</t>
  </si>
  <si>
    <t>SMART.225119</t>
  </si>
  <si>
    <t>SMART.225120</t>
  </si>
  <si>
    <t>SMART.225121</t>
  </si>
  <si>
    <t>SMART.225122</t>
  </si>
  <si>
    <t>SMART.225123</t>
  </si>
  <si>
    <t>SMART.225124</t>
  </si>
  <si>
    <t>SMART.225125</t>
  </si>
  <si>
    <t>SMART.225126</t>
  </si>
  <si>
    <t>SMART.225127</t>
  </si>
  <si>
    <t>SMART.225128</t>
  </si>
  <si>
    <t>SMART.225129</t>
  </si>
  <si>
    <t>SMART.225130</t>
  </si>
  <si>
    <t>SMART.225131</t>
  </si>
  <si>
    <t>SMART.225132</t>
  </si>
  <si>
    <t>SMART.225133</t>
  </si>
  <si>
    <t>SMART.225134</t>
  </si>
  <si>
    <t>SMART.225135</t>
  </si>
  <si>
    <t>SMART.225136</t>
  </si>
  <si>
    <t>SMART.225137</t>
  </si>
  <si>
    <t>SMART.225138</t>
  </si>
  <si>
    <t>SMART.225139</t>
  </si>
  <si>
    <t>SMART.225140</t>
  </si>
  <si>
    <t>SMART.225141</t>
  </si>
  <si>
    <t>SMART.225142</t>
  </si>
  <si>
    <t>SMART.225143</t>
  </si>
  <si>
    <t>SMART.225144</t>
  </si>
  <si>
    <t>SMART.225145</t>
  </si>
  <si>
    <t>SMART.225146</t>
  </si>
  <si>
    <t>SMART.225147</t>
  </si>
  <si>
    <t>SMART.225148</t>
  </si>
  <si>
    <t>SMART.225149</t>
  </si>
  <si>
    <t>SMART.225150</t>
  </si>
  <si>
    <t>SMART.225151</t>
  </si>
  <si>
    <t>SMART.225152</t>
  </si>
  <si>
    <t>SMART.225153</t>
  </si>
  <si>
    <t>SMART.225154</t>
  </si>
  <si>
    <t>SMART.225155</t>
  </si>
  <si>
    <t>SMART.225156</t>
  </si>
  <si>
    <t>SMART.225157</t>
  </si>
  <si>
    <t>SMART.225158</t>
  </si>
  <si>
    <t>SMART.225159</t>
  </si>
  <si>
    <t>SMART.225160</t>
  </si>
  <si>
    <t>SMART.225161</t>
  </si>
  <si>
    <t>SMART.225162</t>
  </si>
  <si>
    <t>SMART.225163</t>
  </si>
  <si>
    <t>SMART.225164</t>
  </si>
  <si>
    <t>SMART.225165</t>
  </si>
  <si>
    <t>SMART.225166</t>
  </si>
  <si>
    <t>SMART.225167</t>
  </si>
  <si>
    <t>SMART.225168</t>
  </si>
  <si>
    <t>SMART.225169</t>
  </si>
  <si>
    <t>SMART.225170</t>
  </si>
  <si>
    <t>SMART.225171</t>
  </si>
  <si>
    <t>SMART.225172</t>
  </si>
  <si>
    <t>SMART.225173</t>
  </si>
  <si>
    <t>SMART.225175</t>
  </si>
  <si>
    <t>SMART.225176</t>
  </si>
  <si>
    <t>SMART.225177</t>
  </si>
  <si>
    <t>SMART.225178</t>
  </si>
  <si>
    <t>SMART.225179</t>
  </si>
  <si>
    <t>SMART.225180</t>
  </si>
  <si>
    <t>SMART.225181</t>
  </si>
  <si>
    <t>SMART.225182</t>
  </si>
  <si>
    <t>SMART.225183</t>
  </si>
  <si>
    <t>SMART.225184</t>
  </si>
  <si>
    <t>SMART.225185</t>
  </si>
  <si>
    <t>SMART.225186</t>
  </si>
  <si>
    <t>SMART.225187</t>
  </si>
  <si>
    <t>SMART.225188</t>
  </si>
  <si>
    <t>SMART.225189</t>
  </si>
  <si>
    <t>SMART.225190</t>
  </si>
  <si>
    <t>SMART.225191</t>
  </si>
  <si>
    <t>SMART.225192</t>
  </si>
  <si>
    <t>SMART.225193</t>
  </si>
  <si>
    <t>SMART.225194</t>
  </si>
  <si>
    <t>SMART.225195</t>
  </si>
  <si>
    <t>SMART.225196</t>
  </si>
  <si>
    <t>SMART.225197</t>
  </si>
  <si>
    <t>ligar numero de parte</t>
  </si>
  <si>
    <t>Autentificacion ?</t>
  </si>
  <si>
    <t>Listado de personal con 8ID (04.03.2026) - Información confidencial</t>
  </si>
  <si>
    <t>ASAP-New SSC employees-ALTA AMD-Jorge Andres Montemayor Ramirez</t>
  </si>
  <si>
    <t>ASAP-New SSC employees-ALTA AMD-Karla Vasconcelos Martínez</t>
  </si>
  <si>
    <t>ERROR CARGA FACTURA</t>
  </si>
  <si>
    <t>Onboarding IPC51-calidad-PCS-PG FINSA</t>
  </si>
  <si>
    <t>solicitud de alta a Proxi de moneta</t>
  </si>
  <si>
    <t>Publi Impresos Val Ventas</t>
  </si>
  <si>
    <t>Acceso puerta principal</t>
  </si>
  <si>
    <t>acceso al BOsch</t>
  </si>
  <si>
    <t>actualización de la versión SUA 3.7.1</t>
  </si>
  <si>
    <t>PBG Module</t>
  </si>
  <si>
    <t>ESCANEO MENSUAL MARZO 26 INTERACT</t>
  </si>
  <si>
    <t>ESCANEO MENSUAL MARZO 26 SIPROCCA</t>
  </si>
  <si>
    <t>ESCANEO MENSUAL MARZO 26 RACON 1</t>
  </si>
  <si>
    <t>ESCANEO MENSUAL MARZO 26 RACON 3</t>
  </si>
  <si>
    <t>ESCANEO MENSUAL MARZO 26 TORAB</t>
  </si>
  <si>
    <t>REVISION DE TONNER (06-03-26)</t>
  </si>
  <si>
    <t>Pregunta sobre factura en el portal de proveedores - KRESTON BSG - PR011072/PPUE</t>
  </si>
  <si>
    <t>Juan Osorio</t>
  </si>
  <si>
    <t>ACTUALIZACION ACCESOS AL PORTAL - THYSSEN</t>
  </si>
  <si>
    <t>IT tips (mes de marzo 26 semana 2)</t>
  </si>
  <si>
    <t>Solicitud de información | Thyssenkrupp Automotive</t>
  </si>
  <si>
    <t>Documento no descargado</t>
  </si>
  <si>
    <t>Teams de Raymundo con falla</t>
  </si>
  <si>
    <t>MVE·ANA, Programación de instalación para la empresa: THYSSENKRUPP AUTOMOTIVE SYSTEMS DE MEXICO</t>
  </si>
  <si>
    <t>Encendido de Failover Host Puebla por instalación de transformador</t>
  </si>
  <si>
    <t>PROGRAMADO - Acceso Sheila PSJC</t>
  </si>
  <si>
    <t>Acceso a portal Moneta.</t>
  </si>
  <si>
    <t>Acceso a portal</t>
  </si>
  <si>
    <t>MAQUINADO INDUSTRIAL MECANICO</t>
  </si>
  <si>
    <t>Desbloqueo MONETA - PO 4500031522</t>
  </si>
  <si>
    <t>Flores, Cristina</t>
  </si>
  <si>
    <t>ASAP-Apoyo para implementacion de Rack Labels PPUE</t>
  </si>
  <si>
    <t>java app</t>
  </si>
  <si>
    <t>REVISION DE CALENDARIO ALVARO RAMIRO 6072</t>
  </si>
  <si>
    <t>PROBLEMAS DE INGRESO PORTAL / PR011468</t>
  </si>
  <si>
    <t>Jazmin Herrera</t>
  </si>
  <si>
    <t xml:space="preserve">Instalación de Company Portal </t>
  </si>
  <si>
    <t>Equipo Móvil de Reposición - José Eduardo García López</t>
  </si>
  <si>
    <t>AYUDA IMPRESION</t>
  </si>
  <si>
    <t>acceso a E-Learning</t>
  </si>
  <si>
    <t>TICKET PARA INGRESO A TEAMS POR SUPERVISOR</t>
  </si>
  <si>
    <t>Codeland -  proveedor permanente</t>
  </si>
  <si>
    <t>Error ingreso a portal Moneta</t>
  </si>
  <si>
    <t>Sin accesso al portal Thyssenkrupp</t>
  </si>
  <si>
    <t>Selene Camarena</t>
  </si>
  <si>
    <t>Correo de Power Plattform CoE</t>
  </si>
  <si>
    <t>Solicitud de alta Proxy de MoNETA</t>
  </si>
  <si>
    <t>Segura Gonzalez, Osvaldo</t>
  </si>
  <si>
    <t>Archivos en ubicacion incorrecta</t>
  </si>
  <si>
    <t>código de retención ISR</t>
  </si>
  <si>
    <t>Monserrat F</t>
  </si>
  <si>
    <t>PROGRAMADO -Entrega de Equipo Dañado a José Eduardo García López</t>
  </si>
  <si>
    <t>Acceso equipo de computo sin conexión a la red.</t>
  </si>
  <si>
    <t>No veo el menu de transportista</t>
  </si>
  <si>
    <t>Alejandro Velazquez</t>
  </si>
  <si>
    <t>Work flows</t>
  </si>
  <si>
    <t>Solicitud de ingreso de Equipo de Cómputo</t>
  </si>
  <si>
    <t>PR011530 NO ME APARECEN LAS FACTURAS EN EL PORTAL</t>
  </si>
  <si>
    <t>monse.flores</t>
  </si>
  <si>
    <t>IT tips (mes de marzo 26 semana 3)</t>
  </si>
  <si>
    <t>LAMPARA CAÑON DE LA SALA DE CAPACITACIÓN</t>
  </si>
  <si>
    <t>Cuentas iCloud de iPads de Shipping Control</t>
  </si>
  <si>
    <t>Acceso Daniela Pisanty</t>
  </si>
  <si>
    <t>SOLICITUD DE ALTA A PROXY MONETA</t>
  </si>
  <si>
    <t>Liliam Pino</t>
  </si>
  <si>
    <t>Lap top</t>
  </si>
  <si>
    <t>Cuenta suspendida.</t>
  </si>
  <si>
    <t>PR011728 - No Puedo cargar facturas al portal</t>
  </si>
  <si>
    <t>Edson Dominguez</t>
  </si>
  <si>
    <t>Acceso a tablero S2QDC</t>
  </si>
  <si>
    <t>Posteo MONETA - PO 4500028583</t>
  </si>
  <si>
    <t>Grupos de Teams</t>
  </si>
  <si>
    <t>Dirección IP impresora Zebra</t>
  </si>
  <si>
    <t>BLOQUEO OPCION ZSCALER LOG OUT SSC-ANAHI</t>
  </si>
  <si>
    <t>ERROR DE REGSTRO</t>
  </si>
  <si>
    <t>Keila Barrios</t>
  </si>
  <si>
    <t>SOLICITUD DE ACCESO LUNES 23 DE MARZO 2026//KRESTON BSG//PPUE</t>
  </si>
  <si>
    <t>ALTA AMD Guillermo Baruch Avendaño Sánchez</t>
  </si>
  <si>
    <t>desbloqueo de PG</t>
  </si>
  <si>
    <t>Revision de estrella Puebla</t>
  </si>
  <si>
    <t>Acceso de equipo de cómputo CENTJC</t>
  </si>
  <si>
    <t>IT tips (mes de marzo 26 semana 1)</t>
  </si>
  <si>
    <t>SMART.225198</t>
  </si>
  <si>
    <t>SMART.225199</t>
  </si>
  <si>
    <t>SMART.225200</t>
  </si>
  <si>
    <t>SMART.225201</t>
  </si>
  <si>
    <t>SMART.225202</t>
  </si>
  <si>
    <t>SMART.225203</t>
  </si>
  <si>
    <t>SMART.225204</t>
  </si>
  <si>
    <t>SMART.225205</t>
  </si>
  <si>
    <t>Acceso de equipos</t>
  </si>
  <si>
    <t>ALTA MONETA-BALLUFF</t>
  </si>
  <si>
    <t>Reyna Martinez</t>
  </si>
  <si>
    <t xml:space="preserve">SSC- PRESTAMO DE MOVIL </t>
  </si>
  <si>
    <t>Acceso MoNETA</t>
  </si>
  <si>
    <t>KARRAS I MAYO 18 Y 19 2026 CDMX</t>
  </si>
  <si>
    <t>Liberación PO 4500031982 - MONETA</t>
  </si>
  <si>
    <t>Permisos</t>
  </si>
  <si>
    <t>ALTA AMD Elias Cesar Sosa Dávila</t>
  </si>
  <si>
    <t>Acceso carpeta</t>
  </si>
  <si>
    <t>Acceso al correo Inbox Components Technology Mexico-Puebla Accounting</t>
  </si>
  <si>
    <t>Montemayor Ramirez, Jorge</t>
  </si>
  <si>
    <t>ERROR DE IMPRESORA DE COLOR</t>
  </si>
  <si>
    <t>Solicitud de videos de cámaras</t>
  </si>
  <si>
    <t>IT tips (mes de marzo 26 semana 4)</t>
  </si>
  <si>
    <t>Kiosko</t>
  </si>
  <si>
    <t>SSC - Problemas internet SSC</t>
  </si>
  <si>
    <t>LILIANA TORIJA</t>
  </si>
  <si>
    <t>Instalación de Vodafone para KVS</t>
  </si>
  <si>
    <t>4500028583//KAUFEN SOLUCIONES Y ETIQUETAS SA DE</t>
  </si>
  <si>
    <t>Error posteo PO 4500032122 - MONETA</t>
  </si>
  <si>
    <t>SOLICITUD DE   ALTA USUARIO  TK   MONETA  SI VALE</t>
  </si>
  <si>
    <t>SOLICITUD DE ALTA A PROXY DE MoNETA</t>
  </si>
  <si>
    <t>Christian Arredondo Gómez</t>
  </si>
  <si>
    <t>Facturas de VW Febrero 2026</t>
  </si>
  <si>
    <t>Carga de facturas en Moneta fuera de tiempo//MAC COMPUTADORAS DE PUEBLA 4500031989</t>
  </si>
  <si>
    <t>4500032024//13250</t>
  </si>
  <si>
    <t>Soporte Log in Carlos Silva</t>
  </si>
  <si>
    <t>Acceso a impresoras</t>
  </si>
  <si>
    <t>Solicitud de alta a Proxy de MoNETA . Proveedor PLEGMA - PR011718</t>
  </si>
  <si>
    <t>Alejandro Mena</t>
  </si>
  <si>
    <t>Escritorio vacío-casi</t>
  </si>
  <si>
    <t>8 ID support, new employees-Eymard Pineda Sanchez</t>
  </si>
  <si>
    <t>8 ID support, new employees-Erika Blanco Davila</t>
  </si>
  <si>
    <t>Solicitud de instalación de aplicación</t>
  </si>
  <si>
    <t>PBG Connection</t>
  </si>
  <si>
    <t>MONSERRAT FLORES</t>
  </si>
  <si>
    <t>Acceso a Moneta AHA SOLUTIONS</t>
  </si>
  <si>
    <t>No puedo subir una factura a MoNETA (si vale)</t>
  </si>
  <si>
    <t>IVA incorrecto - Factura 3010742- PO 4500031852 / PR011816 RAYHSA VALLEJO</t>
  </si>
  <si>
    <t>Access to Adobe Acrobat</t>
  </si>
  <si>
    <t>SANCHES PAREDES, ANAHI</t>
  </si>
  <si>
    <t>Acceso a la aplicación SDD</t>
  </si>
  <si>
    <t>No se encuentran archivos para descargarlos a la red.</t>
  </si>
  <si>
    <t>Conexión de impresora Zebra</t>
  </si>
  <si>
    <t>Solicitud acceso de equipo de computo Proedor MAST-Pruebas para AUDI</t>
  </si>
  <si>
    <t>Cargador de celular de mantenimeinto puebla</t>
  </si>
  <si>
    <t>Ayuda para configurar mis credenciales y poder ingresar mis facturas al portal</t>
  </si>
  <si>
    <t>Víctor Díaz</t>
  </si>
  <si>
    <t>Solicitud de Video</t>
  </si>
  <si>
    <t>FACT 26008 RE: SO-26-0477_THYSSENKRUPP | RE: New Purchase Order Printout 4500031998</t>
  </si>
  <si>
    <t>REGISTRO EN PLATAFORMA</t>
  </si>
  <si>
    <t>Jorge Zepeda Yáñez</t>
  </si>
  <si>
    <t>SOLICITUD DE ALTA A PROXY DE MONETA</t>
  </si>
  <si>
    <t>BASCULAS SANTIAGO</t>
  </si>
  <si>
    <t>Falla con la cámara de laptop en Microsoft Teams</t>
  </si>
  <si>
    <t>AMD BAJA - Wendy</t>
  </si>
  <si>
    <t>Colocar camara logitech</t>
  </si>
  <si>
    <t>Solicitud de apoyo para ingreso al portal - No de Proveedor PR010188</t>
  </si>
  <si>
    <t>Manual Facturas WPO</t>
  </si>
  <si>
    <t>Soporte Impresiones</t>
  </si>
  <si>
    <t>FATURA NO VALIDA POR MONTO-THYSSEN</t>
  </si>
  <si>
    <t>Entrega Laptop (Equipo viejo)</t>
  </si>
  <si>
    <t>Solicitud de soporte para problema de impresión</t>
  </si>
  <si>
    <t>Soporte para movimiento de servidores SITE 1 PPUE</t>
  </si>
  <si>
    <t>REINSTALAR EQUIPOS RFID</t>
  </si>
  <si>
    <t>REVISION DE TONNER (27-03-26)</t>
  </si>
  <si>
    <t>ALTA AMD-Juana Elizabeth</t>
  </si>
  <si>
    <t>Access to Add ins “Analysis”  in PB1 - 8ID 10769348</t>
  </si>
  <si>
    <t>No se tiene acceso a SAI</t>
  </si>
  <si>
    <t>Falla en conexión escritorio remoto.</t>
  </si>
  <si>
    <t>ESCALACION-SIPROCCA-TELEFONO</t>
  </si>
  <si>
    <t>Access to Add ins “Analysis”</t>
  </si>
  <si>
    <t>SMART.225206</t>
  </si>
  <si>
    <t>SMART.225207</t>
  </si>
  <si>
    <t>SMART.225208</t>
  </si>
  <si>
    <t>SMART.225209</t>
  </si>
  <si>
    <t>SMART.225210</t>
  </si>
  <si>
    <t>SMART.225211</t>
  </si>
  <si>
    <t>SMART.225212</t>
  </si>
  <si>
    <t>New Purchase Order Printout 4500032130</t>
  </si>
  <si>
    <t>Aceeso de equipo de computo TECSOL</t>
  </si>
  <si>
    <t>REVISION DE TONNER (31-03-26)</t>
  </si>
  <si>
    <t>VISITA THYSSENKRUPP - VWM</t>
  </si>
  <si>
    <t>Falla en Equipo</t>
  </si>
  <si>
    <t>SMART.225213</t>
  </si>
  <si>
    <t>SMART.225214</t>
  </si>
  <si>
    <t>SMART.225215</t>
  </si>
  <si>
    <t>FACTURA RETENCION 4500</t>
  </si>
  <si>
    <t>Solicitud de instalación de mobisys</t>
  </si>
  <si>
    <t>SMART.225216</t>
  </si>
  <si>
    <t>SMART.225217</t>
  </si>
  <si>
    <t>SMART.225218</t>
  </si>
  <si>
    <t>Habilitación de impresora Zebra</t>
  </si>
  <si>
    <t>Extracción de archivo de PG</t>
  </si>
  <si>
    <t>Configuración de taclado y pantalla</t>
  </si>
  <si>
    <t>SMART.225174</t>
  </si>
  <si>
    <t>SMART.225219</t>
  </si>
  <si>
    <t>Acesso a correo AR Automotive</t>
  </si>
  <si>
    <t>Pineda Sanchez, Eymard</t>
  </si>
  <si>
    <t>SMART.225220</t>
  </si>
  <si>
    <t>IT tips (mes de abril 26 semana 1)</t>
  </si>
  <si>
    <t>SMART.225221</t>
  </si>
  <si>
    <t>SMART.225222</t>
  </si>
  <si>
    <t>SMART.225223</t>
  </si>
  <si>
    <t>SMART.225224</t>
  </si>
  <si>
    <t>SMART.225225</t>
  </si>
  <si>
    <t>SMART.225226</t>
  </si>
  <si>
    <t>SMART.225227</t>
  </si>
  <si>
    <t>SMART.225228</t>
  </si>
  <si>
    <t>SMART.225229</t>
  </si>
  <si>
    <t>SMART.225230</t>
  </si>
  <si>
    <t>SMART.225231</t>
  </si>
  <si>
    <t>SMART.225232</t>
  </si>
  <si>
    <t>Docking no está Cargando la Batería de mi Laptop</t>
  </si>
  <si>
    <t>Monserrat F.</t>
  </si>
  <si>
    <t>New change in folder by update: Monatsupdate 2026-04</t>
  </si>
  <si>
    <t>Víctor Manuel Díaz Silva</t>
  </si>
  <si>
    <t>Acceso impresora</t>
  </si>
  <si>
    <t>NAJERA GARCIA, LUIS DANIEL</t>
  </si>
  <si>
    <t>Edgar Cuautle</t>
  </si>
  <si>
    <t>Crash SAP</t>
  </si>
  <si>
    <t>SOLICITUD DE ACCESO VIERNES 10 ABRIL 2026//KRESTON BSG//PPUE</t>
  </si>
  <si>
    <t>Extracción y envío de archivo en PC RA210</t>
  </si>
  <si>
    <t>Ernestina Cruz Sanchez</t>
  </si>
  <si>
    <t>Solicitud acceso de equipo de computo Proveedor MAST-Pruebas para AUDI</t>
  </si>
  <si>
    <t>Rehabilitación de acceso directo a portal de moneta</t>
  </si>
  <si>
    <t>Ing. Mauricio Arredondo Casias</t>
  </si>
  <si>
    <t>SMART.225233</t>
  </si>
  <si>
    <t>SMART.225234</t>
  </si>
  <si>
    <t>SMART.225235</t>
  </si>
  <si>
    <t>SMART.225236</t>
  </si>
  <si>
    <t>SMART.225237</t>
  </si>
  <si>
    <t>SMART.225238</t>
  </si>
  <si>
    <t>SMART.225239</t>
  </si>
  <si>
    <t>SMART.225240</t>
  </si>
  <si>
    <t>SMART.225241</t>
  </si>
  <si>
    <t>SMART.225242</t>
  </si>
  <si>
    <t>Soporte portal MONETA / Corporativo ESAP</t>
  </si>
  <si>
    <t>Cristian Carmona ESAP</t>
  </si>
  <si>
    <t>Solicitud de Mouse HP inalambrico</t>
  </si>
  <si>
    <t>Instalacion de impresoras</t>
  </si>
  <si>
    <t>Sosa Davila, Elias Cesar</t>
  </si>
  <si>
    <t>Repuesto de cargador</t>
  </si>
  <si>
    <t>Requerimiento PBC TKA Estatutaria Dic24</t>
  </si>
  <si>
    <t>Instalación de Excel Analysis</t>
  </si>
  <si>
    <t>Listado de personal con 8ID (06.04.2026) - Información confidencial</t>
  </si>
  <si>
    <t>invernacion de lap top</t>
  </si>
  <si>
    <t>Extracción de archivos</t>
  </si>
  <si>
    <t>ACCESO A CORREO</t>
  </si>
  <si>
    <t>Blanco Davila, Erika</t>
  </si>
  <si>
    <t>SMART.225243</t>
  </si>
  <si>
    <t>SMART.225244</t>
  </si>
  <si>
    <t>SMART.225245</t>
  </si>
  <si>
    <t>SMART.225246</t>
  </si>
  <si>
    <t>SMART.225247</t>
  </si>
  <si>
    <t>SMART.225249</t>
  </si>
  <si>
    <t>SMART.225250</t>
  </si>
  <si>
    <t>SMART.225251</t>
  </si>
  <si>
    <t>SMART.225252</t>
  </si>
  <si>
    <t>Thyssenkrupp Automotive Systems de México- Facturas_B73050 y B73051</t>
  </si>
  <si>
    <t>Entrega de Equipo Dañado a José Eduardo García López</t>
  </si>
  <si>
    <t>impresiones</t>
  </si>
  <si>
    <t xml:space="preserve">Entrega de Estacion a Karla Vasconcelos </t>
  </si>
  <si>
    <t xml:space="preserve">Permisos de Impresión </t>
  </si>
  <si>
    <t>ESCANEO MENSUAL ABRIL 26 INTERACT</t>
  </si>
  <si>
    <t>ESCANEO MENSUAL ABRIL 26 RACON 1</t>
  </si>
  <si>
    <t>ESCANEO MENSUAL ABRIL 26 RACON 3</t>
  </si>
  <si>
    <t>ESCANEO MENSUAL ABRIL 26 TORAB</t>
  </si>
  <si>
    <t>SMART.225253</t>
  </si>
  <si>
    <t>SMART.225254</t>
  </si>
  <si>
    <t>SMART.225255</t>
  </si>
  <si>
    <t>SMART.225256</t>
  </si>
  <si>
    <t>SMART.225257</t>
  </si>
  <si>
    <t>SMART.225258</t>
  </si>
  <si>
    <t>SMART.225259</t>
  </si>
  <si>
    <t>SMART.225260</t>
  </si>
  <si>
    <t>SMART.225261</t>
  </si>
  <si>
    <t>SMART.225262</t>
  </si>
  <si>
    <t>SMART.225263</t>
  </si>
  <si>
    <t>SMART.225264</t>
  </si>
  <si>
    <t>SMART.225265</t>
  </si>
  <si>
    <t>SMART.225266</t>
  </si>
  <si>
    <t>SMART.225267</t>
  </si>
  <si>
    <t>SMART.225268</t>
  </si>
  <si>
    <t>SMART.225269</t>
  </si>
  <si>
    <t>SMART.225270</t>
  </si>
  <si>
    <t>SMART.225271</t>
  </si>
  <si>
    <t>SMART.225272</t>
  </si>
  <si>
    <t>SMART.225273</t>
  </si>
  <si>
    <t>SMART.225274</t>
  </si>
  <si>
    <t>SMART.225275</t>
  </si>
  <si>
    <t>SMART.225276</t>
  </si>
  <si>
    <t>SMART.225277</t>
  </si>
  <si>
    <t>SMART.225278</t>
  </si>
  <si>
    <t>SMART.225279</t>
  </si>
  <si>
    <t>SMART.225280</t>
  </si>
  <si>
    <t>SMART.225281</t>
  </si>
  <si>
    <t>SMART.225282</t>
  </si>
  <si>
    <t>SMART.225283</t>
  </si>
  <si>
    <t>SMART.225284</t>
  </si>
  <si>
    <t>SMART.225285</t>
  </si>
  <si>
    <t>SMART.225286</t>
  </si>
  <si>
    <t>SMART.225287</t>
  </si>
  <si>
    <t>SMART.225288</t>
  </si>
  <si>
    <t>SMART.225289</t>
  </si>
  <si>
    <t>SMART.225290</t>
  </si>
  <si>
    <t>SMART.225291</t>
  </si>
  <si>
    <t>SMART.225292</t>
  </si>
  <si>
    <t>SMART.225293</t>
  </si>
  <si>
    <t>SMART.225294</t>
  </si>
  <si>
    <t>SMART.225295</t>
  </si>
  <si>
    <t>SMART.225296</t>
  </si>
  <si>
    <t>SMART.225297</t>
  </si>
  <si>
    <t>No se encuentran archivos del sistema productivo</t>
  </si>
  <si>
    <t>SOLICITUD DE ACCESO 13 AL 15 DE ABRIL 2026//KRESTON BSG//PPUE</t>
  </si>
  <si>
    <t>ingreso equipo de computo CURSO ISO 45001</t>
  </si>
  <si>
    <t>ingreso equipo de computo CURSO NEGOCIACION EFECTIVA</t>
  </si>
  <si>
    <t>Listado de dispositivos retirados - PPUE</t>
  </si>
  <si>
    <t>SOLICITUD URGENTE ACCESO VIMA SEGURIDAD PRIVADA</t>
  </si>
  <si>
    <t>actualizacion de portal GTC</t>
  </si>
  <si>
    <t>Ihr TKAGIT Passwort läuft in 1 Tag(en) ab. / Your TKAGIT password will expire in 1 day(s)</t>
  </si>
  <si>
    <t>Equipo para curso 8D´s</t>
  </si>
  <si>
    <t>REVISION DE TONNER (10-04-26)</t>
  </si>
  <si>
    <t>IT tips (mes de abril 26 semana 2)</t>
  </si>
  <si>
    <t>SSC Acceso al programa PDF-Xchange Pro</t>
  </si>
  <si>
    <t>ZOOM</t>
  </si>
  <si>
    <t>Solicitud de Acceso equipo de Computo proveedor  RACON</t>
  </si>
  <si>
    <t>Acceso a Portal - Nugar</t>
  </si>
  <si>
    <t>Mouse Roman SJC</t>
  </si>
  <si>
    <t>instalacion Linkpoint app</t>
  </si>
  <si>
    <t>Karla Vasconcelos</t>
  </si>
  <si>
    <t>Códigos retención IVA -ISR // PR011754  Lilia Romero Aguirre</t>
  </si>
  <si>
    <t>Error en Posteo -MONETA //  PR011718 PLEGMA S.A. DE C.V PO 4500031889</t>
  </si>
  <si>
    <t>Observaciones Recibo Honorarios 1251 // PR011754  Lilia Romero Aguirre PO 4500032205</t>
  </si>
  <si>
    <t>FACTURA MES ABIRL New Purchase Order Printout 4500032205</t>
  </si>
  <si>
    <t>Soprte Acceso de Equipo de computo MCI  Soporte RA130</t>
  </si>
  <si>
    <t>Monitores para Marina</t>
  </si>
  <si>
    <t>Equipo celular</t>
  </si>
  <si>
    <t>New Purchase Order Printout 4500031881</t>
  </si>
  <si>
    <t>Sacar informacion del equipo de Luz Adriana- PRIORIDAD</t>
  </si>
  <si>
    <t>CONTRASEÑA WORK STATION INGENIERIA</t>
  </si>
  <si>
    <t>onboarding de las dos iPads para Shipping Control</t>
  </si>
  <si>
    <t>Factura_B73129</t>
  </si>
  <si>
    <t>Lucia Lopez Lopez</t>
  </si>
  <si>
    <t>factura pendiente de cargar al sistema</t>
  </si>
  <si>
    <t>Alejandra Cruz</t>
  </si>
  <si>
    <t>Hari Krishna</t>
  </si>
  <si>
    <t>SOLICITUD DE ACCESO DE EQUIPO PPUE//MARTES 21 ABRIL//KRESTON BSG</t>
  </si>
  <si>
    <t>Video FS011</t>
  </si>
  <si>
    <t>SMART.225298</t>
  </si>
  <si>
    <t>SMART.225299</t>
  </si>
  <si>
    <t>SMART.225300</t>
  </si>
  <si>
    <t>SMART.225301</t>
  </si>
  <si>
    <t>SMART.225302</t>
  </si>
  <si>
    <t>SMART.225303</t>
  </si>
  <si>
    <t>SMART.225304</t>
  </si>
  <si>
    <t>SMART.225305</t>
  </si>
  <si>
    <t>SMART.225306</t>
  </si>
  <si>
    <t>SMART.225307</t>
  </si>
  <si>
    <t>SMART.225308</t>
  </si>
  <si>
    <t>SMART.225309</t>
  </si>
  <si>
    <t>SMART.225310</t>
  </si>
  <si>
    <t>SMART.225311</t>
  </si>
  <si>
    <t>SMART.225312</t>
  </si>
  <si>
    <t>SMART.225313</t>
  </si>
  <si>
    <t>SMART.225314</t>
  </si>
  <si>
    <t>SMART.225315</t>
  </si>
  <si>
    <t>SMART.225316</t>
  </si>
  <si>
    <t>SMART.225317</t>
  </si>
  <si>
    <t>SMART.225318</t>
  </si>
  <si>
    <t>SMART.225319</t>
  </si>
  <si>
    <t>SMART.225320</t>
  </si>
  <si>
    <t>SMART.225321</t>
  </si>
  <si>
    <t>SMART.225322</t>
  </si>
  <si>
    <t>SMART.225323</t>
  </si>
  <si>
    <t>SMART.225324</t>
  </si>
  <si>
    <t>SMART.225325</t>
  </si>
  <si>
    <t>SMART.225326</t>
  </si>
  <si>
    <t>SMART.225327</t>
  </si>
  <si>
    <t>SMART.225328</t>
  </si>
  <si>
    <t>SMART.225329</t>
  </si>
  <si>
    <t>SMART.225330</t>
  </si>
  <si>
    <t>SMART.225331</t>
  </si>
  <si>
    <t>SMART.225332</t>
  </si>
  <si>
    <t>SMART.225333</t>
  </si>
  <si>
    <t>SMART.225334</t>
  </si>
  <si>
    <t>SMART.225335</t>
  </si>
  <si>
    <t>SMART.225336</t>
  </si>
  <si>
    <t>SMART.225337</t>
  </si>
  <si>
    <t>SMART.225338</t>
  </si>
  <si>
    <t>SMART.225339</t>
  </si>
  <si>
    <t>SMART.225340</t>
  </si>
  <si>
    <t>SMART.225341</t>
  </si>
  <si>
    <t>SMART.225342</t>
  </si>
  <si>
    <t>SMART.225343</t>
  </si>
  <si>
    <t>SMART.225344</t>
  </si>
  <si>
    <t>SMART.225345</t>
  </si>
  <si>
    <t>SMART.225346</t>
  </si>
  <si>
    <t>SMART.225347</t>
  </si>
  <si>
    <t>SMART.225348</t>
  </si>
  <si>
    <t>Relyans Project summary 585033.</t>
  </si>
  <si>
    <t>Admon CodeLand</t>
  </si>
  <si>
    <t>ngreso de proveedor con equipo de computo</t>
  </si>
  <si>
    <t>Avendaño Sanchez, Guillermo Baruch</t>
  </si>
  <si>
    <t>El scroll del mouse no funciona correctamente</t>
  </si>
  <si>
    <t>ACCESO A SAP//</t>
  </si>
  <si>
    <t>Garcia Cruz, Juana</t>
  </si>
  <si>
    <t>Acceso de Equipo de cómputo proveedor CENTJC</t>
  </si>
  <si>
    <t>Acceso Olympo EDD</t>
  </si>
  <si>
    <t>SOLICITUD DE ACCESO A OLYMPUS</t>
  </si>
  <si>
    <t>PROGRAMADO-apoyo para colocar memorias en esxi01 y esxi02 SJC-</t>
  </si>
  <si>
    <t>BORRADO DE-CONFIGURACION DE SCANER</t>
  </si>
  <si>
    <t>acceso a la EDD</t>
  </si>
  <si>
    <t>Actualización/desinstalación de Google Chrome</t>
  </si>
  <si>
    <t>Revisión búhos sala de juntas</t>
  </si>
  <si>
    <t>DESBLOQUEO DE WORK STATION</t>
  </si>
  <si>
    <t>clave de yubikey</t>
  </si>
  <si>
    <t>Problemas con el Outlook y el teams en el Celular</t>
  </si>
  <si>
    <t>ERROR posteo PO 4500032315 PR011703 RILSA 2000 S.A. DE C.V. // MONETA</t>
  </si>
  <si>
    <t>solicitud autocad</t>
  </si>
  <si>
    <t>Garcia Cruz, Juana Elizabeth</t>
  </si>
  <si>
    <t>IT tips (mes de abril 26 semana 3)</t>
  </si>
  <si>
    <t>Video RA080 por incidente</t>
  </si>
  <si>
    <t>SOLICITUD DE ACCESO 23 al 24 DE ABRIL 2026//KRESTON BSG//PPUE</t>
  </si>
  <si>
    <t>Corte de formas y soportes MP-PT | TKA Estatutaria Dic24</t>
  </si>
  <si>
    <t>Alta en SAP</t>
  </si>
  <si>
    <t>No se encuentra carpetas en la red</t>
  </si>
  <si>
    <t>Solicitud ingreso de equipo de computo RACON</t>
  </si>
  <si>
    <t>Acceso laptop visita Gustavo Zarate</t>
  </si>
  <si>
    <t>Error al cargar objetivos</t>
  </si>
  <si>
    <t>IMPRESORA OFICINA LOGISTICA OPERATIVA</t>
  </si>
  <si>
    <t>New Purchase Order Printout 4500032335</t>
  </si>
  <si>
    <t xml:space="preserve">Falla en el envío de mensaje </t>
  </si>
  <si>
    <t>LOPEZ MENDOZA, GERARDO</t>
  </si>
  <si>
    <t xml:space="preserve">Acceso a Olympo -EDD </t>
  </si>
  <si>
    <t>Duda en el promedio de la evaluación</t>
  </si>
  <si>
    <t>apoyo en portal, para poder ingresar la factura FP06-935</t>
  </si>
  <si>
    <t>Solicitud de  programacion de celda en  excel</t>
  </si>
  <si>
    <t>THYSSENKRUPP AUTOMOTIVE SYSTEMS DE MEXICO ABRIL 2026</t>
  </si>
  <si>
    <t>Sandra Aguila Canales</t>
  </si>
  <si>
    <t>Credito Dipsa</t>
  </si>
  <si>
    <t xml:space="preserve">Extracción de archivos PG </t>
  </si>
  <si>
    <t>Sonido en laptop</t>
  </si>
  <si>
    <t>SSC - Actualización versión SAP / production System R21</t>
  </si>
  <si>
    <t>SOLICITUD DE REVISIÓN DE LAP TOP</t>
  </si>
  <si>
    <t>Agregar Sitios de confianza a Opciones de Internet</t>
  </si>
  <si>
    <t>INGRESO A PORTAL OLIMPO</t>
  </si>
  <si>
    <t>CAMBIO DE CORREO</t>
  </si>
  <si>
    <t>Instalación de impresora Printronix T8000</t>
  </si>
  <si>
    <t>SSC - Problema para actualizar mi correo</t>
  </si>
  <si>
    <t>Apoyo técnico: Configuración de Authenticator - Grupo Interact</t>
  </si>
  <si>
    <t>Berenice Romero</t>
  </si>
  <si>
    <t>Solicitud de Acceso al áerea de Finanzas a carpeta de Compras: PO FINANZAS</t>
  </si>
  <si>
    <t>ingreso equipo de computo CURSO SISTEMA LOTO</t>
  </si>
  <si>
    <t>acceso olimpus TR</t>
  </si>
  <si>
    <t>Acceso a we.learn</t>
  </si>
  <si>
    <t>Acceso Olympus - TR</t>
  </si>
  <si>
    <t xml:space="preserve"> RESTAURACION DE EQUIPO</t>
  </si>
  <si>
    <t>SMART.225349</t>
  </si>
  <si>
    <t>SMART.225350</t>
  </si>
  <si>
    <t>SMART.225351</t>
  </si>
  <si>
    <t>SMART.225352</t>
  </si>
  <si>
    <t>SMART.225353</t>
  </si>
  <si>
    <t>SMART.225354</t>
  </si>
  <si>
    <t>SMART.225355</t>
  </si>
  <si>
    <t>SMART.225356</t>
  </si>
  <si>
    <t>SMART.225357</t>
  </si>
  <si>
    <t>SMART.225358</t>
  </si>
  <si>
    <t>SMART.225359</t>
  </si>
  <si>
    <t>SMART.225360</t>
  </si>
  <si>
    <t>SMART.225361</t>
  </si>
  <si>
    <t>SMART.225362</t>
  </si>
  <si>
    <t>SMART.225363</t>
  </si>
  <si>
    <t>SMART.225364</t>
  </si>
  <si>
    <t>SMART.225365</t>
  </si>
  <si>
    <t>SMART.225366</t>
  </si>
  <si>
    <t>SMART.225367</t>
  </si>
  <si>
    <t>SMART.225368</t>
  </si>
  <si>
    <t>SMART.225369</t>
  </si>
  <si>
    <t>SMART.225370</t>
  </si>
  <si>
    <t>SMART.225371</t>
  </si>
  <si>
    <t>SMART.225373</t>
  </si>
  <si>
    <t>SMART.225374</t>
  </si>
  <si>
    <t>SMART.225375</t>
  </si>
  <si>
    <t>SMART.225376</t>
  </si>
  <si>
    <t>SMART.225377</t>
  </si>
  <si>
    <t>SMART.225378</t>
  </si>
  <si>
    <t>SMART.225379</t>
  </si>
  <si>
    <t>SMART.225380</t>
  </si>
  <si>
    <t>SMART.225381</t>
  </si>
  <si>
    <t>SMART.225382</t>
  </si>
  <si>
    <t>SMART.225383</t>
  </si>
  <si>
    <t>SMART.225384</t>
  </si>
  <si>
    <t>SMART.225385</t>
  </si>
  <si>
    <t>SMART.225386</t>
  </si>
  <si>
    <t>Extracción de videos FC020</t>
  </si>
  <si>
    <t>IT tips (mes de abril 26 semana 4)</t>
  </si>
  <si>
    <t>SSC - Acceso a curso</t>
  </si>
  <si>
    <t>SSC - Acceso a querys en SAP</t>
  </si>
  <si>
    <t>Pentest Puebla</t>
  </si>
  <si>
    <t>sin acceso a pagina HISTORICO DE TORQUES</t>
  </si>
  <si>
    <t>Scanner</t>
  </si>
  <si>
    <t>acceso a historico de torques</t>
  </si>
  <si>
    <t>acceso a hal nios</t>
  </si>
  <si>
    <t>acceso  a los atornilladores</t>
  </si>
  <si>
    <t>Revisión de teclado y mouse</t>
  </si>
  <si>
    <t>TICKET FALTA DE CONEXION EN ESCANER</t>
  </si>
  <si>
    <t>Garcia Mases, Felix</t>
  </si>
  <si>
    <t>Apoyo en pasar back up plc a pg 1 de mantto</t>
  </si>
  <si>
    <t>REVISION DE TONNER (27-04-26)</t>
  </si>
  <si>
    <t>Solicitud Acceso de computo Proveedor RACON</t>
  </si>
  <si>
    <t>Problema para actualizar mi correo</t>
  </si>
  <si>
    <t>ACCESO A SHARE POINT//</t>
  </si>
  <si>
    <t>JUANA ELIZABETH GARCIA CRUZ</t>
  </si>
  <si>
    <t>Acceso equipo MAST</t>
  </si>
  <si>
    <t>Correo electronico saturado</t>
  </si>
  <si>
    <t>Solicitud de consulta de acceso a copilot</t>
  </si>
  <si>
    <t>sin acceso a torque trace</t>
  </si>
  <si>
    <t>Ramirez de la Rosa, Mauro</t>
  </si>
  <si>
    <t>Acceso a Torque Trace</t>
  </si>
  <si>
    <t>Huerta Jiménez, Claudia Angélica</t>
  </si>
  <si>
    <t>Extracción de archivos PG</t>
  </si>
  <si>
    <t>EDD - algunos problemas con el portal</t>
  </si>
  <si>
    <t>invited you to collaborate with thyssenkrupp Automotive Technology</t>
  </si>
  <si>
    <t>Finanzas VimaSeguridad</t>
  </si>
  <si>
    <t>Actualización versión SAP / production System R21 - Xicotencatl Castillo, Maria de Jesus Paola</t>
  </si>
  <si>
    <t>Vargas Cacho, Abril shared the folder "OC - Finanzas" with you</t>
  </si>
  <si>
    <t>Extraccion de archivos CMK</t>
  </si>
  <si>
    <t>Romero Carillo, Jose Alfredo</t>
  </si>
  <si>
    <t>Acceso Lap Top</t>
  </si>
  <si>
    <t>Bloqueo del equipo de computo de Juana Elizabeth</t>
  </si>
  <si>
    <t xml:space="preserve">Configuracion de Candado </t>
  </si>
  <si>
    <t>Permiso para accesar a Olympus</t>
  </si>
  <si>
    <t>Solicitud acceso a Olympo</t>
  </si>
  <si>
    <t>JOB</t>
  </si>
  <si>
    <t>SMART.225387</t>
  </si>
  <si>
    <t>SMART.225388</t>
  </si>
  <si>
    <t>SMART.225389</t>
  </si>
  <si>
    <t>SMART.225390</t>
  </si>
  <si>
    <t>SMART.225391</t>
  </si>
  <si>
    <t>SMART.225392</t>
  </si>
  <si>
    <t>SMART.225393</t>
  </si>
  <si>
    <t>SMART.225394</t>
  </si>
  <si>
    <t>SMART.225395</t>
  </si>
  <si>
    <t>SMART.225396</t>
  </si>
  <si>
    <t>SMART.225397</t>
  </si>
  <si>
    <t>SMART.225398</t>
  </si>
  <si>
    <t>SMART.225399</t>
  </si>
  <si>
    <t>SMART.225400</t>
  </si>
  <si>
    <t>SMART.225401</t>
  </si>
  <si>
    <t>SMART.225402</t>
  </si>
  <si>
    <t>SMART.225403</t>
  </si>
  <si>
    <t>SMART.225404</t>
  </si>
  <si>
    <t>SMART.225405</t>
  </si>
  <si>
    <t>SMART.225406</t>
  </si>
  <si>
    <t>SMART.225407</t>
  </si>
  <si>
    <t>SMART.225408</t>
  </si>
  <si>
    <t>SMART.225409</t>
  </si>
  <si>
    <t>SMART.225410</t>
  </si>
  <si>
    <t>SMART.225411</t>
  </si>
  <si>
    <t>SMART.225412</t>
  </si>
  <si>
    <t>SMART.225413</t>
  </si>
  <si>
    <t>SMART.225414</t>
  </si>
  <si>
    <t>SMART.225415</t>
  </si>
  <si>
    <t>SMART.225416</t>
  </si>
  <si>
    <t>SMART.225417</t>
  </si>
  <si>
    <t>SMART.225418</t>
  </si>
  <si>
    <t>SMART.225419</t>
  </si>
  <si>
    <t>SMART.225420</t>
  </si>
  <si>
    <t>SMART.225421</t>
  </si>
  <si>
    <t>SMART.225422</t>
  </si>
  <si>
    <t>SMART.225423</t>
  </si>
  <si>
    <t>SMART.225424</t>
  </si>
  <si>
    <t>SMART.225425</t>
  </si>
  <si>
    <t>SMART.225426</t>
  </si>
  <si>
    <t>SMART.225427</t>
  </si>
  <si>
    <t>SMART.225428</t>
  </si>
  <si>
    <t>SMART.225429</t>
  </si>
  <si>
    <t>SMART.225430</t>
  </si>
  <si>
    <t>SMART.225431</t>
  </si>
  <si>
    <t>SMART.225432</t>
  </si>
  <si>
    <t>SMART.225433</t>
  </si>
  <si>
    <t>Telefono SSC</t>
  </si>
  <si>
    <t>exportación de información-Transacción XK03</t>
  </si>
  <si>
    <t>SIN Acceso a EDD</t>
  </si>
  <si>
    <t>Acceso a Directorios de Red | TCK64408 // 10787319</t>
  </si>
  <si>
    <t>Acceso a Directorios de Red | TCK64408</t>
  </si>
  <si>
    <t>Password.-Olympo</t>
  </si>
  <si>
    <t>EDD Calidad SJC 2026</t>
  </si>
  <si>
    <t>Evaluaciones de desempeño</t>
  </si>
  <si>
    <t>Acceso a Olympus-TR</t>
  </si>
  <si>
    <t>ticket olympo</t>
  </si>
  <si>
    <t>Cortes López, Miguel Ángel</t>
  </si>
  <si>
    <t>Solicitud de forma independiente</t>
  </si>
  <si>
    <t>Alvaro Lopez Ramiro</t>
  </si>
  <si>
    <t>Raul Muñoz Garcia</t>
  </si>
  <si>
    <t>sin acceso a evaluación Olympo</t>
  </si>
  <si>
    <t>FALLA REGISTRO OLIMPO</t>
  </si>
  <si>
    <t>Solicitud de forma independiente Gilberto Francisco Herrera Montes</t>
  </si>
  <si>
    <t>Liga olimpues evaluación de desempeño 2025-2026</t>
  </si>
  <si>
    <t>Acceso a Olimpo para EDD</t>
  </si>
  <si>
    <t>EDD FW: captura de evaluacion de Guillermo</t>
  </si>
  <si>
    <t>SMART.225434</t>
  </si>
  <si>
    <t>SMART.225435</t>
  </si>
  <si>
    <t>SMART.225436</t>
  </si>
  <si>
    <t>SMART.225437</t>
  </si>
  <si>
    <t>SMART.225438</t>
  </si>
  <si>
    <t>SMART.225439</t>
  </si>
  <si>
    <t>SMART.225440</t>
  </si>
  <si>
    <t>SMART.225441</t>
  </si>
  <si>
    <t>SMART.225442</t>
  </si>
  <si>
    <t>SMART.225443</t>
  </si>
  <si>
    <t>SMART.225444</t>
  </si>
  <si>
    <t>SMART.225445</t>
  </si>
  <si>
    <t>SMART.225446</t>
  </si>
  <si>
    <t>SMART.225447</t>
  </si>
  <si>
    <t>SMART.225448</t>
  </si>
  <si>
    <t>SMART.225449</t>
  </si>
  <si>
    <t>SMART.225450</t>
  </si>
  <si>
    <t>SMART.225451</t>
  </si>
  <si>
    <t>SMART.225452</t>
  </si>
  <si>
    <t>SMART.225453</t>
  </si>
  <si>
    <t>SMART.225454</t>
  </si>
  <si>
    <t>SMART.225455</t>
  </si>
  <si>
    <t>SMART.225458</t>
  </si>
  <si>
    <t>SMART.225459</t>
  </si>
  <si>
    <t>SMART.225460</t>
  </si>
  <si>
    <t>SMART.225461</t>
  </si>
  <si>
    <t>SMART.225462</t>
  </si>
  <si>
    <t>SMART.225463</t>
  </si>
  <si>
    <t>SMART.225464</t>
  </si>
  <si>
    <t>SMART.225465</t>
  </si>
  <si>
    <t>SMART.225466</t>
  </si>
  <si>
    <t>SMART.225467</t>
  </si>
  <si>
    <t>SMART.225468</t>
  </si>
  <si>
    <t>SMART.225469</t>
  </si>
  <si>
    <t>SMART.225470</t>
  </si>
  <si>
    <t>SMART.225471</t>
  </si>
  <si>
    <t>SMART.225472</t>
  </si>
  <si>
    <t>SMART.225473</t>
  </si>
  <si>
    <t>SMART.225474</t>
  </si>
  <si>
    <t>SMART.225475</t>
  </si>
  <si>
    <t>SMART.225476</t>
  </si>
  <si>
    <t>SMART.225477</t>
  </si>
  <si>
    <t>SMART.225478</t>
  </si>
  <si>
    <t>SMART.225479</t>
  </si>
  <si>
    <t>SMART.225480</t>
  </si>
  <si>
    <t>SMART.225481</t>
  </si>
  <si>
    <t>SMART.225482</t>
  </si>
  <si>
    <t>SMART.225483</t>
  </si>
  <si>
    <t>SMART.225484</t>
  </si>
  <si>
    <t>SMART.225485</t>
  </si>
  <si>
    <t>SMART.225486</t>
  </si>
  <si>
    <t>SMART.225487</t>
  </si>
  <si>
    <t>SMART.225488</t>
  </si>
  <si>
    <t>SMART.225489</t>
  </si>
  <si>
    <t>SMART.225490</t>
  </si>
  <si>
    <t>SMART.225491</t>
  </si>
  <si>
    <t>SMART.225492</t>
  </si>
  <si>
    <t>SMART.225493</t>
  </si>
  <si>
    <t>SMART.225494</t>
  </si>
  <si>
    <t>SMART.225496</t>
  </si>
  <si>
    <t>Tarjetas de proximidad Control de acceso</t>
  </si>
  <si>
    <t>Soporte para acceso al LINK a evaluación de desempeño</t>
  </si>
  <si>
    <t>IT tips (mes de mayo 26 semana 1)</t>
  </si>
  <si>
    <t>SMART.225497</t>
  </si>
  <si>
    <t>SMART.225498</t>
  </si>
  <si>
    <t>SMART.225499</t>
  </si>
  <si>
    <t>SMART.225500</t>
  </si>
  <si>
    <t>SMART.225501</t>
  </si>
  <si>
    <t>SMART.225502</t>
  </si>
  <si>
    <t>SMART.225503</t>
  </si>
  <si>
    <t>SMART.225504</t>
  </si>
  <si>
    <t>SMART.225505</t>
  </si>
  <si>
    <t>SMART.225506</t>
  </si>
  <si>
    <t>SMART.225507</t>
  </si>
  <si>
    <t>SMART.225509</t>
  </si>
  <si>
    <t>SMART.225510</t>
  </si>
  <si>
    <t>SMART.225511</t>
  </si>
  <si>
    <t>SMART.225512</t>
  </si>
  <si>
    <t>Apoyo con contraseña SAP</t>
  </si>
  <si>
    <t>Instalación de monitor Workstation</t>
  </si>
  <si>
    <t>Error al Conectar al servidor</t>
  </si>
  <si>
    <t>EDD - primer semestre ('25/'26) - su apoyo por favor</t>
  </si>
  <si>
    <t>EDD en Olympus</t>
  </si>
  <si>
    <t>Advertencia! Error en sequencia detectado!!!</t>
  </si>
  <si>
    <t>Apoyo con evaluación  no disponible</t>
  </si>
  <si>
    <t>ZSCALER NO ESTA ACTIVO</t>
  </si>
  <si>
    <t>Acceso a Olympo FR</t>
  </si>
  <si>
    <t>New Purchase Order Printout 4500032212</t>
  </si>
  <si>
    <t>Video RA010</t>
  </si>
  <si>
    <t>Revisión correo electrónico</t>
  </si>
  <si>
    <t>Visita AS</t>
  </si>
  <si>
    <t>AMD BAJA - SSC</t>
  </si>
  <si>
    <t>SOLICITUD DE ACCESO MARTES 12 DE MAYO 2026//KRESTON BSG//PPUE</t>
  </si>
  <si>
    <t>Acceso a autoCAD y Solidworks</t>
  </si>
  <si>
    <t>New password SAP</t>
  </si>
  <si>
    <t>Error para abrir la aplicación Google Chrome</t>
  </si>
  <si>
    <t>Acesso a correo AR Dynamics</t>
  </si>
  <si>
    <t>PAGOS</t>
  </si>
  <si>
    <t>PORTAL</t>
  </si>
  <si>
    <t xml:space="preserve">acceso  a los atornilladores </t>
  </si>
  <si>
    <t>Ticket Desbloqueo Equipo</t>
  </si>
  <si>
    <t>Díaz Violante, Irving Neptali</t>
  </si>
  <si>
    <t>Ticket de inicio  de sesión</t>
  </si>
  <si>
    <t>Equipo Bloqueado</t>
  </si>
  <si>
    <t>Soporte con laptop</t>
  </si>
  <si>
    <t>Acceso Netforge</t>
  </si>
  <si>
    <t>DAÑO EN EL CARGADOR LAPTOP</t>
  </si>
  <si>
    <t>Listado de personal con 8ID (05.05.2026) - Información confidencial</t>
  </si>
  <si>
    <t>Note from your Power Platform Admin: Your employees have stale Power Platform objects</t>
  </si>
  <si>
    <t>Solicitud de acceso equipo de cómputo</t>
  </si>
  <si>
    <t>sin impresion en la impresora  05</t>
  </si>
  <si>
    <t>ACCESO NEGADO AL APLICATIVO CELERE COMMERCE EN EQUIPO VIRTUAL</t>
  </si>
  <si>
    <t>Laptop bloqueada</t>
  </si>
  <si>
    <t>Bloqueo en PC</t>
  </si>
  <si>
    <t>Desbloquedo de PC - Servicio Médico</t>
  </si>
  <si>
    <t>Inicio de sesión elitedesk</t>
  </si>
  <si>
    <t>Instalacion de software</t>
  </si>
  <si>
    <t>Soporte en lineas de Golf (IPC)</t>
  </si>
  <si>
    <t>BITLOCKER COMPUTADORA ALEXANDRA</t>
  </si>
  <si>
    <t>equipo de computo mo funciona</t>
  </si>
  <si>
    <t>REVISION DE TONNER (08-05-26)</t>
  </si>
  <si>
    <t>Microfono laptop funcionamiento intermitente</t>
  </si>
  <si>
    <t>Auditoria  Finsa 19-20-21 Mayo</t>
  </si>
  <si>
    <t>Apoyo urgente para permiso de acceso de equipo computo KAUFEN</t>
  </si>
  <si>
    <t>Requisición cargador para celular</t>
  </si>
  <si>
    <t>BLOQUEO ELITEDESK</t>
  </si>
  <si>
    <t>no se imprimen los documentos que envio</t>
  </si>
  <si>
    <t>sin servicio en las computadoras de calidad</t>
  </si>
  <si>
    <t>CAMARA DE SEGURIDAD DE  CUARENTENA</t>
  </si>
  <si>
    <t>falla equipo de mantto</t>
  </si>
  <si>
    <t>Solicitud de usuario Programador</t>
  </si>
  <si>
    <t>Solicitud de acceso</t>
  </si>
  <si>
    <t>ESCANEO MENSUAL MAYO 26 INTERACT</t>
  </si>
  <si>
    <t>ESCANEO MENSUAL MAYO 26 RACON 1</t>
  </si>
  <si>
    <t>ESCANEO MENSUAL MAYO 26 RACON 3</t>
  </si>
  <si>
    <t>ESCANEO MENSUAL MAYO 26-TORAB</t>
  </si>
  <si>
    <t>SOLICITD DE ALTA EN PROXY MONETA-MARIA</t>
  </si>
  <si>
    <t>REGINA ZURITA</t>
  </si>
  <si>
    <t>IT tips (mes de mayo 26 semana 2)</t>
  </si>
  <si>
    <t>Mensaje Pc</t>
  </si>
  <si>
    <t>Proveedor PR011370 - OC 4500032492 no se puede cargar a Moneta</t>
  </si>
  <si>
    <t>Baja AMD de Alexa</t>
  </si>
  <si>
    <t>Refacturaciones 108299 y 108298 THYSSENKRUPP AUTOMOTIVE SYSTEMS DE MEXICO y solicitud de accesos de portal</t>
  </si>
  <si>
    <t>Candados SJC</t>
  </si>
  <si>
    <t>PRESTAMO LAPTOP</t>
  </si>
  <si>
    <t>Desbloqueo de equipo de computo</t>
  </si>
  <si>
    <t>RE: Solicitud de acceso de equipo de cómputo</t>
  </si>
  <si>
    <t>Movimiento de archivo a PG</t>
  </si>
  <si>
    <t>alejandra Franco</t>
  </si>
  <si>
    <t>Revisión Trimestral de batería Candados PPUE</t>
  </si>
  <si>
    <t>Restauracion desktop</t>
  </si>
  <si>
    <t>Solicitud de reestablecimiento de contraseña en equipo celular</t>
  </si>
  <si>
    <t>Bloqueo de PC Taller de Mantenimiento PSJC</t>
  </si>
  <si>
    <t>Martín Guerrero Minjares</t>
  </si>
  <si>
    <t>ERROR FUSOR IMPRESORA PSJC</t>
  </si>
  <si>
    <t>PO45000315504</t>
  </si>
  <si>
    <t>Acceso a Camara de Comedor</t>
  </si>
  <si>
    <t>PO 4500032492</t>
  </si>
  <si>
    <t>Thyssenkrupp Automotive Systems de México,- Factura_B73715</t>
  </si>
  <si>
    <t>Equipo para personal provisional</t>
  </si>
  <si>
    <t>REVISION DE TONNER (15-05-26)</t>
  </si>
  <si>
    <t>CAMBIO DE EQUIPO</t>
  </si>
  <si>
    <t>Contraseña del usuario atadmin</t>
  </si>
  <si>
    <t>SMART.225513</t>
  </si>
  <si>
    <t>AMD 10787074 - Abril Vargas Cacho</t>
  </si>
  <si>
    <t>SMART.225514</t>
  </si>
  <si>
    <t>AMD Claudia Angelica Candia Sanchez 10792037</t>
  </si>
  <si>
    <t>SMART.225515</t>
  </si>
  <si>
    <t>SMART.225516</t>
  </si>
  <si>
    <t>SMART.225517</t>
  </si>
  <si>
    <t>SMART.225518</t>
  </si>
  <si>
    <t>SMART.225519</t>
  </si>
  <si>
    <t>SMART.225520</t>
  </si>
  <si>
    <t>SMART.225521</t>
  </si>
  <si>
    <t>SMART.225522</t>
  </si>
  <si>
    <t>SMART.225523</t>
  </si>
  <si>
    <t>SMART.225524</t>
  </si>
  <si>
    <t>SMART.225525</t>
  </si>
  <si>
    <t>SMART.225526</t>
  </si>
  <si>
    <t>SMART.225527</t>
  </si>
  <si>
    <t>SMART.225528</t>
  </si>
  <si>
    <t>SMART.225529</t>
  </si>
  <si>
    <t>SMART.225530</t>
  </si>
  <si>
    <t>SMART.225531</t>
  </si>
  <si>
    <t>SMART.225532</t>
  </si>
  <si>
    <t>SMART.225533</t>
  </si>
  <si>
    <t>SMART.225534</t>
  </si>
  <si>
    <t>SMART.225535</t>
  </si>
  <si>
    <t>SMART.225536</t>
  </si>
  <si>
    <t>SMART.225537</t>
  </si>
  <si>
    <t>SMART.225538</t>
  </si>
  <si>
    <t>EQUIPO DE PRESTAMO PARA TRASLAPE DE NAYELI</t>
  </si>
  <si>
    <t>AMD ALTA KARLA GRISELDA CARRETO ARMENTA</t>
  </si>
  <si>
    <t>Bloqueo de equipo supervisores</t>
  </si>
  <si>
    <t>Soporte para enviar archivos pesados</t>
  </si>
  <si>
    <t>Bloqueo Bitlocker en PC del taller de mantenimiento PSJC</t>
  </si>
  <si>
    <t>RESETEO DE CONTRASEÑA    SAP    10381218</t>
  </si>
  <si>
    <t>IT tips (mes de mayo 26 semana 3)</t>
  </si>
  <si>
    <t>Fori Quote RE: RFP Assembly Q7 - Due Date Submission</t>
  </si>
  <si>
    <t>ERRORES TKLINK</t>
  </si>
  <si>
    <t>Accesos portal portal Proxy de MoNETA</t>
  </si>
  <si>
    <t>Soporte Impresora Oficinas Adminitrativas</t>
  </si>
  <si>
    <t>IMPRESORA LOGISTICA</t>
  </si>
  <si>
    <t>Ticket para movimiento de archivo a PGS de mantenimiento PSJC</t>
  </si>
  <si>
    <t>solicitud impresora</t>
  </si>
  <si>
    <t>Equipo celular Eduardo García</t>
  </si>
  <si>
    <t>Error 403</t>
  </si>
  <si>
    <t>New Purchase Order Printout 4500032611</t>
  </si>
  <si>
    <t>Sitio en mantenimiento</t>
  </si>
  <si>
    <t>Acceso a Google para acceso a portales clientes</t>
  </si>
  <si>
    <t>equipo bloquedado Svision</t>
  </si>
  <si>
    <t>Error en carga de factura de si vale (tarjetas reposicion) - mayo 2026</t>
  </si>
  <si>
    <t>SMART.225539</t>
  </si>
  <si>
    <t>SMART.225540</t>
  </si>
  <si>
    <t>SMART.225541</t>
  </si>
  <si>
    <t>SMART.225542</t>
  </si>
  <si>
    <t>SMART.225543</t>
  </si>
  <si>
    <t>SMART.225544</t>
  </si>
  <si>
    <t>SMART.225545</t>
  </si>
  <si>
    <t>SMART.225546</t>
  </si>
  <si>
    <t>SMART.225547</t>
  </si>
  <si>
    <t>SMART.225548</t>
  </si>
  <si>
    <t>SMART.225549</t>
  </si>
  <si>
    <t>SMART.225550</t>
  </si>
  <si>
    <t>SMART.225551</t>
  </si>
  <si>
    <t>SMART.225552</t>
  </si>
  <si>
    <t>SMART.225553</t>
  </si>
  <si>
    <t>SMART.225554</t>
  </si>
  <si>
    <t>FAC. 40165 - OP 41591 THYSSENKRUPP AUTOMOTIVE SYSTEMS DE MEXICO (SAN JOSE CHIAPA)</t>
  </si>
  <si>
    <t>falla de equipo Svision</t>
  </si>
  <si>
    <t>SMART.225555</t>
  </si>
  <si>
    <t>SMART.225556</t>
  </si>
  <si>
    <t>SMART.225557</t>
  </si>
  <si>
    <t>SMART.225558</t>
  </si>
  <si>
    <t>SMART.225559</t>
  </si>
  <si>
    <t>SMART.225560</t>
  </si>
  <si>
    <t>SMART.225561</t>
  </si>
  <si>
    <t>SMART.225562</t>
  </si>
  <si>
    <t>SMART.225563</t>
  </si>
  <si>
    <t>SMART.225564</t>
  </si>
  <si>
    <t>SMART.225565</t>
  </si>
  <si>
    <t>SMART.225566</t>
  </si>
  <si>
    <t>SMART.225567</t>
  </si>
  <si>
    <t>SMART.225568</t>
  </si>
  <si>
    <t>SMART.225569</t>
  </si>
  <si>
    <t>SMART.225570</t>
  </si>
  <si>
    <t>SMART.225571</t>
  </si>
  <si>
    <t>SMART.225572</t>
  </si>
  <si>
    <t>SMART.225573</t>
  </si>
  <si>
    <t>SMART.225575</t>
  </si>
  <si>
    <t>SMART.225576</t>
  </si>
  <si>
    <t>SMART.225577</t>
  </si>
  <si>
    <t>SMART.225578</t>
  </si>
  <si>
    <t>SMART.225579</t>
  </si>
  <si>
    <t>SMART.225580</t>
  </si>
  <si>
    <t>SMART.225581</t>
  </si>
  <si>
    <t>SMART.225582</t>
  </si>
  <si>
    <t>SMART.225583</t>
  </si>
  <si>
    <t>SMART.225585</t>
  </si>
  <si>
    <t>SMART.225587</t>
  </si>
  <si>
    <t>SMART.225588</t>
  </si>
  <si>
    <t>SMART.225589</t>
  </si>
  <si>
    <t>SMART.225590</t>
  </si>
  <si>
    <t>SMART.225591</t>
  </si>
  <si>
    <t>SMART.225592</t>
  </si>
  <si>
    <t>SMART.225593</t>
  </si>
  <si>
    <t>SMART.225594</t>
  </si>
  <si>
    <t>SMART.225595</t>
  </si>
  <si>
    <t>SMART.225596</t>
  </si>
  <si>
    <t>SMART.225597</t>
  </si>
  <si>
    <t>SMART.225598</t>
  </si>
  <si>
    <t>SMART.225599</t>
  </si>
  <si>
    <t>SMART.225600</t>
  </si>
  <si>
    <t>SMART.225601</t>
  </si>
  <si>
    <t>SMART.225602</t>
  </si>
  <si>
    <t>SMART.225603</t>
  </si>
  <si>
    <t>SMART.225604</t>
  </si>
  <si>
    <t>SMART.225605</t>
  </si>
  <si>
    <t>SMART.225606</t>
  </si>
  <si>
    <t>SMART.225607</t>
  </si>
  <si>
    <t>SMART.225608</t>
  </si>
  <si>
    <t>SMART.225609</t>
  </si>
  <si>
    <t>SMART.225610</t>
  </si>
  <si>
    <t>SMART.225611</t>
  </si>
  <si>
    <t>SMART.225612</t>
  </si>
  <si>
    <t>SMART.225613</t>
  </si>
  <si>
    <t>Revision de celular pantalla rota</t>
  </si>
  <si>
    <t>Computadora</t>
  </si>
  <si>
    <t>impresora SJC</t>
  </si>
  <si>
    <t>Infromación de proveedor permanenetre INTERACT</t>
  </si>
  <si>
    <t>Computadora de programadores bloqueada</t>
  </si>
  <si>
    <t>New Purchase Order Printout 4500032651</t>
  </si>
  <si>
    <t>Toner para impresora de RH PSJC</t>
  </si>
  <si>
    <t>CORREO Y PAQUETERIA OFFICE EN IDIOMA ESPAÑOL</t>
  </si>
  <si>
    <t>García Cruz Juana Elizabeth</t>
  </si>
  <si>
    <t>Computadora calidad bloqueda.</t>
  </si>
  <si>
    <t>FLORES, MARTINEZ, RICARDO</t>
  </si>
  <si>
    <t>REVISION DE TONNER (22-05-26)</t>
  </si>
  <si>
    <t>Investigación inventario</t>
  </si>
  <si>
    <t>Solicitud de extracción de carpeta</t>
  </si>
  <si>
    <t>SMART.225614</t>
  </si>
  <si>
    <t>SMART.225615</t>
  </si>
  <si>
    <t>SMART.225616</t>
  </si>
  <si>
    <t>SMART.225617</t>
  </si>
  <si>
    <t>SMART.225618</t>
  </si>
  <si>
    <t>SMART.225619</t>
  </si>
  <si>
    <t>SMART.225620</t>
  </si>
  <si>
    <t>SMART.225621</t>
  </si>
  <si>
    <t>SMART.225622</t>
  </si>
  <si>
    <t>SMART.225623</t>
  </si>
  <si>
    <t>SMART.225624</t>
  </si>
  <si>
    <t>SMART.225625</t>
  </si>
  <si>
    <t>SMART.225626</t>
  </si>
  <si>
    <t>SMART.225627</t>
  </si>
  <si>
    <t>SMART.225628</t>
  </si>
  <si>
    <t>SMART.225629</t>
  </si>
  <si>
    <t>SMART.225630</t>
  </si>
  <si>
    <t>SMART.225631</t>
  </si>
  <si>
    <t>SMART.225632</t>
  </si>
  <si>
    <t>SMART.225633</t>
  </si>
  <si>
    <t>SMART.225634</t>
  </si>
  <si>
    <t>SMART.225635</t>
  </si>
  <si>
    <t>SMART.225636</t>
  </si>
  <si>
    <t>SMART.225637</t>
  </si>
  <si>
    <t>SMART.225638</t>
  </si>
  <si>
    <t>SMART.225639</t>
  </si>
  <si>
    <t>SMART.225640</t>
  </si>
  <si>
    <t>SMART.225641</t>
  </si>
  <si>
    <t>SMART.225642</t>
  </si>
  <si>
    <t>SMART.225643</t>
  </si>
  <si>
    <t>SMART.225644</t>
  </si>
  <si>
    <t>SMART.225645</t>
  </si>
  <si>
    <t>SMART.225646</t>
  </si>
  <si>
    <t>SMART.225647</t>
  </si>
  <si>
    <t>SMART.225648</t>
  </si>
  <si>
    <t>SMART.225649</t>
  </si>
  <si>
    <t>SMART.225650</t>
  </si>
  <si>
    <t>SMART.225651</t>
  </si>
  <si>
    <t>SMART.225652</t>
  </si>
  <si>
    <t>SMART.225653</t>
  </si>
  <si>
    <t>SMART.225654</t>
  </si>
  <si>
    <t>SMART.225655</t>
  </si>
  <si>
    <t>SMART.225656</t>
  </si>
  <si>
    <t>SMART.225657</t>
  </si>
  <si>
    <t>SMART.225658</t>
  </si>
  <si>
    <t>SMART.225659</t>
  </si>
  <si>
    <t>SMART.225661</t>
  </si>
  <si>
    <t>SMART.225662</t>
  </si>
  <si>
    <t>SMART.225663</t>
  </si>
  <si>
    <t>SMART.225664</t>
  </si>
  <si>
    <t>SMART.225665</t>
  </si>
  <si>
    <t>SMART.225666</t>
  </si>
  <si>
    <t>Extracción de archivo computadora RA240</t>
  </si>
  <si>
    <t>IT tips (mes de mayo 26 semana 4)</t>
  </si>
  <si>
    <t>Ingreso y password sap</t>
  </si>
  <si>
    <t>Candia Sanchez, Claudia Angelica</t>
  </si>
  <si>
    <t>CAMBIO DE DRUM PRINTER OFICINAS</t>
  </si>
  <si>
    <t>Solicitud de extracción de información</t>
  </si>
  <si>
    <t>CAMBIO DE EQUIPO POR BLOQUEO (SOPORTE SEIEN)</t>
  </si>
  <si>
    <t>PROBLEMA DE IMPRESION</t>
  </si>
  <si>
    <t>Ingreso a SAP</t>
  </si>
  <si>
    <t>Extracción de datos de scrap</t>
  </si>
  <si>
    <t>Localizar  equipos</t>
  </si>
  <si>
    <t>Consulta sobre correos CITI</t>
  </si>
  <si>
    <t>Asignar equipo celular a Gustavo</t>
  </si>
  <si>
    <t>CAMBIO DE EQUIPO POR BLOQUEO</t>
  </si>
  <si>
    <t>CAMBIO DE EQUIPO POR BLOQUEO TC1</t>
  </si>
  <si>
    <t>CAMBIO DE EQUIPO POR BLOQUEO TC2</t>
  </si>
  <si>
    <t>mouse</t>
  </si>
  <si>
    <t>Pantalla bloqueada.</t>
  </si>
  <si>
    <t>Acceso a equipo asignado coordinadores de producción</t>
  </si>
  <si>
    <t>Computadora bloqueada</t>
  </si>
  <si>
    <t>SMART.225667</t>
  </si>
  <si>
    <t>SMART.225668</t>
  </si>
  <si>
    <t>SMART.225669</t>
  </si>
  <si>
    <t>SMART.225670</t>
  </si>
  <si>
    <t>SMART.225671</t>
  </si>
  <si>
    <t>SMART.225672</t>
  </si>
  <si>
    <t>SMART.225673</t>
  </si>
  <si>
    <t>SMART.225674</t>
  </si>
  <si>
    <t>SMART.225675</t>
  </si>
  <si>
    <t>SMART.225676</t>
  </si>
  <si>
    <t>Problemas para entrar al portal moneta</t>
  </si>
  <si>
    <t>CARLOS ALEJANDRO NAVA</t>
  </si>
  <si>
    <t>Prestamo de laptop para curso Core Tools</t>
  </si>
  <si>
    <t>Extraccion de archivos RA210</t>
  </si>
  <si>
    <t>Extraccion de archivos de PG</t>
  </si>
  <si>
    <t>Actualización Equipo Svision</t>
  </si>
  <si>
    <t>Bloqueo de PC en taller de mantenimiento PSJC</t>
  </si>
  <si>
    <t>BARRIENTOS MARTINEZ, JOSE PEDRO</t>
  </si>
  <si>
    <t>Contraseña de Office</t>
  </si>
  <si>
    <t>Contraseña correo</t>
  </si>
  <si>
    <t>Desbloqueo de cpu</t>
  </si>
  <si>
    <t>Prestamo de equipo para inducción</t>
  </si>
  <si>
    <t>Incidente(video)</t>
  </si>
  <si>
    <t>Accesos equipo Dokkan</t>
  </si>
  <si>
    <t>ACCESO VISITA VWM</t>
  </si>
  <si>
    <t>Archivos de scrap IMPACT</t>
  </si>
  <si>
    <t>PC de Servicio Médico</t>
  </si>
  <si>
    <t>PC de Seguridad Patrimonial</t>
  </si>
  <si>
    <t>SMART.225677</t>
  </si>
  <si>
    <t>Ingreso de equipo de cómputo Siemens</t>
  </si>
  <si>
    <t>Equipo Adicional de RACON</t>
  </si>
  <si>
    <t>recuperacion informacion</t>
  </si>
  <si>
    <t>AMD BAJA Constantino Vazquez T.</t>
  </si>
  <si>
    <t>REVISION DE TONNER (29-05-26)</t>
  </si>
  <si>
    <t>FACTURA  FP3576  ///// PEDIDO 3323 ///:</t>
  </si>
  <si>
    <t>ACTUALIZACION DE DATOS EN MONETA // MAURICIO SAMANIEGO ESPINOSA</t>
  </si>
  <si>
    <t>Error al subir factura a Moneta</t>
  </si>
  <si>
    <t>Computadora de oficina de calidad bloqueada.</t>
  </si>
  <si>
    <t>IT tips (mes de junio 26 semana 1)</t>
  </si>
  <si>
    <t>Cambio de touchscreen</t>
  </si>
  <si>
    <t>Pantalla bloqueada</t>
  </si>
  <si>
    <t>Acceso Equipo Karla Vasconcelos</t>
  </si>
  <si>
    <t>SMART.225678</t>
  </si>
  <si>
    <t>SMART.225679</t>
  </si>
  <si>
    <t>SMART.225680</t>
  </si>
  <si>
    <t>SMART.225681</t>
  </si>
  <si>
    <t>SMART.225682</t>
  </si>
  <si>
    <t>SMART.225683</t>
  </si>
  <si>
    <t>SMART.225684</t>
  </si>
  <si>
    <t>VERIFICACION DE CELULAR Y PRESTAMO DE UNO</t>
  </si>
  <si>
    <t>PO 4500032421 PR011911 JENNY SARAHI NAZARIO</t>
  </si>
  <si>
    <t>PO 4500025320 PR011361 HEWLETT PACKARD OPERATIONS</t>
  </si>
  <si>
    <t>PO 4500031504 PR011919 CORPORATIVO ESAP</t>
  </si>
  <si>
    <t>PO 4500032376 PR011828 UNIVERSIDAD TECNOLO</t>
  </si>
  <si>
    <t>INVESTIGACION DE REQUISITOS PARA EL USO DE AZURE STORAGE</t>
  </si>
  <si>
    <t>MARINA GARCIA TORRES.</t>
  </si>
  <si>
    <t>Activación Spinfire</t>
  </si>
  <si>
    <t>Bloqueo de PC</t>
  </si>
  <si>
    <t>Deacbloqueo de equipo logistica</t>
  </si>
  <si>
    <t>ESCANEO MENSUAL JUNIO 26 INTERACT</t>
  </si>
  <si>
    <t>ESCANEO MENSUAL JUNIO 26 RACON 1</t>
  </si>
  <si>
    <t>ESCANEO MENSUAL JUNIO 26 RACON 3</t>
  </si>
  <si>
    <t>ESCANEO MENSUAL JUNIO 26 TORAB</t>
  </si>
  <si>
    <t>PO 4500032588 PR011714 Alberto Isaac Ramírez Sánchez</t>
  </si>
  <si>
    <t>APOYO FACTURA FP3549 Y FP3514</t>
  </si>
  <si>
    <t>Problemas con abrir SAP</t>
  </si>
  <si>
    <t>Activación Solidworks</t>
  </si>
  <si>
    <t>BITLOCKER-PPUE/PSJC-EQUIPOS</t>
  </si>
  <si>
    <t>SOLICITUD DE ACCESO VIERNES 5 JUNIO 2026//KRESTON BSG//PPUE</t>
  </si>
  <si>
    <t>IT - Tóner</t>
  </si>
  <si>
    <t>PRÉSTAMO LAPTOP</t>
  </si>
  <si>
    <t>Equipo de computo</t>
  </si>
  <si>
    <t>Carpeta desaparecida</t>
  </si>
  <si>
    <t>Acceso a TK ASM para Salvador Nieves</t>
  </si>
  <si>
    <t>Desinstalar Solidworks laptop</t>
  </si>
  <si>
    <t>Error Abrir Archivos Solidworks</t>
  </si>
  <si>
    <t>Problema con impresora</t>
  </si>
  <si>
    <t>ACTUALIZACIÓN CORE TOOLS</t>
  </si>
  <si>
    <t>Impresora secuenciados puebla</t>
  </si>
  <si>
    <t>ASAP-actualizacion RVS SJC</t>
  </si>
  <si>
    <t>Problemas con archivo lay out</t>
  </si>
  <si>
    <t>Acceso a EDD</t>
  </si>
  <si>
    <t>ACTUALIZACION DE CORREO DE CONTACTO  PORTAL  MONETA</t>
  </si>
  <si>
    <t>Recepción y cambio de monitor en oficina de calidad</t>
  </si>
  <si>
    <t>Bloqueo de páginas</t>
  </si>
  <si>
    <t>Solicitud de acceso de equipo de cómputo</t>
  </si>
  <si>
    <t>PO 4500032492  HELMUT ULRICH LUDWIG</t>
  </si>
  <si>
    <t>PO 4500032672 JENNY SARAHI NAZARIO</t>
  </si>
  <si>
    <t>8ID Apprentice-Alta AMD</t>
  </si>
  <si>
    <t>SMART.225685</t>
  </si>
  <si>
    <t>SMART.225686</t>
  </si>
  <si>
    <t>SMART.225687</t>
  </si>
  <si>
    <t>SMART.225688</t>
  </si>
  <si>
    <t>SMART.225689</t>
  </si>
  <si>
    <t>SMART.225690</t>
  </si>
  <si>
    <t>SMART.225691</t>
  </si>
  <si>
    <t>SMART.225692</t>
  </si>
  <si>
    <t>SMART.225693</t>
  </si>
  <si>
    <t>SMART.225694</t>
  </si>
  <si>
    <t>SMART.225695</t>
  </si>
  <si>
    <t>SMART.225696</t>
  </si>
  <si>
    <t>SMART.225697</t>
  </si>
  <si>
    <t>SMART.225698</t>
  </si>
  <si>
    <t>SMART.225699</t>
  </si>
  <si>
    <t>Listado de personal con 8ID (04.06.2026) - Información confidencial</t>
  </si>
  <si>
    <t>Descarga de datos para CPKS</t>
  </si>
  <si>
    <t>ACs portatiles</t>
  </si>
  <si>
    <t xml:space="preserve">Supplier PR010835 Sistemas de Control y Automatización Neumática S.A de C.V-Automotive Systems de Mexico </t>
  </si>
  <si>
    <t>Accounts Payable</t>
  </si>
  <si>
    <t>Olympo evaluaciones</t>
  </si>
  <si>
    <t>REVISION DE TONNER (05-06-26)</t>
  </si>
  <si>
    <t>Instalación de Chrome</t>
  </si>
  <si>
    <t>Cambio de ups SJC- ASAP</t>
  </si>
  <si>
    <t>Solicitud de alta a Proxy de MONETA”  -Supplier PR010835</t>
  </si>
  <si>
    <t>Salustia Palacios</t>
  </si>
  <si>
    <t>IT tips (mes de junio 26 semana 2)</t>
  </si>
  <si>
    <t>Creación de correo electrónico</t>
  </si>
  <si>
    <t>PDF24 CREATOR</t>
  </si>
  <si>
    <t>Ingreso Dokkan</t>
  </si>
  <si>
    <t>Curso App zoom</t>
  </si>
  <si>
    <t>Equipo bloqueado</t>
  </si>
  <si>
    <t>pg 23634</t>
  </si>
  <si>
    <t>Revison activacion de windows PG</t>
  </si>
  <si>
    <t>Imagenes en correo electronico.</t>
  </si>
  <si>
    <t>Bloqueo de PC PSJC Mantto</t>
  </si>
  <si>
    <t>informacion de PG's</t>
  </si>
  <si>
    <t>Password SAP</t>
  </si>
  <si>
    <t>IT Tips</t>
  </si>
  <si>
    <t>PR011920 ALUTEX IMAGEN // DUDA DE QR</t>
  </si>
  <si>
    <t>4500031180 PR010099  Grupo Interact S.A. de C.V.</t>
  </si>
  <si>
    <t>SSC-ALTA AMD</t>
  </si>
  <si>
    <t>LUIS HIRIAM PEREZ RAMOS</t>
  </si>
  <si>
    <t>ANA SOFIA JARA HERNANDEZ</t>
  </si>
  <si>
    <t>MARIEL ARANZA ESPAÑA AGUILAR</t>
  </si>
  <si>
    <t>SMART.225700</t>
  </si>
  <si>
    <t>SMART.225701</t>
  </si>
  <si>
    <t>SMART.225702</t>
  </si>
  <si>
    <t>SMART.225703</t>
  </si>
  <si>
    <t>SMART.225704</t>
  </si>
  <si>
    <t>SMART.225705</t>
  </si>
  <si>
    <t>SMART.225706</t>
  </si>
  <si>
    <t>SMART.225707</t>
  </si>
  <si>
    <t>SMART.225708</t>
  </si>
  <si>
    <t>SMART.225709</t>
  </si>
  <si>
    <t>SMART.225710</t>
  </si>
  <si>
    <t>SMART.225711</t>
  </si>
  <si>
    <t>SMART.225712</t>
  </si>
  <si>
    <t>SMART.225713</t>
  </si>
  <si>
    <t>SMART.225714</t>
  </si>
  <si>
    <t>SMART.225715</t>
  </si>
  <si>
    <t>SMART.225716</t>
  </si>
  <si>
    <t>SMART.225717</t>
  </si>
  <si>
    <t>SMART.225718</t>
  </si>
  <si>
    <t>SMART.225719</t>
  </si>
  <si>
    <t>SMART.225720</t>
  </si>
  <si>
    <t>SMART.225721</t>
  </si>
  <si>
    <t>SMART.225722</t>
  </si>
  <si>
    <t>SMART.225723</t>
  </si>
  <si>
    <t>SMART.225724</t>
  </si>
  <si>
    <t>SMART.225725</t>
  </si>
  <si>
    <t>SMART.225726</t>
  </si>
  <si>
    <t>SMART.225727</t>
  </si>
  <si>
    <t>SMART.225728</t>
  </si>
  <si>
    <t>SMART.225729</t>
  </si>
  <si>
    <t>SMART.225730</t>
  </si>
  <si>
    <t>SMART.225731</t>
  </si>
  <si>
    <t>SMART.225732</t>
  </si>
  <si>
    <t>SMART.225733</t>
  </si>
  <si>
    <t>SMART.225734</t>
  </si>
  <si>
    <t>SMART.225735</t>
  </si>
  <si>
    <t>SMART.225736</t>
  </si>
  <si>
    <t>SMART.225737</t>
  </si>
  <si>
    <t>Soporte equipo movil</t>
  </si>
  <si>
    <t>EQUIPO DE Bloqueo de impresora - Shared Services</t>
  </si>
  <si>
    <t>Problema de sincronización en correo electrónico</t>
  </si>
  <si>
    <t>PO 45000325588  PR011714 Alberto Isaac Ramírez Sánchez</t>
  </si>
  <si>
    <t>No se reciben correo de un contacto en especifico</t>
  </si>
  <si>
    <t>Re instalar la impresora de RH</t>
  </si>
  <si>
    <t>Amenza el defender Laptop Jazmin</t>
  </si>
  <si>
    <t>Movimeintos Puebla sona impresoras</t>
  </si>
  <si>
    <t>Acrtualizacion RVS PPUE</t>
  </si>
  <si>
    <t>Actualizacion Chrome</t>
  </si>
  <si>
    <t>REVISION DE TONNER (12-06-26)</t>
  </si>
  <si>
    <t>Pc de oficina de calidad bloqueada</t>
  </si>
  <si>
    <t>Solicitud para eliminar correos DAMPER</t>
  </si>
  <si>
    <t>Acceso a correo de CAMSHAFTS</t>
  </si>
  <si>
    <t>Codigo de acceso</t>
  </si>
  <si>
    <t>IT tips (mes de junio 26 semana 3)</t>
  </si>
  <si>
    <t>Reinicio de conputadora</t>
  </si>
  <si>
    <t>SMART.225738</t>
  </si>
  <si>
    <t>SMART.225739</t>
  </si>
  <si>
    <t>SMART.225740</t>
  </si>
  <si>
    <t>SMART.225741</t>
  </si>
  <si>
    <t>SMART.225742</t>
  </si>
  <si>
    <t>SMART.225743</t>
  </si>
  <si>
    <t>SMART.225744</t>
  </si>
  <si>
    <t>Desbloqueo de sesión</t>
  </si>
  <si>
    <t xml:space="preserve"> Paula Lopez  ID10769348 DAÑO PANTALLA</t>
  </si>
  <si>
    <t>ASAP-Revisar biometrico operativo 2</t>
  </si>
  <si>
    <t>FW: Registro de escaneo de rodamiento</t>
  </si>
  <si>
    <t>Soporte LAP TOP Compatir pantalla</t>
  </si>
  <si>
    <t>Falla Docking Escritorio #12</t>
  </si>
  <si>
    <t>Acceso a indicadores</t>
  </si>
  <si>
    <t>PR011685 FACTURAS THYSSENKRUPP AUTOMOTIVE</t>
  </si>
  <si>
    <t>Karla Lizet Castillo Palafox</t>
  </si>
  <si>
    <t>Asignar speaker</t>
  </si>
  <si>
    <t>Cancelación de factura</t>
  </si>
  <si>
    <t>ALEJANDRO PÉREZ SALAZAR</t>
  </si>
  <si>
    <t>Contraloría VimaSeguridad</t>
  </si>
  <si>
    <t>Laptop</t>
  </si>
  <si>
    <t>Garza Calvillo, Enrique Salomon</t>
  </si>
  <si>
    <t>Activacion TOTP</t>
  </si>
  <si>
    <t>error en pagina de cursos</t>
  </si>
  <si>
    <t>Perez Ramos, Luis Hiram</t>
  </si>
  <si>
    <t>Alta de AMD</t>
  </si>
  <si>
    <t>MONSERRAT MARTINEZ CORDERO</t>
  </si>
  <si>
    <t>TOMAS MAGNO PEREZ LORANCA</t>
  </si>
  <si>
    <t>CORREO  accounts.payable@thyssenkruppautomotive.com</t>
  </si>
  <si>
    <t>Accounts Payable tkAS Mexico</t>
  </si>
  <si>
    <t>Bloqueo Pc mantenimiento</t>
  </si>
  <si>
    <t>ACCESO EQUIPO KAUFEN-ASAP</t>
  </si>
  <si>
    <t>Restauración de PG</t>
  </si>
  <si>
    <t>SMART.225745</t>
  </si>
  <si>
    <t>SMART.225746</t>
  </si>
  <si>
    <t>SMART.225747</t>
  </si>
  <si>
    <t>SMART.225748</t>
  </si>
  <si>
    <t>SMART.225749</t>
  </si>
  <si>
    <t>SMART.225750</t>
  </si>
  <si>
    <t>SMART.225751</t>
  </si>
  <si>
    <t>SMART.225752</t>
  </si>
  <si>
    <t>SMART.225753</t>
  </si>
  <si>
    <t>SMART.225754</t>
  </si>
  <si>
    <t>SMART.225755</t>
  </si>
  <si>
    <t>SMART.225756</t>
  </si>
  <si>
    <t>SMART.225757</t>
  </si>
  <si>
    <t>SMART.225758</t>
  </si>
  <si>
    <t>SMART.225759</t>
  </si>
  <si>
    <t>SMART.225760</t>
  </si>
  <si>
    <t>SMART.225761</t>
  </si>
  <si>
    <t>SMART.225762</t>
  </si>
  <si>
    <t>SMART.225763</t>
  </si>
  <si>
    <t>SMART.225764</t>
  </si>
  <si>
    <t>SMART.225765</t>
  </si>
  <si>
    <t>SMART.225766</t>
  </si>
  <si>
    <t>SMART.225767</t>
  </si>
  <si>
    <t>SMART.225768</t>
  </si>
  <si>
    <t>SMART.225769</t>
  </si>
  <si>
    <t>SMART.225770</t>
  </si>
  <si>
    <t>SMART.225771</t>
  </si>
  <si>
    <t>SMART.225772</t>
  </si>
  <si>
    <t>Instalacion de equipo Dokkan</t>
  </si>
  <si>
    <t>Equipo pausado</t>
  </si>
  <si>
    <t>ALTA PROVEEDOR PERMANENTE QUALOX</t>
  </si>
  <si>
    <t>ACCESO A QLIK</t>
  </si>
  <si>
    <t>Carreto Armenta, Karla Griselda</t>
  </si>
  <si>
    <t>Revision de candados SJC</t>
  </si>
  <si>
    <t>PO 4500032207 SI VALE</t>
  </si>
  <si>
    <t>Salida de Camara Logitech</t>
  </si>
  <si>
    <t>ERROR AL CARGAR FACTURA</t>
  </si>
  <si>
    <t>Desbloqueo de kiosco RH Producción</t>
  </si>
  <si>
    <t>Acceso a Olimpo</t>
  </si>
  <si>
    <t>REVISION DE TONNER (19-06-26)</t>
  </si>
  <si>
    <t>Solicitud de app Online Sampling (BeOn) en B2B</t>
  </si>
  <si>
    <t>SMART.225773</t>
  </si>
  <si>
    <t>SMART.225774</t>
  </si>
  <si>
    <t>SMART.225775</t>
  </si>
  <si>
    <t>SMART.225776</t>
  </si>
  <si>
    <t>SMART.225777</t>
  </si>
  <si>
    <t>SMART.225778</t>
  </si>
  <si>
    <t>SMART.225779</t>
  </si>
  <si>
    <t>SMART.225780</t>
  </si>
  <si>
    <t>SMART.225781</t>
  </si>
  <si>
    <t>SMART.225782</t>
  </si>
  <si>
    <t>SMART.225783</t>
  </si>
  <si>
    <t>SMART.225784</t>
  </si>
  <si>
    <t>SMART.225785</t>
  </si>
  <si>
    <t>SMART.225786</t>
  </si>
  <si>
    <t>SMART.225787</t>
  </si>
  <si>
    <t>SMART.225788</t>
  </si>
  <si>
    <t>SMART.225789</t>
  </si>
  <si>
    <t>SMART.225790</t>
  </si>
  <si>
    <t>SMART.225791</t>
  </si>
  <si>
    <t>SMART.225792</t>
  </si>
  <si>
    <t>SMART.225793</t>
  </si>
  <si>
    <t>SMART.225794</t>
  </si>
  <si>
    <t>SMART.225795</t>
  </si>
  <si>
    <t>SMART.225796</t>
  </si>
  <si>
    <t>SMART.225797</t>
  </si>
  <si>
    <t>SMART.225798</t>
  </si>
  <si>
    <t>SMART.225799</t>
  </si>
  <si>
    <t>SMART.225800</t>
  </si>
  <si>
    <t>SMART.225801</t>
  </si>
  <si>
    <t>SMART.225802</t>
  </si>
  <si>
    <t>IT tips (mes de junio 26 semana 4)</t>
  </si>
  <si>
    <t>Transferencia de licencia - Lexicom - Stellantis</t>
  </si>
  <si>
    <t>Stellantis-Pineda Sanchez, Eymard</t>
  </si>
  <si>
    <t>PAMELA JAZMIN SANCHEZ DIAZ</t>
  </si>
  <si>
    <t>EMIL SUCAR BADIN</t>
  </si>
  <si>
    <t>PAOLA HERNANDEZ MADRID</t>
  </si>
  <si>
    <t>PROBLEMAS CON INICIO DE SECION - PORTAL MONETA</t>
  </si>
  <si>
    <t>Laura Cisneros</t>
  </si>
  <si>
    <t>Acceso a Puebla de Netforge</t>
  </si>
  <si>
    <t>PO 4500032214 MEXABAT</t>
  </si>
  <si>
    <t>RECEPCION DE TELEFONOS</t>
  </si>
  <si>
    <t>Video cuarentena</t>
  </si>
  <si>
    <t>Error en SAP</t>
  </si>
  <si>
    <t>instalacion de software keyence</t>
  </si>
  <si>
    <t>Configuracion IPC RG010 Jitcats</t>
  </si>
  <si>
    <t>Equipo de computo bloqueado.</t>
  </si>
  <si>
    <t>Acceso RFID equipo de computo</t>
  </si>
  <si>
    <t>DOCUMENTACION ALTA PROVEEDOR NETSYS</t>
  </si>
  <si>
    <t>Ingreso equipo de computo.</t>
  </si>
  <si>
    <t>Asistencia en PPue</t>
  </si>
  <si>
    <t>SMART.225803</t>
  </si>
  <si>
    <t>SMART.225804</t>
  </si>
  <si>
    <t>SMART.225805</t>
  </si>
  <si>
    <t>SMART.225806</t>
  </si>
  <si>
    <t>SMART.225807</t>
  </si>
  <si>
    <t>SMART.225808</t>
  </si>
  <si>
    <t>SMART.225809</t>
  </si>
  <si>
    <t>SMART.225810</t>
  </si>
  <si>
    <t>SMART.225811</t>
  </si>
  <si>
    <t>SMART.225812</t>
  </si>
  <si>
    <t>SMART.225813</t>
  </si>
  <si>
    <t>SMART.225814</t>
  </si>
  <si>
    <t>SMART.225815</t>
  </si>
  <si>
    <t>SMART.225816</t>
  </si>
  <si>
    <t>SMART.225817</t>
  </si>
  <si>
    <t>SMART.225818</t>
  </si>
  <si>
    <t>SMART.225819</t>
  </si>
  <si>
    <t>SMART.225820</t>
  </si>
  <si>
    <t>SMART.225821</t>
  </si>
  <si>
    <t>SMART.225822</t>
  </si>
  <si>
    <t>SMART.225823</t>
  </si>
  <si>
    <t>SMART.225824</t>
  </si>
  <si>
    <t>SMART.225825</t>
  </si>
  <si>
    <t>SMART.225826</t>
  </si>
  <si>
    <t>SMART.225827</t>
  </si>
  <si>
    <t>SMART.225828</t>
  </si>
  <si>
    <t>SMART.225829</t>
  </si>
  <si>
    <t>SMART.225830</t>
  </si>
  <si>
    <t>SMART.225831</t>
  </si>
  <si>
    <t>SMART.225832</t>
  </si>
  <si>
    <t>SMART.225836</t>
  </si>
  <si>
    <t>SMART.225837</t>
  </si>
  <si>
    <t>SMART.225838</t>
  </si>
  <si>
    <t>SMART.225839</t>
  </si>
  <si>
    <t>SMART.225840</t>
  </si>
  <si>
    <t>SMART.225841</t>
  </si>
  <si>
    <t>SMART.225842</t>
  </si>
  <si>
    <t>SMART.225843</t>
  </si>
  <si>
    <t>SMART.225844</t>
  </si>
  <si>
    <t>SMART.225845</t>
  </si>
  <si>
    <t>SMART.225846</t>
  </si>
  <si>
    <t>SMART.225847</t>
  </si>
  <si>
    <t>SMART.225848</t>
  </si>
  <si>
    <t>SMART.225849</t>
  </si>
  <si>
    <t>SMART.225850</t>
  </si>
  <si>
    <t>SMART.225851</t>
  </si>
  <si>
    <t>SMART.225852</t>
  </si>
  <si>
    <t>SMART.225853</t>
  </si>
  <si>
    <t>SMART.225854</t>
  </si>
  <si>
    <t>Llave de acceso a equipo de cómputo de coordinadores de producción</t>
  </si>
  <si>
    <t>Ojeda Juarez, Octavio</t>
  </si>
  <si>
    <t>Desbloqueó BitLocker</t>
  </si>
  <si>
    <t>Equipo de computo del área de logistica</t>
  </si>
  <si>
    <t>Reinicio de monitor programadores</t>
  </si>
  <si>
    <t>Ingreso de equipo de proveedor</t>
  </si>
  <si>
    <t>Bloqueo de Pc</t>
  </si>
  <si>
    <t>Activación licencia Spinfire</t>
  </si>
  <si>
    <t>Equipo bloquedo</t>
  </si>
  <si>
    <t>AutoCAD PSJC</t>
  </si>
  <si>
    <t>Ayuda con moneta Error al cargar factura</t>
  </si>
  <si>
    <t>SOLICITUD DE ALTA EN PROXY MONETA</t>
  </si>
  <si>
    <t>SADIE VIVEROS</t>
  </si>
  <si>
    <t>Asignación de iPhone 14</t>
  </si>
  <si>
    <t>BLOQUEO EQUIPO</t>
  </si>
  <si>
    <t>Ana Patricia</t>
  </si>
  <si>
    <t>KAS 0587 user password reset request</t>
  </si>
  <si>
    <t>Acceso a cuenta de apple</t>
  </si>
  <si>
    <t>Sala principal - nuevo sistema de audio</t>
  </si>
  <si>
    <t>Cargador para CPU</t>
  </si>
  <si>
    <t>Acceso interact</t>
  </si>
  <si>
    <t>HABILITAR APP POWER BI</t>
  </si>
  <si>
    <t>SOLICITUD DE ACCESO JUEVES 25 JUNIO 2026//KRESTON BSG//PPUE</t>
  </si>
  <si>
    <t>Problemas de conexión SSC</t>
  </si>
  <si>
    <t>Estudios pendientes</t>
  </si>
  <si>
    <t>New work items in your Workflow inbox</t>
  </si>
  <si>
    <t>Karina Morales S</t>
  </si>
  <si>
    <t>Instalacion Power BI</t>
  </si>
  <si>
    <t>ANALISIS DE DATOS CON POWER BI</t>
  </si>
  <si>
    <t>Asignar iphone 16 Pro Max a CFO</t>
  </si>
  <si>
    <t>Desbloqueo PC</t>
  </si>
  <si>
    <t>BLOQUEO DE EQUIPO</t>
  </si>
  <si>
    <t>REVISION DE TONNER (26-06-26)</t>
  </si>
  <si>
    <t>Facturación TKA: Viajes especiales en 5 Ton del 19 Mayo</t>
  </si>
  <si>
    <t>Solicitud de desbloqueó Bitlocker</t>
  </si>
  <si>
    <t>Desbloqueo Bitlocker de PC del taller de mantenimiento PSJC</t>
  </si>
  <si>
    <t>Contraseña para computadora</t>
  </si>
  <si>
    <t>Macros</t>
  </si>
  <si>
    <t>PO 4500032214 MEXABAT-CASTILLO CONTRERAS, LAURA</t>
  </si>
  <si>
    <t>SMART.225855</t>
  </si>
  <si>
    <t>SMART.225856</t>
  </si>
  <si>
    <t>SMART.225857</t>
  </si>
  <si>
    <t>SMART.225858</t>
  </si>
  <si>
    <t>SMART.225859</t>
  </si>
  <si>
    <t>SMART.225860</t>
  </si>
  <si>
    <t>SMART.225861</t>
  </si>
  <si>
    <t>SMART.225862</t>
  </si>
  <si>
    <t>SMART.225863</t>
  </si>
  <si>
    <t>SMART.225864</t>
  </si>
  <si>
    <t>SMART.225865</t>
  </si>
  <si>
    <t>SMART.225866</t>
  </si>
  <si>
    <t>SMART.225867</t>
  </si>
  <si>
    <t>Información de personal SIPS - CURSO - 29 Y 30 JUNIO 2026- Información de personal SIPS - CURSO - 29 Y 30 JUNIO 2026</t>
  </si>
  <si>
    <t>Restablecimiento  de maquina PG2 Puebla</t>
  </si>
  <si>
    <t>ENTREGA DE EQUIPO PARA SAN MIGUEL</t>
  </si>
  <si>
    <t>IT tips (mes de julio 26 semana 1)</t>
  </si>
  <si>
    <t>Solicitud de extracción de reportes</t>
  </si>
  <si>
    <t>Descarga de datos de scrap</t>
  </si>
  <si>
    <t>Descarga de Archivo</t>
  </si>
  <si>
    <t>Armando</t>
  </si>
  <si>
    <t>No visualizacion de Carpetas Canal Teams</t>
  </si>
  <si>
    <t>Bloqueo Bitlocker</t>
  </si>
  <si>
    <t>no acceso al portal olimpo</t>
  </si>
  <si>
    <t>PR011061 DHL SUPPLY CHAIN AUTOMOTIVE MEXICO</t>
  </si>
  <si>
    <t>Saturacion cuenta Damper</t>
  </si>
  <si>
    <t>FACTURA FP3691-ERROR DE SUBTOTAL</t>
  </si>
  <si>
    <t>Entrega de equipo - admin</t>
  </si>
  <si>
    <t>SMART.225868</t>
  </si>
  <si>
    <t>SMART.225869</t>
  </si>
  <si>
    <t>SMART.225870</t>
  </si>
  <si>
    <t>SMART.225871</t>
  </si>
  <si>
    <t>SMART.225872</t>
  </si>
  <si>
    <t>SMART.225873</t>
  </si>
  <si>
    <t>SMART.225874</t>
  </si>
  <si>
    <t>SMART.225875</t>
  </si>
  <si>
    <t>SMART.225876</t>
  </si>
  <si>
    <t>SMART.225877</t>
  </si>
  <si>
    <t>SMART.225878</t>
  </si>
  <si>
    <t>SMART.225879</t>
  </si>
  <si>
    <t>SMART.225880</t>
  </si>
  <si>
    <t>SMART.225881</t>
  </si>
  <si>
    <t>SMART.225882</t>
  </si>
  <si>
    <t>SMART.225883</t>
  </si>
  <si>
    <t>SMART.225884</t>
  </si>
  <si>
    <t>SMART.225885</t>
  </si>
  <si>
    <t>SMART.225886</t>
  </si>
  <si>
    <t>SMART.225887</t>
  </si>
  <si>
    <t>SMART.225888</t>
  </si>
  <si>
    <t>SMART.225889</t>
  </si>
  <si>
    <t>SMART.225890</t>
  </si>
  <si>
    <t>SMART.225891</t>
  </si>
  <si>
    <t>SMART.225892</t>
  </si>
  <si>
    <t>SMART.225893</t>
  </si>
  <si>
    <t>SMART.225894</t>
  </si>
  <si>
    <t>SMART.225895</t>
  </si>
  <si>
    <t>SMART.225896</t>
  </si>
  <si>
    <t>SMART.225897</t>
  </si>
  <si>
    <t>SMART.225898</t>
  </si>
  <si>
    <t>SMART.225899</t>
  </si>
  <si>
    <t>SMART.225900</t>
  </si>
  <si>
    <t>SMART.225901</t>
  </si>
  <si>
    <t>SMART.225902</t>
  </si>
  <si>
    <t>SMART.225903</t>
  </si>
  <si>
    <t>SMART.225904</t>
  </si>
  <si>
    <t>SMART.225905</t>
  </si>
  <si>
    <t>SMART.225906</t>
  </si>
  <si>
    <t>ERROR DE FECHA-4500032593</t>
  </si>
  <si>
    <t>FATIMA LOZADA</t>
  </si>
  <si>
    <t>JOSUE GALINDO</t>
  </si>
  <si>
    <t>OSCAR MARTINEZ</t>
  </si>
  <si>
    <t>ACCESO TELEFONO MOVIL</t>
  </si>
  <si>
    <t>Vicente Martell SanMartin</t>
  </si>
  <si>
    <t>RECEPCION DE TELEFONOS (SEGUNDA REMESA)</t>
  </si>
  <si>
    <t>Revision laptop Calidad SJC</t>
  </si>
  <si>
    <t>Solicitud de monitor</t>
  </si>
  <si>
    <t>Clave de acceso SAP</t>
  </si>
  <si>
    <t>Solicitud de acceso B2B VW</t>
  </si>
  <si>
    <t>solicitud de USB</t>
  </si>
  <si>
    <t>Mireya Gomez</t>
  </si>
  <si>
    <t>busqueda de apple tv</t>
  </si>
  <si>
    <t>MARIANA ZURITA</t>
  </si>
  <si>
    <t>MARIA FALFAN</t>
  </si>
  <si>
    <t>JESUS HERNADEZ</t>
  </si>
  <si>
    <t>Solicitud de acceso a IAS para pruebas en entorno SAP</t>
  </si>
  <si>
    <t>PROBLEMA EQUIPO DE CÓMPUTO- LAPTOP</t>
  </si>
  <si>
    <t>Espana Aguilar, Mariel Aranza</t>
  </si>
  <si>
    <t>Problema de pantalla congelada</t>
  </si>
  <si>
    <t>Sanchez Diaz, Pamela Jazmin</t>
  </si>
  <si>
    <t>REVISION DE TONNER (03-07-26)</t>
  </si>
  <si>
    <t>ESCANEO MENSUAL JULIO 26 INTERACT</t>
  </si>
  <si>
    <t>ESCANEO MENSUAL JULIO 26 RACON 1</t>
  </si>
  <si>
    <t>ESCANEO MENSUAL JULIO 26 RACON 2</t>
  </si>
  <si>
    <t>ESCANEO MENSUAL JULIO 26 RACON 3</t>
  </si>
  <si>
    <t>ESCANEO MENSUAL JULIO 26 TORAB</t>
  </si>
  <si>
    <t>ESCANEO MENSUAL JULIO 26 CODELAND 1</t>
  </si>
  <si>
    <t>ESCANEO MENSUAL JULIO 26 CODELAND 2</t>
  </si>
  <si>
    <t>IT tips mes de julio 26 semana 2)</t>
  </si>
  <si>
    <t>ACCESO A EQUIPOS DE COMPUTO EN "SALA DE COMPUTO"</t>
  </si>
  <si>
    <t>Acceso a carpetas compartidas</t>
  </si>
  <si>
    <t>Zurita Mac Farland, Mariana</t>
  </si>
  <si>
    <t>Desbloqueó Bitlocker</t>
  </si>
  <si>
    <t>DUNS: 812674984, deactivation of your user profile for the ONE.Group Business Platform of the Volkswagen AG</t>
  </si>
  <si>
    <t>Desbloqueo PC mantenimiento PSJC</t>
  </si>
  <si>
    <t>Extracción de backup</t>
  </si>
  <si>
    <t>soporte PG2</t>
  </si>
  <si>
    <t>soporte PG1</t>
  </si>
  <si>
    <t>Solicitud de contraseña</t>
  </si>
  <si>
    <t>VAZQUEZ VALENCIA, ANGEL</t>
  </si>
  <si>
    <t>Se requiere asistencia con Microsoft Authenticator para acceder al portal.</t>
  </si>
  <si>
    <t>Hari Krishna, G</t>
  </si>
  <si>
    <t>reinicio de pc</t>
  </si>
  <si>
    <t>Acceso equipo tsystems</t>
  </si>
  <si>
    <t>PRUEBAS CELULARES</t>
  </si>
  <si>
    <t>José Luis Merlo Cazares</t>
  </si>
  <si>
    <t>Listado de personal con 8ID (07.07.2026) - Información confidencial</t>
  </si>
  <si>
    <t>activación de TOTP</t>
  </si>
  <si>
    <t>SMART.225907</t>
  </si>
  <si>
    <t>SMART.225908</t>
  </si>
  <si>
    <t>SMART.225909</t>
  </si>
  <si>
    <t>SMART.225910</t>
  </si>
  <si>
    <t>SMART.225911</t>
  </si>
  <si>
    <t>SMART.225912</t>
  </si>
  <si>
    <t>SMART.225913</t>
  </si>
  <si>
    <t>SMART.225914</t>
  </si>
  <si>
    <t>SMART.225915</t>
  </si>
  <si>
    <t>SMART.225916</t>
  </si>
  <si>
    <t>SMART.225917</t>
  </si>
  <si>
    <t>SMART.225918</t>
  </si>
  <si>
    <t>SMART.225919</t>
  </si>
  <si>
    <t>Cambio Movil Supervisores Logistica</t>
  </si>
  <si>
    <t>ENTREGA DE MOVIL</t>
  </si>
  <si>
    <t>BLOQUEO SAP DAMPER</t>
  </si>
  <si>
    <t>Access to shared files</t>
  </si>
  <si>
    <t>Hernandez Estrada, Jesus</t>
  </si>
  <si>
    <t>Email Automotive Systems de Mexico - Accounts Receivable Access</t>
  </si>
  <si>
    <t>Badin, Emil Sucar</t>
  </si>
  <si>
    <t>Email Components Technology Mexico-Dynamics Accounts Receivable Access</t>
  </si>
  <si>
    <t>SMART.225920</t>
  </si>
  <si>
    <t>SMART.225921</t>
  </si>
  <si>
    <t>SMART.225922</t>
  </si>
  <si>
    <t>SMART.225923</t>
  </si>
  <si>
    <t>SMART.225924</t>
  </si>
  <si>
    <t>SMART.225925</t>
  </si>
  <si>
    <t>SMART.225926</t>
  </si>
  <si>
    <t>Problemas equipo de computo</t>
  </si>
  <si>
    <t>Accesos portal portal Proxy de MoNETA (solicitud de manual)</t>
  </si>
  <si>
    <t>Descarga de Navegador Chrome</t>
  </si>
  <si>
    <t>Instalacion de programa LiteShow</t>
  </si>
  <si>
    <t>Revision de conexiones slaa da juntas principal puebla</t>
  </si>
  <si>
    <t>Access we.net credentials</t>
  </si>
  <si>
    <t>SMART.225927</t>
  </si>
  <si>
    <t>SMART.225928</t>
  </si>
  <si>
    <t>SMART.225929</t>
  </si>
  <si>
    <t>SMART.225930</t>
  </si>
  <si>
    <t>SMART.225931</t>
  </si>
  <si>
    <t>SMART.225932</t>
  </si>
  <si>
    <t>SMART.225934</t>
  </si>
  <si>
    <t>SMART.225936</t>
  </si>
  <si>
    <t>SMART.225938</t>
  </si>
  <si>
    <t>SMART.225939</t>
  </si>
  <si>
    <t>SMART.225940</t>
  </si>
  <si>
    <t>SMART.225942</t>
  </si>
  <si>
    <t>SMART.225943</t>
  </si>
  <si>
    <t>SMART.225944</t>
  </si>
  <si>
    <t>SMART.225945</t>
  </si>
  <si>
    <t>SMART.225946</t>
  </si>
  <si>
    <t>SMART.225947</t>
  </si>
  <si>
    <t>SMART.225948</t>
  </si>
  <si>
    <t>SMART.225949</t>
  </si>
  <si>
    <t>SMART.225950</t>
  </si>
  <si>
    <t>SMART.225951</t>
  </si>
  <si>
    <t>SMART.225952</t>
  </si>
  <si>
    <t>SMART.225953</t>
  </si>
  <si>
    <t>SMART.225954</t>
  </si>
  <si>
    <t>SMART.225955</t>
  </si>
  <si>
    <t>SMART.225956</t>
  </si>
  <si>
    <t>SMART.225957</t>
  </si>
  <si>
    <t>SMART.225958</t>
  </si>
  <si>
    <t>SMART.225959</t>
  </si>
  <si>
    <t>SMART.225960</t>
  </si>
  <si>
    <t>SMART.225961</t>
  </si>
  <si>
    <t>SMART.225962</t>
  </si>
  <si>
    <t>SMART.225963</t>
  </si>
  <si>
    <t>SMART.225964</t>
  </si>
  <si>
    <t>SMART.225965</t>
  </si>
  <si>
    <t>SMART.225966</t>
  </si>
  <si>
    <t>SMART.225967</t>
  </si>
  <si>
    <t>SMART.225968</t>
  </si>
  <si>
    <t>SMART.225969</t>
  </si>
  <si>
    <t>SMART.225970</t>
  </si>
  <si>
    <t>SMART.225971</t>
  </si>
  <si>
    <t>SMART.225972</t>
  </si>
  <si>
    <t>SMART.225973</t>
  </si>
  <si>
    <t>SMART.225974</t>
  </si>
  <si>
    <t>SMART.225975</t>
  </si>
  <si>
    <t>SMART.225976</t>
  </si>
  <si>
    <t>SMART.225977</t>
  </si>
  <si>
    <t>SMART.225978</t>
  </si>
  <si>
    <t>SMART.225979</t>
  </si>
  <si>
    <t>SMART.225980</t>
  </si>
  <si>
    <t>SMART.225981</t>
  </si>
  <si>
    <t>SMART.225982</t>
  </si>
  <si>
    <t>SMART.225983</t>
  </si>
  <si>
    <t>SMART.225984</t>
  </si>
  <si>
    <t>SMART.225985</t>
  </si>
  <si>
    <t>SMART.225986</t>
  </si>
  <si>
    <t>SMART.225987</t>
  </si>
  <si>
    <t>SMART.225988</t>
  </si>
  <si>
    <t>SMART.225989</t>
  </si>
  <si>
    <t>SMART.225990</t>
  </si>
  <si>
    <t>SMART.225991</t>
  </si>
  <si>
    <t>SMART.225993</t>
  </si>
  <si>
    <t>SMART.225994</t>
  </si>
  <si>
    <t>SMART.225995</t>
  </si>
  <si>
    <t>SMART.225996</t>
  </si>
  <si>
    <t>SMART.225997</t>
  </si>
  <si>
    <t>SMART.225998</t>
  </si>
  <si>
    <t>SMART.225999</t>
  </si>
  <si>
    <t>SMART.226000</t>
  </si>
  <si>
    <t>SMART.226001</t>
  </si>
  <si>
    <t>SMART.226002</t>
  </si>
  <si>
    <t>SMART.226003</t>
  </si>
  <si>
    <t>SMART.226004</t>
  </si>
  <si>
    <t>SMART.226005</t>
  </si>
  <si>
    <t>SMART.226006</t>
  </si>
  <si>
    <t>SMART.226007</t>
  </si>
  <si>
    <t>SMART.226008</t>
  </si>
  <si>
    <t>SMART.226009</t>
  </si>
  <si>
    <t>SMART.226010</t>
  </si>
  <si>
    <t>SMART.226011</t>
  </si>
  <si>
    <t>SMART.226012</t>
  </si>
  <si>
    <t>SMART.226013</t>
  </si>
  <si>
    <t>SMART.226014</t>
  </si>
  <si>
    <t>SMART.226015</t>
  </si>
  <si>
    <t>SMART.226016</t>
  </si>
  <si>
    <t>SMART.226017</t>
  </si>
  <si>
    <t>SMART.226018</t>
  </si>
  <si>
    <t>SMART.226019</t>
  </si>
  <si>
    <t>SMART.226020</t>
  </si>
  <si>
    <t>SMART.226021</t>
  </si>
  <si>
    <t>SMART.226023</t>
  </si>
  <si>
    <t>SMART.226024</t>
  </si>
  <si>
    <t>SMART.226025</t>
  </si>
  <si>
    <t>SMART.226026</t>
  </si>
  <si>
    <t>SMART.226027</t>
  </si>
  <si>
    <t>SMART.226028</t>
  </si>
  <si>
    <t>SMART.226029</t>
  </si>
  <si>
    <t>SMART.226030</t>
  </si>
  <si>
    <t>SMART.226031</t>
  </si>
  <si>
    <t>SMART.226032</t>
  </si>
  <si>
    <t>SMART.226033</t>
  </si>
  <si>
    <t>SMART.226034</t>
  </si>
  <si>
    <t>SMART.226035</t>
  </si>
  <si>
    <t>SMART.226036</t>
  </si>
  <si>
    <t>SMART.226037</t>
  </si>
  <si>
    <t>SMART.226038</t>
  </si>
  <si>
    <t>SMART.226039</t>
  </si>
  <si>
    <t>SMART.226040</t>
  </si>
  <si>
    <t>SMART.226041</t>
  </si>
  <si>
    <t>SMART.226042</t>
  </si>
  <si>
    <t>SMART.226043</t>
  </si>
  <si>
    <t>SMART.226044</t>
  </si>
  <si>
    <t>SMART.226045</t>
  </si>
  <si>
    <t>SMART.226046</t>
  </si>
  <si>
    <t>SMART.226047</t>
  </si>
  <si>
    <t>SMART.226048</t>
  </si>
  <si>
    <t>SMART.226049</t>
  </si>
  <si>
    <t>SMART.226050</t>
  </si>
  <si>
    <t>SMART.226051</t>
  </si>
  <si>
    <t>SMART.226052</t>
  </si>
  <si>
    <t>SMART.226053</t>
  </si>
  <si>
    <t>SMART.226054</t>
  </si>
  <si>
    <t>SMART.226055</t>
  </si>
  <si>
    <t>SMART.226056</t>
  </si>
  <si>
    <t>SMART.226057</t>
  </si>
  <si>
    <t>SMART.226058</t>
  </si>
  <si>
    <t>SMART.226059</t>
  </si>
  <si>
    <t>SMART.226060</t>
  </si>
  <si>
    <t>SMART.226061</t>
  </si>
  <si>
    <t>SMART.226062</t>
  </si>
  <si>
    <t>SMART.226063</t>
  </si>
  <si>
    <t>SMART.226064</t>
  </si>
  <si>
    <t>SMART.226065</t>
  </si>
  <si>
    <t>SMART.226066</t>
  </si>
  <si>
    <t>SMART.226067</t>
  </si>
  <si>
    <t>SMART.226068</t>
  </si>
  <si>
    <t>SMART.226069</t>
  </si>
  <si>
    <t>SMART.226070</t>
  </si>
  <si>
    <t>SMART.226071</t>
  </si>
  <si>
    <t>SMART.226072</t>
  </si>
  <si>
    <t>SMART.226073</t>
  </si>
  <si>
    <t>SMART.226074</t>
  </si>
  <si>
    <t>SMART.226075</t>
  </si>
  <si>
    <t>SMART.226076</t>
  </si>
  <si>
    <t>SMART.226077</t>
  </si>
  <si>
    <t>SMART.226078</t>
  </si>
  <si>
    <t>SMART.226079</t>
  </si>
  <si>
    <t>SMART.226080</t>
  </si>
  <si>
    <t>SMART.226081</t>
  </si>
  <si>
    <t>SMART.226082</t>
  </si>
  <si>
    <t>SMART.226083</t>
  </si>
  <si>
    <t>SMART.226084</t>
  </si>
  <si>
    <t>SMART.226085</t>
  </si>
  <si>
    <t>SMART.226086</t>
  </si>
  <si>
    <t>SMART.226087</t>
  </si>
  <si>
    <t>SMART.226088</t>
  </si>
  <si>
    <t>SMART.226089</t>
  </si>
  <si>
    <t>SMART.226090</t>
  </si>
  <si>
    <t>SMART.226091</t>
  </si>
  <si>
    <t>SMART.226092</t>
  </si>
  <si>
    <t>SMART.226093</t>
  </si>
  <si>
    <t>SMART.226094</t>
  </si>
  <si>
    <t>SMART.226095</t>
  </si>
  <si>
    <t>SMART.226096</t>
  </si>
  <si>
    <t>SMART.226097</t>
  </si>
  <si>
    <t>SMART.226098</t>
  </si>
  <si>
    <t>SMART.226099</t>
  </si>
  <si>
    <t>SMART.226100</t>
  </si>
  <si>
    <t>SMART.226101</t>
  </si>
  <si>
    <t>SMART.226102</t>
  </si>
  <si>
    <t>SMART.226103</t>
  </si>
  <si>
    <t>SMART.226104</t>
  </si>
  <si>
    <t>SMART.226105</t>
  </si>
  <si>
    <t>SMART.226106</t>
  </si>
  <si>
    <t>SMART.226107</t>
  </si>
  <si>
    <t>SMART.226108</t>
  </si>
  <si>
    <t>SMART.226109</t>
  </si>
  <si>
    <t>SMART.226110</t>
  </si>
  <si>
    <t>SMART.226111</t>
  </si>
  <si>
    <t>SMART.226112</t>
  </si>
  <si>
    <t>SMART.226113</t>
  </si>
  <si>
    <t>SMART.226114</t>
  </si>
  <si>
    <t>SMART.226115</t>
  </si>
  <si>
    <t>SMART.226116</t>
  </si>
  <si>
    <t>SMART.226117</t>
  </si>
  <si>
    <t>SMART.226118</t>
  </si>
  <si>
    <t>SMART.226119</t>
  </si>
  <si>
    <t>SMART.226120</t>
  </si>
  <si>
    <t>SMART.226121</t>
  </si>
  <si>
    <t>SMART.226122</t>
  </si>
  <si>
    <t>SMART.226123</t>
  </si>
  <si>
    <t>SMART.226124</t>
  </si>
  <si>
    <t>SMART.226125</t>
  </si>
  <si>
    <t>SMART.226126</t>
  </si>
  <si>
    <t>SMART.226127</t>
  </si>
  <si>
    <t>SMART.226128</t>
  </si>
  <si>
    <t>SMART.226129</t>
  </si>
  <si>
    <t>SMART.226130</t>
  </si>
  <si>
    <t>SMART.226131</t>
  </si>
  <si>
    <t>SMART.226132</t>
  </si>
  <si>
    <t>SMART.226133</t>
  </si>
  <si>
    <t>SMART.226134</t>
  </si>
  <si>
    <t>SMART.226135</t>
  </si>
  <si>
    <t>SMART.226136</t>
  </si>
  <si>
    <t>SMART.226137</t>
  </si>
  <si>
    <t>SMART.226138</t>
  </si>
  <si>
    <t>SMART.226139</t>
  </si>
  <si>
    <t>SMART.226140</t>
  </si>
  <si>
    <t>SMART.226141</t>
  </si>
  <si>
    <t>SMART.226142</t>
  </si>
  <si>
    <t>SMART.226143</t>
  </si>
  <si>
    <t>SMART.226144</t>
  </si>
  <si>
    <t>SMART.226145</t>
  </si>
  <si>
    <t>SMART.226146</t>
  </si>
  <si>
    <t>SMART.226147</t>
  </si>
  <si>
    <t>SMART.226148</t>
  </si>
  <si>
    <t>SMART.226149</t>
  </si>
  <si>
    <t>SMART.226150</t>
  </si>
  <si>
    <t>SMART.226151</t>
  </si>
  <si>
    <t>SMART.226152</t>
  </si>
  <si>
    <t>SMART.226153</t>
  </si>
  <si>
    <t>SMART.226154</t>
  </si>
  <si>
    <t>SMART.226155</t>
  </si>
  <si>
    <t>SMART.226156</t>
  </si>
  <si>
    <t>SMART.226157</t>
  </si>
  <si>
    <t>SMART.226158</t>
  </si>
  <si>
    <t>SMART.226159</t>
  </si>
  <si>
    <t>SMART.226160</t>
  </si>
  <si>
    <t>SMART.226161</t>
  </si>
  <si>
    <t>SMART.226162</t>
  </si>
  <si>
    <t>SMART.226163</t>
  </si>
  <si>
    <t>SMART.226164</t>
  </si>
  <si>
    <t>SMART.226165</t>
  </si>
  <si>
    <t>SMART.226166</t>
  </si>
  <si>
    <t>SMART.226167</t>
  </si>
  <si>
    <t>SMART.226168</t>
  </si>
  <si>
    <t>SMART.226169</t>
  </si>
  <si>
    <t>SMART.226170</t>
  </si>
  <si>
    <t>SMART.226171</t>
  </si>
  <si>
    <t>SMART.226172</t>
  </si>
  <si>
    <t>SMART.226173</t>
  </si>
  <si>
    <t>SMART.226174</t>
  </si>
  <si>
    <t>SMART.226175</t>
  </si>
  <si>
    <t>SMART.226176</t>
  </si>
  <si>
    <t>SMART.226177</t>
  </si>
  <si>
    <t>SMART.226178</t>
  </si>
  <si>
    <t>SMART.226179</t>
  </si>
  <si>
    <t>SMART.226180</t>
  </si>
  <si>
    <t>SMART.226181</t>
  </si>
  <si>
    <t>SMART.226182</t>
  </si>
  <si>
    <t>SMART.226183</t>
  </si>
  <si>
    <t>SMART.226184</t>
  </si>
  <si>
    <t>SMART.226185</t>
  </si>
  <si>
    <t>SMART.226186</t>
  </si>
  <si>
    <t>SMART.226187</t>
  </si>
  <si>
    <t>SMART.226188</t>
  </si>
  <si>
    <t>SMART.226189</t>
  </si>
  <si>
    <t>SMART.226190</t>
  </si>
  <si>
    <t>SMART.226191</t>
  </si>
  <si>
    <t>SMART.226192</t>
  </si>
  <si>
    <t>SMART.226193</t>
  </si>
  <si>
    <t>SMART.226194</t>
  </si>
  <si>
    <t>SMART.226195</t>
  </si>
  <si>
    <t>SMART.226196</t>
  </si>
  <si>
    <t>SMART.226197</t>
  </si>
  <si>
    <t>SMART.226198</t>
  </si>
  <si>
    <t>SMART.226199</t>
  </si>
  <si>
    <t>SMART.226200</t>
  </si>
  <si>
    <t>SMART.226201</t>
  </si>
  <si>
    <t>SMART.226202</t>
  </si>
  <si>
    <t>SMART.226203</t>
  </si>
  <si>
    <t>SMART.226204</t>
  </si>
  <si>
    <t>SMART.226205</t>
  </si>
  <si>
    <t>SMART.226206</t>
  </si>
  <si>
    <t>SMART.226207</t>
  </si>
  <si>
    <t>SMART.226208</t>
  </si>
  <si>
    <t>SMART.226209</t>
  </si>
  <si>
    <t>SMART.226210</t>
  </si>
  <si>
    <t>SMART.226211</t>
  </si>
  <si>
    <t>SMART.226212</t>
  </si>
  <si>
    <t>SMART.226213</t>
  </si>
  <si>
    <t>SMART.226214</t>
  </si>
  <si>
    <t>SMART.226215</t>
  </si>
  <si>
    <t>SMART.226216</t>
  </si>
  <si>
    <t>SMART.226217</t>
  </si>
  <si>
    <t>SMART.226218</t>
  </si>
  <si>
    <t>SMART.226219</t>
  </si>
  <si>
    <t>SMART.226220</t>
  </si>
  <si>
    <t>SMART.226221</t>
  </si>
  <si>
    <t>SMART.226222</t>
  </si>
  <si>
    <t>SMART.226223</t>
  </si>
  <si>
    <t>SMART.226224</t>
  </si>
  <si>
    <t>SMART.226225</t>
  </si>
  <si>
    <t>SMART.226226</t>
  </si>
  <si>
    <t>SMART.226227</t>
  </si>
  <si>
    <t>SMART.226228</t>
  </si>
  <si>
    <t>SMART.226229</t>
  </si>
  <si>
    <t>SMART.226230</t>
  </si>
  <si>
    <t>SMART.226231</t>
  </si>
  <si>
    <t>SMART.226232</t>
  </si>
  <si>
    <t>SMART.226233</t>
  </si>
  <si>
    <t>SMART.226234</t>
  </si>
  <si>
    <t>SMART.226235</t>
  </si>
  <si>
    <t>SMART.226236</t>
  </si>
  <si>
    <t>SMART.226237</t>
  </si>
  <si>
    <t>SMART.226238</t>
  </si>
  <si>
    <t>SMART.226239</t>
  </si>
  <si>
    <t>SMART.226240</t>
  </si>
  <si>
    <t>SMART.226241</t>
  </si>
  <si>
    <t>SMART.226242</t>
  </si>
  <si>
    <t>SMART.226243</t>
  </si>
  <si>
    <t>SMART.226244</t>
  </si>
  <si>
    <t>SMART.226245</t>
  </si>
  <si>
    <t>SMART.226246</t>
  </si>
  <si>
    <t>SMART.226247</t>
  </si>
  <si>
    <t>SMART.226248</t>
  </si>
  <si>
    <t>SMART.226249</t>
  </si>
  <si>
    <t>SMART.226250</t>
  </si>
  <si>
    <t>SMART.226251</t>
  </si>
  <si>
    <t>SMART.226252</t>
  </si>
  <si>
    <t>SMART.226253</t>
  </si>
  <si>
    <t>SMART.226254</t>
  </si>
  <si>
    <t>SMART.226255</t>
  </si>
  <si>
    <t>SMART.226256</t>
  </si>
  <si>
    <t>SMART.226257</t>
  </si>
  <si>
    <t>SMART.226258</t>
  </si>
  <si>
    <t>SMART.226259</t>
  </si>
  <si>
    <t>SMART.226260</t>
  </si>
  <si>
    <t>SMART.226261</t>
  </si>
  <si>
    <t>SMART.226262</t>
  </si>
  <si>
    <t>SMART.226263</t>
  </si>
  <si>
    <t>SMART.226264</t>
  </si>
  <si>
    <t>SMART.226265</t>
  </si>
  <si>
    <t>SMART.226266</t>
  </si>
  <si>
    <t>SMART.226267</t>
  </si>
  <si>
    <t>SMART.226268</t>
  </si>
  <si>
    <t>SMART.226269</t>
  </si>
  <si>
    <t>SMART.226270</t>
  </si>
  <si>
    <t>SMART.226271</t>
  </si>
  <si>
    <t>SMART.226272</t>
  </si>
  <si>
    <t>SMART.226273</t>
  </si>
  <si>
    <t>SMART.226274</t>
  </si>
  <si>
    <t>SMART.226275</t>
  </si>
  <si>
    <t>SMART.226276</t>
  </si>
  <si>
    <t>SMART.226277</t>
  </si>
  <si>
    <t>SMART.226278</t>
  </si>
  <si>
    <t>SMART.226279</t>
  </si>
  <si>
    <t>SMART.226280</t>
  </si>
  <si>
    <t>SMART.226281</t>
  </si>
  <si>
    <t>SMART.226282</t>
  </si>
  <si>
    <t>SMART.226283</t>
  </si>
  <si>
    <t>SMART.226284</t>
  </si>
  <si>
    <t>SMART.226285</t>
  </si>
  <si>
    <t>SMART.226286</t>
  </si>
  <si>
    <t>SMART.226287</t>
  </si>
  <si>
    <t>SMART.226288</t>
  </si>
  <si>
    <t>RME</t>
  </si>
  <si>
    <t>Candia Sánchez, Claudia Angelica</t>
  </si>
  <si>
    <t>SOLICITUD DE ALTA PROXY DE MoNETA</t>
  </si>
  <si>
    <t>KARINA MARQUEZ RAMIREZ</t>
  </si>
  <si>
    <t>AURICULARES DE DIADEMA CON MICROFONO</t>
  </si>
  <si>
    <t>Pérez Loranca, Tomas Magno</t>
  </si>
  <si>
    <t>AMD por baja de personal: Daniel Nájera</t>
  </si>
  <si>
    <t>Sincronización de carpetas en el SharedPoint</t>
  </si>
  <si>
    <t>Ingreso de equipo de computo de cliente AUDI</t>
  </si>
  <si>
    <t>Instalacion de autoCAD</t>
  </si>
  <si>
    <t>Desbloqueo Kiosco RH</t>
  </si>
  <si>
    <t>KARLA FLORES</t>
  </si>
  <si>
    <t xml:space="preserve">Entrega de equipo - admin </t>
  </si>
  <si>
    <t>New Purchase Order Printout 4500032081 THYSSENKRUPP AUTOMOTIVE</t>
  </si>
  <si>
    <t>Marco Antonio Gonzalez Torres</t>
  </si>
  <si>
    <t>Soporte en Acceso Portal Moneta - Proveedor PC UNISERVICIOS (PR010263)</t>
  </si>
  <si>
    <t>CARMEN L PALACIOS</t>
  </si>
  <si>
    <t>Transacción XD01</t>
  </si>
  <si>
    <t>SANCEZ PAREDES, ANAHI</t>
  </si>
  <si>
    <t>Shared Mailboxes for NA</t>
  </si>
  <si>
    <t>REVISION DE TONNER (10-07-26)</t>
  </si>
  <si>
    <t>Volkswagen KVS: Test der zukünftigen KVS IP-Adresse - Test of the future KVS IP address</t>
  </si>
  <si>
    <t>Creación de correo - tk Autobody NA Accounts Payable</t>
  </si>
  <si>
    <t>SMART.226289</t>
  </si>
  <si>
    <t>SMART.226290</t>
  </si>
  <si>
    <t>SMART.226291</t>
  </si>
  <si>
    <t>SMART.226292</t>
  </si>
  <si>
    <t>SMART.226293</t>
  </si>
  <si>
    <t>SMART.226294</t>
  </si>
  <si>
    <t>SMART.226295</t>
  </si>
  <si>
    <t>SMART.226296</t>
  </si>
  <si>
    <t>SMART.226297</t>
  </si>
  <si>
    <t>SMART.226298</t>
  </si>
  <si>
    <t>SMART.226299</t>
  </si>
  <si>
    <t>SMART.226300</t>
  </si>
  <si>
    <t>SMART.226301</t>
  </si>
  <si>
    <t>SMART.226302</t>
  </si>
  <si>
    <t>SMART.226303</t>
  </si>
  <si>
    <t>SMART.226304</t>
  </si>
  <si>
    <t>SMART.226305</t>
  </si>
  <si>
    <t>SMART.226306</t>
  </si>
  <si>
    <t>SMART.226307</t>
  </si>
  <si>
    <t>SMART.226308</t>
  </si>
  <si>
    <t>SMART.226309</t>
  </si>
  <si>
    <t>SMART.226310</t>
  </si>
  <si>
    <t>SMART.226311</t>
  </si>
  <si>
    <t>SMART.226312</t>
  </si>
  <si>
    <t>SMART.226313</t>
  </si>
  <si>
    <t>SMART.226314</t>
  </si>
  <si>
    <t>SMART.226315</t>
  </si>
  <si>
    <t>SMART.226316</t>
  </si>
  <si>
    <t>SMART.226317</t>
  </si>
  <si>
    <t>SMART.226318</t>
  </si>
  <si>
    <t>SMART.226319</t>
  </si>
  <si>
    <t>SMART.226320</t>
  </si>
  <si>
    <t>SMART.226321</t>
  </si>
  <si>
    <t>SMART.226322</t>
  </si>
  <si>
    <t>SMART.226323</t>
  </si>
  <si>
    <t>SMART.226324</t>
  </si>
  <si>
    <t>SMART.226325</t>
  </si>
  <si>
    <t>SMART.226326</t>
  </si>
  <si>
    <t>SMART.226327</t>
  </si>
  <si>
    <t>SMART.226328</t>
  </si>
  <si>
    <t>SMART.226329</t>
  </si>
  <si>
    <t>SMART.226330</t>
  </si>
  <si>
    <t>SMART.226331</t>
  </si>
  <si>
    <t>SMART.226332</t>
  </si>
  <si>
    <t>SMART.226333</t>
  </si>
  <si>
    <t>SMART.226334</t>
  </si>
  <si>
    <t>SMART.226335</t>
  </si>
  <si>
    <t>SMART.226336</t>
  </si>
  <si>
    <t>SMART.226337</t>
  </si>
  <si>
    <t>SMART.226338</t>
  </si>
  <si>
    <t>SMART.226339</t>
  </si>
  <si>
    <t>SMART.226340</t>
  </si>
  <si>
    <t>SMART.226341</t>
  </si>
  <si>
    <t>SMART.226342</t>
  </si>
  <si>
    <t>SMART.226343</t>
  </si>
  <si>
    <t>SMART.226344</t>
  </si>
  <si>
    <t>SMART.226345</t>
  </si>
  <si>
    <t>SMART.226346</t>
  </si>
  <si>
    <t>SMART.226347</t>
  </si>
  <si>
    <t>SMART.226348</t>
  </si>
  <si>
    <t>SMART.226349</t>
  </si>
  <si>
    <t>SMART.226350</t>
  </si>
  <si>
    <t>SMART.226351</t>
  </si>
  <si>
    <t>SMART.226352</t>
  </si>
  <si>
    <t>SMART.226353</t>
  </si>
  <si>
    <t>SMART.226354</t>
  </si>
  <si>
    <t>SMART.226355</t>
  </si>
  <si>
    <t>SMART.226356</t>
  </si>
  <si>
    <t>SMART.226357</t>
  </si>
  <si>
    <t>SMART.226358</t>
  </si>
  <si>
    <t>SMART.226359</t>
  </si>
  <si>
    <t>SMART.226360</t>
  </si>
  <si>
    <t>SMART.226361</t>
  </si>
  <si>
    <t>SMART.226362</t>
  </si>
  <si>
    <t>SMART.226363</t>
  </si>
  <si>
    <t>Ticket OPS no funciona.</t>
  </si>
  <si>
    <t>TRASLAPE DE EQUIPO DE NAYELI A KARLA</t>
  </si>
  <si>
    <t>IT tips mes de julio 26 semana 3)</t>
  </si>
  <si>
    <t>Bloqueo de cp</t>
  </si>
  <si>
    <t>nstalacion de software keyence</t>
  </si>
  <si>
    <t>Acceso a Portales TK</t>
  </si>
  <si>
    <t>Perez Loranca, Tomas Magno</t>
  </si>
  <si>
    <t>Bit locker recovery</t>
  </si>
  <si>
    <t>Acceso a SAP PSP</t>
  </si>
  <si>
    <t>Acceso a P2T y P11 SAP</t>
  </si>
  <si>
    <t>Solicitud ingero de Laptop Proveedor MAST</t>
  </si>
  <si>
    <t>Permisospara imprimir</t>
  </si>
  <si>
    <t>ACTIVACION DE INTERNET SECURITY DE ZSCALER</t>
  </si>
  <si>
    <t>PERMISO  EQUIPO DE COMPUTO MTM 1 Base</t>
  </si>
  <si>
    <t>ACCESO A  CORREOS - BILSTEIN NA / PRESTA NA</t>
  </si>
  <si>
    <t>Madrid, Paola Hernandez</t>
  </si>
  <si>
    <t>STOCK TONNER</t>
  </si>
  <si>
    <t>Ingreso equipos de cómputo proveedor</t>
  </si>
  <si>
    <t>Problemas para ingresar a Olympo y realizar marcaje</t>
  </si>
  <si>
    <t>REVISION DE TONNER (28-08-26)</t>
  </si>
  <si>
    <t>Permiso de acceso de equipo de computo Puebla</t>
  </si>
  <si>
    <t>CORREO 1 ALTA DE PROVEEDOR / Presentación BDM Procesos /Inspección, Sorteo y Retrabajo</t>
  </si>
  <si>
    <t>498-499 PO PRICE UPDATE</t>
  </si>
  <si>
    <t>IT tips mes de septiembre 26 semana 1)</t>
  </si>
  <si>
    <t>CMK</t>
  </si>
  <si>
    <t>Lexicom - Licencia vencimiento</t>
  </si>
  <si>
    <t>IT SUPPORT // Visualizacíón.de factura</t>
  </si>
  <si>
    <t>Verifique su nueva dirección IP</t>
  </si>
  <si>
    <t>SOLICITUD DE ACCESO DE EQUIPO PPUE//JUEVES 3 AGOSTO 2026//KRESTON BSG</t>
  </si>
  <si>
    <t>Extraccion de archivos Backup EJ020 y RA130</t>
  </si>
  <si>
    <t>ACCESO DE INTERACT A SERVIDOR DE NOMINA</t>
  </si>
  <si>
    <t>Solicitud para habilitar Bluetooth</t>
  </si>
  <si>
    <t>Alta de Proveedor MoNETA // SERVIST</t>
  </si>
  <si>
    <t>Correo SASA AP.CTMX</t>
  </si>
  <si>
    <t>Extraccion datos CMK</t>
  </si>
  <si>
    <t>Romero Carrillo, Jose Alfredo</t>
  </si>
  <si>
    <t>Solicitud de extracción de reporte</t>
  </si>
  <si>
    <t>SOLICITUD DE ACCESO DE EQUIPO PPUE//MIERCOLES 2 DE SEPTIEMBRE 2026//KRESTON BSG</t>
  </si>
  <si>
    <t>acceso equipo de cómputo PSJC</t>
  </si>
  <si>
    <t>SOLICITUD DE ACCESO DE EQUIPO PPUE//MARTES 8 DE SEPTIEMBRE 2026//IMPUESTOS KRESTON</t>
  </si>
  <si>
    <t>Moneta Portal Implementation for Productive Suppliers Invoice Submission</t>
  </si>
  <si>
    <t>500 PO PRICE UPDATE</t>
  </si>
  <si>
    <t>31082026 COTIZACION DE RAPARACIONES DE EQUIPOS TK</t>
  </si>
  <si>
    <t>WE-NET PASSWORD</t>
  </si>
  <si>
    <t>Extracción de datos para CMK´s</t>
  </si>
  <si>
    <t>Revisar OS en telefonos</t>
  </si>
  <si>
    <t>SMART.226364</t>
  </si>
  <si>
    <t>SMART.226365</t>
  </si>
  <si>
    <t>SMART.226366</t>
  </si>
  <si>
    <t>SMART.226367</t>
  </si>
  <si>
    <t>SMART.226368</t>
  </si>
  <si>
    <t>SMART.226369</t>
  </si>
  <si>
    <t>SMART.226370</t>
  </si>
  <si>
    <t>SMART.226371</t>
  </si>
  <si>
    <t>SMART.226372</t>
  </si>
  <si>
    <t>SMART.226373</t>
  </si>
  <si>
    <t>SMART.226374</t>
  </si>
  <si>
    <t>SMART.226375</t>
  </si>
  <si>
    <t>SMART.226376</t>
  </si>
  <si>
    <t>SMART.226377</t>
  </si>
  <si>
    <t>SMART.226378</t>
  </si>
  <si>
    <t>SMART.226379</t>
  </si>
  <si>
    <t>SMART.226380</t>
  </si>
  <si>
    <t>SMART.226381</t>
  </si>
  <si>
    <t>SMART.226382</t>
  </si>
  <si>
    <t>SMART.226383</t>
  </si>
  <si>
    <t>SMART.226384</t>
  </si>
  <si>
    <t>SMART.226385</t>
  </si>
  <si>
    <t>SMART.226386</t>
  </si>
  <si>
    <t>SMART.226387</t>
  </si>
  <si>
    <t>SMART.226388</t>
  </si>
  <si>
    <t>SMART.226389</t>
  </si>
  <si>
    <t>SMART.226390</t>
  </si>
  <si>
    <t>SMART.226391</t>
  </si>
  <si>
    <t>SMART.226392</t>
  </si>
  <si>
    <t>SMART.226393</t>
  </si>
  <si>
    <t>SMART.226394</t>
  </si>
  <si>
    <t>SMART.226395</t>
  </si>
  <si>
    <t>SMART.226396</t>
  </si>
  <si>
    <t>SMART.226397</t>
  </si>
  <si>
    <t>SMART.226398</t>
  </si>
  <si>
    <t>SMART.226399</t>
  </si>
  <si>
    <t>SMART.226400</t>
  </si>
  <si>
    <t>SMART.226401</t>
  </si>
  <si>
    <t>SMART.226402</t>
  </si>
  <si>
    <t>SMART.226403</t>
  </si>
  <si>
    <t>SMART.226404</t>
  </si>
  <si>
    <t>SMART.226405</t>
  </si>
  <si>
    <t>SMART.226406</t>
  </si>
  <si>
    <t>SMART.226407</t>
  </si>
  <si>
    <t>SMART.226408</t>
  </si>
  <si>
    <t>SMART.226409</t>
  </si>
  <si>
    <t>SMART.226410</t>
  </si>
  <si>
    <t>SMART.226411</t>
  </si>
  <si>
    <t>SMART.226412</t>
  </si>
  <si>
    <t>SMART.226413</t>
  </si>
  <si>
    <t>SMART.226414</t>
  </si>
  <si>
    <t>SMART.226415</t>
  </si>
  <si>
    <t>SMART.226416</t>
  </si>
  <si>
    <t>SMART.226417</t>
  </si>
  <si>
    <t>SMART.226418</t>
  </si>
  <si>
    <t>SMART.226419</t>
  </si>
  <si>
    <t>SMART.226420</t>
  </si>
  <si>
    <t>SMART.226421</t>
  </si>
  <si>
    <t>SMART.226422</t>
  </si>
  <si>
    <t>SMART.226423</t>
  </si>
  <si>
    <t>SMART.226424</t>
  </si>
  <si>
    <t>SMART.226425</t>
  </si>
  <si>
    <t>SMART.226426</t>
  </si>
  <si>
    <t>SMART.226427</t>
  </si>
  <si>
    <t>SMART.226428</t>
  </si>
  <si>
    <t>SMART.226429</t>
  </si>
  <si>
    <t>SMART.226430</t>
  </si>
  <si>
    <t>SMART.226431</t>
  </si>
  <si>
    <t>SMART.226432</t>
  </si>
  <si>
    <t>SMART.226433</t>
  </si>
  <si>
    <t>SMART.226434</t>
  </si>
  <si>
    <t>SMART.226435</t>
  </si>
  <si>
    <t>SMART.226436</t>
  </si>
  <si>
    <t>SMART.226437</t>
  </si>
  <si>
    <t>SMART.226438</t>
  </si>
  <si>
    <t>SMART.226439</t>
  </si>
  <si>
    <t>SMART.226440</t>
  </si>
  <si>
    <t>SMART.226441</t>
  </si>
  <si>
    <t>SMART.226442</t>
  </si>
  <si>
    <t>SMART.226443</t>
  </si>
  <si>
    <t>SMART.226444</t>
  </si>
  <si>
    <t>SMART.226445</t>
  </si>
  <si>
    <t>SMART.226446</t>
  </si>
  <si>
    <t>SMART.226447</t>
  </si>
  <si>
    <t>SMART.226448</t>
  </si>
  <si>
    <t>SMART.226449</t>
  </si>
  <si>
    <t>SMART.226450</t>
  </si>
  <si>
    <t>SMART.226451</t>
  </si>
  <si>
    <t>SMART.226452</t>
  </si>
  <si>
    <t>SMART.226453</t>
  </si>
  <si>
    <t>SMART.226454</t>
  </si>
  <si>
    <t>SMART.226455</t>
  </si>
  <si>
    <t>SMART.226456</t>
  </si>
  <si>
    <t>SMART.226457</t>
  </si>
  <si>
    <t>SMART.226458</t>
  </si>
  <si>
    <t>SMART.226459</t>
  </si>
  <si>
    <t>SMART.226460</t>
  </si>
  <si>
    <t>SMART.226461</t>
  </si>
  <si>
    <t>SMART.226462</t>
  </si>
  <si>
    <t>SMART.226463</t>
  </si>
  <si>
    <t>SMART.226464</t>
  </si>
  <si>
    <t>SMART.226465</t>
  </si>
  <si>
    <t>SMART.226466</t>
  </si>
  <si>
    <t>SMART.226467</t>
  </si>
  <si>
    <t>SMART.226468</t>
  </si>
  <si>
    <t>SMART.226469</t>
  </si>
  <si>
    <t>SMART.226470</t>
  </si>
  <si>
    <t>SMART.226471</t>
  </si>
  <si>
    <t>SMART.226472</t>
  </si>
  <si>
    <t>SMART.226473</t>
  </si>
  <si>
    <t>SMART.226474</t>
  </si>
  <si>
    <t>SMART.226475</t>
  </si>
  <si>
    <t>SMART.226476</t>
  </si>
  <si>
    <t>SMART.226477</t>
  </si>
  <si>
    <t>SMART.226478</t>
  </si>
  <si>
    <t>SMART.226479</t>
  </si>
  <si>
    <t>SMART.226480</t>
  </si>
  <si>
    <t>SMART.226481</t>
  </si>
  <si>
    <t>SMART.226482</t>
  </si>
  <si>
    <t>SMART.226483</t>
  </si>
  <si>
    <t>SMART.226484</t>
  </si>
  <si>
    <t>SMART.226485</t>
  </si>
  <si>
    <t>SMART.226486</t>
  </si>
  <si>
    <t>SMART.226487</t>
  </si>
  <si>
    <t>SMART.226488</t>
  </si>
  <si>
    <t>SMART.226489</t>
  </si>
  <si>
    <t>SMART.226490</t>
  </si>
  <si>
    <t>SMART.226491</t>
  </si>
  <si>
    <t>SMART.226492</t>
  </si>
  <si>
    <t>SMART.226493</t>
  </si>
  <si>
    <t>SMART.226494</t>
  </si>
  <si>
    <t>SMART.226495</t>
  </si>
  <si>
    <t>SMART.226496</t>
  </si>
  <si>
    <t>SMART.226497</t>
  </si>
  <si>
    <t>SMART.226498</t>
  </si>
  <si>
    <t>SMART.226499</t>
  </si>
  <si>
    <t>SMART.226500</t>
  </si>
  <si>
    <t>SMART.226501</t>
  </si>
  <si>
    <t>SMART.226502</t>
  </si>
  <si>
    <t>SMART.226503</t>
  </si>
  <si>
    <t>SMART.226504</t>
  </si>
  <si>
    <t>SMART.226505</t>
  </si>
  <si>
    <t>SMART.226506</t>
  </si>
  <si>
    <t>SMART.226507</t>
  </si>
  <si>
    <t>SMART.226508</t>
  </si>
  <si>
    <t>SMART.226509</t>
  </si>
  <si>
    <t>SMART.226510</t>
  </si>
  <si>
    <t>SMART.226511</t>
  </si>
  <si>
    <t>SMART.226512</t>
  </si>
  <si>
    <t>SMART.226513</t>
  </si>
  <si>
    <t>SMART.226514</t>
  </si>
  <si>
    <t>SMART.226515</t>
  </si>
  <si>
    <t>SMART.226516</t>
  </si>
  <si>
    <t>SMART.226517</t>
  </si>
  <si>
    <t>SMART.226518</t>
  </si>
  <si>
    <t>SMART.226519</t>
  </si>
  <si>
    <t>Cambio de autenticador Microsoft</t>
  </si>
  <si>
    <t>Carlos Quiroz Hernandez</t>
  </si>
  <si>
    <t>Access to ky2help</t>
  </si>
  <si>
    <t>Laptop se apaga sin repentinamente</t>
  </si>
  <si>
    <t>SSC - PRESTAMO DE MONITOR</t>
  </si>
  <si>
    <t>ABIGAIL SERRANO TOXTLE</t>
  </si>
  <si>
    <t>MODIFICACION DE INVENTARIO</t>
  </si>
  <si>
    <t>Acceso equipo computo Netforge</t>
  </si>
  <si>
    <t>Acceso personal de AUDI</t>
  </si>
  <si>
    <t>Acceso  equipo HP</t>
  </si>
  <si>
    <t>Solicitud de Software</t>
  </si>
  <si>
    <t>Auditoria del producto</t>
  </si>
  <si>
    <t>Tramite de permiso de acceso de equipo de computo</t>
  </si>
  <si>
    <t>New Purchase Order Printout 4500032892</t>
  </si>
  <si>
    <t>Ingreso equipo de computo a Curso de administracion y eficiencia en el trabajo</t>
  </si>
  <si>
    <t>PAMELA TABOADA</t>
  </si>
  <si>
    <t>Movimiento backup a Siemens PG</t>
  </si>
  <si>
    <t>PR011431/Envío factura 13670/PPUE PO 4500032892</t>
  </si>
  <si>
    <t>Bit locker</t>
  </si>
  <si>
    <t>REVISION DE TONNER (17-07-26)</t>
  </si>
  <si>
    <t>RECOLECCION DE TELOFONOS CELULARES</t>
  </si>
  <si>
    <t>Vasconcelos Martinez, Karla</t>
  </si>
  <si>
    <t>IT tips mes de julio 26 semana 4)</t>
  </si>
  <si>
    <t>Laptop con pantalla estatica</t>
  </si>
  <si>
    <t>AYUDA-Automotive Systems de Mexico</t>
  </si>
  <si>
    <t>Bkoqueo de cpu</t>
  </si>
  <si>
    <t>Teclas sin funcionar-Dock station</t>
  </si>
  <si>
    <t>ACTUALIZACION DE 5 MOVILES EN INVENTARIO</t>
  </si>
  <si>
    <t>ERROR AL INGRESAR AL PORTAL</t>
  </si>
  <si>
    <t>ANA LAURA ROMERO LEON</t>
  </si>
  <si>
    <t>PSJC.RSQ5: RG010, RS010, RA010 status ; additions</t>
  </si>
  <si>
    <t>Nueva Solicitud Acceso de PC proveedor MAST</t>
  </si>
  <si>
    <t>De La Cruz Vanessa</t>
  </si>
  <si>
    <t>ONBOARDING IPHONE 16-PAOLA MADRID</t>
  </si>
  <si>
    <t>IAS is not available</t>
  </si>
  <si>
    <t>Impresion PSJC</t>
  </si>
  <si>
    <t>Extracción datos CMK</t>
  </si>
  <si>
    <t>app</t>
  </si>
  <si>
    <t>video pasillo 10 y 11</t>
  </si>
  <si>
    <t>POSTEO MONETA EEROR TAX CODE</t>
  </si>
  <si>
    <t>on bording PG3buen</t>
  </si>
  <si>
    <t>Envío del Comprobante Fiscal Digital : SIP-0000148260</t>
  </si>
  <si>
    <t>FACTURACION1 SIPSA</t>
  </si>
  <si>
    <t>ERROR PARA CARGAR FACTURAS POR FALTA DE ITEM</t>
  </si>
  <si>
    <t>ERROR DE CREDENCIALES PARA INGRESO AL PORTAL</t>
  </si>
  <si>
    <t>Karina Nuñez</t>
  </si>
  <si>
    <t>Baja de colaborador (Osorio Barragán) y alta de nuevo colaborador (Tamaniz Peralta)</t>
  </si>
  <si>
    <t>SMART.226520</t>
  </si>
  <si>
    <t>SMART.226521</t>
  </si>
  <si>
    <t>SMART.226522</t>
  </si>
  <si>
    <t>SMART.226523</t>
  </si>
  <si>
    <t>SMART.226524</t>
  </si>
  <si>
    <t>SMART.226525</t>
  </si>
  <si>
    <t>SMART.226526</t>
  </si>
  <si>
    <t>SMART.226527</t>
  </si>
  <si>
    <t>SMART.226528</t>
  </si>
  <si>
    <t>SMART.226529</t>
  </si>
  <si>
    <t>SMART.226530</t>
  </si>
  <si>
    <t>SMART.226531</t>
  </si>
  <si>
    <t>SMART.226532</t>
  </si>
  <si>
    <t>SMART.226533</t>
  </si>
  <si>
    <t>SMART.226534</t>
  </si>
  <si>
    <t>SMART.226535</t>
  </si>
  <si>
    <t>SMART.226536</t>
  </si>
  <si>
    <t>SMART.226537</t>
  </si>
  <si>
    <t>SMART.226538</t>
  </si>
  <si>
    <t>SMART.226539</t>
  </si>
  <si>
    <t>SMART.226540</t>
  </si>
  <si>
    <t>SMART.226541</t>
  </si>
  <si>
    <t>SMART.226542</t>
  </si>
  <si>
    <t>SMART.226543</t>
  </si>
  <si>
    <t>SMART.226544</t>
  </si>
  <si>
    <t>SMART.226545</t>
  </si>
  <si>
    <t>SMART.226546</t>
  </si>
  <si>
    <t>SMART.226547</t>
  </si>
  <si>
    <t>SMART.226548</t>
  </si>
  <si>
    <t>SMART.226549</t>
  </si>
  <si>
    <t>SMART.226550</t>
  </si>
  <si>
    <t>SMART.226551</t>
  </si>
  <si>
    <t>SMART.226552</t>
  </si>
  <si>
    <t>SMART.226553</t>
  </si>
  <si>
    <t>SMART.226554</t>
  </si>
  <si>
    <t>SMART.226555</t>
  </si>
  <si>
    <t>SMART.226556</t>
  </si>
  <si>
    <t>SMART.226557</t>
  </si>
  <si>
    <t>SMART.226558</t>
  </si>
  <si>
    <t>SMART.226559</t>
  </si>
  <si>
    <t>SMART.226560</t>
  </si>
  <si>
    <t>SMART.226561</t>
  </si>
  <si>
    <t>SMART.226562</t>
  </si>
  <si>
    <t>SMART.226563</t>
  </si>
  <si>
    <t>SMART.226564</t>
  </si>
  <si>
    <t>SMART.226565</t>
  </si>
  <si>
    <t>SMART.226566</t>
  </si>
  <si>
    <t>SMART.226567</t>
  </si>
  <si>
    <t>SMART.226568</t>
  </si>
  <si>
    <t>SMART.226569</t>
  </si>
  <si>
    <t>SMART.226570</t>
  </si>
  <si>
    <t>SMART.226571</t>
  </si>
  <si>
    <t>Actualizacion RVS Puebla</t>
  </si>
  <si>
    <t>Error posteo moneta</t>
  </si>
  <si>
    <t>Solicitud de acceso a aplicación "Supplier Database (LDB)" en KBP</t>
  </si>
  <si>
    <t>Solicitud de acceso a aplicación "BG Online" en KBP</t>
  </si>
  <si>
    <t>IT contigo, Aviso de actualización</t>
  </si>
  <si>
    <t>SSC- OBTENER EL HASH DE 12 EQUIPOS DESKTOP</t>
  </si>
  <si>
    <t>EXHORTO BUZÓN IMSS</t>
  </si>
  <si>
    <t>video pasillo 10 y 11-Silva Robles, Alfredo</t>
  </si>
  <si>
    <t>PROVEEDOR PR011361 REVISION ACCESO A PORTAL</t>
  </si>
  <si>
    <t>Socorro Gorostieta Vazquez</t>
  </si>
  <si>
    <t>Cambio de desktop a laptop de Karla Capetillo</t>
  </si>
  <si>
    <t>PR011431/Envío factura 13757/PPUE PO 4500032892</t>
  </si>
  <si>
    <t>Martha Gabriela Garcia Castillo</t>
  </si>
  <si>
    <t>ticket correo bloqueado</t>
  </si>
  <si>
    <t>Acceso a Equipo de Cómputo para Curso</t>
  </si>
  <si>
    <t>Desbloqueo de bitlocker</t>
  </si>
  <si>
    <t>Solicitud de revision de Nodo FC060</t>
  </si>
  <si>
    <t>Bloqueo de equipos de cómputo</t>
  </si>
  <si>
    <t>Puertas de acceso están desactivadas</t>
  </si>
  <si>
    <t>REVISION DE TONNER (24-07-26)</t>
  </si>
  <si>
    <t>Actualización versión SAP / production System R21 - Karla Capetillo</t>
  </si>
  <si>
    <t>Karla Capetillo-Madrid, Paola Hernandez</t>
  </si>
  <si>
    <t>PR011685 FACTURAS DE RENTA JULIO THYSSENKRUPP AUTOMOTIVE</t>
  </si>
  <si>
    <t>Solicitud de soporte para acceso a Proxy de MoNETA</t>
  </si>
  <si>
    <t>Fernanda López Gutiérrez</t>
  </si>
  <si>
    <t>IT tips mes de julio 26 semana 5)</t>
  </si>
  <si>
    <t>Soporte con instalación de Equipo Fijo para Juan Carlos en PSJC - soporte temporal</t>
  </si>
  <si>
    <t>Extraccion de datos</t>
  </si>
  <si>
    <t>Bloqueo de cpu</t>
  </si>
  <si>
    <t>New KAS VPC Parameters - Test plan</t>
  </si>
  <si>
    <t>Creación de correos electrónicos</t>
  </si>
  <si>
    <t>Apoyo para bajar servidor en SJC</t>
  </si>
  <si>
    <t>CORREO SOSPECHOSO</t>
  </si>
  <si>
    <t>CAFIVER</t>
  </si>
  <si>
    <t>Trámite de acceso equipo de cómputo</t>
  </si>
  <si>
    <t>Curso de administracion y eficiencia en el trabajo</t>
  </si>
  <si>
    <t>Acceso equipo computo HPE</t>
  </si>
  <si>
    <t>Extraccion de archivo</t>
  </si>
  <si>
    <t>Desbloqueó bitlocker</t>
  </si>
  <si>
    <t>Extraccion de Datos</t>
  </si>
  <si>
    <t>Acceso a PC J Carlos Glez</t>
  </si>
  <si>
    <t>Ingreso de equipos de computo tk, visita de BMS (San Miguel Allende)</t>
  </si>
  <si>
    <t>MOVER AIRE ACONDICIONADO PORTABLE</t>
  </si>
  <si>
    <t>SMART.226572</t>
  </si>
  <si>
    <t>SMART.226573</t>
  </si>
  <si>
    <t>SMART.226574</t>
  </si>
  <si>
    <t>SMART.226575</t>
  </si>
  <si>
    <t>SMART.226576</t>
  </si>
  <si>
    <t>SMART.226577</t>
  </si>
  <si>
    <t>SMART.226578</t>
  </si>
  <si>
    <t>SMART.226579</t>
  </si>
  <si>
    <t>SMART.226580</t>
  </si>
  <si>
    <t>SMART.226581</t>
  </si>
  <si>
    <t>SMART.226582</t>
  </si>
  <si>
    <t>SMART.226583</t>
  </si>
  <si>
    <t>SMART.226584</t>
  </si>
  <si>
    <t>SMART.226585</t>
  </si>
  <si>
    <t>SMART.226586</t>
  </si>
  <si>
    <t>SMART.226587</t>
  </si>
  <si>
    <t>SMART.226588</t>
  </si>
  <si>
    <t>SMART.226589</t>
  </si>
  <si>
    <t>SMART.226590</t>
  </si>
  <si>
    <t>SMART.226591</t>
  </si>
  <si>
    <t>SMART.226592</t>
  </si>
  <si>
    <t>SMART.226593</t>
  </si>
  <si>
    <t>SMART.226594</t>
  </si>
  <si>
    <t>SMART.226595</t>
  </si>
  <si>
    <t>SMART.226596</t>
  </si>
  <si>
    <t>SMART.226597</t>
  </si>
  <si>
    <t>SMART.226598</t>
  </si>
  <si>
    <t>SMART.226599</t>
  </si>
  <si>
    <t>SMART.226600</t>
  </si>
  <si>
    <t>SMART.226601</t>
  </si>
  <si>
    <t>SMART.226602</t>
  </si>
  <si>
    <t>SMART.226603</t>
  </si>
  <si>
    <t>SMART.226604</t>
  </si>
  <si>
    <t>SMART.226605</t>
  </si>
  <si>
    <t>SMART.226606</t>
  </si>
  <si>
    <t>SMART.226607</t>
  </si>
  <si>
    <t>SMART.226608</t>
  </si>
  <si>
    <t>SMART.226609</t>
  </si>
  <si>
    <t>SMART.226610</t>
  </si>
  <si>
    <t>SMART.226611</t>
  </si>
  <si>
    <t>SMART.226612</t>
  </si>
  <si>
    <t>SMART.226613</t>
  </si>
  <si>
    <t>SMART.226614</t>
  </si>
  <si>
    <t>SMART.226615</t>
  </si>
  <si>
    <t>SMART.226616</t>
  </si>
  <si>
    <t>SMART.226617</t>
  </si>
  <si>
    <t>SMART.226618</t>
  </si>
  <si>
    <t>SMART.226619</t>
  </si>
  <si>
    <t>SMART.226620</t>
  </si>
  <si>
    <t>SMART.226621</t>
  </si>
  <si>
    <t>SMART.226622</t>
  </si>
  <si>
    <t>SMART.226623</t>
  </si>
  <si>
    <t>SMART.226624</t>
  </si>
  <si>
    <t>SMART.226625</t>
  </si>
  <si>
    <t>SMART.226626</t>
  </si>
  <si>
    <t>SMART.226627</t>
  </si>
  <si>
    <t>SMART.226628</t>
  </si>
  <si>
    <t>SMART.226629</t>
  </si>
  <si>
    <t>SMART.226630</t>
  </si>
  <si>
    <t>ASIGNACION DE ACCESORIOS</t>
  </si>
  <si>
    <t>Falfan Macedo, Maria Fernanda</t>
  </si>
  <si>
    <t>Solicitud de desbloqueó</t>
  </si>
  <si>
    <t>Acceso a equipo</t>
  </si>
  <si>
    <t>Restablecimiento de equipo de computo</t>
  </si>
  <si>
    <t>Desbloqueo cpu losgistica</t>
  </si>
  <si>
    <t>Contraseña de computadora</t>
  </si>
  <si>
    <t>Computadora de oficina de calidad bloqueada</t>
  </si>
  <si>
    <t>Extracción de datos</t>
  </si>
  <si>
    <t>Actualizacion RVS SJC</t>
  </si>
  <si>
    <t>Archivos para MONETA</t>
  </si>
  <si>
    <t>RO11391 FACTURA 1510//ticket reporte de facturas moneta</t>
  </si>
  <si>
    <t>MoNETA - supplier portal</t>
  </si>
  <si>
    <t>Claudia Angelica.</t>
  </si>
  <si>
    <t>Error para ingresar a página we.learn</t>
  </si>
  <si>
    <t>Creación de Product Hierarchy en SAP</t>
  </si>
  <si>
    <t>REVISION ACCESO A PORTAL</t>
  </si>
  <si>
    <t>Retencion proveedor PR011979 JORGE ARMANDO CHAVEZ DOMINGUEZ</t>
  </si>
  <si>
    <t>PO 4500031138 JORGE ZEPEDA YAÑEZ</t>
  </si>
  <si>
    <t>VULN: Network shares are freely writable by everyone</t>
  </si>
  <si>
    <t>Soporte Teclas sin funcionar.</t>
  </si>
  <si>
    <t>Ticket - BITLOCKER</t>
  </si>
  <si>
    <t>PASSWPORD</t>
  </si>
  <si>
    <t>Lozada Fernandez, Fatima</t>
  </si>
  <si>
    <t>NO ACCESS TO E-LEARNING PAGE</t>
  </si>
  <si>
    <t>Cordero, Montserrat Martinez</t>
  </si>
  <si>
    <t>SOLICITUD DE SOPORTE PARA EQUIPO SERVICIO MEDICO</t>
  </si>
  <si>
    <t>Duda ingreso facturas al portal</t>
  </si>
  <si>
    <t>Gerardo Gutiérrez</t>
  </si>
  <si>
    <t>MAGNO JONATHAN NUÑEZ CALDERON</t>
  </si>
  <si>
    <t>BATERIA LAPTOP</t>
  </si>
  <si>
    <t>cambio de No.telefono para acseso al portal Moneta</t>
  </si>
  <si>
    <t>REVISION DE TONNER (31-07-26)</t>
  </si>
  <si>
    <t>IT tips mes de agosto 26 semana 1)</t>
  </si>
  <si>
    <t>Net ForgeTrámite de acceso equipo de cómputo</t>
  </si>
  <si>
    <t>Acceso a celular</t>
  </si>
  <si>
    <t>Desbloqueo</t>
  </si>
  <si>
    <t>PERMISO INGRESO EQUIPO DE COMPUTO.</t>
  </si>
  <si>
    <t>SOLICITUD DE RADIO</t>
  </si>
  <si>
    <t>GD&amp;T Agosto</t>
  </si>
  <si>
    <t>SOLICITUD DE ACCESO VIERNES 7 DE AGOSTO 2026//KRESTON BSG//PPUE</t>
  </si>
  <si>
    <t>Acceso equipo laptops</t>
  </si>
  <si>
    <t>Tiquet</t>
  </si>
  <si>
    <t>PORTAL MONETA FACTURAS JULIO 2026</t>
  </si>
  <si>
    <t>Ticket - cambio de número celular</t>
  </si>
  <si>
    <t>SSC - Acceso a correo TKNA</t>
  </si>
  <si>
    <t>8ID's que causaron baja (proveedores)</t>
  </si>
  <si>
    <t>Listado de personal con 8ID (03.08.2026)</t>
  </si>
  <si>
    <t>ESCANEO MENSUAL AGOSTO 26 INTERACT</t>
  </si>
  <si>
    <t>ESCANEO MENSUAL AGOSTO 26 RACON 1</t>
  </si>
  <si>
    <t>ESCANEO MENSUAL AGOSTO 26 RACON 2</t>
  </si>
  <si>
    <t>ESCANEO MENSUAL AGOSTO 26 RACON 3</t>
  </si>
  <si>
    <t>ESCANEO MENSUAL AGOSTO 26 TORAB</t>
  </si>
  <si>
    <t>ESCANEO MENSUAL AGOSTO 26 CODELAND 1</t>
  </si>
  <si>
    <t>ESCANEO MENSUAL AGOSTO 26 CODELAND 2</t>
  </si>
  <si>
    <t>APOYO MONETA</t>
  </si>
  <si>
    <t>JULIO CESAR CASTRO FLORES</t>
  </si>
  <si>
    <t>Conexión a red inalambrica</t>
  </si>
  <si>
    <t>Acceso a Moneta</t>
  </si>
  <si>
    <t>Acceso a SAP P2T</t>
  </si>
  <si>
    <t>Authenticator app</t>
  </si>
  <si>
    <t>FORMATO APARECE EN MODO EUROPEO</t>
  </si>
  <si>
    <t>Solicitud de extracción de reportes FS</t>
  </si>
  <si>
    <t>Miosanty G.</t>
  </si>
  <si>
    <t>Nuevos email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</si>
</sst>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0" xfId="0" applyNumberFormat="1"/>
    <xf numFmtId="16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4" formatCode="dd/mm/yyyy"/>
    </dxf>
    <dxf>
      <numFmt numFmtId="164" formatCode="dd/mm/yyyy"/>
    </dxf>
    <dxf>
      <numFmt numFmtId="164" formatCode="dd/mm/yy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dd/mm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7" formatCode="m/d/yyyy\ 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8F2CF-541A-476B-BF4C-44E73144D477}" name="Table1" displayName="Table1" ref="A1:M3271" totalsRowShown="0" headerRowDxfId="22" dataDxfId="20" headerRowBorderDxfId="21" tableBorderDxfId="19" totalsRowBorderDxfId="18">
  <autoFilter ref="A1:M3271" xr:uid="{F9A8F2CF-541A-476B-BF4C-44E73144D477}">
    <filterColumn colId="0">
      <filters blank="1"/>
    </filterColumn>
  </autoFilter>
  <sortState xmlns:xlrd2="http://schemas.microsoft.com/office/spreadsheetml/2017/richdata2" ref="A1294:M1519">
    <sortCondition ref="B1:B1519"/>
  </sortState>
  <tableColumns count="13">
    <tableColumn id="1" xr3:uid="{D8DE6A16-8CCF-456D-A8C4-9157D6A5392F}" name="INICIO" dataDxfId="17"/>
    <tableColumn id="2" xr3:uid="{E4C257BA-771C-44B2-AEA1-6E2EB2ED8632}" name="N° TICKET" dataDxfId="16"/>
    <tableColumn id="3" xr3:uid="{84852C9A-14BC-4C45-940D-3865C18768C1}" name="FALLA" dataDxfId="15"/>
    <tableColumn id="4" xr3:uid="{AE950BD0-9D8D-4350-8E44-7598E77D7E59}" name="USUARIO" dataDxfId="14"/>
    <tableColumn id="5" xr3:uid="{AC8CFE5E-A2D5-4CD8-9CF9-9B1235FA5974}" name="CORREO" dataDxfId="13"/>
    <tableColumn id="6" xr3:uid="{2888AFB0-F2E7-4FEA-B65B-AFCBD6CBEC7B}" name="INICIO ESTIMADO" dataDxfId="12">
      <calculatedColumnFormula>IF(HOUR(Table1[[#This Row],[CORREO]])&gt;=11,WORKDAY(Table1[[#This Row],[CORREO]],1,Table2[Dias no laborales]),E2)</calculatedColumnFormula>
    </tableColumn>
    <tableColumn id="7" xr3:uid="{BE916275-CEC6-47D8-B911-BDF6173ECDAD}" name="FIN" dataDxfId="11"/>
    <tableColumn id="8" xr3:uid="{0021EE13-DE78-45C8-BE1B-6343ABD6BF1C}" name="SEMANA" dataDxfId="10">
      <calculatedColumnFormula>INT((A2-DATE(YEAR(A2),1,1))/7) + 1</calculatedColumnFormula>
    </tableColumn>
    <tableColumn id="9" xr3:uid="{41172A96-1CF9-41E1-909B-D19864A66E53}" name="DIAS" dataDxfId="9">
      <calculatedColumnFormula>MAX(1, NETWORKDAYS(A2, G2,Table2[Dias no laborales]))</calculatedColumnFormula>
    </tableColumn>
    <tableColumn id="10" xr3:uid="{13BFC7E8-8F8E-45DE-A672-B4C18BF8D282}" name="RANGO" dataDxfId="8">
      <calculatedColumnFormula>IF(Table1[[#This Row],[FIN]]="","Acumulado",IF(ISNUMBER(SEARCH("ASAP",C2)),"ASAP",IF(NETWORKDAYS.INTL(F2,G2,1,Table2[Dias no laborales]) &lt;= 7, "Dentro", IF(A2&gt;F2,"Programado","Fuera"))))</calculatedColumnFormula>
    </tableColumn>
    <tableColumn id="11" xr3:uid="{2CEDB476-C913-4029-9467-69725EDB37E8}" name="GENERACIÓN TICKET" dataDxfId="7">
      <calculatedColumnFormula>IF(INT(A2)=INT(F2),"A tiempo", IF(A2&lt;F2,"Mismo día","Programados"))</calculatedColumnFormula>
    </tableColumn>
    <tableColumn id="12" xr3:uid="{477D20A9-8A60-47D0-A0F6-2508ECEA113D}" name="PRIMER CONTACTO" dataDxfId="6"/>
    <tableColumn id="13" xr3:uid="{81C34891-0C82-416F-8449-595791205176}" name="DIAS PRIMER CONTACTO" dataDxfId="5">
      <calculatedColumnFormula>MAX(1,NETWORKDAYS(A2,L2,Table2[Dias no laborales]))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39F97-1501-4148-9245-E055B3D870DB}" name="Table2" displayName="Table2" ref="A1:A13" totalsRowShown="0" headerRowDxfId="4" dataDxfId="3">
  <autoFilter ref="A1:A13" xr:uid="{7AE39F97-1501-4148-9245-E055B3D870DB}"/>
  <tableColumns count="1">
    <tableColumn id="1" xr3:uid="{822BB9F9-0E3D-40A2-B219-AE83A91D80F9}" name="Dias no laboral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BAA1-5C05-4C8D-9FC3-FF8259F03E7A}">
  <dimension ref="A1:M3271"/>
  <sheetViews>
    <sheetView tabSelected="1" topLeftCell="D1" zoomScale="109" zoomScaleNormal="130" workbookViewId="0">
      <selection activeCell="E2775" sqref="E2775"/>
    </sheetView>
  </sheetViews>
  <sheetFormatPr defaultRowHeight="14.4" x14ac:dyDescent="0.3"/>
  <cols>
    <col min="1" max="1" width="13.5546875" style="20" bestFit="1" customWidth="1"/>
    <col min="2" max="2" width="16.33203125" style="19" bestFit="1" customWidth="1"/>
    <col min="3" max="3" width="163.33203125" style="19" customWidth="1"/>
    <col min="4" max="4" width="55.33203125" style="19" customWidth="1"/>
    <col min="5" max="5" width="22.6640625" style="20" customWidth="1"/>
    <col min="6" max="6" width="20.33203125" style="20" customWidth="1"/>
    <col min="7" max="7" width="11" style="20" customWidth="1"/>
    <col min="8" max="8" width="12.5546875" style="19" customWidth="1"/>
    <col min="9" max="9" width="8.6640625" style="19" customWidth="1"/>
    <col min="10" max="10" width="12.33203125" style="19" customWidth="1"/>
    <col min="11" max="11" width="19.6640625" style="19" customWidth="1"/>
    <col min="12" max="12" width="21.6640625" style="20" customWidth="1"/>
    <col min="13" max="13" width="23" style="19" customWidth="1"/>
  </cols>
  <sheetData>
    <row r="1" spans="1:13" x14ac:dyDescent="0.3">
      <c r="A1" s="2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 hidden="1" x14ac:dyDescent="0.3">
      <c r="A2" s="8">
        <v>45655</v>
      </c>
      <c r="B2" s="6" t="s">
        <v>2783</v>
      </c>
      <c r="C2" s="6" t="s">
        <v>2754</v>
      </c>
      <c r="D2" s="6" t="s">
        <v>351</v>
      </c>
      <c r="E2" s="14">
        <v>46017.566666666666</v>
      </c>
      <c r="F2" s="8">
        <f>IF(HOUR(Table1[[#This Row],[CORREO]])&gt;=11,WORKDAY(Table1[[#This Row],[CORREO]],1,Table2[Dias no laborales]),E2)</f>
        <v>46020</v>
      </c>
      <c r="G2" s="8">
        <v>46020</v>
      </c>
      <c r="H2" s="6">
        <f t="shared" ref="H2:H65" si="0">INT((A2-DATE(YEAR(A2),1,1))/7) + 1</f>
        <v>52</v>
      </c>
      <c r="I2" s="16">
        <f>MAX(1, NETWORKDAYS(A2, G2,Table2[Dias no laborales]))</f>
        <v>258</v>
      </c>
      <c r="J2" s="6" t="str">
        <f>IF(Table1[[#This Row],[FIN]]="","Acumulado",IF(ISNUMBER(SEARCH("ASAP",C2)),"ASAP",IF(NETWORKDAYS.INTL(F2,G2,1,Table2[Dias no laborales]) &lt;= 7, "Dentro", IF(A2&gt;F2,"Programado","Fuera"))))</f>
        <v>Dentro</v>
      </c>
      <c r="K2" s="6" t="str">
        <f t="shared" ref="K2:K65" si="1">IF(INT(A2)=INT(F2),"A tiempo", IF(A2&lt;F2,"Mismo día","Programados"))</f>
        <v>Mismo día</v>
      </c>
      <c r="L2" s="8">
        <v>46020</v>
      </c>
      <c r="M2" s="17">
        <f>MAX(1,NETWORKDAYS(A2,L2,Table2[Dias no laborales]))</f>
        <v>258</v>
      </c>
    </row>
    <row r="3" spans="1:13" hidden="1" x14ac:dyDescent="0.3">
      <c r="A3" s="8">
        <v>45400</v>
      </c>
      <c r="B3" s="6" t="s">
        <v>137</v>
      </c>
      <c r="C3" s="6" t="s">
        <v>138</v>
      </c>
      <c r="D3" s="6" t="s">
        <v>139</v>
      </c>
      <c r="E3" s="14">
        <v>45400.425694444442</v>
      </c>
      <c r="F3" s="8">
        <f>IF(HOUR(Table1[[#This Row],[CORREO]])&gt;=11,WORKDAY(Table1[[#This Row],[CORREO]],1,Table2[Dias no laborales]),E3)</f>
        <v>45400.425694444442</v>
      </c>
      <c r="G3" s="8">
        <v>45674</v>
      </c>
      <c r="H3" s="6">
        <f t="shared" si="0"/>
        <v>16</v>
      </c>
      <c r="I3" s="16">
        <f>MAX(1, NETWORKDAYS(A3, G3,Table2[Dias no laborales]))</f>
        <v>197</v>
      </c>
      <c r="J3" s="6" t="str">
        <f>IF(Table1[[#This Row],[FIN]]="","Acumulado",IF(ISNUMBER(SEARCH("ASAP",C3)),"ASAP",IF(NETWORKDAYS.INTL(F3,G3,1,Table2[Dias no laborales]) &lt;= 7, "Dentro", IF(A3&gt;F3,"Programado","Fuera"))))</f>
        <v>Fuera</v>
      </c>
      <c r="K3" s="6" t="str">
        <f t="shared" si="1"/>
        <v>A tiempo</v>
      </c>
      <c r="L3" s="8">
        <v>45400</v>
      </c>
      <c r="M3" s="17">
        <f>MAX(1,NETWORKDAYS(A3,L3,Table2[Dias no laborales]))</f>
        <v>1</v>
      </c>
    </row>
    <row r="4" spans="1:13" hidden="1" x14ac:dyDescent="0.3">
      <c r="A4" s="8">
        <v>45552</v>
      </c>
      <c r="B4" s="6" t="s">
        <v>31</v>
      </c>
      <c r="C4" s="6" t="s">
        <v>32</v>
      </c>
      <c r="D4" s="6" t="s">
        <v>24</v>
      </c>
      <c r="E4" s="14">
        <v>45552.543055555558</v>
      </c>
      <c r="F4" s="12">
        <f>IF(HOUR(Table1[[#This Row],[CORREO]])&gt;=11,WORKDAY(Table1[[#This Row],[CORREO]],1,Table2[Dias no laborales]),E4)</f>
        <v>45553</v>
      </c>
      <c r="G4" s="8">
        <v>45665</v>
      </c>
      <c r="H4" s="16">
        <f t="shared" si="0"/>
        <v>38</v>
      </c>
      <c r="I4" s="16">
        <f>MAX(1, NETWORKDAYS(A4, G4,Table2[Dias no laborales]))</f>
        <v>82</v>
      </c>
      <c r="J4" s="6" t="str">
        <f>IF(Table1[[#This Row],[FIN]]="","Acumulado",IF(ISNUMBER(SEARCH("ASAP",C4)),"ASAP",IF(NETWORKDAYS.INTL(F4,G4,1,Table2[Dias no laborales]) &lt;= 7, "Dentro", IF(A4&gt;F4,"Programado","Fuera"))))</f>
        <v>Fuera</v>
      </c>
      <c r="K4" s="16" t="str">
        <f t="shared" si="1"/>
        <v>Mismo día</v>
      </c>
      <c r="L4" s="12">
        <v>45553</v>
      </c>
      <c r="M4" s="18">
        <f>MAX(1,NETWORKDAYS(A4,L4,Table2[Dias no laborales]))</f>
        <v>2</v>
      </c>
    </row>
    <row r="5" spans="1:13" hidden="1" x14ac:dyDescent="0.3">
      <c r="A5" s="8">
        <v>45554</v>
      </c>
      <c r="B5" s="6" t="s">
        <v>16</v>
      </c>
      <c r="C5" s="6" t="s">
        <v>17</v>
      </c>
      <c r="D5" s="6" t="s">
        <v>18</v>
      </c>
      <c r="E5" s="14">
        <v>45554.445138888892</v>
      </c>
      <c r="F5" s="8">
        <f>IF(HOUR(Table1[[#This Row],[CORREO]])&gt;=11,WORKDAY(Table1[[#This Row],[CORREO]],1,Table2[Dias no laborales]),E5)</f>
        <v>45554.445138888892</v>
      </c>
      <c r="G5" s="8">
        <v>45660</v>
      </c>
      <c r="H5" s="6">
        <f t="shared" si="0"/>
        <v>38</v>
      </c>
      <c r="I5" s="16">
        <f>MAX(1, NETWORKDAYS(A5, G5,Table2[Dias no laborales]))</f>
        <v>77</v>
      </c>
      <c r="J5" s="6" t="str">
        <f>IF(Table1[[#This Row],[FIN]]="","Acumulado",IF(ISNUMBER(SEARCH("ASAP",C5)),"ASAP",IF(NETWORKDAYS.INTL(F5,G5,1,Table2[Dias no laborales]) &lt;= 7, "Dentro", IF(A5&gt;F5,"Programado","Fuera"))))</f>
        <v>Fuera</v>
      </c>
      <c r="K5" s="6" t="str">
        <f t="shared" si="1"/>
        <v>A tiempo</v>
      </c>
      <c r="L5" s="8">
        <v>45555</v>
      </c>
      <c r="M5" s="17">
        <f>MAX(1,NETWORKDAYS(A5,L5,Table2[Dias no laborales]))</f>
        <v>2</v>
      </c>
    </row>
    <row r="6" spans="1:13" hidden="1" x14ac:dyDescent="0.3">
      <c r="A6" s="8">
        <v>45602</v>
      </c>
      <c r="B6" s="6" t="s">
        <v>33</v>
      </c>
      <c r="C6" s="6" t="s">
        <v>34</v>
      </c>
      <c r="D6" s="6" t="s">
        <v>24</v>
      </c>
      <c r="E6" s="14">
        <v>45602.366666666669</v>
      </c>
      <c r="F6" s="8">
        <f>IF(HOUR(Table1[[#This Row],[CORREO]])&gt;=11,WORKDAY(Table1[[#This Row],[CORREO]],1,Table2[Dias no laborales]),E6)</f>
        <v>45602.366666666669</v>
      </c>
      <c r="G6" s="8">
        <v>45663</v>
      </c>
      <c r="H6" s="6">
        <f t="shared" si="0"/>
        <v>45</v>
      </c>
      <c r="I6" s="16">
        <f>MAX(1, NETWORKDAYS(A6, G6,Table2[Dias no laborales]))</f>
        <v>44</v>
      </c>
      <c r="J6" s="6" t="str">
        <f>IF(Table1[[#This Row],[FIN]]="","Acumulado",IF(ISNUMBER(SEARCH("ASAP",C6)),"ASAP",IF(NETWORKDAYS.INTL(F6,G6,1,Table2[Dias no laborales]) &lt;= 7, "Dentro", IF(A6&gt;F6,"Programado","Fuera"))))</f>
        <v>Fuera</v>
      </c>
      <c r="K6" s="6" t="str">
        <f t="shared" si="1"/>
        <v>A tiempo</v>
      </c>
      <c r="L6" s="8">
        <v>45603</v>
      </c>
      <c r="M6" s="17">
        <f>MAX(1,NETWORKDAYS(A6,L6,Table2[Dias no laborales]))</f>
        <v>2</v>
      </c>
    </row>
    <row r="7" spans="1:13" hidden="1" x14ac:dyDescent="0.3">
      <c r="A7" s="8">
        <v>45603</v>
      </c>
      <c r="B7" s="6" t="s">
        <v>35</v>
      </c>
      <c r="C7" s="6" t="s">
        <v>36</v>
      </c>
      <c r="D7" s="6" t="s">
        <v>37</v>
      </c>
      <c r="E7" s="14">
        <v>45603.479166666664</v>
      </c>
      <c r="F7" s="8">
        <f>IF(HOUR(Table1[[#This Row],[CORREO]])&gt;=11,WORKDAY(Table1[[#This Row],[CORREO]],1,Table2[Dias no laborales]),E7)</f>
        <v>45604</v>
      </c>
      <c r="G7" s="8">
        <v>45663</v>
      </c>
      <c r="H7" s="6">
        <f t="shared" si="0"/>
        <v>45</v>
      </c>
      <c r="I7" s="16">
        <f>MAX(1, NETWORKDAYS(A7, G7,Table2[Dias no laborales]))</f>
        <v>43</v>
      </c>
      <c r="J7" s="6" t="str">
        <f>IF(Table1[[#This Row],[FIN]]="","Acumulado",IF(ISNUMBER(SEARCH("ASAP",C7)),"ASAP",IF(NETWORKDAYS.INTL(F7,G7,1,Table2[Dias no laborales]) &lt;= 7, "Dentro", IF(A7&gt;F7,"Programado","Fuera"))))</f>
        <v>Fuera</v>
      </c>
      <c r="K7" s="6" t="str">
        <f t="shared" si="1"/>
        <v>Mismo día</v>
      </c>
      <c r="L7" s="8">
        <v>45603</v>
      </c>
      <c r="M7" s="17">
        <f>MAX(1,NETWORKDAYS(A7,L7,Table2[Dias no laborales]))</f>
        <v>1</v>
      </c>
    </row>
    <row r="8" spans="1:13" hidden="1" x14ac:dyDescent="0.3">
      <c r="A8" s="8">
        <v>45618</v>
      </c>
      <c r="B8" s="6" t="s">
        <v>13</v>
      </c>
      <c r="C8" s="6" t="s">
        <v>14</v>
      </c>
      <c r="D8" s="6" t="s">
        <v>15</v>
      </c>
      <c r="E8" s="14"/>
      <c r="F8" s="8">
        <f>IF(HOUR(Table1[[#This Row],[CORREO]])&gt;=11,WORKDAY(Table1[[#This Row],[CORREO]],1,Table2[Dias no laborales]),E8)</f>
        <v>0</v>
      </c>
      <c r="G8" s="8">
        <v>45659</v>
      </c>
      <c r="H8" s="6">
        <f t="shared" si="0"/>
        <v>47</v>
      </c>
      <c r="I8" s="16">
        <f>MAX(1, NETWORKDAYS(A8, G8,Table2[Dias no laborales]))</f>
        <v>30</v>
      </c>
      <c r="J8" s="6" t="str">
        <f>IF(Table1[[#This Row],[FIN]]="","Acumulado",IF(ISNUMBER(SEARCH("ASAP",C8)),"ASAP",IF(NETWORKDAYS.INTL(F8,G8,1,Table2[Dias no laborales]) &lt;= 7, "Dentro", IF(A8&gt;F8,"Programado","Fuera"))))</f>
        <v>Programado</v>
      </c>
      <c r="K8" s="6" t="str">
        <f t="shared" si="1"/>
        <v>Programados</v>
      </c>
      <c r="L8" s="8">
        <v>45621</v>
      </c>
      <c r="M8" s="17">
        <f>MAX(1,NETWORKDAYS(A8,L8,Table2[Dias no laborales]))</f>
        <v>2</v>
      </c>
    </row>
    <row r="9" spans="1:13" hidden="1" x14ac:dyDescent="0.3">
      <c r="A9" s="8">
        <v>45624</v>
      </c>
      <c r="B9" s="6" t="s">
        <v>38</v>
      </c>
      <c r="C9" s="6" t="s">
        <v>39</v>
      </c>
      <c r="D9" s="6" t="s">
        <v>21</v>
      </c>
      <c r="E9" s="14">
        <v>45624.370138888888</v>
      </c>
      <c r="F9" s="8">
        <f>IF(HOUR(Table1[[#This Row],[CORREO]])&gt;=11,WORKDAY(Table1[[#This Row],[CORREO]],1,Table2[Dias no laborales]),E9)</f>
        <v>45624.370138888888</v>
      </c>
      <c r="G9" s="8">
        <v>45663</v>
      </c>
      <c r="H9" s="6">
        <f t="shared" si="0"/>
        <v>48</v>
      </c>
      <c r="I9" s="16">
        <f>MAX(1, NETWORKDAYS(A9, G9,Table2[Dias no laborales]))</f>
        <v>28</v>
      </c>
      <c r="J9" s="6" t="str">
        <f>IF(Table1[[#This Row],[FIN]]="","Acumulado",IF(ISNUMBER(SEARCH("ASAP",C9)),"ASAP",IF(NETWORKDAYS.INTL(F9,G9,1,Table2[Dias no laborales]) &lt;= 7, "Dentro", IF(A9&gt;F9,"Programado","Fuera"))))</f>
        <v>Fuera</v>
      </c>
      <c r="K9" s="6" t="str">
        <f t="shared" si="1"/>
        <v>A tiempo</v>
      </c>
      <c r="L9" s="8">
        <v>45624</v>
      </c>
      <c r="M9" s="17">
        <f>MAX(1,NETWORKDAYS(A9,L9,Table2[Dias no laborales]))</f>
        <v>1</v>
      </c>
    </row>
    <row r="10" spans="1:13" hidden="1" x14ac:dyDescent="0.3">
      <c r="A10" s="8">
        <v>45659</v>
      </c>
      <c r="B10" s="6" t="s">
        <v>22</v>
      </c>
      <c r="C10" s="6" t="s">
        <v>23</v>
      </c>
      <c r="D10" s="6" t="s">
        <v>24</v>
      </c>
      <c r="E10" s="14">
        <v>45628.381944444445</v>
      </c>
      <c r="F10" s="8">
        <f>IF(HOUR(Table1[[#This Row],[CORREO]])&gt;=11,WORKDAY(Table1[[#This Row],[CORREO]],1,Table2[Dias no laborales]),E10)</f>
        <v>45628.381944444445</v>
      </c>
      <c r="G10" s="8">
        <v>45663</v>
      </c>
      <c r="H10" s="6">
        <f t="shared" si="0"/>
        <v>1</v>
      </c>
      <c r="I10" s="16">
        <f>MAX(1, NETWORKDAYS(A10, G10,Table2[Dias no laborales]))</f>
        <v>3</v>
      </c>
      <c r="J10" s="6" t="str">
        <f>IF(Table1[[#This Row],[FIN]]="","Acumulado",IF(ISNUMBER(SEARCH("ASAP",C10)),"ASAP",IF(NETWORKDAYS.INTL(F10,G10,1,Table2[Dias no laborales]) &lt;= 7, "Dentro", IF(A10&gt;F10,"Programado","Fuera"))))</f>
        <v>Programado</v>
      </c>
      <c r="K10" s="6" t="str">
        <f t="shared" si="1"/>
        <v>Programados</v>
      </c>
      <c r="L10" s="8">
        <v>45628</v>
      </c>
      <c r="M10" s="17">
        <f>MAX(1,NETWORKDAYS(A10,L10,Table2[Dias no laborales]))</f>
        <v>1</v>
      </c>
    </row>
    <row r="11" spans="1:13" hidden="1" x14ac:dyDescent="0.3">
      <c r="A11" s="8">
        <v>45636</v>
      </c>
      <c r="B11" s="6" t="s">
        <v>40</v>
      </c>
      <c r="C11" s="6" t="s">
        <v>41</v>
      </c>
      <c r="D11" s="6" t="s">
        <v>42</v>
      </c>
      <c r="E11" s="14">
        <v>45636.363888888889</v>
      </c>
      <c r="F11" s="8">
        <f>IF(HOUR(Table1[[#This Row],[CORREO]])&gt;=11,WORKDAY(Table1[[#This Row],[CORREO]],1,Table2[Dias no laborales]),E11)</f>
        <v>45636.363888888889</v>
      </c>
      <c r="G11" s="8">
        <v>45663</v>
      </c>
      <c r="H11" s="6">
        <f t="shared" si="0"/>
        <v>50</v>
      </c>
      <c r="I11" s="16">
        <f>MAX(1, NETWORKDAYS(A11, G11,Table2[Dias no laborales]))</f>
        <v>20</v>
      </c>
      <c r="J11" s="6" t="str">
        <f>IF(Table1[[#This Row],[FIN]]="","Acumulado",IF(ISNUMBER(SEARCH("ASAP",C11)),"ASAP",IF(NETWORKDAYS.INTL(F11,G11,1,Table2[Dias no laborales]) &lt;= 7, "Dentro", IF(A11&gt;F11,"Programado","Fuera"))))</f>
        <v>Fuera</v>
      </c>
      <c r="K11" s="6" t="str">
        <f t="shared" si="1"/>
        <v>A tiempo</v>
      </c>
      <c r="L11" s="8">
        <v>45636</v>
      </c>
      <c r="M11" s="17">
        <f>MAX(1,NETWORKDAYS(A11,L11,Table2[Dias no laborales]))</f>
        <v>1</v>
      </c>
    </row>
    <row r="12" spans="1:13" hidden="1" x14ac:dyDescent="0.3">
      <c r="A12" s="8">
        <v>45637</v>
      </c>
      <c r="B12" s="6" t="s">
        <v>43</v>
      </c>
      <c r="C12" s="6" t="s">
        <v>44</v>
      </c>
      <c r="D12" s="6" t="s">
        <v>45</v>
      </c>
      <c r="E12" s="14">
        <v>45637.541666666664</v>
      </c>
      <c r="F12" s="8">
        <f>IF(HOUR(Table1[[#This Row],[CORREO]])&gt;=11,WORKDAY(Table1[[#This Row],[CORREO]],1,Table2[Dias no laborales]),E12)</f>
        <v>45638</v>
      </c>
      <c r="G12" s="8">
        <v>45663</v>
      </c>
      <c r="H12" s="6">
        <f t="shared" si="0"/>
        <v>50</v>
      </c>
      <c r="I12" s="16">
        <f>MAX(1, NETWORKDAYS(A12, G12,Table2[Dias no laborales]))</f>
        <v>19</v>
      </c>
      <c r="J12" s="6" t="str">
        <f>IF(Table1[[#This Row],[FIN]]="","Acumulado",IF(ISNUMBER(SEARCH("ASAP",C12)),"ASAP",IF(NETWORKDAYS.INTL(F12,G12,1,Table2[Dias no laborales]) &lt;= 7, "Dentro", IF(A12&gt;F12,"Programado","Fuera"))))</f>
        <v>Fuera</v>
      </c>
      <c r="K12" s="6" t="str">
        <f t="shared" si="1"/>
        <v>Mismo día</v>
      </c>
      <c r="L12" s="8">
        <v>45637</v>
      </c>
      <c r="M12" s="17">
        <f>MAX(1,NETWORKDAYS(A12,L12,Table2[Dias no laborales]))</f>
        <v>1</v>
      </c>
    </row>
    <row r="13" spans="1:13" hidden="1" x14ac:dyDescent="0.3">
      <c r="A13" s="8">
        <v>45660</v>
      </c>
      <c r="B13" s="6" t="s">
        <v>19</v>
      </c>
      <c r="C13" s="6" t="s">
        <v>20</v>
      </c>
      <c r="D13" s="6" t="s">
        <v>21</v>
      </c>
      <c r="E13" s="14">
        <v>45660.443055555559</v>
      </c>
      <c r="F13" s="8">
        <f>IF(HOUR(Table1[[#This Row],[CORREO]])&gt;=11,WORKDAY(Table1[[#This Row],[CORREO]],1,Table2[Dias no laborales]),E13)</f>
        <v>45660.443055555559</v>
      </c>
      <c r="G13" s="8">
        <v>45660</v>
      </c>
      <c r="H13" s="6">
        <f t="shared" si="0"/>
        <v>1</v>
      </c>
      <c r="I13" s="16">
        <f>MAX(1, NETWORKDAYS(A13, G13,Table2[Dias no laborales]))</f>
        <v>1</v>
      </c>
      <c r="J13" s="6" t="str">
        <f>IF(Table1[[#This Row],[FIN]]="","Acumulado",IF(ISNUMBER(SEARCH("ASAP",C13)),"ASAP",IF(NETWORKDAYS.INTL(F13,G13,1,Table2[Dias no laborales]) &lt;= 7, "Dentro", IF(A13&gt;F13,"Programado","Fuera"))))</f>
        <v>Dentro</v>
      </c>
      <c r="K13" s="6" t="str">
        <f t="shared" si="1"/>
        <v>A tiempo</v>
      </c>
      <c r="L13" s="8">
        <v>45660</v>
      </c>
      <c r="M13" s="17">
        <f>MAX(1,NETWORKDAYS(A13,L13,Table2[Dias no laborales]))</f>
        <v>1</v>
      </c>
    </row>
    <row r="14" spans="1:13" hidden="1" x14ac:dyDescent="0.3">
      <c r="A14" s="8">
        <v>45663</v>
      </c>
      <c r="B14" s="6" t="s">
        <v>28</v>
      </c>
      <c r="C14" s="6" t="s">
        <v>29</v>
      </c>
      <c r="D14" s="6" t="s">
        <v>30</v>
      </c>
      <c r="E14" s="14">
        <v>45663.38958333333</v>
      </c>
      <c r="F14" s="8">
        <f>IF(HOUR(Table1[[#This Row],[CORREO]])&gt;=11,WORKDAY(Table1[[#This Row],[CORREO]],1,Table2[Dias no laborales]),E14)</f>
        <v>45663.38958333333</v>
      </c>
      <c r="G14" s="8">
        <v>45663</v>
      </c>
      <c r="H14" s="6">
        <f t="shared" si="0"/>
        <v>1</v>
      </c>
      <c r="I14" s="16">
        <f>MAX(1, NETWORKDAYS(A14, G14,Table2[Dias no laborales]))</f>
        <v>1</v>
      </c>
      <c r="J14" s="6" t="str">
        <f>IF(Table1[[#This Row],[FIN]]="","Acumulado",IF(ISNUMBER(SEARCH("ASAP",C14)),"ASAP",IF(NETWORKDAYS.INTL(F14,G14,1,Table2[Dias no laborales]) &lt;= 7, "Dentro", IF(A14&gt;F14,"Programado","Fuera"))))</f>
        <v>Dentro</v>
      </c>
      <c r="K14" s="6" t="str">
        <f t="shared" si="1"/>
        <v>A tiempo</v>
      </c>
      <c r="L14" s="8">
        <v>45663</v>
      </c>
      <c r="M14" s="17">
        <f>MAX(1,NETWORKDAYS(A14,L14,Table2[Dias no laborales]))</f>
        <v>1</v>
      </c>
    </row>
    <row r="15" spans="1:13" hidden="1" x14ac:dyDescent="0.3">
      <c r="A15" s="8">
        <v>45663</v>
      </c>
      <c r="B15" s="6" t="s">
        <v>62</v>
      </c>
      <c r="C15" s="6" t="s">
        <v>63</v>
      </c>
      <c r="D15" s="6" t="s">
        <v>24</v>
      </c>
      <c r="E15" s="14">
        <v>45663.425000000003</v>
      </c>
      <c r="F15" s="8">
        <f>IF(HOUR(Table1[[#This Row],[CORREO]])&gt;=11,WORKDAY(Table1[[#This Row],[CORREO]],1,Table2[Dias no laborales]),E15)</f>
        <v>45663.425000000003</v>
      </c>
      <c r="G15" s="8">
        <v>45666</v>
      </c>
      <c r="H15" s="6">
        <f t="shared" si="0"/>
        <v>1</v>
      </c>
      <c r="I15" s="16">
        <f>MAX(1, NETWORKDAYS(A15, G15,Table2[Dias no laborales]))</f>
        <v>4</v>
      </c>
      <c r="J15" s="6" t="str">
        <f>IF(Table1[[#This Row],[FIN]]="","Acumulado",IF(ISNUMBER(SEARCH("ASAP",C15)),"ASAP",IF(NETWORKDAYS.INTL(F15,G15,1,Table2[Dias no laborales]) &lt;= 7, "Dentro", IF(A15&gt;F15,"Programado","Fuera"))))</f>
        <v>Dentro</v>
      </c>
      <c r="K15" s="6" t="str">
        <f t="shared" si="1"/>
        <v>A tiempo</v>
      </c>
      <c r="L15" s="8">
        <v>45663</v>
      </c>
      <c r="M15" s="17">
        <f>MAX(1,NETWORKDAYS(A15,L15,Table2[Dias no laborales]))</f>
        <v>1</v>
      </c>
    </row>
    <row r="16" spans="1:13" hidden="1" x14ac:dyDescent="0.3">
      <c r="A16" s="8">
        <v>45663</v>
      </c>
      <c r="B16" s="6" t="s">
        <v>25</v>
      </c>
      <c r="C16" s="6" t="s">
        <v>26</v>
      </c>
      <c r="D16" s="6" t="s">
        <v>27</v>
      </c>
      <c r="E16" s="14">
        <v>45663.440972222219</v>
      </c>
      <c r="F16" s="8">
        <f>IF(HOUR(Table1[[#This Row],[CORREO]])&gt;=11,WORKDAY(Table1[[#This Row],[CORREO]],1,Table2[Dias no laborales]),E16)</f>
        <v>45663.440972222219</v>
      </c>
      <c r="G16" s="8">
        <v>45663</v>
      </c>
      <c r="H16" s="6">
        <f t="shared" si="0"/>
        <v>1</v>
      </c>
      <c r="I16" s="16">
        <f>MAX(1, NETWORKDAYS(A16, G16,Table2[Dias no laborales]))</f>
        <v>1</v>
      </c>
      <c r="J16" s="6" t="str">
        <f>IF(Table1[[#This Row],[FIN]]="","Acumulado",IF(ISNUMBER(SEARCH("ASAP",C16)),"ASAP",IF(NETWORKDAYS.INTL(F16,G16,1,Table2[Dias no laborales]) &lt;= 7, "Dentro", IF(A16&gt;F16,"Programado","Fuera"))))</f>
        <v>Dentro</v>
      </c>
      <c r="K16" s="6" t="str">
        <f t="shared" si="1"/>
        <v>A tiempo</v>
      </c>
      <c r="L16" s="8">
        <v>45663</v>
      </c>
      <c r="M16" s="17">
        <f>MAX(1,NETWORKDAYS(A16,L16,Table2[Dias no laborales]))</f>
        <v>1</v>
      </c>
    </row>
    <row r="17" spans="1:13" hidden="1" x14ac:dyDescent="0.3">
      <c r="A17" s="8">
        <v>45663</v>
      </c>
      <c r="B17" s="6" t="s">
        <v>46</v>
      </c>
      <c r="C17" s="6" t="s">
        <v>47</v>
      </c>
      <c r="D17" s="6" t="s">
        <v>48</v>
      </c>
      <c r="E17" s="14">
        <v>45663.498611111114</v>
      </c>
      <c r="F17" s="8">
        <f>IF(HOUR(Table1[[#This Row],[CORREO]])&gt;=11,WORKDAY(Table1[[#This Row],[CORREO]],1,Table2[Dias no laborales]),E17)</f>
        <v>45664</v>
      </c>
      <c r="G17" s="8">
        <v>45664</v>
      </c>
      <c r="H17" s="6">
        <f t="shared" si="0"/>
        <v>1</v>
      </c>
      <c r="I17" s="16">
        <f>MAX(1, NETWORKDAYS(A17, G17,Table2[Dias no laborales]))</f>
        <v>2</v>
      </c>
      <c r="J17" s="6" t="str">
        <f>IF(Table1[[#This Row],[FIN]]="","Acumulado",IF(ISNUMBER(SEARCH("ASAP",C17)),"ASAP",IF(NETWORKDAYS.INTL(F17,G17,1,Table2[Dias no laborales]) &lt;= 7, "Dentro", IF(A17&gt;F17,"Programado","Fuera"))))</f>
        <v>Dentro</v>
      </c>
      <c r="K17" s="6" t="str">
        <f t="shared" si="1"/>
        <v>Mismo día</v>
      </c>
      <c r="L17" s="8">
        <v>45663</v>
      </c>
      <c r="M17" s="17">
        <f>MAX(1,NETWORKDAYS(A17,L17,Table2[Dias no laborales]))</f>
        <v>1</v>
      </c>
    </row>
    <row r="18" spans="1:13" hidden="1" x14ac:dyDescent="0.3">
      <c r="A18" s="8">
        <v>45663</v>
      </c>
      <c r="B18" s="6" t="s">
        <v>80</v>
      </c>
      <c r="C18" s="6" t="s">
        <v>81</v>
      </c>
      <c r="D18" s="6" t="s">
        <v>82</v>
      </c>
      <c r="E18" s="14">
        <v>45667.429166666669</v>
      </c>
      <c r="F18" s="8">
        <f>IF(HOUR(Table1[[#This Row],[CORREO]])&gt;=11,WORKDAY(Table1[[#This Row],[CORREO]],1,Table2[Dias no laborales]),E18)</f>
        <v>45667.429166666669</v>
      </c>
      <c r="G18" s="8">
        <v>45670</v>
      </c>
      <c r="H18" s="6">
        <f t="shared" si="0"/>
        <v>1</v>
      </c>
      <c r="I18" s="16">
        <f>MAX(1, NETWORKDAYS(A18, G18,Table2[Dias no laborales]))</f>
        <v>6</v>
      </c>
      <c r="J18" s="6" t="str">
        <f>IF(Table1[[#This Row],[FIN]]="","Acumulado",IF(ISNUMBER(SEARCH("ASAP",C18)),"ASAP",IF(NETWORKDAYS.INTL(F18,G18,1,Table2[Dias no laborales]) &lt;= 7, "Dentro", IF(A18&gt;F18,"Programado","Fuera"))))</f>
        <v>Dentro</v>
      </c>
      <c r="K18" s="6" t="str">
        <f t="shared" si="1"/>
        <v>Mismo día</v>
      </c>
      <c r="L18" s="8">
        <v>45664</v>
      </c>
      <c r="M18" s="17">
        <f>MAX(1,NETWORKDAYS(A18,L18,Table2[Dias no laborales]))</f>
        <v>2</v>
      </c>
    </row>
    <row r="19" spans="1:13" hidden="1" x14ac:dyDescent="0.3">
      <c r="A19" s="8">
        <v>45663</v>
      </c>
      <c r="B19" s="6" t="s">
        <v>83</v>
      </c>
      <c r="C19" s="6" t="s">
        <v>84</v>
      </c>
      <c r="D19" s="6" t="s">
        <v>85</v>
      </c>
      <c r="E19" s="14"/>
      <c r="F19" s="8">
        <f>IF(HOUR(Table1[[#This Row],[CORREO]])&gt;=11,WORKDAY(Table1[[#This Row],[CORREO]],1,Table2[Dias no laborales]),E19)</f>
        <v>0</v>
      </c>
      <c r="G19" s="8">
        <v>45670</v>
      </c>
      <c r="H19" s="6">
        <f t="shared" si="0"/>
        <v>1</v>
      </c>
      <c r="I19" s="16">
        <f>MAX(1, NETWORKDAYS(A19, G19,Table2[Dias no laborales]))</f>
        <v>6</v>
      </c>
      <c r="J19" s="6" t="str">
        <f>IF(Table1[[#This Row],[FIN]]="","Acumulado",IF(ISNUMBER(SEARCH("ASAP",C19)),"ASAP",IF(NETWORKDAYS.INTL(F19,G19,1,Table2[Dias no laborales]) &lt;= 7, "Dentro", IF(A19&gt;F19,"Programado","Fuera"))))</f>
        <v>Programado</v>
      </c>
      <c r="K19" s="6" t="str">
        <f t="shared" si="1"/>
        <v>Programados</v>
      </c>
      <c r="L19" s="8">
        <v>45664</v>
      </c>
      <c r="M19" s="17">
        <f>MAX(1,NETWORKDAYS(A19,L19,Table2[Dias no laborales]))</f>
        <v>2</v>
      </c>
    </row>
    <row r="20" spans="1:13" hidden="1" x14ac:dyDescent="0.3">
      <c r="A20" s="8">
        <v>45663</v>
      </c>
      <c r="B20" s="6" t="s">
        <v>86</v>
      </c>
      <c r="C20" s="6" t="s">
        <v>41</v>
      </c>
      <c r="D20" s="6" t="s">
        <v>42</v>
      </c>
      <c r="E20" s="14">
        <v>45667.522222222222</v>
      </c>
      <c r="F20" s="8">
        <f>IF(HOUR(Table1[[#This Row],[CORREO]])&gt;=11,WORKDAY(Table1[[#This Row],[CORREO]],1,Table2[Dias no laborales]),E20)</f>
        <v>45670</v>
      </c>
      <c r="G20" s="8">
        <v>45670</v>
      </c>
      <c r="H20" s="6">
        <f t="shared" si="0"/>
        <v>1</v>
      </c>
      <c r="I20" s="16">
        <f>MAX(1, NETWORKDAYS(A20, G20,Table2[Dias no laborales]))</f>
        <v>6</v>
      </c>
      <c r="J20" s="6" t="str">
        <f>IF(Table1[[#This Row],[FIN]]="","Acumulado",IF(ISNUMBER(SEARCH("ASAP",C20)),"ASAP",IF(NETWORKDAYS.INTL(F20,G20,1,Table2[Dias no laborales]) &lt;= 7, "Dentro", IF(A20&gt;F20,"Programado","Fuera"))))</f>
        <v>Dentro</v>
      </c>
      <c r="K20" s="6" t="str">
        <f t="shared" si="1"/>
        <v>Mismo día</v>
      </c>
      <c r="L20" s="8">
        <v>45663</v>
      </c>
      <c r="M20" s="17">
        <f>MAX(1,NETWORKDAYS(A20,L20,Table2[Dias no laborales]))</f>
        <v>1</v>
      </c>
    </row>
    <row r="21" spans="1:13" hidden="1" x14ac:dyDescent="0.3">
      <c r="A21" s="8">
        <v>45664</v>
      </c>
      <c r="B21" s="6" t="s">
        <v>90</v>
      </c>
      <c r="C21" s="6" t="s">
        <v>91</v>
      </c>
      <c r="D21" s="6" t="s">
        <v>68</v>
      </c>
      <c r="E21" s="14">
        <v>45664.374305555553</v>
      </c>
      <c r="F21" s="8">
        <f>IF(HOUR(Table1[[#This Row],[CORREO]])&gt;=11,WORKDAY(Table1[[#This Row],[CORREO]],1,Table2[Dias no laborales]),E21)</f>
        <v>45664.374305555553</v>
      </c>
      <c r="G21" s="8">
        <v>45670</v>
      </c>
      <c r="H21" s="6">
        <f t="shared" si="0"/>
        <v>1</v>
      </c>
      <c r="I21" s="16">
        <f>MAX(1, NETWORKDAYS(A21, G21,Table2[Dias no laborales]))</f>
        <v>5</v>
      </c>
      <c r="J21" s="6" t="str">
        <f>IF(Table1[[#This Row],[FIN]]="","Acumulado",IF(ISNUMBER(SEARCH("ASAP",C21)),"ASAP",IF(NETWORKDAYS.INTL(F21,G21,1,Table2[Dias no laborales]) &lt;= 7, "Dentro", IF(A21&gt;F21,"Programado","Fuera"))))</f>
        <v>Dentro</v>
      </c>
      <c r="K21" s="6" t="str">
        <f t="shared" si="1"/>
        <v>A tiempo</v>
      </c>
      <c r="L21" s="8">
        <v>45664</v>
      </c>
      <c r="M21" s="17">
        <f>MAX(1,NETWORKDAYS(A21,L21,Table2[Dias no laborales]))</f>
        <v>1</v>
      </c>
    </row>
    <row r="22" spans="1:13" hidden="1" x14ac:dyDescent="0.3">
      <c r="A22" s="8">
        <v>45664</v>
      </c>
      <c r="B22" s="6" t="s">
        <v>66</v>
      </c>
      <c r="C22" s="6" t="s">
        <v>67</v>
      </c>
      <c r="D22" s="6" t="s">
        <v>68</v>
      </c>
      <c r="E22" s="14">
        <v>45664.375</v>
      </c>
      <c r="F22" s="8">
        <f>IF(HOUR(Table1[[#This Row],[CORREO]])&gt;=11,WORKDAY(Table1[[#This Row],[CORREO]],1,Table2[Dias no laborales]),E22)</f>
        <v>45664.375</v>
      </c>
      <c r="G22" s="8">
        <v>45667</v>
      </c>
      <c r="H22" s="6">
        <f t="shared" si="0"/>
        <v>1</v>
      </c>
      <c r="I22" s="16">
        <f>MAX(1, NETWORKDAYS(A22, G22,Table2[Dias no laborales]))</f>
        <v>4</v>
      </c>
      <c r="J22" s="6" t="str">
        <f>IF(Table1[[#This Row],[FIN]]="","Acumulado",IF(ISNUMBER(SEARCH("ASAP",C22)),"ASAP",IF(NETWORKDAYS.INTL(F22,G22,1,Table2[Dias no laborales]) &lt;= 7, "Dentro", IF(A22&gt;F22,"Programado","Fuera"))))</f>
        <v>Dentro</v>
      </c>
      <c r="K22" s="6" t="str">
        <f t="shared" si="1"/>
        <v>A tiempo</v>
      </c>
      <c r="L22" s="8">
        <v>45664</v>
      </c>
      <c r="M22" s="17">
        <f>MAX(1,NETWORKDAYS(A22,L22,Table2[Dias no laborales]))</f>
        <v>1</v>
      </c>
    </row>
    <row r="23" spans="1:13" hidden="1" x14ac:dyDescent="0.3">
      <c r="A23" s="8">
        <v>45664</v>
      </c>
      <c r="B23" s="6" t="s">
        <v>92</v>
      </c>
      <c r="C23" s="6" t="s">
        <v>93</v>
      </c>
      <c r="D23" s="6" t="s">
        <v>68</v>
      </c>
      <c r="E23" s="14">
        <v>45664.375</v>
      </c>
      <c r="F23" s="8">
        <f>IF(HOUR(Table1[[#This Row],[CORREO]])&gt;=11,WORKDAY(Table1[[#This Row],[CORREO]],1,Table2[Dias no laborales]),E23)</f>
        <v>45664.375</v>
      </c>
      <c r="G23" s="8">
        <v>45670</v>
      </c>
      <c r="H23" s="6">
        <f t="shared" si="0"/>
        <v>1</v>
      </c>
      <c r="I23" s="16">
        <f>MAX(1, NETWORKDAYS(A23, G23,Table2[Dias no laborales]))</f>
        <v>5</v>
      </c>
      <c r="J23" s="6" t="str">
        <f>IF(Table1[[#This Row],[FIN]]="","Acumulado",IF(ISNUMBER(SEARCH("ASAP",C23)),"ASAP",IF(NETWORKDAYS.INTL(F23,G23,1,Table2[Dias no laborales]) &lt;= 7, "Dentro", IF(A23&gt;F23,"Programado","Fuera"))))</f>
        <v>Dentro</v>
      </c>
      <c r="K23" s="6" t="str">
        <f t="shared" si="1"/>
        <v>A tiempo</v>
      </c>
      <c r="L23" s="8">
        <v>45664</v>
      </c>
      <c r="M23" s="17">
        <f>MAX(1,NETWORKDAYS(A23,L23,Table2[Dias no laborales]))</f>
        <v>1</v>
      </c>
    </row>
    <row r="24" spans="1:13" hidden="1" x14ac:dyDescent="0.3">
      <c r="A24" s="8">
        <v>45664</v>
      </c>
      <c r="B24" s="6" t="s">
        <v>71</v>
      </c>
      <c r="C24" s="6" t="s">
        <v>72</v>
      </c>
      <c r="D24" s="6" t="s">
        <v>68</v>
      </c>
      <c r="E24" s="14">
        <v>45664.375694444447</v>
      </c>
      <c r="F24" s="8">
        <f>IF(HOUR(Table1[[#This Row],[CORREO]])&gt;=11,WORKDAY(Table1[[#This Row],[CORREO]],1,Table2[Dias no laborales]),E24)</f>
        <v>45664.375694444447</v>
      </c>
      <c r="G24" s="8">
        <v>45667</v>
      </c>
      <c r="H24" s="6">
        <f t="shared" si="0"/>
        <v>1</v>
      </c>
      <c r="I24" s="16">
        <f>MAX(1, NETWORKDAYS(A24, G24,Table2[Dias no laborales]))</f>
        <v>4</v>
      </c>
      <c r="J24" s="6" t="str">
        <f>IF(Table1[[#This Row],[FIN]]="","Acumulado",IF(ISNUMBER(SEARCH("ASAP",C24)),"ASAP",IF(NETWORKDAYS.INTL(F24,G24,1,Table2[Dias no laborales]) &lt;= 7, "Dentro", IF(A24&gt;F24,"Programado","Fuera"))))</f>
        <v>Dentro</v>
      </c>
      <c r="K24" s="6" t="str">
        <f t="shared" si="1"/>
        <v>A tiempo</v>
      </c>
      <c r="L24" s="8">
        <v>45664</v>
      </c>
      <c r="M24" s="17">
        <f>MAX(1,NETWORKDAYS(A24,L24,Table2[Dias no laborales]))</f>
        <v>1</v>
      </c>
    </row>
    <row r="25" spans="1:13" hidden="1" x14ac:dyDescent="0.3">
      <c r="A25" s="8">
        <v>45664</v>
      </c>
      <c r="B25" s="6" t="s">
        <v>69</v>
      </c>
      <c r="C25" s="6" t="s">
        <v>70</v>
      </c>
      <c r="D25" s="6" t="s">
        <v>68</v>
      </c>
      <c r="E25" s="14">
        <v>45664.376388888886</v>
      </c>
      <c r="F25" s="8">
        <f>IF(HOUR(Table1[[#This Row],[CORREO]])&gt;=11,WORKDAY(Table1[[#This Row],[CORREO]],1,Table2[Dias no laborales]),E25)</f>
        <v>45664.376388888886</v>
      </c>
      <c r="G25" s="8">
        <v>45667</v>
      </c>
      <c r="H25" s="6">
        <f t="shared" si="0"/>
        <v>1</v>
      </c>
      <c r="I25" s="16">
        <f>MAX(1, NETWORKDAYS(A25, G25,Table2[Dias no laborales]))</f>
        <v>4</v>
      </c>
      <c r="J25" s="6" t="str">
        <f>IF(Table1[[#This Row],[FIN]]="","Acumulado",IF(ISNUMBER(SEARCH("ASAP",C25)),"ASAP",IF(NETWORKDAYS.INTL(F25,G25,1,Table2[Dias no laborales]) &lt;= 7, "Dentro", IF(A25&gt;F25,"Programado","Fuera"))))</f>
        <v>Dentro</v>
      </c>
      <c r="K25" s="6" t="str">
        <f t="shared" si="1"/>
        <v>A tiempo</v>
      </c>
      <c r="L25" s="8">
        <v>45666</v>
      </c>
      <c r="M25" s="17">
        <f>MAX(1,NETWORKDAYS(A25,L25,Table2[Dias no laborales]))</f>
        <v>3</v>
      </c>
    </row>
    <row r="26" spans="1:13" hidden="1" x14ac:dyDescent="0.3">
      <c r="A26" s="8">
        <v>45665</v>
      </c>
      <c r="B26" s="6" t="s">
        <v>59</v>
      </c>
      <c r="C26" s="6" t="s">
        <v>60</v>
      </c>
      <c r="D26" s="6" t="s">
        <v>61</v>
      </c>
      <c r="E26" s="14">
        <v>45665.35</v>
      </c>
      <c r="F26" s="8">
        <f>IF(HOUR(Table1[[#This Row],[CORREO]])&gt;=11,WORKDAY(Table1[[#This Row],[CORREO]],1,Table2[Dias no laborales]),E26)</f>
        <v>45665.35</v>
      </c>
      <c r="G26" s="8">
        <v>45666</v>
      </c>
      <c r="H26" s="6">
        <f t="shared" si="0"/>
        <v>2</v>
      </c>
      <c r="I26" s="16">
        <f>MAX(1, NETWORKDAYS(A26, G26,Table2[Dias no laborales]))</f>
        <v>2</v>
      </c>
      <c r="J26" s="6" t="str">
        <f>IF(Table1[[#This Row],[FIN]]="","Acumulado",IF(ISNUMBER(SEARCH("ASAP",C26)),"ASAP",IF(NETWORKDAYS.INTL(F26,G26,1,Table2[Dias no laborales]) &lt;= 7, "Dentro", IF(A26&gt;F26,"Programado","Fuera"))))</f>
        <v>Dentro</v>
      </c>
      <c r="K26" s="6" t="str">
        <f t="shared" si="1"/>
        <v>A tiempo</v>
      </c>
      <c r="L26" s="8">
        <v>45665</v>
      </c>
      <c r="M26" s="17">
        <f>MAX(1,NETWORKDAYS(A26,L26,Table2[Dias no laborales]))</f>
        <v>1</v>
      </c>
    </row>
    <row r="27" spans="1:13" hidden="1" x14ac:dyDescent="0.3">
      <c r="A27" s="8">
        <v>45665</v>
      </c>
      <c r="B27" s="6" t="s">
        <v>51</v>
      </c>
      <c r="C27" s="6" t="s">
        <v>52</v>
      </c>
      <c r="D27" s="6" t="s">
        <v>53</v>
      </c>
      <c r="E27" s="14">
        <v>45665.354861111111</v>
      </c>
      <c r="F27" s="8">
        <f>IF(HOUR(Table1[[#This Row],[CORREO]])&gt;=11,WORKDAY(Table1[[#This Row],[CORREO]],1,Table2[Dias no laborales]),E27)</f>
        <v>45665.354861111111</v>
      </c>
      <c r="G27" s="8">
        <v>45665</v>
      </c>
      <c r="H27" s="6">
        <f t="shared" si="0"/>
        <v>2</v>
      </c>
      <c r="I27" s="16">
        <f>MAX(1, NETWORKDAYS(A27, G27,Table2[Dias no laborales]))</f>
        <v>1</v>
      </c>
      <c r="J27" s="6" t="str">
        <f>IF(Table1[[#This Row],[FIN]]="","Acumulado",IF(ISNUMBER(SEARCH("ASAP",C27)),"ASAP",IF(NETWORKDAYS.INTL(F27,G27,1,Table2[Dias no laborales]) &lt;= 7, "Dentro", IF(A27&gt;F27,"Programado","Fuera"))))</f>
        <v>Dentro</v>
      </c>
      <c r="K27" s="6" t="str">
        <f t="shared" si="1"/>
        <v>A tiempo</v>
      </c>
      <c r="L27" s="8">
        <v>45665</v>
      </c>
      <c r="M27" s="17">
        <f>MAX(1,NETWORKDAYS(A27,L27,Table2[Dias no laborales]))</f>
        <v>1</v>
      </c>
    </row>
    <row r="28" spans="1:13" hidden="1" x14ac:dyDescent="0.3">
      <c r="A28" s="8">
        <v>45664</v>
      </c>
      <c r="B28" s="6" t="s">
        <v>98</v>
      </c>
      <c r="C28" s="6" t="s">
        <v>99</v>
      </c>
      <c r="D28" s="6" t="s">
        <v>100</v>
      </c>
      <c r="E28" s="14">
        <v>45664.365972222222</v>
      </c>
      <c r="F28" s="8">
        <f>IF(HOUR(Table1[[#This Row],[CORREO]])&gt;=11,WORKDAY(Table1[[#This Row],[CORREO]],1,Table2[Dias no laborales]),E28)</f>
        <v>45664.365972222222</v>
      </c>
      <c r="G28" s="8">
        <v>45671</v>
      </c>
      <c r="H28" s="6">
        <f t="shared" si="0"/>
        <v>1</v>
      </c>
      <c r="I28" s="16">
        <f>MAX(1, NETWORKDAYS(A28, G28,Table2[Dias no laborales]))</f>
        <v>6</v>
      </c>
      <c r="J28" s="6" t="str">
        <f>IF(Table1[[#This Row],[FIN]]="","Acumulado",IF(ISNUMBER(SEARCH("ASAP",C28)),"ASAP",IF(NETWORKDAYS.INTL(F28,G28,1,Table2[Dias no laborales]) &lt;= 7, "Dentro", IF(A28&gt;F28,"Programado","Fuera"))))</f>
        <v>Dentro</v>
      </c>
      <c r="K28" s="6" t="str">
        <f t="shared" si="1"/>
        <v>A tiempo</v>
      </c>
      <c r="L28" s="8">
        <v>45664</v>
      </c>
      <c r="M28" s="17">
        <f>MAX(1,NETWORKDAYS(A28,L28,Table2[Dias no laborales]))</f>
        <v>1</v>
      </c>
    </row>
    <row r="29" spans="1:13" hidden="1" x14ac:dyDescent="0.3">
      <c r="A29" s="8">
        <v>45664</v>
      </c>
      <c r="B29" s="6" t="s">
        <v>101</v>
      </c>
      <c r="C29" s="6" t="s">
        <v>102</v>
      </c>
      <c r="D29" s="6" t="s">
        <v>103</v>
      </c>
      <c r="E29" s="14">
        <v>45664.195833333331</v>
      </c>
      <c r="F29" s="8">
        <f>IF(HOUR(Table1[[#This Row],[CORREO]])&gt;=11,WORKDAY(Table1[[#This Row],[CORREO]],1,Table2[Dias no laborales]),E29)</f>
        <v>45664.195833333331</v>
      </c>
      <c r="G29" s="8">
        <v>45671</v>
      </c>
      <c r="H29" s="6">
        <f t="shared" si="0"/>
        <v>1</v>
      </c>
      <c r="I29" s="16">
        <f>MAX(1, NETWORKDAYS(A29, G29,Table2[Dias no laborales]))</f>
        <v>6</v>
      </c>
      <c r="J29" s="6" t="str">
        <f>IF(Table1[[#This Row],[FIN]]="","Acumulado",IF(ISNUMBER(SEARCH("ASAP",C29)),"ASAP",IF(NETWORKDAYS.INTL(F29,G29,1,Table2[Dias no laborales]) &lt;= 7, "Dentro", IF(A29&gt;F29,"Programado","Fuera"))))</f>
        <v>Dentro</v>
      </c>
      <c r="K29" s="6" t="str">
        <f t="shared" si="1"/>
        <v>A tiempo</v>
      </c>
      <c r="L29" s="8">
        <v>45664</v>
      </c>
      <c r="M29" s="17">
        <f>MAX(1,NETWORKDAYS(A29,L29,Table2[Dias no laborales]))</f>
        <v>1</v>
      </c>
    </row>
    <row r="30" spans="1:13" hidden="1" x14ac:dyDescent="0.3">
      <c r="A30" s="8">
        <v>45664</v>
      </c>
      <c r="B30" s="6" t="s">
        <v>54</v>
      </c>
      <c r="C30" s="6" t="s">
        <v>55</v>
      </c>
      <c r="D30" s="6" t="s">
        <v>56</v>
      </c>
      <c r="E30" s="14">
        <v>45664.370138888888</v>
      </c>
      <c r="F30" s="8">
        <f>IF(HOUR(Table1[[#This Row],[CORREO]])&gt;=11,WORKDAY(Table1[[#This Row],[CORREO]],1,Table2[Dias no laborales]),E30)</f>
        <v>45664.370138888888</v>
      </c>
      <c r="G30" s="8">
        <v>45665</v>
      </c>
      <c r="H30" s="6">
        <f t="shared" si="0"/>
        <v>1</v>
      </c>
      <c r="I30" s="16">
        <f>MAX(1, NETWORKDAYS(A30, G30,Table2[Dias no laborales]))</f>
        <v>2</v>
      </c>
      <c r="J30" s="6" t="str">
        <f>IF(Table1[[#This Row],[FIN]]="","Acumulado",IF(ISNUMBER(SEARCH("ASAP",C30)),"ASAP",IF(NETWORKDAYS.INTL(F30,G30,1,Table2[Dias no laborales]) &lt;= 7, "Dentro", IF(A30&gt;F30,"Programado","Fuera"))))</f>
        <v>Dentro</v>
      </c>
      <c r="K30" s="6" t="str">
        <f t="shared" si="1"/>
        <v>A tiempo</v>
      </c>
      <c r="L30" s="8">
        <v>45664</v>
      </c>
      <c r="M30" s="17">
        <f>MAX(1,NETWORKDAYS(A30,L30,Table2[Dias no laborales]))</f>
        <v>1</v>
      </c>
    </row>
    <row r="31" spans="1:13" hidden="1" x14ac:dyDescent="0.3">
      <c r="A31" s="8">
        <v>45665</v>
      </c>
      <c r="B31" s="6" t="s">
        <v>106</v>
      </c>
      <c r="C31" s="6" t="s">
        <v>107</v>
      </c>
      <c r="D31" s="6" t="s">
        <v>108</v>
      </c>
      <c r="E31" s="14">
        <v>45665.368750000001</v>
      </c>
      <c r="F31" s="8">
        <f>IF(HOUR(Table1[[#This Row],[CORREO]])&gt;=11,WORKDAY(Table1[[#This Row],[CORREO]],1,Table2[Dias no laborales]),E31)</f>
        <v>45665.368750000001</v>
      </c>
      <c r="G31" s="8">
        <v>45671</v>
      </c>
      <c r="H31" s="6">
        <f t="shared" si="0"/>
        <v>2</v>
      </c>
      <c r="I31" s="16">
        <f>MAX(1, NETWORKDAYS(A31, G31,Table2[Dias no laborales]))</f>
        <v>5</v>
      </c>
      <c r="J31" s="6" t="str">
        <f>IF(Table1[[#This Row],[FIN]]="","Acumulado",IF(ISNUMBER(SEARCH("ASAP",C31)),"ASAP",IF(NETWORKDAYS.INTL(F31,G31,1,Table2[Dias no laborales]) &lt;= 7, "Dentro", IF(A31&gt;F31,"Programado","Fuera"))))</f>
        <v>Dentro</v>
      </c>
      <c r="K31" s="6" t="str">
        <f t="shared" si="1"/>
        <v>A tiempo</v>
      </c>
      <c r="L31" s="8">
        <v>45665</v>
      </c>
      <c r="M31" s="17">
        <f>MAX(1,NETWORKDAYS(A31,L31,Table2[Dias no laborales]))</f>
        <v>1</v>
      </c>
    </row>
    <row r="32" spans="1:13" hidden="1" x14ac:dyDescent="0.3">
      <c r="A32" s="8">
        <v>45665</v>
      </c>
      <c r="B32" s="6" t="s">
        <v>57</v>
      </c>
      <c r="C32" s="6" t="s">
        <v>58</v>
      </c>
      <c r="D32" s="6" t="s">
        <v>27</v>
      </c>
      <c r="E32" s="14">
        <v>45665.374305555553</v>
      </c>
      <c r="F32" s="8">
        <f>IF(HOUR(Table1[[#This Row],[CORREO]])&gt;=11,WORKDAY(Table1[[#This Row],[CORREO]],1,Table2[Dias no laborales]),E32)</f>
        <v>45665.374305555553</v>
      </c>
      <c r="G32" s="8">
        <v>45666</v>
      </c>
      <c r="H32" s="6">
        <f t="shared" si="0"/>
        <v>2</v>
      </c>
      <c r="I32" s="16">
        <f>MAX(1, NETWORKDAYS(A32, G32,Table2[Dias no laborales]))</f>
        <v>2</v>
      </c>
      <c r="J32" s="6" t="str">
        <f>IF(Table1[[#This Row],[FIN]]="","Acumulado",IF(ISNUMBER(SEARCH("ASAP",C32)),"ASAP",IF(NETWORKDAYS.INTL(F32,G32,1,Table2[Dias no laborales]) &lt;= 7, "Dentro", IF(A32&gt;F32,"Programado","Fuera"))))</f>
        <v>Dentro</v>
      </c>
      <c r="K32" s="6" t="str">
        <f t="shared" si="1"/>
        <v>A tiempo</v>
      </c>
      <c r="L32" s="8">
        <v>45666</v>
      </c>
      <c r="M32" s="17">
        <f>MAX(1,NETWORKDAYS(A32,L32,Table2[Dias no laborales]))</f>
        <v>2</v>
      </c>
    </row>
    <row r="33" spans="1:13" hidden="1" x14ac:dyDescent="0.3">
      <c r="A33" s="8">
        <v>45665</v>
      </c>
      <c r="B33" s="6" t="s">
        <v>49</v>
      </c>
      <c r="C33" s="6" t="s">
        <v>50</v>
      </c>
      <c r="D33" s="6" t="s">
        <v>27</v>
      </c>
      <c r="E33" s="14">
        <v>45665.377083333333</v>
      </c>
      <c r="F33" s="8">
        <f>IF(HOUR(Table1[[#This Row],[CORREO]])&gt;=11,WORKDAY(Table1[[#This Row],[CORREO]],1,Table2[Dias no laborales]),E33)</f>
        <v>45665.377083333333</v>
      </c>
      <c r="G33" s="8">
        <v>45665</v>
      </c>
      <c r="H33" s="6">
        <f t="shared" si="0"/>
        <v>2</v>
      </c>
      <c r="I33" s="16">
        <f>MAX(1, NETWORKDAYS(A33, G33,Table2[Dias no laborales]))</f>
        <v>1</v>
      </c>
      <c r="J33" s="6" t="str">
        <f>IF(Table1[[#This Row],[FIN]]="","Acumulado",IF(ISNUMBER(SEARCH("ASAP",C33)),"ASAP",IF(NETWORKDAYS.INTL(F33,G33,1,Table2[Dias no laborales]) &lt;= 7, "Dentro", IF(A33&gt;F33,"Programado","Fuera"))))</f>
        <v>Dentro</v>
      </c>
      <c r="K33" s="6" t="str">
        <f t="shared" si="1"/>
        <v>A tiempo</v>
      </c>
      <c r="L33" s="8">
        <v>45663</v>
      </c>
      <c r="M33" s="17">
        <f>MAX(1,NETWORKDAYS(A33,L33,Table2[Dias no laborales]))</f>
        <v>1</v>
      </c>
    </row>
    <row r="34" spans="1:13" hidden="1" x14ac:dyDescent="0.3">
      <c r="A34" s="8">
        <v>45665</v>
      </c>
      <c r="B34" s="6" t="s">
        <v>104</v>
      </c>
      <c r="C34" s="6" t="s">
        <v>105</v>
      </c>
      <c r="D34" s="6" t="s">
        <v>85</v>
      </c>
      <c r="E34" s="14">
        <v>45665.379166666666</v>
      </c>
      <c r="F34" s="8">
        <f>IF(HOUR(Table1[[#This Row],[CORREO]])&gt;=11,WORKDAY(Table1[[#This Row],[CORREO]],1,Table2[Dias no laborales]),E34)</f>
        <v>45665.379166666666</v>
      </c>
      <c r="G34" s="8">
        <v>45671</v>
      </c>
      <c r="H34" s="6">
        <f t="shared" si="0"/>
        <v>2</v>
      </c>
      <c r="I34" s="16">
        <f>MAX(1, NETWORKDAYS(A34, G34,Table2[Dias no laborales]))</f>
        <v>5</v>
      </c>
      <c r="J34" s="6" t="str">
        <f>IF(Table1[[#This Row],[FIN]]="","Acumulado",IF(ISNUMBER(SEARCH("ASAP",C34)),"ASAP",IF(NETWORKDAYS.INTL(F34,G34,1,Table2[Dias no laborales]) &lt;= 7, "Dentro", IF(A34&gt;F34,"Programado","Fuera"))))</f>
        <v>Dentro</v>
      </c>
      <c r="K34" s="6" t="str">
        <f t="shared" si="1"/>
        <v>A tiempo</v>
      </c>
      <c r="L34" s="8">
        <v>45665</v>
      </c>
      <c r="M34" s="17">
        <f>MAX(1,NETWORKDAYS(A34,L34,Table2[Dias no laborales]))</f>
        <v>1</v>
      </c>
    </row>
    <row r="35" spans="1:13" hidden="1" x14ac:dyDescent="0.3">
      <c r="A35" s="8">
        <v>45666</v>
      </c>
      <c r="B35" s="6" t="s">
        <v>94</v>
      </c>
      <c r="C35" s="6" t="s">
        <v>95</v>
      </c>
      <c r="D35" s="6" t="s">
        <v>96</v>
      </c>
      <c r="E35" s="14">
        <v>45666.386111111111</v>
      </c>
      <c r="F35" s="8">
        <f>IF(HOUR(Table1[[#This Row],[CORREO]])&gt;=11,WORKDAY(Table1[[#This Row],[CORREO]],1,Table2[Dias no laborales]),E35)</f>
        <v>45666.386111111111</v>
      </c>
      <c r="G35" s="8">
        <v>45670</v>
      </c>
      <c r="H35" s="6">
        <f t="shared" si="0"/>
        <v>2</v>
      </c>
      <c r="I35" s="16">
        <f>MAX(1, NETWORKDAYS(A35, G35,Table2[Dias no laborales]))</f>
        <v>3</v>
      </c>
      <c r="J35" s="6" t="str">
        <f>IF(Table1[[#This Row],[FIN]]="","Acumulado",IF(ISNUMBER(SEARCH("ASAP",C35)),"ASAP",IF(NETWORKDAYS.INTL(F35,G35,1,Table2[Dias no laborales]) &lt;= 7, "Dentro", IF(A35&gt;F35,"Programado","Fuera"))))</f>
        <v>Dentro</v>
      </c>
      <c r="K35" s="6" t="str">
        <f t="shared" si="1"/>
        <v>A tiempo</v>
      </c>
      <c r="L35" s="8">
        <v>45670</v>
      </c>
      <c r="M35" s="17">
        <f>MAX(1,NETWORKDAYS(A35,L35,Table2[Dias no laborales]))</f>
        <v>3</v>
      </c>
    </row>
    <row r="36" spans="1:13" hidden="1" x14ac:dyDescent="0.3">
      <c r="A36" s="8">
        <v>45666</v>
      </c>
      <c r="B36" s="6" t="s">
        <v>73</v>
      </c>
      <c r="C36" s="6" t="s">
        <v>74</v>
      </c>
      <c r="D36" s="6" t="s">
        <v>75</v>
      </c>
      <c r="E36" s="14">
        <v>45666.387499999997</v>
      </c>
      <c r="F36" s="8">
        <f>IF(HOUR(Table1[[#This Row],[CORREO]])&gt;=11,WORKDAY(Table1[[#This Row],[CORREO]],1,Table2[Dias no laborales]),E36)</f>
        <v>45666.387499999997</v>
      </c>
      <c r="G36" s="8">
        <v>45667</v>
      </c>
      <c r="H36" s="6">
        <f t="shared" si="0"/>
        <v>2</v>
      </c>
      <c r="I36" s="16">
        <f>MAX(1, NETWORKDAYS(A36, G36,Table2[Dias no laborales]))</f>
        <v>2</v>
      </c>
      <c r="J36" s="6" t="str">
        <f>IF(Table1[[#This Row],[FIN]]="","Acumulado",IF(ISNUMBER(SEARCH("ASAP",C36)),"ASAP",IF(NETWORKDAYS.INTL(F36,G36,1,Table2[Dias no laborales]) &lt;= 7, "Dentro", IF(A36&gt;F36,"Programado","Fuera"))))</f>
        <v>Dentro</v>
      </c>
      <c r="K36" s="6" t="str">
        <f t="shared" si="1"/>
        <v>A tiempo</v>
      </c>
      <c r="L36" s="8">
        <v>45666</v>
      </c>
      <c r="M36" s="17">
        <f>MAX(1,NETWORKDAYS(A36,L36,Table2[Dias no laborales]))</f>
        <v>1</v>
      </c>
    </row>
    <row r="37" spans="1:13" hidden="1" x14ac:dyDescent="0.3">
      <c r="A37" s="8">
        <v>45666</v>
      </c>
      <c r="B37" s="6" t="s">
        <v>76</v>
      </c>
      <c r="C37" s="6" t="s">
        <v>77</v>
      </c>
      <c r="D37" s="6" t="s">
        <v>27</v>
      </c>
      <c r="E37" s="14">
        <v>45666.45208333333</v>
      </c>
      <c r="F37" s="8">
        <f>IF(HOUR(Table1[[#This Row],[CORREO]])&gt;=11,WORKDAY(Table1[[#This Row],[CORREO]],1,Table2[Dias no laborales]),E37)</f>
        <v>45666.45208333333</v>
      </c>
      <c r="G37" s="8">
        <v>45667</v>
      </c>
      <c r="H37" s="6">
        <f t="shared" si="0"/>
        <v>2</v>
      </c>
      <c r="I37" s="16">
        <f>MAX(1, NETWORKDAYS(A37, G37,Table2[Dias no laborales]))</f>
        <v>2</v>
      </c>
      <c r="J37" s="6" t="str">
        <f>IF(Table1[[#This Row],[FIN]]="","Acumulado",IF(ISNUMBER(SEARCH("ASAP",C37)),"ASAP",IF(NETWORKDAYS.INTL(F37,G37,1,Table2[Dias no laborales]) &lt;= 7, "Dentro", IF(A37&gt;F37,"Programado","Fuera"))))</f>
        <v>Dentro</v>
      </c>
      <c r="K37" s="6" t="str">
        <f t="shared" si="1"/>
        <v>A tiempo</v>
      </c>
      <c r="L37" s="8">
        <v>45666</v>
      </c>
      <c r="M37" s="17">
        <f>MAX(1,NETWORKDAYS(A37,L37,Table2[Dias no laborales]))</f>
        <v>1</v>
      </c>
    </row>
    <row r="38" spans="1:13" hidden="1" x14ac:dyDescent="0.3">
      <c r="A38" s="8">
        <v>45666</v>
      </c>
      <c r="B38" s="6" t="s">
        <v>64</v>
      </c>
      <c r="C38" s="6" t="s">
        <v>65</v>
      </c>
      <c r="D38" s="6" t="s">
        <v>27</v>
      </c>
      <c r="E38" s="14">
        <v>45666.526388888888</v>
      </c>
      <c r="F38" s="8">
        <f>IF(HOUR(Table1[[#This Row],[CORREO]])&gt;=11,WORKDAY(Table1[[#This Row],[CORREO]],1,Table2[Dias no laborales]),E38)</f>
        <v>45667</v>
      </c>
      <c r="G38" s="8">
        <v>45666</v>
      </c>
      <c r="H38" s="6">
        <f t="shared" si="0"/>
        <v>2</v>
      </c>
      <c r="I38" s="16">
        <f>MAX(1, NETWORKDAYS(A38, G38,Table2[Dias no laborales]))</f>
        <v>1</v>
      </c>
      <c r="J38" s="6" t="str">
        <f>IF(Table1[[#This Row],[FIN]]="","Acumulado",IF(ISNUMBER(SEARCH("ASAP",C38)),"ASAP",IF(NETWORKDAYS.INTL(F38,G38,1,Table2[Dias no laborales]) &lt;= 7, "Dentro", IF(A38&gt;F38,"Programado","Fuera"))))</f>
        <v>Dentro</v>
      </c>
      <c r="K38" s="6" t="str">
        <f t="shared" si="1"/>
        <v>Mismo día</v>
      </c>
      <c r="L38" s="8">
        <v>45666</v>
      </c>
      <c r="M38" s="17">
        <f>MAX(1,NETWORKDAYS(A38,L38,Table2[Dias no laborales]))</f>
        <v>1</v>
      </c>
    </row>
    <row r="39" spans="1:13" hidden="1" x14ac:dyDescent="0.3">
      <c r="A39" s="8">
        <v>45667</v>
      </c>
      <c r="B39" s="6" t="s">
        <v>146</v>
      </c>
      <c r="C39" s="6" t="s">
        <v>147</v>
      </c>
      <c r="D39" s="6" t="s">
        <v>148</v>
      </c>
      <c r="E39" s="14">
        <v>45667.354861111111</v>
      </c>
      <c r="F39" s="8">
        <f>IF(HOUR(Table1[[#This Row],[CORREO]])&gt;=11,WORKDAY(Table1[[#This Row],[CORREO]],1,Table2[Dias no laborales]),E39)</f>
        <v>45667.354861111111</v>
      </c>
      <c r="G39" s="8">
        <v>45674</v>
      </c>
      <c r="H39" s="6">
        <f t="shared" si="0"/>
        <v>2</v>
      </c>
      <c r="I39" s="16">
        <f>MAX(1, NETWORKDAYS(A39, G39,Table2[Dias no laborales]))</f>
        <v>6</v>
      </c>
      <c r="J39" s="6" t="str">
        <f>IF(Table1[[#This Row],[FIN]]="","Acumulado",IF(ISNUMBER(SEARCH("ASAP",C39)),"ASAP",IF(NETWORKDAYS.INTL(F39,G39,1,Table2[Dias no laborales]) &lt;= 7, "Dentro", IF(A39&gt;F39,"Programado","Fuera"))))</f>
        <v>Dentro</v>
      </c>
      <c r="K39" s="6" t="str">
        <f t="shared" si="1"/>
        <v>A tiempo</v>
      </c>
      <c r="L39" s="8">
        <v>45667</v>
      </c>
      <c r="M39" s="17">
        <f>MAX(1,NETWORKDAYS(A39,L39,Table2[Dias no laborales]))</f>
        <v>1</v>
      </c>
    </row>
    <row r="40" spans="1:13" hidden="1" x14ac:dyDescent="0.3">
      <c r="A40" s="8">
        <v>45667</v>
      </c>
      <c r="B40" s="6" t="s">
        <v>149</v>
      </c>
      <c r="C40" s="6" t="s">
        <v>150</v>
      </c>
      <c r="D40" s="6" t="s">
        <v>151</v>
      </c>
      <c r="E40" s="14"/>
      <c r="F40" s="8">
        <f>IF(HOUR(Table1[[#This Row],[CORREO]])&gt;=11,WORKDAY(Table1[[#This Row],[CORREO]],1,Table2[Dias no laborales]),E40)</f>
        <v>0</v>
      </c>
      <c r="G40" s="8">
        <v>45674</v>
      </c>
      <c r="H40" s="6">
        <f t="shared" si="0"/>
        <v>2</v>
      </c>
      <c r="I40" s="16">
        <f>MAX(1, NETWORKDAYS(A40, G40,Table2[Dias no laborales]))</f>
        <v>6</v>
      </c>
      <c r="J40" s="6" t="str">
        <f>IF(Table1[[#This Row],[FIN]]="","Acumulado",IF(ISNUMBER(SEARCH("ASAP",C40)),"ASAP",IF(NETWORKDAYS.INTL(F40,G40,1,Table2[Dias no laborales]) &lt;= 7, "Dentro", IF(A40&gt;F40,"Programado","Fuera"))))</f>
        <v>Programado</v>
      </c>
      <c r="K40" s="6" t="str">
        <f t="shared" si="1"/>
        <v>Programados</v>
      </c>
      <c r="L40" s="8">
        <v>45667</v>
      </c>
      <c r="M40" s="17">
        <f>MAX(1,NETWORKDAYS(A40,L40,Table2[Dias no laborales]))</f>
        <v>1</v>
      </c>
    </row>
    <row r="41" spans="1:13" hidden="1" x14ac:dyDescent="0.3">
      <c r="A41" s="8">
        <v>45667</v>
      </c>
      <c r="B41" s="6" t="s">
        <v>87</v>
      </c>
      <c r="C41" s="6" t="s">
        <v>88</v>
      </c>
      <c r="D41" s="6" t="s">
        <v>89</v>
      </c>
      <c r="E41" s="14">
        <v>45667.362500000003</v>
      </c>
      <c r="F41" s="8">
        <f>IF(HOUR(Table1[[#This Row],[CORREO]])&gt;=11,WORKDAY(Table1[[#This Row],[CORREO]],1,Table2[Dias no laborales]),E41)</f>
        <v>45667.362500000003</v>
      </c>
      <c r="G41" s="8">
        <v>45670</v>
      </c>
      <c r="H41" s="6">
        <f t="shared" si="0"/>
        <v>2</v>
      </c>
      <c r="I41" s="16">
        <f>MAX(1, NETWORKDAYS(A41, G41,Table2[Dias no laborales]))</f>
        <v>2</v>
      </c>
      <c r="J41" s="6" t="str">
        <f>IF(Table1[[#This Row],[FIN]]="","Acumulado",IF(ISNUMBER(SEARCH("ASAP",C41)),"ASAP",IF(NETWORKDAYS.INTL(F41,G41,1,Table2[Dias no laborales]) &lt;= 7, "Dentro", IF(A41&gt;F41,"Programado","Fuera"))))</f>
        <v>Dentro</v>
      </c>
      <c r="K41" s="6" t="str">
        <f t="shared" si="1"/>
        <v>A tiempo</v>
      </c>
      <c r="L41" s="8">
        <v>45667</v>
      </c>
      <c r="M41" s="17">
        <f>MAX(1,NETWORKDAYS(A41,L41,Table2[Dias no laborales]))</f>
        <v>1</v>
      </c>
    </row>
    <row r="42" spans="1:13" hidden="1" x14ac:dyDescent="0.3">
      <c r="A42" s="8">
        <v>45667</v>
      </c>
      <c r="B42" s="6" t="s">
        <v>78</v>
      </c>
      <c r="C42" s="6" t="s">
        <v>79</v>
      </c>
      <c r="D42" s="6" t="s">
        <v>24</v>
      </c>
      <c r="E42" s="14">
        <v>45667.373611111114</v>
      </c>
      <c r="F42" s="8">
        <f>IF(HOUR(Table1[[#This Row],[CORREO]])&gt;=11,WORKDAY(Table1[[#This Row],[CORREO]],1,Table2[Dias no laborales]),E42)</f>
        <v>45667.373611111114</v>
      </c>
      <c r="G42" s="8">
        <v>45667</v>
      </c>
      <c r="H42" s="6">
        <f t="shared" si="0"/>
        <v>2</v>
      </c>
      <c r="I42" s="16">
        <f>MAX(1, NETWORKDAYS(A42, G42,Table2[Dias no laborales]))</f>
        <v>1</v>
      </c>
      <c r="J42" s="6" t="str">
        <f>IF(Table1[[#This Row],[FIN]]="","Acumulado",IF(ISNUMBER(SEARCH("ASAP",C42)),"ASAP",IF(NETWORKDAYS.INTL(F42,G42,1,Table2[Dias no laborales]) &lt;= 7, "Dentro", IF(A42&gt;F42,"Programado","Fuera"))))</f>
        <v>Dentro</v>
      </c>
      <c r="K42" s="6" t="str">
        <f t="shared" si="1"/>
        <v>A tiempo</v>
      </c>
      <c r="L42" s="8">
        <v>45667</v>
      </c>
      <c r="M42" s="17">
        <f>MAX(1,NETWORKDAYS(A42,L42,Table2[Dias no laborales]))</f>
        <v>1</v>
      </c>
    </row>
    <row r="43" spans="1:13" hidden="1" x14ac:dyDescent="0.3">
      <c r="A43" s="8">
        <v>45670</v>
      </c>
      <c r="B43" s="6" t="s">
        <v>157</v>
      </c>
      <c r="C43" s="6" t="s">
        <v>158</v>
      </c>
      <c r="D43" s="6" t="s">
        <v>75</v>
      </c>
      <c r="E43" s="14">
        <v>45670.359027777777</v>
      </c>
      <c r="F43" s="8">
        <f>IF(HOUR(Table1[[#This Row],[CORREO]])&gt;=11,WORKDAY(Table1[[#This Row],[CORREO]],1,Table2[Dias no laborales]),E43)</f>
        <v>45670.359027777777</v>
      </c>
      <c r="G43" s="8">
        <v>45677</v>
      </c>
      <c r="H43" s="6">
        <f t="shared" si="0"/>
        <v>2</v>
      </c>
      <c r="I43" s="16">
        <f>MAX(1, NETWORKDAYS(A43, G43,Table2[Dias no laborales]))</f>
        <v>6</v>
      </c>
      <c r="J43" s="6" t="str">
        <f>IF(Table1[[#This Row],[FIN]]="","Acumulado",IF(ISNUMBER(SEARCH("ASAP",C43)),"ASAP",IF(NETWORKDAYS.INTL(F43,G43,1,Table2[Dias no laborales]) &lt;= 7, "Dentro", IF(A43&gt;F43,"Programado","Fuera"))))</f>
        <v>Dentro</v>
      </c>
      <c r="K43" s="6" t="str">
        <f t="shared" si="1"/>
        <v>A tiempo</v>
      </c>
      <c r="L43" s="8">
        <v>45670</v>
      </c>
      <c r="M43" s="17">
        <f>MAX(1,NETWORKDAYS(A43,L43,Table2[Dias no laborales]))</f>
        <v>1</v>
      </c>
    </row>
    <row r="44" spans="1:13" hidden="1" x14ac:dyDescent="0.3">
      <c r="A44" s="8">
        <v>45670</v>
      </c>
      <c r="B44" s="6" t="s">
        <v>166</v>
      </c>
      <c r="C44" s="6" t="s">
        <v>167</v>
      </c>
      <c r="D44" s="6" t="s">
        <v>27</v>
      </c>
      <c r="E44" s="14">
        <v>45670.363888888889</v>
      </c>
      <c r="F44" s="8">
        <f>IF(HOUR(Table1[[#This Row],[CORREO]])&gt;=11,WORKDAY(Table1[[#This Row],[CORREO]],1,Table2[Dias no laborales]),E44)</f>
        <v>45670.363888888889</v>
      </c>
      <c r="G44" s="8">
        <v>45677</v>
      </c>
      <c r="H44" s="6">
        <f t="shared" si="0"/>
        <v>2</v>
      </c>
      <c r="I44" s="16">
        <f>MAX(1, NETWORKDAYS(A44, G44,Table2[Dias no laborales]))</f>
        <v>6</v>
      </c>
      <c r="J44" s="6" t="str">
        <f>IF(Table1[[#This Row],[FIN]]="","Acumulado",IF(ISNUMBER(SEARCH("ASAP",C44)),"ASAP",IF(NETWORKDAYS.INTL(F44,G44,1,Table2[Dias no laborales]) &lt;= 7, "Dentro", IF(A44&gt;F44,"Programado","Fuera"))))</f>
        <v>Dentro</v>
      </c>
      <c r="K44" s="6" t="str">
        <f t="shared" si="1"/>
        <v>A tiempo</v>
      </c>
      <c r="L44" s="8">
        <v>45671</v>
      </c>
      <c r="M44" s="17">
        <f>MAX(1,NETWORKDAYS(A44,L44,Table2[Dias no laborales]))</f>
        <v>2</v>
      </c>
    </row>
    <row r="45" spans="1:13" hidden="1" x14ac:dyDescent="0.3">
      <c r="A45" s="8">
        <v>45670</v>
      </c>
      <c r="B45" s="6" t="s">
        <v>124</v>
      </c>
      <c r="C45" s="6" t="s">
        <v>81</v>
      </c>
      <c r="D45" s="6" t="s">
        <v>82</v>
      </c>
      <c r="E45" s="14"/>
      <c r="F45" s="8">
        <f>IF(HOUR(Table1[[#This Row],[CORREO]])&gt;=11,WORKDAY(Table1[[#This Row],[CORREO]],1,Table2[Dias no laborales]),E45)</f>
        <v>0</v>
      </c>
      <c r="G45" s="8">
        <v>45673</v>
      </c>
      <c r="H45" s="6">
        <f t="shared" si="0"/>
        <v>2</v>
      </c>
      <c r="I45" s="16">
        <f>MAX(1, NETWORKDAYS(A45, G45,Table2[Dias no laborales]))</f>
        <v>4</v>
      </c>
      <c r="J45" s="6" t="str">
        <f>IF(Table1[[#This Row],[FIN]]="","Acumulado",IF(ISNUMBER(SEARCH("ASAP",C45)),"ASAP",IF(NETWORKDAYS.INTL(F45,G45,1,Table2[Dias no laborales]) &lt;= 7, "Dentro", IF(A45&gt;F45,"Programado","Fuera"))))</f>
        <v>Programado</v>
      </c>
      <c r="K45" s="6" t="str">
        <f t="shared" si="1"/>
        <v>Programados</v>
      </c>
      <c r="L45" s="8">
        <v>45671</v>
      </c>
      <c r="M45" s="17">
        <f>MAX(1,NETWORKDAYS(A45,L45,Table2[Dias no laborales]))</f>
        <v>2</v>
      </c>
    </row>
    <row r="46" spans="1:13" hidden="1" x14ac:dyDescent="0.3">
      <c r="A46" s="8">
        <v>45670</v>
      </c>
      <c r="B46" s="6" t="s">
        <v>97</v>
      </c>
      <c r="C46" s="6" t="s">
        <v>84</v>
      </c>
      <c r="D46" s="6" t="s">
        <v>85</v>
      </c>
      <c r="E46" s="14">
        <v>45670.704861111109</v>
      </c>
      <c r="F46" s="8">
        <f>IF(HOUR(Table1[[#This Row],[CORREO]])&gt;=11,WORKDAY(Table1[[#This Row],[CORREO]],1,Table2[Dias no laborales]),E46)</f>
        <v>45671</v>
      </c>
      <c r="G46" s="8">
        <v>45670</v>
      </c>
      <c r="H46" s="6">
        <f t="shared" si="0"/>
        <v>2</v>
      </c>
      <c r="I46" s="16">
        <f>MAX(1, NETWORKDAYS(A46, G46,Table2[Dias no laborales]))</f>
        <v>1</v>
      </c>
      <c r="J46" s="6" t="str">
        <f>IF(Table1[[#This Row],[FIN]]="","Acumulado",IF(ISNUMBER(SEARCH("ASAP",C46)),"ASAP",IF(NETWORKDAYS.INTL(F46,G46,1,Table2[Dias no laborales]) &lt;= 7, "Dentro", IF(A46&gt;F46,"Programado","Fuera"))))</f>
        <v>Dentro</v>
      </c>
      <c r="K46" s="6" t="str">
        <f t="shared" si="1"/>
        <v>Mismo día</v>
      </c>
      <c r="L46" s="8">
        <v>45670</v>
      </c>
      <c r="M46" s="17">
        <f>MAX(1,NETWORKDAYS(A46,L46,Table2[Dias no laborales]))</f>
        <v>1</v>
      </c>
    </row>
    <row r="47" spans="1:13" hidden="1" x14ac:dyDescent="0.3">
      <c r="A47" s="8">
        <v>45670</v>
      </c>
      <c r="B47" s="6" t="s">
        <v>159</v>
      </c>
      <c r="C47" s="6" t="s">
        <v>41</v>
      </c>
      <c r="D47" s="6" t="s">
        <v>42</v>
      </c>
      <c r="E47" s="14"/>
      <c r="F47" s="8">
        <f>IF(HOUR(Table1[[#This Row],[CORREO]])&gt;=11,WORKDAY(Table1[[#This Row],[CORREO]],1,Table2[Dias no laborales]),E47)</f>
        <v>0</v>
      </c>
      <c r="G47" s="8">
        <v>45677</v>
      </c>
      <c r="H47" s="6">
        <f t="shared" si="0"/>
        <v>2</v>
      </c>
      <c r="I47" s="16">
        <f>MAX(1, NETWORKDAYS(A47, G47,Table2[Dias no laborales]))</f>
        <v>6</v>
      </c>
      <c r="J47" s="6" t="str">
        <f>IF(Table1[[#This Row],[FIN]]="","Acumulado",IF(ISNUMBER(SEARCH("ASAP",C47)),"ASAP",IF(NETWORKDAYS.INTL(F47,G47,1,Table2[Dias no laborales]) &lt;= 7, "Dentro", IF(A47&gt;F47,"Programado","Fuera"))))</f>
        <v>Programado</v>
      </c>
      <c r="K47" s="6" t="str">
        <f t="shared" si="1"/>
        <v>Programados</v>
      </c>
      <c r="L47" s="8">
        <v>45670</v>
      </c>
      <c r="M47" s="17">
        <f>MAX(1,NETWORKDAYS(A47,L47,Table2[Dias no laborales]))</f>
        <v>1</v>
      </c>
    </row>
    <row r="48" spans="1:13" hidden="1" x14ac:dyDescent="0.3">
      <c r="A48" s="8">
        <v>45670</v>
      </c>
      <c r="B48" s="6" t="s">
        <v>168</v>
      </c>
      <c r="C48" s="6" t="s">
        <v>34</v>
      </c>
      <c r="D48" s="6" t="s">
        <v>53</v>
      </c>
      <c r="E48" s="14">
        <v>45670.390972222223</v>
      </c>
      <c r="F48" s="8">
        <f>IF(HOUR(Table1[[#This Row],[CORREO]])&gt;=11,WORKDAY(Table1[[#This Row],[CORREO]],1,Table2[Dias no laborales]),E48)</f>
        <v>45670.390972222223</v>
      </c>
      <c r="G48" s="8">
        <v>45677</v>
      </c>
      <c r="H48" s="6">
        <f t="shared" si="0"/>
        <v>2</v>
      </c>
      <c r="I48" s="16">
        <f>MAX(1, NETWORKDAYS(A48, G48,Table2[Dias no laborales]))</f>
        <v>6</v>
      </c>
      <c r="J48" s="6" t="str">
        <f>IF(Table1[[#This Row],[FIN]]="","Acumulado",IF(ISNUMBER(SEARCH("ASAP",C48)),"ASAP",IF(NETWORKDAYS.INTL(F48,G48,1,Table2[Dias no laborales]) &lt;= 7, "Dentro", IF(A48&gt;F48,"Programado","Fuera"))))</f>
        <v>Dentro</v>
      </c>
      <c r="K48" s="6" t="str">
        <f t="shared" si="1"/>
        <v>A tiempo</v>
      </c>
      <c r="L48" s="8">
        <v>45670</v>
      </c>
      <c r="M48" s="17">
        <f>MAX(1,NETWORKDAYS(A48,L48,Table2[Dias no laborales]))</f>
        <v>1</v>
      </c>
    </row>
    <row r="49" spans="1:13" hidden="1" x14ac:dyDescent="0.3">
      <c r="A49" s="8">
        <v>45670</v>
      </c>
      <c r="B49" s="6" t="s">
        <v>111</v>
      </c>
      <c r="C49" s="6" t="s">
        <v>112</v>
      </c>
      <c r="D49" s="6" t="s">
        <v>24</v>
      </c>
      <c r="E49" s="14">
        <v>45670.504166666666</v>
      </c>
      <c r="F49" s="8">
        <f>IF(HOUR(Table1[[#This Row],[CORREO]])&gt;=11,WORKDAY(Table1[[#This Row],[CORREO]],1,Table2[Dias no laborales]),E49)</f>
        <v>45671</v>
      </c>
      <c r="G49" s="8">
        <v>45672</v>
      </c>
      <c r="H49" s="6">
        <f t="shared" si="0"/>
        <v>2</v>
      </c>
      <c r="I49" s="16">
        <f>MAX(1, NETWORKDAYS(A49, G49,Table2[Dias no laborales]))</f>
        <v>3</v>
      </c>
      <c r="J49" s="6" t="str">
        <f>IF(Table1[[#This Row],[FIN]]="","Acumulado",IF(ISNUMBER(SEARCH("ASAP",C49)),"ASAP",IF(NETWORKDAYS.INTL(F49,G49,1,Table2[Dias no laborales]) &lt;= 7, "Dentro", IF(A49&gt;F49,"Programado","Fuera"))))</f>
        <v>Dentro</v>
      </c>
      <c r="K49" s="6" t="str">
        <f t="shared" si="1"/>
        <v>Mismo día</v>
      </c>
      <c r="L49" s="8">
        <v>45670</v>
      </c>
      <c r="M49" s="17">
        <f>MAX(1,NETWORKDAYS(A49,L49,Table2[Dias no laborales]))</f>
        <v>1</v>
      </c>
    </row>
    <row r="50" spans="1:13" hidden="1" x14ac:dyDescent="0.3">
      <c r="A50" s="8">
        <v>45671</v>
      </c>
      <c r="B50" s="6" t="s">
        <v>117</v>
      </c>
      <c r="C50" s="6" t="s">
        <v>118</v>
      </c>
      <c r="D50" s="6" t="s">
        <v>119</v>
      </c>
      <c r="E50" s="14">
        <v>45671.329861111109</v>
      </c>
      <c r="F50" s="8">
        <f>IF(HOUR(Table1[[#This Row],[CORREO]])&gt;=11,WORKDAY(Table1[[#This Row],[CORREO]],1,Table2[Dias no laborales]),E50)</f>
        <v>45671.329861111109</v>
      </c>
      <c r="G50" s="8">
        <v>45672</v>
      </c>
      <c r="H50" s="6">
        <f t="shared" si="0"/>
        <v>2</v>
      </c>
      <c r="I50" s="16">
        <f>MAX(1, NETWORKDAYS(A50, G50,Table2[Dias no laborales]))</f>
        <v>2</v>
      </c>
      <c r="J50" s="6" t="str">
        <f>IF(Table1[[#This Row],[FIN]]="","Acumulado",IF(ISNUMBER(SEARCH("ASAP",C50)),"ASAP",IF(NETWORKDAYS.INTL(F50,G50,1,Table2[Dias no laborales]) &lt;= 7, "Dentro", IF(A50&gt;F50,"Programado","Fuera"))))</f>
        <v>Dentro</v>
      </c>
      <c r="K50" s="6" t="str">
        <f t="shared" si="1"/>
        <v>A tiempo</v>
      </c>
      <c r="L50" s="8">
        <v>45671</v>
      </c>
      <c r="M50" s="17">
        <f>MAX(1,NETWORKDAYS(A50,L50,Table2[Dias no laborales]))</f>
        <v>1</v>
      </c>
    </row>
    <row r="51" spans="1:13" hidden="1" x14ac:dyDescent="0.3">
      <c r="A51" s="8">
        <v>45671</v>
      </c>
      <c r="B51" s="6" t="s">
        <v>160</v>
      </c>
      <c r="C51" s="6" t="s">
        <v>161</v>
      </c>
      <c r="D51" s="6" t="s">
        <v>162</v>
      </c>
      <c r="E51" s="14"/>
      <c r="F51" s="8">
        <f>IF(HOUR(Table1[[#This Row],[CORREO]])&gt;=11,WORKDAY(Table1[[#This Row],[CORREO]],1,Table2[Dias no laborales]),E51)</f>
        <v>0</v>
      </c>
      <c r="G51" s="8">
        <v>45677</v>
      </c>
      <c r="H51" s="6">
        <f t="shared" si="0"/>
        <v>2</v>
      </c>
      <c r="I51" s="16">
        <f>MAX(1, NETWORKDAYS(A51, G51,Table2[Dias no laborales]))</f>
        <v>5</v>
      </c>
      <c r="J51" s="6" t="str">
        <f>IF(Table1[[#This Row],[FIN]]="","Acumulado",IF(ISNUMBER(SEARCH("ASAP",C51)),"ASAP",IF(NETWORKDAYS.INTL(F51,G51,1,Table2[Dias no laborales]) &lt;= 7, "Dentro", IF(A51&gt;F51,"Programado","Fuera"))))</f>
        <v>Programado</v>
      </c>
      <c r="K51" s="6" t="str">
        <f t="shared" si="1"/>
        <v>Programados</v>
      </c>
      <c r="L51" s="8">
        <v>45671</v>
      </c>
      <c r="M51" s="17">
        <f>MAX(1,NETWORKDAYS(A51,L51,Table2[Dias no laborales]))</f>
        <v>1</v>
      </c>
    </row>
    <row r="52" spans="1:13" hidden="1" x14ac:dyDescent="0.3">
      <c r="A52" s="8">
        <v>45671</v>
      </c>
      <c r="B52" s="6" t="s">
        <v>109</v>
      </c>
      <c r="C52" s="6" t="s">
        <v>110</v>
      </c>
      <c r="D52" s="6" t="s">
        <v>27</v>
      </c>
      <c r="E52" s="14">
        <v>45671.456250000003</v>
      </c>
      <c r="F52" s="8">
        <f>IF(HOUR(Table1[[#This Row],[CORREO]])&gt;=11,WORKDAY(Table1[[#This Row],[CORREO]],1,Table2[Dias no laborales]),E52)</f>
        <v>45671.456250000003</v>
      </c>
      <c r="G52" s="8">
        <v>45672</v>
      </c>
      <c r="H52" s="6">
        <f t="shared" si="0"/>
        <v>2</v>
      </c>
      <c r="I52" s="16">
        <f>MAX(1, NETWORKDAYS(A52, G52,Table2[Dias no laborales]))</f>
        <v>2</v>
      </c>
      <c r="J52" s="6" t="str">
        <f>IF(Table1[[#This Row],[FIN]]="","Acumulado",IF(ISNUMBER(SEARCH("ASAP",C52)),"ASAP",IF(NETWORKDAYS.INTL(F52,G52,1,Table2[Dias no laborales]) &lt;= 7, "Dentro", IF(A52&gt;F52,"Programado","Fuera"))))</f>
        <v>Dentro</v>
      </c>
      <c r="K52" s="6" t="str">
        <f t="shared" si="1"/>
        <v>A tiempo</v>
      </c>
      <c r="L52" s="8">
        <v>45671</v>
      </c>
      <c r="M52" s="17">
        <f>MAX(1,NETWORKDAYS(A52,L52,Table2[Dias no laborales]))</f>
        <v>1</v>
      </c>
    </row>
    <row r="53" spans="1:13" hidden="1" x14ac:dyDescent="0.3">
      <c r="A53" s="8">
        <v>45672</v>
      </c>
      <c r="B53" s="6" t="s">
        <v>176</v>
      </c>
      <c r="C53" s="6" t="s">
        <v>72</v>
      </c>
      <c r="D53" s="6" t="s">
        <v>68</v>
      </c>
      <c r="E53" s="14">
        <v>45672.34097222222</v>
      </c>
      <c r="F53" s="8">
        <f>IF(HOUR(Table1[[#This Row],[CORREO]])&gt;=11,WORKDAY(Table1[[#This Row],[CORREO]],1,Table2[Dias no laborales]),E53)</f>
        <v>45672.34097222222</v>
      </c>
      <c r="G53" s="8">
        <v>45678</v>
      </c>
      <c r="H53" s="6">
        <f t="shared" si="0"/>
        <v>3</v>
      </c>
      <c r="I53" s="16">
        <f>MAX(1, NETWORKDAYS(A53, G53,Table2[Dias no laborales]))</f>
        <v>5</v>
      </c>
      <c r="J53" s="6" t="str">
        <f>IF(Table1[[#This Row],[FIN]]="","Acumulado",IF(ISNUMBER(SEARCH("ASAP",C53)),"ASAP",IF(NETWORKDAYS.INTL(F53,G53,1,Table2[Dias no laborales]) &lt;= 7, "Dentro", IF(A53&gt;F53,"Programado","Fuera"))))</f>
        <v>Dentro</v>
      </c>
      <c r="K53" s="6" t="str">
        <f t="shared" si="1"/>
        <v>A tiempo</v>
      </c>
      <c r="L53" s="8">
        <v>45672</v>
      </c>
      <c r="M53" s="17">
        <f>MAX(1,NETWORKDAYS(A53,L53,Table2[Dias no laborales]))</f>
        <v>1</v>
      </c>
    </row>
    <row r="54" spans="1:13" hidden="1" x14ac:dyDescent="0.3">
      <c r="A54" s="8">
        <v>45672</v>
      </c>
      <c r="B54" s="6" t="s">
        <v>113</v>
      </c>
      <c r="C54" s="6" t="s">
        <v>114</v>
      </c>
      <c r="D54" s="6" t="s">
        <v>27</v>
      </c>
      <c r="E54" s="14">
        <v>45672.345833333333</v>
      </c>
      <c r="F54" s="8">
        <f>IF(HOUR(Table1[[#This Row],[CORREO]])&gt;=11,WORKDAY(Table1[[#This Row],[CORREO]],1,Table2[Dias no laborales]),E54)</f>
        <v>45672.345833333333</v>
      </c>
      <c r="G54" s="8">
        <v>45672</v>
      </c>
      <c r="H54" s="6">
        <f t="shared" si="0"/>
        <v>3</v>
      </c>
      <c r="I54" s="16">
        <f>MAX(1, NETWORKDAYS(A54, G54,Table2[Dias no laborales]))</f>
        <v>1</v>
      </c>
      <c r="J54" s="6" t="str">
        <f>IF(Table1[[#This Row],[FIN]]="","Acumulado",IF(ISNUMBER(SEARCH("ASAP",C54)),"ASAP",IF(NETWORKDAYS.INTL(F54,G54,1,Table2[Dias no laborales]) &lt;= 7, "Dentro", IF(A54&gt;F54,"Programado","Fuera"))))</f>
        <v>Dentro</v>
      </c>
      <c r="K54" s="6" t="str">
        <f t="shared" si="1"/>
        <v>A tiempo</v>
      </c>
      <c r="L54" s="8">
        <v>45672</v>
      </c>
      <c r="M54" s="17">
        <f>MAX(1,NETWORKDAYS(A54,L54,Table2[Dias no laborales]))</f>
        <v>1</v>
      </c>
    </row>
    <row r="55" spans="1:13" hidden="1" x14ac:dyDescent="0.3">
      <c r="A55" s="8">
        <v>45672</v>
      </c>
      <c r="B55" s="6" t="s">
        <v>115</v>
      </c>
      <c r="C55" s="6" t="s">
        <v>116</v>
      </c>
      <c r="D55" s="6" t="s">
        <v>27</v>
      </c>
      <c r="E55" s="14">
        <v>45672.347222222219</v>
      </c>
      <c r="F55" s="8">
        <f>IF(HOUR(Table1[[#This Row],[CORREO]])&gt;=11,WORKDAY(Table1[[#This Row],[CORREO]],1,Table2[Dias no laborales]),E55)</f>
        <v>45672.347222222219</v>
      </c>
      <c r="G55" s="8">
        <v>45672</v>
      </c>
      <c r="H55" s="6">
        <f t="shared" si="0"/>
        <v>3</v>
      </c>
      <c r="I55" s="16">
        <f>MAX(1, NETWORKDAYS(A55, G55,Table2[Dias no laborales]))</f>
        <v>1</v>
      </c>
      <c r="J55" s="6" t="str">
        <f>IF(Table1[[#This Row],[FIN]]="","Acumulado",IF(ISNUMBER(SEARCH("ASAP",C55)),"ASAP",IF(NETWORKDAYS.INTL(F55,G55,1,Table2[Dias no laborales]) &lt;= 7, "Dentro", IF(A55&gt;F55,"Programado","Fuera"))))</f>
        <v>Dentro</v>
      </c>
      <c r="K55" s="6" t="str">
        <f t="shared" si="1"/>
        <v>A tiempo</v>
      </c>
      <c r="L55" s="8">
        <v>45672</v>
      </c>
      <c r="M55" s="17">
        <f>MAX(1,NETWORKDAYS(A55,L55,Table2[Dias no laborales]))</f>
        <v>1</v>
      </c>
    </row>
    <row r="56" spans="1:13" hidden="1" x14ac:dyDescent="0.3">
      <c r="A56" s="8">
        <v>45672</v>
      </c>
      <c r="B56" s="6" t="s">
        <v>127</v>
      </c>
      <c r="C56" s="6" t="s">
        <v>128</v>
      </c>
      <c r="D56" s="6" t="s">
        <v>24</v>
      </c>
      <c r="E56" s="14">
        <v>45672.349305555559</v>
      </c>
      <c r="F56" s="8">
        <f>IF(HOUR(Table1[[#This Row],[CORREO]])&gt;=11,WORKDAY(Table1[[#This Row],[CORREO]],1,Table2[Dias no laborales]),E56)</f>
        <v>45672.349305555559</v>
      </c>
      <c r="G56" s="8">
        <v>45674</v>
      </c>
      <c r="H56" s="6">
        <f t="shared" si="0"/>
        <v>3</v>
      </c>
      <c r="I56" s="16">
        <f>MAX(1, NETWORKDAYS(A56, G56,Table2[Dias no laborales]))</f>
        <v>3</v>
      </c>
      <c r="J56" s="6" t="str">
        <f>IF(Table1[[#This Row],[FIN]]="","Acumulado",IF(ISNUMBER(SEARCH("ASAP",C56)),"ASAP",IF(NETWORKDAYS.INTL(F56,G56,1,Table2[Dias no laborales]) &lt;= 7, "Dentro", IF(A56&gt;F56,"Programado","Fuera"))))</f>
        <v>Dentro</v>
      </c>
      <c r="K56" s="6" t="str">
        <f t="shared" si="1"/>
        <v>A tiempo</v>
      </c>
      <c r="L56" s="8">
        <v>45672</v>
      </c>
      <c r="M56" s="17">
        <f>MAX(1,NETWORKDAYS(A56,L56,Table2[Dias no laborales]))</f>
        <v>1</v>
      </c>
    </row>
    <row r="57" spans="1:13" hidden="1" x14ac:dyDescent="0.3">
      <c r="A57" s="8">
        <v>45672</v>
      </c>
      <c r="B57" s="6" t="s">
        <v>164</v>
      </c>
      <c r="C57" s="6" t="s">
        <v>165</v>
      </c>
      <c r="D57" s="6" t="s">
        <v>27</v>
      </c>
      <c r="E57" s="14">
        <v>45672.356249999997</v>
      </c>
      <c r="F57" s="8">
        <f>IF(HOUR(Table1[[#This Row],[CORREO]])&gt;=11,WORKDAY(Table1[[#This Row],[CORREO]],1,Table2[Dias no laborales]),E57)</f>
        <v>45672.356249999997</v>
      </c>
      <c r="G57" s="8">
        <v>45677</v>
      </c>
      <c r="H57" s="6">
        <f t="shared" si="0"/>
        <v>3</v>
      </c>
      <c r="I57" s="16">
        <f>MAX(1, NETWORKDAYS(A57, G57,Table2[Dias no laborales]))</f>
        <v>4</v>
      </c>
      <c r="J57" s="6" t="str">
        <f>IF(Table1[[#This Row],[FIN]]="","Acumulado",IF(ISNUMBER(SEARCH("ASAP",C57)),"ASAP",IF(NETWORKDAYS.INTL(F57,G57,1,Table2[Dias no laborales]) &lt;= 7, "Dentro", IF(A57&gt;F57,"Programado","Fuera"))))</f>
        <v>Dentro</v>
      </c>
      <c r="K57" s="6" t="str">
        <f t="shared" si="1"/>
        <v>A tiempo</v>
      </c>
      <c r="L57" s="8">
        <v>45672</v>
      </c>
      <c r="M57" s="17">
        <f>MAX(1,NETWORKDAYS(A57,L57,Table2[Dias no laborales]))</f>
        <v>1</v>
      </c>
    </row>
    <row r="58" spans="1:13" hidden="1" x14ac:dyDescent="0.3">
      <c r="A58" s="8">
        <v>45672</v>
      </c>
      <c r="B58" s="6" t="s">
        <v>152</v>
      </c>
      <c r="C58" s="6" t="s">
        <v>153</v>
      </c>
      <c r="D58" s="6" t="s">
        <v>154</v>
      </c>
      <c r="E58" s="14">
        <v>45672.361111111109</v>
      </c>
      <c r="F58" s="8">
        <f>IF(HOUR(Table1[[#This Row],[CORREO]])&gt;=11,WORKDAY(Table1[[#This Row],[CORREO]],1,Table2[Dias no laborales]),E58)</f>
        <v>45672.361111111109</v>
      </c>
      <c r="G58" s="8">
        <v>45677</v>
      </c>
      <c r="H58" s="6">
        <f t="shared" si="0"/>
        <v>3</v>
      </c>
      <c r="I58" s="16">
        <f>MAX(1, NETWORKDAYS(A58, G58,Table2[Dias no laborales]))</f>
        <v>4</v>
      </c>
      <c r="J58" s="6" t="str">
        <f>IF(Table1[[#This Row],[FIN]]="","Acumulado",IF(ISNUMBER(SEARCH("ASAP",C58)),"ASAP",IF(NETWORKDAYS.INTL(F58,G58,1,Table2[Dias no laborales]) &lt;= 7, "Dentro", IF(A58&gt;F58,"Programado","Fuera"))))</f>
        <v>Dentro</v>
      </c>
      <c r="K58" s="6" t="str">
        <f t="shared" si="1"/>
        <v>A tiempo</v>
      </c>
      <c r="L58" s="8">
        <v>45672</v>
      </c>
      <c r="M58" s="17">
        <f>MAX(1,NETWORKDAYS(A58,L58,Table2[Dias no laborales]))</f>
        <v>1</v>
      </c>
    </row>
    <row r="59" spans="1:13" hidden="1" x14ac:dyDescent="0.3">
      <c r="A59" s="8">
        <v>45672</v>
      </c>
      <c r="B59" s="6" t="s">
        <v>163</v>
      </c>
      <c r="C59" s="6" t="s">
        <v>99</v>
      </c>
      <c r="D59" s="6" t="s">
        <v>100</v>
      </c>
      <c r="E59" s="14"/>
      <c r="F59" s="8">
        <f>IF(HOUR(Table1[[#This Row],[CORREO]])&gt;=11,WORKDAY(Table1[[#This Row],[CORREO]],1,Table2[Dias no laborales]),E59)</f>
        <v>0</v>
      </c>
      <c r="G59" s="8">
        <v>45677</v>
      </c>
      <c r="H59" s="6">
        <f t="shared" si="0"/>
        <v>3</v>
      </c>
      <c r="I59" s="16">
        <f>MAX(1, NETWORKDAYS(A59, G59,Table2[Dias no laborales]))</f>
        <v>4</v>
      </c>
      <c r="J59" s="6" t="str">
        <f>IF(Table1[[#This Row],[FIN]]="","Acumulado",IF(ISNUMBER(SEARCH("ASAP",C59)),"ASAP",IF(NETWORKDAYS.INTL(F59,G59,1,Table2[Dias no laborales]) &lt;= 7, "Dentro", IF(A59&gt;F59,"Programado","Fuera"))))</f>
        <v>Programado</v>
      </c>
      <c r="K59" s="6" t="str">
        <f t="shared" si="1"/>
        <v>Programados</v>
      </c>
      <c r="L59" s="8">
        <v>45677</v>
      </c>
      <c r="M59" s="17">
        <f>MAX(1,NETWORKDAYS(A59,L59,Table2[Dias no laborales]))</f>
        <v>4</v>
      </c>
    </row>
    <row r="60" spans="1:13" hidden="1" x14ac:dyDescent="0.3">
      <c r="A60" s="8">
        <v>45672</v>
      </c>
      <c r="B60" s="6" t="s">
        <v>200</v>
      </c>
      <c r="C60" s="6" t="s">
        <v>102</v>
      </c>
      <c r="D60" s="6" t="s">
        <v>103</v>
      </c>
      <c r="E60" s="14"/>
      <c r="F60" s="8">
        <f>IF(HOUR(Table1[[#This Row],[CORREO]])&gt;=11,WORKDAY(Table1[[#This Row],[CORREO]],1,Table2[Dias no laborales]),E60)</f>
        <v>0</v>
      </c>
      <c r="G60" s="8">
        <v>45679</v>
      </c>
      <c r="H60" s="6">
        <f t="shared" si="0"/>
        <v>3</v>
      </c>
      <c r="I60" s="16">
        <f>MAX(1, NETWORKDAYS(A60, G60,Table2[Dias no laborales]))</f>
        <v>6</v>
      </c>
      <c r="J60" s="6" t="str">
        <f>IF(Table1[[#This Row],[FIN]]="","Acumulado",IF(ISNUMBER(SEARCH("ASAP",C60)),"ASAP",IF(NETWORKDAYS.INTL(F60,G60,1,Table2[Dias no laborales]) &lt;= 7, "Dentro", IF(A60&gt;F60,"Programado","Fuera"))))</f>
        <v>Programado</v>
      </c>
      <c r="K60" s="6" t="str">
        <f t="shared" si="1"/>
        <v>Programados</v>
      </c>
      <c r="L60" s="8">
        <v>45674</v>
      </c>
      <c r="M60" s="17">
        <f>MAX(1,NETWORKDAYS(A60,L60,Table2[Dias no laborales]))</f>
        <v>3</v>
      </c>
    </row>
    <row r="61" spans="1:13" hidden="1" x14ac:dyDescent="0.3">
      <c r="A61" s="8">
        <v>45672</v>
      </c>
      <c r="B61" s="6" t="s">
        <v>203</v>
      </c>
      <c r="C61" s="6" t="s">
        <v>105</v>
      </c>
      <c r="D61" s="6" t="s">
        <v>85</v>
      </c>
      <c r="E61" s="14"/>
      <c r="F61" s="8">
        <f>IF(HOUR(Table1[[#This Row],[CORREO]])&gt;=11,WORKDAY(Table1[[#This Row],[CORREO]],1,Table2[Dias no laborales]),E61)</f>
        <v>0</v>
      </c>
      <c r="G61" s="8">
        <v>45679</v>
      </c>
      <c r="H61" s="6">
        <f t="shared" si="0"/>
        <v>3</v>
      </c>
      <c r="I61" s="16">
        <f>MAX(1, NETWORKDAYS(A61, G61,Table2[Dias no laborales]))</f>
        <v>6</v>
      </c>
      <c r="J61" s="6" t="str">
        <f>IF(Table1[[#This Row],[FIN]]="","Acumulado",IF(ISNUMBER(SEARCH("ASAP",C61)),"ASAP",IF(NETWORKDAYS.INTL(F61,G61,1,Table2[Dias no laborales]) &lt;= 7, "Dentro", IF(A61&gt;F61,"Programado","Fuera"))))</f>
        <v>Programado</v>
      </c>
      <c r="K61" s="6" t="str">
        <f t="shared" si="1"/>
        <v>Programados</v>
      </c>
      <c r="L61" s="8">
        <v>45679</v>
      </c>
      <c r="M61" s="17">
        <f>MAX(1,NETWORKDAYS(A61,L61,Table2[Dias no laborales]))</f>
        <v>6</v>
      </c>
    </row>
    <row r="62" spans="1:13" hidden="1" x14ac:dyDescent="0.3">
      <c r="A62" s="8">
        <v>45672</v>
      </c>
      <c r="B62" s="6" t="s">
        <v>120</v>
      </c>
      <c r="C62" s="6" t="s">
        <v>121</v>
      </c>
      <c r="D62" s="6" t="s">
        <v>27</v>
      </c>
      <c r="E62" s="14">
        <v>45672.470138888886</v>
      </c>
      <c r="F62" s="8">
        <f>IF(HOUR(Table1[[#This Row],[CORREO]])&gt;=11,WORKDAY(Table1[[#This Row],[CORREO]],1,Table2[Dias no laborales]),E62)</f>
        <v>45673</v>
      </c>
      <c r="G62" s="8">
        <v>45673</v>
      </c>
      <c r="H62" s="6">
        <f t="shared" si="0"/>
        <v>3</v>
      </c>
      <c r="I62" s="16">
        <f>MAX(1, NETWORKDAYS(A62, G62,Table2[Dias no laborales]))</f>
        <v>2</v>
      </c>
      <c r="J62" s="6" t="str">
        <f>IF(Table1[[#This Row],[FIN]]="","Acumulado",IF(ISNUMBER(SEARCH("ASAP",C62)),"ASAP",IF(NETWORKDAYS.INTL(F62,G62,1,Table2[Dias no laborales]) &lt;= 7, "Dentro", IF(A62&gt;F62,"Programado","Fuera"))))</f>
        <v>Dentro</v>
      </c>
      <c r="K62" s="6" t="str">
        <f t="shared" si="1"/>
        <v>Mismo día</v>
      </c>
      <c r="L62" s="8">
        <v>45672</v>
      </c>
      <c r="M62" s="17">
        <f>MAX(1,NETWORKDAYS(A62,L62,Table2[Dias no laborales]))</f>
        <v>1</v>
      </c>
    </row>
    <row r="63" spans="1:13" hidden="1" x14ac:dyDescent="0.3">
      <c r="A63" s="8">
        <v>45672</v>
      </c>
      <c r="B63" s="6" t="s">
        <v>144</v>
      </c>
      <c r="C63" s="6" t="s">
        <v>145</v>
      </c>
      <c r="D63" s="6" t="s">
        <v>27</v>
      </c>
      <c r="E63" s="14">
        <v>45672.543055555558</v>
      </c>
      <c r="F63" s="8">
        <f>IF(HOUR(Table1[[#This Row],[CORREO]])&gt;=11,WORKDAY(Table1[[#This Row],[CORREO]],1,Table2[Dias no laborales]),E63)</f>
        <v>45673</v>
      </c>
      <c r="G63" s="8">
        <v>45674</v>
      </c>
      <c r="H63" s="6">
        <f t="shared" si="0"/>
        <v>3</v>
      </c>
      <c r="I63" s="16">
        <f>MAX(1, NETWORKDAYS(A63, G63,Table2[Dias no laborales]))</f>
        <v>3</v>
      </c>
      <c r="J63" s="6" t="str">
        <f>IF(Table1[[#This Row],[FIN]]="","Acumulado",IF(ISNUMBER(SEARCH("ASAP",C63)),"ASAP",IF(NETWORKDAYS.INTL(F63,G63,1,Table2[Dias no laborales]) &lt;= 7, "Dentro", IF(A63&gt;F63,"Programado","Fuera"))))</f>
        <v>Dentro</v>
      </c>
      <c r="K63" s="6" t="str">
        <f t="shared" si="1"/>
        <v>Mismo día</v>
      </c>
      <c r="L63" s="8">
        <v>45674</v>
      </c>
      <c r="M63" s="17">
        <f>MAX(1,NETWORKDAYS(A63,L63,Table2[Dias no laborales]))</f>
        <v>3</v>
      </c>
    </row>
    <row r="64" spans="1:13" hidden="1" x14ac:dyDescent="0.3">
      <c r="A64" s="8">
        <v>45673</v>
      </c>
      <c r="B64" s="6" t="s">
        <v>184</v>
      </c>
      <c r="C64" s="6" t="s">
        <v>185</v>
      </c>
      <c r="D64" s="6" t="s">
        <v>186</v>
      </c>
      <c r="E64" s="14">
        <v>45673.354861111111</v>
      </c>
      <c r="F64" s="8">
        <f>IF(HOUR(Table1[[#This Row],[CORREO]])&gt;=11,WORKDAY(Table1[[#This Row],[CORREO]],1,Table2[Dias no laborales]),E64)</f>
        <v>45673.354861111111</v>
      </c>
      <c r="G64" s="8">
        <v>45679</v>
      </c>
      <c r="H64" s="6">
        <f t="shared" si="0"/>
        <v>3</v>
      </c>
      <c r="I64" s="16">
        <f>MAX(1, NETWORKDAYS(A64, G64,Table2[Dias no laborales]))</f>
        <v>5</v>
      </c>
      <c r="J64" s="6" t="str">
        <f>IF(Table1[[#This Row],[FIN]]="","Acumulado",IF(ISNUMBER(SEARCH("ASAP",C64)),"ASAP",IF(NETWORKDAYS.INTL(F64,G64,1,Table2[Dias no laborales]) &lt;= 7, "Dentro", IF(A64&gt;F64,"Programado","Fuera"))))</f>
        <v>Dentro</v>
      </c>
      <c r="K64" s="6" t="str">
        <f t="shared" si="1"/>
        <v>A tiempo</v>
      </c>
      <c r="L64" s="8">
        <v>45673</v>
      </c>
      <c r="M64" s="17">
        <f>MAX(1,NETWORKDAYS(A64,L64,Table2[Dias no laborales]))</f>
        <v>1</v>
      </c>
    </row>
    <row r="65" spans="1:13" hidden="1" x14ac:dyDescent="0.3">
      <c r="A65" s="8">
        <v>45673</v>
      </c>
      <c r="B65" s="6" t="s">
        <v>201</v>
      </c>
      <c r="C65" s="6" t="s">
        <v>202</v>
      </c>
      <c r="D65" s="6" t="s">
        <v>42</v>
      </c>
      <c r="E65" s="14">
        <v>45673.355555555558</v>
      </c>
      <c r="F65" s="8">
        <f>IF(HOUR(Table1[[#This Row],[CORREO]])&gt;=11,WORKDAY(Table1[[#This Row],[CORREO]],1,Table2[Dias no laborales]),E65)</f>
        <v>45673.355555555558</v>
      </c>
      <c r="G65" s="8">
        <v>45679</v>
      </c>
      <c r="H65" s="6">
        <f t="shared" si="0"/>
        <v>3</v>
      </c>
      <c r="I65" s="16">
        <f>MAX(1, NETWORKDAYS(A65, G65,Table2[Dias no laborales]))</f>
        <v>5</v>
      </c>
      <c r="J65" s="6" t="str">
        <f>IF(Table1[[#This Row],[FIN]]="","Acumulado",IF(ISNUMBER(SEARCH("ASAP",C65)),"ASAP",IF(NETWORKDAYS.INTL(F65,G65,1,Table2[Dias no laborales]) &lt;= 7, "Dentro", IF(A65&gt;F65,"Programado","Fuera"))))</f>
        <v>Dentro</v>
      </c>
      <c r="K65" s="6" t="str">
        <f t="shared" si="1"/>
        <v>A tiempo</v>
      </c>
      <c r="L65" s="8">
        <v>45673</v>
      </c>
      <c r="M65" s="17">
        <f>MAX(1,NETWORKDAYS(A65,L65,Table2[Dias no laborales]))</f>
        <v>1</v>
      </c>
    </row>
    <row r="66" spans="1:13" hidden="1" x14ac:dyDescent="0.3">
      <c r="A66" s="8">
        <v>45673</v>
      </c>
      <c r="B66" s="6" t="s">
        <v>134</v>
      </c>
      <c r="C66" s="6" t="s">
        <v>135</v>
      </c>
      <c r="D66" s="6" t="s">
        <v>136</v>
      </c>
      <c r="E66" s="14">
        <v>45673.356944444444</v>
      </c>
      <c r="F66" s="8">
        <f>IF(HOUR(Table1[[#This Row],[CORREO]])&gt;=11,WORKDAY(Table1[[#This Row],[CORREO]],1,Table2[Dias no laborales]),E66)</f>
        <v>45673.356944444444</v>
      </c>
      <c r="G66" s="8">
        <v>45674</v>
      </c>
      <c r="H66" s="6">
        <f t="shared" ref="H66:H129" si="2">INT((A66-DATE(YEAR(A66),1,1))/7) + 1</f>
        <v>3</v>
      </c>
      <c r="I66" s="16">
        <f>MAX(1, NETWORKDAYS(A66, G66,Table2[Dias no laborales]))</f>
        <v>2</v>
      </c>
      <c r="J66" s="6" t="str">
        <f>IF(Table1[[#This Row],[FIN]]="","Acumulado",IF(ISNUMBER(SEARCH("ASAP",C66)),"ASAP",IF(NETWORKDAYS.INTL(F66,G66,1,Table2[Dias no laborales]) &lt;= 7, "Dentro", IF(A66&gt;F66,"Programado","Fuera"))))</f>
        <v>Dentro</v>
      </c>
      <c r="K66" s="6" t="str">
        <f t="shared" ref="K66:K129" si="3">IF(INT(A66)=INT(F66),"A tiempo", IF(A66&lt;F66,"Mismo día","Programados"))</f>
        <v>A tiempo</v>
      </c>
      <c r="L66" s="8">
        <v>45673</v>
      </c>
      <c r="M66" s="17">
        <f>MAX(1,NETWORKDAYS(A66,L66,Table2[Dias no laborales]))</f>
        <v>1</v>
      </c>
    </row>
    <row r="67" spans="1:13" hidden="1" x14ac:dyDescent="0.3">
      <c r="A67" s="8">
        <v>45673</v>
      </c>
      <c r="B67" s="6" t="s">
        <v>122</v>
      </c>
      <c r="C67" s="6" t="s">
        <v>123</v>
      </c>
      <c r="D67" s="6" t="s">
        <v>24</v>
      </c>
      <c r="E67" s="14">
        <v>45673</v>
      </c>
      <c r="F67" s="8">
        <f>IF(HOUR(Table1[[#This Row],[CORREO]])&gt;=11,WORKDAY(Table1[[#This Row],[CORREO]],1,Table2[Dias no laborales]),E67)</f>
        <v>45673</v>
      </c>
      <c r="G67" s="8">
        <v>45673</v>
      </c>
      <c r="H67" s="6">
        <f t="shared" si="2"/>
        <v>3</v>
      </c>
      <c r="I67" s="16">
        <f>MAX(1, NETWORKDAYS(A67, G67,Table2[Dias no laborales]))</f>
        <v>1</v>
      </c>
      <c r="J67" s="6" t="str">
        <f>IF(Table1[[#This Row],[FIN]]="","Acumulado",IF(ISNUMBER(SEARCH("ASAP",C67)),"ASAP",IF(NETWORKDAYS.INTL(F67,G67,1,Table2[Dias no laborales]) &lt;= 7, "Dentro", IF(A67&gt;F67,"Programado","Fuera"))))</f>
        <v>Dentro</v>
      </c>
      <c r="K67" s="6" t="str">
        <f t="shared" si="3"/>
        <v>A tiempo</v>
      </c>
      <c r="L67" s="8">
        <v>45673</v>
      </c>
      <c r="M67" s="17">
        <f>MAX(1,NETWORKDAYS(A67,L67,Table2[Dias no laborales]))</f>
        <v>1</v>
      </c>
    </row>
    <row r="68" spans="1:13" hidden="1" x14ac:dyDescent="0.3">
      <c r="A68" s="8">
        <v>45673</v>
      </c>
      <c r="B68" s="6" t="s">
        <v>125</v>
      </c>
      <c r="C68" s="6" t="s">
        <v>126</v>
      </c>
      <c r="D68" s="6" t="s">
        <v>24</v>
      </c>
      <c r="E68" s="14">
        <v>45673.380555555559</v>
      </c>
      <c r="F68" s="8">
        <f>IF(HOUR(Table1[[#This Row],[CORREO]])&gt;=11,WORKDAY(Table1[[#This Row],[CORREO]],1,Table2[Dias no laborales]),E68)</f>
        <v>45673.380555555559</v>
      </c>
      <c r="G68" s="8">
        <v>45674</v>
      </c>
      <c r="H68" s="6">
        <f t="shared" si="2"/>
        <v>3</v>
      </c>
      <c r="I68" s="16">
        <f>MAX(1, NETWORKDAYS(A68, G68,Table2[Dias no laborales]))</f>
        <v>2</v>
      </c>
      <c r="J68" s="6" t="str">
        <f>IF(Table1[[#This Row],[FIN]]="","Acumulado",IF(ISNUMBER(SEARCH("ASAP",C68)),"ASAP",IF(NETWORKDAYS.INTL(F68,G68,1,Table2[Dias no laborales]) &lt;= 7, "Dentro", IF(A68&gt;F68,"Programado","Fuera"))))</f>
        <v>Dentro</v>
      </c>
      <c r="K68" s="6" t="str">
        <f t="shared" si="3"/>
        <v>A tiempo</v>
      </c>
      <c r="L68" s="8">
        <v>45673</v>
      </c>
      <c r="M68" s="17">
        <f>MAX(1,NETWORKDAYS(A68,L68,Table2[Dias no laborales]))</f>
        <v>1</v>
      </c>
    </row>
    <row r="69" spans="1:13" hidden="1" x14ac:dyDescent="0.3">
      <c r="A69" s="8">
        <v>45673</v>
      </c>
      <c r="B69" s="6" t="s">
        <v>129</v>
      </c>
      <c r="C69" s="6" t="s">
        <v>130</v>
      </c>
      <c r="D69" s="6" t="s">
        <v>27</v>
      </c>
      <c r="E69" s="14">
        <v>45673.414583333331</v>
      </c>
      <c r="F69" s="8">
        <f>IF(HOUR(Table1[[#This Row],[CORREO]])&gt;=11,WORKDAY(Table1[[#This Row],[CORREO]],1,Table2[Dias no laborales]),E69)</f>
        <v>45673.414583333331</v>
      </c>
      <c r="G69" s="8">
        <v>45674</v>
      </c>
      <c r="H69" s="6">
        <f t="shared" si="2"/>
        <v>3</v>
      </c>
      <c r="I69" s="16">
        <f>MAX(1, NETWORKDAYS(A69, G69,Table2[Dias no laborales]))</f>
        <v>2</v>
      </c>
      <c r="J69" s="6" t="str">
        <f>IF(Table1[[#This Row],[FIN]]="","Acumulado",IF(ISNUMBER(SEARCH("ASAP",C69)),"ASAP",IF(NETWORKDAYS.INTL(F69,G69,1,Table2[Dias no laborales]) &lt;= 7, "Dentro", IF(A69&gt;F69,"Programado","Fuera"))))</f>
        <v>Dentro</v>
      </c>
      <c r="K69" s="6" t="str">
        <f t="shared" si="3"/>
        <v>A tiempo</v>
      </c>
      <c r="L69" s="8">
        <v>45673</v>
      </c>
      <c r="M69" s="17">
        <f>MAX(1,NETWORKDAYS(A69,L69,Table2[Dias no laborales]))</f>
        <v>1</v>
      </c>
    </row>
    <row r="70" spans="1:13" hidden="1" x14ac:dyDescent="0.3">
      <c r="A70" s="8">
        <v>45673</v>
      </c>
      <c r="B70" s="6" t="s">
        <v>140</v>
      </c>
      <c r="C70" s="6" t="s">
        <v>141</v>
      </c>
      <c r="D70" s="6" t="s">
        <v>27</v>
      </c>
      <c r="E70" s="14">
        <v>45673.424305555556</v>
      </c>
      <c r="F70" s="8">
        <f>IF(HOUR(Table1[[#This Row],[CORREO]])&gt;=11,WORKDAY(Table1[[#This Row],[CORREO]],1,Table2[Dias no laborales]),E70)</f>
        <v>45673.424305555556</v>
      </c>
      <c r="G70" s="8">
        <v>45674</v>
      </c>
      <c r="H70" s="6">
        <f t="shared" si="2"/>
        <v>3</v>
      </c>
      <c r="I70" s="16">
        <f>MAX(1, NETWORKDAYS(A70, G70,Table2[Dias no laborales]))</f>
        <v>2</v>
      </c>
      <c r="J70" s="6" t="str">
        <f>IF(Table1[[#This Row],[FIN]]="","Acumulado",IF(ISNUMBER(SEARCH("ASAP",C70)),"ASAP",IF(NETWORKDAYS.INTL(F70,G70,1,Table2[Dias no laborales]) &lt;= 7, "Dentro", IF(A70&gt;F70,"Programado","Fuera"))))</f>
        <v>Dentro</v>
      </c>
      <c r="K70" s="6" t="str">
        <f t="shared" si="3"/>
        <v>A tiempo</v>
      </c>
      <c r="L70" s="8">
        <v>45673</v>
      </c>
      <c r="M70" s="17">
        <f>MAX(1,NETWORKDAYS(A70,L70,Table2[Dias no laborales]))</f>
        <v>1</v>
      </c>
    </row>
    <row r="71" spans="1:13" hidden="1" x14ac:dyDescent="0.3">
      <c r="A71" s="8">
        <v>45673</v>
      </c>
      <c r="B71" s="6" t="s">
        <v>131</v>
      </c>
      <c r="C71" s="6" t="s">
        <v>132</v>
      </c>
      <c r="D71" s="6" t="s">
        <v>133</v>
      </c>
      <c r="E71" s="14">
        <v>45673.363194444442</v>
      </c>
      <c r="F71" s="8">
        <f>IF(HOUR(Table1[[#This Row],[CORREO]])&gt;=11,WORKDAY(Table1[[#This Row],[CORREO]],1,Table2[Dias no laborales]),E71)</f>
        <v>45673.363194444442</v>
      </c>
      <c r="G71" s="8">
        <v>45674</v>
      </c>
      <c r="H71" s="6">
        <f t="shared" si="2"/>
        <v>3</v>
      </c>
      <c r="I71" s="16">
        <f>MAX(1, NETWORKDAYS(A71, G71,Table2[Dias no laborales]))</f>
        <v>2</v>
      </c>
      <c r="J71" s="6" t="str">
        <f>IF(Table1[[#This Row],[FIN]]="","Acumulado",IF(ISNUMBER(SEARCH("ASAP",C71)),"ASAP",IF(NETWORKDAYS.INTL(F71,G71,1,Table2[Dias no laborales]) &lt;= 7, "Dentro", IF(A71&gt;F71,"Programado","Fuera"))))</f>
        <v>Dentro</v>
      </c>
      <c r="K71" s="6" t="str">
        <f t="shared" si="3"/>
        <v>A tiempo</v>
      </c>
      <c r="L71" s="8">
        <v>45673</v>
      </c>
      <c r="M71" s="17">
        <f>MAX(1,NETWORKDAYS(A71,L71,Table2[Dias no laborales]))</f>
        <v>1</v>
      </c>
    </row>
    <row r="72" spans="1:13" hidden="1" x14ac:dyDescent="0.3">
      <c r="A72" s="8">
        <v>45673</v>
      </c>
      <c r="B72" s="6" t="s">
        <v>142</v>
      </c>
      <c r="C72" s="6" t="s">
        <v>143</v>
      </c>
      <c r="D72" s="6" t="s">
        <v>133</v>
      </c>
      <c r="E72" s="14">
        <v>45673.427777777775</v>
      </c>
      <c r="F72" s="8">
        <f>IF(HOUR(Table1[[#This Row],[CORREO]])&gt;=11,WORKDAY(Table1[[#This Row],[CORREO]],1,Table2[Dias no laborales]),E72)</f>
        <v>45673.427777777775</v>
      </c>
      <c r="G72" s="8">
        <v>45674</v>
      </c>
      <c r="H72" s="6">
        <f t="shared" si="2"/>
        <v>3</v>
      </c>
      <c r="I72" s="16">
        <f>MAX(1, NETWORKDAYS(A72, G72,Table2[Dias no laborales]))</f>
        <v>2</v>
      </c>
      <c r="J72" s="6" t="str">
        <f>IF(Table1[[#This Row],[FIN]]="","Acumulado",IF(ISNUMBER(SEARCH("ASAP",C72)),"ASAP",IF(NETWORKDAYS.INTL(F72,G72,1,Table2[Dias no laborales]) &lt;= 7, "Dentro", IF(A72&gt;F72,"Programado","Fuera"))))</f>
        <v>Dentro</v>
      </c>
      <c r="K72" s="6" t="str">
        <f t="shared" si="3"/>
        <v>A tiempo</v>
      </c>
      <c r="L72" s="8">
        <v>45674</v>
      </c>
      <c r="M72" s="17">
        <f>MAX(1,NETWORKDAYS(A72,L72,Table2[Dias no laborales]))</f>
        <v>2</v>
      </c>
    </row>
    <row r="73" spans="1:13" hidden="1" x14ac:dyDescent="0.3">
      <c r="A73" s="8">
        <v>45674</v>
      </c>
      <c r="B73" s="6" t="s">
        <v>155</v>
      </c>
      <c r="C73" s="6" t="s">
        <v>156</v>
      </c>
      <c r="D73" s="6" t="s">
        <v>53</v>
      </c>
      <c r="E73" s="14">
        <v>45674.387499999997</v>
      </c>
      <c r="F73" s="8">
        <f>IF(HOUR(Table1[[#This Row],[CORREO]])&gt;=11,WORKDAY(Table1[[#This Row],[CORREO]],1,Table2[Dias no laborales]),E73)</f>
        <v>45674.387499999997</v>
      </c>
      <c r="G73" s="8">
        <v>45677</v>
      </c>
      <c r="H73" s="6">
        <f t="shared" si="2"/>
        <v>3</v>
      </c>
      <c r="I73" s="16">
        <f>MAX(1, NETWORKDAYS(A73, G73,Table2[Dias no laborales]))</f>
        <v>2</v>
      </c>
      <c r="J73" s="6" t="str">
        <f>IF(Table1[[#This Row],[FIN]]="","Acumulado",IF(ISNUMBER(SEARCH("ASAP",C73)),"ASAP",IF(NETWORKDAYS.INTL(F73,G73,1,Table2[Dias no laborales]) &lt;= 7, "Dentro", IF(A73&gt;F73,"Programado","Fuera"))))</f>
        <v>Dentro</v>
      </c>
      <c r="K73" s="6" t="str">
        <f t="shared" si="3"/>
        <v>A tiempo</v>
      </c>
      <c r="L73" s="8">
        <v>45674</v>
      </c>
      <c r="M73" s="17">
        <f>MAX(1,NETWORKDAYS(A73,L73,Table2[Dias no laborales]))</f>
        <v>1</v>
      </c>
    </row>
    <row r="74" spans="1:13" hidden="1" x14ac:dyDescent="0.3">
      <c r="A74" s="8">
        <v>45674</v>
      </c>
      <c r="B74" s="6" t="s">
        <v>189</v>
      </c>
      <c r="C74" s="6" t="s">
        <v>190</v>
      </c>
      <c r="D74" s="6" t="s">
        <v>191</v>
      </c>
      <c r="E74" s="14">
        <v>45674.392361111109</v>
      </c>
      <c r="F74" s="8">
        <f>IF(HOUR(Table1[[#This Row],[CORREO]])&gt;=11,WORKDAY(Table1[[#This Row],[CORREO]],1,Table2[Dias no laborales]),E74)</f>
        <v>45674.392361111109</v>
      </c>
      <c r="G74" s="8">
        <v>45679</v>
      </c>
      <c r="H74" s="6">
        <f t="shared" si="2"/>
        <v>3</v>
      </c>
      <c r="I74" s="16">
        <f>MAX(1, NETWORKDAYS(A74, G74,Table2[Dias no laborales]))</f>
        <v>4</v>
      </c>
      <c r="J74" s="6" t="str">
        <f>IF(Table1[[#This Row],[FIN]]="","Acumulado",IF(ISNUMBER(SEARCH("ASAP",C74)),"ASAP",IF(NETWORKDAYS.INTL(F74,G74,1,Table2[Dias no laborales]) &lt;= 7, "Dentro", IF(A74&gt;F74,"Programado","Fuera"))))</f>
        <v>Dentro</v>
      </c>
      <c r="K74" s="6" t="str">
        <f t="shared" si="3"/>
        <v>A tiempo</v>
      </c>
      <c r="L74" s="8">
        <v>45674</v>
      </c>
      <c r="M74" s="17">
        <f>MAX(1,NETWORKDAYS(A74,L74,Table2[Dias no laborales]))</f>
        <v>1</v>
      </c>
    </row>
    <row r="75" spans="1:13" hidden="1" x14ac:dyDescent="0.3">
      <c r="A75" s="8">
        <v>45677</v>
      </c>
      <c r="B75" s="6" t="s">
        <v>209</v>
      </c>
      <c r="C75" s="6" t="s">
        <v>41</v>
      </c>
      <c r="D75" s="6" t="s">
        <v>42</v>
      </c>
      <c r="E75" s="14"/>
      <c r="F75" s="8">
        <f>IF(HOUR(Table1[[#This Row],[CORREO]])&gt;=11,WORKDAY(Table1[[#This Row],[CORREO]],1,Table2[Dias no laborales]),E75)</f>
        <v>0</v>
      </c>
      <c r="G75" s="8">
        <v>45680</v>
      </c>
      <c r="H75" s="6">
        <f t="shared" si="2"/>
        <v>3</v>
      </c>
      <c r="I75" s="16">
        <f>MAX(1, NETWORKDAYS(A75, G75,Table2[Dias no laborales]))</f>
        <v>4</v>
      </c>
      <c r="J75" s="6" t="str">
        <f>IF(Table1[[#This Row],[FIN]]="","Acumulado",IF(ISNUMBER(SEARCH("ASAP",C75)),"ASAP",IF(NETWORKDAYS.INTL(F75,G75,1,Table2[Dias no laborales]) &lt;= 7, "Dentro", IF(A75&gt;F75,"Programado","Fuera"))))</f>
        <v>Programado</v>
      </c>
      <c r="K75" s="6" t="str">
        <f t="shared" si="3"/>
        <v>Programados</v>
      </c>
      <c r="L75" s="8">
        <v>45677</v>
      </c>
      <c r="M75" s="17">
        <f>MAX(1,NETWORKDAYS(A75,L75,Table2[Dias no laborales]))</f>
        <v>1</v>
      </c>
    </row>
    <row r="76" spans="1:13" hidden="1" x14ac:dyDescent="0.3">
      <c r="A76" s="8">
        <v>45677</v>
      </c>
      <c r="B76" s="6" t="s">
        <v>172</v>
      </c>
      <c r="C76" s="6" t="s">
        <v>173</v>
      </c>
      <c r="D76" s="6" t="s">
        <v>27</v>
      </c>
      <c r="E76" s="14">
        <v>45677.422222222223</v>
      </c>
      <c r="F76" s="8">
        <f>IF(HOUR(Table1[[#This Row],[CORREO]])&gt;=11,WORKDAY(Table1[[#This Row],[CORREO]],1,Table2[Dias no laborales]),E76)</f>
        <v>45677.422222222223</v>
      </c>
      <c r="G76" s="8">
        <v>45678</v>
      </c>
      <c r="H76" s="6">
        <f t="shared" si="2"/>
        <v>3</v>
      </c>
      <c r="I76" s="16">
        <f>MAX(1, NETWORKDAYS(A76, G76,Table2[Dias no laborales]))</f>
        <v>2</v>
      </c>
      <c r="J76" s="6" t="str">
        <f>IF(Table1[[#This Row],[FIN]]="","Acumulado",IF(ISNUMBER(SEARCH("ASAP",C76)),"ASAP",IF(NETWORKDAYS.INTL(F76,G76,1,Table2[Dias no laborales]) &lt;= 7, "Dentro", IF(A76&gt;F76,"Programado","Fuera"))))</f>
        <v>Dentro</v>
      </c>
      <c r="K76" s="6" t="str">
        <f t="shared" si="3"/>
        <v>A tiempo</v>
      </c>
      <c r="L76" s="8">
        <v>45677</v>
      </c>
      <c r="M76" s="17">
        <f>MAX(1,NETWORKDAYS(A76,L76,Table2[Dias no laborales]))</f>
        <v>1</v>
      </c>
    </row>
    <row r="77" spans="1:13" hidden="1" x14ac:dyDescent="0.3">
      <c r="A77" s="8">
        <v>45677</v>
      </c>
      <c r="B77" s="6" t="s">
        <v>174</v>
      </c>
      <c r="C77" s="6" t="s">
        <v>175</v>
      </c>
      <c r="D77" s="6" t="s">
        <v>27</v>
      </c>
      <c r="E77" s="14">
        <v>45677.424305555556</v>
      </c>
      <c r="F77" s="8">
        <f>IF(HOUR(Table1[[#This Row],[CORREO]])&gt;=11,WORKDAY(Table1[[#This Row],[CORREO]],1,Table2[Dias no laborales]),E77)</f>
        <v>45677.424305555556</v>
      </c>
      <c r="G77" s="8">
        <v>45678</v>
      </c>
      <c r="H77" s="6">
        <f t="shared" si="2"/>
        <v>3</v>
      </c>
      <c r="I77" s="16">
        <f>MAX(1, NETWORKDAYS(A77, G77,Table2[Dias no laborales]))</f>
        <v>2</v>
      </c>
      <c r="J77" s="6" t="str">
        <f>IF(Table1[[#This Row],[FIN]]="","Acumulado",IF(ISNUMBER(SEARCH("ASAP",C77)),"ASAP",IF(NETWORKDAYS.INTL(F77,G77,1,Table2[Dias no laborales]) &lt;= 7, "Dentro", IF(A77&gt;F77,"Programado","Fuera"))))</f>
        <v>Dentro</v>
      </c>
      <c r="K77" s="6" t="str">
        <f t="shared" si="3"/>
        <v>A tiempo</v>
      </c>
      <c r="L77" s="8">
        <v>45677</v>
      </c>
      <c r="M77" s="17">
        <f>MAX(1,NETWORKDAYS(A77,L77,Table2[Dias no laborales]))</f>
        <v>1</v>
      </c>
    </row>
    <row r="78" spans="1:13" hidden="1" x14ac:dyDescent="0.3">
      <c r="A78" s="8">
        <v>45677</v>
      </c>
      <c r="B78" s="6" t="s">
        <v>224</v>
      </c>
      <c r="C78" s="6" t="s">
        <v>225</v>
      </c>
      <c r="D78" s="6" t="s">
        <v>27</v>
      </c>
      <c r="E78" s="14">
        <v>45678.397222222222</v>
      </c>
      <c r="F78" s="8">
        <f>IF(HOUR(Table1[[#This Row],[CORREO]])&gt;=11,WORKDAY(Table1[[#This Row],[CORREO]],1,Table2[Dias no laborales]),E78)</f>
        <v>45678.397222222222</v>
      </c>
      <c r="G78" s="8">
        <v>45684</v>
      </c>
      <c r="H78" s="6">
        <f t="shared" si="2"/>
        <v>3</v>
      </c>
      <c r="I78" s="16">
        <f>MAX(1, NETWORKDAYS(A78, G78,Table2[Dias no laborales]))</f>
        <v>6</v>
      </c>
      <c r="J78" s="6" t="str">
        <f>IF(Table1[[#This Row],[FIN]]="","Acumulado",IF(ISNUMBER(SEARCH("ASAP",C78)),"ASAP",IF(NETWORKDAYS.INTL(F78,G78,1,Table2[Dias no laborales]) &lt;= 7, "Dentro", IF(A78&gt;F78,"Programado","Fuera"))))</f>
        <v>Dentro</v>
      </c>
      <c r="K78" s="6" t="str">
        <f t="shared" si="3"/>
        <v>Mismo día</v>
      </c>
      <c r="L78" s="8">
        <v>45677</v>
      </c>
      <c r="M78" s="17">
        <f>MAX(1,NETWORKDAYS(A78,L78,Table2[Dias no laborales]))</f>
        <v>1</v>
      </c>
    </row>
    <row r="79" spans="1:13" hidden="1" x14ac:dyDescent="0.3">
      <c r="A79" s="8">
        <v>45677</v>
      </c>
      <c r="B79" s="6" t="s">
        <v>179</v>
      </c>
      <c r="C79" s="6" t="s">
        <v>158</v>
      </c>
      <c r="D79" s="6" t="s">
        <v>75</v>
      </c>
      <c r="E79" s="14"/>
      <c r="F79" s="8">
        <f>IF(HOUR(Table1[[#This Row],[CORREO]])&gt;=11,WORKDAY(Table1[[#This Row],[CORREO]],1,Table2[Dias no laborales]),E79)</f>
        <v>0</v>
      </c>
      <c r="G79" s="8">
        <v>45678</v>
      </c>
      <c r="H79" s="6">
        <f t="shared" si="2"/>
        <v>3</v>
      </c>
      <c r="I79" s="16">
        <f>MAX(1, NETWORKDAYS(A79, G79,Table2[Dias no laborales]))</f>
        <v>2</v>
      </c>
      <c r="J79" s="6" t="str">
        <f>IF(Table1[[#This Row],[FIN]]="","Acumulado",IF(ISNUMBER(SEARCH("ASAP",C79)),"ASAP",IF(NETWORKDAYS.INTL(F79,G79,1,Table2[Dias no laborales]) &lt;= 7, "Dentro", IF(A79&gt;F79,"Programado","Fuera"))))</f>
        <v>Programado</v>
      </c>
      <c r="K79" s="6" t="str">
        <f t="shared" si="3"/>
        <v>Programados</v>
      </c>
      <c r="L79" s="8">
        <v>45677</v>
      </c>
      <c r="M79" s="17">
        <f>MAX(1,NETWORKDAYS(A79,L79,Table2[Dias no laborales]))</f>
        <v>1</v>
      </c>
    </row>
    <row r="80" spans="1:13" hidden="1" x14ac:dyDescent="0.3">
      <c r="A80" s="8">
        <v>45677</v>
      </c>
      <c r="B80" s="8" t="s">
        <v>169</v>
      </c>
      <c r="C80" s="6" t="s">
        <v>170</v>
      </c>
      <c r="D80" s="6" t="s">
        <v>171</v>
      </c>
      <c r="E80" s="14">
        <v>45677.442361111112</v>
      </c>
      <c r="F80" s="8">
        <f>IF(HOUR(Table1[[#This Row],[CORREO]])&gt;=11,WORKDAY(Table1[[#This Row],[CORREO]],1,Table2[Dias no laborales]),E80)</f>
        <v>45677.442361111112</v>
      </c>
      <c r="G80" s="8">
        <v>45678</v>
      </c>
      <c r="H80" s="6">
        <f t="shared" si="2"/>
        <v>3</v>
      </c>
      <c r="I80" s="16">
        <f>MAX(1, NETWORKDAYS(A80, G80,Table2[Dias no laborales]))</f>
        <v>2</v>
      </c>
      <c r="J80" s="6" t="str">
        <f>IF(Table1[[#This Row],[FIN]]="","Acumulado",IF(ISNUMBER(SEARCH("ASAP",C80)),"ASAP",IF(NETWORKDAYS.INTL(F80,G80,1,Table2[Dias no laborales]) &lt;= 7, "Dentro", IF(A80&gt;F80,"Programado","Fuera"))))</f>
        <v>Dentro</v>
      </c>
      <c r="K80" s="6" t="str">
        <f t="shared" si="3"/>
        <v>A tiempo</v>
      </c>
      <c r="L80" s="8">
        <v>45677</v>
      </c>
      <c r="M80" s="17">
        <f>MAX(1,NETWORKDAYS(A80,L80,Table2[Dias no laborales]))</f>
        <v>1</v>
      </c>
    </row>
    <row r="81" spans="1:13" hidden="1" x14ac:dyDescent="0.3">
      <c r="A81" s="8">
        <v>45678</v>
      </c>
      <c r="B81" s="6" t="s">
        <v>180</v>
      </c>
      <c r="C81" s="6" t="s">
        <v>181</v>
      </c>
      <c r="D81" s="6" t="s">
        <v>103</v>
      </c>
      <c r="E81" s="14">
        <v>45678.339583333334</v>
      </c>
      <c r="F81" s="8">
        <f>IF(HOUR(Table1[[#This Row],[CORREO]])&gt;=11,WORKDAY(Table1[[#This Row],[CORREO]],1,Table2[Dias no laborales]),E81)</f>
        <v>45678.339583333334</v>
      </c>
      <c r="G81" s="8">
        <v>45678</v>
      </c>
      <c r="H81" s="6">
        <f t="shared" si="2"/>
        <v>3</v>
      </c>
      <c r="I81" s="16">
        <f>MAX(1, NETWORKDAYS(A81, G81,Table2[Dias no laborales]))</f>
        <v>1</v>
      </c>
      <c r="J81" s="6" t="str">
        <f>IF(Table1[[#This Row],[FIN]]="","Acumulado",IF(ISNUMBER(SEARCH("ASAP",C81)),"ASAP",IF(NETWORKDAYS.INTL(F81,G81,1,Table2[Dias no laborales]) &lt;= 7, "Dentro", IF(A81&gt;F81,"Programado","Fuera"))))</f>
        <v>Dentro</v>
      </c>
      <c r="K81" s="6" t="str">
        <f t="shared" si="3"/>
        <v>A tiempo</v>
      </c>
      <c r="L81" s="8">
        <v>45678</v>
      </c>
      <c r="M81" s="17">
        <f>MAX(1,NETWORKDAYS(A81,L81,Table2[Dias no laborales]))</f>
        <v>1</v>
      </c>
    </row>
    <row r="82" spans="1:13" hidden="1" x14ac:dyDescent="0.3">
      <c r="A82" s="8">
        <v>45678</v>
      </c>
      <c r="B82" s="6" t="s">
        <v>192</v>
      </c>
      <c r="C82" s="6" t="s">
        <v>193</v>
      </c>
      <c r="D82" s="6" t="s">
        <v>194</v>
      </c>
      <c r="E82" s="14"/>
      <c r="F82" s="8">
        <f>IF(HOUR(Table1[[#This Row],[CORREO]])&gt;=11,WORKDAY(Table1[[#This Row],[CORREO]],1,Table2[Dias no laborales]),E82)</f>
        <v>0</v>
      </c>
      <c r="G82" s="8">
        <v>45679</v>
      </c>
      <c r="H82" s="6">
        <f t="shared" si="2"/>
        <v>3</v>
      </c>
      <c r="I82" s="16">
        <f>MAX(1, NETWORKDAYS(A82, G82,Table2[Dias no laborales]))</f>
        <v>2</v>
      </c>
      <c r="J82" s="6" t="str">
        <f>IF(Table1[[#This Row],[FIN]]="","Acumulado",IF(ISNUMBER(SEARCH("ASAP",C82)),"ASAP",IF(NETWORKDAYS.INTL(F82,G82,1,Table2[Dias no laborales]) &lt;= 7, "Dentro", IF(A82&gt;F82,"Programado","Fuera"))))</f>
        <v>Programado</v>
      </c>
      <c r="K82" s="6" t="str">
        <f t="shared" si="3"/>
        <v>Programados</v>
      </c>
      <c r="L82" s="8">
        <v>45679</v>
      </c>
      <c r="M82" s="17">
        <f>MAX(1,NETWORKDAYS(A82,L82,Table2[Dias no laborales]))</f>
        <v>2</v>
      </c>
    </row>
    <row r="83" spans="1:13" hidden="1" x14ac:dyDescent="0.3">
      <c r="A83" s="8">
        <v>45678</v>
      </c>
      <c r="B83" s="6" t="s">
        <v>204</v>
      </c>
      <c r="C83" s="6" t="s">
        <v>205</v>
      </c>
      <c r="D83" s="6" t="s">
        <v>42</v>
      </c>
      <c r="E83" s="14">
        <v>45678.339583333334</v>
      </c>
      <c r="F83" s="8">
        <f>IF(HOUR(Table1[[#This Row],[CORREO]])&gt;=11,WORKDAY(Table1[[#This Row],[CORREO]],1,Table2[Dias no laborales]),E83)</f>
        <v>45678.339583333334</v>
      </c>
      <c r="G83" s="8">
        <v>45679</v>
      </c>
      <c r="H83" s="6">
        <f t="shared" si="2"/>
        <v>3</v>
      </c>
      <c r="I83" s="16">
        <f>MAX(1, NETWORKDAYS(A83, G83,Table2[Dias no laborales]))</f>
        <v>2</v>
      </c>
      <c r="J83" s="6" t="str">
        <f>IF(Table1[[#This Row],[FIN]]="","Acumulado",IF(ISNUMBER(SEARCH("ASAP",C83)),"ASAP",IF(NETWORKDAYS.INTL(F83,G83,1,Table2[Dias no laborales]) &lt;= 7, "Dentro", IF(A83&gt;F83,"Programado","Fuera"))))</f>
        <v>Dentro</v>
      </c>
      <c r="K83" s="6" t="str">
        <f t="shared" si="3"/>
        <v>A tiempo</v>
      </c>
      <c r="L83" s="8">
        <v>45678</v>
      </c>
      <c r="M83" s="17">
        <f>MAX(1,NETWORKDAYS(A83,L83,Table2[Dias no laborales]))</f>
        <v>1</v>
      </c>
    </row>
    <row r="84" spans="1:13" hidden="1" x14ac:dyDescent="0.3">
      <c r="A84" s="8">
        <v>45678</v>
      </c>
      <c r="B84" s="6" t="s">
        <v>231</v>
      </c>
      <c r="C84" s="6" t="s">
        <v>34</v>
      </c>
      <c r="D84" s="6" t="s">
        <v>53</v>
      </c>
      <c r="E84" s="14">
        <v>45679.402083333334</v>
      </c>
      <c r="F84" s="8">
        <f>IF(HOUR(Table1[[#This Row],[CORREO]])&gt;=11,WORKDAY(Table1[[#This Row],[CORREO]],1,Table2[Dias no laborales]),E84)</f>
        <v>45679.402083333334</v>
      </c>
      <c r="G84" s="8">
        <v>45684</v>
      </c>
      <c r="H84" s="6">
        <f t="shared" si="2"/>
        <v>3</v>
      </c>
      <c r="I84" s="16">
        <f>MAX(1, NETWORKDAYS(A84, G84,Table2[Dias no laborales]))</f>
        <v>5</v>
      </c>
      <c r="J84" s="6" t="str">
        <f>IF(Table1[[#This Row],[FIN]]="","Acumulado",IF(ISNUMBER(SEARCH("ASAP",C84)),"ASAP",IF(NETWORKDAYS.INTL(F84,G84,1,Table2[Dias no laborales]) &lt;= 7, "Dentro", IF(A84&gt;F84,"Programado","Fuera"))))</f>
        <v>Dentro</v>
      </c>
      <c r="K84" s="6" t="str">
        <f t="shared" si="3"/>
        <v>Mismo día</v>
      </c>
      <c r="L84" s="8">
        <v>45678</v>
      </c>
      <c r="M84" s="17">
        <f>MAX(1,NETWORKDAYS(A84,L84,Table2[Dias no laborales]))</f>
        <v>1</v>
      </c>
    </row>
    <row r="85" spans="1:13" hidden="1" x14ac:dyDescent="0.3">
      <c r="A85" s="8">
        <v>45678</v>
      </c>
      <c r="B85" s="6" t="s">
        <v>197</v>
      </c>
      <c r="C85" s="6" t="s">
        <v>198</v>
      </c>
      <c r="D85" s="6" t="s">
        <v>199</v>
      </c>
      <c r="E85" s="14">
        <v>45678.381249999999</v>
      </c>
      <c r="F85" s="8">
        <f>IF(HOUR(Table1[[#This Row],[CORREO]])&gt;=11,WORKDAY(Table1[[#This Row],[CORREO]],1,Table2[Dias no laborales]),E85)</f>
        <v>45678.381249999999</v>
      </c>
      <c r="G85" s="8">
        <v>45679</v>
      </c>
      <c r="H85" s="6">
        <f t="shared" si="2"/>
        <v>3</v>
      </c>
      <c r="I85" s="16">
        <f>MAX(1, NETWORKDAYS(A85, G85,Table2[Dias no laborales]))</f>
        <v>2</v>
      </c>
      <c r="J85" s="6" t="str">
        <f>IF(Table1[[#This Row],[FIN]]="","Acumulado",IF(ISNUMBER(SEARCH("ASAP",C85)),"ASAP",IF(NETWORKDAYS.INTL(F85,G85,1,Table2[Dias no laborales]) &lt;= 7, "Dentro", IF(A85&gt;F85,"Programado","Fuera"))))</f>
        <v>Dentro</v>
      </c>
      <c r="K85" s="6" t="str">
        <f t="shared" si="3"/>
        <v>A tiempo</v>
      </c>
      <c r="L85" s="8">
        <v>45679</v>
      </c>
      <c r="M85" s="17">
        <f>MAX(1,NETWORKDAYS(A85,L85,Table2[Dias no laborales]))</f>
        <v>2</v>
      </c>
    </row>
    <row r="86" spans="1:13" hidden="1" x14ac:dyDescent="0.3">
      <c r="A86" s="8">
        <v>45678</v>
      </c>
      <c r="B86" s="6" t="s">
        <v>206</v>
      </c>
      <c r="C86" s="6" t="s">
        <v>207</v>
      </c>
      <c r="D86" s="6" t="s">
        <v>208</v>
      </c>
      <c r="E86" s="14">
        <v>45678.386111111111</v>
      </c>
      <c r="F86" s="8">
        <f>IF(HOUR(Table1[[#This Row],[CORREO]])&gt;=11,WORKDAY(Table1[[#This Row],[CORREO]],1,Table2[Dias no laborales]),E86)</f>
        <v>45678.386111111111</v>
      </c>
      <c r="G86" s="8">
        <v>45679</v>
      </c>
      <c r="H86" s="6">
        <f t="shared" si="2"/>
        <v>3</v>
      </c>
      <c r="I86" s="16">
        <f>MAX(1, NETWORKDAYS(A86, G86,Table2[Dias no laborales]))</f>
        <v>2</v>
      </c>
      <c r="J86" s="6" t="str">
        <f>IF(Table1[[#This Row],[FIN]]="","Acumulado",IF(ISNUMBER(SEARCH("ASAP",C86)),"ASAP",IF(NETWORKDAYS.INTL(F86,G86,1,Table2[Dias no laborales]) &lt;= 7, "Dentro", IF(A86&gt;F86,"Programado","Fuera"))))</f>
        <v>Dentro</v>
      </c>
      <c r="K86" s="6" t="str">
        <f t="shared" si="3"/>
        <v>A tiempo</v>
      </c>
      <c r="L86" s="8">
        <v>45678</v>
      </c>
      <c r="M86" s="17">
        <f>MAX(1,NETWORKDAYS(A86,L86,Table2[Dias no laborales]))</f>
        <v>1</v>
      </c>
    </row>
    <row r="87" spans="1:13" hidden="1" x14ac:dyDescent="0.3">
      <c r="A87" s="8">
        <v>45678</v>
      </c>
      <c r="B87" s="6" t="s">
        <v>226</v>
      </c>
      <c r="C87" s="6" t="s">
        <v>227</v>
      </c>
      <c r="D87" s="6" t="s">
        <v>24</v>
      </c>
      <c r="E87" s="14">
        <v>45681.379166666666</v>
      </c>
      <c r="F87" s="8">
        <f>IF(HOUR(Table1[[#This Row],[CORREO]])&gt;=11,WORKDAY(Table1[[#This Row],[CORREO]],1,Table2[Dias no laborales]),E87)</f>
        <v>45681.379166666666</v>
      </c>
      <c r="G87" s="8">
        <v>45684</v>
      </c>
      <c r="H87" s="6">
        <f t="shared" si="2"/>
        <v>3</v>
      </c>
      <c r="I87" s="16">
        <f>MAX(1, NETWORKDAYS(A87, G87,Table2[Dias no laborales]))</f>
        <v>5</v>
      </c>
      <c r="J87" s="6" t="str">
        <f>IF(Table1[[#This Row],[FIN]]="","Acumulado",IF(ISNUMBER(SEARCH("ASAP",C87)),"ASAP",IF(NETWORKDAYS.INTL(F87,G87,1,Table2[Dias no laborales]) &lt;= 7, "Dentro", IF(A87&gt;F87,"Programado","Fuera"))))</f>
        <v>Dentro</v>
      </c>
      <c r="K87" s="6" t="str">
        <f t="shared" si="3"/>
        <v>Mismo día</v>
      </c>
      <c r="L87" s="8">
        <v>45679</v>
      </c>
      <c r="M87" s="17">
        <f>MAX(1,NETWORKDAYS(A87,L87,Table2[Dias no laborales]))</f>
        <v>2</v>
      </c>
    </row>
    <row r="88" spans="1:13" hidden="1" x14ac:dyDescent="0.3">
      <c r="A88" s="8">
        <v>45678</v>
      </c>
      <c r="B88" s="6" t="s">
        <v>195</v>
      </c>
      <c r="C88" s="6" t="s">
        <v>196</v>
      </c>
      <c r="D88" s="6" t="s">
        <v>45</v>
      </c>
      <c r="E88" s="14">
        <v>45678.408333333333</v>
      </c>
      <c r="F88" s="8">
        <f>IF(HOUR(Table1[[#This Row],[CORREO]])&gt;=11,WORKDAY(Table1[[#This Row],[CORREO]],1,Table2[Dias no laborales]),E88)</f>
        <v>45678.408333333333</v>
      </c>
      <c r="G88" s="8">
        <v>45679</v>
      </c>
      <c r="H88" s="6">
        <f t="shared" si="2"/>
        <v>3</v>
      </c>
      <c r="I88" s="16">
        <f>MAX(1, NETWORKDAYS(A88, G88,Table2[Dias no laborales]))</f>
        <v>2</v>
      </c>
      <c r="J88" s="6" t="str">
        <f>IF(Table1[[#This Row],[FIN]]="","Acumulado",IF(ISNUMBER(SEARCH("ASAP",C88)),"ASAP",IF(NETWORKDAYS.INTL(F88,G88,1,Table2[Dias no laborales]) &lt;= 7, "Dentro", IF(A88&gt;F88,"Programado","Fuera"))))</f>
        <v>Dentro</v>
      </c>
      <c r="K88" s="6" t="str">
        <f t="shared" si="3"/>
        <v>A tiempo</v>
      </c>
      <c r="L88" s="8">
        <v>45679</v>
      </c>
      <c r="M88" s="17">
        <f>MAX(1,NETWORKDAYS(A88,L88,Table2[Dias no laborales]))</f>
        <v>2</v>
      </c>
    </row>
    <row r="89" spans="1:13" hidden="1" x14ac:dyDescent="0.3">
      <c r="A89" s="8">
        <v>45678</v>
      </c>
      <c r="B89" s="6" t="s">
        <v>187</v>
      </c>
      <c r="C89" s="6" t="s">
        <v>188</v>
      </c>
      <c r="D89" s="6" t="s">
        <v>45</v>
      </c>
      <c r="E89" s="14">
        <v>45678.40902777778</v>
      </c>
      <c r="F89" s="8">
        <f>IF(HOUR(Table1[[#This Row],[CORREO]])&gt;=11,WORKDAY(Table1[[#This Row],[CORREO]],1,Table2[Dias no laborales]),E89)</f>
        <v>45678.40902777778</v>
      </c>
      <c r="G89" s="8">
        <v>45679</v>
      </c>
      <c r="H89" s="6">
        <f t="shared" si="2"/>
        <v>3</v>
      </c>
      <c r="I89" s="16">
        <f>MAX(1, NETWORKDAYS(A89, G89,Table2[Dias no laborales]))</f>
        <v>2</v>
      </c>
      <c r="J89" s="6" t="str">
        <f>IF(Table1[[#This Row],[FIN]]="","Acumulado",IF(ISNUMBER(SEARCH("ASAP",C89)),"ASAP",IF(NETWORKDAYS.INTL(F89,G89,1,Table2[Dias no laborales]) &lt;= 7, "Dentro", IF(A89&gt;F89,"Programado","Fuera"))))</f>
        <v>Dentro</v>
      </c>
      <c r="K89" s="6" t="str">
        <f t="shared" si="3"/>
        <v>A tiempo</v>
      </c>
      <c r="L89" s="8">
        <v>45679</v>
      </c>
      <c r="M89" s="17">
        <f>MAX(1,NETWORKDAYS(A89,L89,Table2[Dias no laborales]))</f>
        <v>2</v>
      </c>
    </row>
    <row r="90" spans="1:13" hidden="1" x14ac:dyDescent="0.3">
      <c r="A90" s="8">
        <v>45678</v>
      </c>
      <c r="B90" s="6" t="s">
        <v>182</v>
      </c>
      <c r="C90" s="6" t="s">
        <v>183</v>
      </c>
      <c r="D90" s="6" t="s">
        <v>61</v>
      </c>
      <c r="E90" s="14">
        <v>45678.390972222223</v>
      </c>
      <c r="F90" s="8">
        <f>IF(HOUR(Table1[[#This Row],[CORREO]])&gt;=11,WORKDAY(Table1[[#This Row],[CORREO]],1,Table2[Dias no laborales]),E90)</f>
        <v>45678.390972222223</v>
      </c>
      <c r="G90" s="8">
        <v>45679</v>
      </c>
      <c r="H90" s="6">
        <f t="shared" si="2"/>
        <v>3</v>
      </c>
      <c r="I90" s="16">
        <f>MAX(1, NETWORKDAYS(A90, G90,Table2[Dias no laborales]))</f>
        <v>2</v>
      </c>
      <c r="J90" s="6" t="str">
        <f>IF(Table1[[#This Row],[FIN]]="","Acumulado",IF(ISNUMBER(SEARCH("ASAP",C90)),"ASAP",IF(NETWORKDAYS.INTL(F90,G90,1,Table2[Dias no laborales]) &lt;= 7, "Dentro", IF(A90&gt;F90,"Programado","Fuera"))))</f>
        <v>Dentro</v>
      </c>
      <c r="K90" s="6" t="str">
        <f t="shared" si="3"/>
        <v>A tiempo</v>
      </c>
      <c r="L90" s="8">
        <v>45678</v>
      </c>
      <c r="M90" s="17">
        <f>MAX(1,NETWORKDAYS(A90,L90,Table2[Dias no laborales]))</f>
        <v>1</v>
      </c>
    </row>
    <row r="91" spans="1:13" hidden="1" x14ac:dyDescent="0.3">
      <c r="A91" s="8">
        <v>45678</v>
      </c>
      <c r="B91" s="6" t="s">
        <v>177</v>
      </c>
      <c r="C91" s="6" t="s">
        <v>178</v>
      </c>
      <c r="D91" s="6" t="s">
        <v>24</v>
      </c>
      <c r="E91" s="14">
        <v>45678.507638888892</v>
      </c>
      <c r="F91" s="8">
        <f>IF(HOUR(Table1[[#This Row],[CORREO]])&gt;=11,WORKDAY(Table1[[#This Row],[CORREO]],1,Table2[Dias no laborales]),E91)</f>
        <v>45679</v>
      </c>
      <c r="G91" s="8">
        <v>45678</v>
      </c>
      <c r="H91" s="6">
        <f t="shared" si="2"/>
        <v>3</v>
      </c>
      <c r="I91" s="16">
        <f>MAX(1, NETWORKDAYS(A91, G91,Table2[Dias no laborales]))</f>
        <v>1</v>
      </c>
      <c r="J91" s="6" t="str">
        <f>IF(Table1[[#This Row],[FIN]]="","Acumulado",IF(ISNUMBER(SEARCH("ASAP",C91)),"ASAP",IF(NETWORKDAYS.INTL(F91,G91,1,Table2[Dias no laborales]) &lt;= 7, "Dentro", IF(A91&gt;F91,"Programado","Fuera"))))</f>
        <v>Dentro</v>
      </c>
      <c r="K91" s="6" t="str">
        <f t="shared" si="3"/>
        <v>Mismo día</v>
      </c>
      <c r="L91" s="8">
        <v>45678</v>
      </c>
      <c r="M91" s="17">
        <f>MAX(1,NETWORKDAYS(A91,L91,Table2[Dias no laborales]))</f>
        <v>1</v>
      </c>
    </row>
    <row r="92" spans="1:13" hidden="1" x14ac:dyDescent="0.3">
      <c r="A92" s="8">
        <v>45679</v>
      </c>
      <c r="B92" s="6" t="s">
        <v>212</v>
      </c>
      <c r="C92" s="6" t="s">
        <v>213</v>
      </c>
      <c r="D92" s="6" t="s">
        <v>162</v>
      </c>
      <c r="E92" s="14">
        <v>45679.399305555555</v>
      </c>
      <c r="F92" s="8">
        <f>IF(HOUR(Table1[[#This Row],[CORREO]])&gt;=11,WORKDAY(Table1[[#This Row],[CORREO]],1,Table2[Dias no laborales]),E92)</f>
        <v>45679.399305555555</v>
      </c>
      <c r="G92" s="8">
        <v>45680</v>
      </c>
      <c r="H92" s="6">
        <f t="shared" si="2"/>
        <v>4</v>
      </c>
      <c r="I92" s="16">
        <f>MAX(1, NETWORKDAYS(A92, G92,Table2[Dias no laborales]))</f>
        <v>2</v>
      </c>
      <c r="J92" s="6" t="str">
        <f>IF(Table1[[#This Row],[FIN]]="","Acumulado",IF(ISNUMBER(SEARCH("ASAP",C92)),"ASAP",IF(NETWORKDAYS.INTL(F92,G92,1,Table2[Dias no laborales]) &lt;= 7, "Dentro", IF(A92&gt;F92,"Programado","Fuera"))))</f>
        <v>Dentro</v>
      </c>
      <c r="K92" s="6" t="str">
        <f t="shared" si="3"/>
        <v>A tiempo</v>
      </c>
      <c r="L92" s="8">
        <v>45679</v>
      </c>
      <c r="M92" s="17">
        <f>MAX(1,NETWORKDAYS(A92,L92,Table2[Dias no laborales]))</f>
        <v>1</v>
      </c>
    </row>
    <row r="93" spans="1:13" hidden="1" x14ac:dyDescent="0.3">
      <c r="A93" s="8">
        <v>45679</v>
      </c>
      <c r="B93" s="6" t="s">
        <v>218</v>
      </c>
      <c r="C93" s="6" t="s">
        <v>219</v>
      </c>
      <c r="D93" s="6" t="s">
        <v>61</v>
      </c>
      <c r="E93" s="14">
        <v>45678.675000000003</v>
      </c>
      <c r="F93" s="8">
        <f>IF(HOUR(Table1[[#This Row],[CORREO]])&gt;=11,WORKDAY(Table1[[#This Row],[CORREO]],1,Table2[Dias no laborales]),E93)</f>
        <v>45679</v>
      </c>
      <c r="G93" s="8">
        <v>45681</v>
      </c>
      <c r="H93" s="6">
        <f t="shared" si="2"/>
        <v>4</v>
      </c>
      <c r="I93" s="16">
        <f>MAX(1, NETWORKDAYS(A93, G93,Table2[Dias no laborales]))</f>
        <v>3</v>
      </c>
      <c r="J93" s="6" t="str">
        <f>IF(Table1[[#This Row],[FIN]]="","Acumulado",IF(ISNUMBER(SEARCH("ASAP",C93)),"ASAP",IF(NETWORKDAYS.INTL(F93,G93,1,Table2[Dias no laborales]) &lt;= 7, "Dentro", IF(A93&gt;F93,"Programado","Fuera"))))</f>
        <v>Dentro</v>
      </c>
      <c r="K93" s="6" t="str">
        <f t="shared" si="3"/>
        <v>A tiempo</v>
      </c>
      <c r="L93" s="8">
        <v>45679</v>
      </c>
      <c r="M93" s="17">
        <f>MAX(1,NETWORKDAYS(A93,L93,Table2[Dias no laborales]))</f>
        <v>1</v>
      </c>
    </row>
    <row r="94" spans="1:13" hidden="1" x14ac:dyDescent="0.3">
      <c r="A94" s="8">
        <v>45679</v>
      </c>
      <c r="B94" s="6" t="s">
        <v>232</v>
      </c>
      <c r="C94" s="6" t="s">
        <v>233</v>
      </c>
      <c r="D94" s="6" t="s">
        <v>53</v>
      </c>
      <c r="E94" s="14">
        <v>45684.361805555556</v>
      </c>
      <c r="F94" s="8">
        <f>IF(HOUR(Table1[[#This Row],[CORREO]])&gt;=11,WORKDAY(Table1[[#This Row],[CORREO]],1,Table2[Dias no laborales]),E94)</f>
        <v>45684.361805555556</v>
      </c>
      <c r="G94" s="8">
        <v>45684</v>
      </c>
      <c r="H94" s="6">
        <f t="shared" si="2"/>
        <v>4</v>
      </c>
      <c r="I94" s="16">
        <f>MAX(1, NETWORKDAYS(A94, G94,Table2[Dias no laborales]))</f>
        <v>4</v>
      </c>
      <c r="J94" s="6" t="str">
        <f>IF(Table1[[#This Row],[FIN]]="","Acumulado",IF(ISNUMBER(SEARCH("ASAP",C94)),"ASAP",IF(NETWORKDAYS.INTL(F94,G94,1,Table2[Dias no laborales]) &lt;= 7, "Dentro", IF(A94&gt;F94,"Programado","Fuera"))))</f>
        <v>Dentro</v>
      </c>
      <c r="K94" s="6" t="str">
        <f t="shared" si="3"/>
        <v>Mismo día</v>
      </c>
      <c r="L94" s="8">
        <v>45679</v>
      </c>
      <c r="M94" s="17">
        <f>MAX(1,NETWORKDAYS(A94,L94,Table2[Dias no laborales]))</f>
        <v>1</v>
      </c>
    </row>
    <row r="95" spans="1:13" hidden="1" x14ac:dyDescent="0.3">
      <c r="A95" s="8">
        <v>45679</v>
      </c>
      <c r="B95" s="6" t="s">
        <v>244</v>
      </c>
      <c r="C95" s="6" t="s">
        <v>245</v>
      </c>
      <c r="D95" s="6" t="s">
        <v>24</v>
      </c>
      <c r="E95" s="14">
        <v>45679.364583333336</v>
      </c>
      <c r="F95" s="8">
        <f>IF(HOUR(Table1[[#This Row],[CORREO]])&gt;=11,WORKDAY(Table1[[#This Row],[CORREO]],1,Table2[Dias no laborales]),E95)</f>
        <v>45679.364583333336</v>
      </c>
      <c r="G95" s="8">
        <v>45686</v>
      </c>
      <c r="H95" s="6">
        <f t="shared" si="2"/>
        <v>4</v>
      </c>
      <c r="I95" s="16">
        <f>MAX(1, NETWORKDAYS(A95, G95,Table2[Dias no laborales]))</f>
        <v>6</v>
      </c>
      <c r="J95" s="6" t="str">
        <f>IF(Table1[[#This Row],[FIN]]="","Acumulado",IF(ISNUMBER(SEARCH("ASAP",C95)),"ASAP",IF(NETWORKDAYS.INTL(F95,G95,1,Table2[Dias no laborales]) &lt;= 7, "Dentro", IF(A95&gt;F95,"Programado","Fuera"))))</f>
        <v>Dentro</v>
      </c>
      <c r="K95" s="6" t="str">
        <f t="shared" si="3"/>
        <v>A tiempo</v>
      </c>
      <c r="L95" s="8">
        <v>45680</v>
      </c>
      <c r="M95" s="17">
        <f>MAX(1,NETWORKDAYS(A95,L95,Table2[Dias no laborales]))</f>
        <v>2</v>
      </c>
    </row>
    <row r="96" spans="1:13" hidden="1" x14ac:dyDescent="0.3">
      <c r="A96" s="8">
        <v>45679</v>
      </c>
      <c r="B96" s="6" t="s">
        <v>246</v>
      </c>
      <c r="C96" s="6" t="s">
        <v>247</v>
      </c>
      <c r="D96" s="6" t="s">
        <v>24</v>
      </c>
      <c r="E96" s="14">
        <v>45679.368055555555</v>
      </c>
      <c r="F96" s="8">
        <f>IF(HOUR(Table1[[#This Row],[CORREO]])&gt;=11,WORKDAY(Table1[[#This Row],[CORREO]],1,Table2[Dias no laborales]),E96)</f>
        <v>45679.368055555555</v>
      </c>
      <c r="G96" s="8">
        <v>45686</v>
      </c>
      <c r="H96" s="6">
        <f t="shared" si="2"/>
        <v>4</v>
      </c>
      <c r="I96" s="16">
        <f>MAX(1, NETWORKDAYS(A96, G96,Table2[Dias no laborales]))</f>
        <v>6</v>
      </c>
      <c r="J96" s="6" t="str">
        <f>IF(Table1[[#This Row],[FIN]]="","Acumulado",IF(ISNUMBER(SEARCH("ASAP",C96)),"ASAP",IF(NETWORKDAYS.INTL(F96,G96,1,Table2[Dias no laborales]) &lt;= 7, "Dentro", IF(A96&gt;F96,"Programado","Fuera"))))</f>
        <v>Dentro</v>
      </c>
      <c r="K96" s="6" t="str">
        <f t="shared" si="3"/>
        <v>A tiempo</v>
      </c>
      <c r="L96" s="8">
        <v>45681</v>
      </c>
      <c r="M96" s="17">
        <f>MAX(1,NETWORKDAYS(A96,L96,Table2[Dias no laborales]))</f>
        <v>3</v>
      </c>
    </row>
    <row r="97" spans="1:13" hidden="1" x14ac:dyDescent="0.3">
      <c r="A97" s="8">
        <v>45679</v>
      </c>
      <c r="B97" s="6" t="s">
        <v>222</v>
      </c>
      <c r="C97" s="6" t="s">
        <v>223</v>
      </c>
      <c r="D97" s="6" t="s">
        <v>27</v>
      </c>
      <c r="E97" s="14">
        <v>45681.491666666669</v>
      </c>
      <c r="F97" s="8">
        <f>IF(HOUR(Table1[[#This Row],[CORREO]])&gt;=11,WORKDAY(Table1[[#This Row],[CORREO]],1,Table2[Dias no laborales]),E97)</f>
        <v>45684</v>
      </c>
      <c r="G97" s="8">
        <v>45681</v>
      </c>
      <c r="H97" s="6">
        <f t="shared" si="2"/>
        <v>4</v>
      </c>
      <c r="I97" s="16">
        <f>MAX(1, NETWORKDAYS(A97, G97,Table2[Dias no laborales]))</f>
        <v>3</v>
      </c>
      <c r="J97" s="6" t="str">
        <f>IF(Table1[[#This Row],[FIN]]="","Acumulado",IF(ISNUMBER(SEARCH("ASAP",C97)),"ASAP",IF(NETWORKDAYS.INTL(F97,G97,1,Table2[Dias no laborales]) &lt;= 7, "Dentro", IF(A97&gt;F97,"Programado","Fuera"))))</f>
        <v>Dentro</v>
      </c>
      <c r="K97" s="6" t="str">
        <f t="shared" si="3"/>
        <v>Mismo día</v>
      </c>
      <c r="L97" s="8">
        <v>45679</v>
      </c>
      <c r="M97" s="17">
        <f>MAX(1,NETWORKDAYS(A97,L97,Table2[Dias no laborales]))</f>
        <v>1</v>
      </c>
    </row>
    <row r="98" spans="1:13" hidden="1" x14ac:dyDescent="0.3">
      <c r="A98" s="8">
        <v>45680</v>
      </c>
      <c r="B98" s="6" t="s">
        <v>248</v>
      </c>
      <c r="C98" s="6" t="s">
        <v>249</v>
      </c>
      <c r="D98" s="6" t="s">
        <v>194</v>
      </c>
      <c r="E98" s="14">
        <v>45679.517361111109</v>
      </c>
      <c r="F98" s="8">
        <f>IF(HOUR(Table1[[#This Row],[CORREO]])&gt;=11,WORKDAY(Table1[[#This Row],[CORREO]],1,Table2[Dias no laborales]),E98)</f>
        <v>45680</v>
      </c>
      <c r="G98" s="8">
        <v>45687</v>
      </c>
      <c r="H98" s="6">
        <f t="shared" si="2"/>
        <v>4</v>
      </c>
      <c r="I98" s="16">
        <f>MAX(1, NETWORKDAYS(A98, G98,Table2[Dias no laborales]))</f>
        <v>6</v>
      </c>
      <c r="J98" s="6" t="str">
        <f>IF(Table1[[#This Row],[FIN]]="","Acumulado",IF(ISNUMBER(SEARCH("ASAP",C98)),"ASAP",IF(NETWORKDAYS.INTL(F98,G98,1,Table2[Dias no laborales]) &lt;= 7, "Dentro", IF(A98&gt;F98,"Programado","Fuera"))))</f>
        <v>Dentro</v>
      </c>
      <c r="K98" s="6" t="str">
        <f t="shared" si="3"/>
        <v>A tiempo</v>
      </c>
      <c r="L98" s="8">
        <v>45680</v>
      </c>
      <c r="M98" s="17">
        <f>MAX(1,NETWORKDAYS(A98,L98,Table2[Dias no laborales]))</f>
        <v>1</v>
      </c>
    </row>
    <row r="99" spans="1:13" hidden="1" x14ac:dyDescent="0.3">
      <c r="A99" s="8">
        <v>45680</v>
      </c>
      <c r="B99" s="6" t="s">
        <v>250</v>
      </c>
      <c r="C99" s="6" t="s">
        <v>251</v>
      </c>
      <c r="D99" s="6" t="s">
        <v>133</v>
      </c>
      <c r="E99" s="14">
        <v>45679.556250000001</v>
      </c>
      <c r="F99" s="8">
        <f>IF(HOUR(Table1[[#This Row],[CORREO]])&gt;=11,WORKDAY(Table1[[#This Row],[CORREO]],1,Table2[Dias no laborales]),E99)</f>
        <v>45680</v>
      </c>
      <c r="G99" s="8">
        <v>45687</v>
      </c>
      <c r="H99" s="6">
        <f t="shared" si="2"/>
        <v>4</v>
      </c>
      <c r="I99" s="16">
        <f>MAX(1, NETWORKDAYS(A99, G99,Table2[Dias no laborales]))</f>
        <v>6</v>
      </c>
      <c r="J99" s="6" t="str">
        <f>IF(Table1[[#This Row],[FIN]]="","Acumulado",IF(ISNUMBER(SEARCH("ASAP",C99)),"ASAP",IF(NETWORKDAYS.INTL(F99,G99,1,Table2[Dias no laborales]) &lt;= 7, "Dentro", IF(A99&gt;F99,"Programado","Fuera"))))</f>
        <v>Dentro</v>
      </c>
      <c r="K99" s="6" t="str">
        <f t="shared" si="3"/>
        <v>A tiempo</v>
      </c>
      <c r="L99" s="8">
        <v>45680</v>
      </c>
      <c r="M99" s="17">
        <f>MAX(1,NETWORKDAYS(A99,L99,Table2[Dias no laborales]))</f>
        <v>1</v>
      </c>
    </row>
    <row r="100" spans="1:13" hidden="1" x14ac:dyDescent="0.3">
      <c r="A100" s="8">
        <v>45680</v>
      </c>
      <c r="B100" s="6" t="s">
        <v>252</v>
      </c>
      <c r="C100" s="6" t="s">
        <v>105</v>
      </c>
      <c r="D100" s="6" t="s">
        <v>85</v>
      </c>
      <c r="E100" s="14"/>
      <c r="F100" s="8">
        <f>IF(HOUR(Table1[[#This Row],[CORREO]])&gt;=11,WORKDAY(Table1[[#This Row],[CORREO]],1,Table2[Dias no laborales]),E100)</f>
        <v>0</v>
      </c>
      <c r="G100" s="8">
        <v>45687</v>
      </c>
      <c r="H100" s="6">
        <f t="shared" si="2"/>
        <v>4</v>
      </c>
      <c r="I100" s="16">
        <f>MAX(1, NETWORKDAYS(A100, G100,Table2[Dias no laborales]))</f>
        <v>6</v>
      </c>
      <c r="J100" s="6" t="str">
        <f>IF(Table1[[#This Row],[FIN]]="","Acumulado",IF(ISNUMBER(SEARCH("ASAP",C100)),"ASAP",IF(NETWORKDAYS.INTL(F100,G100,1,Table2[Dias no laborales]) &lt;= 7, "Dentro", IF(A100&gt;F100,"Programado","Fuera"))))</f>
        <v>Programado</v>
      </c>
      <c r="K100" s="6" t="str">
        <f t="shared" si="3"/>
        <v>Programados</v>
      </c>
      <c r="L100" s="8">
        <v>45680</v>
      </c>
      <c r="M100" s="17">
        <f>MAX(1,NETWORKDAYS(A100,L100,Table2[Dias no laborales]))</f>
        <v>1</v>
      </c>
    </row>
    <row r="101" spans="1:13" hidden="1" x14ac:dyDescent="0.3">
      <c r="A101" s="8">
        <v>45680</v>
      </c>
      <c r="B101" s="6" t="s">
        <v>220</v>
      </c>
      <c r="C101" s="6" t="s">
        <v>221</v>
      </c>
      <c r="D101" s="6" t="s">
        <v>85</v>
      </c>
      <c r="E101" s="14">
        <v>45680.434027777781</v>
      </c>
      <c r="F101" s="8">
        <f>IF(HOUR(Table1[[#This Row],[CORREO]])&gt;=11,WORKDAY(Table1[[#This Row],[CORREO]],1,Table2[Dias no laborales]),E101)</f>
        <v>45680.434027777781</v>
      </c>
      <c r="G101" s="8">
        <v>45681</v>
      </c>
      <c r="H101" s="6">
        <f t="shared" si="2"/>
        <v>4</v>
      </c>
      <c r="I101" s="16">
        <f>MAX(1, NETWORKDAYS(A101, G101,Table2[Dias no laborales]))</f>
        <v>2</v>
      </c>
      <c r="J101" s="6" t="str">
        <f>IF(Table1[[#This Row],[FIN]]="","Acumulado",IF(ISNUMBER(SEARCH("ASAP",C101)),"ASAP",IF(NETWORKDAYS.INTL(F101,G101,1,Table2[Dias no laborales]) &lt;= 7, "Dentro", IF(A101&gt;F101,"Programado","Fuera"))))</f>
        <v>Dentro</v>
      </c>
      <c r="K101" s="6" t="str">
        <f t="shared" si="3"/>
        <v>A tiempo</v>
      </c>
      <c r="L101" s="8">
        <v>45680</v>
      </c>
      <c r="M101" s="17">
        <f>MAX(1,NETWORKDAYS(A101,L101,Table2[Dias no laborales]))</f>
        <v>1</v>
      </c>
    </row>
    <row r="102" spans="1:13" hidden="1" x14ac:dyDescent="0.3">
      <c r="A102" s="8">
        <v>45680</v>
      </c>
      <c r="B102" s="6" t="s">
        <v>210</v>
      </c>
      <c r="C102" s="6" t="s">
        <v>211</v>
      </c>
      <c r="D102" s="6" t="s">
        <v>24</v>
      </c>
      <c r="E102" s="14">
        <v>45680.44027777778</v>
      </c>
      <c r="F102" s="8">
        <f>IF(HOUR(Table1[[#This Row],[CORREO]])&gt;=11,WORKDAY(Table1[[#This Row],[CORREO]],1,Table2[Dias no laborales]),E102)</f>
        <v>45680.44027777778</v>
      </c>
      <c r="G102" s="8">
        <v>45680</v>
      </c>
      <c r="H102" s="6">
        <f t="shared" si="2"/>
        <v>4</v>
      </c>
      <c r="I102" s="16">
        <f>MAX(1, NETWORKDAYS(A102, G102,Table2[Dias no laborales]))</f>
        <v>1</v>
      </c>
      <c r="J102" s="6" t="str">
        <f>IF(Table1[[#This Row],[FIN]]="","Acumulado",IF(ISNUMBER(SEARCH("ASAP",C102)),"ASAP",IF(NETWORKDAYS.INTL(F102,G102,1,Table2[Dias no laborales]) &lt;= 7, "Dentro", IF(A102&gt;F102,"Programado","Fuera"))))</f>
        <v>Dentro</v>
      </c>
      <c r="K102" s="6" t="str">
        <f t="shared" si="3"/>
        <v>A tiempo</v>
      </c>
      <c r="L102" s="8">
        <v>45680</v>
      </c>
      <c r="M102" s="17">
        <f>MAX(1,NETWORKDAYS(A102,L102,Table2[Dias no laborales]))</f>
        <v>1</v>
      </c>
    </row>
    <row r="103" spans="1:13" hidden="1" x14ac:dyDescent="0.3">
      <c r="A103" s="8">
        <v>45680</v>
      </c>
      <c r="B103" s="6" t="s">
        <v>214</v>
      </c>
      <c r="C103" s="6" t="s">
        <v>215</v>
      </c>
      <c r="D103" s="6" t="s">
        <v>24</v>
      </c>
      <c r="E103" s="14">
        <v>45680.443749999999</v>
      </c>
      <c r="F103" s="8">
        <f>IF(HOUR(Table1[[#This Row],[CORREO]])&gt;=11,WORKDAY(Table1[[#This Row],[CORREO]],1,Table2[Dias no laborales]),E103)</f>
        <v>45680.443749999999</v>
      </c>
      <c r="G103" s="8">
        <v>45681</v>
      </c>
      <c r="H103" s="6">
        <f t="shared" si="2"/>
        <v>4</v>
      </c>
      <c r="I103" s="16">
        <f>MAX(1, NETWORKDAYS(A103, G103,Table2[Dias no laborales]))</f>
        <v>2</v>
      </c>
      <c r="J103" s="6" t="str">
        <f>IF(Table1[[#This Row],[FIN]]="","Acumulado",IF(ISNUMBER(SEARCH("ASAP",C103)),"ASAP",IF(NETWORKDAYS.INTL(F103,G103,1,Table2[Dias no laborales]) &lt;= 7, "Dentro", IF(A103&gt;F103,"Programado","Fuera"))))</f>
        <v>Dentro</v>
      </c>
      <c r="K103" s="6" t="str">
        <f t="shared" si="3"/>
        <v>A tiempo</v>
      </c>
      <c r="L103" s="8">
        <v>45680</v>
      </c>
      <c r="M103" s="17">
        <f>MAX(1,NETWORKDAYS(A103,L103,Table2[Dias no laborales]))</f>
        <v>1</v>
      </c>
    </row>
    <row r="104" spans="1:13" hidden="1" x14ac:dyDescent="0.3">
      <c r="A104" s="8">
        <v>45681</v>
      </c>
      <c r="B104" s="6" t="s">
        <v>216</v>
      </c>
      <c r="C104" s="6" t="s">
        <v>217</v>
      </c>
      <c r="D104" s="6" t="s">
        <v>24</v>
      </c>
      <c r="E104" s="14">
        <v>45681.368055555555</v>
      </c>
      <c r="F104" s="8">
        <f>IF(HOUR(Table1[[#This Row],[CORREO]])&gt;=11,WORKDAY(Table1[[#This Row],[CORREO]],1,Table2[Dias no laborales]),E104)</f>
        <v>45681.368055555555</v>
      </c>
      <c r="G104" s="8">
        <v>45681</v>
      </c>
      <c r="H104" s="6">
        <f t="shared" si="2"/>
        <v>4</v>
      </c>
      <c r="I104" s="16">
        <f>MAX(1, NETWORKDAYS(A104, G104,Table2[Dias no laborales]))</f>
        <v>1</v>
      </c>
      <c r="J104" s="6" t="str">
        <f>IF(Table1[[#This Row],[FIN]]="","Acumulado",IF(ISNUMBER(SEARCH("ASAP",C104)),"ASAP",IF(NETWORKDAYS.INTL(F104,G104,1,Table2[Dias no laborales]) &lt;= 7, "Dentro", IF(A104&gt;F104,"Programado","Fuera"))))</f>
        <v>Dentro</v>
      </c>
      <c r="K104" s="6" t="str">
        <f t="shared" si="3"/>
        <v>A tiempo</v>
      </c>
      <c r="L104" s="8">
        <v>45681</v>
      </c>
      <c r="M104" s="17">
        <f>MAX(1,NETWORKDAYS(A104,L104,Table2[Dias no laborales]))</f>
        <v>1</v>
      </c>
    </row>
    <row r="105" spans="1:13" hidden="1" x14ac:dyDescent="0.3">
      <c r="A105" s="8">
        <v>45681</v>
      </c>
      <c r="B105" s="6" t="s">
        <v>228</v>
      </c>
      <c r="C105" s="6" t="s">
        <v>229</v>
      </c>
      <c r="D105" s="6" t="s">
        <v>230</v>
      </c>
      <c r="E105" s="14"/>
      <c r="F105" s="8">
        <f>IF(HOUR(Table1[[#This Row],[CORREO]])&gt;=11,WORKDAY(Table1[[#This Row],[CORREO]],1,Table2[Dias no laborales]),E105)</f>
        <v>0</v>
      </c>
      <c r="G105" s="8">
        <v>45684</v>
      </c>
      <c r="H105" s="6">
        <f t="shared" si="2"/>
        <v>4</v>
      </c>
      <c r="I105" s="16">
        <f>MAX(1, NETWORKDAYS(A105, G105,Table2[Dias no laborales]))</f>
        <v>2</v>
      </c>
      <c r="J105" s="6" t="str">
        <f>IF(Table1[[#This Row],[FIN]]="","Acumulado",IF(ISNUMBER(SEARCH("ASAP",C105)),"ASAP",IF(NETWORKDAYS.INTL(F105,G105,1,Table2[Dias no laborales]) &lt;= 7, "Dentro", IF(A105&gt;F105,"Programado","Fuera"))))</f>
        <v>Programado</v>
      </c>
      <c r="K105" s="6" t="str">
        <f t="shared" si="3"/>
        <v>Programados</v>
      </c>
      <c r="L105" s="8">
        <v>45681</v>
      </c>
      <c r="M105" s="17">
        <f>MAX(1,NETWORKDAYS(A105,L105,Table2[Dias no laborales]))</f>
        <v>1</v>
      </c>
    </row>
    <row r="106" spans="1:13" hidden="1" x14ac:dyDescent="0.3">
      <c r="A106" s="8">
        <v>45681</v>
      </c>
      <c r="B106" s="6" t="s">
        <v>330</v>
      </c>
      <c r="C106" s="6" t="s">
        <v>193</v>
      </c>
      <c r="D106" s="6" t="s">
        <v>194</v>
      </c>
      <c r="E106" s="14"/>
      <c r="F106" s="8">
        <f>IF(HOUR(Table1[[#This Row],[CORREO]])&gt;=11,WORKDAY(Table1[[#This Row],[CORREO]],1,Table2[Dias no laborales]),E106)</f>
        <v>0</v>
      </c>
      <c r="G106" s="8">
        <v>45701</v>
      </c>
      <c r="H106" s="6">
        <f t="shared" si="2"/>
        <v>4</v>
      </c>
      <c r="I106" s="16">
        <f>MAX(1, NETWORKDAYS(A106, G106,Table2[Dias no laborales]))</f>
        <v>15</v>
      </c>
      <c r="J106" s="6" t="str">
        <f>IF(Table1[[#This Row],[FIN]]="","Acumulado",IF(ISNUMBER(SEARCH("ASAP",C106)),"ASAP",IF(NETWORKDAYS.INTL(F106,G106,1,Table2[Dias no laborales]) &lt;= 7, "Dentro", IF(A106&gt;F106,"Programado","Fuera"))))</f>
        <v>Programado</v>
      </c>
      <c r="K106" s="6" t="str">
        <f t="shared" si="3"/>
        <v>Programados</v>
      </c>
      <c r="L106" s="8">
        <v>45681</v>
      </c>
      <c r="M106" s="17">
        <f>MAX(1,NETWORKDAYS(A106,L106,Table2[Dias no laborales]))</f>
        <v>1</v>
      </c>
    </row>
    <row r="107" spans="1:13" hidden="1" x14ac:dyDescent="0.3">
      <c r="A107" s="8">
        <v>45684</v>
      </c>
      <c r="B107" s="6" t="s">
        <v>276</v>
      </c>
      <c r="C107" s="6" t="s">
        <v>277</v>
      </c>
      <c r="D107" s="6" t="s">
        <v>148</v>
      </c>
      <c r="E107" s="14">
        <v>45666.546527777777</v>
      </c>
      <c r="F107" s="8">
        <f>IF(HOUR(Table1[[#This Row],[CORREO]])&gt;=11,WORKDAY(Table1[[#This Row],[CORREO]],1,Table2[Dias no laborales]),E107)</f>
        <v>45667</v>
      </c>
      <c r="G107" s="8">
        <v>45694</v>
      </c>
      <c r="H107" s="6">
        <f t="shared" si="2"/>
        <v>4</v>
      </c>
      <c r="I107" s="16">
        <f>MAX(1, NETWORKDAYS(A107, G107,Table2[Dias no laborales]))</f>
        <v>9</v>
      </c>
      <c r="J107" s="6" t="str">
        <f>IF(Table1[[#This Row],[FIN]]="","Acumulado",IF(ISNUMBER(SEARCH("ASAP",C107)),"ASAP",IF(NETWORKDAYS.INTL(F107,G107,1,Table2[Dias no laborales]) &lt;= 7, "Dentro", IF(A107&gt;F107,"Programado","Fuera"))))</f>
        <v>Programado</v>
      </c>
      <c r="K107" s="6" t="str">
        <f t="shared" si="3"/>
        <v>Programados</v>
      </c>
      <c r="L107" s="8">
        <v>45684</v>
      </c>
      <c r="M107" s="17">
        <f>MAX(1,NETWORKDAYS(A107,L107,Table2[Dias no laborales]))</f>
        <v>1</v>
      </c>
    </row>
    <row r="108" spans="1:13" hidden="1" x14ac:dyDescent="0.3">
      <c r="A108" s="8">
        <v>45684</v>
      </c>
      <c r="B108" s="6" t="s">
        <v>278</v>
      </c>
      <c r="C108" s="6" t="s">
        <v>150</v>
      </c>
      <c r="D108" s="6" t="s">
        <v>151</v>
      </c>
      <c r="E108" s="14"/>
      <c r="F108" s="8">
        <f>IF(HOUR(Table1[[#This Row],[CORREO]])&gt;=11,WORKDAY(Table1[[#This Row],[CORREO]],1,Table2[Dias no laborales]),E108)</f>
        <v>0</v>
      </c>
      <c r="G108" s="8">
        <v>45692</v>
      </c>
      <c r="H108" s="6">
        <f t="shared" si="2"/>
        <v>4</v>
      </c>
      <c r="I108" s="16">
        <f>MAX(1, NETWORKDAYS(A108, G108,Table2[Dias no laborales]))</f>
        <v>7</v>
      </c>
      <c r="J108" s="6" t="str">
        <f>IF(Table1[[#This Row],[FIN]]="","Acumulado",IF(ISNUMBER(SEARCH("ASAP",C108)),"ASAP",IF(NETWORKDAYS.INTL(F108,G108,1,Table2[Dias no laborales]) &lt;= 7, "Dentro", IF(A108&gt;F108,"Programado","Fuera"))))</f>
        <v>Programado</v>
      </c>
      <c r="K108" s="6" t="str">
        <f t="shared" si="3"/>
        <v>Programados</v>
      </c>
      <c r="L108" s="8">
        <v>45684</v>
      </c>
      <c r="M108" s="17">
        <f>MAX(1,NETWORKDAYS(A108,L108,Table2[Dias no laborales]))</f>
        <v>1</v>
      </c>
    </row>
    <row r="109" spans="1:13" hidden="1" x14ac:dyDescent="0.3">
      <c r="A109" s="8">
        <v>45684</v>
      </c>
      <c r="B109" s="6" t="s">
        <v>236</v>
      </c>
      <c r="C109" s="6" t="s">
        <v>237</v>
      </c>
      <c r="D109" s="6" t="s">
        <v>238</v>
      </c>
      <c r="E109" s="14"/>
      <c r="F109" s="8">
        <f>IF(HOUR(Table1[[#This Row],[CORREO]])&gt;=11,WORKDAY(Table1[[#This Row],[CORREO]],1,Table2[Dias no laborales]),E109)</f>
        <v>0</v>
      </c>
      <c r="G109" s="8">
        <v>45685</v>
      </c>
      <c r="H109" s="6">
        <f t="shared" si="2"/>
        <v>4</v>
      </c>
      <c r="I109" s="16">
        <f>MAX(1, NETWORKDAYS(A109, G109,Table2[Dias no laborales]))</f>
        <v>2</v>
      </c>
      <c r="J109" s="6" t="str">
        <f>IF(Table1[[#This Row],[FIN]]="","Acumulado",IF(ISNUMBER(SEARCH("ASAP",C109)),"ASAP",IF(NETWORKDAYS.INTL(F109,G109,1,Table2[Dias no laborales]) &lt;= 7, "Dentro", IF(A109&gt;F109,"Programado","Fuera"))))</f>
        <v>Programado</v>
      </c>
      <c r="K109" s="6" t="str">
        <f t="shared" si="3"/>
        <v>Programados</v>
      </c>
      <c r="L109" s="8">
        <v>45684</v>
      </c>
      <c r="M109" s="17">
        <f>MAX(1,NETWORKDAYS(A109,L109,Table2[Dias no laborales]))</f>
        <v>1</v>
      </c>
    </row>
    <row r="110" spans="1:13" hidden="1" x14ac:dyDescent="0.3">
      <c r="A110" s="8">
        <v>45684</v>
      </c>
      <c r="B110" s="6" t="s">
        <v>234</v>
      </c>
      <c r="C110" s="6" t="s">
        <v>235</v>
      </c>
      <c r="D110" s="6" t="s">
        <v>48</v>
      </c>
      <c r="E110" s="14">
        <v>45684.402083333334</v>
      </c>
      <c r="F110" s="8">
        <f>IF(HOUR(Table1[[#This Row],[CORREO]])&gt;=11,WORKDAY(Table1[[#This Row],[CORREO]],1,Table2[Dias no laborales]),E110)</f>
        <v>45684.402083333334</v>
      </c>
      <c r="G110" s="8">
        <v>45685</v>
      </c>
      <c r="H110" s="6">
        <f t="shared" si="2"/>
        <v>4</v>
      </c>
      <c r="I110" s="16">
        <f>MAX(1, NETWORKDAYS(A110, G110,Table2[Dias no laborales]))</f>
        <v>2</v>
      </c>
      <c r="J110" s="6" t="str">
        <f>IF(Table1[[#This Row],[FIN]]="","Acumulado",IF(ISNUMBER(SEARCH("ASAP",C110)),"ASAP",IF(NETWORKDAYS.INTL(F110,G110,1,Table2[Dias no laborales]) &lt;= 7, "Dentro", IF(A110&gt;F110,"Programado","Fuera"))))</f>
        <v>Dentro</v>
      </c>
      <c r="K110" s="6" t="str">
        <f t="shared" si="3"/>
        <v>A tiempo</v>
      </c>
      <c r="L110" s="8">
        <v>45684</v>
      </c>
      <c r="M110" s="17">
        <f>MAX(1,NETWORKDAYS(A110,L110,Table2[Dias no laborales]))</f>
        <v>1</v>
      </c>
    </row>
    <row r="111" spans="1:13" hidden="1" x14ac:dyDescent="0.3">
      <c r="A111" s="8">
        <v>45684</v>
      </c>
      <c r="B111" s="6" t="s">
        <v>243</v>
      </c>
      <c r="C111" s="6" t="s">
        <v>225</v>
      </c>
      <c r="D111" s="6" t="s">
        <v>27</v>
      </c>
      <c r="E111" s="14"/>
      <c r="F111" s="8">
        <f>IF(HOUR(Table1[[#This Row],[CORREO]])&gt;=11,WORKDAY(Table1[[#This Row],[CORREO]],1,Table2[Dias no laborales]),E111)</f>
        <v>0</v>
      </c>
      <c r="G111" s="8">
        <v>45686</v>
      </c>
      <c r="H111" s="6">
        <f t="shared" si="2"/>
        <v>4</v>
      </c>
      <c r="I111" s="16">
        <f>MAX(1, NETWORKDAYS(A111, G111,Table2[Dias no laborales]))</f>
        <v>3</v>
      </c>
      <c r="J111" s="6" t="str">
        <f>IF(Table1[[#This Row],[FIN]]="","Acumulado",IF(ISNUMBER(SEARCH("ASAP",C111)),"ASAP",IF(NETWORKDAYS.INTL(F111,G111,1,Table2[Dias no laborales]) &lt;= 7, "Dentro", IF(A111&gt;F111,"Programado","Fuera"))))</f>
        <v>Programado</v>
      </c>
      <c r="K111" s="6" t="str">
        <f t="shared" si="3"/>
        <v>Programados</v>
      </c>
      <c r="L111" s="8">
        <v>45684</v>
      </c>
      <c r="M111" s="17">
        <f>MAX(1,NETWORKDAYS(A111,L111,Table2[Dias no laborales]))</f>
        <v>1</v>
      </c>
    </row>
    <row r="112" spans="1:13" hidden="1" x14ac:dyDescent="0.3">
      <c r="A112" s="8">
        <v>45685</v>
      </c>
      <c r="B112" s="6" t="s">
        <v>263</v>
      </c>
      <c r="C112" s="6" t="s">
        <v>264</v>
      </c>
      <c r="D112" s="6" t="s">
        <v>27</v>
      </c>
      <c r="E112" s="14">
        <v>45684.53125</v>
      </c>
      <c r="F112" s="8">
        <f>IF(HOUR(Table1[[#This Row],[CORREO]])&gt;=11,WORKDAY(Table1[[#This Row],[CORREO]],1,Table2[Dias no laborales]),E112)</f>
        <v>45685</v>
      </c>
      <c r="G112" s="8">
        <v>45688</v>
      </c>
      <c r="H112" s="6">
        <f t="shared" si="2"/>
        <v>4</v>
      </c>
      <c r="I112" s="16">
        <f>MAX(1, NETWORKDAYS(A112, G112,Table2[Dias no laborales]))</f>
        <v>4</v>
      </c>
      <c r="J112" s="6" t="str">
        <f>IF(Table1[[#This Row],[FIN]]="","Acumulado",IF(ISNUMBER(SEARCH("ASAP",C112)),"ASAP",IF(NETWORKDAYS.INTL(F112,G112,1,Table2[Dias no laborales]) &lt;= 7, "Dentro", IF(A112&gt;F112,"Programado","Fuera"))))</f>
        <v>Dentro</v>
      </c>
      <c r="K112" s="6" t="str">
        <f t="shared" si="3"/>
        <v>A tiempo</v>
      </c>
      <c r="L112" s="8">
        <v>45685</v>
      </c>
      <c r="M112" s="17">
        <f>MAX(1,NETWORKDAYS(A112,L112,Table2[Dias no laborales]))</f>
        <v>1</v>
      </c>
    </row>
    <row r="113" spans="1:13" hidden="1" x14ac:dyDescent="0.3">
      <c r="A113" s="8">
        <v>45685</v>
      </c>
      <c r="B113" s="6" t="s">
        <v>241</v>
      </c>
      <c r="C113" s="6" t="s">
        <v>242</v>
      </c>
      <c r="D113" s="6" t="s">
        <v>27</v>
      </c>
      <c r="E113" s="14">
        <v>45684.534722222219</v>
      </c>
      <c r="F113" s="8">
        <f>IF(HOUR(Table1[[#This Row],[CORREO]])&gt;=11,WORKDAY(Table1[[#This Row],[CORREO]],1,Table2[Dias no laborales]),E113)</f>
        <v>45685</v>
      </c>
      <c r="G113" s="8">
        <v>45685</v>
      </c>
      <c r="H113" s="6">
        <f t="shared" si="2"/>
        <v>4</v>
      </c>
      <c r="I113" s="16">
        <f>MAX(1, NETWORKDAYS(A113, G113,Table2[Dias no laborales]))</f>
        <v>1</v>
      </c>
      <c r="J113" s="6" t="str">
        <f>IF(Table1[[#This Row],[FIN]]="","Acumulado",IF(ISNUMBER(SEARCH("ASAP",C113)),"ASAP",IF(NETWORKDAYS.INTL(F113,G113,1,Table2[Dias no laborales]) &lt;= 7, "Dentro", IF(A113&gt;F113,"Programado","Fuera"))))</f>
        <v>Dentro</v>
      </c>
      <c r="K113" s="6" t="str">
        <f t="shared" si="3"/>
        <v>A tiempo</v>
      </c>
      <c r="L113" s="8">
        <v>45685</v>
      </c>
      <c r="M113" s="17">
        <f>MAX(1,NETWORKDAYS(A113,L113,Table2[Dias no laborales]))</f>
        <v>1</v>
      </c>
    </row>
    <row r="114" spans="1:13" hidden="1" x14ac:dyDescent="0.3">
      <c r="A114" s="8">
        <v>45685</v>
      </c>
      <c r="B114" s="6" t="s">
        <v>239</v>
      </c>
      <c r="C114" s="6" t="s">
        <v>240</v>
      </c>
      <c r="D114" s="6" t="s">
        <v>27</v>
      </c>
      <c r="E114" s="14">
        <v>45684.536111111112</v>
      </c>
      <c r="F114" s="8">
        <f>IF(HOUR(Table1[[#This Row],[CORREO]])&gt;=11,WORKDAY(Table1[[#This Row],[CORREO]],1,Table2[Dias no laborales]),E114)</f>
        <v>45685</v>
      </c>
      <c r="G114" s="8">
        <v>45685</v>
      </c>
      <c r="H114" s="6">
        <f t="shared" si="2"/>
        <v>4</v>
      </c>
      <c r="I114" s="16">
        <f>MAX(1, NETWORKDAYS(A114, G114,Table2[Dias no laborales]))</f>
        <v>1</v>
      </c>
      <c r="J114" s="6" t="str">
        <f>IF(Table1[[#This Row],[FIN]]="","Acumulado",IF(ISNUMBER(SEARCH("ASAP",C114)),"ASAP",IF(NETWORKDAYS.INTL(F114,G114,1,Table2[Dias no laborales]) &lt;= 7, "Dentro", IF(A114&gt;F114,"Programado","Fuera"))))</f>
        <v>Dentro</v>
      </c>
      <c r="K114" s="6" t="str">
        <f t="shared" si="3"/>
        <v>A tiempo</v>
      </c>
      <c r="L114" s="8">
        <v>45685</v>
      </c>
      <c r="M114" s="17">
        <f>MAX(1,NETWORKDAYS(A114,L114,Table2[Dias no laborales]))</f>
        <v>1</v>
      </c>
    </row>
    <row r="115" spans="1:13" hidden="1" x14ac:dyDescent="0.3">
      <c r="A115" s="8">
        <v>45685</v>
      </c>
      <c r="B115" s="6" t="s">
        <v>283</v>
      </c>
      <c r="C115" s="6" t="s">
        <v>34</v>
      </c>
      <c r="D115" s="6" t="s">
        <v>53</v>
      </c>
      <c r="E115" s="14">
        <v>45664.492361111108</v>
      </c>
      <c r="F115" s="8">
        <f>IF(HOUR(Table1[[#This Row],[CORREO]])&gt;=11,WORKDAY(Table1[[#This Row],[CORREO]],1,Table2[Dias no laborales]),E115)</f>
        <v>45665</v>
      </c>
      <c r="G115" s="8">
        <v>45694</v>
      </c>
      <c r="H115" s="6">
        <f t="shared" si="2"/>
        <v>4</v>
      </c>
      <c r="I115" s="16">
        <f>MAX(1, NETWORKDAYS(A115, G115,Table2[Dias no laborales]))</f>
        <v>8</v>
      </c>
      <c r="J115" s="6" t="str">
        <f>IF(Table1[[#This Row],[FIN]]="","Acumulado",IF(ISNUMBER(SEARCH("ASAP",C115)),"ASAP",IF(NETWORKDAYS.INTL(F115,G115,1,Table2[Dias no laborales]) &lt;= 7, "Dentro", IF(A115&gt;F115,"Programado","Fuera"))))</f>
        <v>Programado</v>
      </c>
      <c r="K115" s="6" t="str">
        <f t="shared" si="3"/>
        <v>Programados</v>
      </c>
      <c r="L115" s="8">
        <v>45685</v>
      </c>
      <c r="M115" s="17">
        <f>MAX(1,NETWORKDAYS(A115,L115,Table2[Dias no laborales]))</f>
        <v>1</v>
      </c>
    </row>
    <row r="116" spans="1:13" hidden="1" x14ac:dyDescent="0.3">
      <c r="A116" s="8">
        <v>45685</v>
      </c>
      <c r="B116" s="6" t="s">
        <v>407</v>
      </c>
      <c r="C116" s="6" t="s">
        <v>233</v>
      </c>
      <c r="D116" s="6" t="s">
        <v>53</v>
      </c>
      <c r="E116" s="14"/>
      <c r="F116" s="8">
        <f>IF(HOUR(Table1[[#This Row],[CORREO]])&gt;=11,WORKDAY(Table1[[#This Row],[CORREO]],1,Table2[Dias no laborales]),E116)</f>
        <v>0</v>
      </c>
      <c r="G116" s="8">
        <v>45712</v>
      </c>
      <c r="H116" s="6">
        <f t="shared" si="2"/>
        <v>4</v>
      </c>
      <c r="I116" s="16">
        <f>MAX(1, NETWORKDAYS(A116, G116,Table2[Dias no laborales]))</f>
        <v>20</v>
      </c>
      <c r="J116" s="6" t="str">
        <f>IF(Table1[[#This Row],[FIN]]="","Acumulado",IF(ISNUMBER(SEARCH("ASAP",C116)),"ASAP",IF(NETWORKDAYS.INTL(F116,G116,1,Table2[Dias no laborales]) &lt;= 7, "Dentro", IF(A116&gt;F116,"Programado","Fuera"))))</f>
        <v>Programado</v>
      </c>
      <c r="K116" s="6" t="str">
        <f t="shared" si="3"/>
        <v>Programados</v>
      </c>
      <c r="L116" s="8">
        <v>45685</v>
      </c>
      <c r="M116" s="17">
        <f>MAX(1,NETWORKDAYS(A116,L116,Table2[Dias no laborales]))</f>
        <v>1</v>
      </c>
    </row>
    <row r="117" spans="1:13" hidden="1" x14ac:dyDescent="0.3">
      <c r="A117" s="8">
        <v>45685</v>
      </c>
      <c r="B117" s="6" t="s">
        <v>388</v>
      </c>
      <c r="C117" s="6" t="s">
        <v>389</v>
      </c>
      <c r="D117" s="6" t="s">
        <v>53</v>
      </c>
      <c r="E117" s="14"/>
      <c r="F117" s="8">
        <f>IF(HOUR(Table1[[#This Row],[CORREO]])&gt;=11,WORKDAY(Table1[[#This Row],[CORREO]],1,Table2[Dias no laborales]),E117)</f>
        <v>0</v>
      </c>
      <c r="G117" s="8">
        <v>45708</v>
      </c>
      <c r="H117" s="6">
        <f t="shared" si="2"/>
        <v>4</v>
      </c>
      <c r="I117" s="16">
        <f>MAX(1, NETWORKDAYS(A117, G117,Table2[Dias no laborales]))</f>
        <v>18</v>
      </c>
      <c r="J117" s="6" t="str">
        <f>IF(Table1[[#This Row],[FIN]]="","Acumulado",IF(ISNUMBER(SEARCH("ASAP",C117)),"ASAP",IF(NETWORKDAYS.INTL(F117,G117,1,Table2[Dias no laborales]) &lt;= 7, "Dentro", IF(A117&gt;F117,"Programado","Fuera"))))</f>
        <v>Programado</v>
      </c>
      <c r="K117" s="6" t="str">
        <f t="shared" si="3"/>
        <v>Programados</v>
      </c>
      <c r="L117" s="8">
        <v>45685</v>
      </c>
      <c r="M117" s="17">
        <f>MAX(1,NETWORKDAYS(A117,L117,Table2[Dias no laborales]))</f>
        <v>1</v>
      </c>
    </row>
    <row r="118" spans="1:13" hidden="1" x14ac:dyDescent="0.3">
      <c r="A118" s="8">
        <v>45686</v>
      </c>
      <c r="B118" s="6" t="s">
        <v>261</v>
      </c>
      <c r="C118" s="6" t="s">
        <v>262</v>
      </c>
      <c r="D118" s="6" t="s">
        <v>24</v>
      </c>
      <c r="E118" s="14">
        <v>45685.566666666666</v>
      </c>
      <c r="F118" s="8">
        <f>IF(HOUR(Table1[[#This Row],[CORREO]])&gt;=11,WORKDAY(Table1[[#This Row],[CORREO]],1,Table2[Dias no laborales]),E118)</f>
        <v>45686</v>
      </c>
      <c r="G118" s="4">
        <v>45688</v>
      </c>
      <c r="H118" s="6">
        <f t="shared" si="2"/>
        <v>5</v>
      </c>
      <c r="I118" s="16">
        <f>MAX(1, NETWORKDAYS(A118, G118,Table2[Dias no laborales]))</f>
        <v>3</v>
      </c>
      <c r="J118" s="6" t="str">
        <f>IF(Table1[[#This Row],[FIN]]="","Acumulado",IF(ISNUMBER(SEARCH("ASAP",C118)),"ASAP",IF(NETWORKDAYS.INTL(F118,G118,1,Table2[Dias no laborales]) &lt;= 7, "Dentro", IF(A118&gt;F118,"Programado","Fuera"))))</f>
        <v>Dentro</v>
      </c>
      <c r="K118" s="6" t="str">
        <f t="shared" si="3"/>
        <v>A tiempo</v>
      </c>
      <c r="L118" s="8">
        <v>45686</v>
      </c>
      <c r="M118" s="17">
        <f>MAX(1,NETWORKDAYS(A118,L118,Table2[Dias no laborales]))</f>
        <v>1</v>
      </c>
    </row>
    <row r="119" spans="1:13" hidden="1" x14ac:dyDescent="0.3">
      <c r="A119" s="8">
        <v>45686</v>
      </c>
      <c r="B119" s="6" t="s">
        <v>257</v>
      </c>
      <c r="C119" s="6" t="s">
        <v>258</v>
      </c>
      <c r="D119" s="6" t="s">
        <v>27</v>
      </c>
      <c r="E119" s="14">
        <v>45685.599305555559</v>
      </c>
      <c r="F119" s="8">
        <f>IF(HOUR(Table1[[#This Row],[CORREO]])&gt;=11,WORKDAY(Table1[[#This Row],[CORREO]],1,Table2[Dias no laborales]),E119)</f>
        <v>45686</v>
      </c>
      <c r="G119" s="4">
        <v>45688</v>
      </c>
      <c r="H119" s="6">
        <f t="shared" si="2"/>
        <v>5</v>
      </c>
      <c r="I119" s="16">
        <f>MAX(1, NETWORKDAYS(A119, G119,Table2[Dias no laborales]))</f>
        <v>3</v>
      </c>
      <c r="J119" s="6" t="str">
        <f>IF(Table1[[#This Row],[FIN]]="","Acumulado",IF(ISNUMBER(SEARCH("ASAP",C119)),"ASAP",IF(NETWORKDAYS.INTL(F119,G119,1,Table2[Dias no laborales]) &lt;= 7, "Dentro", IF(A119&gt;F119,"Programado","Fuera"))))</f>
        <v>Dentro</v>
      </c>
      <c r="K119" s="6" t="str">
        <f t="shared" si="3"/>
        <v>A tiempo</v>
      </c>
      <c r="L119" s="8">
        <v>45686</v>
      </c>
      <c r="M119" s="17">
        <f>MAX(1,NETWORKDAYS(A119,L119,Table2[Dias no laborales]))</f>
        <v>1</v>
      </c>
    </row>
    <row r="120" spans="1:13" hidden="1" x14ac:dyDescent="0.3">
      <c r="A120" s="8">
        <v>45686</v>
      </c>
      <c r="B120" s="6" t="s">
        <v>259</v>
      </c>
      <c r="C120" s="6" t="s">
        <v>260</v>
      </c>
      <c r="D120" s="6" t="s">
        <v>27</v>
      </c>
      <c r="E120" s="14">
        <v>45685.599999999999</v>
      </c>
      <c r="F120" s="8">
        <f>IF(HOUR(Table1[[#This Row],[CORREO]])&gt;=11,WORKDAY(Table1[[#This Row],[CORREO]],1,Table2[Dias no laborales]),E120)</f>
        <v>45686</v>
      </c>
      <c r="G120" s="4">
        <v>45688</v>
      </c>
      <c r="H120" s="6">
        <f t="shared" si="2"/>
        <v>5</v>
      </c>
      <c r="I120" s="16">
        <f>MAX(1, NETWORKDAYS(A120, G120,Table2[Dias no laborales]))</f>
        <v>3</v>
      </c>
      <c r="J120" s="6" t="str">
        <f>IF(Table1[[#This Row],[FIN]]="","Acumulado",IF(ISNUMBER(SEARCH("ASAP",C120)),"ASAP",IF(NETWORKDAYS.INTL(F120,G120,1,Table2[Dias no laborales]) &lt;= 7, "Dentro", IF(A120&gt;F120,"Programado","Fuera"))))</f>
        <v>Dentro</v>
      </c>
      <c r="K120" s="6" t="str">
        <f t="shared" si="3"/>
        <v>A tiempo</v>
      </c>
      <c r="L120" s="8">
        <v>45686</v>
      </c>
      <c r="M120" s="17">
        <f>MAX(1,NETWORKDAYS(A120,L120,Table2[Dias no laborales]))</f>
        <v>1</v>
      </c>
    </row>
    <row r="121" spans="1:13" hidden="1" x14ac:dyDescent="0.3">
      <c r="A121" s="8">
        <v>45686</v>
      </c>
      <c r="B121" s="6" t="s">
        <v>289</v>
      </c>
      <c r="C121" s="6" t="s">
        <v>290</v>
      </c>
      <c r="D121" s="6" t="s">
        <v>24</v>
      </c>
      <c r="E121" s="14">
        <v>45685.727777777778</v>
      </c>
      <c r="F121" s="8">
        <f>IF(HOUR(Table1[[#This Row],[CORREO]])&gt;=11,WORKDAY(Table1[[#This Row],[CORREO]],1,Table2[Dias no laborales]),E121)</f>
        <v>45686</v>
      </c>
      <c r="G121" s="4">
        <v>45694</v>
      </c>
      <c r="H121" s="6">
        <f t="shared" si="2"/>
        <v>5</v>
      </c>
      <c r="I121" s="16">
        <f>MAX(1, NETWORKDAYS(A121, G121,Table2[Dias no laborales]))</f>
        <v>7</v>
      </c>
      <c r="J121" s="6" t="str">
        <f>IF(Table1[[#This Row],[FIN]]="","Acumulado",IF(ISNUMBER(SEARCH("ASAP",C121)),"ASAP",IF(NETWORKDAYS.INTL(F121,G121,1,Table2[Dias no laborales]) &lt;= 7, "Dentro", IF(A121&gt;F121,"Programado","Fuera"))))</f>
        <v>Dentro</v>
      </c>
      <c r="K121" s="6" t="str">
        <f t="shared" si="3"/>
        <v>A tiempo</v>
      </c>
      <c r="L121" s="8">
        <v>45686</v>
      </c>
      <c r="M121" s="17">
        <f>MAX(1,NETWORKDAYS(A121,L121,Table2[Dias no laborales]))</f>
        <v>1</v>
      </c>
    </row>
    <row r="122" spans="1:13" hidden="1" x14ac:dyDescent="0.3">
      <c r="A122" s="8">
        <v>45686</v>
      </c>
      <c r="B122" s="6" t="s">
        <v>255</v>
      </c>
      <c r="C122" s="6" t="s">
        <v>256</v>
      </c>
      <c r="D122" s="6" t="s">
        <v>24</v>
      </c>
      <c r="E122" s="14">
        <v>45686.447222222225</v>
      </c>
      <c r="F122" s="8">
        <f>IF(HOUR(Table1[[#This Row],[CORREO]])&gt;=11,WORKDAY(Table1[[#This Row],[CORREO]],1,Table2[Dias no laborales]),E122)</f>
        <v>45686.447222222225</v>
      </c>
      <c r="G122" s="4">
        <v>45688</v>
      </c>
      <c r="H122" s="6">
        <f t="shared" si="2"/>
        <v>5</v>
      </c>
      <c r="I122" s="16">
        <f>MAX(1, NETWORKDAYS(A122, G122,Table2[Dias no laborales]))</f>
        <v>3</v>
      </c>
      <c r="J122" s="6" t="str">
        <f>IF(Table1[[#This Row],[FIN]]="","Acumulado",IF(ISNUMBER(SEARCH("ASAP",C122)),"ASAP",IF(NETWORKDAYS.INTL(F122,G122,1,Table2[Dias no laborales]) &lt;= 7, "Dentro", IF(A122&gt;F122,"Programado","Fuera"))))</f>
        <v>Dentro</v>
      </c>
      <c r="K122" s="6" t="str">
        <f t="shared" si="3"/>
        <v>A tiempo</v>
      </c>
      <c r="L122" s="8">
        <v>45686</v>
      </c>
      <c r="M122" s="17">
        <f>MAX(1,NETWORKDAYS(A122,L122,Table2[Dias no laborales]))</f>
        <v>1</v>
      </c>
    </row>
    <row r="123" spans="1:13" hidden="1" x14ac:dyDescent="0.3">
      <c r="A123" s="8">
        <v>45687</v>
      </c>
      <c r="B123" s="6" t="s">
        <v>291</v>
      </c>
      <c r="C123" s="6" t="s">
        <v>292</v>
      </c>
      <c r="D123" s="6" t="s">
        <v>27</v>
      </c>
      <c r="E123" s="14">
        <v>45686.570833333331</v>
      </c>
      <c r="F123" s="8">
        <f>IF(HOUR(Table1[[#This Row],[CORREO]])&gt;=11,WORKDAY(Table1[[#This Row],[CORREO]],1,Table2[Dias no laborales]),E123)</f>
        <v>45687</v>
      </c>
      <c r="G123" s="4">
        <v>45694</v>
      </c>
      <c r="H123" s="6">
        <f t="shared" si="2"/>
        <v>5</v>
      </c>
      <c r="I123" s="16">
        <f>MAX(1, NETWORKDAYS(A123, G123,Table2[Dias no laborales]))</f>
        <v>6</v>
      </c>
      <c r="J123" s="6" t="str">
        <f>IF(Table1[[#This Row],[FIN]]="","Acumulado",IF(ISNUMBER(SEARCH("ASAP",C123)),"ASAP",IF(NETWORKDAYS.INTL(F123,G123,1,Table2[Dias no laborales]) &lt;= 7, "Dentro", IF(A123&gt;F123,"Programado","Fuera"))))</f>
        <v>Dentro</v>
      </c>
      <c r="K123" s="6" t="str">
        <f t="shared" si="3"/>
        <v>A tiempo</v>
      </c>
      <c r="L123" s="8">
        <v>45688</v>
      </c>
      <c r="M123" s="17">
        <f>MAX(1,NETWORKDAYS(A123,L123,Table2[Dias no laborales]))</f>
        <v>2</v>
      </c>
    </row>
    <row r="124" spans="1:13" hidden="1" x14ac:dyDescent="0.3">
      <c r="A124" s="8">
        <v>45687</v>
      </c>
      <c r="B124" s="6" t="s">
        <v>284</v>
      </c>
      <c r="C124" s="6" t="s">
        <v>285</v>
      </c>
      <c r="D124" s="6" t="s">
        <v>24</v>
      </c>
      <c r="E124" s="14">
        <v>45686.647916666669</v>
      </c>
      <c r="F124" s="8">
        <f>IF(HOUR(Table1[[#This Row],[CORREO]])&gt;=11,WORKDAY(Table1[[#This Row],[CORREO]],1,Table2[Dias no laborales]),E124)</f>
        <v>45687</v>
      </c>
      <c r="G124" s="4">
        <v>45694</v>
      </c>
      <c r="H124" s="6">
        <f t="shared" si="2"/>
        <v>5</v>
      </c>
      <c r="I124" s="16">
        <f>MAX(1, NETWORKDAYS(A124, G124,Table2[Dias no laborales]))</f>
        <v>6</v>
      </c>
      <c r="J124" s="6" t="str">
        <f>IF(Table1[[#This Row],[FIN]]="","Acumulado",IF(ISNUMBER(SEARCH("ASAP",C124)),"ASAP",IF(NETWORKDAYS.INTL(F124,G124,1,Table2[Dias no laborales]) &lt;= 7, "Dentro", IF(A124&gt;F124,"Programado","Fuera"))))</f>
        <v>Dentro</v>
      </c>
      <c r="K124" s="6" t="str">
        <f t="shared" si="3"/>
        <v>A tiempo</v>
      </c>
      <c r="L124" s="8">
        <v>45687</v>
      </c>
      <c r="M124" s="17">
        <f>MAX(1,NETWORKDAYS(A124,L124,Table2[Dias no laborales]))</f>
        <v>1</v>
      </c>
    </row>
    <row r="125" spans="1:13" hidden="1" x14ac:dyDescent="0.3">
      <c r="A125" s="8">
        <v>45687</v>
      </c>
      <c r="B125" s="6" t="s">
        <v>279</v>
      </c>
      <c r="C125" s="6" t="s">
        <v>280</v>
      </c>
      <c r="D125" s="6" t="s">
        <v>108</v>
      </c>
      <c r="E125" s="14">
        <v>45686.697222222225</v>
      </c>
      <c r="F125" s="8">
        <f>IF(HOUR(Table1[[#This Row],[CORREO]])&gt;=11,WORKDAY(Table1[[#This Row],[CORREO]],1,Table2[Dias no laborales]),E125)</f>
        <v>45687</v>
      </c>
      <c r="G125" s="4">
        <v>45693</v>
      </c>
      <c r="H125" s="6">
        <f t="shared" si="2"/>
        <v>5</v>
      </c>
      <c r="I125" s="16">
        <f>MAX(1, NETWORKDAYS(A125, G125,Table2[Dias no laborales]))</f>
        <v>5</v>
      </c>
      <c r="J125" s="6" t="str">
        <f>IF(Table1[[#This Row],[FIN]]="","Acumulado",IF(ISNUMBER(SEARCH("ASAP",C125)),"ASAP",IF(NETWORKDAYS.INTL(F125,G125,1,Table2[Dias no laborales]) &lt;= 7, "Dentro", IF(A125&gt;F125,"Programado","Fuera"))))</f>
        <v>Dentro</v>
      </c>
      <c r="K125" s="6" t="str">
        <f t="shared" si="3"/>
        <v>A tiempo</v>
      </c>
      <c r="L125" s="8">
        <v>45687</v>
      </c>
      <c r="M125" s="17">
        <f>MAX(1,NETWORKDAYS(A125,L125,Table2[Dias no laborales]))</f>
        <v>1</v>
      </c>
    </row>
    <row r="126" spans="1:13" hidden="1" x14ac:dyDescent="0.3">
      <c r="A126" s="8">
        <v>45687</v>
      </c>
      <c r="B126" s="5" t="s">
        <v>267</v>
      </c>
      <c r="C126" s="5" t="s">
        <v>268</v>
      </c>
      <c r="D126" s="5" t="s">
        <v>269</v>
      </c>
      <c r="E126" s="14">
        <v>45686.70208333333</v>
      </c>
      <c r="F126" s="8">
        <f>IF(HOUR(Table1[[#This Row],[CORREO]])&gt;=11,WORKDAY(Table1[[#This Row],[CORREO]],1,Table2[Dias no laborales]),E126)</f>
        <v>45687</v>
      </c>
      <c r="G126" s="4">
        <v>45692</v>
      </c>
      <c r="H126" s="6">
        <f t="shared" si="2"/>
        <v>5</v>
      </c>
      <c r="I126" s="16">
        <f>MAX(1, NETWORKDAYS(A126, G126,Table2[Dias no laborales]))</f>
        <v>4</v>
      </c>
      <c r="J126" s="6" t="str">
        <f>IF(Table1[[#This Row],[FIN]]="","Acumulado",IF(ISNUMBER(SEARCH("ASAP",C126)),"ASAP",IF(NETWORKDAYS.INTL(F126,G126,1,Table2[Dias no laborales]) &lt;= 7, "Dentro", IF(A126&gt;F126,"Programado","Fuera"))))</f>
        <v>Dentro</v>
      </c>
      <c r="K126" s="6" t="str">
        <f t="shared" si="3"/>
        <v>A tiempo</v>
      </c>
      <c r="L126" s="8">
        <v>45687</v>
      </c>
      <c r="M126" s="17">
        <f>MAX(1,NETWORKDAYS(A126,L126,Table2[Dias no laborales]))</f>
        <v>1</v>
      </c>
    </row>
    <row r="127" spans="1:13" hidden="1" x14ac:dyDescent="0.3">
      <c r="A127" s="8">
        <v>45687</v>
      </c>
      <c r="B127" s="6" t="s">
        <v>335</v>
      </c>
      <c r="C127" s="6" t="s">
        <v>245</v>
      </c>
      <c r="D127" s="6" t="s">
        <v>24</v>
      </c>
      <c r="E127" s="14"/>
      <c r="F127" s="8">
        <f>IF(HOUR(Table1[[#This Row],[CORREO]])&gt;=11,WORKDAY(Table1[[#This Row],[CORREO]],1,Table2[Dias no laborales]),E127)</f>
        <v>0</v>
      </c>
      <c r="G127" s="4">
        <v>45702</v>
      </c>
      <c r="H127" s="6">
        <f t="shared" si="2"/>
        <v>5</v>
      </c>
      <c r="I127" s="16">
        <f>MAX(1, NETWORKDAYS(A127, G127,Table2[Dias no laborales]))</f>
        <v>12</v>
      </c>
      <c r="J127" s="6" t="str">
        <f>IF(Table1[[#This Row],[FIN]]="","Acumulado",IF(ISNUMBER(SEARCH("ASAP",C127)),"ASAP",IF(NETWORKDAYS.INTL(F127,G127,1,Table2[Dias no laborales]) &lt;= 7, "Dentro", IF(A127&gt;F127,"Programado","Fuera"))))</f>
        <v>Programado</v>
      </c>
      <c r="K127" s="6" t="str">
        <f t="shared" si="3"/>
        <v>Programados</v>
      </c>
      <c r="L127" s="8">
        <v>45687</v>
      </c>
      <c r="M127" s="17">
        <f>MAX(1,NETWORKDAYS(A127,L127,Table2[Dias no laborales]))</f>
        <v>1</v>
      </c>
    </row>
    <row r="128" spans="1:13" hidden="1" x14ac:dyDescent="0.3">
      <c r="A128" s="8">
        <v>45685</v>
      </c>
      <c r="B128" s="6" t="s">
        <v>265</v>
      </c>
      <c r="C128" s="6" t="s">
        <v>247</v>
      </c>
      <c r="D128" s="6" t="s">
        <v>24</v>
      </c>
      <c r="E128" s="14"/>
      <c r="F128" s="8">
        <f>IF(HOUR(Table1[[#This Row],[CORREO]])&gt;=11,WORKDAY(Table1[[#This Row],[CORREO]],1,Table2[Dias no laborales]),E128)</f>
        <v>0</v>
      </c>
      <c r="G128" s="4">
        <v>45688</v>
      </c>
      <c r="H128" s="6">
        <f t="shared" si="2"/>
        <v>4</v>
      </c>
      <c r="I128" s="16">
        <f>MAX(1, NETWORKDAYS(A128, G128,Table2[Dias no laborales]))</f>
        <v>4</v>
      </c>
      <c r="J128" s="6" t="str">
        <f>IF(Table1[[#This Row],[FIN]]="","Acumulado",IF(ISNUMBER(SEARCH("ASAP",C128)),"ASAP",IF(NETWORKDAYS.INTL(F128,G128,1,Table2[Dias no laborales]) &lt;= 7, "Dentro", IF(A128&gt;F128,"Programado","Fuera"))))</f>
        <v>Programado</v>
      </c>
      <c r="K128" s="6" t="str">
        <f t="shared" si="3"/>
        <v>Programados</v>
      </c>
      <c r="L128" s="8">
        <v>45687</v>
      </c>
      <c r="M128" s="17">
        <f>MAX(1,NETWORKDAYS(A128,L128,Table2[Dias no laborales]))</f>
        <v>3</v>
      </c>
    </row>
    <row r="129" spans="1:13" hidden="1" x14ac:dyDescent="0.3">
      <c r="A129" s="8">
        <v>45688</v>
      </c>
      <c r="B129" s="6" t="s">
        <v>253</v>
      </c>
      <c r="C129" s="6" t="s">
        <v>254</v>
      </c>
      <c r="D129" s="6" t="s">
        <v>48</v>
      </c>
      <c r="E129" s="14">
        <v>45687.520138888889</v>
      </c>
      <c r="F129" s="8">
        <f>IF(HOUR(Table1[[#This Row],[CORREO]])&gt;=11,WORKDAY(Table1[[#This Row],[CORREO]],1,Table2[Dias no laborales]),E129)</f>
        <v>45688</v>
      </c>
      <c r="G129" s="4">
        <v>45688</v>
      </c>
      <c r="H129" s="6">
        <f t="shared" si="2"/>
        <v>5</v>
      </c>
      <c r="I129" s="16">
        <f>MAX(1, NETWORKDAYS(A129, G129,Table2[Dias no laborales]))</f>
        <v>1</v>
      </c>
      <c r="J129" s="6" t="str">
        <f>IF(Table1[[#This Row],[FIN]]="","Acumulado",IF(ISNUMBER(SEARCH("ASAP",C129)),"ASAP",IF(NETWORKDAYS.INTL(F129,G129,1,Table2[Dias no laborales]) &lt;= 7, "Dentro", IF(A129&gt;F129,"Programado","Fuera"))))</f>
        <v>Dentro</v>
      </c>
      <c r="K129" s="6" t="str">
        <f t="shared" si="3"/>
        <v>A tiempo</v>
      </c>
      <c r="L129" s="8">
        <v>45688</v>
      </c>
      <c r="M129" s="17">
        <f>MAX(1,NETWORKDAYS(A129,L129,Table2[Dias no laborales]))</f>
        <v>1</v>
      </c>
    </row>
    <row r="130" spans="1:13" hidden="1" x14ac:dyDescent="0.3">
      <c r="A130" s="8">
        <v>45688</v>
      </c>
      <c r="B130" s="6" t="s">
        <v>266</v>
      </c>
      <c r="C130" s="6" t="s">
        <v>251</v>
      </c>
      <c r="D130" s="6" t="s">
        <v>133</v>
      </c>
      <c r="E130" s="14">
        <v>45688.378472222219</v>
      </c>
      <c r="F130" s="8">
        <f>IF(HOUR(Table1[[#This Row],[CORREO]])&gt;=11,WORKDAY(Table1[[#This Row],[CORREO]],1,Table2[Dias no laborales]),E130)</f>
        <v>45688.378472222219</v>
      </c>
      <c r="G130" s="4">
        <v>45688</v>
      </c>
      <c r="H130" s="6">
        <f t="shared" ref="H130:H193" si="4">INT((A130-DATE(YEAR(A130),1,1))/7) + 1</f>
        <v>5</v>
      </c>
      <c r="I130" s="16">
        <f>MAX(1, NETWORKDAYS(A130, G130,Table2[Dias no laborales]))</f>
        <v>1</v>
      </c>
      <c r="J130" s="6" t="str">
        <f>IF(Table1[[#This Row],[FIN]]="","Acumulado",IF(ISNUMBER(SEARCH("ASAP",C130)),"ASAP",IF(NETWORKDAYS.INTL(F130,G130,1,Table2[Dias no laborales]) &lt;= 7, "Dentro", IF(A130&gt;F130,"Programado","Fuera"))))</f>
        <v>Dentro</v>
      </c>
      <c r="K130" s="6" t="str">
        <f t="shared" ref="K130:K193" si="5">IF(INT(A130)=INT(F130),"A tiempo", IF(A130&lt;F130,"Mismo día","Programados"))</f>
        <v>A tiempo</v>
      </c>
      <c r="L130" s="8">
        <v>45688</v>
      </c>
      <c r="M130" s="17">
        <f>MAX(1,NETWORKDAYS(A130,L130,Table2[Dias no laborales]))</f>
        <v>1</v>
      </c>
    </row>
    <row r="131" spans="1:13" hidden="1" x14ac:dyDescent="0.3">
      <c r="A131" s="8">
        <v>45688</v>
      </c>
      <c r="B131" s="6" t="s">
        <v>274</v>
      </c>
      <c r="C131" s="6" t="s">
        <v>275</v>
      </c>
      <c r="D131" s="6" t="s">
        <v>27</v>
      </c>
      <c r="E131" s="14">
        <v>45687.45</v>
      </c>
      <c r="F131" s="8">
        <f>IF(HOUR(Table1[[#This Row],[CORREO]])&gt;=11,WORKDAY(Table1[[#This Row],[CORREO]],1,Table2[Dias no laborales]),E131)</f>
        <v>45687.45</v>
      </c>
      <c r="G131" s="4">
        <v>45692</v>
      </c>
      <c r="H131" s="6">
        <f t="shared" si="4"/>
        <v>5</v>
      </c>
      <c r="I131" s="16">
        <f>MAX(1, NETWORKDAYS(A131, G131,Table2[Dias no laborales]))</f>
        <v>3</v>
      </c>
      <c r="J131" s="6" t="str">
        <f>IF(Table1[[#This Row],[FIN]]="","Acumulado",IF(ISNUMBER(SEARCH("ASAP",C131)),"ASAP",IF(NETWORKDAYS.INTL(F131,G131,1,Table2[Dias no laborales]) &lt;= 7, "Dentro", IF(A131&gt;F131,"Programado","Fuera"))))</f>
        <v>Dentro</v>
      </c>
      <c r="K131" s="6" t="str">
        <f t="shared" si="5"/>
        <v>Programados</v>
      </c>
      <c r="L131" s="8">
        <v>45692</v>
      </c>
      <c r="M131" s="17">
        <f>MAX(1,NETWORKDAYS(A131,L131,Table2[Dias no laborales]))</f>
        <v>3</v>
      </c>
    </row>
    <row r="132" spans="1:13" hidden="1" x14ac:dyDescent="0.3">
      <c r="A132" s="8">
        <v>45692</v>
      </c>
      <c r="B132" s="6" t="s">
        <v>488</v>
      </c>
      <c r="C132" s="6" t="s">
        <v>489</v>
      </c>
      <c r="D132" s="6" t="s">
        <v>27</v>
      </c>
      <c r="E132" s="14">
        <v>45687.732638888891</v>
      </c>
      <c r="F132" s="8">
        <f>IF(HOUR(Table1[[#This Row],[CORREO]])&gt;=11,WORKDAY(Table1[[#This Row],[CORREO]],1,Table2[Dias no laborales]),E132)</f>
        <v>45688</v>
      </c>
      <c r="G132" s="4">
        <v>45720</v>
      </c>
      <c r="H132" s="6">
        <f t="shared" si="4"/>
        <v>5</v>
      </c>
      <c r="I132" s="16">
        <f>MAX(1, NETWORKDAYS(A132, G132,Table2[Dias no laborales]))</f>
        <v>21</v>
      </c>
      <c r="J132" s="6" t="str">
        <f>IF(Table1[[#This Row],[FIN]]="","Acumulado",IF(ISNUMBER(SEARCH("ASAP",C132)),"ASAP",IF(NETWORKDAYS.INTL(F132,G132,1,Table2[Dias no laborales]) &lt;= 7, "Dentro", IF(A132&gt;F132,"Programado","Fuera"))))</f>
        <v>Programado</v>
      </c>
      <c r="K132" s="6" t="str">
        <f t="shared" si="5"/>
        <v>Programados</v>
      </c>
      <c r="L132" s="8">
        <v>45692</v>
      </c>
      <c r="M132" s="17">
        <f>MAX(1,NETWORKDAYS(A132,L132,Table2[Dias no laborales]))</f>
        <v>1</v>
      </c>
    </row>
    <row r="133" spans="1:13" hidden="1" x14ac:dyDescent="0.3">
      <c r="A133" s="8">
        <v>45692</v>
      </c>
      <c r="B133" s="6" t="s">
        <v>272</v>
      </c>
      <c r="C133" s="6" t="s">
        <v>273</v>
      </c>
      <c r="D133" s="6" t="s">
        <v>133</v>
      </c>
      <c r="E133" s="14">
        <v>45688.508333333331</v>
      </c>
      <c r="F133" s="8">
        <f>IF(HOUR(Table1[[#This Row],[CORREO]])&gt;=11,WORKDAY(Table1[[#This Row],[CORREO]],1,Table2[Dias no laborales]),E133)</f>
        <v>45691</v>
      </c>
      <c r="G133" s="4">
        <v>45692</v>
      </c>
      <c r="H133" s="6">
        <f t="shared" si="4"/>
        <v>5</v>
      </c>
      <c r="I133" s="16">
        <f>MAX(1, NETWORKDAYS(A133, G133,Table2[Dias no laborales]))</f>
        <v>1</v>
      </c>
      <c r="J133" s="6" t="str">
        <f>IF(Table1[[#This Row],[FIN]]="","Acumulado",IF(ISNUMBER(SEARCH("ASAP",C133)),"ASAP",IF(NETWORKDAYS.INTL(F133,G133,1,Table2[Dias no laborales]) &lt;= 7, "Dentro", IF(A133&gt;F133,"Programado","Fuera"))))</f>
        <v>Dentro</v>
      </c>
      <c r="K133" s="6" t="str">
        <f t="shared" si="5"/>
        <v>Programados</v>
      </c>
      <c r="L133" s="8">
        <v>45692</v>
      </c>
      <c r="M133" s="17">
        <f>MAX(1,NETWORKDAYS(A133,L133,Table2[Dias no laborales]))</f>
        <v>1</v>
      </c>
    </row>
    <row r="134" spans="1:13" hidden="1" x14ac:dyDescent="0.3">
      <c r="A134" s="8">
        <v>45692</v>
      </c>
      <c r="B134" s="6" t="s">
        <v>270</v>
      </c>
      <c r="C134" s="6" t="s">
        <v>271</v>
      </c>
      <c r="D134" s="6" t="s">
        <v>24</v>
      </c>
      <c r="E134" s="14">
        <v>45692.324305555558</v>
      </c>
      <c r="F134" s="8">
        <f>IF(HOUR(Table1[[#This Row],[CORREO]])&gt;=11,WORKDAY(Table1[[#This Row],[CORREO]],1,Table2[Dias no laborales]),E134)</f>
        <v>45692.324305555558</v>
      </c>
      <c r="G134" s="4">
        <v>45692</v>
      </c>
      <c r="H134" s="6">
        <f t="shared" si="4"/>
        <v>5</v>
      </c>
      <c r="I134" s="16">
        <f>MAX(1, NETWORKDAYS(A134, G134,Table2[Dias no laborales]))</f>
        <v>1</v>
      </c>
      <c r="J134" s="6" t="str">
        <f>IF(Table1[[#This Row],[FIN]]="","Acumulado",IF(ISNUMBER(SEARCH("ASAP",C134)),"ASAP",IF(NETWORKDAYS.INTL(F134,G134,1,Table2[Dias no laborales]) &lt;= 7, "Dentro", IF(A134&gt;F134,"Programado","Fuera"))))</f>
        <v>Dentro</v>
      </c>
      <c r="K134" s="6" t="str">
        <f t="shared" si="5"/>
        <v>A tiempo</v>
      </c>
      <c r="L134" s="8">
        <v>45692</v>
      </c>
      <c r="M134" s="17">
        <f>MAX(1,NETWORKDAYS(A134,L134,Table2[Dias no laborales]))</f>
        <v>1</v>
      </c>
    </row>
    <row r="135" spans="1:13" hidden="1" x14ac:dyDescent="0.3">
      <c r="A135" s="8">
        <v>45692</v>
      </c>
      <c r="B135" s="6" t="s">
        <v>286</v>
      </c>
      <c r="C135" s="6" t="s">
        <v>287</v>
      </c>
      <c r="D135" s="6" t="s">
        <v>288</v>
      </c>
      <c r="E135" s="14">
        <v>45692.380555555559</v>
      </c>
      <c r="F135" s="8">
        <f>IF(HOUR(Table1[[#This Row],[CORREO]])&gt;=11,WORKDAY(Table1[[#This Row],[CORREO]],1,Table2[Dias no laborales]),E135)</f>
        <v>45692.380555555559</v>
      </c>
      <c r="G135" s="4">
        <v>45694</v>
      </c>
      <c r="H135" s="6">
        <f t="shared" si="4"/>
        <v>5</v>
      </c>
      <c r="I135" s="16">
        <f>MAX(1, NETWORKDAYS(A135, G135,Table2[Dias no laborales]))</f>
        <v>3</v>
      </c>
      <c r="J135" s="6" t="str">
        <f>IF(Table1[[#This Row],[FIN]]="","Acumulado",IF(ISNUMBER(SEARCH("ASAP",C135)),"ASAP",IF(NETWORKDAYS.INTL(F135,G135,1,Table2[Dias no laborales]) &lt;= 7, "Dentro", IF(A135&gt;F135,"Programado","Fuera"))))</f>
        <v>Dentro</v>
      </c>
      <c r="K135" s="6" t="str">
        <f t="shared" si="5"/>
        <v>A tiempo</v>
      </c>
      <c r="L135" s="8">
        <v>45692</v>
      </c>
      <c r="M135" s="17">
        <f>MAX(1,NETWORKDAYS(A135,L135,Table2[Dias no laborales]))</f>
        <v>1</v>
      </c>
    </row>
    <row r="136" spans="1:13" hidden="1" x14ac:dyDescent="0.3">
      <c r="A136" s="8">
        <v>45692</v>
      </c>
      <c r="B136" s="6" t="s">
        <v>300</v>
      </c>
      <c r="C136" s="6" t="s">
        <v>301</v>
      </c>
      <c r="D136" s="6" t="s">
        <v>27</v>
      </c>
      <c r="E136" s="14">
        <v>45692.380555555559</v>
      </c>
      <c r="F136" s="8">
        <f>IF(HOUR(Table1[[#This Row],[CORREO]])&gt;=11,WORKDAY(Table1[[#This Row],[CORREO]],1,Table2[Dias no laborales]),E136)</f>
        <v>45692.380555555559</v>
      </c>
      <c r="G136" s="4">
        <v>45695</v>
      </c>
      <c r="H136" s="6">
        <f t="shared" si="4"/>
        <v>5</v>
      </c>
      <c r="I136" s="16">
        <f>MAX(1, NETWORKDAYS(A136, G136,Table2[Dias no laborales]))</f>
        <v>4</v>
      </c>
      <c r="J136" s="6" t="str">
        <f>IF(Table1[[#This Row],[FIN]]="","Acumulado",IF(ISNUMBER(SEARCH("ASAP",C136)),"ASAP",IF(NETWORKDAYS.INTL(F136,G136,1,Table2[Dias no laborales]) &lt;= 7, "Dentro", IF(A136&gt;F136,"Programado","Fuera"))))</f>
        <v>Dentro</v>
      </c>
      <c r="K136" s="6" t="str">
        <f t="shared" si="5"/>
        <v>A tiempo</v>
      </c>
      <c r="L136" s="8">
        <v>45692</v>
      </c>
      <c r="M136" s="17">
        <f>MAX(1,NETWORKDAYS(A136,L136,Table2[Dias no laborales]))</f>
        <v>1</v>
      </c>
    </row>
    <row r="137" spans="1:13" hidden="1" x14ac:dyDescent="0.3">
      <c r="A137" s="8">
        <v>45692</v>
      </c>
      <c r="B137" s="6" t="s">
        <v>295</v>
      </c>
      <c r="C137" s="6" t="s">
        <v>296</v>
      </c>
      <c r="D137" s="6" t="s">
        <v>24</v>
      </c>
      <c r="E137" s="14"/>
      <c r="F137" s="8">
        <f>IF(HOUR(Table1[[#This Row],[CORREO]])&gt;=11,WORKDAY(Table1[[#This Row],[CORREO]],1,Table2[Dias no laborales]),E137)</f>
        <v>0</v>
      </c>
      <c r="G137" s="4">
        <v>45695</v>
      </c>
      <c r="H137" s="6">
        <f t="shared" si="4"/>
        <v>5</v>
      </c>
      <c r="I137" s="16">
        <f>MAX(1, NETWORKDAYS(A137, G137,Table2[Dias no laborales]))</f>
        <v>4</v>
      </c>
      <c r="J137" s="6" t="str">
        <f>IF(Table1[[#This Row],[FIN]]="","Acumulado",IF(ISNUMBER(SEARCH("ASAP",C137)),"ASAP",IF(NETWORKDAYS.INTL(F137,G137,1,Table2[Dias no laborales]) &lt;= 7, "Dentro", IF(A137&gt;F137,"Programado","Fuera"))))</f>
        <v>Programado</v>
      </c>
      <c r="K137" s="6" t="str">
        <f t="shared" si="5"/>
        <v>Programados</v>
      </c>
      <c r="L137" s="8">
        <v>45692</v>
      </c>
      <c r="M137" s="17">
        <f>MAX(1,NETWORKDAYS(A137,L137,Table2[Dias no laborales]))</f>
        <v>1</v>
      </c>
    </row>
    <row r="138" spans="1:13" hidden="1" x14ac:dyDescent="0.3">
      <c r="A138" s="8">
        <v>45693</v>
      </c>
      <c r="B138" s="6" t="s">
        <v>281</v>
      </c>
      <c r="C138" s="6" t="s">
        <v>282</v>
      </c>
      <c r="D138" s="6" t="s">
        <v>82</v>
      </c>
      <c r="E138" s="14">
        <v>45693.584027777775</v>
      </c>
      <c r="F138" s="8">
        <f>IF(HOUR(Table1[[#This Row],[CORREO]])&gt;=11,WORKDAY(Table1[[#This Row],[CORREO]],1,Table2[Dias no laborales]),E138)</f>
        <v>45694</v>
      </c>
      <c r="G138" s="4">
        <v>45693</v>
      </c>
      <c r="H138" s="6">
        <f t="shared" si="4"/>
        <v>6</v>
      </c>
      <c r="I138" s="16">
        <f>MAX(1, NETWORKDAYS(A138, G138,Table2[Dias no laborales]))</f>
        <v>1</v>
      </c>
      <c r="J138" s="6" t="str">
        <f>IF(Table1[[#This Row],[FIN]]="","Acumulado",IF(ISNUMBER(SEARCH("ASAP",C138)),"ASAP",IF(NETWORKDAYS.INTL(F138,G138,1,Table2[Dias no laborales]) &lt;= 7, "Dentro", IF(A138&gt;F138,"Programado","Fuera"))))</f>
        <v>Dentro</v>
      </c>
      <c r="K138" s="6" t="str">
        <f t="shared" si="5"/>
        <v>Mismo día</v>
      </c>
      <c r="L138" s="8">
        <v>45693</v>
      </c>
      <c r="M138" s="17">
        <f>MAX(1,NETWORKDAYS(A138,L138,Table2[Dias no laborales]))</f>
        <v>1</v>
      </c>
    </row>
    <row r="139" spans="1:13" hidden="1" x14ac:dyDescent="0.3">
      <c r="A139" s="8">
        <v>45693</v>
      </c>
      <c r="B139" s="6" t="s">
        <v>522</v>
      </c>
      <c r="C139" s="6" t="s">
        <v>523</v>
      </c>
      <c r="D139" s="6" t="s">
        <v>24</v>
      </c>
      <c r="E139" s="14">
        <v>45693.338888888888</v>
      </c>
      <c r="F139" s="8">
        <f>IF(HOUR(Table1[[#This Row],[CORREO]])&gt;=11,WORKDAY(Table1[[#This Row],[CORREO]],1,Table2[Dias no laborales]),E139)</f>
        <v>45693.338888888888</v>
      </c>
      <c r="G139" s="4">
        <v>45723</v>
      </c>
      <c r="H139" s="6">
        <f t="shared" si="4"/>
        <v>6</v>
      </c>
      <c r="I139" s="16">
        <f>MAX(1, NETWORKDAYS(A139, G139,Table2[Dias no laborales]))</f>
        <v>23</v>
      </c>
      <c r="J139" s="6" t="str">
        <f>IF(Table1[[#This Row],[FIN]]="","Acumulado",IF(ISNUMBER(SEARCH("ASAP",C139)),"ASAP",IF(NETWORKDAYS.INTL(F139,G139,1,Table2[Dias no laborales]) &lt;= 7, "Dentro", IF(A139&gt;F139,"Programado","Fuera"))))</f>
        <v>Fuera</v>
      </c>
      <c r="K139" s="6" t="str">
        <f t="shared" si="5"/>
        <v>A tiempo</v>
      </c>
      <c r="L139" s="8">
        <v>45693</v>
      </c>
      <c r="M139" s="17">
        <f>MAX(1,NETWORKDAYS(A139,L139,Table2[Dias no laborales]))</f>
        <v>1</v>
      </c>
    </row>
    <row r="140" spans="1:13" hidden="1" x14ac:dyDescent="0.3">
      <c r="A140" s="8">
        <v>45693</v>
      </c>
      <c r="B140" s="6" t="s">
        <v>328</v>
      </c>
      <c r="C140" s="6" t="s">
        <v>329</v>
      </c>
      <c r="D140" s="6" t="s">
        <v>27</v>
      </c>
      <c r="E140" s="14"/>
      <c r="F140" s="8">
        <f>IF(HOUR(Table1[[#This Row],[CORREO]])&gt;=11,WORKDAY(Table1[[#This Row],[CORREO]],1,Table2[Dias no laborales]),E140)</f>
        <v>0</v>
      </c>
      <c r="G140" s="4">
        <v>45701</v>
      </c>
      <c r="H140" s="6">
        <f t="shared" si="4"/>
        <v>6</v>
      </c>
      <c r="I140" s="16">
        <f>MAX(1, NETWORKDAYS(A140, G140,Table2[Dias no laborales]))</f>
        <v>7</v>
      </c>
      <c r="J140" s="6" t="str">
        <f>IF(Table1[[#This Row],[FIN]]="","Acumulado",IF(ISNUMBER(SEARCH("ASAP",C140)),"ASAP",IF(NETWORKDAYS.INTL(F140,G140,1,Table2[Dias no laborales]) &lt;= 7, "Dentro", IF(A140&gt;F140,"Programado","Fuera"))))</f>
        <v>Programado</v>
      </c>
      <c r="K140" s="6" t="str">
        <f t="shared" si="5"/>
        <v>Programados</v>
      </c>
      <c r="L140" s="8">
        <v>45693</v>
      </c>
      <c r="M140" s="17">
        <f>MAX(1,NETWORKDAYS(A140,L140,Table2[Dias no laborales]))</f>
        <v>1</v>
      </c>
    </row>
    <row r="141" spans="1:13" hidden="1" x14ac:dyDescent="0.3">
      <c r="A141" s="8">
        <v>45693</v>
      </c>
      <c r="B141" s="6" t="s">
        <v>326</v>
      </c>
      <c r="C141" s="6" t="s">
        <v>327</v>
      </c>
      <c r="D141" s="6" t="s">
        <v>27</v>
      </c>
      <c r="E141" s="14"/>
      <c r="F141" s="8">
        <f>IF(HOUR(Table1[[#This Row],[CORREO]])&gt;=11,WORKDAY(Table1[[#This Row],[CORREO]],1,Table2[Dias no laborales]),E141)</f>
        <v>0</v>
      </c>
      <c r="G141" s="4">
        <v>45701</v>
      </c>
      <c r="H141" s="6">
        <f t="shared" si="4"/>
        <v>6</v>
      </c>
      <c r="I141" s="16">
        <f>MAX(1, NETWORKDAYS(A141, G141,Table2[Dias no laborales]))</f>
        <v>7</v>
      </c>
      <c r="J141" s="6" t="str">
        <f>IF(Table1[[#This Row],[FIN]]="","Acumulado",IF(ISNUMBER(SEARCH("ASAP",C141)),"ASAP",IF(NETWORKDAYS.INTL(F141,G141,1,Table2[Dias no laborales]) &lt;= 7, "Dentro", IF(A141&gt;F141,"Programado","Fuera"))))</f>
        <v>Programado</v>
      </c>
      <c r="K141" s="6" t="str">
        <f t="shared" si="5"/>
        <v>Programados</v>
      </c>
      <c r="L141" s="8">
        <v>45693</v>
      </c>
      <c r="M141" s="17">
        <f>MAX(1,NETWORKDAYS(A141,L141,Table2[Dias no laborales]))</f>
        <v>1</v>
      </c>
    </row>
    <row r="142" spans="1:13" hidden="1" x14ac:dyDescent="0.3">
      <c r="A142" s="8">
        <v>45693</v>
      </c>
      <c r="B142" s="6" t="s">
        <v>309</v>
      </c>
      <c r="C142" s="6" t="s">
        <v>310</v>
      </c>
      <c r="D142" s="6" t="s">
        <v>27</v>
      </c>
      <c r="E142" s="14"/>
      <c r="F142" s="8">
        <f>IF(HOUR(Table1[[#This Row],[CORREO]])&gt;=11,WORKDAY(Table1[[#This Row],[CORREO]],1,Table2[Dias no laborales]),E142)</f>
        <v>0</v>
      </c>
      <c r="G142" s="4">
        <v>45698</v>
      </c>
      <c r="H142" s="6">
        <f t="shared" si="4"/>
        <v>6</v>
      </c>
      <c r="I142" s="16">
        <f>MAX(1, NETWORKDAYS(A142, G142,Table2[Dias no laborales]))</f>
        <v>4</v>
      </c>
      <c r="J142" s="6" t="str">
        <f>IF(Table1[[#This Row],[FIN]]="","Acumulado",IF(ISNUMBER(SEARCH("ASAP",C142)),"ASAP",IF(NETWORKDAYS.INTL(F142,G142,1,Table2[Dias no laborales]) &lt;= 7, "Dentro", IF(A142&gt;F142,"Programado","Fuera"))))</f>
        <v>Programado</v>
      </c>
      <c r="K142" s="6" t="str">
        <f t="shared" si="5"/>
        <v>Programados</v>
      </c>
      <c r="L142" s="8">
        <v>45693</v>
      </c>
      <c r="M142" s="17">
        <f>MAX(1,NETWORKDAYS(A142,L142,Table2[Dias no laborales]))</f>
        <v>1</v>
      </c>
    </row>
    <row r="143" spans="1:13" hidden="1" x14ac:dyDescent="0.3">
      <c r="A143" s="8">
        <v>45693</v>
      </c>
      <c r="B143" s="6" t="s">
        <v>311</v>
      </c>
      <c r="C143" s="6" t="s">
        <v>312</v>
      </c>
      <c r="D143" s="6" t="s">
        <v>27</v>
      </c>
      <c r="E143" s="14"/>
      <c r="F143" s="8">
        <f>IF(HOUR(Table1[[#This Row],[CORREO]])&gt;=11,WORKDAY(Table1[[#This Row],[CORREO]],1,Table2[Dias no laborales]),E143)</f>
        <v>0</v>
      </c>
      <c r="G143" s="4">
        <v>45698</v>
      </c>
      <c r="H143" s="6">
        <f t="shared" si="4"/>
        <v>6</v>
      </c>
      <c r="I143" s="16">
        <f>MAX(1, NETWORKDAYS(A143, G143,Table2[Dias no laborales]))</f>
        <v>4</v>
      </c>
      <c r="J143" s="6" t="str">
        <f>IF(Table1[[#This Row],[FIN]]="","Acumulado",IF(ISNUMBER(SEARCH("ASAP",C143)),"ASAP",IF(NETWORKDAYS.INTL(F143,G143,1,Table2[Dias no laborales]) &lt;= 7, "Dentro", IF(A143&gt;F143,"Programado","Fuera"))))</f>
        <v>Programado</v>
      </c>
      <c r="K143" s="6" t="str">
        <f t="shared" si="5"/>
        <v>Programados</v>
      </c>
      <c r="L143" s="8">
        <v>45693</v>
      </c>
      <c r="M143" s="17">
        <f>MAX(1,NETWORKDAYS(A143,L143,Table2[Dias no laborales]))</f>
        <v>1</v>
      </c>
    </row>
    <row r="144" spans="1:13" hidden="1" x14ac:dyDescent="0.3">
      <c r="A144" s="8">
        <v>45693</v>
      </c>
      <c r="B144" s="6" t="s">
        <v>313</v>
      </c>
      <c r="C144" s="6" t="s">
        <v>314</v>
      </c>
      <c r="D144" s="6" t="s">
        <v>27</v>
      </c>
      <c r="E144" s="14"/>
      <c r="F144" s="8">
        <f>IF(HOUR(Table1[[#This Row],[CORREO]])&gt;=11,WORKDAY(Table1[[#This Row],[CORREO]],1,Table2[Dias no laborales]),E144)</f>
        <v>0</v>
      </c>
      <c r="G144" s="4">
        <v>45698</v>
      </c>
      <c r="H144" s="6">
        <f t="shared" si="4"/>
        <v>6</v>
      </c>
      <c r="I144" s="16">
        <f>MAX(1, NETWORKDAYS(A144, G144,Table2[Dias no laborales]))</f>
        <v>4</v>
      </c>
      <c r="J144" s="6" t="str">
        <f>IF(Table1[[#This Row],[FIN]]="","Acumulado",IF(ISNUMBER(SEARCH("ASAP",C144)),"ASAP",IF(NETWORKDAYS.INTL(F144,G144,1,Table2[Dias no laborales]) &lt;= 7, "Dentro", IF(A144&gt;F144,"Programado","Fuera"))))</f>
        <v>Programado</v>
      </c>
      <c r="K144" s="6" t="str">
        <f t="shared" si="5"/>
        <v>Programados</v>
      </c>
      <c r="L144" s="8">
        <v>45693</v>
      </c>
      <c r="M144" s="17">
        <f>MAX(1,NETWORKDAYS(A144,L144,Table2[Dias no laborales]))</f>
        <v>1</v>
      </c>
    </row>
    <row r="145" spans="1:13" hidden="1" x14ac:dyDescent="0.3">
      <c r="A145" s="8">
        <v>45694</v>
      </c>
      <c r="B145" s="6" t="s">
        <v>306</v>
      </c>
      <c r="C145" s="6" t="s">
        <v>307</v>
      </c>
      <c r="D145" s="6" t="s">
        <v>308</v>
      </c>
      <c r="E145" s="14">
        <v>45693.504166666666</v>
      </c>
      <c r="F145" s="8">
        <f>IF(HOUR(Table1[[#This Row],[CORREO]])&gt;=11,WORKDAY(Table1[[#This Row],[CORREO]],1,Table2[Dias no laborales]),E145)</f>
        <v>45694</v>
      </c>
      <c r="G145" s="4">
        <v>45695</v>
      </c>
      <c r="H145" s="6">
        <f t="shared" si="4"/>
        <v>6</v>
      </c>
      <c r="I145" s="16">
        <f>MAX(1, NETWORKDAYS(A145, G145,Table2[Dias no laborales]))</f>
        <v>2</v>
      </c>
      <c r="J145" s="6" t="str">
        <f>IF(Table1[[#This Row],[FIN]]="","Acumulado",IF(ISNUMBER(SEARCH("ASAP",C145)),"ASAP",IF(NETWORKDAYS.INTL(F145,G145,1,Table2[Dias no laborales]) &lt;= 7, "Dentro", IF(A145&gt;F145,"Programado","Fuera"))))</f>
        <v>Dentro</v>
      </c>
      <c r="K145" s="6" t="str">
        <f t="shared" si="5"/>
        <v>A tiempo</v>
      </c>
      <c r="L145" s="8">
        <v>45694</v>
      </c>
      <c r="M145" s="17">
        <f>MAX(1,NETWORKDAYS(A145,L145,Table2[Dias no laborales]))</f>
        <v>1</v>
      </c>
    </row>
    <row r="146" spans="1:13" hidden="1" x14ac:dyDescent="0.3">
      <c r="A146" s="8">
        <v>45694</v>
      </c>
      <c r="B146" s="6" t="s">
        <v>352</v>
      </c>
      <c r="C146" s="6" t="s">
        <v>353</v>
      </c>
      <c r="D146" s="6" t="s">
        <v>24</v>
      </c>
      <c r="E146" s="14">
        <v>45693.618750000001</v>
      </c>
      <c r="F146" s="8">
        <f>IF(HOUR(Table1[[#This Row],[CORREO]])&gt;=11,WORKDAY(Table1[[#This Row],[CORREO]],1,Table2[Dias no laborales]),E146)</f>
        <v>45694</v>
      </c>
      <c r="G146" s="4">
        <v>45705</v>
      </c>
      <c r="H146" s="6">
        <f t="shared" si="4"/>
        <v>6</v>
      </c>
      <c r="I146" s="16">
        <f>MAX(1, NETWORKDAYS(A146, G146,Table2[Dias no laborales]))</f>
        <v>8</v>
      </c>
      <c r="J146" s="6" t="str">
        <f>IF(Table1[[#This Row],[FIN]]="","Acumulado",IF(ISNUMBER(SEARCH("ASAP",C146)),"ASAP",IF(NETWORKDAYS.INTL(F146,G146,1,Table2[Dias no laborales]) &lt;= 7, "Dentro", IF(A146&gt;F146,"Programado","Fuera"))))</f>
        <v>Fuera</v>
      </c>
      <c r="K146" s="6" t="str">
        <f t="shared" si="5"/>
        <v>A tiempo</v>
      </c>
      <c r="L146" s="8">
        <v>45699</v>
      </c>
      <c r="M146" s="17">
        <f>MAX(1,NETWORKDAYS(A146,L146,Table2[Dias no laborales]))</f>
        <v>4</v>
      </c>
    </row>
    <row r="147" spans="1:13" hidden="1" x14ac:dyDescent="0.3">
      <c r="A147" s="8">
        <v>45694</v>
      </c>
      <c r="B147" s="6" t="s">
        <v>293</v>
      </c>
      <c r="C147" s="6" t="s">
        <v>294</v>
      </c>
      <c r="D147" s="6" t="s">
        <v>139</v>
      </c>
      <c r="E147" s="14">
        <v>45693.652777777781</v>
      </c>
      <c r="F147" s="8">
        <f>IF(HOUR(Table1[[#This Row],[CORREO]])&gt;=11,WORKDAY(Table1[[#This Row],[CORREO]],1,Table2[Dias no laborales]),E147)</f>
        <v>45694</v>
      </c>
      <c r="G147" s="4">
        <v>45694</v>
      </c>
      <c r="H147" s="6">
        <f t="shared" si="4"/>
        <v>6</v>
      </c>
      <c r="I147" s="16">
        <f>MAX(1, NETWORKDAYS(A147, G147,Table2[Dias no laborales]))</f>
        <v>1</v>
      </c>
      <c r="J147" s="6" t="str">
        <f>IF(Table1[[#This Row],[FIN]]="","Acumulado",IF(ISNUMBER(SEARCH("ASAP",C147)),"ASAP",IF(NETWORKDAYS.INTL(F147,G147,1,Table2[Dias no laborales]) &lt;= 7, "Dentro", IF(A147&gt;F147,"Programado","Fuera"))))</f>
        <v>Dentro</v>
      </c>
      <c r="K147" s="6" t="str">
        <f t="shared" si="5"/>
        <v>A tiempo</v>
      </c>
      <c r="L147" s="8">
        <v>45694</v>
      </c>
      <c r="M147" s="17">
        <f>MAX(1,NETWORKDAYS(A147,L147,Table2[Dias no laborales]))</f>
        <v>1</v>
      </c>
    </row>
    <row r="148" spans="1:13" hidden="1" x14ac:dyDescent="0.3">
      <c r="A148" s="8">
        <v>45694</v>
      </c>
      <c r="B148" s="6" t="s">
        <v>297</v>
      </c>
      <c r="C148" s="6" t="s">
        <v>260</v>
      </c>
      <c r="D148" s="6" t="s">
        <v>27</v>
      </c>
      <c r="E148" s="14">
        <v>45693.731944444444</v>
      </c>
      <c r="F148" s="8">
        <f>IF(HOUR(Table1[[#This Row],[CORREO]])&gt;=11,WORKDAY(Table1[[#This Row],[CORREO]],1,Table2[Dias no laborales]),E148)</f>
        <v>45694</v>
      </c>
      <c r="G148" s="4">
        <v>45695</v>
      </c>
      <c r="H148" s="6">
        <f t="shared" si="4"/>
        <v>6</v>
      </c>
      <c r="I148" s="16">
        <f>MAX(1, NETWORKDAYS(A148, G148,Table2[Dias no laborales]))</f>
        <v>2</v>
      </c>
      <c r="J148" s="6" t="str">
        <f>IF(Table1[[#This Row],[FIN]]="","Acumulado",IF(ISNUMBER(SEARCH("ASAP",C148)),"ASAP",IF(NETWORKDAYS.INTL(F148,G148,1,Table2[Dias no laborales]) &lt;= 7, "Dentro", IF(A148&gt;F148,"Programado","Fuera"))))</f>
        <v>Dentro</v>
      </c>
      <c r="K148" s="6" t="str">
        <f t="shared" si="5"/>
        <v>A tiempo</v>
      </c>
      <c r="L148" s="8">
        <v>45694</v>
      </c>
      <c r="M148" s="17">
        <f>MAX(1,NETWORKDAYS(A148,L148,Table2[Dias no laborales]))</f>
        <v>1</v>
      </c>
    </row>
    <row r="149" spans="1:13" hidden="1" x14ac:dyDescent="0.3">
      <c r="A149" s="8">
        <v>45694</v>
      </c>
      <c r="B149" s="6" t="s">
        <v>317</v>
      </c>
      <c r="C149" s="6" t="s">
        <v>318</v>
      </c>
      <c r="D149" s="6" t="s">
        <v>288</v>
      </c>
      <c r="E149" s="14">
        <v>45694.397222222222</v>
      </c>
      <c r="F149" s="8">
        <f>IF(HOUR(Table1[[#This Row],[CORREO]])&gt;=11,WORKDAY(Table1[[#This Row],[CORREO]],1,Table2[Dias no laborales]),E149)</f>
        <v>45694.397222222222</v>
      </c>
      <c r="G149" s="4">
        <v>45699</v>
      </c>
      <c r="H149" s="6">
        <f t="shared" si="4"/>
        <v>6</v>
      </c>
      <c r="I149" s="16">
        <f>MAX(1, NETWORKDAYS(A149, G149,Table2[Dias no laborales]))</f>
        <v>4</v>
      </c>
      <c r="J149" s="6" t="str">
        <f>IF(Table1[[#This Row],[FIN]]="","Acumulado",IF(ISNUMBER(SEARCH("ASAP",C149)),"ASAP",IF(NETWORKDAYS.INTL(F149,G149,1,Table2[Dias no laborales]) &lt;= 7, "Dentro", IF(A149&gt;F149,"Programado","Fuera"))))</f>
        <v>Dentro</v>
      </c>
      <c r="K149" s="6" t="str">
        <f t="shared" si="5"/>
        <v>A tiempo</v>
      </c>
      <c r="L149" s="8">
        <v>45695</v>
      </c>
      <c r="M149" s="17">
        <f>MAX(1,NETWORKDAYS(A149,L149,Table2[Dias no laborales]))</f>
        <v>2</v>
      </c>
    </row>
    <row r="150" spans="1:13" hidden="1" x14ac:dyDescent="0.3">
      <c r="A150" s="8">
        <v>45694</v>
      </c>
      <c r="B150" s="6" t="s">
        <v>302</v>
      </c>
      <c r="C150" s="6" t="s">
        <v>303</v>
      </c>
      <c r="D150" s="6" t="s">
        <v>61</v>
      </c>
      <c r="E150" s="14">
        <v>45694.4375</v>
      </c>
      <c r="F150" s="8">
        <f>IF(HOUR(Table1[[#This Row],[CORREO]])&gt;=11,WORKDAY(Table1[[#This Row],[CORREO]],1,Table2[Dias no laborales]),E150)</f>
        <v>45694.4375</v>
      </c>
      <c r="G150" s="4">
        <v>45695</v>
      </c>
      <c r="H150" s="6">
        <f t="shared" si="4"/>
        <v>6</v>
      </c>
      <c r="I150" s="16">
        <f>MAX(1, NETWORKDAYS(A150, G150,Table2[Dias no laborales]))</f>
        <v>2</v>
      </c>
      <c r="J150" s="6" t="str">
        <f>IF(Table1[[#This Row],[FIN]]="","Acumulado",IF(ISNUMBER(SEARCH("ASAP",C150)),"ASAP",IF(NETWORKDAYS.INTL(F150,G150,1,Table2[Dias no laborales]) &lt;= 7, "Dentro", IF(A150&gt;F150,"Programado","Fuera"))))</f>
        <v>Dentro</v>
      </c>
      <c r="K150" s="6" t="str">
        <f t="shared" si="5"/>
        <v>A tiempo</v>
      </c>
      <c r="L150" s="8">
        <v>45694</v>
      </c>
      <c r="M150" s="17">
        <f>MAX(1,NETWORKDAYS(A150,L150,Table2[Dias no laborales]))</f>
        <v>1</v>
      </c>
    </row>
    <row r="151" spans="1:13" hidden="1" x14ac:dyDescent="0.3">
      <c r="A151" s="8">
        <v>45694</v>
      </c>
      <c r="B151" s="6" t="s">
        <v>304</v>
      </c>
      <c r="C151" s="6" t="s">
        <v>305</v>
      </c>
      <c r="D151" s="6" t="s">
        <v>151</v>
      </c>
      <c r="E151" s="14">
        <v>45694.45208333333</v>
      </c>
      <c r="F151" s="8">
        <f>IF(HOUR(Table1[[#This Row],[CORREO]])&gt;=11,WORKDAY(Table1[[#This Row],[CORREO]],1,Table2[Dias no laborales]),E151)</f>
        <v>45694.45208333333</v>
      </c>
      <c r="G151" s="4">
        <v>45695</v>
      </c>
      <c r="H151" s="6">
        <f t="shared" si="4"/>
        <v>6</v>
      </c>
      <c r="I151" s="16">
        <f>MAX(1, NETWORKDAYS(A151, G151,Table2[Dias no laborales]))</f>
        <v>2</v>
      </c>
      <c r="J151" s="6" t="str">
        <f>IF(Table1[[#This Row],[FIN]]="","Acumulado",IF(ISNUMBER(SEARCH("ASAP",C151)),"ASAP",IF(NETWORKDAYS.INTL(F151,G151,1,Table2[Dias no laborales]) &lt;= 7, "Dentro", IF(A151&gt;F151,"Programado","Fuera"))))</f>
        <v>Dentro</v>
      </c>
      <c r="K151" s="6" t="str">
        <f t="shared" si="5"/>
        <v>A tiempo</v>
      </c>
      <c r="L151" s="8">
        <v>45694</v>
      </c>
      <c r="M151" s="17">
        <f>MAX(1,NETWORKDAYS(A151,L151,Table2[Dias no laborales]))</f>
        <v>1</v>
      </c>
    </row>
    <row r="152" spans="1:13" hidden="1" x14ac:dyDescent="0.3">
      <c r="A152" s="8">
        <v>45694</v>
      </c>
      <c r="B152" s="6" t="s">
        <v>427</v>
      </c>
      <c r="C152" s="6" t="s">
        <v>428</v>
      </c>
      <c r="D152" s="6" t="s">
        <v>24</v>
      </c>
      <c r="E152" s="14">
        <v>45694.49722222222</v>
      </c>
      <c r="F152" s="8">
        <f>IF(HOUR(Table1[[#This Row],[CORREO]])&gt;=11,WORKDAY(Table1[[#This Row],[CORREO]],1,Table2[Dias no laborales]),E152)</f>
        <v>45695</v>
      </c>
      <c r="G152" s="4">
        <v>45714</v>
      </c>
      <c r="H152" s="6">
        <f t="shared" si="4"/>
        <v>6</v>
      </c>
      <c r="I152" s="16">
        <f>MAX(1, NETWORKDAYS(A152, G152,Table2[Dias no laborales]))</f>
        <v>15</v>
      </c>
      <c r="J152" s="6" t="str">
        <f>IF(Table1[[#This Row],[FIN]]="","Acumulado",IF(ISNUMBER(SEARCH("ASAP",C152)),"ASAP",IF(NETWORKDAYS.INTL(F152,G152,1,Table2[Dias no laborales]) &lt;= 7, "Dentro", IF(A152&gt;F152,"Programado","Fuera"))))</f>
        <v>Fuera</v>
      </c>
      <c r="K152" s="6" t="str">
        <f t="shared" si="5"/>
        <v>Mismo día</v>
      </c>
      <c r="L152" s="8">
        <v>45695</v>
      </c>
      <c r="M152" s="17">
        <f>MAX(1,NETWORKDAYS(A152,L152,Table2[Dias no laborales]))</f>
        <v>2</v>
      </c>
    </row>
    <row r="153" spans="1:13" hidden="1" x14ac:dyDescent="0.3">
      <c r="A153" s="8">
        <v>45695</v>
      </c>
      <c r="B153" s="6" t="s">
        <v>298</v>
      </c>
      <c r="C153" s="6" t="s">
        <v>299</v>
      </c>
      <c r="D153" s="6" t="s">
        <v>24</v>
      </c>
      <c r="E153" s="14">
        <v>45695.371527777781</v>
      </c>
      <c r="F153" s="8">
        <f>IF(HOUR(Table1[[#This Row],[CORREO]])&gt;=11,WORKDAY(Table1[[#This Row],[CORREO]],1,Table2[Dias no laborales]),E153)</f>
        <v>45695.371527777781</v>
      </c>
      <c r="G153" s="4">
        <v>45695</v>
      </c>
      <c r="H153" s="6">
        <f t="shared" si="4"/>
        <v>6</v>
      </c>
      <c r="I153" s="16">
        <f>MAX(1, NETWORKDAYS(A153, G153,Table2[Dias no laborales]))</f>
        <v>1</v>
      </c>
      <c r="J153" s="6" t="str">
        <f>IF(Table1[[#This Row],[FIN]]="","Acumulado",IF(ISNUMBER(SEARCH("ASAP",C153)),"ASAP",IF(NETWORKDAYS.INTL(F153,G153,1,Table2[Dias no laborales]) &lt;= 7, "Dentro", IF(A153&gt;F153,"Programado","Fuera"))))</f>
        <v>Dentro</v>
      </c>
      <c r="K153" s="6" t="str">
        <f t="shared" si="5"/>
        <v>A tiempo</v>
      </c>
      <c r="L153" s="8">
        <v>45695</v>
      </c>
      <c r="M153" s="17">
        <f>MAX(1,NETWORKDAYS(A153,L153,Table2[Dias no laborales]))</f>
        <v>1</v>
      </c>
    </row>
    <row r="154" spans="1:13" hidden="1" x14ac:dyDescent="0.3">
      <c r="A154" s="8">
        <v>45698</v>
      </c>
      <c r="B154" s="6" t="s">
        <v>398</v>
      </c>
      <c r="C154" s="6" t="s">
        <v>399</v>
      </c>
      <c r="D154" s="6" t="s">
        <v>194</v>
      </c>
      <c r="E154" s="14">
        <v>45695.677083333336</v>
      </c>
      <c r="F154" s="8">
        <f>IF(HOUR(Table1[[#This Row],[CORREO]])&gt;=11,WORKDAY(Table1[[#This Row],[CORREO]],1,Table2[Dias no laborales]),E154)</f>
        <v>45698</v>
      </c>
      <c r="G154" s="4">
        <v>45709</v>
      </c>
      <c r="H154" s="6">
        <f t="shared" si="4"/>
        <v>6</v>
      </c>
      <c r="I154" s="16">
        <f>MAX(1, NETWORKDAYS(A154, G154,Table2[Dias no laborales]))</f>
        <v>10</v>
      </c>
      <c r="J154" s="6" t="str">
        <f>IF(Table1[[#This Row],[FIN]]="","Acumulado",IF(ISNUMBER(SEARCH("ASAP",C154)),"ASAP",IF(NETWORKDAYS.INTL(F154,G154,1,Table2[Dias no laborales]) &lt;= 7, "Dentro", IF(A154&gt;F154,"Programado","Fuera"))))</f>
        <v>Fuera</v>
      </c>
      <c r="K154" s="6" t="str">
        <f t="shared" si="5"/>
        <v>A tiempo</v>
      </c>
      <c r="L154" s="8">
        <v>45709</v>
      </c>
      <c r="M154" s="17">
        <f>MAX(1,NETWORKDAYS(A154,L154,Table2[Dias no laborales]))</f>
        <v>10</v>
      </c>
    </row>
    <row r="155" spans="1:13" hidden="1" x14ac:dyDescent="0.3">
      <c r="A155" s="8">
        <v>45698</v>
      </c>
      <c r="B155" s="6" t="s">
        <v>338</v>
      </c>
      <c r="C155" s="6" t="s">
        <v>339</v>
      </c>
      <c r="D155" s="6" t="s">
        <v>24</v>
      </c>
      <c r="E155" s="14"/>
      <c r="F155" s="8">
        <f>IF(HOUR(Table1[[#This Row],[CORREO]])&gt;=11,WORKDAY(Table1[[#This Row],[CORREO]],1,Table2[Dias no laborales]),E155)</f>
        <v>0</v>
      </c>
      <c r="G155" s="4">
        <v>45702</v>
      </c>
      <c r="H155" s="6">
        <f t="shared" si="4"/>
        <v>6</v>
      </c>
      <c r="I155" s="16">
        <f>MAX(1, NETWORKDAYS(A155, G155,Table2[Dias no laborales]))</f>
        <v>5</v>
      </c>
      <c r="J155" s="6" t="str">
        <f>IF(Table1[[#This Row],[FIN]]="","Acumulado",IF(ISNUMBER(SEARCH("ASAP",C155)),"ASAP",IF(NETWORKDAYS.INTL(F155,G155,1,Table2[Dias no laborales]) &lt;= 7, "Dentro", IF(A155&gt;F155,"Programado","Fuera"))))</f>
        <v>Programado</v>
      </c>
      <c r="K155" s="6" t="str">
        <f t="shared" si="5"/>
        <v>Programados</v>
      </c>
      <c r="L155" s="8">
        <v>45698</v>
      </c>
      <c r="M155" s="17">
        <f>MAX(1,NETWORKDAYS(A155,L155,Table2[Dias no laborales]))</f>
        <v>1</v>
      </c>
    </row>
    <row r="156" spans="1:13" hidden="1" x14ac:dyDescent="0.3">
      <c r="A156" s="8">
        <v>45698</v>
      </c>
      <c r="B156" s="6" t="s">
        <v>315</v>
      </c>
      <c r="C156" s="6" t="s">
        <v>316</v>
      </c>
      <c r="D156" s="6" t="s">
        <v>27</v>
      </c>
      <c r="E156" s="14">
        <v>45698.371527777781</v>
      </c>
      <c r="F156" s="8">
        <f>IF(HOUR(Table1[[#This Row],[CORREO]])&gt;=11,WORKDAY(Table1[[#This Row],[CORREO]],1,Table2[Dias no laborales]),E156)</f>
        <v>45698.371527777781</v>
      </c>
      <c r="G156" s="4">
        <v>45698</v>
      </c>
      <c r="H156" s="6">
        <f t="shared" si="4"/>
        <v>6</v>
      </c>
      <c r="I156" s="16">
        <f>MAX(1, NETWORKDAYS(A156, G156,Table2[Dias no laborales]))</f>
        <v>1</v>
      </c>
      <c r="J156" s="6" t="str">
        <f>IF(Table1[[#This Row],[FIN]]="","Acumulado",IF(ISNUMBER(SEARCH("ASAP",C156)),"ASAP",IF(NETWORKDAYS.INTL(F156,G156,1,Table2[Dias no laborales]) &lt;= 7, "Dentro", IF(A156&gt;F156,"Programado","Fuera"))))</f>
        <v>Dentro</v>
      </c>
      <c r="K156" s="6" t="str">
        <f t="shared" si="5"/>
        <v>A tiempo</v>
      </c>
      <c r="L156" s="8">
        <v>45698</v>
      </c>
      <c r="M156" s="17">
        <f>MAX(1,NETWORKDAYS(A156,L156,Table2[Dias no laborales]))</f>
        <v>1</v>
      </c>
    </row>
    <row r="157" spans="1:13" hidden="1" x14ac:dyDescent="0.3">
      <c r="A157" s="8">
        <v>45698</v>
      </c>
      <c r="B157" s="6" t="s">
        <v>610</v>
      </c>
      <c r="C157" s="6" t="s">
        <v>611</v>
      </c>
      <c r="D157" s="6" t="s">
        <v>139</v>
      </c>
      <c r="E157" s="14">
        <v>45698.424305555556</v>
      </c>
      <c r="F157" s="8">
        <f>IF(HOUR(Table1[[#This Row],[CORREO]])&gt;=11,WORKDAY(Table1[[#This Row],[CORREO]],1,Table2[Dias no laborales]),E157)</f>
        <v>45698.424305555556</v>
      </c>
      <c r="G157" s="4">
        <v>45735</v>
      </c>
      <c r="H157" s="6">
        <f t="shared" si="4"/>
        <v>6</v>
      </c>
      <c r="I157" s="16">
        <f>MAX(1, NETWORKDAYS(A157, G157,Table2[Dias no laborales]))</f>
        <v>28</v>
      </c>
      <c r="J157" s="6" t="str">
        <f>IF(Table1[[#This Row],[FIN]]="","Acumulado",IF(ISNUMBER(SEARCH("ASAP",C157)),"ASAP",IF(NETWORKDAYS.INTL(F157,G157,1,Table2[Dias no laborales]) &lt;= 7, "Dentro", IF(A157&gt;F157,"Programado","Fuera"))))</f>
        <v>Fuera</v>
      </c>
      <c r="K157" s="6" t="str">
        <f t="shared" si="5"/>
        <v>A tiempo</v>
      </c>
      <c r="L157" s="8">
        <v>45698</v>
      </c>
      <c r="M157" s="17">
        <f>MAX(1,NETWORKDAYS(A157,L157,Table2[Dias no laborales]))</f>
        <v>1</v>
      </c>
    </row>
    <row r="158" spans="1:13" hidden="1" x14ac:dyDescent="0.3">
      <c r="A158" s="8">
        <v>45698</v>
      </c>
      <c r="B158" s="6" t="s">
        <v>343</v>
      </c>
      <c r="C158" s="6" t="s">
        <v>344</v>
      </c>
      <c r="D158" s="6" t="s">
        <v>27</v>
      </c>
      <c r="E158" s="14">
        <v>45698.447916666664</v>
      </c>
      <c r="F158" s="8">
        <f>IF(HOUR(Table1[[#This Row],[CORREO]])&gt;=11,WORKDAY(Table1[[#This Row],[CORREO]],1,Table2[Dias no laborales]),E158)</f>
        <v>45698.447916666664</v>
      </c>
      <c r="G158" s="4">
        <v>45702</v>
      </c>
      <c r="H158" s="6">
        <f t="shared" si="4"/>
        <v>6</v>
      </c>
      <c r="I158" s="16">
        <f>MAX(1, NETWORKDAYS(A158, G158,Table2[Dias no laborales]))</f>
        <v>5</v>
      </c>
      <c r="J158" s="6" t="str">
        <f>IF(Table1[[#This Row],[FIN]]="","Acumulado",IF(ISNUMBER(SEARCH("ASAP",C158)),"ASAP",IF(NETWORKDAYS.INTL(F158,G158,1,Table2[Dias no laborales]) &lt;= 7, "Dentro", IF(A158&gt;F158,"Programado","Fuera"))))</f>
        <v>Dentro</v>
      </c>
      <c r="K158" s="6" t="str">
        <f t="shared" si="5"/>
        <v>A tiempo</v>
      </c>
      <c r="L158" s="8">
        <v>45702</v>
      </c>
      <c r="M158" s="17">
        <f>MAX(1,NETWORKDAYS(A158,L158,Table2[Dias no laborales]))</f>
        <v>5</v>
      </c>
    </row>
    <row r="159" spans="1:13" hidden="1" x14ac:dyDescent="0.3">
      <c r="A159" s="8">
        <v>45699</v>
      </c>
      <c r="B159" s="6" t="s">
        <v>322</v>
      </c>
      <c r="C159" s="6" t="s">
        <v>323</v>
      </c>
      <c r="D159" s="6" t="s">
        <v>230</v>
      </c>
      <c r="E159" s="14">
        <v>45698.504861111112</v>
      </c>
      <c r="F159" s="8">
        <f>IF(HOUR(Table1[[#This Row],[CORREO]])&gt;=11,WORKDAY(Table1[[#This Row],[CORREO]],1,Table2[Dias no laborales]),E159)</f>
        <v>45699</v>
      </c>
      <c r="G159" s="4">
        <v>45700</v>
      </c>
      <c r="H159" s="6">
        <f t="shared" si="4"/>
        <v>6</v>
      </c>
      <c r="I159" s="16">
        <f>MAX(1, NETWORKDAYS(A159, G159,Table2[Dias no laborales]))</f>
        <v>2</v>
      </c>
      <c r="J159" s="6" t="str">
        <f>IF(Table1[[#This Row],[FIN]]="","Acumulado",IF(ISNUMBER(SEARCH("ASAP",C159)),"ASAP",IF(NETWORKDAYS.INTL(F159,G159,1,Table2[Dias no laborales]) &lt;= 7, "Dentro", IF(A159&gt;F159,"Programado","Fuera"))))</f>
        <v>Dentro</v>
      </c>
      <c r="K159" s="6" t="str">
        <f t="shared" si="5"/>
        <v>A tiempo</v>
      </c>
      <c r="L159" s="8">
        <v>45699</v>
      </c>
      <c r="M159" s="17">
        <f>MAX(1,NETWORKDAYS(A159,L159,Table2[Dias no laborales]))</f>
        <v>1</v>
      </c>
    </row>
    <row r="160" spans="1:13" hidden="1" x14ac:dyDescent="0.3">
      <c r="A160" s="8">
        <v>45699</v>
      </c>
      <c r="B160" s="6" t="s">
        <v>400</v>
      </c>
      <c r="C160" s="6" t="s">
        <v>401</v>
      </c>
      <c r="D160" s="6" t="s">
        <v>133</v>
      </c>
      <c r="E160" s="14">
        <v>45698.586805555555</v>
      </c>
      <c r="F160" s="8">
        <f>IF(HOUR(Table1[[#This Row],[CORREO]])&gt;=11,WORKDAY(Table1[[#This Row],[CORREO]],1,Table2[Dias no laborales]),E160)</f>
        <v>45699</v>
      </c>
      <c r="G160" s="4">
        <v>45709</v>
      </c>
      <c r="H160" s="6">
        <f t="shared" si="4"/>
        <v>6</v>
      </c>
      <c r="I160" s="16">
        <f>MAX(1, NETWORKDAYS(A160, G160,Table2[Dias no laborales]))</f>
        <v>9</v>
      </c>
      <c r="J160" s="6" t="str">
        <f>IF(Table1[[#This Row],[FIN]]="","Acumulado",IF(ISNUMBER(SEARCH("ASAP",C160)),"ASAP",IF(NETWORKDAYS.INTL(F160,G160,1,Table2[Dias no laborales]) &lt;= 7, "Dentro", IF(A160&gt;F160,"Programado","Fuera"))))</f>
        <v>Fuera</v>
      </c>
      <c r="K160" s="6" t="str">
        <f t="shared" si="5"/>
        <v>A tiempo</v>
      </c>
      <c r="L160" s="8">
        <v>45699</v>
      </c>
      <c r="M160" s="17">
        <f>MAX(1,NETWORKDAYS(A160,L160,Table2[Dias no laborales]))</f>
        <v>1</v>
      </c>
    </row>
    <row r="161" spans="1:13" hidden="1" x14ac:dyDescent="0.3">
      <c r="A161" s="8">
        <v>45699</v>
      </c>
      <c r="B161" s="6" t="s">
        <v>543</v>
      </c>
      <c r="C161" s="6" t="s">
        <v>544</v>
      </c>
      <c r="D161" s="6" t="s">
        <v>24</v>
      </c>
      <c r="E161" s="14">
        <v>45698.654861111114</v>
      </c>
      <c r="F161" s="8">
        <f>IF(HOUR(Table1[[#This Row],[CORREO]])&gt;=11,WORKDAY(Table1[[#This Row],[CORREO]],1,Table2[Dias no laborales]),E161)</f>
        <v>45699</v>
      </c>
      <c r="G161" s="4">
        <v>45727</v>
      </c>
      <c r="H161" s="6">
        <f t="shared" si="4"/>
        <v>6</v>
      </c>
      <c r="I161" s="16">
        <f>MAX(1, NETWORKDAYS(A161, G161,Table2[Dias no laborales]))</f>
        <v>21</v>
      </c>
      <c r="J161" s="6" t="str">
        <f>IF(Table1[[#This Row],[FIN]]="","Acumulado",IF(ISNUMBER(SEARCH("ASAP",C161)),"ASAP",IF(NETWORKDAYS.INTL(F161,G161,1,Table2[Dias no laborales]) &lt;= 7, "Dentro", IF(A161&gt;F161,"Programado","Fuera"))))</f>
        <v>Fuera</v>
      </c>
      <c r="K161" s="6" t="str">
        <f t="shared" si="5"/>
        <v>A tiempo</v>
      </c>
      <c r="L161" s="8">
        <v>45699</v>
      </c>
      <c r="M161" s="17">
        <f>MAX(1,NETWORKDAYS(A161,L161,Table2[Dias no laborales]))</f>
        <v>1</v>
      </c>
    </row>
    <row r="162" spans="1:13" hidden="1" x14ac:dyDescent="0.3">
      <c r="A162" s="8">
        <v>45699</v>
      </c>
      <c r="B162" s="6" t="s">
        <v>324</v>
      </c>
      <c r="C162" s="6" t="s">
        <v>325</v>
      </c>
      <c r="D162" s="6" t="s">
        <v>151</v>
      </c>
      <c r="E162" s="14">
        <v>45698.656944444447</v>
      </c>
      <c r="F162" s="8">
        <f>IF(HOUR(Table1[[#This Row],[CORREO]])&gt;=11,WORKDAY(Table1[[#This Row],[CORREO]],1,Table2[Dias no laborales]),E162)</f>
        <v>45699</v>
      </c>
      <c r="G162" s="4">
        <v>45701</v>
      </c>
      <c r="H162" s="6">
        <f t="shared" si="4"/>
        <v>6</v>
      </c>
      <c r="I162" s="16">
        <f>MAX(1, NETWORKDAYS(A162, G162,Table2[Dias no laborales]))</f>
        <v>3</v>
      </c>
      <c r="J162" s="6" t="str">
        <f>IF(Table1[[#This Row],[FIN]]="","Acumulado",IF(ISNUMBER(SEARCH("ASAP",C162)),"ASAP",IF(NETWORKDAYS.INTL(F162,G162,1,Table2[Dias no laborales]) &lt;= 7, "Dentro", IF(A162&gt;F162,"Programado","Fuera"))))</f>
        <v>Dentro</v>
      </c>
      <c r="K162" s="6" t="str">
        <f t="shared" si="5"/>
        <v>A tiempo</v>
      </c>
      <c r="L162" s="8">
        <v>45699</v>
      </c>
      <c r="M162" s="17">
        <f>MAX(1,NETWORKDAYS(A162,L162,Table2[Dias no laborales]))</f>
        <v>1</v>
      </c>
    </row>
    <row r="163" spans="1:13" hidden="1" x14ac:dyDescent="0.3">
      <c r="A163" s="8">
        <v>45699</v>
      </c>
      <c r="B163" s="6" t="s">
        <v>471</v>
      </c>
      <c r="C163" s="6" t="s">
        <v>472</v>
      </c>
      <c r="D163" s="6" t="s">
        <v>24</v>
      </c>
      <c r="E163" s="14">
        <v>45698.663194444445</v>
      </c>
      <c r="F163" s="8">
        <f>IF(HOUR(Table1[[#This Row],[CORREO]])&gt;=11,WORKDAY(Table1[[#This Row],[CORREO]],1,Table2[Dias no laborales]),E163)</f>
        <v>45699</v>
      </c>
      <c r="G163" s="4">
        <v>45716</v>
      </c>
      <c r="H163" s="6">
        <f t="shared" si="4"/>
        <v>6</v>
      </c>
      <c r="I163" s="16">
        <f>MAX(1, NETWORKDAYS(A163, G163,Table2[Dias no laborales]))</f>
        <v>14</v>
      </c>
      <c r="J163" s="6" t="str">
        <f>IF(Table1[[#This Row],[FIN]]="","Acumulado",IF(ISNUMBER(SEARCH("ASAP",C163)),"ASAP",IF(NETWORKDAYS.INTL(F163,G163,1,Table2[Dias no laborales]) &lt;= 7, "Dentro", IF(A163&gt;F163,"Programado","Fuera"))))</f>
        <v>Fuera</v>
      </c>
      <c r="K163" s="6" t="str">
        <f t="shared" si="5"/>
        <v>A tiempo</v>
      </c>
      <c r="L163" s="8">
        <v>45699</v>
      </c>
      <c r="M163" s="17">
        <f>MAX(1,NETWORKDAYS(A163,L163,Table2[Dias no laborales]))</f>
        <v>1</v>
      </c>
    </row>
    <row r="164" spans="1:13" hidden="1" x14ac:dyDescent="0.3">
      <c r="A164" s="8">
        <v>45699</v>
      </c>
      <c r="B164" s="6" t="s">
        <v>368</v>
      </c>
      <c r="C164" s="6" t="s">
        <v>369</v>
      </c>
      <c r="D164" s="6" t="s">
        <v>24</v>
      </c>
      <c r="E164" s="14">
        <v>45698.706944444442</v>
      </c>
      <c r="F164" s="8">
        <f>IF(HOUR(Table1[[#This Row],[CORREO]])&gt;=11,WORKDAY(Table1[[#This Row],[CORREO]],1,Table2[Dias no laborales]),E164)</f>
        <v>45699</v>
      </c>
      <c r="G164" s="4">
        <v>45706</v>
      </c>
      <c r="H164" s="6">
        <f t="shared" si="4"/>
        <v>6</v>
      </c>
      <c r="I164" s="16">
        <f>MAX(1, NETWORKDAYS(A164, G164,Table2[Dias no laborales]))</f>
        <v>6</v>
      </c>
      <c r="J164" s="6" t="str">
        <f>IF(Table1[[#This Row],[FIN]]="","Acumulado",IF(ISNUMBER(SEARCH("ASAP",C164)),"ASAP",IF(NETWORKDAYS.INTL(F164,G164,1,Table2[Dias no laborales]) &lt;= 7, "Dentro", IF(A164&gt;F164,"Programado","Fuera"))))</f>
        <v>Dentro</v>
      </c>
      <c r="K164" s="6" t="str">
        <f t="shared" si="5"/>
        <v>A tiempo</v>
      </c>
      <c r="L164" s="8">
        <v>45699</v>
      </c>
      <c r="M164" s="17">
        <f>MAX(1,NETWORKDAYS(A164,L164,Table2[Dias no laborales]))</f>
        <v>1</v>
      </c>
    </row>
    <row r="165" spans="1:13" hidden="1" x14ac:dyDescent="0.3">
      <c r="A165" s="8">
        <v>45699</v>
      </c>
      <c r="B165" s="6" t="s">
        <v>366</v>
      </c>
      <c r="C165" s="6" t="s">
        <v>367</v>
      </c>
      <c r="D165" s="6" t="s">
        <v>24</v>
      </c>
      <c r="E165" s="14">
        <v>45698.71597222222</v>
      </c>
      <c r="F165" s="8">
        <f>IF(HOUR(Table1[[#This Row],[CORREO]])&gt;=11,WORKDAY(Table1[[#This Row],[CORREO]],1,Table2[Dias no laborales]),E165)</f>
        <v>45699</v>
      </c>
      <c r="G165" s="4">
        <v>45706</v>
      </c>
      <c r="H165" s="6">
        <f t="shared" si="4"/>
        <v>6</v>
      </c>
      <c r="I165" s="16">
        <f>MAX(1, NETWORKDAYS(A165, G165,Table2[Dias no laborales]))</f>
        <v>6</v>
      </c>
      <c r="J165" s="6" t="str">
        <f>IF(Table1[[#This Row],[FIN]]="","Acumulado",IF(ISNUMBER(SEARCH("ASAP",C165)),"ASAP",IF(NETWORKDAYS.INTL(F165,G165,1,Table2[Dias no laborales]) &lt;= 7, "Dentro", IF(A165&gt;F165,"Programado","Fuera"))))</f>
        <v>Dentro</v>
      </c>
      <c r="K165" s="6" t="str">
        <f t="shared" si="5"/>
        <v>A tiempo</v>
      </c>
      <c r="L165" s="8">
        <v>45699</v>
      </c>
      <c r="M165" s="17">
        <f>MAX(1,NETWORKDAYS(A165,L165,Table2[Dias no laborales]))</f>
        <v>1</v>
      </c>
    </row>
    <row r="166" spans="1:13" hidden="1" x14ac:dyDescent="0.3">
      <c r="A166" s="8">
        <v>45700</v>
      </c>
      <c r="B166" s="6" t="s">
        <v>345</v>
      </c>
      <c r="C166" s="6" t="s">
        <v>346</v>
      </c>
      <c r="D166" s="6" t="s">
        <v>133</v>
      </c>
      <c r="E166" s="14">
        <v>45699.572916666664</v>
      </c>
      <c r="F166" s="8">
        <f>IF(HOUR(Table1[[#This Row],[CORREO]])&gt;=11,WORKDAY(Table1[[#This Row],[CORREO]],1,Table2[Dias no laborales]),E166)</f>
        <v>45700</v>
      </c>
      <c r="G166" s="4">
        <v>45702</v>
      </c>
      <c r="H166" s="6">
        <f t="shared" si="4"/>
        <v>7</v>
      </c>
      <c r="I166" s="16">
        <f>MAX(1, NETWORKDAYS(A166, G166,Table2[Dias no laborales]))</f>
        <v>3</v>
      </c>
      <c r="J166" s="6" t="str">
        <f>IF(Table1[[#This Row],[FIN]]="","Acumulado",IF(ISNUMBER(SEARCH("ASAP",C166)),"ASAP",IF(NETWORKDAYS.INTL(F166,G166,1,Table2[Dias no laborales]) &lt;= 7, "Dentro", IF(A166&gt;F166,"Programado","Fuera"))))</f>
        <v>Dentro</v>
      </c>
      <c r="K166" s="6" t="str">
        <f t="shared" si="5"/>
        <v>A tiempo</v>
      </c>
      <c r="L166" s="8">
        <v>45701</v>
      </c>
      <c r="M166" s="17">
        <f>MAX(1,NETWORKDAYS(A166,L166,Table2[Dias no laborales]))</f>
        <v>2</v>
      </c>
    </row>
    <row r="167" spans="1:13" hidden="1" x14ac:dyDescent="0.3">
      <c r="A167" s="8">
        <v>45700</v>
      </c>
      <c r="B167" s="6" t="s">
        <v>347</v>
      </c>
      <c r="C167" s="6" t="s">
        <v>348</v>
      </c>
      <c r="D167" s="6" t="s">
        <v>27</v>
      </c>
      <c r="E167" s="14">
        <v>45699.753472222219</v>
      </c>
      <c r="F167" s="8">
        <f>IF(HOUR(Table1[[#This Row],[CORREO]])&gt;=11,WORKDAY(Table1[[#This Row],[CORREO]],1,Table2[Dias no laborales]),E167)</f>
        <v>45700</v>
      </c>
      <c r="G167" s="4">
        <v>45702</v>
      </c>
      <c r="H167" s="6">
        <f t="shared" si="4"/>
        <v>7</v>
      </c>
      <c r="I167" s="16">
        <f>MAX(1, NETWORKDAYS(A167, G167,Table2[Dias no laborales]))</f>
        <v>3</v>
      </c>
      <c r="J167" s="6" t="str">
        <f>IF(Table1[[#This Row],[FIN]]="","Acumulado",IF(ISNUMBER(SEARCH("ASAP",C167)),"ASAP",IF(NETWORKDAYS.INTL(F167,G167,1,Table2[Dias no laborales]) &lt;= 7, "Dentro", IF(A167&gt;F167,"Programado","Fuera"))))</f>
        <v>Dentro</v>
      </c>
      <c r="K167" s="6" t="str">
        <f t="shared" si="5"/>
        <v>A tiempo</v>
      </c>
      <c r="L167" s="8">
        <v>45702</v>
      </c>
      <c r="M167" s="17">
        <f>MAX(1,NETWORKDAYS(A167,L167,Table2[Dias no laborales]))</f>
        <v>3</v>
      </c>
    </row>
    <row r="168" spans="1:13" hidden="1" x14ac:dyDescent="0.3">
      <c r="A168" s="8">
        <v>45700</v>
      </c>
      <c r="B168" s="6" t="s">
        <v>349</v>
      </c>
      <c r="C168" s="6" t="s">
        <v>350</v>
      </c>
      <c r="D168" s="6" t="s">
        <v>351</v>
      </c>
      <c r="E168" s="14">
        <v>45700.326388888891</v>
      </c>
      <c r="F168" s="8">
        <f>IF(HOUR(Table1[[#This Row],[CORREO]])&gt;=11,WORKDAY(Table1[[#This Row],[CORREO]],1,Table2[Dias no laborales]),E168)</f>
        <v>45700.326388888891</v>
      </c>
      <c r="G168" s="4">
        <v>45702</v>
      </c>
      <c r="H168" s="6">
        <f t="shared" si="4"/>
        <v>7</v>
      </c>
      <c r="I168" s="16">
        <f>MAX(1, NETWORKDAYS(A168, G168,Table2[Dias no laborales]))</f>
        <v>3</v>
      </c>
      <c r="J168" s="6" t="str">
        <f>IF(Table1[[#This Row],[FIN]]="","Acumulado",IF(ISNUMBER(SEARCH("ASAP",C168)),"ASAP",IF(NETWORKDAYS.INTL(F168,G168,1,Table2[Dias no laborales]) &lt;= 7, "Dentro", IF(A168&gt;F168,"Programado","Fuera"))))</f>
        <v>Dentro</v>
      </c>
      <c r="K168" s="6" t="str">
        <f t="shared" si="5"/>
        <v>A tiempo</v>
      </c>
      <c r="L168" s="8">
        <v>45700</v>
      </c>
      <c r="M168" s="17">
        <f>MAX(1,NETWORKDAYS(A168,L168,Table2[Dias no laborales]))</f>
        <v>1</v>
      </c>
    </row>
    <row r="169" spans="1:13" hidden="1" x14ac:dyDescent="0.3">
      <c r="A169" s="8">
        <v>45700</v>
      </c>
      <c r="B169" s="6" t="s">
        <v>362</v>
      </c>
      <c r="C169" s="6" t="s">
        <v>363</v>
      </c>
      <c r="D169" s="6" t="s">
        <v>151</v>
      </c>
      <c r="E169" s="14">
        <v>45700.43472222222</v>
      </c>
      <c r="F169" s="8">
        <f>IF(HOUR(Table1[[#This Row],[CORREO]])&gt;=11,WORKDAY(Table1[[#This Row],[CORREO]],1,Table2[Dias no laborales]),E169)</f>
        <v>45700.43472222222</v>
      </c>
      <c r="G169" s="4">
        <v>45706</v>
      </c>
      <c r="H169" s="6">
        <f t="shared" si="4"/>
        <v>7</v>
      </c>
      <c r="I169" s="16">
        <f>MAX(1, NETWORKDAYS(A169, G169,Table2[Dias no laborales]))</f>
        <v>5</v>
      </c>
      <c r="J169" s="6" t="str">
        <f>IF(Table1[[#This Row],[FIN]]="","Acumulado",IF(ISNUMBER(SEARCH("ASAP",C169)),"ASAP",IF(NETWORKDAYS.INTL(F169,G169,1,Table2[Dias no laborales]) &lt;= 7, "Dentro", IF(A169&gt;F169,"Programado","Fuera"))))</f>
        <v>Dentro</v>
      </c>
      <c r="K169" s="6" t="str">
        <f t="shared" si="5"/>
        <v>A tiempo</v>
      </c>
      <c r="L169" s="8">
        <v>45700</v>
      </c>
      <c r="M169" s="17">
        <f>MAX(1,NETWORKDAYS(A169,L169,Table2[Dias no laborales]))</f>
        <v>1</v>
      </c>
    </row>
    <row r="170" spans="1:13" hidden="1" x14ac:dyDescent="0.3">
      <c r="A170" s="8">
        <v>45700</v>
      </c>
      <c r="B170" s="6" t="s">
        <v>319</v>
      </c>
      <c r="C170" s="6" t="s">
        <v>320</v>
      </c>
      <c r="D170" s="6" t="s">
        <v>321</v>
      </c>
      <c r="E170" s="14">
        <v>45700.397222222222</v>
      </c>
      <c r="F170" s="8">
        <f>IF(HOUR(Table1[[#This Row],[CORREO]])&gt;=11,WORKDAY(Table1[[#This Row],[CORREO]],1,Table2[Dias no laborales]),E170)</f>
        <v>45700.397222222222</v>
      </c>
      <c r="G170" s="4">
        <v>45700</v>
      </c>
      <c r="H170" s="6">
        <f t="shared" si="4"/>
        <v>7</v>
      </c>
      <c r="I170" s="16">
        <f>MAX(1, NETWORKDAYS(A170, G170,Table2[Dias no laborales]))</f>
        <v>1</v>
      </c>
      <c r="J170" s="6" t="str">
        <f>IF(Table1[[#This Row],[FIN]]="","Acumulado",IF(ISNUMBER(SEARCH("ASAP",C170)),"ASAP",IF(NETWORKDAYS.INTL(F170,G170,1,Table2[Dias no laborales]) &lt;= 7, "Dentro", IF(A170&gt;F170,"Programado","Fuera"))))</f>
        <v>Dentro</v>
      </c>
      <c r="K170" s="6" t="str">
        <f t="shared" si="5"/>
        <v>A tiempo</v>
      </c>
      <c r="L170" s="8">
        <v>45700</v>
      </c>
      <c r="M170" s="17">
        <f>MAX(1,NETWORKDAYS(A170,L170,Table2[Dias no laborales]))</f>
        <v>1</v>
      </c>
    </row>
    <row r="171" spans="1:13" hidden="1" x14ac:dyDescent="0.3">
      <c r="A171" s="8">
        <v>45700</v>
      </c>
      <c r="B171" s="6" t="s">
        <v>431</v>
      </c>
      <c r="C171" s="6" t="s">
        <v>301</v>
      </c>
      <c r="D171" s="6" t="s">
        <v>321</v>
      </c>
      <c r="E171" s="14"/>
      <c r="F171" s="8">
        <f>IF(HOUR(Table1[[#This Row],[CORREO]])&gt;=11,WORKDAY(Table1[[#This Row],[CORREO]],1,Table2[Dias no laborales]),E171)</f>
        <v>0</v>
      </c>
      <c r="G171" s="4">
        <v>45714</v>
      </c>
      <c r="H171" s="6">
        <f t="shared" si="4"/>
        <v>7</v>
      </c>
      <c r="I171" s="16">
        <f>MAX(1, NETWORKDAYS(A171, G171,Table2[Dias no laborales]))</f>
        <v>11</v>
      </c>
      <c r="J171" s="6" t="str">
        <f>IF(Table1[[#This Row],[FIN]]="","Acumulado",IF(ISNUMBER(SEARCH("ASAP",C171)),"ASAP",IF(NETWORKDAYS.INTL(F171,G171,1,Table2[Dias no laborales]) &lt;= 7, "Dentro", IF(A171&gt;F171,"Programado","Fuera"))))</f>
        <v>Programado</v>
      </c>
      <c r="K171" s="6" t="str">
        <f t="shared" si="5"/>
        <v>Programados</v>
      </c>
      <c r="L171" s="8"/>
      <c r="M171" s="17">
        <f>MAX(1,NETWORKDAYS(A171,L171,Table2[Dias no laborales]))</f>
        <v>1</v>
      </c>
    </row>
    <row r="172" spans="1:13" hidden="1" x14ac:dyDescent="0.3">
      <c r="A172" s="8">
        <v>45700</v>
      </c>
      <c r="B172" s="6" t="s">
        <v>336</v>
      </c>
      <c r="C172" s="6" t="s">
        <v>337</v>
      </c>
      <c r="D172" s="6" t="s">
        <v>27</v>
      </c>
      <c r="E172" s="14">
        <v>45700.536805555559</v>
      </c>
      <c r="F172" s="8">
        <f>IF(HOUR(Table1[[#This Row],[CORREO]])&gt;=11,WORKDAY(Table1[[#This Row],[CORREO]],1,Table2[Dias no laborales]),E172)</f>
        <v>45701</v>
      </c>
      <c r="G172" s="4">
        <v>45702</v>
      </c>
      <c r="H172" s="6">
        <f t="shared" si="4"/>
        <v>7</v>
      </c>
      <c r="I172" s="16">
        <f>MAX(1, NETWORKDAYS(A172, G172,Table2[Dias no laborales]))</f>
        <v>3</v>
      </c>
      <c r="J172" s="6" t="str">
        <f>IF(Table1[[#This Row],[FIN]]="","Acumulado",IF(ISNUMBER(SEARCH("ASAP",C172)),"ASAP",IF(NETWORKDAYS.INTL(F172,G172,1,Table2[Dias no laborales]) &lt;= 7, "Dentro", IF(A172&gt;F172,"Programado","Fuera"))))</f>
        <v>Dentro</v>
      </c>
      <c r="K172" s="6" t="str">
        <f t="shared" si="5"/>
        <v>Mismo día</v>
      </c>
      <c r="L172" s="8"/>
      <c r="M172" s="17">
        <f>MAX(1,NETWORKDAYS(A172,L172,Table2[Dias no laborales]))</f>
        <v>1</v>
      </c>
    </row>
    <row r="173" spans="1:13" hidden="1" x14ac:dyDescent="0.3">
      <c r="A173" s="8">
        <v>45701</v>
      </c>
      <c r="B173" s="7" t="s">
        <v>459</v>
      </c>
      <c r="C173" s="7" t="s">
        <v>460</v>
      </c>
      <c r="D173" s="7" t="s">
        <v>27</v>
      </c>
      <c r="E173" s="14"/>
      <c r="F173" s="8">
        <f>IF(HOUR(Table1[[#This Row],[CORREO]])&gt;=11,WORKDAY(Table1[[#This Row],[CORREO]],1,Table2[Dias no laborales]),E173)</f>
        <v>0</v>
      </c>
      <c r="G173" s="4">
        <v>45716</v>
      </c>
      <c r="H173" s="6">
        <f t="shared" si="4"/>
        <v>7</v>
      </c>
      <c r="I173" s="16">
        <f>MAX(1, NETWORKDAYS(A173, G173,Table2[Dias no laborales]))</f>
        <v>12</v>
      </c>
      <c r="J173" s="6" t="str">
        <f>IF(Table1[[#This Row],[FIN]]="","Acumulado",IF(ISNUMBER(SEARCH("ASAP",C173)),"ASAP",IF(NETWORKDAYS.INTL(F173,G173,1,Table2[Dias no laborales]) &lt;= 7, "Dentro", IF(A173&gt;F173,"Programado","Fuera"))))</f>
        <v>Programado</v>
      </c>
      <c r="K173" s="6" t="str">
        <f t="shared" si="5"/>
        <v>Programados</v>
      </c>
      <c r="L173" s="8"/>
      <c r="M173" s="17">
        <f>MAX(1,NETWORKDAYS(A173,L173,Table2[Dias no laborales]))</f>
        <v>1</v>
      </c>
    </row>
    <row r="174" spans="1:13" hidden="1" x14ac:dyDescent="0.3">
      <c r="A174" s="8">
        <v>45701</v>
      </c>
      <c r="B174" s="7" t="s">
        <v>331</v>
      </c>
      <c r="C174" s="7" t="s">
        <v>332</v>
      </c>
      <c r="D174" s="7" t="s">
        <v>27</v>
      </c>
      <c r="E174" s="14">
        <v>45701.364583333336</v>
      </c>
      <c r="F174" s="8">
        <f>IF(HOUR(Table1[[#This Row],[CORREO]])&gt;=11,WORKDAY(Table1[[#This Row],[CORREO]],1,Table2[Dias no laborales]),E174)</f>
        <v>45701.364583333336</v>
      </c>
      <c r="G174" s="4">
        <v>45702</v>
      </c>
      <c r="H174" s="6">
        <f t="shared" si="4"/>
        <v>7</v>
      </c>
      <c r="I174" s="16">
        <f>MAX(1, NETWORKDAYS(A174, G174,Table2[Dias no laborales]))</f>
        <v>2</v>
      </c>
      <c r="J174" s="6" t="str">
        <f>IF(Table1[[#This Row],[FIN]]="","Acumulado",IF(ISNUMBER(SEARCH("ASAP",C174)),"ASAP",IF(NETWORKDAYS.INTL(F174,G174,1,Table2[Dias no laborales]) &lt;= 7, "Dentro", IF(A174&gt;F174,"Programado","Fuera"))))</f>
        <v>Dentro</v>
      </c>
      <c r="K174" s="6" t="str">
        <f t="shared" si="5"/>
        <v>A tiempo</v>
      </c>
      <c r="L174" s="8"/>
      <c r="M174" s="17">
        <f>MAX(1,NETWORKDAYS(A174,L174,Table2[Dias no laborales]))</f>
        <v>1</v>
      </c>
    </row>
    <row r="175" spans="1:13" hidden="1" x14ac:dyDescent="0.3">
      <c r="A175" s="8">
        <v>45701</v>
      </c>
      <c r="B175" s="7" t="s">
        <v>373</v>
      </c>
      <c r="C175" s="7" t="s">
        <v>374</v>
      </c>
      <c r="D175" s="7" t="s">
        <v>154</v>
      </c>
      <c r="E175" s="14">
        <v>45701.367361111108</v>
      </c>
      <c r="F175" s="8">
        <f>IF(HOUR(Table1[[#This Row],[CORREO]])&gt;=11,WORKDAY(Table1[[#This Row],[CORREO]],1,Table2[Dias no laborales]),E175)</f>
        <v>45701.367361111108</v>
      </c>
      <c r="G175" s="4">
        <v>45706</v>
      </c>
      <c r="H175" s="6">
        <f t="shared" si="4"/>
        <v>7</v>
      </c>
      <c r="I175" s="16">
        <f>MAX(1, NETWORKDAYS(A175, G175,Table2[Dias no laborales]))</f>
        <v>4</v>
      </c>
      <c r="J175" s="6" t="str">
        <f>IF(Table1[[#This Row],[FIN]]="","Acumulado",IF(ISNUMBER(SEARCH("ASAP",C175)),"ASAP",IF(NETWORKDAYS.INTL(F175,G175,1,Table2[Dias no laborales]) &lt;= 7, "Dentro", IF(A175&gt;F175,"Programado","Fuera"))))</f>
        <v>Dentro</v>
      </c>
      <c r="K175" s="6" t="str">
        <f t="shared" si="5"/>
        <v>A tiempo</v>
      </c>
      <c r="L175" s="8"/>
      <c r="M175" s="17">
        <f>MAX(1,NETWORKDAYS(A175,L175,Table2[Dias no laborales]))</f>
        <v>1</v>
      </c>
    </row>
    <row r="176" spans="1:13" hidden="1" x14ac:dyDescent="0.3">
      <c r="A176" s="8">
        <v>45702</v>
      </c>
      <c r="B176" s="7" t="s">
        <v>370</v>
      </c>
      <c r="C176" s="7" t="s">
        <v>371</v>
      </c>
      <c r="D176" s="7" t="s">
        <v>372</v>
      </c>
      <c r="E176" s="14">
        <v>45701.465277777781</v>
      </c>
      <c r="F176" s="8">
        <f>IF(HOUR(Table1[[#This Row],[CORREO]])&gt;=11,WORKDAY(Table1[[#This Row],[CORREO]],1,Table2[Dias no laborales]),E176)</f>
        <v>45702</v>
      </c>
      <c r="G176" s="4">
        <v>45706</v>
      </c>
      <c r="H176" s="6">
        <f t="shared" si="4"/>
        <v>7</v>
      </c>
      <c r="I176" s="16">
        <f>MAX(1, NETWORKDAYS(A176, G176,Table2[Dias no laborales]))</f>
        <v>3</v>
      </c>
      <c r="J176" s="6" t="str">
        <f>IF(Table1[[#This Row],[FIN]]="","Acumulado",IF(ISNUMBER(SEARCH("ASAP",C176)),"ASAP",IF(NETWORKDAYS.INTL(F176,G176,1,Table2[Dias no laborales]) &lt;= 7, "Dentro", IF(A176&gt;F176,"Programado","Fuera"))))</f>
        <v>Dentro</v>
      </c>
      <c r="K176" s="6" t="str">
        <f t="shared" si="5"/>
        <v>A tiempo</v>
      </c>
      <c r="L176" s="8"/>
      <c r="M176" s="17">
        <f>MAX(1,NETWORKDAYS(A176,L176,Table2[Dias no laborales]))</f>
        <v>1</v>
      </c>
    </row>
    <row r="177" spans="1:13" hidden="1" x14ac:dyDescent="0.3">
      <c r="A177" s="8">
        <v>45702</v>
      </c>
      <c r="B177" s="7" t="s">
        <v>340</v>
      </c>
      <c r="C177" s="7" t="s">
        <v>341</v>
      </c>
      <c r="D177" s="7" t="s">
        <v>342</v>
      </c>
      <c r="E177" s="14">
        <v>45701.519444444442</v>
      </c>
      <c r="F177" s="8">
        <f>IF(HOUR(Table1[[#This Row],[CORREO]])&gt;=11,WORKDAY(Table1[[#This Row],[CORREO]],1,Table2[Dias no laborales]),E177)</f>
        <v>45702</v>
      </c>
      <c r="G177" s="4">
        <v>45702</v>
      </c>
      <c r="H177" s="6">
        <f t="shared" si="4"/>
        <v>7</v>
      </c>
      <c r="I177" s="16">
        <f>MAX(1, NETWORKDAYS(A177, G177,Table2[Dias no laborales]))</f>
        <v>1</v>
      </c>
      <c r="J177" s="6" t="str">
        <f>IF(Table1[[#This Row],[FIN]]="","Acumulado",IF(ISNUMBER(SEARCH("ASAP",C177)),"ASAP",IF(NETWORKDAYS.INTL(F177,G177,1,Table2[Dias no laborales]) &lt;= 7, "Dentro", IF(A177&gt;F177,"Programado","Fuera"))))</f>
        <v>Dentro</v>
      </c>
      <c r="K177" s="6" t="str">
        <f t="shared" si="5"/>
        <v>A tiempo</v>
      </c>
      <c r="L177" s="8"/>
      <c r="M177" s="17">
        <f>MAX(1,NETWORKDAYS(A177,L177,Table2[Dias no laborales]))</f>
        <v>1</v>
      </c>
    </row>
    <row r="178" spans="1:13" hidden="1" x14ac:dyDescent="0.3">
      <c r="A178" s="8">
        <v>45702</v>
      </c>
      <c r="B178" s="6" t="s">
        <v>354</v>
      </c>
      <c r="C178" s="6" t="s">
        <v>355</v>
      </c>
      <c r="D178" s="6" t="s">
        <v>342</v>
      </c>
      <c r="E178" s="14">
        <v>45701.666666666664</v>
      </c>
      <c r="F178" s="8">
        <f>IF(HOUR(Table1[[#This Row],[CORREO]])&gt;=11,WORKDAY(Table1[[#This Row],[CORREO]],1,Table2[Dias no laborales]),E178)</f>
        <v>45702</v>
      </c>
      <c r="G178" s="4">
        <v>45705</v>
      </c>
      <c r="H178" s="6">
        <f t="shared" si="4"/>
        <v>7</v>
      </c>
      <c r="I178" s="16">
        <f>MAX(1, NETWORKDAYS(A178, G178,Table2[Dias no laborales]))</f>
        <v>2</v>
      </c>
      <c r="J178" s="6" t="str">
        <f>IF(Table1[[#This Row],[FIN]]="","Acumulado",IF(ISNUMBER(SEARCH("ASAP",C178)),"ASAP",IF(NETWORKDAYS.INTL(F178,G178,1,Table2[Dias no laborales]) &lt;= 7, "Dentro", IF(A178&gt;F178,"Programado","Fuera"))))</f>
        <v>Dentro</v>
      </c>
      <c r="K178" s="6" t="str">
        <f t="shared" si="5"/>
        <v>A tiempo</v>
      </c>
      <c r="L178" s="8"/>
      <c r="M178" s="17">
        <f>MAX(1,NETWORKDAYS(A178,L178,Table2[Dias no laborales]))</f>
        <v>1</v>
      </c>
    </row>
    <row r="179" spans="1:13" hidden="1" x14ac:dyDescent="0.3">
      <c r="A179" s="8">
        <v>45702</v>
      </c>
      <c r="B179" s="6" t="s">
        <v>478</v>
      </c>
      <c r="C179" s="6" t="s">
        <v>479</v>
      </c>
      <c r="D179" s="6" t="s">
        <v>85</v>
      </c>
      <c r="E179" s="14">
        <v>45701.620833333334</v>
      </c>
      <c r="F179" s="8">
        <f>IF(HOUR(Table1[[#This Row],[CORREO]])&gt;=11,WORKDAY(Table1[[#This Row],[CORREO]],1,Table2[Dias no laborales]),E179)</f>
        <v>45702</v>
      </c>
      <c r="G179" s="4">
        <v>45719</v>
      </c>
      <c r="H179" s="6">
        <f t="shared" si="4"/>
        <v>7</v>
      </c>
      <c r="I179" s="16">
        <f>MAX(1, NETWORKDAYS(A179, G179,Table2[Dias no laborales]))</f>
        <v>12</v>
      </c>
      <c r="J179" s="6" t="str">
        <f>IF(Table1[[#This Row],[FIN]]="","Acumulado",IF(ISNUMBER(SEARCH("ASAP",C179)),"ASAP",IF(NETWORKDAYS.INTL(F179,G179,1,Table2[Dias no laborales]) &lt;= 7, "Dentro", IF(A179&gt;F179,"Programado","Fuera"))))</f>
        <v>Fuera</v>
      </c>
      <c r="K179" s="6" t="str">
        <f t="shared" si="5"/>
        <v>A tiempo</v>
      </c>
      <c r="L179" s="8"/>
      <c r="M179" s="17">
        <f>MAX(1,NETWORKDAYS(A179,L179,Table2[Dias no laborales]))</f>
        <v>1</v>
      </c>
    </row>
    <row r="180" spans="1:13" hidden="1" x14ac:dyDescent="0.3">
      <c r="A180" s="8">
        <v>45702</v>
      </c>
      <c r="B180" s="6" t="s">
        <v>333</v>
      </c>
      <c r="C180" s="6" t="s">
        <v>334</v>
      </c>
      <c r="D180" s="6" t="s">
        <v>27</v>
      </c>
      <c r="E180" s="14">
        <v>45701.736111111109</v>
      </c>
      <c r="F180" s="8">
        <f>IF(HOUR(Table1[[#This Row],[CORREO]])&gt;=11,WORKDAY(Table1[[#This Row],[CORREO]],1,Table2[Dias no laborales]),E180)</f>
        <v>45702</v>
      </c>
      <c r="G180" s="4">
        <v>45702</v>
      </c>
      <c r="H180" s="6">
        <f t="shared" si="4"/>
        <v>7</v>
      </c>
      <c r="I180" s="16">
        <f>MAX(1, NETWORKDAYS(A180, G180,Table2[Dias no laborales]))</f>
        <v>1</v>
      </c>
      <c r="J180" s="6" t="str">
        <f>IF(Table1[[#This Row],[FIN]]="","Acumulado",IF(ISNUMBER(SEARCH("ASAP",C180)),"ASAP",IF(NETWORKDAYS.INTL(F180,G180,1,Table2[Dias no laborales]) &lt;= 7, "Dentro", IF(A180&gt;F180,"Programado","Fuera"))))</f>
        <v>Dentro</v>
      </c>
      <c r="K180" s="6" t="str">
        <f t="shared" si="5"/>
        <v>A tiempo</v>
      </c>
      <c r="L180" s="8"/>
      <c r="M180" s="17">
        <f>MAX(1,NETWORKDAYS(A180,L180,Table2[Dias no laborales]))</f>
        <v>1</v>
      </c>
    </row>
    <row r="181" spans="1:13" hidden="1" x14ac:dyDescent="0.3">
      <c r="A181" s="8">
        <v>45702</v>
      </c>
      <c r="B181" s="6" t="s">
        <v>390</v>
      </c>
      <c r="C181" s="6" t="s">
        <v>391</v>
      </c>
      <c r="D181" s="6" t="s">
        <v>392</v>
      </c>
      <c r="E181" s="14">
        <v>45701.917361111111</v>
      </c>
      <c r="F181" s="8">
        <f>IF(HOUR(Table1[[#This Row],[CORREO]])&gt;=11,WORKDAY(Table1[[#This Row],[CORREO]],1,Table2[Dias no laborales]),E181)</f>
        <v>45702</v>
      </c>
      <c r="G181" s="4">
        <v>45708</v>
      </c>
      <c r="H181" s="6">
        <f t="shared" si="4"/>
        <v>7</v>
      </c>
      <c r="I181" s="16">
        <f>MAX(1, NETWORKDAYS(A181, G181,Table2[Dias no laborales]))</f>
        <v>5</v>
      </c>
      <c r="J181" s="6" t="str">
        <f>IF(Table1[[#This Row],[FIN]]="","Acumulado",IF(ISNUMBER(SEARCH("ASAP",C181)),"ASAP",IF(NETWORKDAYS.INTL(F181,G181,1,Table2[Dias no laborales]) &lt;= 7, "Dentro", IF(A181&gt;F181,"Programado","Fuera"))))</f>
        <v>Dentro</v>
      </c>
      <c r="K181" s="6" t="str">
        <f t="shared" si="5"/>
        <v>A tiempo</v>
      </c>
      <c r="L181" s="8"/>
      <c r="M181" s="17">
        <f>MAX(1,NETWORKDAYS(A181,L181,Table2[Dias no laborales]))</f>
        <v>1</v>
      </c>
    </row>
    <row r="182" spans="1:13" hidden="1" x14ac:dyDescent="0.3">
      <c r="A182" s="8">
        <v>45705</v>
      </c>
      <c r="B182" s="6" t="s">
        <v>395</v>
      </c>
      <c r="C182" s="6" t="s">
        <v>396</v>
      </c>
      <c r="D182" s="6" t="s">
        <v>24</v>
      </c>
      <c r="E182" s="14"/>
      <c r="F182" s="8">
        <f>IF(HOUR(Table1[[#This Row],[CORREO]])&gt;=11,WORKDAY(Table1[[#This Row],[CORREO]],1,Table2[Dias no laborales]),E182)</f>
        <v>0</v>
      </c>
      <c r="G182" s="4">
        <v>45709</v>
      </c>
      <c r="H182" s="6">
        <f t="shared" si="4"/>
        <v>7</v>
      </c>
      <c r="I182" s="16">
        <f>MAX(1, NETWORKDAYS(A182, G182,Table2[Dias no laborales]))</f>
        <v>5</v>
      </c>
      <c r="J182" s="6" t="str">
        <f>IF(Table1[[#This Row],[FIN]]="","Acumulado",IF(ISNUMBER(SEARCH("ASAP",C182)),"ASAP",IF(NETWORKDAYS.INTL(F182,G182,1,Table2[Dias no laborales]) &lt;= 7, "Dentro", IF(A182&gt;F182,"Programado","Fuera"))))</f>
        <v>Programado</v>
      </c>
      <c r="K182" s="6" t="str">
        <f t="shared" si="5"/>
        <v>Programados</v>
      </c>
      <c r="L182" s="8"/>
      <c r="M182" s="17">
        <f>MAX(1,NETWORKDAYS(A182,L182,Table2[Dias no laborales]))</f>
        <v>1</v>
      </c>
    </row>
    <row r="183" spans="1:13" hidden="1" x14ac:dyDescent="0.3">
      <c r="A183" s="8">
        <v>45705</v>
      </c>
      <c r="B183" s="6" t="s">
        <v>435</v>
      </c>
      <c r="C183" s="6" t="s">
        <v>436</v>
      </c>
      <c r="D183" s="6" t="s">
        <v>342</v>
      </c>
      <c r="E183" s="14">
        <v>45702.623611111114</v>
      </c>
      <c r="F183" s="8">
        <f>IF(HOUR(Table1[[#This Row],[CORREO]])&gt;=11,WORKDAY(Table1[[#This Row],[CORREO]],1,Table2[Dias no laborales]),E183)</f>
        <v>45705</v>
      </c>
      <c r="G183" s="4">
        <v>45714</v>
      </c>
      <c r="H183" s="6">
        <f t="shared" si="4"/>
        <v>7</v>
      </c>
      <c r="I183" s="16">
        <f>MAX(1, NETWORKDAYS(A183, G183,Table2[Dias no laborales]))</f>
        <v>8</v>
      </c>
      <c r="J183" s="6" t="str">
        <f>IF(Table1[[#This Row],[FIN]]="","Acumulado",IF(ISNUMBER(SEARCH("ASAP",C183)),"ASAP",IF(NETWORKDAYS.INTL(F183,G183,1,Table2[Dias no laborales]) &lt;= 7, "Dentro", IF(A183&gt;F183,"Programado","Fuera"))))</f>
        <v>Fuera</v>
      </c>
      <c r="K183" s="6" t="str">
        <f t="shared" si="5"/>
        <v>A tiempo</v>
      </c>
      <c r="L183" s="8"/>
      <c r="M183" s="17">
        <f>MAX(1,NETWORKDAYS(A183,L183,Table2[Dias no laborales]))</f>
        <v>1</v>
      </c>
    </row>
    <row r="184" spans="1:13" hidden="1" x14ac:dyDescent="0.3">
      <c r="A184" s="8">
        <v>45705</v>
      </c>
      <c r="B184" s="6" t="s">
        <v>492</v>
      </c>
      <c r="C184" s="6" t="s">
        <v>493</v>
      </c>
      <c r="D184" s="6" t="s">
        <v>139</v>
      </c>
      <c r="E184" s="14">
        <v>45705.370138888888</v>
      </c>
      <c r="F184" s="8">
        <f>IF(HOUR(Table1[[#This Row],[CORREO]])&gt;=11,WORKDAY(Table1[[#This Row],[CORREO]],1,Table2[Dias no laborales]),E184)</f>
        <v>45705.370138888888</v>
      </c>
      <c r="G184" s="4">
        <v>45720</v>
      </c>
      <c r="H184" s="6">
        <f t="shared" si="4"/>
        <v>7</v>
      </c>
      <c r="I184" s="16">
        <f>MAX(1, NETWORKDAYS(A184, G184,Table2[Dias no laborales]))</f>
        <v>12</v>
      </c>
      <c r="J184" s="6" t="str">
        <f>IF(Table1[[#This Row],[FIN]]="","Acumulado",IF(ISNUMBER(SEARCH("ASAP",C184)),"ASAP",IF(NETWORKDAYS.INTL(F184,G184,1,Table2[Dias no laborales]) &lt;= 7, "Dentro", IF(A184&gt;F184,"Programado","Fuera"))))</f>
        <v>Fuera</v>
      </c>
      <c r="K184" s="6" t="str">
        <f t="shared" si="5"/>
        <v>A tiempo</v>
      </c>
      <c r="L184" s="8"/>
      <c r="M184" s="17">
        <f>MAX(1,NETWORKDAYS(A184,L184,Table2[Dias no laborales]))</f>
        <v>1</v>
      </c>
    </row>
    <row r="185" spans="1:13" hidden="1" x14ac:dyDescent="0.3">
      <c r="A185" s="8">
        <v>45705</v>
      </c>
      <c r="B185" s="6" t="s">
        <v>356</v>
      </c>
      <c r="C185" s="6" t="s">
        <v>357</v>
      </c>
      <c r="D185" s="6" t="s">
        <v>139</v>
      </c>
      <c r="E185" s="14">
        <v>45705.397916666669</v>
      </c>
      <c r="F185" s="8">
        <f>IF(HOUR(Table1[[#This Row],[CORREO]])&gt;=11,WORKDAY(Table1[[#This Row],[CORREO]],1,Table2[Dias no laborales]),E185)</f>
        <v>45705.397916666669</v>
      </c>
      <c r="G185" s="4">
        <v>45705</v>
      </c>
      <c r="H185" s="6">
        <f t="shared" si="4"/>
        <v>7</v>
      </c>
      <c r="I185" s="16">
        <f>MAX(1, NETWORKDAYS(A185, G185,Table2[Dias no laborales]))</f>
        <v>1</v>
      </c>
      <c r="J185" s="6" t="str">
        <f>IF(Table1[[#This Row],[FIN]]="","Acumulado",IF(ISNUMBER(SEARCH("ASAP",C185)),"ASAP",IF(NETWORKDAYS.INTL(F185,G185,1,Table2[Dias no laborales]) &lt;= 7, "Dentro", IF(A185&gt;F185,"Programado","Fuera"))))</f>
        <v>Dentro</v>
      </c>
      <c r="K185" s="6" t="str">
        <f t="shared" si="5"/>
        <v>A tiempo</v>
      </c>
      <c r="L185" s="8"/>
      <c r="M185" s="17">
        <f>MAX(1,NETWORKDAYS(A185,L185,Table2[Dias no laborales]))</f>
        <v>1</v>
      </c>
    </row>
    <row r="186" spans="1:13" hidden="1" x14ac:dyDescent="0.3">
      <c r="A186" s="8">
        <v>45720</v>
      </c>
      <c r="B186" s="6" t="s">
        <v>777</v>
      </c>
      <c r="C186" s="6" t="s">
        <v>778</v>
      </c>
      <c r="D186" s="6" t="s">
        <v>154</v>
      </c>
      <c r="E186" s="14">
        <v>45705.438888888886</v>
      </c>
      <c r="F186" s="8">
        <f>IF(HOUR(Table1[[#This Row],[CORREO]])&gt;=11,WORKDAY(Table1[[#This Row],[CORREO]],1,Table2[Dias no laborales]),E186)</f>
        <v>45705.438888888886</v>
      </c>
      <c r="G186" s="4">
        <v>45757</v>
      </c>
      <c r="H186" s="6">
        <f t="shared" si="4"/>
        <v>9</v>
      </c>
      <c r="I186" s="16">
        <f>MAX(1, NETWORKDAYS(A186, G186,Table2[Dias no laborales]))</f>
        <v>28</v>
      </c>
      <c r="J186" s="6" t="str">
        <f>IF(Table1[[#This Row],[FIN]]="","Acumulado",IF(ISNUMBER(SEARCH("ASAP",C186)),"ASAP",IF(NETWORKDAYS.INTL(F186,G186,1,Table2[Dias no laborales]) &lt;= 7, "Dentro", IF(A186&gt;F186,"Programado","Fuera"))))</f>
        <v>Programado</v>
      </c>
      <c r="K186" s="6" t="str">
        <f t="shared" si="5"/>
        <v>Programados</v>
      </c>
      <c r="L186" s="8"/>
      <c r="M186" s="17">
        <f>MAX(1,NETWORKDAYS(A186,L186,Table2[Dias no laborales]))</f>
        <v>1</v>
      </c>
    </row>
    <row r="187" spans="1:13" hidden="1" x14ac:dyDescent="0.3">
      <c r="A187" s="8">
        <v>45705</v>
      </c>
      <c r="B187" s="6" t="s">
        <v>432</v>
      </c>
      <c r="C187" s="6" t="s">
        <v>433</v>
      </c>
      <c r="D187" s="6" t="s">
        <v>434</v>
      </c>
      <c r="E187" s="14">
        <v>45705.448611111111</v>
      </c>
      <c r="F187" s="8">
        <f>IF(HOUR(Table1[[#This Row],[CORREO]])&gt;=11,WORKDAY(Table1[[#This Row],[CORREO]],1,Table2[Dias no laborales]),E187)</f>
        <v>45705.448611111111</v>
      </c>
      <c r="G187" s="4">
        <v>45714</v>
      </c>
      <c r="H187" s="6">
        <f t="shared" si="4"/>
        <v>7</v>
      </c>
      <c r="I187" s="16">
        <f>MAX(1, NETWORKDAYS(A187, G187,Table2[Dias no laborales]))</f>
        <v>8</v>
      </c>
      <c r="J187" s="6" t="str">
        <f>IF(Table1[[#This Row],[FIN]]="","Acumulado",IF(ISNUMBER(SEARCH("ASAP",C187)),"ASAP",IF(NETWORKDAYS.INTL(F187,G187,1,Table2[Dias no laborales]) &lt;= 7, "Dentro", IF(A187&gt;F187,"Programado","Fuera"))))</f>
        <v>Fuera</v>
      </c>
      <c r="K187" s="6" t="str">
        <f t="shared" si="5"/>
        <v>A tiempo</v>
      </c>
      <c r="L187" s="8"/>
      <c r="M187" s="17">
        <f>MAX(1,NETWORKDAYS(A187,L187,Table2[Dias no laborales]))</f>
        <v>1</v>
      </c>
    </row>
    <row r="188" spans="1:13" hidden="1" x14ac:dyDescent="0.3">
      <c r="A188" s="8">
        <v>45705</v>
      </c>
      <c r="B188" s="6" t="s">
        <v>377</v>
      </c>
      <c r="C188" s="6" t="s">
        <v>378</v>
      </c>
      <c r="D188" s="6" t="s">
        <v>27</v>
      </c>
      <c r="E188" s="14">
        <v>45705.463194444441</v>
      </c>
      <c r="F188" s="8">
        <f>IF(HOUR(Table1[[#This Row],[CORREO]])&gt;=11,WORKDAY(Table1[[#This Row],[CORREO]],1,Table2[Dias no laborales]),E188)</f>
        <v>45706</v>
      </c>
      <c r="G188" s="4">
        <v>45707</v>
      </c>
      <c r="H188" s="6">
        <f t="shared" si="4"/>
        <v>7</v>
      </c>
      <c r="I188" s="16">
        <f>MAX(1, NETWORKDAYS(A188, G188,Table2[Dias no laborales]))</f>
        <v>3</v>
      </c>
      <c r="J188" s="6" t="str">
        <f>IF(Table1[[#This Row],[FIN]]="","Acumulado",IF(ISNUMBER(SEARCH("ASAP",C188)),"ASAP",IF(NETWORKDAYS.INTL(F188,G188,1,Table2[Dias no laborales]) &lt;= 7, "Dentro", IF(A188&gt;F188,"Programado","Fuera"))))</f>
        <v>Dentro</v>
      </c>
      <c r="K188" s="6" t="str">
        <f t="shared" si="5"/>
        <v>Mismo día</v>
      </c>
      <c r="L188" s="8"/>
      <c r="M188" s="17">
        <f>MAX(1,NETWORKDAYS(A188,L188,Table2[Dias no laborales]))</f>
        <v>1</v>
      </c>
    </row>
    <row r="189" spans="1:13" hidden="1" x14ac:dyDescent="0.3">
      <c r="A189" s="8">
        <v>45705</v>
      </c>
      <c r="B189" s="6" t="s">
        <v>360</v>
      </c>
      <c r="C189" s="6" t="s">
        <v>361</v>
      </c>
      <c r="D189" s="6" t="s">
        <v>27</v>
      </c>
      <c r="E189" s="14">
        <v>45705.51458333333</v>
      </c>
      <c r="F189" s="8">
        <f>IF(HOUR(Table1[[#This Row],[CORREO]])&gt;=11,WORKDAY(Table1[[#This Row],[CORREO]],1,Table2[Dias no laborales]),E189)</f>
        <v>45706</v>
      </c>
      <c r="G189" s="4">
        <v>45706</v>
      </c>
      <c r="H189" s="6">
        <f t="shared" si="4"/>
        <v>7</v>
      </c>
      <c r="I189" s="16">
        <f>MAX(1, NETWORKDAYS(A189, G189,Table2[Dias no laborales]))</f>
        <v>2</v>
      </c>
      <c r="J189" s="6" t="str">
        <f>IF(Table1[[#This Row],[FIN]]="","Acumulado",IF(ISNUMBER(SEARCH("ASAP",C189)),"ASAP",IF(NETWORKDAYS.INTL(F189,G189,1,Table2[Dias no laborales]) &lt;= 7, "Dentro", IF(A189&gt;F189,"Programado","Fuera"))))</f>
        <v>Dentro</v>
      </c>
      <c r="K189" s="6" t="str">
        <f t="shared" si="5"/>
        <v>Mismo día</v>
      </c>
      <c r="L189" s="8"/>
      <c r="M189" s="17">
        <f>MAX(1,NETWORKDAYS(A189,L189,Table2[Dias no laborales]))</f>
        <v>1</v>
      </c>
    </row>
    <row r="190" spans="1:13" hidden="1" x14ac:dyDescent="0.3">
      <c r="A190" s="8">
        <v>45706</v>
      </c>
      <c r="B190" s="6" t="s">
        <v>421</v>
      </c>
      <c r="C190" s="6" t="s">
        <v>422</v>
      </c>
      <c r="D190" s="6" t="s">
        <v>423</v>
      </c>
      <c r="E190" s="14">
        <v>45705.533333333333</v>
      </c>
      <c r="F190" s="8">
        <f>IF(HOUR(Table1[[#This Row],[CORREO]])&gt;=11,WORKDAY(Table1[[#This Row],[CORREO]],1,Table2[Dias no laborales]),E190)</f>
        <v>45706</v>
      </c>
      <c r="G190" s="4">
        <v>45714</v>
      </c>
      <c r="H190" s="6">
        <f t="shared" si="4"/>
        <v>7</v>
      </c>
      <c r="I190" s="16">
        <f>MAX(1, NETWORKDAYS(A190, G190,Table2[Dias no laborales]))</f>
        <v>7</v>
      </c>
      <c r="J190" s="6" t="str">
        <f>IF(Table1[[#This Row],[FIN]]="","Acumulado",IF(ISNUMBER(SEARCH("ASAP",C190)),"ASAP",IF(NETWORKDAYS.INTL(F190,G190,1,Table2[Dias no laborales]) &lt;= 7, "Dentro", IF(A190&gt;F190,"Programado","Fuera"))))</f>
        <v>Dentro</v>
      </c>
      <c r="K190" s="6" t="str">
        <f t="shared" si="5"/>
        <v>A tiempo</v>
      </c>
      <c r="L190" s="8"/>
      <c r="M190" s="17">
        <f>MAX(1,NETWORKDAYS(A190,L190,Table2[Dias no laborales]))</f>
        <v>1</v>
      </c>
    </row>
    <row r="191" spans="1:13" hidden="1" x14ac:dyDescent="0.3">
      <c r="A191" s="8">
        <v>45706</v>
      </c>
      <c r="B191" s="6" t="s">
        <v>358</v>
      </c>
      <c r="C191" s="6" t="s">
        <v>359</v>
      </c>
      <c r="D191" s="6" t="s">
        <v>42</v>
      </c>
      <c r="E191" s="14">
        <v>45705.544444444444</v>
      </c>
      <c r="F191" s="8">
        <f>IF(HOUR(Table1[[#This Row],[CORREO]])&gt;=11,WORKDAY(Table1[[#This Row],[CORREO]],1,Table2[Dias no laborales]),E191)</f>
        <v>45706</v>
      </c>
      <c r="G191" s="4">
        <v>45706</v>
      </c>
      <c r="H191" s="6">
        <f t="shared" si="4"/>
        <v>7</v>
      </c>
      <c r="I191" s="16">
        <f>MAX(1, NETWORKDAYS(A191, G191,Table2[Dias no laborales]))</f>
        <v>1</v>
      </c>
      <c r="J191" s="6" t="str">
        <f>IF(Table1[[#This Row],[FIN]]="","Acumulado",IF(ISNUMBER(SEARCH("ASAP",C191)),"ASAP",IF(NETWORKDAYS.INTL(F191,G191,1,Table2[Dias no laborales]) &lt;= 7, "Dentro", IF(A191&gt;F191,"Programado","Fuera"))))</f>
        <v>Dentro</v>
      </c>
      <c r="K191" s="6" t="str">
        <f t="shared" si="5"/>
        <v>A tiempo</v>
      </c>
      <c r="L191" s="8"/>
      <c r="M191" s="17">
        <f>MAX(1,NETWORKDAYS(A191,L191,Table2[Dias no laborales]))</f>
        <v>1</v>
      </c>
    </row>
    <row r="192" spans="1:13" hidden="1" x14ac:dyDescent="0.3">
      <c r="A192" s="8">
        <v>45706</v>
      </c>
      <c r="B192" s="6" t="s">
        <v>375</v>
      </c>
      <c r="C192" s="6" t="s">
        <v>376</v>
      </c>
      <c r="D192" s="6" t="s">
        <v>148</v>
      </c>
      <c r="E192" s="14">
        <v>45705.574999999997</v>
      </c>
      <c r="F192" s="8">
        <f>IF(HOUR(Table1[[#This Row],[CORREO]])&gt;=11,WORKDAY(Table1[[#This Row],[CORREO]],1,Table2[Dias no laborales]),E192)</f>
        <v>45706</v>
      </c>
      <c r="G192" s="4">
        <v>45706</v>
      </c>
      <c r="H192" s="6">
        <f t="shared" si="4"/>
        <v>7</v>
      </c>
      <c r="I192" s="16">
        <f>MAX(1, NETWORKDAYS(A192, G192,Table2[Dias no laborales]))</f>
        <v>1</v>
      </c>
      <c r="J192" s="6" t="str">
        <f>IF(Table1[[#This Row],[FIN]]="","Acumulado",IF(ISNUMBER(SEARCH("ASAP",C192)),"ASAP",IF(NETWORKDAYS.INTL(F192,G192,1,Table2[Dias no laborales]) &lt;= 7, "Dentro", IF(A192&gt;F192,"Programado","Fuera"))))</f>
        <v>Dentro</v>
      </c>
      <c r="K192" s="6" t="str">
        <f t="shared" si="5"/>
        <v>A tiempo</v>
      </c>
      <c r="L192" s="8"/>
      <c r="M192" s="17">
        <f>MAX(1,NETWORKDAYS(A192,L192,Table2[Dias no laborales]))</f>
        <v>1</v>
      </c>
    </row>
    <row r="193" spans="1:13" hidden="1" x14ac:dyDescent="0.3">
      <c r="A193" s="8">
        <v>45706</v>
      </c>
      <c r="B193" s="6" t="s">
        <v>545</v>
      </c>
      <c r="C193" s="6" t="s">
        <v>546</v>
      </c>
      <c r="D193" s="6" t="s">
        <v>24</v>
      </c>
      <c r="E193" s="14">
        <v>45705.686111111114</v>
      </c>
      <c r="F193" s="8">
        <f>IF(HOUR(Table1[[#This Row],[CORREO]])&gt;=11,WORKDAY(Table1[[#This Row],[CORREO]],1,Table2[Dias no laborales]),E193)</f>
        <v>45706</v>
      </c>
      <c r="G193" s="4">
        <v>45727</v>
      </c>
      <c r="H193" s="6">
        <f t="shared" si="4"/>
        <v>7</v>
      </c>
      <c r="I193" s="16">
        <f>MAX(1, NETWORKDAYS(A193, G193,Table2[Dias no laborales]))</f>
        <v>16</v>
      </c>
      <c r="J193" s="6" t="str">
        <f>IF(Table1[[#This Row],[FIN]]="","Acumulado",IF(ISNUMBER(SEARCH("ASAP",C193)),"ASAP",IF(NETWORKDAYS.INTL(F193,G193,1,Table2[Dias no laborales]) &lt;= 7, "Dentro", IF(A193&gt;F193,"Programado","Fuera"))))</f>
        <v>Fuera</v>
      </c>
      <c r="K193" s="6" t="str">
        <f t="shared" si="5"/>
        <v>A tiempo</v>
      </c>
      <c r="L193" s="8"/>
      <c r="M193" s="17">
        <f>MAX(1,NETWORKDAYS(A193,L193,Table2[Dias no laborales]))</f>
        <v>1</v>
      </c>
    </row>
    <row r="194" spans="1:13" hidden="1" x14ac:dyDescent="0.3">
      <c r="A194" s="8">
        <v>45706</v>
      </c>
      <c r="B194" s="6" t="s">
        <v>445</v>
      </c>
      <c r="C194" s="6" t="s">
        <v>446</v>
      </c>
      <c r="D194" s="6" t="s">
        <v>24</v>
      </c>
      <c r="E194" s="14">
        <v>45706.331944444442</v>
      </c>
      <c r="F194" s="8">
        <f>IF(HOUR(Table1[[#This Row],[CORREO]])&gt;=11,WORKDAY(Table1[[#This Row],[CORREO]],1,Table2[Dias no laborales]),E194)</f>
        <v>45706.331944444442</v>
      </c>
      <c r="G194" s="4">
        <v>45714</v>
      </c>
      <c r="H194" s="6">
        <f t="shared" ref="H194:H257" si="6">INT((A194-DATE(YEAR(A194),1,1))/7) + 1</f>
        <v>7</v>
      </c>
      <c r="I194" s="16">
        <f>MAX(1, NETWORKDAYS(A194, G194,Table2[Dias no laborales]))</f>
        <v>7</v>
      </c>
      <c r="J194" s="6" t="str">
        <f>IF(Table1[[#This Row],[FIN]]="","Acumulado",IF(ISNUMBER(SEARCH("ASAP",C194)),"ASAP",IF(NETWORKDAYS.INTL(F194,G194,1,Table2[Dias no laborales]) &lt;= 7, "Dentro", IF(A194&gt;F194,"Programado","Fuera"))))</f>
        <v>Dentro</v>
      </c>
      <c r="K194" s="6" t="str">
        <f t="shared" ref="K194:K257" si="7">IF(INT(A194)=INT(F194),"A tiempo", IF(A194&lt;F194,"Mismo día","Programados"))</f>
        <v>A tiempo</v>
      </c>
      <c r="L194" s="8"/>
      <c r="M194" s="17">
        <f>MAX(1,NETWORKDAYS(A194,L194,Table2[Dias no laborales]))</f>
        <v>1</v>
      </c>
    </row>
    <row r="195" spans="1:13" hidden="1" x14ac:dyDescent="0.3">
      <c r="A195" s="8">
        <v>45706</v>
      </c>
      <c r="B195" s="6" t="s">
        <v>364</v>
      </c>
      <c r="C195" s="6" t="s">
        <v>365</v>
      </c>
      <c r="D195" s="6" t="s">
        <v>27</v>
      </c>
      <c r="E195" s="14">
        <v>45706.426388888889</v>
      </c>
      <c r="F195" s="8">
        <f>IF(HOUR(Table1[[#This Row],[CORREO]])&gt;=11,WORKDAY(Table1[[#This Row],[CORREO]],1,Table2[Dias no laborales]),E195)</f>
        <v>45706.426388888889</v>
      </c>
      <c r="G195" s="4">
        <v>45706</v>
      </c>
      <c r="H195" s="6">
        <f t="shared" si="6"/>
        <v>7</v>
      </c>
      <c r="I195" s="16">
        <f>MAX(1, NETWORKDAYS(A195, G195,Table2[Dias no laborales]))</f>
        <v>1</v>
      </c>
      <c r="J195" s="6" t="str">
        <f>IF(Table1[[#This Row],[FIN]]="","Acumulado",IF(ISNUMBER(SEARCH("ASAP",C195)),"ASAP",IF(NETWORKDAYS.INTL(F195,G195,1,Table2[Dias no laborales]) &lt;= 7, "Dentro", IF(A195&gt;F195,"Programado","Fuera"))))</f>
        <v>Dentro</v>
      </c>
      <c r="K195" s="6" t="str">
        <f t="shared" si="7"/>
        <v>A tiempo</v>
      </c>
      <c r="L195" s="8"/>
      <c r="M195" s="17">
        <f>MAX(1,NETWORKDAYS(A195,L195,Table2[Dias no laborales]))</f>
        <v>1</v>
      </c>
    </row>
    <row r="196" spans="1:13" hidden="1" x14ac:dyDescent="0.3">
      <c r="A196" s="8">
        <v>45706</v>
      </c>
      <c r="B196" s="6" t="s">
        <v>439</v>
      </c>
      <c r="C196" s="6" t="s">
        <v>440</v>
      </c>
      <c r="D196" s="6" t="s">
        <v>27</v>
      </c>
      <c r="E196" s="14">
        <v>45705.463194444441</v>
      </c>
      <c r="F196" s="8">
        <f>IF(HOUR(Table1[[#This Row],[CORREO]])&gt;=11,WORKDAY(Table1[[#This Row],[CORREO]],1,Table2[Dias no laborales]),E196)</f>
        <v>45706</v>
      </c>
      <c r="G196" s="4">
        <v>45714</v>
      </c>
      <c r="H196" s="6">
        <f t="shared" si="6"/>
        <v>7</v>
      </c>
      <c r="I196" s="16">
        <f>MAX(1, NETWORKDAYS(A196, G196,Table2[Dias no laborales]))</f>
        <v>7</v>
      </c>
      <c r="J196" s="6" t="str">
        <f>IF(Table1[[#This Row],[FIN]]="","Acumulado",IF(ISNUMBER(SEARCH("ASAP",C196)),"ASAP",IF(NETWORKDAYS.INTL(F196,G196,1,Table2[Dias no laborales]) &lt;= 7, "Dentro", IF(A196&gt;F196,"Programado","Fuera"))))</f>
        <v>Dentro</v>
      </c>
      <c r="K196" s="6" t="str">
        <f t="shared" si="7"/>
        <v>A tiempo</v>
      </c>
      <c r="L196" s="8"/>
      <c r="M196" s="17">
        <f>MAX(1,NETWORKDAYS(A196,L196,Table2[Dias no laborales]))</f>
        <v>1</v>
      </c>
    </row>
    <row r="197" spans="1:13" hidden="1" x14ac:dyDescent="0.3">
      <c r="A197" s="8">
        <v>45707</v>
      </c>
      <c r="B197" s="6" t="s">
        <v>547</v>
      </c>
      <c r="C197" s="6" t="s">
        <v>548</v>
      </c>
      <c r="D197" s="6" t="s">
        <v>24</v>
      </c>
      <c r="E197" s="14">
        <v>45706.584722222222</v>
      </c>
      <c r="F197" s="8">
        <f>IF(HOUR(Table1[[#This Row],[CORREO]])&gt;=11,WORKDAY(Table1[[#This Row],[CORREO]],1,Table2[Dias no laborales]),E197)</f>
        <v>45707</v>
      </c>
      <c r="G197" s="4">
        <v>45727</v>
      </c>
      <c r="H197" s="6">
        <f t="shared" si="6"/>
        <v>8</v>
      </c>
      <c r="I197" s="16">
        <f>MAX(1, NETWORKDAYS(A197, G197,Table2[Dias no laborales]))</f>
        <v>15</v>
      </c>
      <c r="J197" s="6" t="str">
        <f>IF(Table1[[#This Row],[FIN]]="","Acumulado",IF(ISNUMBER(SEARCH("ASAP",C197)),"ASAP",IF(NETWORKDAYS.INTL(F197,G197,1,Table2[Dias no laborales]) &lt;= 7, "Dentro", IF(A197&gt;F197,"Programado","Fuera"))))</f>
        <v>Fuera</v>
      </c>
      <c r="K197" s="6" t="str">
        <f t="shared" si="7"/>
        <v>A tiempo</v>
      </c>
      <c r="L197" s="8"/>
      <c r="M197" s="17">
        <f>MAX(1,NETWORKDAYS(A197,L197,Table2[Dias no laborales]))</f>
        <v>1</v>
      </c>
    </row>
    <row r="198" spans="1:13" hidden="1" x14ac:dyDescent="0.3">
      <c r="A198" s="8">
        <v>45707</v>
      </c>
      <c r="B198" s="6" t="s">
        <v>409</v>
      </c>
      <c r="C198" s="6" t="s">
        <v>410</v>
      </c>
      <c r="D198" s="6" t="s">
        <v>411</v>
      </c>
      <c r="E198" s="14">
        <v>45706.629861111112</v>
      </c>
      <c r="F198" s="8">
        <f>IF(HOUR(Table1[[#This Row],[CORREO]])&gt;=11,WORKDAY(Table1[[#This Row],[CORREO]],1,Table2[Dias no laborales]),E198)</f>
        <v>45707</v>
      </c>
      <c r="G198" s="4">
        <v>45712</v>
      </c>
      <c r="H198" s="6">
        <f t="shared" si="6"/>
        <v>8</v>
      </c>
      <c r="I198" s="16">
        <f>MAX(1, NETWORKDAYS(A198, G198,Table2[Dias no laborales]))</f>
        <v>4</v>
      </c>
      <c r="J198" s="6" t="str">
        <f>IF(Table1[[#This Row],[FIN]]="","Acumulado",IF(ISNUMBER(SEARCH("ASAP",C198)),"ASAP",IF(NETWORKDAYS.INTL(F198,G198,1,Table2[Dias no laborales]) &lt;= 7, "Dentro", IF(A198&gt;F198,"Programado","Fuera"))))</f>
        <v>Dentro</v>
      </c>
      <c r="K198" s="6" t="str">
        <f t="shared" si="7"/>
        <v>A tiempo</v>
      </c>
      <c r="L198" s="8"/>
      <c r="M198" s="17">
        <f>MAX(1,NETWORKDAYS(A198,L198,Table2[Dias no laborales]))</f>
        <v>1</v>
      </c>
    </row>
    <row r="199" spans="1:13" hidden="1" x14ac:dyDescent="0.3">
      <c r="A199" s="8">
        <v>45707</v>
      </c>
      <c r="B199" s="6" t="s">
        <v>549</v>
      </c>
      <c r="C199" s="6" t="s">
        <v>550</v>
      </c>
      <c r="D199" s="6" t="s">
        <v>24</v>
      </c>
      <c r="E199" s="14">
        <v>45706.661805555559</v>
      </c>
      <c r="F199" s="8">
        <f>IF(HOUR(Table1[[#This Row],[CORREO]])&gt;=11,WORKDAY(Table1[[#This Row],[CORREO]],1,Table2[Dias no laborales]),E199)</f>
        <v>45707</v>
      </c>
      <c r="G199" s="4">
        <v>45727</v>
      </c>
      <c r="H199" s="6">
        <f t="shared" si="6"/>
        <v>8</v>
      </c>
      <c r="I199" s="16">
        <f>MAX(1, NETWORKDAYS(A199, G199,Table2[Dias no laborales]))</f>
        <v>15</v>
      </c>
      <c r="J199" s="6" t="str">
        <f>IF(Table1[[#This Row],[FIN]]="","Acumulado",IF(ISNUMBER(SEARCH("ASAP",C199)),"ASAP",IF(NETWORKDAYS.INTL(F199,G199,1,Table2[Dias no laborales]) &lt;= 7, "Dentro", IF(A199&gt;F199,"Programado","Fuera"))))</f>
        <v>Fuera</v>
      </c>
      <c r="K199" s="6" t="str">
        <f t="shared" si="7"/>
        <v>A tiempo</v>
      </c>
      <c r="L199" s="8"/>
      <c r="M199" s="17">
        <f>MAX(1,NETWORKDAYS(A199,L199,Table2[Dias no laborales]))</f>
        <v>1</v>
      </c>
    </row>
    <row r="200" spans="1:13" hidden="1" x14ac:dyDescent="0.3">
      <c r="A200" s="8">
        <v>45707</v>
      </c>
      <c r="B200" s="6" t="s">
        <v>381</v>
      </c>
      <c r="C200" s="6" t="s">
        <v>382</v>
      </c>
      <c r="D200" s="6" t="s">
        <v>351</v>
      </c>
      <c r="E200" s="14">
        <v>45706.576388888891</v>
      </c>
      <c r="F200" s="8">
        <f>IF(HOUR(Table1[[#This Row],[CORREO]])&gt;=11,WORKDAY(Table1[[#This Row],[CORREO]],1,Table2[Dias no laborales]),E200)</f>
        <v>45707</v>
      </c>
      <c r="G200" s="4">
        <v>45707</v>
      </c>
      <c r="H200" s="6">
        <f t="shared" si="6"/>
        <v>8</v>
      </c>
      <c r="I200" s="16">
        <f>MAX(1, NETWORKDAYS(A200, G200,Table2[Dias no laborales]))</f>
        <v>1</v>
      </c>
      <c r="J200" s="6" t="str">
        <f>IF(Table1[[#This Row],[FIN]]="","Acumulado",IF(ISNUMBER(SEARCH("ASAP",C200)),"ASAP",IF(NETWORKDAYS.INTL(F200,G200,1,Table2[Dias no laborales]) &lt;= 7, "Dentro", IF(A200&gt;F200,"Programado","Fuera"))))</f>
        <v>Dentro</v>
      </c>
      <c r="K200" s="6" t="str">
        <f t="shared" si="7"/>
        <v>A tiempo</v>
      </c>
      <c r="L200" s="8"/>
      <c r="M200" s="17">
        <f>MAX(1,NETWORKDAYS(A200,L200,Table2[Dias no laborales]))</f>
        <v>1</v>
      </c>
    </row>
    <row r="201" spans="1:13" hidden="1" x14ac:dyDescent="0.3">
      <c r="A201" s="8">
        <v>45707</v>
      </c>
      <c r="B201" s="6" t="s">
        <v>383</v>
      </c>
      <c r="C201" s="6" t="s">
        <v>382</v>
      </c>
      <c r="D201" s="6" t="s">
        <v>351</v>
      </c>
      <c r="E201" s="14">
        <v>45706.578472222223</v>
      </c>
      <c r="F201" s="8">
        <f>IF(HOUR(Table1[[#This Row],[CORREO]])&gt;=11,WORKDAY(Table1[[#This Row],[CORREO]],1,Table2[Dias no laborales]),E201)</f>
        <v>45707</v>
      </c>
      <c r="G201" s="4">
        <v>45707</v>
      </c>
      <c r="H201" s="6">
        <f t="shared" si="6"/>
        <v>8</v>
      </c>
      <c r="I201" s="16">
        <f>MAX(1, NETWORKDAYS(A201, G201,Table2[Dias no laborales]))</f>
        <v>1</v>
      </c>
      <c r="J201" s="6" t="str">
        <f>IF(Table1[[#This Row],[FIN]]="","Acumulado",IF(ISNUMBER(SEARCH("ASAP",C201)),"ASAP",IF(NETWORKDAYS.INTL(F201,G201,1,Table2[Dias no laborales]) &lt;= 7, "Dentro", IF(A201&gt;F201,"Programado","Fuera"))))</f>
        <v>Dentro</v>
      </c>
      <c r="K201" s="6" t="str">
        <f t="shared" si="7"/>
        <v>A tiempo</v>
      </c>
      <c r="L201" s="8"/>
      <c r="M201" s="17">
        <f>MAX(1,NETWORKDAYS(A201,L201,Table2[Dias no laborales]))</f>
        <v>1</v>
      </c>
    </row>
    <row r="202" spans="1:13" hidden="1" x14ac:dyDescent="0.3">
      <c r="A202" s="8">
        <v>45707</v>
      </c>
      <c r="B202" s="7" t="s">
        <v>494</v>
      </c>
      <c r="C202" s="6" t="s">
        <v>495</v>
      </c>
      <c r="D202" s="6" t="s">
        <v>351</v>
      </c>
      <c r="E202" s="14">
        <v>45706.579861111109</v>
      </c>
      <c r="F202" s="8">
        <f>IF(HOUR(Table1[[#This Row],[CORREO]])&gt;=11,WORKDAY(Table1[[#This Row],[CORREO]],1,Table2[Dias no laborales]),E202)</f>
        <v>45707</v>
      </c>
      <c r="G202" s="4">
        <v>45720</v>
      </c>
      <c r="H202" s="6">
        <f t="shared" si="6"/>
        <v>8</v>
      </c>
      <c r="I202" s="16">
        <f>MAX(1, NETWORKDAYS(A202, G202,Table2[Dias no laborales]))</f>
        <v>10</v>
      </c>
      <c r="J202" s="6" t="str">
        <f>IF(Table1[[#This Row],[FIN]]="","Acumulado",IF(ISNUMBER(SEARCH("ASAP",C202)),"ASAP",IF(NETWORKDAYS.INTL(F202,G202,1,Table2[Dias no laborales]) &lt;= 7, "Dentro", IF(A202&gt;F202,"Programado","Fuera"))))</f>
        <v>Fuera</v>
      </c>
      <c r="K202" s="6" t="str">
        <f t="shared" si="7"/>
        <v>A tiempo</v>
      </c>
      <c r="L202" s="8"/>
      <c r="M202" s="17">
        <f>MAX(1,NETWORKDAYS(A202,L202,Table2[Dias no laborales]))</f>
        <v>1</v>
      </c>
    </row>
    <row r="203" spans="1:13" hidden="1" x14ac:dyDescent="0.3">
      <c r="A203" s="8">
        <v>45707</v>
      </c>
      <c r="B203" s="6" t="s">
        <v>397</v>
      </c>
      <c r="C203" s="6" t="s">
        <v>325</v>
      </c>
      <c r="D203" s="6" t="s">
        <v>151</v>
      </c>
      <c r="E203" s="14">
        <v>45707.406944444447</v>
      </c>
      <c r="F203" s="8">
        <f>IF(HOUR(Table1[[#This Row],[CORREO]])&gt;=11,WORKDAY(Table1[[#This Row],[CORREO]],1,Table2[Dias no laborales]),E203)</f>
        <v>45707.406944444447</v>
      </c>
      <c r="G203" s="4">
        <v>45709</v>
      </c>
      <c r="H203" s="6">
        <f t="shared" si="6"/>
        <v>8</v>
      </c>
      <c r="I203" s="16">
        <f>MAX(1, NETWORKDAYS(A203, G203,Table2[Dias no laborales]))</f>
        <v>3</v>
      </c>
      <c r="J203" s="6" t="str">
        <f>IF(Table1[[#This Row],[FIN]]="","Acumulado",IF(ISNUMBER(SEARCH("ASAP",C203)),"ASAP",IF(NETWORKDAYS.INTL(F203,G203,1,Table2[Dias no laborales]) &lt;= 7, "Dentro", IF(A203&gt;F203,"Programado","Fuera"))))</f>
        <v>Dentro</v>
      </c>
      <c r="K203" s="6" t="str">
        <f t="shared" si="7"/>
        <v>A tiempo</v>
      </c>
      <c r="L203" s="8"/>
      <c r="M203" s="17">
        <f>MAX(1,NETWORKDAYS(A203,L203,Table2[Dias no laborales]))</f>
        <v>1</v>
      </c>
    </row>
    <row r="204" spans="1:13" hidden="1" x14ac:dyDescent="0.3">
      <c r="A204" s="8">
        <v>45707</v>
      </c>
      <c r="B204" s="6" t="s">
        <v>384</v>
      </c>
      <c r="C204" s="6" t="s">
        <v>385</v>
      </c>
      <c r="D204" s="6" t="s">
        <v>372</v>
      </c>
      <c r="E204" s="14">
        <v>45707.453472222223</v>
      </c>
      <c r="F204" s="8">
        <f>IF(HOUR(Table1[[#This Row],[CORREO]])&gt;=11,WORKDAY(Table1[[#This Row],[CORREO]],1,Table2[Dias no laborales]),E204)</f>
        <v>45707.453472222223</v>
      </c>
      <c r="G204" s="4">
        <v>45707</v>
      </c>
      <c r="H204" s="6">
        <f t="shared" si="6"/>
        <v>8</v>
      </c>
      <c r="I204" s="16">
        <f>MAX(1, NETWORKDAYS(A204, G204,Table2[Dias no laborales]))</f>
        <v>1</v>
      </c>
      <c r="J204" s="6" t="str">
        <f>IF(Table1[[#This Row],[FIN]]="","Acumulado",IF(ISNUMBER(SEARCH("ASAP",C204)),"ASAP",IF(NETWORKDAYS.INTL(F204,G204,1,Table2[Dias no laborales]) &lt;= 7, "Dentro", IF(A204&gt;F204,"Programado","Fuera"))))</f>
        <v>Dentro</v>
      </c>
      <c r="K204" s="6" t="str">
        <f t="shared" si="7"/>
        <v>A tiempo</v>
      </c>
      <c r="L204" s="8"/>
      <c r="M204" s="17">
        <f>MAX(1,NETWORKDAYS(A204,L204,Table2[Dias no laborales]))</f>
        <v>1</v>
      </c>
    </row>
    <row r="205" spans="1:13" hidden="1" x14ac:dyDescent="0.3">
      <c r="A205" s="8">
        <v>45707</v>
      </c>
      <c r="B205" s="6" t="s">
        <v>379</v>
      </c>
      <c r="C205" s="6" t="s">
        <v>380</v>
      </c>
      <c r="D205" s="6" t="s">
        <v>24</v>
      </c>
      <c r="E205" s="14">
        <v>45707.536111111112</v>
      </c>
      <c r="F205" s="8">
        <f>IF(HOUR(Table1[[#This Row],[CORREO]])&gt;=11,WORKDAY(Table1[[#This Row],[CORREO]],1,Table2[Dias no laborales]),E205)</f>
        <v>45708</v>
      </c>
      <c r="G205" s="4">
        <v>45707</v>
      </c>
      <c r="H205" s="6">
        <f t="shared" si="6"/>
        <v>8</v>
      </c>
      <c r="I205" s="16">
        <f>MAX(1, NETWORKDAYS(A205, G205,Table2[Dias no laborales]))</f>
        <v>1</v>
      </c>
      <c r="J205" s="6" t="str">
        <f>IF(Table1[[#This Row],[FIN]]="","Acumulado",IF(ISNUMBER(SEARCH("ASAP",C205)),"ASAP",IF(NETWORKDAYS.INTL(F205,G205,1,Table2[Dias no laborales]) &lt;= 7, "Dentro", IF(A205&gt;F205,"Programado","Fuera"))))</f>
        <v>Dentro</v>
      </c>
      <c r="K205" s="6" t="str">
        <f t="shared" si="7"/>
        <v>Mismo día</v>
      </c>
      <c r="L205" s="8"/>
      <c r="M205" s="17">
        <f>MAX(1,NETWORKDAYS(A205,L205,Table2[Dias no laborales]))</f>
        <v>1</v>
      </c>
    </row>
    <row r="206" spans="1:13" hidden="1" x14ac:dyDescent="0.3">
      <c r="A206" s="8">
        <v>45708</v>
      </c>
      <c r="B206" s="6" t="s">
        <v>402</v>
      </c>
      <c r="C206" s="6" t="s">
        <v>403</v>
      </c>
      <c r="D206" s="6" t="s">
        <v>351</v>
      </c>
      <c r="E206" s="14">
        <v>45707.533333333333</v>
      </c>
      <c r="F206" s="8">
        <f>IF(HOUR(Table1[[#This Row],[CORREO]])&gt;=11,WORKDAY(Table1[[#This Row],[CORREO]],1,Table2[Dias no laborales]),E206)</f>
        <v>45708</v>
      </c>
      <c r="G206" s="4">
        <v>45709</v>
      </c>
      <c r="H206" s="6">
        <f t="shared" si="6"/>
        <v>8</v>
      </c>
      <c r="I206" s="16">
        <f>MAX(1, NETWORKDAYS(A206, G206,Table2[Dias no laborales]))</f>
        <v>2</v>
      </c>
      <c r="J206" s="6" t="str">
        <f>IF(Table1[[#This Row],[FIN]]="","Acumulado",IF(ISNUMBER(SEARCH("ASAP",C206)),"ASAP",IF(NETWORKDAYS.INTL(F206,G206,1,Table2[Dias no laborales]) &lt;= 7, "Dentro", IF(A206&gt;F206,"Programado","Fuera"))))</f>
        <v>Dentro</v>
      </c>
      <c r="K206" s="6" t="str">
        <f t="shared" si="7"/>
        <v>A tiempo</v>
      </c>
      <c r="L206" s="8"/>
      <c r="M206" s="17">
        <f>MAX(1,NETWORKDAYS(A206,L206,Table2[Dias no laborales]))</f>
        <v>1</v>
      </c>
    </row>
    <row r="207" spans="1:13" hidden="1" x14ac:dyDescent="0.3">
      <c r="A207" s="8">
        <v>45795</v>
      </c>
      <c r="B207" s="6" t="s">
        <v>987</v>
      </c>
      <c r="C207" s="6" t="s">
        <v>988</v>
      </c>
      <c r="D207" s="6" t="s">
        <v>989</v>
      </c>
      <c r="E207" s="14">
        <v>45707.550694444442</v>
      </c>
      <c r="F207" s="8">
        <f>IF(HOUR(Table1[[#This Row],[CORREO]])&gt;=11,WORKDAY(Table1[[#This Row],[CORREO]],1,Table2[Dias no laborales]),E207)</f>
        <v>45708</v>
      </c>
      <c r="G207" s="4">
        <v>45796</v>
      </c>
      <c r="H207" s="6">
        <f t="shared" si="6"/>
        <v>20</v>
      </c>
      <c r="I207" s="16">
        <f>MAX(1, NETWORKDAYS(A207, G207,Table2[Dias no laborales]))</f>
        <v>1</v>
      </c>
      <c r="J207" s="6" t="str">
        <f>IF(Table1[[#This Row],[FIN]]="","Acumulado",IF(ISNUMBER(SEARCH("ASAP",C207)),"ASAP",IF(NETWORKDAYS.INTL(F207,G207,1,Table2[Dias no laborales]) &lt;= 7, "Dentro", IF(A207&gt;F207,"Programado","Fuera"))))</f>
        <v>Programado</v>
      </c>
      <c r="K207" s="6" t="str">
        <f t="shared" si="7"/>
        <v>Programados</v>
      </c>
      <c r="L207" s="9">
        <v>45708</v>
      </c>
      <c r="M207" s="17">
        <f>MAX(1,NETWORKDAYS(A207,L207,Table2[Dias no laborales]))</f>
        <v>1</v>
      </c>
    </row>
    <row r="208" spans="1:13" hidden="1" x14ac:dyDescent="0.3">
      <c r="A208" s="8">
        <v>45708</v>
      </c>
      <c r="B208" s="6" t="s">
        <v>386</v>
      </c>
      <c r="C208" s="6" t="s">
        <v>387</v>
      </c>
      <c r="D208" s="6" t="s">
        <v>27</v>
      </c>
      <c r="E208" s="14">
        <v>45707.568749999999</v>
      </c>
      <c r="F208" s="8">
        <f>IF(HOUR(Table1[[#This Row],[CORREO]])&gt;=11,WORKDAY(Table1[[#This Row],[CORREO]],1,Table2[Dias no laborales]),E208)</f>
        <v>45708</v>
      </c>
      <c r="G208" s="4">
        <v>45708</v>
      </c>
      <c r="H208" s="6">
        <f t="shared" si="6"/>
        <v>8</v>
      </c>
      <c r="I208" s="16">
        <f>MAX(1, NETWORKDAYS(A208, G208,Table2[Dias no laborales]))</f>
        <v>1</v>
      </c>
      <c r="J208" s="6" t="str">
        <f>IF(Table1[[#This Row],[FIN]]="","Acumulado",IF(ISNUMBER(SEARCH("ASAP",C208)),"ASAP",IF(NETWORKDAYS.INTL(F208,G208,1,Table2[Dias no laborales]) &lt;= 7, "Dentro", IF(A208&gt;F208,"Programado","Fuera"))))</f>
        <v>Dentro</v>
      </c>
      <c r="K208" s="6" t="str">
        <f t="shared" si="7"/>
        <v>A tiempo</v>
      </c>
      <c r="L208" s="8"/>
      <c r="M208" s="17">
        <f>MAX(1,NETWORKDAYS(A208,L208,Table2[Dias no laborales]))</f>
        <v>1</v>
      </c>
    </row>
    <row r="209" spans="1:13" hidden="1" x14ac:dyDescent="0.3">
      <c r="A209" s="8">
        <v>45740</v>
      </c>
      <c r="B209" s="6" t="s">
        <v>1221</v>
      </c>
      <c r="C209" s="6" t="s">
        <v>1222</v>
      </c>
      <c r="D209" s="6" t="s">
        <v>24</v>
      </c>
      <c r="E209" s="14">
        <v>45707.754861111112</v>
      </c>
      <c r="F209" s="8">
        <f>IF(HOUR(Table1[[#This Row],[CORREO]])&gt;=11,WORKDAY(Table1[[#This Row],[CORREO]],1,Table2[Dias no laborales]),E209)</f>
        <v>45708</v>
      </c>
      <c r="G209" s="4">
        <v>45792</v>
      </c>
      <c r="H209" s="6">
        <f t="shared" si="6"/>
        <v>12</v>
      </c>
      <c r="I209" s="16">
        <f>MAX(1, NETWORKDAYS(A209, G209,Table2[Dias no laborales]))</f>
        <v>39</v>
      </c>
      <c r="J209" s="6" t="str">
        <f>IF(Table1[[#This Row],[FIN]]="","Acumulado",IF(ISNUMBER(SEARCH("ASAP",C209)),"ASAP",IF(NETWORKDAYS.INTL(F209,G209,1,Table2[Dias no laborales]) &lt;= 7, "Dentro", IF(A209&gt;F209,"Programado","Fuera"))))</f>
        <v>Programado</v>
      </c>
      <c r="K209" s="6" t="str">
        <f t="shared" si="7"/>
        <v>Programados</v>
      </c>
      <c r="L209" s="9">
        <v>45708</v>
      </c>
      <c r="M209" s="17">
        <f>MAX(1,NETWORKDAYS(A209,L209,Table2[Dias no laborales]))</f>
        <v>1</v>
      </c>
    </row>
    <row r="210" spans="1:13" hidden="1" x14ac:dyDescent="0.3">
      <c r="A210" s="8">
        <v>45729</v>
      </c>
      <c r="B210" s="5" t="s">
        <v>1223</v>
      </c>
      <c r="C210" s="5" t="s">
        <v>1224</v>
      </c>
      <c r="D210" s="5" t="s">
        <v>848</v>
      </c>
      <c r="E210" s="14">
        <v>45707.944444444445</v>
      </c>
      <c r="F210" s="8">
        <f>IF(HOUR(Table1[[#This Row],[CORREO]])&gt;=11,WORKDAY(Table1[[#This Row],[CORREO]],1,Table2[Dias no laborales]),E210)</f>
        <v>45708</v>
      </c>
      <c r="G210" s="15">
        <v>45804</v>
      </c>
      <c r="H210" s="6">
        <f t="shared" si="6"/>
        <v>11</v>
      </c>
      <c r="I210" s="16">
        <f>MAX(1, NETWORKDAYS(A210, G210,Table2[Dias no laborales]))</f>
        <v>54</v>
      </c>
      <c r="J210" s="6" t="str">
        <f>IF(Table1[[#This Row],[FIN]]="","Acumulado",IF(ISNUMBER(SEARCH("ASAP",C210)),"ASAP",IF(NETWORKDAYS.INTL(F210,G210,1,Table2[Dias no laborales]) &lt;= 7, "Dentro", IF(A210&gt;F210,"Programado","Fuera"))))</f>
        <v>Programado</v>
      </c>
      <c r="K210" s="6" t="str">
        <f t="shared" si="7"/>
        <v>Programados</v>
      </c>
      <c r="L210" s="9">
        <v>45748</v>
      </c>
      <c r="M210" s="17">
        <f>MAX(1,NETWORKDAYS(A210,L210,Table2[Dias no laborales]))</f>
        <v>14</v>
      </c>
    </row>
    <row r="211" spans="1:13" hidden="1" x14ac:dyDescent="0.3">
      <c r="A211" s="8">
        <v>45708</v>
      </c>
      <c r="B211" s="6" t="s">
        <v>404</v>
      </c>
      <c r="C211" s="6" t="s">
        <v>405</v>
      </c>
      <c r="D211" s="6" t="s">
        <v>406</v>
      </c>
      <c r="E211" s="14">
        <v>45708.396527777775</v>
      </c>
      <c r="F211" s="8">
        <f>IF(HOUR(Table1[[#This Row],[CORREO]])&gt;=11,WORKDAY(Table1[[#This Row],[CORREO]],1,Table2[Dias no laborales]),E211)</f>
        <v>45708.396527777775</v>
      </c>
      <c r="G211" s="4">
        <v>45709</v>
      </c>
      <c r="H211" s="6">
        <f t="shared" si="6"/>
        <v>8</v>
      </c>
      <c r="I211" s="16">
        <f>MAX(1, NETWORKDAYS(A211, G211,Table2[Dias no laborales]))</f>
        <v>2</v>
      </c>
      <c r="J211" s="6" t="str">
        <f>IF(Table1[[#This Row],[FIN]]="","Acumulado",IF(ISNUMBER(SEARCH("ASAP",C211)),"ASAP",IF(NETWORKDAYS.INTL(F211,G211,1,Table2[Dias no laborales]) &lt;= 7, "Dentro", IF(A211&gt;F211,"Programado","Fuera"))))</f>
        <v>Dentro</v>
      </c>
      <c r="K211" s="6" t="str">
        <f t="shared" si="7"/>
        <v>A tiempo</v>
      </c>
      <c r="L211" s="8"/>
      <c r="M211" s="17">
        <f>MAX(1,NETWORKDAYS(A211,L211,Table2[Dias no laborales]))</f>
        <v>1</v>
      </c>
    </row>
    <row r="212" spans="1:13" hidden="1" x14ac:dyDescent="0.3">
      <c r="A212" s="8">
        <v>45708</v>
      </c>
      <c r="B212" s="6" t="s">
        <v>511</v>
      </c>
      <c r="C212" s="6" t="s">
        <v>512</v>
      </c>
      <c r="D212" s="6" t="s">
        <v>162</v>
      </c>
      <c r="E212" s="14">
        <v>45708.420138888891</v>
      </c>
      <c r="F212" s="8">
        <f>IF(HOUR(Table1[[#This Row],[CORREO]])&gt;=11,WORKDAY(Table1[[#This Row],[CORREO]],1,Table2[Dias no laborales]),E212)</f>
        <v>45708.420138888891</v>
      </c>
      <c r="G212" s="4">
        <v>45722</v>
      </c>
      <c r="H212" s="6">
        <f t="shared" si="6"/>
        <v>8</v>
      </c>
      <c r="I212" s="16">
        <f>MAX(1, NETWORKDAYS(A212, G212,Table2[Dias no laborales]))</f>
        <v>11</v>
      </c>
      <c r="J212" s="6" t="str">
        <f>IF(Table1[[#This Row],[FIN]]="","Acumulado",IF(ISNUMBER(SEARCH("ASAP",C212)),"ASAP",IF(NETWORKDAYS.INTL(F212,G212,1,Table2[Dias no laborales]) &lt;= 7, "Dentro", IF(A212&gt;F212,"Programado","Fuera"))))</f>
        <v>Fuera</v>
      </c>
      <c r="K212" s="6" t="str">
        <f t="shared" si="7"/>
        <v>A tiempo</v>
      </c>
      <c r="L212" s="8"/>
      <c r="M212" s="17">
        <f>MAX(1,NETWORKDAYS(A212,L212,Table2[Dias no laborales]))</f>
        <v>1</v>
      </c>
    </row>
    <row r="213" spans="1:13" hidden="1" x14ac:dyDescent="0.3">
      <c r="A213" s="8">
        <v>45709</v>
      </c>
      <c r="B213" s="6" t="s">
        <v>705</v>
      </c>
      <c r="C213" s="6" t="s">
        <v>706</v>
      </c>
      <c r="D213" s="6" t="s">
        <v>707</v>
      </c>
      <c r="E213" s="14">
        <v>45708.427083333336</v>
      </c>
      <c r="F213" s="8">
        <f>IF(HOUR(Table1[[#This Row],[CORREO]])&gt;=11,WORKDAY(Table1[[#This Row],[CORREO]],1,Table2[Dias no laborales]),E213)</f>
        <v>45708.427083333336</v>
      </c>
      <c r="G213" s="4">
        <v>45749</v>
      </c>
      <c r="H213" s="6">
        <f t="shared" si="6"/>
        <v>8</v>
      </c>
      <c r="I213" s="16">
        <f>MAX(1, NETWORKDAYS(A213, G213,Table2[Dias no laborales]))</f>
        <v>29</v>
      </c>
      <c r="J213" s="6" t="str">
        <f>IF(Table1[[#This Row],[FIN]]="","Acumulado",IF(ISNUMBER(SEARCH("ASAP",C213)),"ASAP",IF(NETWORKDAYS.INTL(F213,G213,1,Table2[Dias no laborales]) &lt;= 7, "Dentro", IF(A213&gt;F213,"Programado","Fuera"))))</f>
        <v>Programado</v>
      </c>
      <c r="K213" s="6" t="str">
        <f t="shared" si="7"/>
        <v>Programados</v>
      </c>
      <c r="L213" s="8"/>
      <c r="M213" s="17">
        <f>MAX(1,NETWORKDAYS(A213,L213,Table2[Dias no laborales]))</f>
        <v>1</v>
      </c>
    </row>
    <row r="214" spans="1:13" hidden="1" x14ac:dyDescent="0.3">
      <c r="A214" s="8">
        <v>45708</v>
      </c>
      <c r="B214" s="6" t="s">
        <v>417</v>
      </c>
      <c r="C214" s="6" t="s">
        <v>418</v>
      </c>
      <c r="D214" s="6" t="s">
        <v>15</v>
      </c>
      <c r="E214" s="14">
        <v>45708.451388888891</v>
      </c>
      <c r="F214" s="8">
        <f>IF(HOUR(Table1[[#This Row],[CORREO]])&gt;=11,WORKDAY(Table1[[#This Row],[CORREO]],1,Table2[Dias no laborales]),E214)</f>
        <v>45708.451388888891</v>
      </c>
      <c r="G214" s="4">
        <v>45714</v>
      </c>
      <c r="H214" s="6">
        <f t="shared" si="6"/>
        <v>8</v>
      </c>
      <c r="I214" s="16">
        <f>MAX(1, NETWORKDAYS(A214, G214,Table2[Dias no laborales]))</f>
        <v>5</v>
      </c>
      <c r="J214" s="6" t="str">
        <f>IF(Table1[[#This Row],[FIN]]="","Acumulado",IF(ISNUMBER(SEARCH("ASAP",C214)),"ASAP",IF(NETWORKDAYS.INTL(F214,G214,1,Table2[Dias no laborales]) &lt;= 7, "Dentro", IF(A214&gt;F214,"Programado","Fuera"))))</f>
        <v>Dentro</v>
      </c>
      <c r="K214" s="6" t="str">
        <f t="shared" si="7"/>
        <v>A tiempo</v>
      </c>
      <c r="L214" s="8"/>
      <c r="M214" s="17">
        <f>MAX(1,NETWORKDAYS(A214,L214,Table2[Dias no laborales]))</f>
        <v>1</v>
      </c>
    </row>
    <row r="215" spans="1:13" hidden="1" x14ac:dyDescent="0.3">
      <c r="A215" s="8">
        <v>45709</v>
      </c>
      <c r="B215" s="6" t="s">
        <v>455</v>
      </c>
      <c r="C215" s="6" t="s">
        <v>456</v>
      </c>
      <c r="D215" s="6" t="s">
        <v>139</v>
      </c>
      <c r="E215" s="14">
        <v>45708.521527777775</v>
      </c>
      <c r="F215" s="8">
        <f>IF(HOUR(Table1[[#This Row],[CORREO]])&gt;=11,WORKDAY(Table1[[#This Row],[CORREO]],1,Table2[Dias no laborales]),E215)</f>
        <v>45709</v>
      </c>
      <c r="G215" s="4">
        <v>45716</v>
      </c>
      <c r="H215" s="6">
        <f t="shared" si="6"/>
        <v>8</v>
      </c>
      <c r="I215" s="16">
        <f>MAX(1, NETWORKDAYS(A215, G215,Table2[Dias no laborales]))</f>
        <v>6</v>
      </c>
      <c r="J215" s="6" t="str">
        <f>IF(Table1[[#This Row],[FIN]]="","Acumulado",IF(ISNUMBER(SEARCH("ASAP",C215)),"ASAP",IF(NETWORKDAYS.INTL(F215,G215,1,Table2[Dias no laborales]) &lt;= 7, "Dentro", IF(A215&gt;F215,"Programado","Fuera"))))</f>
        <v>Dentro</v>
      </c>
      <c r="K215" s="6" t="str">
        <f t="shared" si="7"/>
        <v>A tiempo</v>
      </c>
      <c r="L215" s="8"/>
      <c r="M215" s="17">
        <f>MAX(1,NETWORKDAYS(A215,L215,Table2[Dias no laborales]))</f>
        <v>1</v>
      </c>
    </row>
    <row r="216" spans="1:13" hidden="1" x14ac:dyDescent="0.3">
      <c r="A216" s="8">
        <v>45709</v>
      </c>
      <c r="B216" s="6" t="s">
        <v>447</v>
      </c>
      <c r="C216" s="6" t="s">
        <v>448</v>
      </c>
      <c r="D216" s="6" t="s">
        <v>449</v>
      </c>
      <c r="E216" s="14">
        <v>45708.72152777778</v>
      </c>
      <c r="F216" s="8">
        <f>IF(HOUR(Table1[[#This Row],[CORREO]])&gt;=11,WORKDAY(Table1[[#This Row],[CORREO]],1,Table2[Dias no laborales]),E216)</f>
        <v>45709</v>
      </c>
      <c r="G216" s="4">
        <v>45714</v>
      </c>
      <c r="H216" s="6">
        <f t="shared" si="6"/>
        <v>8</v>
      </c>
      <c r="I216" s="16">
        <f>MAX(1, NETWORKDAYS(A216, G216,Table2[Dias no laborales]))</f>
        <v>4</v>
      </c>
      <c r="J216" s="6" t="str">
        <f>IF(Table1[[#This Row],[FIN]]="","Acumulado",IF(ISNUMBER(SEARCH("ASAP",C216)),"ASAP",IF(NETWORKDAYS.INTL(F216,G216,1,Table2[Dias no laborales]) &lt;= 7, "Dentro", IF(A216&gt;F216,"Programado","Fuera"))))</f>
        <v>Dentro</v>
      </c>
      <c r="K216" s="6" t="str">
        <f t="shared" si="7"/>
        <v>A tiempo</v>
      </c>
      <c r="L216" s="8"/>
      <c r="M216" s="17">
        <f>MAX(1,NETWORKDAYS(A216,L216,Table2[Dias no laborales]))</f>
        <v>1</v>
      </c>
    </row>
    <row r="217" spans="1:13" hidden="1" x14ac:dyDescent="0.3">
      <c r="A217" s="8">
        <v>45709</v>
      </c>
      <c r="B217" s="6" t="s">
        <v>393</v>
      </c>
      <c r="C217" s="6" t="s">
        <v>394</v>
      </c>
      <c r="D217" s="6" t="s">
        <v>27</v>
      </c>
      <c r="E217" s="14">
        <v>45708.749305555553</v>
      </c>
      <c r="F217" s="8">
        <f>IF(HOUR(Table1[[#This Row],[CORREO]])&gt;=11,WORKDAY(Table1[[#This Row],[CORREO]],1,Table2[Dias no laborales]),E217)</f>
        <v>45709</v>
      </c>
      <c r="G217" s="4">
        <v>45709</v>
      </c>
      <c r="H217" s="6">
        <f t="shared" si="6"/>
        <v>8</v>
      </c>
      <c r="I217" s="16">
        <f>MAX(1, NETWORKDAYS(A217, G217,Table2[Dias no laborales]))</f>
        <v>1</v>
      </c>
      <c r="J217" s="6" t="str">
        <f>IF(Table1[[#This Row],[FIN]]="","Acumulado",IF(ISNUMBER(SEARCH("ASAP",C217)),"ASAP",IF(NETWORKDAYS.INTL(F217,G217,1,Table2[Dias no laborales]) &lt;= 7, "Dentro", IF(A217&gt;F217,"Programado","Fuera"))))</f>
        <v>Dentro</v>
      </c>
      <c r="K217" s="6" t="str">
        <f t="shared" si="7"/>
        <v>A tiempo</v>
      </c>
      <c r="L217" s="8"/>
      <c r="M217" s="17">
        <f>MAX(1,NETWORKDAYS(A217,L217,Table2[Dias no laborales]))</f>
        <v>1</v>
      </c>
    </row>
    <row r="218" spans="1:13" hidden="1" x14ac:dyDescent="0.3">
      <c r="A218" s="8">
        <v>45709</v>
      </c>
      <c r="B218" s="6" t="s">
        <v>412</v>
      </c>
      <c r="C218" s="6" t="s">
        <v>413</v>
      </c>
      <c r="D218" s="6" t="s">
        <v>414</v>
      </c>
      <c r="E218" s="14">
        <v>45709.388194444444</v>
      </c>
      <c r="F218" s="8">
        <f>IF(HOUR(Table1[[#This Row],[CORREO]])&gt;=11,WORKDAY(Table1[[#This Row],[CORREO]],1,Table2[Dias no laborales]),E218)</f>
        <v>45709.388194444444</v>
      </c>
      <c r="G218" s="4">
        <v>45714</v>
      </c>
      <c r="H218" s="6">
        <f t="shared" si="6"/>
        <v>8</v>
      </c>
      <c r="I218" s="16">
        <f>MAX(1, NETWORKDAYS(A218, G218,Table2[Dias no laborales]))</f>
        <v>4</v>
      </c>
      <c r="J218" s="6" t="str">
        <f>IF(Table1[[#This Row],[FIN]]="","Acumulado",IF(ISNUMBER(SEARCH("ASAP",C218)),"ASAP",IF(NETWORKDAYS.INTL(F218,G218,1,Table2[Dias no laborales]) &lt;= 7, "Dentro", IF(A218&gt;F218,"Programado","Fuera"))))</f>
        <v>Dentro</v>
      </c>
      <c r="K218" s="6" t="str">
        <f t="shared" si="7"/>
        <v>A tiempo</v>
      </c>
      <c r="L218" s="8"/>
      <c r="M218" s="17">
        <f>MAX(1,NETWORKDAYS(A218,L218,Table2[Dias no laborales]))</f>
        <v>1</v>
      </c>
    </row>
    <row r="219" spans="1:13" hidden="1" x14ac:dyDescent="0.3">
      <c r="A219" s="12">
        <v>45709</v>
      </c>
      <c r="B219" s="6" t="s">
        <v>415</v>
      </c>
      <c r="C219" s="6" t="s">
        <v>416</v>
      </c>
      <c r="D219" s="6" t="s">
        <v>24</v>
      </c>
      <c r="E219" s="14">
        <v>45709.317361111112</v>
      </c>
      <c r="F219" s="12">
        <f>IF(HOUR(Table1[[#This Row],[CORREO]])&gt;=11,WORKDAY(Table1[[#This Row],[CORREO]],1,Table2[Dias no laborales]),E219)</f>
        <v>45709.317361111112</v>
      </c>
      <c r="G219" s="4">
        <v>45714</v>
      </c>
      <c r="H219" s="16">
        <f t="shared" si="6"/>
        <v>8</v>
      </c>
      <c r="I219" s="16">
        <f>MAX(1, NETWORKDAYS(A219, G219,Table2[Dias no laborales]))</f>
        <v>4</v>
      </c>
      <c r="J219" s="6" t="str">
        <f>IF(Table1[[#This Row],[FIN]]="","Acumulado",IF(ISNUMBER(SEARCH("ASAP",C219)),"ASAP",IF(NETWORKDAYS.INTL(F219,G219,1,Table2[Dias no laborales]) &lt;= 7, "Dentro", IF(A219&gt;F219,"Programado","Fuera"))))</f>
        <v>Dentro</v>
      </c>
      <c r="K219" s="16" t="str">
        <f t="shared" si="7"/>
        <v>A tiempo</v>
      </c>
      <c r="L219" s="12"/>
      <c r="M219" s="18">
        <f>MAX(1,NETWORKDAYS(A219,L219,Table2[Dias no laborales]))</f>
        <v>1</v>
      </c>
    </row>
    <row r="220" spans="1:13" hidden="1" x14ac:dyDescent="0.3">
      <c r="A220" s="8">
        <v>45709</v>
      </c>
      <c r="B220" s="6" t="s">
        <v>551</v>
      </c>
      <c r="C220" s="6" t="s">
        <v>552</v>
      </c>
      <c r="D220" s="6" t="s">
        <v>24</v>
      </c>
      <c r="E220" s="14">
        <v>45709.456944444442</v>
      </c>
      <c r="F220" s="8">
        <f>IF(HOUR(Table1[[#This Row],[CORREO]])&gt;=11,WORKDAY(Table1[[#This Row],[CORREO]],1,Table2[Dias no laborales]),E220)</f>
        <v>45709.456944444442</v>
      </c>
      <c r="G220" s="8">
        <v>45727</v>
      </c>
      <c r="H220" s="6">
        <f t="shared" si="6"/>
        <v>8</v>
      </c>
      <c r="I220" s="16">
        <f>MAX(1, NETWORKDAYS(A220, G220,Table2[Dias no laborales]))</f>
        <v>13</v>
      </c>
      <c r="J220" s="6" t="str">
        <f>IF(Table1[[#This Row],[FIN]]="","Acumulado",IF(ISNUMBER(SEARCH("ASAP",C220)),"ASAP",IF(NETWORKDAYS.INTL(F220,G220,1,Table2[Dias no laborales]) &lt;= 7, "Dentro", IF(A220&gt;F220,"Programado","Fuera"))))</f>
        <v>Fuera</v>
      </c>
      <c r="K220" s="6" t="str">
        <f t="shared" si="7"/>
        <v>A tiempo</v>
      </c>
      <c r="L220" s="8"/>
      <c r="M220" s="17">
        <f>MAX(1,NETWORKDAYS(A220,L220,Table2[Dias no laborales]))</f>
        <v>1</v>
      </c>
    </row>
    <row r="221" spans="1:13" hidden="1" x14ac:dyDescent="0.3">
      <c r="A221" s="8">
        <v>45712</v>
      </c>
      <c r="B221" s="6" t="s">
        <v>450</v>
      </c>
      <c r="C221" s="6" t="s">
        <v>451</v>
      </c>
      <c r="D221" s="6" t="s">
        <v>61</v>
      </c>
      <c r="E221" s="14">
        <v>45709.523611111108</v>
      </c>
      <c r="F221" s="8">
        <f>IF(HOUR(Table1[[#This Row],[CORREO]])&gt;=11,WORKDAY(Table1[[#This Row],[CORREO]],1,Table2[Dias no laborales]),E221)</f>
        <v>45712</v>
      </c>
      <c r="G221" s="8">
        <v>45715</v>
      </c>
      <c r="H221" s="6">
        <f t="shared" si="6"/>
        <v>8</v>
      </c>
      <c r="I221" s="16">
        <f>MAX(1, NETWORKDAYS(A221, G221,Table2[Dias no laborales]))</f>
        <v>4</v>
      </c>
      <c r="J221" s="6" t="str">
        <f>IF(Table1[[#This Row],[FIN]]="","Acumulado",IF(ISNUMBER(SEARCH("ASAP",C221)),"ASAP",IF(NETWORKDAYS.INTL(F221,G221,1,Table2[Dias no laborales]) &lt;= 7, "Dentro", IF(A221&gt;F221,"Programado","Fuera"))))</f>
        <v>Dentro</v>
      </c>
      <c r="K221" s="6" t="str">
        <f t="shared" si="7"/>
        <v>A tiempo</v>
      </c>
      <c r="L221" s="8"/>
      <c r="M221" s="17">
        <f>MAX(1,NETWORKDAYS(A221,L221,Table2[Dias no laborales]))</f>
        <v>1</v>
      </c>
    </row>
    <row r="222" spans="1:13" hidden="1" x14ac:dyDescent="0.3">
      <c r="A222" s="8">
        <v>45712</v>
      </c>
      <c r="B222" s="6" t="s">
        <v>469</v>
      </c>
      <c r="C222" s="6" t="s">
        <v>470</v>
      </c>
      <c r="D222" s="6" t="s">
        <v>24</v>
      </c>
      <c r="E222" s="14"/>
      <c r="F222" s="8">
        <f>IF(HOUR(Table1[[#This Row],[CORREO]])&gt;=11,WORKDAY(Table1[[#This Row],[CORREO]],1,Table2[Dias no laborales]),E222)</f>
        <v>0</v>
      </c>
      <c r="G222" s="8">
        <v>45716</v>
      </c>
      <c r="H222" s="6">
        <f t="shared" si="6"/>
        <v>8</v>
      </c>
      <c r="I222" s="16">
        <f>MAX(1, NETWORKDAYS(A222, G222,Table2[Dias no laborales]))</f>
        <v>5</v>
      </c>
      <c r="J222" s="6" t="str">
        <f>IF(Table1[[#This Row],[FIN]]="","Acumulado",IF(ISNUMBER(SEARCH("ASAP",C222)),"ASAP",IF(NETWORKDAYS.INTL(F222,G222,1,Table2[Dias no laborales]) &lt;= 7, "Dentro", IF(A222&gt;F222,"Programado","Fuera"))))</f>
        <v>Programado</v>
      </c>
      <c r="K222" s="6" t="str">
        <f t="shared" si="7"/>
        <v>Programados</v>
      </c>
      <c r="L222" s="8"/>
      <c r="M222" s="17">
        <f>MAX(1,NETWORKDAYS(A222,L222,Table2[Dias no laborales]))</f>
        <v>1</v>
      </c>
    </row>
    <row r="223" spans="1:13" hidden="1" x14ac:dyDescent="0.3">
      <c r="A223" s="8">
        <v>45712</v>
      </c>
      <c r="B223" s="6" t="s">
        <v>426</v>
      </c>
      <c r="C223" s="6" t="s">
        <v>196</v>
      </c>
      <c r="D223" s="6" t="s">
        <v>27</v>
      </c>
      <c r="E223" s="14"/>
      <c r="F223" s="8">
        <f>IF(HOUR(Table1[[#This Row],[CORREO]])&gt;=11,WORKDAY(Table1[[#This Row],[CORREO]],1,Table2[Dias no laborales]),E223)</f>
        <v>0</v>
      </c>
      <c r="G223" s="8">
        <v>45714</v>
      </c>
      <c r="H223" s="6">
        <f t="shared" si="6"/>
        <v>8</v>
      </c>
      <c r="I223" s="16">
        <f>MAX(1, NETWORKDAYS(A223, G223,Table2[Dias no laborales]))</f>
        <v>3</v>
      </c>
      <c r="J223" s="6" t="str">
        <f>IF(Table1[[#This Row],[FIN]]="","Acumulado",IF(ISNUMBER(SEARCH("ASAP",C223)),"ASAP",IF(NETWORKDAYS.INTL(F223,G223,1,Table2[Dias no laborales]) &lt;= 7, "Dentro", IF(A223&gt;F223,"Programado","Fuera"))))</f>
        <v>Programado</v>
      </c>
      <c r="K223" s="6" t="str">
        <f t="shared" si="7"/>
        <v>Programados</v>
      </c>
      <c r="L223" s="8"/>
      <c r="M223" s="17">
        <f>MAX(1,NETWORKDAYS(A223,L223,Table2[Dias no laborales]))</f>
        <v>1</v>
      </c>
    </row>
    <row r="224" spans="1:13" hidden="1" x14ac:dyDescent="0.3">
      <c r="A224" s="8">
        <v>45712</v>
      </c>
      <c r="B224" s="6" t="s">
        <v>408</v>
      </c>
      <c r="C224" s="6" t="s">
        <v>305</v>
      </c>
      <c r="D224" s="6" t="s">
        <v>151</v>
      </c>
      <c r="E224" s="14">
        <v>45712.323611111111</v>
      </c>
      <c r="F224" s="8">
        <f>IF(HOUR(Table1[[#This Row],[CORREO]])&gt;=11,WORKDAY(Table1[[#This Row],[CORREO]],1,Table2[Dias no laborales]),E224)</f>
        <v>45712.323611111111</v>
      </c>
      <c r="G224" s="8">
        <v>45714</v>
      </c>
      <c r="H224" s="6">
        <f t="shared" si="6"/>
        <v>8</v>
      </c>
      <c r="I224" s="16">
        <f>MAX(1, NETWORKDAYS(A224, G224,Table2[Dias no laborales]))</f>
        <v>3</v>
      </c>
      <c r="J224" s="6" t="str">
        <f>IF(Table1[[#This Row],[FIN]]="","Acumulado",IF(ISNUMBER(SEARCH("ASAP",C224)),"ASAP",IF(NETWORKDAYS.INTL(F224,G224,1,Table2[Dias no laborales]) &lt;= 7, "Dentro", IF(A224&gt;F224,"Programado","Fuera"))))</f>
        <v>Dentro</v>
      </c>
      <c r="K224" s="6" t="str">
        <f t="shared" si="7"/>
        <v>A tiempo</v>
      </c>
      <c r="L224" s="8"/>
      <c r="M224" s="17">
        <f>MAX(1,NETWORKDAYS(A224,L224,Table2[Dias no laborales]))</f>
        <v>1</v>
      </c>
    </row>
    <row r="225" spans="1:13" hidden="1" x14ac:dyDescent="0.3">
      <c r="A225" s="8">
        <v>45712</v>
      </c>
      <c r="B225" s="6" t="s">
        <v>424</v>
      </c>
      <c r="C225" s="6" t="s">
        <v>425</v>
      </c>
      <c r="D225" s="6" t="s">
        <v>308</v>
      </c>
      <c r="E225" s="14">
        <v>45712.382638888892</v>
      </c>
      <c r="F225" s="8">
        <f>IF(HOUR(Table1[[#This Row],[CORREO]])&gt;=11,WORKDAY(Table1[[#This Row],[CORREO]],1,Table2[Dias no laborales]),E225)</f>
        <v>45712.382638888892</v>
      </c>
      <c r="G225" s="8">
        <v>45714</v>
      </c>
      <c r="H225" s="6">
        <f t="shared" si="6"/>
        <v>8</v>
      </c>
      <c r="I225" s="16">
        <f>MAX(1, NETWORKDAYS(A225, G225,Table2[Dias no laborales]))</f>
        <v>3</v>
      </c>
      <c r="J225" s="6" t="str">
        <f>IF(Table1[[#This Row],[FIN]]="","Acumulado",IF(ISNUMBER(SEARCH("ASAP",C225)),"ASAP",IF(NETWORKDAYS.INTL(F225,G225,1,Table2[Dias no laborales]) &lt;= 7, "Dentro", IF(A225&gt;F225,"Programado","Fuera"))))</f>
        <v>Dentro</v>
      </c>
      <c r="K225" s="6" t="str">
        <f t="shared" si="7"/>
        <v>A tiempo</v>
      </c>
      <c r="L225" s="8"/>
      <c r="M225" s="17">
        <f>MAX(1,NETWORKDAYS(A225,L225,Table2[Dias no laborales]))</f>
        <v>1</v>
      </c>
    </row>
    <row r="226" spans="1:13" hidden="1" x14ac:dyDescent="0.3">
      <c r="A226" s="8">
        <v>45712</v>
      </c>
      <c r="B226" s="6" t="s">
        <v>419</v>
      </c>
      <c r="C226" s="6" t="s">
        <v>420</v>
      </c>
      <c r="D226" s="6" t="s">
        <v>27</v>
      </c>
      <c r="E226" s="14">
        <v>45712.435416666667</v>
      </c>
      <c r="F226" s="8">
        <f>IF(HOUR(Table1[[#This Row],[CORREO]])&gt;=11,WORKDAY(Table1[[#This Row],[CORREO]],1,Table2[Dias no laborales]),E226)</f>
        <v>45712.435416666667</v>
      </c>
      <c r="G226" s="8">
        <v>45712</v>
      </c>
      <c r="H226" s="6">
        <f t="shared" si="6"/>
        <v>8</v>
      </c>
      <c r="I226" s="16">
        <f>MAX(1, NETWORKDAYS(A226, G226,Table2[Dias no laborales]))</f>
        <v>1</v>
      </c>
      <c r="J226" s="6" t="str">
        <f>IF(Table1[[#This Row],[FIN]]="","Acumulado",IF(ISNUMBER(SEARCH("ASAP",C226)),"ASAP",IF(NETWORKDAYS.INTL(F226,G226,1,Table2[Dias no laborales]) &lt;= 7, "Dentro", IF(A226&gt;F226,"Programado","Fuera"))))</f>
        <v>Dentro</v>
      </c>
      <c r="K226" s="6" t="str">
        <f t="shared" si="7"/>
        <v>A tiempo</v>
      </c>
      <c r="L226" s="8"/>
      <c r="M226" s="17">
        <f>MAX(1,NETWORKDAYS(A226,L226,Table2[Dias no laborales]))</f>
        <v>1</v>
      </c>
    </row>
    <row r="227" spans="1:13" hidden="1" x14ac:dyDescent="0.3">
      <c r="A227" s="8">
        <v>45712</v>
      </c>
      <c r="B227" s="6" t="s">
        <v>557</v>
      </c>
      <c r="C227" s="6" t="s">
        <v>558</v>
      </c>
      <c r="D227" s="6" t="s">
        <v>24</v>
      </c>
      <c r="E227" s="14">
        <v>45712.454861111109</v>
      </c>
      <c r="F227" s="8">
        <f>IF(HOUR(Table1[[#This Row],[CORREO]])&gt;=11,WORKDAY(Table1[[#This Row],[CORREO]],1,Table2[Dias no laborales]),E227)</f>
        <v>45712.454861111109</v>
      </c>
      <c r="G227" s="8">
        <v>45727</v>
      </c>
      <c r="H227" s="6">
        <f t="shared" si="6"/>
        <v>8</v>
      </c>
      <c r="I227" s="16">
        <f>MAX(1, NETWORKDAYS(A227, G227,Table2[Dias no laborales]))</f>
        <v>12</v>
      </c>
      <c r="J227" s="6" t="str">
        <f>IF(Table1[[#This Row],[FIN]]="","Acumulado",IF(ISNUMBER(SEARCH("ASAP",C227)),"ASAP",IF(NETWORKDAYS.INTL(F227,G227,1,Table2[Dias no laborales]) &lt;= 7, "Dentro", IF(A227&gt;F227,"Programado","Fuera"))))</f>
        <v>Fuera</v>
      </c>
      <c r="K227" s="6" t="str">
        <f t="shared" si="7"/>
        <v>A tiempo</v>
      </c>
      <c r="L227" s="8"/>
      <c r="M227" s="17">
        <f>MAX(1,NETWORKDAYS(A227,L227,Table2[Dias no laborales]))</f>
        <v>1</v>
      </c>
    </row>
    <row r="228" spans="1:13" hidden="1" x14ac:dyDescent="0.3">
      <c r="A228" s="8">
        <v>45713</v>
      </c>
      <c r="B228" s="8" t="s">
        <v>437</v>
      </c>
      <c r="C228" s="6" t="s">
        <v>438</v>
      </c>
      <c r="D228" s="6" t="s">
        <v>27</v>
      </c>
      <c r="E228" s="14">
        <v>45713.306944444441</v>
      </c>
      <c r="F228" s="8">
        <f>IF(HOUR(Table1[[#This Row],[CORREO]])&gt;=11,WORKDAY(Table1[[#This Row],[CORREO]],1,Table2[Dias no laborales]),E228)</f>
        <v>45713.306944444441</v>
      </c>
      <c r="G228" s="8">
        <v>45714</v>
      </c>
      <c r="H228" s="6">
        <f t="shared" si="6"/>
        <v>8</v>
      </c>
      <c r="I228" s="16">
        <f>MAX(1, NETWORKDAYS(A228, G228,Table2[Dias no laborales]))</f>
        <v>2</v>
      </c>
      <c r="J228" s="6" t="str">
        <f>IF(Table1[[#This Row],[FIN]]="","Acumulado",IF(ISNUMBER(SEARCH("ASAP",C228)),"ASAP",IF(NETWORKDAYS.INTL(F228,G228,1,Table2[Dias no laborales]) &lt;= 7, "Dentro", IF(A228&gt;F228,"Programado","Fuera"))))</f>
        <v>Dentro</v>
      </c>
      <c r="K228" s="6" t="str">
        <f t="shared" si="7"/>
        <v>A tiempo</v>
      </c>
      <c r="L228" s="8"/>
      <c r="M228" s="17">
        <f>MAX(1,NETWORKDAYS(A228,L228,Table2[Dias no laborales]))</f>
        <v>1</v>
      </c>
    </row>
    <row r="229" spans="1:13" hidden="1" x14ac:dyDescent="0.3">
      <c r="A229" s="8">
        <v>45713</v>
      </c>
      <c r="B229" s="6" t="s">
        <v>429</v>
      </c>
      <c r="C229" s="6" t="s">
        <v>430</v>
      </c>
      <c r="D229" s="6" t="s">
        <v>342</v>
      </c>
      <c r="E229" s="14">
        <v>45712.464583333334</v>
      </c>
      <c r="F229" s="8">
        <f>IF(HOUR(Table1[[#This Row],[CORREO]])&gt;=11,WORKDAY(Table1[[#This Row],[CORREO]],1,Table2[Dias no laborales]),E229)</f>
        <v>45713</v>
      </c>
      <c r="G229" s="8">
        <v>45714</v>
      </c>
      <c r="H229" s="6">
        <f t="shared" si="6"/>
        <v>8</v>
      </c>
      <c r="I229" s="16">
        <f>MAX(1, NETWORKDAYS(A229, G229,Table2[Dias no laborales]))</f>
        <v>2</v>
      </c>
      <c r="J229" s="6" t="str">
        <f>IF(Table1[[#This Row],[FIN]]="","Acumulado",IF(ISNUMBER(SEARCH("ASAP",C229)),"ASAP",IF(NETWORKDAYS.INTL(F229,G229,1,Table2[Dias no laborales]) &lt;= 7, "Dentro", IF(A229&gt;F229,"Programado","Fuera"))))</f>
        <v>Dentro</v>
      </c>
      <c r="K229" s="6" t="str">
        <f t="shared" si="7"/>
        <v>A tiempo</v>
      </c>
      <c r="L229" s="8"/>
      <c r="M229" s="17">
        <f>MAX(1,NETWORKDAYS(A229,L229,Table2[Dias no laborales]))</f>
        <v>1</v>
      </c>
    </row>
    <row r="230" spans="1:13" hidden="1" x14ac:dyDescent="0.3">
      <c r="A230" s="8">
        <v>45713</v>
      </c>
      <c r="B230" s="6" t="s">
        <v>480</v>
      </c>
      <c r="C230" s="6" t="s">
        <v>481</v>
      </c>
      <c r="D230" s="6" t="s">
        <v>482</v>
      </c>
      <c r="E230" s="14">
        <v>45712.748611111114</v>
      </c>
      <c r="F230" s="8">
        <f>IF(HOUR(Table1[[#This Row],[CORREO]])&gt;=11,WORKDAY(Table1[[#This Row],[CORREO]],1,Table2[Dias no laborales]),E230)</f>
        <v>45713</v>
      </c>
      <c r="G230" s="8">
        <v>45719</v>
      </c>
      <c r="H230" s="6">
        <f t="shared" si="6"/>
        <v>8</v>
      </c>
      <c r="I230" s="16">
        <f>MAX(1, NETWORKDAYS(A230, G230,Table2[Dias no laborales]))</f>
        <v>5</v>
      </c>
      <c r="J230" s="6" t="str">
        <f>IF(Table1[[#This Row],[FIN]]="","Acumulado",IF(ISNUMBER(SEARCH("ASAP",C230)),"ASAP",IF(NETWORKDAYS.INTL(F230,G230,1,Table2[Dias no laborales]) &lt;= 7, "Dentro", IF(A230&gt;F230,"Programado","Fuera"))))</f>
        <v>Dentro</v>
      </c>
      <c r="K230" s="6" t="str">
        <f t="shared" si="7"/>
        <v>A tiempo</v>
      </c>
      <c r="L230" s="8"/>
      <c r="M230" s="17">
        <f>MAX(1,NETWORKDAYS(A230,L230,Table2[Dias no laborales]))</f>
        <v>1</v>
      </c>
    </row>
    <row r="231" spans="1:13" hidden="1" x14ac:dyDescent="0.3">
      <c r="A231" s="8">
        <v>45713</v>
      </c>
      <c r="B231" s="6" t="s">
        <v>452</v>
      </c>
      <c r="C231" s="6" t="s">
        <v>453</v>
      </c>
      <c r="D231" s="6" t="s">
        <v>454</v>
      </c>
      <c r="E231" s="14">
        <v>45713.400694444441</v>
      </c>
      <c r="F231" s="8">
        <f>IF(HOUR(Table1[[#This Row],[CORREO]])&gt;=11,WORKDAY(Table1[[#This Row],[CORREO]],1,Table2[Dias no laborales]),E231)</f>
        <v>45713.400694444441</v>
      </c>
      <c r="G231" s="8">
        <v>45715</v>
      </c>
      <c r="H231" s="6">
        <f t="shared" si="6"/>
        <v>8</v>
      </c>
      <c r="I231" s="16">
        <f>MAX(1, NETWORKDAYS(A231, G231,Table2[Dias no laborales]))</f>
        <v>3</v>
      </c>
      <c r="J231" s="6" t="str">
        <f>IF(Table1[[#This Row],[FIN]]="","Acumulado",IF(ISNUMBER(SEARCH("ASAP",C231)),"ASAP",IF(NETWORKDAYS.INTL(F231,G231,1,Table2[Dias no laborales]) &lt;= 7, "Dentro", IF(A231&gt;F231,"Programado","Fuera"))))</f>
        <v>Dentro</v>
      </c>
      <c r="K231" s="6" t="str">
        <f t="shared" si="7"/>
        <v>A tiempo</v>
      </c>
      <c r="L231" s="8"/>
      <c r="M231" s="17">
        <f>MAX(1,NETWORKDAYS(A231,L231,Table2[Dias no laborales]))</f>
        <v>1</v>
      </c>
    </row>
    <row r="232" spans="1:13" hidden="1" x14ac:dyDescent="0.3">
      <c r="A232" s="8">
        <v>45713</v>
      </c>
      <c r="B232" s="6" t="s">
        <v>553</v>
      </c>
      <c r="C232" s="6" t="s">
        <v>554</v>
      </c>
      <c r="D232" s="6" t="s">
        <v>24</v>
      </c>
      <c r="E232" s="14">
        <v>45713.448611111111</v>
      </c>
      <c r="F232" s="8">
        <f>IF(HOUR(Table1[[#This Row],[CORREO]])&gt;=11,WORKDAY(Table1[[#This Row],[CORREO]],1,Table2[Dias no laborales]),E232)</f>
        <v>45713.448611111111</v>
      </c>
      <c r="G232" s="8">
        <v>45727</v>
      </c>
      <c r="H232" s="6">
        <f t="shared" si="6"/>
        <v>8</v>
      </c>
      <c r="I232" s="16">
        <f>MAX(1, NETWORKDAYS(A232, G232,Table2[Dias no laborales]))</f>
        <v>11</v>
      </c>
      <c r="J232" s="6" t="str">
        <f>IF(Table1[[#This Row],[FIN]]="","Acumulado",IF(ISNUMBER(SEARCH("ASAP",C232)),"ASAP",IF(NETWORKDAYS.INTL(F232,G232,1,Table2[Dias no laborales]) &lt;= 7, "Dentro", IF(A232&gt;F232,"Programado","Fuera"))))</f>
        <v>Fuera</v>
      </c>
      <c r="K232" s="6" t="str">
        <f t="shared" si="7"/>
        <v>A tiempo</v>
      </c>
      <c r="L232" s="8"/>
      <c r="M232" s="17">
        <f>MAX(1,NETWORKDAYS(A232,L232,Table2[Dias no laborales]))</f>
        <v>1</v>
      </c>
    </row>
    <row r="233" spans="1:13" hidden="1" x14ac:dyDescent="0.3">
      <c r="A233" s="8">
        <v>45713</v>
      </c>
      <c r="B233" s="6" t="s">
        <v>467</v>
      </c>
      <c r="C233" s="6" t="s">
        <v>468</v>
      </c>
      <c r="D233" s="6" t="s">
        <v>24</v>
      </c>
      <c r="E233" s="14">
        <v>45713.387499999997</v>
      </c>
      <c r="F233" s="8">
        <f>IF(HOUR(Table1[[#This Row],[CORREO]])&gt;=11,WORKDAY(Table1[[#This Row],[CORREO]],1,Table2[Dias no laborales]),E233)</f>
        <v>45713.387499999997</v>
      </c>
      <c r="G233" s="8">
        <v>45716</v>
      </c>
      <c r="H233" s="6">
        <f t="shared" si="6"/>
        <v>8</v>
      </c>
      <c r="I233" s="16">
        <f>MAX(1, NETWORKDAYS(A233, G233,Table2[Dias no laborales]))</f>
        <v>4</v>
      </c>
      <c r="J233" s="6" t="str">
        <f>IF(Table1[[#This Row],[FIN]]="","Acumulado",IF(ISNUMBER(SEARCH("ASAP",C233)),"ASAP",IF(NETWORKDAYS.INTL(F233,G233,1,Table2[Dias no laborales]) &lt;= 7, "Dentro", IF(A233&gt;F233,"Programado","Fuera"))))</f>
        <v>Dentro</v>
      </c>
      <c r="K233" s="6" t="str">
        <f t="shared" si="7"/>
        <v>A tiempo</v>
      </c>
      <c r="L233" s="8"/>
      <c r="M233" s="17">
        <f>MAX(1,NETWORKDAYS(A233,L233,Table2[Dias no laborales]))</f>
        <v>1</v>
      </c>
    </row>
    <row r="234" spans="1:13" hidden="1" x14ac:dyDescent="0.3">
      <c r="A234" s="8">
        <v>45714</v>
      </c>
      <c r="B234" s="6" t="s">
        <v>500</v>
      </c>
      <c r="C234" s="6" t="s">
        <v>501</v>
      </c>
      <c r="D234" s="6" t="s">
        <v>18</v>
      </c>
      <c r="E234" s="14">
        <v>45713.525000000001</v>
      </c>
      <c r="F234" s="8">
        <f>IF(HOUR(Table1[[#This Row],[CORREO]])&gt;=11,WORKDAY(Table1[[#This Row],[CORREO]],1,Table2[Dias no laborales]),E234)</f>
        <v>45714</v>
      </c>
      <c r="G234" s="8">
        <v>45721</v>
      </c>
      <c r="H234" s="6">
        <f t="shared" si="6"/>
        <v>9</v>
      </c>
      <c r="I234" s="16">
        <f>MAX(1, NETWORKDAYS(A234, G234,Table2[Dias no laborales]))</f>
        <v>6</v>
      </c>
      <c r="J234" s="6" t="str">
        <f>IF(Table1[[#This Row],[FIN]]="","Acumulado",IF(ISNUMBER(SEARCH("ASAP",C234)),"ASAP",IF(NETWORKDAYS.INTL(F234,G234,1,Table2[Dias no laborales]) &lt;= 7, "Dentro", IF(A234&gt;F234,"Programado","Fuera"))))</f>
        <v>Dentro</v>
      </c>
      <c r="K234" s="6" t="str">
        <f t="shared" si="7"/>
        <v>A tiempo</v>
      </c>
      <c r="L234" s="8"/>
      <c r="M234" s="17">
        <f>MAX(1,NETWORKDAYS(A234,L234,Table2[Dias no laborales]))</f>
        <v>1</v>
      </c>
    </row>
    <row r="235" spans="1:13" hidden="1" x14ac:dyDescent="0.3">
      <c r="A235" s="8">
        <v>45714</v>
      </c>
      <c r="B235" s="6" t="s">
        <v>457</v>
      </c>
      <c r="C235" s="6" t="s">
        <v>458</v>
      </c>
      <c r="D235" s="6" t="s">
        <v>27</v>
      </c>
      <c r="E235" s="14">
        <v>45713.634027777778</v>
      </c>
      <c r="F235" s="8">
        <f>IF(HOUR(Table1[[#This Row],[CORREO]])&gt;=11,WORKDAY(Table1[[#This Row],[CORREO]],1,Table2[Dias no laborales]),E235)</f>
        <v>45714</v>
      </c>
      <c r="G235" s="8">
        <v>45716</v>
      </c>
      <c r="H235" s="6">
        <f t="shared" si="6"/>
        <v>9</v>
      </c>
      <c r="I235" s="16">
        <f>MAX(1, NETWORKDAYS(A235, G235,Table2[Dias no laborales]))</f>
        <v>3</v>
      </c>
      <c r="J235" s="6" t="str">
        <f>IF(Table1[[#This Row],[FIN]]="","Acumulado",IF(ISNUMBER(SEARCH("ASAP",C235)),"ASAP",IF(NETWORKDAYS.INTL(F235,G235,1,Table2[Dias no laborales]) &lt;= 7, "Dentro", IF(A235&gt;F235,"Programado","Fuera"))))</f>
        <v>Dentro</v>
      </c>
      <c r="K235" s="6" t="str">
        <f t="shared" si="7"/>
        <v>A tiempo</v>
      </c>
      <c r="L235" s="8"/>
      <c r="M235" s="17">
        <f>MAX(1,NETWORKDAYS(A235,L235,Table2[Dias no laborales]))</f>
        <v>1</v>
      </c>
    </row>
    <row r="236" spans="1:13" hidden="1" x14ac:dyDescent="0.3">
      <c r="A236" s="8">
        <v>45714</v>
      </c>
      <c r="B236" s="6" t="s">
        <v>473</v>
      </c>
      <c r="C236" s="6" t="s">
        <v>474</v>
      </c>
      <c r="D236" s="6" t="s">
        <v>308</v>
      </c>
      <c r="E236" s="14">
        <v>45713.697916666664</v>
      </c>
      <c r="F236" s="8">
        <f>IF(HOUR(Table1[[#This Row],[CORREO]])&gt;=11,WORKDAY(Table1[[#This Row],[CORREO]],1,Table2[Dias no laborales]),E236)</f>
        <v>45714</v>
      </c>
      <c r="G236" s="8">
        <v>45716</v>
      </c>
      <c r="H236" s="6">
        <f t="shared" si="6"/>
        <v>9</v>
      </c>
      <c r="I236" s="16">
        <f>MAX(1, NETWORKDAYS(A236, G236,Table2[Dias no laborales]))</f>
        <v>3</v>
      </c>
      <c r="J236" s="6" t="str">
        <f>IF(Table1[[#This Row],[FIN]]="","Acumulado",IF(ISNUMBER(SEARCH("ASAP",C236)),"ASAP",IF(NETWORKDAYS.INTL(F236,G236,1,Table2[Dias no laborales]) &lt;= 7, "Dentro", IF(A236&gt;F236,"Programado","Fuera"))))</f>
        <v>Dentro</v>
      </c>
      <c r="K236" s="6" t="str">
        <f t="shared" si="7"/>
        <v>A tiempo</v>
      </c>
      <c r="L236" s="8"/>
      <c r="M236" s="17">
        <f>MAX(1,NETWORKDAYS(A236,L236,Table2[Dias no laborales]))</f>
        <v>1</v>
      </c>
    </row>
    <row r="237" spans="1:13" hidden="1" x14ac:dyDescent="0.3">
      <c r="A237" s="8">
        <v>45714</v>
      </c>
      <c r="B237" s="6" t="s">
        <v>441</v>
      </c>
      <c r="C237" s="6" t="s">
        <v>442</v>
      </c>
      <c r="D237" s="6" t="s">
        <v>194</v>
      </c>
      <c r="E237" s="14">
        <v>45714.316666666666</v>
      </c>
      <c r="F237" s="8">
        <f>IF(HOUR(Table1[[#This Row],[CORREO]])&gt;=11,WORKDAY(Table1[[#This Row],[CORREO]],1,Table2[Dias no laborales]),E237)</f>
        <v>45714.316666666666</v>
      </c>
      <c r="G237" s="8">
        <v>45714</v>
      </c>
      <c r="H237" s="6">
        <f t="shared" si="6"/>
        <v>9</v>
      </c>
      <c r="I237" s="16">
        <f>MAX(1, NETWORKDAYS(A237, G237,Table2[Dias no laborales]))</f>
        <v>1</v>
      </c>
      <c r="J237" s="6" t="str">
        <f>IF(Table1[[#This Row],[FIN]]="","Acumulado",IF(ISNUMBER(SEARCH("ASAP",C237)),"ASAP",IF(NETWORKDAYS.INTL(F237,G237,1,Table2[Dias no laborales]) &lt;= 7, "Dentro", IF(A237&gt;F237,"Programado","Fuera"))))</f>
        <v>Dentro</v>
      </c>
      <c r="K237" s="6" t="str">
        <f t="shared" si="7"/>
        <v>A tiempo</v>
      </c>
      <c r="L237" s="8"/>
      <c r="M237" s="17">
        <f>MAX(1,NETWORKDAYS(A237,L237,Table2[Dias no laborales]))</f>
        <v>1</v>
      </c>
    </row>
    <row r="238" spans="1:13" hidden="1" x14ac:dyDescent="0.3">
      <c r="A238" s="8">
        <v>45714</v>
      </c>
      <c r="B238" s="6" t="s">
        <v>443</v>
      </c>
      <c r="C238" s="6" t="s">
        <v>444</v>
      </c>
      <c r="D238" s="6" t="s">
        <v>24</v>
      </c>
      <c r="E238" s="14"/>
      <c r="F238" s="8">
        <f>IF(HOUR(Table1[[#This Row],[CORREO]])&gt;=11,WORKDAY(Table1[[#This Row],[CORREO]],1,Table2[Dias no laborales]),E238)</f>
        <v>0</v>
      </c>
      <c r="G238" s="8">
        <v>45714</v>
      </c>
      <c r="H238" s="6">
        <f t="shared" si="6"/>
        <v>9</v>
      </c>
      <c r="I238" s="16">
        <f>MAX(1, NETWORKDAYS(A238, G238,Table2[Dias no laborales]))</f>
        <v>1</v>
      </c>
      <c r="J238" s="6" t="str">
        <f>IF(Table1[[#This Row],[FIN]]="","Acumulado",IF(ISNUMBER(SEARCH("ASAP",C238)),"ASAP",IF(NETWORKDAYS.INTL(F238,G238,1,Table2[Dias no laborales]) &lt;= 7, "Dentro", IF(A238&gt;F238,"Programado","Fuera"))))</f>
        <v>Programado</v>
      </c>
      <c r="K238" s="6" t="str">
        <f t="shared" si="7"/>
        <v>Programados</v>
      </c>
      <c r="L238" s="8"/>
      <c r="M238" s="17">
        <f>MAX(1,NETWORKDAYS(A238,L238,Table2[Dias no laborales]))</f>
        <v>1</v>
      </c>
    </row>
    <row r="239" spans="1:13" hidden="1" x14ac:dyDescent="0.3">
      <c r="A239" s="8">
        <v>45715</v>
      </c>
      <c r="B239" s="6" t="s">
        <v>559</v>
      </c>
      <c r="C239" s="6" t="s">
        <v>371</v>
      </c>
      <c r="D239" s="6" t="s">
        <v>372</v>
      </c>
      <c r="E239" s="14">
        <v>45714.472222222219</v>
      </c>
      <c r="F239" s="8">
        <f>IF(HOUR(Table1[[#This Row],[CORREO]])&gt;=11,WORKDAY(Table1[[#This Row],[CORREO]],1,Table2[Dias no laborales]),E239)</f>
        <v>45715</v>
      </c>
      <c r="G239" s="8">
        <v>45727</v>
      </c>
      <c r="H239" s="6">
        <f t="shared" si="6"/>
        <v>9</v>
      </c>
      <c r="I239" s="16">
        <f>MAX(1, NETWORKDAYS(A239, G239,Table2[Dias no laborales]))</f>
        <v>9</v>
      </c>
      <c r="J239" s="6" t="str">
        <f>IF(Table1[[#This Row],[FIN]]="","Acumulado",IF(ISNUMBER(SEARCH("ASAP",C239)),"ASAP",IF(NETWORKDAYS.INTL(F239,G239,1,Table2[Dias no laborales]) &lt;= 7, "Dentro", IF(A239&gt;F239,"Programado","Fuera"))))</f>
        <v>Fuera</v>
      </c>
      <c r="K239" s="6" t="str">
        <f t="shared" si="7"/>
        <v>A tiempo</v>
      </c>
      <c r="L239" s="8"/>
      <c r="M239" s="17">
        <f>MAX(1,NETWORKDAYS(A239,L239,Table2[Dias no laborales]))</f>
        <v>1</v>
      </c>
    </row>
    <row r="240" spans="1:13" hidden="1" x14ac:dyDescent="0.3">
      <c r="A240" s="8">
        <v>45715</v>
      </c>
      <c r="B240" s="6" t="s">
        <v>505</v>
      </c>
      <c r="C240" s="6" t="s">
        <v>506</v>
      </c>
      <c r="D240" s="6" t="s">
        <v>24</v>
      </c>
      <c r="E240" s="14">
        <v>45714.598611111112</v>
      </c>
      <c r="F240" s="8">
        <f>IF(HOUR(Table1[[#This Row],[CORREO]])&gt;=11,WORKDAY(Table1[[#This Row],[CORREO]],1,Table2[Dias no laborales]),E240)</f>
        <v>45715</v>
      </c>
      <c r="G240" s="8">
        <v>45722</v>
      </c>
      <c r="H240" s="6">
        <f t="shared" si="6"/>
        <v>9</v>
      </c>
      <c r="I240" s="16">
        <f>MAX(1, NETWORKDAYS(A240, G240,Table2[Dias no laborales]))</f>
        <v>6</v>
      </c>
      <c r="J240" s="6" t="str">
        <f>IF(Table1[[#This Row],[FIN]]="","Acumulado",IF(ISNUMBER(SEARCH("ASAP",C240)),"ASAP",IF(NETWORKDAYS.INTL(F240,G240,1,Table2[Dias no laborales]) &lt;= 7, "Dentro", IF(A240&gt;F240,"Programado","Fuera"))))</f>
        <v>Dentro</v>
      </c>
      <c r="K240" s="6" t="str">
        <f t="shared" si="7"/>
        <v>A tiempo</v>
      </c>
      <c r="L240" s="8"/>
      <c r="M240" s="17">
        <f>MAX(1,NETWORKDAYS(A240,L240,Table2[Dias no laborales]))</f>
        <v>1</v>
      </c>
    </row>
    <row r="241" spans="1:13" hidden="1" x14ac:dyDescent="0.3">
      <c r="A241" s="8">
        <v>45715</v>
      </c>
      <c r="B241" s="6" t="s">
        <v>621</v>
      </c>
      <c r="C241" s="6" t="s">
        <v>622</v>
      </c>
      <c r="D241" s="6" t="s">
        <v>623</v>
      </c>
      <c r="E241" s="14">
        <v>45714.681250000001</v>
      </c>
      <c r="F241" s="8">
        <f>IF(HOUR(Table1[[#This Row],[CORREO]])&gt;=11,WORKDAY(Table1[[#This Row],[CORREO]],1,Table2[Dias no laborales]),E241)</f>
        <v>45715</v>
      </c>
      <c r="G241" s="8">
        <v>45735</v>
      </c>
      <c r="H241" s="6">
        <f t="shared" si="6"/>
        <v>9</v>
      </c>
      <c r="I241" s="16">
        <f>MAX(1, NETWORKDAYS(A241, G241,Table2[Dias no laborales]))</f>
        <v>15</v>
      </c>
      <c r="J241" s="6" t="str">
        <f>IF(Table1[[#This Row],[FIN]]="","Acumulado",IF(ISNUMBER(SEARCH("ASAP",C241)),"ASAP",IF(NETWORKDAYS.INTL(F241,G241,1,Table2[Dias no laborales]) &lt;= 7, "Dentro", IF(A241&gt;F241,"Programado","Fuera"))))</f>
        <v>Fuera</v>
      </c>
      <c r="K241" s="6" t="str">
        <f t="shared" si="7"/>
        <v>A tiempo</v>
      </c>
      <c r="L241" s="8"/>
      <c r="M241" s="17">
        <f>MAX(1,NETWORKDAYS(A241,L241,Table2[Dias no laborales]))</f>
        <v>1</v>
      </c>
    </row>
    <row r="242" spans="1:13" hidden="1" x14ac:dyDescent="0.3">
      <c r="A242" s="8">
        <v>45715</v>
      </c>
      <c r="B242" s="6" t="s">
        <v>560</v>
      </c>
      <c r="C242" s="6" t="s">
        <v>561</v>
      </c>
      <c r="D242" s="6" t="s">
        <v>562</v>
      </c>
      <c r="E242" s="14">
        <v>45715.311111111114</v>
      </c>
      <c r="F242" s="8">
        <f>IF(HOUR(Table1[[#This Row],[CORREO]])&gt;=11,WORKDAY(Table1[[#This Row],[CORREO]],1,Table2[Dias no laborales]),E242)</f>
        <v>45715.311111111114</v>
      </c>
      <c r="G242" s="8">
        <v>45727</v>
      </c>
      <c r="H242" s="6">
        <f t="shared" si="6"/>
        <v>9</v>
      </c>
      <c r="I242" s="16">
        <f>MAX(1, NETWORKDAYS(A242, G242,Table2[Dias no laborales]))</f>
        <v>9</v>
      </c>
      <c r="J242" s="6" t="str">
        <f>IF(Table1[[#This Row],[FIN]]="","Acumulado",IF(ISNUMBER(SEARCH("ASAP",C242)),"ASAP",IF(NETWORKDAYS.INTL(F242,G242,1,Table2[Dias no laborales]) &lt;= 7, "Dentro", IF(A242&gt;F242,"Programado","Fuera"))))</f>
        <v>Fuera</v>
      </c>
      <c r="K242" s="6" t="str">
        <f t="shared" si="7"/>
        <v>A tiempo</v>
      </c>
      <c r="L242" s="8"/>
      <c r="M242" s="17">
        <f>MAX(1,NETWORKDAYS(A242,L242,Table2[Dias no laborales]))</f>
        <v>1</v>
      </c>
    </row>
    <row r="243" spans="1:13" hidden="1" x14ac:dyDescent="0.3">
      <c r="A243" s="8">
        <v>45715</v>
      </c>
      <c r="B243" s="6" t="s">
        <v>461</v>
      </c>
      <c r="C243" s="6" t="s">
        <v>462</v>
      </c>
      <c r="D243" s="6" t="s">
        <v>27</v>
      </c>
      <c r="E243" s="14">
        <v>45715.579861111109</v>
      </c>
      <c r="F243" s="8">
        <f>IF(HOUR(Table1[[#This Row],[CORREO]])&gt;=11,WORKDAY(Table1[[#This Row],[CORREO]],1,Table2[Dias no laborales]),E243)</f>
        <v>45716</v>
      </c>
      <c r="G243" s="8">
        <v>45716</v>
      </c>
      <c r="H243" s="6">
        <f t="shared" si="6"/>
        <v>9</v>
      </c>
      <c r="I243" s="16">
        <f>MAX(1, NETWORKDAYS(A243, G243,Table2[Dias no laborales]))</f>
        <v>2</v>
      </c>
      <c r="J243" s="6" t="str">
        <f>IF(Table1[[#This Row],[FIN]]="","Acumulado",IF(ISNUMBER(SEARCH("ASAP",C243)),"ASAP",IF(NETWORKDAYS.INTL(F243,G243,1,Table2[Dias no laborales]) &lt;= 7, "Dentro", IF(A243&gt;F243,"Programado","Fuera"))))</f>
        <v>Dentro</v>
      </c>
      <c r="K243" s="6" t="str">
        <f t="shared" si="7"/>
        <v>Mismo día</v>
      </c>
      <c r="L243" s="8"/>
      <c r="M243" s="17">
        <f>MAX(1,NETWORKDAYS(A243,L243,Table2[Dias no laborales]))</f>
        <v>1</v>
      </c>
    </row>
    <row r="244" spans="1:13" hidden="1" x14ac:dyDescent="0.3">
      <c r="A244" s="8">
        <v>45716</v>
      </c>
      <c r="B244" s="6" t="s">
        <v>515</v>
      </c>
      <c r="C244" s="6" t="s">
        <v>516</v>
      </c>
      <c r="D244" s="6" t="s">
        <v>517</v>
      </c>
      <c r="E244" s="14">
        <v>45715.729861111111</v>
      </c>
      <c r="F244" s="8">
        <f>IF(HOUR(Table1[[#This Row],[CORREO]])&gt;=11,WORKDAY(Table1[[#This Row],[CORREO]],1,Table2[Dias no laborales]),E244)</f>
        <v>45716</v>
      </c>
      <c r="G244" s="8">
        <v>45722</v>
      </c>
      <c r="H244" s="6">
        <f t="shared" si="6"/>
        <v>9</v>
      </c>
      <c r="I244" s="16">
        <f>MAX(1, NETWORKDAYS(A244, G244,Table2[Dias no laborales]))</f>
        <v>5</v>
      </c>
      <c r="J244" s="6" t="str">
        <f>IF(Table1[[#This Row],[FIN]]="","Acumulado",IF(ISNUMBER(SEARCH("ASAP",C244)),"ASAP",IF(NETWORKDAYS.INTL(F244,G244,1,Table2[Dias no laborales]) &lt;= 7, "Dentro", IF(A244&gt;F244,"Programado","Fuera"))))</f>
        <v>Dentro</v>
      </c>
      <c r="K244" s="6" t="str">
        <f t="shared" si="7"/>
        <v>A tiempo</v>
      </c>
      <c r="L244" s="8"/>
      <c r="M244" s="17">
        <f>MAX(1,NETWORKDAYS(A244,L244,Table2[Dias no laborales]))</f>
        <v>1</v>
      </c>
    </row>
    <row r="245" spans="1:13" hidden="1" x14ac:dyDescent="0.3">
      <c r="A245" s="8">
        <v>45716</v>
      </c>
      <c r="B245" s="6" t="s">
        <v>475</v>
      </c>
      <c r="C245" s="6" t="s">
        <v>476</v>
      </c>
      <c r="D245" s="6" t="s">
        <v>477</v>
      </c>
      <c r="E245" s="14">
        <v>45716.19027777778</v>
      </c>
      <c r="F245" s="8">
        <f>IF(HOUR(Table1[[#This Row],[CORREO]])&gt;=11,WORKDAY(Table1[[#This Row],[CORREO]],1,Table2[Dias no laborales]),E245)</f>
        <v>45716.19027777778</v>
      </c>
      <c r="G245" s="8">
        <v>45719</v>
      </c>
      <c r="H245" s="6">
        <f t="shared" si="6"/>
        <v>9</v>
      </c>
      <c r="I245" s="16">
        <f>MAX(1, NETWORKDAYS(A245, G245,Table2[Dias no laborales]))</f>
        <v>2</v>
      </c>
      <c r="J245" s="6" t="str">
        <f>IF(Table1[[#This Row],[FIN]]="","Acumulado",IF(ISNUMBER(SEARCH("ASAP",C245)),"ASAP",IF(NETWORKDAYS.INTL(F245,G245,1,Table2[Dias no laborales]) &lt;= 7, "Dentro", IF(A245&gt;F245,"Programado","Fuera"))))</f>
        <v>Dentro</v>
      </c>
      <c r="K245" s="6" t="str">
        <f t="shared" si="7"/>
        <v>A tiempo</v>
      </c>
      <c r="L245" s="8"/>
      <c r="M245" s="17">
        <f>MAX(1,NETWORKDAYS(A245,L245,Table2[Dias no laborales]))</f>
        <v>1</v>
      </c>
    </row>
    <row r="246" spans="1:13" hidden="1" x14ac:dyDescent="0.3">
      <c r="A246" s="8">
        <v>45716</v>
      </c>
      <c r="B246" s="6" t="s">
        <v>524</v>
      </c>
      <c r="C246" s="6" t="s">
        <v>525</v>
      </c>
      <c r="D246" s="6" t="s">
        <v>24</v>
      </c>
      <c r="E246" s="14">
        <v>45716.324999999997</v>
      </c>
      <c r="F246" s="8">
        <f>IF(HOUR(Table1[[#This Row],[CORREO]])&gt;=11,WORKDAY(Table1[[#This Row],[CORREO]],1,Table2[Dias no laborales]),E246)</f>
        <v>45716.324999999997</v>
      </c>
      <c r="G246" s="8">
        <v>45723</v>
      </c>
      <c r="H246" s="6">
        <f t="shared" si="6"/>
        <v>9</v>
      </c>
      <c r="I246" s="16">
        <f>MAX(1, NETWORKDAYS(A246, G246,Table2[Dias no laborales]))</f>
        <v>6</v>
      </c>
      <c r="J246" s="6" t="str">
        <f>IF(Table1[[#This Row],[FIN]]="","Acumulado",IF(ISNUMBER(SEARCH("ASAP",C246)),"ASAP",IF(NETWORKDAYS.INTL(F246,G246,1,Table2[Dias no laborales]) &lt;= 7, "Dentro", IF(A246&gt;F246,"Programado","Fuera"))))</f>
        <v>Dentro</v>
      </c>
      <c r="K246" s="6" t="str">
        <f t="shared" si="7"/>
        <v>A tiempo</v>
      </c>
      <c r="L246" s="8"/>
      <c r="M246" s="17">
        <f>MAX(1,NETWORKDAYS(A246,L246,Table2[Dias no laborales]))</f>
        <v>1</v>
      </c>
    </row>
    <row r="247" spans="1:13" hidden="1" x14ac:dyDescent="0.3">
      <c r="A247" s="8">
        <v>45716</v>
      </c>
      <c r="B247" s="6" t="s">
        <v>465</v>
      </c>
      <c r="C247" s="6" t="s">
        <v>466</v>
      </c>
      <c r="D247" s="6" t="s">
        <v>24</v>
      </c>
      <c r="E247" s="14">
        <v>45716.331944444442</v>
      </c>
      <c r="F247" s="8">
        <f>IF(HOUR(Table1[[#This Row],[CORREO]])&gt;=11,WORKDAY(Table1[[#This Row],[CORREO]],1,Table2[Dias no laborales]),E247)</f>
        <v>45716.331944444442</v>
      </c>
      <c r="G247" s="8">
        <v>45716</v>
      </c>
      <c r="H247" s="6">
        <f t="shared" si="6"/>
        <v>9</v>
      </c>
      <c r="I247" s="16">
        <f>MAX(1, NETWORKDAYS(A247, G247,Table2[Dias no laborales]))</f>
        <v>1</v>
      </c>
      <c r="J247" s="6" t="str">
        <f>IF(Table1[[#This Row],[FIN]]="","Acumulado",IF(ISNUMBER(SEARCH("ASAP",C247)),"ASAP",IF(NETWORKDAYS.INTL(F247,G247,1,Table2[Dias no laborales]) &lt;= 7, "Dentro", IF(A247&gt;F247,"Programado","Fuera"))))</f>
        <v>Dentro</v>
      </c>
      <c r="K247" s="6" t="str">
        <f t="shared" si="7"/>
        <v>A tiempo</v>
      </c>
      <c r="L247" s="8"/>
      <c r="M247" s="17">
        <f>MAX(1,NETWORKDAYS(A247,L247,Table2[Dias no laborales]))</f>
        <v>1</v>
      </c>
    </row>
    <row r="248" spans="1:13" hidden="1" x14ac:dyDescent="0.3">
      <c r="A248" s="8">
        <v>45716</v>
      </c>
      <c r="B248" s="6" t="s">
        <v>490</v>
      </c>
      <c r="C248" s="6" t="s">
        <v>491</v>
      </c>
      <c r="D248" s="6" t="s">
        <v>27</v>
      </c>
      <c r="E248" s="14">
        <v>45715.668055555558</v>
      </c>
      <c r="F248" s="8">
        <f>IF(HOUR(Table1[[#This Row],[CORREO]])&gt;=11,WORKDAY(Table1[[#This Row],[CORREO]],1,Table2[Dias no laborales]),E248)</f>
        <v>45716</v>
      </c>
      <c r="G248" s="8">
        <v>45720</v>
      </c>
      <c r="H248" s="6">
        <f t="shared" si="6"/>
        <v>9</v>
      </c>
      <c r="I248" s="16">
        <f>MAX(1, NETWORKDAYS(A248, G248,Table2[Dias no laborales]))</f>
        <v>3</v>
      </c>
      <c r="J248" s="6" t="str">
        <f>IF(Table1[[#This Row],[FIN]]="","Acumulado",IF(ISNUMBER(SEARCH("ASAP",C248)),"ASAP",IF(NETWORKDAYS.INTL(F248,G248,1,Table2[Dias no laborales]) &lt;= 7, "Dentro", IF(A248&gt;F248,"Programado","Fuera"))))</f>
        <v>Dentro</v>
      </c>
      <c r="K248" s="6" t="str">
        <f t="shared" si="7"/>
        <v>A tiempo</v>
      </c>
      <c r="L248" s="8"/>
      <c r="M248" s="17">
        <f>MAX(1,NETWORKDAYS(A248,L248,Table2[Dias no laborales]))</f>
        <v>1</v>
      </c>
    </row>
    <row r="249" spans="1:13" hidden="1" x14ac:dyDescent="0.3">
      <c r="A249" s="8">
        <v>45716</v>
      </c>
      <c r="B249" s="6" t="s">
        <v>463</v>
      </c>
      <c r="C249" s="6" t="s">
        <v>464</v>
      </c>
      <c r="D249" s="6" t="s">
        <v>119</v>
      </c>
      <c r="E249" s="14">
        <v>45716.464583333334</v>
      </c>
      <c r="F249" s="8">
        <f>IF(HOUR(Table1[[#This Row],[CORREO]])&gt;=11,WORKDAY(Table1[[#This Row],[CORREO]],1,Table2[Dias no laborales]),E249)</f>
        <v>45719</v>
      </c>
      <c r="G249" s="8">
        <v>45716</v>
      </c>
      <c r="H249" s="6">
        <f t="shared" si="6"/>
        <v>9</v>
      </c>
      <c r="I249" s="16">
        <f>MAX(1, NETWORKDAYS(A249, G249,Table2[Dias no laborales]))</f>
        <v>1</v>
      </c>
      <c r="J249" s="6" t="str">
        <f>IF(Table1[[#This Row],[FIN]]="","Acumulado",IF(ISNUMBER(SEARCH("ASAP",C249)),"ASAP",IF(NETWORKDAYS.INTL(F249,G249,1,Table2[Dias no laborales]) &lt;= 7, "Dentro", IF(A249&gt;F249,"Programado","Fuera"))))</f>
        <v>Dentro</v>
      </c>
      <c r="K249" s="6" t="str">
        <f t="shared" si="7"/>
        <v>Mismo día</v>
      </c>
      <c r="L249" s="8"/>
      <c r="M249" s="17">
        <f>MAX(1,NETWORKDAYS(A249,L249,Table2[Dias no laborales]))</f>
        <v>1</v>
      </c>
    </row>
    <row r="250" spans="1:13" hidden="1" x14ac:dyDescent="0.3">
      <c r="A250" s="8">
        <v>45716</v>
      </c>
      <c r="B250" s="6" t="s">
        <v>483</v>
      </c>
      <c r="C250" s="6" t="s">
        <v>188</v>
      </c>
      <c r="D250" s="6" t="s">
        <v>27</v>
      </c>
      <c r="E250" s="14"/>
      <c r="F250" s="8">
        <f>IF(HOUR(Table1[[#This Row],[CORREO]])&gt;=11,WORKDAY(Table1[[#This Row],[CORREO]],1,Table2[Dias no laborales]),E250)</f>
        <v>0</v>
      </c>
      <c r="G250" s="8">
        <v>45719</v>
      </c>
      <c r="H250" s="6">
        <f t="shared" si="6"/>
        <v>9</v>
      </c>
      <c r="I250" s="16">
        <f>MAX(1, NETWORKDAYS(A250, G250,Table2[Dias no laborales]))</f>
        <v>2</v>
      </c>
      <c r="J250" s="6" t="str">
        <f>IF(Table1[[#This Row],[FIN]]="","Acumulado",IF(ISNUMBER(SEARCH("ASAP",C250)),"ASAP",IF(NETWORKDAYS.INTL(F250,G250,1,Table2[Dias no laborales]) &lt;= 7, "Dentro", IF(A250&gt;F250,"Programado","Fuera"))))</f>
        <v>Programado</v>
      </c>
      <c r="K250" s="6" t="str">
        <f t="shared" si="7"/>
        <v>Programados</v>
      </c>
      <c r="L250" s="8"/>
      <c r="M250" s="17">
        <f>MAX(1,NETWORKDAYS(A250,L250,Table2[Dias no laborales]))</f>
        <v>1</v>
      </c>
    </row>
    <row r="251" spans="1:13" hidden="1" x14ac:dyDescent="0.3">
      <c r="A251" s="8">
        <v>45719</v>
      </c>
      <c r="B251" s="6" t="s">
        <v>534</v>
      </c>
      <c r="C251" s="6" t="s">
        <v>535</v>
      </c>
      <c r="D251" s="6" t="s">
        <v>24</v>
      </c>
      <c r="E251" s="14"/>
      <c r="F251" s="8">
        <f>IF(HOUR(Table1[[#This Row],[CORREO]])&gt;=11,WORKDAY(Table1[[#This Row],[CORREO]],1,Table2[Dias no laborales]),E251)</f>
        <v>0</v>
      </c>
      <c r="G251" s="8">
        <v>45723</v>
      </c>
      <c r="H251" s="6">
        <f t="shared" si="6"/>
        <v>9</v>
      </c>
      <c r="I251" s="16">
        <f>MAX(1, NETWORKDAYS(A251, G251,Table2[Dias no laborales]))</f>
        <v>5</v>
      </c>
      <c r="J251" s="6" t="str">
        <f>IF(Table1[[#This Row],[FIN]]="","Acumulado",IF(ISNUMBER(SEARCH("ASAP",C251)),"ASAP",IF(NETWORKDAYS.INTL(F251,G251,1,Table2[Dias no laborales]) &lt;= 7, "Dentro", IF(A251&gt;F251,"Programado","Fuera"))))</f>
        <v>Programado</v>
      </c>
      <c r="K251" s="6" t="str">
        <f t="shared" si="7"/>
        <v>Programados</v>
      </c>
      <c r="L251" s="8"/>
      <c r="M251" s="17">
        <f>MAX(1,NETWORKDAYS(A251,L251,Table2[Dias no laborales]))</f>
        <v>1</v>
      </c>
    </row>
    <row r="252" spans="1:13" hidden="1" x14ac:dyDescent="0.3">
      <c r="A252" s="8">
        <v>45719</v>
      </c>
      <c r="B252" s="6" t="s">
        <v>502</v>
      </c>
      <c r="C252" s="6" t="s">
        <v>503</v>
      </c>
      <c r="D252" s="6" t="s">
        <v>504</v>
      </c>
      <c r="E252" s="14">
        <v>45716.601388888892</v>
      </c>
      <c r="F252" s="8">
        <f>IF(HOUR(Table1[[#This Row],[CORREO]])&gt;=11,WORKDAY(Table1[[#This Row],[CORREO]],1,Table2[Dias no laborales]),E252)</f>
        <v>45719</v>
      </c>
      <c r="G252" s="8">
        <v>45721</v>
      </c>
      <c r="H252" s="6">
        <f t="shared" si="6"/>
        <v>9</v>
      </c>
      <c r="I252" s="16">
        <f>MAX(1, NETWORKDAYS(A252, G252,Table2[Dias no laborales]))</f>
        <v>3</v>
      </c>
      <c r="J252" s="6" t="str">
        <f>IF(Table1[[#This Row],[FIN]]="","Acumulado",IF(ISNUMBER(SEARCH("ASAP",C252)),"ASAP",IF(NETWORKDAYS.INTL(F252,G252,1,Table2[Dias no laborales]) &lt;= 7, "Dentro", IF(A252&gt;F252,"Programado","Fuera"))))</f>
        <v>Dentro</v>
      </c>
      <c r="K252" s="6" t="str">
        <f t="shared" si="7"/>
        <v>A tiempo</v>
      </c>
      <c r="L252" s="8"/>
      <c r="M252" s="17">
        <f>MAX(1,NETWORKDAYS(A252,L252,Table2[Dias no laborales]))</f>
        <v>1</v>
      </c>
    </row>
    <row r="253" spans="1:13" hidden="1" x14ac:dyDescent="0.3">
      <c r="A253" s="8">
        <v>45719</v>
      </c>
      <c r="B253" s="6" t="s">
        <v>509</v>
      </c>
      <c r="C253" s="6" t="s">
        <v>510</v>
      </c>
      <c r="D253" s="6" t="s">
        <v>37</v>
      </c>
      <c r="E253" s="14">
        <v>45719.317361111112</v>
      </c>
      <c r="F253" s="8">
        <f>IF(HOUR(Table1[[#This Row],[CORREO]])&gt;=11,WORKDAY(Table1[[#This Row],[CORREO]],1,Table2[Dias no laborales]),E253)</f>
        <v>45719.317361111112</v>
      </c>
      <c r="G253" s="8">
        <v>45722</v>
      </c>
      <c r="H253" s="6">
        <f t="shared" si="6"/>
        <v>9</v>
      </c>
      <c r="I253" s="16">
        <f>MAX(1, NETWORKDAYS(A253, G253,Table2[Dias no laborales]))</f>
        <v>4</v>
      </c>
      <c r="J253" s="6" t="str">
        <f>IF(Table1[[#This Row],[FIN]]="","Acumulado",IF(ISNUMBER(SEARCH("ASAP",C253)),"ASAP",IF(NETWORKDAYS.INTL(F253,G253,1,Table2[Dias no laborales]) &lt;= 7, "Dentro", IF(A253&gt;F253,"Programado","Fuera"))))</f>
        <v>Dentro</v>
      </c>
      <c r="K253" s="6" t="str">
        <f t="shared" si="7"/>
        <v>A tiempo</v>
      </c>
      <c r="L253" s="8"/>
      <c r="M253" s="17">
        <f>MAX(1,NETWORKDAYS(A253,L253,Table2[Dias no laborales]))</f>
        <v>1</v>
      </c>
    </row>
    <row r="254" spans="1:13" hidden="1" x14ac:dyDescent="0.3">
      <c r="A254" s="8">
        <v>45719</v>
      </c>
      <c r="B254" s="6" t="s">
        <v>486</v>
      </c>
      <c r="C254" s="6" t="s">
        <v>487</v>
      </c>
      <c r="D254" s="6" t="s">
        <v>24</v>
      </c>
      <c r="E254" s="14">
        <v>45719.348611111112</v>
      </c>
      <c r="F254" s="8">
        <f>IF(HOUR(Table1[[#This Row],[CORREO]])&gt;=11,WORKDAY(Table1[[#This Row],[CORREO]],1,Table2[Dias no laborales]),E254)</f>
        <v>45719.348611111112</v>
      </c>
      <c r="G254" s="8">
        <v>45719</v>
      </c>
      <c r="H254" s="6">
        <f t="shared" si="6"/>
        <v>9</v>
      </c>
      <c r="I254" s="16">
        <f>MAX(1, NETWORKDAYS(A254, G254,Table2[Dias no laborales]))</f>
        <v>1</v>
      </c>
      <c r="J254" s="6" t="str">
        <f>IF(Table1[[#This Row],[FIN]]="","Acumulado",IF(ISNUMBER(SEARCH("ASAP",C254)),"ASAP",IF(NETWORKDAYS.INTL(F254,G254,1,Table2[Dias no laborales]) &lt;= 7, "Dentro", IF(A254&gt;F254,"Programado","Fuera"))))</f>
        <v>Dentro</v>
      </c>
      <c r="K254" s="6" t="str">
        <f t="shared" si="7"/>
        <v>A tiempo</v>
      </c>
      <c r="L254" s="8"/>
      <c r="M254" s="17">
        <f>MAX(1,NETWORKDAYS(A254,L254,Table2[Dias no laborales]))</f>
        <v>1</v>
      </c>
    </row>
    <row r="255" spans="1:13" hidden="1" x14ac:dyDescent="0.3">
      <c r="A255" s="8">
        <v>45719</v>
      </c>
      <c r="B255" s="6" t="s">
        <v>484</v>
      </c>
      <c r="C255" s="6" t="s">
        <v>485</v>
      </c>
      <c r="D255" s="6" t="s">
        <v>24</v>
      </c>
      <c r="E255" s="14">
        <v>45719.354166666664</v>
      </c>
      <c r="F255" s="8">
        <f>IF(HOUR(Table1[[#This Row],[CORREO]])&gt;=11,WORKDAY(Table1[[#This Row],[CORREO]],1,Table2[Dias no laborales]),E255)</f>
        <v>45719.354166666664</v>
      </c>
      <c r="G255" s="8">
        <v>45719</v>
      </c>
      <c r="H255" s="6">
        <f t="shared" si="6"/>
        <v>9</v>
      </c>
      <c r="I255" s="16">
        <f>MAX(1, NETWORKDAYS(A255, G255,Table2[Dias no laborales]))</f>
        <v>1</v>
      </c>
      <c r="J255" s="6" t="str">
        <f>IF(Table1[[#This Row],[FIN]]="","Acumulado",IF(ISNUMBER(SEARCH("ASAP",C255)),"ASAP",IF(NETWORKDAYS.INTL(F255,G255,1,Table2[Dias no laborales]) &lt;= 7, "Dentro", IF(A255&gt;F255,"Programado","Fuera"))))</f>
        <v>Dentro</v>
      </c>
      <c r="K255" s="6" t="str">
        <f t="shared" si="7"/>
        <v>A tiempo</v>
      </c>
      <c r="L255" s="8"/>
      <c r="M255" s="17">
        <f>MAX(1,NETWORKDAYS(A255,L255,Table2[Dias no laborales]))</f>
        <v>1</v>
      </c>
    </row>
    <row r="256" spans="1:13" hidden="1" x14ac:dyDescent="0.3">
      <c r="A256" s="8">
        <v>45719</v>
      </c>
      <c r="B256" s="6" t="s">
        <v>580</v>
      </c>
      <c r="C256" s="6" t="s">
        <v>581</v>
      </c>
      <c r="D256" s="6" t="s">
        <v>24</v>
      </c>
      <c r="E256" s="14">
        <v>45716.570833333331</v>
      </c>
      <c r="F256" s="8">
        <f>IF(HOUR(Table1[[#This Row],[CORREO]])&gt;=11,WORKDAY(Table1[[#This Row],[CORREO]],1,Table2[Dias no laborales]),E256)</f>
        <v>45719</v>
      </c>
      <c r="G256" s="8">
        <v>45728</v>
      </c>
      <c r="H256" s="6">
        <f t="shared" si="6"/>
        <v>9</v>
      </c>
      <c r="I256" s="16">
        <f>MAX(1, NETWORKDAYS(A256, G256,Table2[Dias no laborales]))</f>
        <v>8</v>
      </c>
      <c r="J256" s="6" t="str">
        <f>IF(Table1[[#This Row],[FIN]]="","Acumulado",IF(ISNUMBER(SEARCH("ASAP",C256)),"ASAP",IF(NETWORKDAYS.INTL(F256,G256,1,Table2[Dias no laborales]) &lt;= 7, "Dentro", IF(A256&gt;F256,"Programado","Fuera"))))</f>
        <v>Fuera</v>
      </c>
      <c r="K256" s="6" t="str">
        <f t="shared" si="7"/>
        <v>A tiempo</v>
      </c>
      <c r="L256" s="8"/>
      <c r="M256" s="17">
        <f>MAX(1,NETWORKDAYS(A256,L256,Table2[Dias no laborales]))</f>
        <v>1</v>
      </c>
    </row>
    <row r="257" spans="1:13" hidden="1" x14ac:dyDescent="0.3">
      <c r="A257" s="8">
        <v>45720</v>
      </c>
      <c r="B257" s="6" t="s">
        <v>496</v>
      </c>
      <c r="C257" s="6" t="s">
        <v>497</v>
      </c>
      <c r="D257" s="6" t="s">
        <v>27</v>
      </c>
      <c r="E257" s="14">
        <v>45719.515972222223</v>
      </c>
      <c r="F257" s="8">
        <f>IF(HOUR(Table1[[#This Row],[CORREO]])&gt;=11,WORKDAY(Table1[[#This Row],[CORREO]],1,Table2[Dias no laborales]),E257)</f>
        <v>45720</v>
      </c>
      <c r="G257" s="8">
        <v>45720</v>
      </c>
      <c r="H257" s="6">
        <f t="shared" si="6"/>
        <v>9</v>
      </c>
      <c r="I257" s="16">
        <f>MAX(1, NETWORKDAYS(A257, G257,Table2[Dias no laborales]))</f>
        <v>1</v>
      </c>
      <c r="J257" s="6" t="str">
        <f>IF(Table1[[#This Row],[FIN]]="","Acumulado",IF(ISNUMBER(SEARCH("ASAP",C257)),"ASAP",IF(NETWORKDAYS.INTL(F257,G257,1,Table2[Dias no laborales]) &lt;= 7, "Dentro", IF(A257&gt;F257,"Programado","Fuera"))))</f>
        <v>Dentro</v>
      </c>
      <c r="K257" s="6" t="str">
        <f t="shared" si="7"/>
        <v>A tiempo</v>
      </c>
      <c r="L257" s="8"/>
      <c r="M257" s="17">
        <f>MAX(1,NETWORKDAYS(A257,L257,Table2[Dias no laborales]))</f>
        <v>1</v>
      </c>
    </row>
    <row r="258" spans="1:13" hidden="1" x14ac:dyDescent="0.3">
      <c r="A258" s="8">
        <v>45728</v>
      </c>
      <c r="B258" s="5" t="s">
        <v>890</v>
      </c>
      <c r="C258" s="5" t="s">
        <v>891</v>
      </c>
      <c r="D258" s="5" t="s">
        <v>655</v>
      </c>
      <c r="E258" s="14">
        <v>45719.606249999997</v>
      </c>
      <c r="F258" s="8">
        <f>IF(HOUR(Table1[[#This Row],[CORREO]])&gt;=11,WORKDAY(Table1[[#This Row],[CORREO]],1,Table2[Dias no laborales]),E258)</f>
        <v>45720</v>
      </c>
      <c r="G258" s="9">
        <v>45771</v>
      </c>
      <c r="H258" s="6">
        <f t="shared" ref="H258:H321" si="8">INT((A258-DATE(YEAR(A258),1,1))/7) + 1</f>
        <v>11</v>
      </c>
      <c r="I258" s="16">
        <f>MAX(1, NETWORKDAYS(A258, G258,Table2[Dias no laborales]))</f>
        <v>32</v>
      </c>
      <c r="J258" s="6" t="str">
        <f>IF(Table1[[#This Row],[FIN]]="","Acumulado",IF(ISNUMBER(SEARCH("ASAP",C258)),"ASAP",IF(NETWORKDAYS.INTL(F258,G258,1,Table2[Dias no laborales]) &lt;= 7, "Dentro", IF(A258&gt;F258,"Programado","Fuera"))))</f>
        <v>Programado</v>
      </c>
      <c r="K258" s="6" t="str">
        <f t="shared" ref="K258:K321" si="9">IF(INT(A258)=INT(F258),"A tiempo", IF(A258&lt;F258,"Mismo día","Programados"))</f>
        <v>Programados</v>
      </c>
      <c r="L258" s="8"/>
      <c r="M258" s="17">
        <f>MAX(1,NETWORKDAYS(A258,L258,Table2[Dias no laborales]))</f>
        <v>1</v>
      </c>
    </row>
    <row r="259" spans="1:13" hidden="1" x14ac:dyDescent="0.3">
      <c r="A259" s="8">
        <v>45720</v>
      </c>
      <c r="B259" s="6" t="s">
        <v>513</v>
      </c>
      <c r="C259" s="6" t="s">
        <v>514</v>
      </c>
      <c r="D259" s="6" t="s">
        <v>154</v>
      </c>
      <c r="E259" s="14">
        <v>45720.302083333336</v>
      </c>
      <c r="F259" s="8">
        <f>IF(HOUR(Table1[[#This Row],[CORREO]])&gt;=11,WORKDAY(Table1[[#This Row],[CORREO]],1,Table2[Dias no laborales]),E259)</f>
        <v>45720.302083333336</v>
      </c>
      <c r="G259" s="8">
        <v>45722</v>
      </c>
      <c r="H259" s="6">
        <f t="shared" si="8"/>
        <v>9</v>
      </c>
      <c r="I259" s="16">
        <f>MAX(1, NETWORKDAYS(A259, G259,Table2[Dias no laborales]))</f>
        <v>3</v>
      </c>
      <c r="J259" s="6" t="str">
        <f>IF(Table1[[#This Row],[FIN]]="","Acumulado",IF(ISNUMBER(SEARCH("ASAP",C259)),"ASAP",IF(NETWORKDAYS.INTL(F259,G259,1,Table2[Dias no laborales]) &lt;= 7, "Dentro", IF(A259&gt;F259,"Programado","Fuera"))))</f>
        <v>Dentro</v>
      </c>
      <c r="K259" s="6" t="str">
        <f t="shared" si="9"/>
        <v>A tiempo</v>
      </c>
      <c r="L259" s="8"/>
      <c r="M259" s="17">
        <f>MAX(1,NETWORKDAYS(A259,L259,Table2[Dias no laborales]))</f>
        <v>1</v>
      </c>
    </row>
    <row r="260" spans="1:13" hidden="1" x14ac:dyDescent="0.3">
      <c r="A260" s="8">
        <v>45720</v>
      </c>
      <c r="B260" s="6" t="s">
        <v>567</v>
      </c>
      <c r="C260" s="6" t="s">
        <v>568</v>
      </c>
      <c r="D260" s="6" t="s">
        <v>27</v>
      </c>
      <c r="E260" s="14"/>
      <c r="F260" s="8">
        <f>IF(HOUR(Table1[[#This Row],[CORREO]])&gt;=11,WORKDAY(Table1[[#This Row],[CORREO]],1,Table2[Dias no laborales]),E260)</f>
        <v>0</v>
      </c>
      <c r="G260" s="8">
        <v>45727</v>
      </c>
      <c r="H260" s="6">
        <f t="shared" si="8"/>
        <v>9</v>
      </c>
      <c r="I260" s="16">
        <f>MAX(1, NETWORKDAYS(A260, G260,Table2[Dias no laborales]))</f>
        <v>6</v>
      </c>
      <c r="J260" s="6" t="str">
        <f>IF(Table1[[#This Row],[FIN]]="","Acumulado",IF(ISNUMBER(SEARCH("ASAP",C260)),"ASAP",IF(NETWORKDAYS.INTL(F260,G260,1,Table2[Dias no laborales]) &lt;= 7, "Dentro", IF(A260&gt;F260,"Programado","Fuera"))))</f>
        <v>Programado</v>
      </c>
      <c r="K260" s="6" t="str">
        <f t="shared" si="9"/>
        <v>Programados</v>
      </c>
      <c r="L260" s="8"/>
      <c r="M260" s="17">
        <f>MAX(1,NETWORKDAYS(A260,L260,Table2[Dias no laborales]))</f>
        <v>1</v>
      </c>
    </row>
    <row r="261" spans="1:13" hidden="1" x14ac:dyDescent="0.3">
      <c r="A261" s="8">
        <v>45720</v>
      </c>
      <c r="B261" s="6" t="s">
        <v>526</v>
      </c>
      <c r="C261" s="6" t="s">
        <v>527</v>
      </c>
      <c r="D261" s="6" t="s">
        <v>27</v>
      </c>
      <c r="E261" s="14"/>
      <c r="F261" s="8">
        <f>IF(HOUR(Table1[[#This Row],[CORREO]])&gt;=11,WORKDAY(Table1[[#This Row],[CORREO]],1,Table2[Dias no laborales]),E261)</f>
        <v>0</v>
      </c>
      <c r="G261" s="8">
        <v>45723</v>
      </c>
      <c r="H261" s="6">
        <f t="shared" si="8"/>
        <v>9</v>
      </c>
      <c r="I261" s="16">
        <f>MAX(1, NETWORKDAYS(A261, G261,Table2[Dias no laborales]))</f>
        <v>4</v>
      </c>
      <c r="J261" s="6" t="str">
        <f>IF(Table1[[#This Row],[FIN]]="","Acumulado",IF(ISNUMBER(SEARCH("ASAP",C261)),"ASAP",IF(NETWORKDAYS.INTL(F261,G261,1,Table2[Dias no laborales]) &lt;= 7, "Dentro", IF(A261&gt;F261,"Programado","Fuera"))))</f>
        <v>Programado</v>
      </c>
      <c r="K261" s="6" t="str">
        <f t="shared" si="9"/>
        <v>Programados</v>
      </c>
      <c r="L261" s="8"/>
      <c r="M261" s="17">
        <f>MAX(1,NETWORKDAYS(A261,L261,Table2[Dias no laborales]))</f>
        <v>1</v>
      </c>
    </row>
    <row r="262" spans="1:13" hidden="1" x14ac:dyDescent="0.3">
      <c r="A262" s="8">
        <v>45720</v>
      </c>
      <c r="B262" s="6" t="s">
        <v>530</v>
      </c>
      <c r="C262" s="6" t="s">
        <v>531</v>
      </c>
      <c r="D262" s="6" t="s">
        <v>27</v>
      </c>
      <c r="E262" s="14"/>
      <c r="F262" s="8">
        <f>IF(HOUR(Table1[[#This Row],[CORREO]])&gt;=11,WORKDAY(Table1[[#This Row],[CORREO]],1,Table2[Dias no laborales]),E262)</f>
        <v>0</v>
      </c>
      <c r="G262" s="8">
        <v>45723</v>
      </c>
      <c r="H262" s="6">
        <f t="shared" si="8"/>
        <v>9</v>
      </c>
      <c r="I262" s="16">
        <f>MAX(1, NETWORKDAYS(A262, G262,Table2[Dias no laborales]))</f>
        <v>4</v>
      </c>
      <c r="J262" s="6" t="str">
        <f>IF(Table1[[#This Row],[FIN]]="","Acumulado",IF(ISNUMBER(SEARCH("ASAP",C262)),"ASAP",IF(NETWORKDAYS.INTL(F262,G262,1,Table2[Dias no laborales]) &lt;= 7, "Dentro", IF(A262&gt;F262,"Programado","Fuera"))))</f>
        <v>Programado</v>
      </c>
      <c r="K262" s="6" t="str">
        <f t="shared" si="9"/>
        <v>Programados</v>
      </c>
      <c r="L262" s="8"/>
      <c r="M262" s="17">
        <f>MAX(1,NETWORKDAYS(A262,L262,Table2[Dias no laborales]))</f>
        <v>1</v>
      </c>
    </row>
    <row r="263" spans="1:13" hidden="1" x14ac:dyDescent="0.3">
      <c r="A263" s="8">
        <v>45720</v>
      </c>
      <c r="B263" s="6" t="s">
        <v>565</v>
      </c>
      <c r="C263" s="6" t="s">
        <v>566</v>
      </c>
      <c r="D263" s="6" t="s">
        <v>27</v>
      </c>
      <c r="E263" s="14"/>
      <c r="F263" s="8">
        <f>IF(HOUR(Table1[[#This Row],[CORREO]])&gt;=11,WORKDAY(Table1[[#This Row],[CORREO]],1,Table2[Dias no laborales]),E263)</f>
        <v>0</v>
      </c>
      <c r="G263" s="8">
        <v>45727</v>
      </c>
      <c r="H263" s="6">
        <f t="shared" si="8"/>
        <v>9</v>
      </c>
      <c r="I263" s="16">
        <f>MAX(1, NETWORKDAYS(A263, G263,Table2[Dias no laborales]))</f>
        <v>6</v>
      </c>
      <c r="J263" s="6" t="str">
        <f>IF(Table1[[#This Row],[FIN]]="","Acumulado",IF(ISNUMBER(SEARCH("ASAP",C263)),"ASAP",IF(NETWORKDAYS.INTL(F263,G263,1,Table2[Dias no laborales]) &lt;= 7, "Dentro", IF(A263&gt;F263,"Programado","Fuera"))))</f>
        <v>Programado</v>
      </c>
      <c r="K263" s="6" t="str">
        <f t="shared" si="9"/>
        <v>Programados</v>
      </c>
      <c r="L263" s="8"/>
      <c r="M263" s="17">
        <f>MAX(1,NETWORKDAYS(A263,L263,Table2[Dias no laborales]))</f>
        <v>1</v>
      </c>
    </row>
    <row r="264" spans="1:13" hidden="1" x14ac:dyDescent="0.3">
      <c r="A264" s="8">
        <v>45720</v>
      </c>
      <c r="B264" s="6" t="s">
        <v>528</v>
      </c>
      <c r="C264" s="6" t="s">
        <v>529</v>
      </c>
      <c r="D264" s="6" t="s">
        <v>27</v>
      </c>
      <c r="E264" s="14"/>
      <c r="F264" s="8">
        <f>IF(HOUR(Table1[[#This Row],[CORREO]])&gt;=11,WORKDAY(Table1[[#This Row],[CORREO]],1,Table2[Dias no laborales]),E264)</f>
        <v>0</v>
      </c>
      <c r="G264" s="8">
        <v>45723</v>
      </c>
      <c r="H264" s="6">
        <f t="shared" si="8"/>
        <v>9</v>
      </c>
      <c r="I264" s="16">
        <f>MAX(1, NETWORKDAYS(A264, G264,Table2[Dias no laborales]))</f>
        <v>4</v>
      </c>
      <c r="J264" s="6" t="str">
        <f>IF(Table1[[#This Row],[FIN]]="","Acumulado",IF(ISNUMBER(SEARCH("ASAP",C264)),"ASAP",IF(NETWORKDAYS.INTL(F264,G264,1,Table2[Dias no laborales]) &lt;= 7, "Dentro", IF(A264&gt;F264,"Programado","Fuera"))))</f>
        <v>Programado</v>
      </c>
      <c r="K264" s="6" t="str">
        <f t="shared" si="9"/>
        <v>Programados</v>
      </c>
      <c r="L264" s="8"/>
      <c r="M264" s="17">
        <f>MAX(1,NETWORKDAYS(A264,L264,Table2[Dias no laborales]))</f>
        <v>1</v>
      </c>
    </row>
    <row r="265" spans="1:13" hidden="1" x14ac:dyDescent="0.3">
      <c r="A265" s="8">
        <v>45720</v>
      </c>
      <c r="B265" s="6" t="s">
        <v>498</v>
      </c>
      <c r="C265" s="6" t="s">
        <v>499</v>
      </c>
      <c r="D265" s="6" t="s">
        <v>24</v>
      </c>
      <c r="E265" s="14"/>
      <c r="F265" s="8">
        <f>IF(HOUR(Table1[[#This Row],[CORREO]])&gt;=11,WORKDAY(Table1[[#This Row],[CORREO]],1,Table2[Dias no laborales]),E265)</f>
        <v>0</v>
      </c>
      <c r="G265" s="8">
        <v>45721</v>
      </c>
      <c r="H265" s="6">
        <f t="shared" si="8"/>
        <v>9</v>
      </c>
      <c r="I265" s="16">
        <f>MAX(1, NETWORKDAYS(A265, G265,Table2[Dias no laborales]))</f>
        <v>2</v>
      </c>
      <c r="J265" s="6" t="str">
        <f>IF(Table1[[#This Row],[FIN]]="","Acumulado",IF(ISNUMBER(SEARCH("ASAP",C265)),"ASAP",IF(NETWORKDAYS.INTL(F265,G265,1,Table2[Dias no laborales]) &lt;= 7, "Dentro", IF(A265&gt;F265,"Programado","Fuera"))))</f>
        <v>Programado</v>
      </c>
      <c r="K265" s="6" t="str">
        <f t="shared" si="9"/>
        <v>Programados</v>
      </c>
      <c r="L265" s="8"/>
      <c r="M265" s="17">
        <f>MAX(1,NETWORKDAYS(A265,L265,Table2[Dias no laborales]))</f>
        <v>1</v>
      </c>
    </row>
    <row r="266" spans="1:13" hidden="1" x14ac:dyDescent="0.3">
      <c r="A266" s="8">
        <v>45720</v>
      </c>
      <c r="B266" s="6" t="s">
        <v>507</v>
      </c>
      <c r="C266" s="6" t="s">
        <v>508</v>
      </c>
      <c r="D266" s="6" t="s">
        <v>24</v>
      </c>
      <c r="E266" s="14"/>
      <c r="F266" s="8">
        <f>IF(HOUR(Table1[[#This Row],[CORREO]])&gt;=11,WORKDAY(Table1[[#This Row],[CORREO]],1,Table2[Dias no laborales]),E266)</f>
        <v>0</v>
      </c>
      <c r="G266" s="8">
        <v>45722</v>
      </c>
      <c r="H266" s="6">
        <f t="shared" si="8"/>
        <v>9</v>
      </c>
      <c r="I266" s="16">
        <f>MAX(1, NETWORKDAYS(A266, G266,Table2[Dias no laborales]))</f>
        <v>3</v>
      </c>
      <c r="J266" s="6" t="str">
        <f>IF(Table1[[#This Row],[FIN]]="","Acumulado",IF(ISNUMBER(SEARCH("ASAP",C266)),"ASAP",IF(NETWORKDAYS.INTL(F266,G266,1,Table2[Dias no laborales]) &lt;= 7, "Dentro", IF(A266&gt;F266,"Programado","Fuera"))))</f>
        <v>ASAP</v>
      </c>
      <c r="K266" s="6" t="str">
        <f t="shared" si="9"/>
        <v>Programados</v>
      </c>
      <c r="L266" s="8"/>
      <c r="M266" s="17">
        <f>MAX(1,NETWORKDAYS(A266,L266,Table2[Dias no laborales]))</f>
        <v>1</v>
      </c>
    </row>
    <row r="267" spans="1:13" hidden="1" x14ac:dyDescent="0.3">
      <c r="A267" s="8">
        <v>45721</v>
      </c>
      <c r="B267" s="6" t="s">
        <v>578</v>
      </c>
      <c r="C267" s="6" t="s">
        <v>579</v>
      </c>
      <c r="D267" s="6" t="s">
        <v>24</v>
      </c>
      <c r="E267" s="14">
        <v>45721.350694444445</v>
      </c>
      <c r="F267" s="8">
        <f>IF(HOUR(Table1[[#This Row],[CORREO]])&gt;=11,WORKDAY(Table1[[#This Row],[CORREO]],1,Table2[Dias no laborales]),E267)</f>
        <v>45721.350694444445</v>
      </c>
      <c r="G267" s="8">
        <v>45728</v>
      </c>
      <c r="H267" s="6">
        <f t="shared" si="8"/>
        <v>10</v>
      </c>
      <c r="I267" s="16">
        <f>MAX(1, NETWORKDAYS(A267, G267,Table2[Dias no laborales]))</f>
        <v>6</v>
      </c>
      <c r="J267" s="6" t="str">
        <f>IF(Table1[[#This Row],[FIN]]="","Acumulado",IF(ISNUMBER(SEARCH("ASAP",C267)),"ASAP",IF(NETWORKDAYS.INTL(F267,G267,1,Table2[Dias no laborales]) &lt;= 7, "Dentro", IF(A267&gt;F267,"Programado","Fuera"))))</f>
        <v>Dentro</v>
      </c>
      <c r="K267" s="6" t="str">
        <f t="shared" si="9"/>
        <v>A tiempo</v>
      </c>
      <c r="L267" s="8"/>
      <c r="M267" s="17">
        <f>MAX(1,NETWORKDAYS(A267,L267,Table2[Dias no laborales]))</f>
        <v>1</v>
      </c>
    </row>
    <row r="268" spans="1:13" hidden="1" x14ac:dyDescent="0.3">
      <c r="A268" s="8">
        <v>45721</v>
      </c>
      <c r="B268" s="6" t="s">
        <v>646</v>
      </c>
      <c r="C268" s="6" t="s">
        <v>647</v>
      </c>
      <c r="D268" s="6" t="s">
        <v>139</v>
      </c>
      <c r="E268" s="14">
        <v>45721.369444444441</v>
      </c>
      <c r="F268" s="8">
        <f>IF(HOUR(Table1[[#This Row],[CORREO]])&gt;=11,WORKDAY(Table1[[#This Row],[CORREO]],1,Table2[Dias no laborales]),E268)</f>
        <v>45721.369444444441</v>
      </c>
      <c r="G268" s="8">
        <v>45741</v>
      </c>
      <c r="H268" s="6">
        <f t="shared" si="8"/>
        <v>10</v>
      </c>
      <c r="I268" s="16">
        <f>MAX(1, NETWORKDAYS(A268, G268,Table2[Dias no laborales]))</f>
        <v>15</v>
      </c>
      <c r="J268" s="6" t="str">
        <f>IF(Table1[[#This Row],[FIN]]="","Acumulado",IF(ISNUMBER(SEARCH("ASAP",C268)),"ASAP",IF(NETWORKDAYS.INTL(F268,G268,1,Table2[Dias no laborales]) &lt;= 7, "Dentro", IF(A268&gt;F268,"Programado","Fuera"))))</f>
        <v>Fuera</v>
      </c>
      <c r="K268" s="6" t="str">
        <f t="shared" si="9"/>
        <v>A tiempo</v>
      </c>
      <c r="L268" s="8"/>
      <c r="M268" s="17">
        <f>MAX(1,NETWORKDAYS(A268,L268,Table2[Dias no laborales]))</f>
        <v>1</v>
      </c>
    </row>
    <row r="269" spans="1:13" hidden="1" x14ac:dyDescent="0.3">
      <c r="A269" s="8">
        <v>45721</v>
      </c>
      <c r="B269" s="6" t="s">
        <v>604</v>
      </c>
      <c r="C269" s="6" t="s">
        <v>481</v>
      </c>
      <c r="D269" s="6" t="s">
        <v>482</v>
      </c>
      <c r="E269" s="14">
        <v>45721.452777777777</v>
      </c>
      <c r="F269" s="8">
        <f>IF(HOUR(Table1[[#This Row],[CORREO]])&gt;=11,WORKDAY(Table1[[#This Row],[CORREO]],1,Table2[Dias no laborales]),E269)</f>
        <v>45721.452777777777</v>
      </c>
      <c r="G269" s="8">
        <v>45734</v>
      </c>
      <c r="H269" s="6">
        <f t="shared" si="8"/>
        <v>10</v>
      </c>
      <c r="I269" s="16">
        <f>MAX(1, NETWORKDAYS(A269, G269,Table2[Dias no laborales]))</f>
        <v>10</v>
      </c>
      <c r="J269" s="6" t="str">
        <f>IF(Table1[[#This Row],[FIN]]="","Acumulado",IF(ISNUMBER(SEARCH("ASAP",C269)),"ASAP",IF(NETWORKDAYS.INTL(F269,G269,1,Table2[Dias no laborales]) &lt;= 7, "Dentro", IF(A269&gt;F269,"Programado","Fuera"))))</f>
        <v>Fuera</v>
      </c>
      <c r="K269" s="6" t="str">
        <f t="shared" si="9"/>
        <v>A tiempo</v>
      </c>
      <c r="L269" s="8"/>
      <c r="M269" s="17">
        <f>MAX(1,NETWORKDAYS(A269,L269,Table2[Dias no laborales]))</f>
        <v>1</v>
      </c>
    </row>
    <row r="270" spans="1:13" hidden="1" x14ac:dyDescent="0.3">
      <c r="A270" s="8">
        <v>45722</v>
      </c>
      <c r="B270" s="6" t="s">
        <v>518</v>
      </c>
      <c r="C270" s="6" t="s">
        <v>519</v>
      </c>
      <c r="D270" s="6" t="s">
        <v>372</v>
      </c>
      <c r="E270" s="14">
        <v>45721.561805555553</v>
      </c>
      <c r="F270" s="8">
        <f>IF(HOUR(Table1[[#This Row],[CORREO]])&gt;=11,WORKDAY(Table1[[#This Row],[CORREO]],1,Table2[Dias no laborales]),E270)</f>
        <v>45722</v>
      </c>
      <c r="G270" s="8">
        <v>45722</v>
      </c>
      <c r="H270" s="6">
        <f t="shared" si="8"/>
        <v>10</v>
      </c>
      <c r="I270" s="16">
        <f>MAX(1, NETWORKDAYS(A270, G270,Table2[Dias no laborales]))</f>
        <v>1</v>
      </c>
      <c r="J270" s="6" t="str">
        <f>IF(Table1[[#This Row],[FIN]]="","Acumulado",IF(ISNUMBER(SEARCH("ASAP",C270)),"ASAP",IF(NETWORKDAYS.INTL(F270,G270,1,Table2[Dias no laborales]) &lt;= 7, "Dentro", IF(A270&gt;F270,"Programado","Fuera"))))</f>
        <v>Dentro</v>
      </c>
      <c r="K270" s="6" t="str">
        <f t="shared" si="9"/>
        <v>A tiempo</v>
      </c>
      <c r="L270" s="8"/>
      <c r="M270" s="17">
        <f>MAX(1,NETWORKDAYS(A270,L270,Table2[Dias no laborales]))</f>
        <v>1</v>
      </c>
    </row>
    <row r="271" spans="1:13" hidden="1" x14ac:dyDescent="0.3">
      <c r="A271" s="8">
        <v>45722</v>
      </c>
      <c r="B271" s="6" t="s">
        <v>600</v>
      </c>
      <c r="C271" s="6" t="s">
        <v>601</v>
      </c>
      <c r="D271" s="6" t="s">
        <v>238</v>
      </c>
      <c r="E271" s="14">
        <v>45721.674305555556</v>
      </c>
      <c r="F271" s="8">
        <f>IF(HOUR(Table1[[#This Row],[CORREO]])&gt;=11,WORKDAY(Table1[[#This Row],[CORREO]],1,Table2[Dias no laborales]),E271)</f>
        <v>45722</v>
      </c>
      <c r="G271" s="8">
        <v>45730</v>
      </c>
      <c r="H271" s="6">
        <f t="shared" si="8"/>
        <v>10</v>
      </c>
      <c r="I271" s="16">
        <f>MAX(1, NETWORKDAYS(A271, G271,Table2[Dias no laborales]))</f>
        <v>7</v>
      </c>
      <c r="J271" s="6" t="str">
        <f>IF(Table1[[#This Row],[FIN]]="","Acumulado",IF(ISNUMBER(SEARCH("ASAP",C271)),"ASAP",IF(NETWORKDAYS.INTL(F271,G271,1,Table2[Dias no laborales]) &lt;= 7, "Dentro", IF(A271&gt;F271,"Programado","Fuera"))))</f>
        <v>Dentro</v>
      </c>
      <c r="K271" s="6" t="str">
        <f t="shared" si="9"/>
        <v>A tiempo</v>
      </c>
      <c r="L271" s="8"/>
      <c r="M271" s="17">
        <f>MAX(1,NETWORKDAYS(A271,L271,Table2[Dias no laborales]))</f>
        <v>1</v>
      </c>
    </row>
    <row r="272" spans="1:13" hidden="1" x14ac:dyDescent="0.3">
      <c r="A272" s="8">
        <v>45722</v>
      </c>
      <c r="B272" s="6" t="s">
        <v>591</v>
      </c>
      <c r="C272" s="6" t="s">
        <v>592</v>
      </c>
      <c r="D272" s="6" t="s">
        <v>593</v>
      </c>
      <c r="E272" s="14">
        <v>45721.718055555553</v>
      </c>
      <c r="F272" s="8">
        <f>IF(HOUR(Table1[[#This Row],[CORREO]])&gt;=11,WORKDAY(Table1[[#This Row],[CORREO]],1,Table2[Dias no laborales]),E272)</f>
        <v>45722</v>
      </c>
      <c r="G272" s="8">
        <v>45729</v>
      </c>
      <c r="H272" s="6">
        <f t="shared" si="8"/>
        <v>10</v>
      </c>
      <c r="I272" s="16">
        <f>MAX(1, NETWORKDAYS(A272, G272,Table2[Dias no laborales]))</f>
        <v>6</v>
      </c>
      <c r="J272" s="6" t="str">
        <f>IF(Table1[[#This Row],[FIN]]="","Acumulado",IF(ISNUMBER(SEARCH("ASAP",C272)),"ASAP",IF(NETWORKDAYS.INTL(F272,G272,1,Table2[Dias no laborales]) &lt;= 7, "Dentro", IF(A272&gt;F272,"Programado","Fuera"))))</f>
        <v>Dentro</v>
      </c>
      <c r="K272" s="6" t="str">
        <f t="shared" si="9"/>
        <v>A tiempo</v>
      </c>
      <c r="L272" s="8"/>
      <c r="M272" s="17">
        <f>MAX(1,NETWORKDAYS(A272,L272,Table2[Dias no laborales]))</f>
        <v>1</v>
      </c>
    </row>
    <row r="273" spans="1:13" hidden="1" x14ac:dyDescent="0.3">
      <c r="A273" s="8">
        <v>45722</v>
      </c>
      <c r="B273" s="6" t="s">
        <v>539</v>
      </c>
      <c r="C273" s="6" t="s">
        <v>540</v>
      </c>
      <c r="D273" s="6" t="s">
        <v>133</v>
      </c>
      <c r="E273" s="14">
        <v>45722.378472222219</v>
      </c>
      <c r="F273" s="8">
        <f>IF(HOUR(Table1[[#This Row],[CORREO]])&gt;=11,WORKDAY(Table1[[#This Row],[CORREO]],1,Table2[Dias no laborales]),E273)</f>
        <v>45722.378472222219</v>
      </c>
      <c r="G273" s="8">
        <v>45726</v>
      </c>
      <c r="H273" s="6">
        <f t="shared" si="8"/>
        <v>10</v>
      </c>
      <c r="I273" s="16">
        <f>MAX(1, NETWORKDAYS(A273, G273,Table2[Dias no laborales]))</f>
        <v>3</v>
      </c>
      <c r="J273" s="6" t="str">
        <f>IF(Table1[[#This Row],[FIN]]="","Acumulado",IF(ISNUMBER(SEARCH("ASAP",C273)),"ASAP",IF(NETWORKDAYS.INTL(F273,G273,1,Table2[Dias no laborales]) &lt;= 7, "Dentro", IF(A273&gt;F273,"Programado","Fuera"))))</f>
        <v>Dentro</v>
      </c>
      <c r="K273" s="6" t="str">
        <f t="shared" si="9"/>
        <v>A tiempo</v>
      </c>
      <c r="L273" s="8"/>
      <c r="M273" s="17">
        <f>MAX(1,NETWORKDAYS(A273,L273,Table2[Dias no laborales]))</f>
        <v>1</v>
      </c>
    </row>
    <row r="274" spans="1:13" hidden="1" x14ac:dyDescent="0.3">
      <c r="A274" s="8">
        <v>45722</v>
      </c>
      <c r="B274" s="5" t="s">
        <v>844</v>
      </c>
      <c r="C274" s="5" t="s">
        <v>845</v>
      </c>
      <c r="D274" s="5" t="s">
        <v>42</v>
      </c>
      <c r="E274" s="14">
        <v>45722.399305555555</v>
      </c>
      <c r="F274" s="8">
        <f>IF(HOUR(Table1[[#This Row],[CORREO]])&gt;=11,WORKDAY(Table1[[#This Row],[CORREO]],1,Table2[Dias no laborales]),E274)</f>
        <v>45722.399305555555</v>
      </c>
      <c r="G274" s="8">
        <v>45763</v>
      </c>
      <c r="H274" s="6">
        <f t="shared" si="8"/>
        <v>10</v>
      </c>
      <c r="I274" s="16">
        <f>MAX(1, NETWORKDAYS(A274, G274,Table2[Dias no laborales]))</f>
        <v>30</v>
      </c>
      <c r="J274" s="6" t="str">
        <f>IF(Table1[[#This Row],[FIN]]="","Acumulado",IF(ISNUMBER(SEARCH("ASAP",C274)),"ASAP",IF(NETWORKDAYS.INTL(F274,G274,1,Table2[Dias no laborales]) &lt;= 7, "Dentro", IF(A274&gt;F274,"Programado","Fuera"))))</f>
        <v>Fuera</v>
      </c>
      <c r="K274" s="6" t="str">
        <f t="shared" si="9"/>
        <v>A tiempo</v>
      </c>
      <c r="L274" s="8"/>
      <c r="M274" s="17">
        <f>MAX(1,NETWORKDAYS(A274,L274,Table2[Dias no laborales]))</f>
        <v>1</v>
      </c>
    </row>
    <row r="275" spans="1:13" hidden="1" x14ac:dyDescent="0.3">
      <c r="A275" s="8">
        <v>45722</v>
      </c>
      <c r="B275" s="6" t="s">
        <v>532</v>
      </c>
      <c r="C275" s="6" t="s">
        <v>533</v>
      </c>
      <c r="D275" s="6" t="s">
        <v>61</v>
      </c>
      <c r="E275" s="14">
        <v>45722.446527777778</v>
      </c>
      <c r="F275" s="8">
        <f>IF(HOUR(Table1[[#This Row],[CORREO]])&gt;=11,WORKDAY(Table1[[#This Row],[CORREO]],1,Table2[Dias no laborales]),E275)</f>
        <v>45722.446527777778</v>
      </c>
      <c r="G275" s="8">
        <v>45723</v>
      </c>
      <c r="H275" s="6">
        <f t="shared" si="8"/>
        <v>10</v>
      </c>
      <c r="I275" s="16">
        <f>MAX(1, NETWORKDAYS(A275, G275,Table2[Dias no laborales]))</f>
        <v>2</v>
      </c>
      <c r="J275" s="6" t="str">
        <f>IF(Table1[[#This Row],[FIN]]="","Acumulado",IF(ISNUMBER(SEARCH("ASAP",C275)),"ASAP",IF(NETWORKDAYS.INTL(F275,G275,1,Table2[Dias no laborales]) &lt;= 7, "Dentro", IF(A275&gt;F275,"Programado","Fuera"))))</f>
        <v>Dentro</v>
      </c>
      <c r="K275" s="6" t="str">
        <f t="shared" si="9"/>
        <v>A tiempo</v>
      </c>
      <c r="L275" s="8"/>
      <c r="M275" s="17">
        <f>MAX(1,NETWORKDAYS(A275,L275,Table2[Dias no laborales]))</f>
        <v>1</v>
      </c>
    </row>
    <row r="276" spans="1:13" hidden="1" x14ac:dyDescent="0.3">
      <c r="A276" s="8">
        <v>45722</v>
      </c>
      <c r="B276" s="6" t="s">
        <v>520</v>
      </c>
      <c r="C276" s="6" t="s">
        <v>521</v>
      </c>
      <c r="D276" s="6" t="s">
        <v>372</v>
      </c>
      <c r="E276" s="14">
        <v>45722.457638888889</v>
      </c>
      <c r="F276" s="8">
        <f>IF(HOUR(Table1[[#This Row],[CORREO]])&gt;=11,WORKDAY(Table1[[#This Row],[CORREO]],1,Table2[Dias no laborales]),E276)</f>
        <v>45722.457638888889</v>
      </c>
      <c r="G276" s="8">
        <v>45722</v>
      </c>
      <c r="H276" s="6">
        <f t="shared" si="8"/>
        <v>10</v>
      </c>
      <c r="I276" s="16">
        <f>MAX(1, NETWORKDAYS(A276, G276,Table2[Dias no laborales]))</f>
        <v>1</v>
      </c>
      <c r="J276" s="6" t="str">
        <f>IF(Table1[[#This Row],[FIN]]="","Acumulado",IF(ISNUMBER(SEARCH("ASAP",C276)),"ASAP",IF(NETWORKDAYS.INTL(F276,G276,1,Table2[Dias no laborales]) &lt;= 7, "Dentro", IF(A276&gt;F276,"Programado","Fuera"))))</f>
        <v>Dentro</v>
      </c>
      <c r="K276" s="6" t="str">
        <f t="shared" si="9"/>
        <v>A tiempo</v>
      </c>
      <c r="L276" s="8"/>
      <c r="M276" s="17">
        <f>MAX(1,NETWORKDAYS(A276,L276,Table2[Dias no laborales]))</f>
        <v>1</v>
      </c>
    </row>
    <row r="277" spans="1:13" hidden="1" x14ac:dyDescent="0.3">
      <c r="A277" s="8">
        <v>45722</v>
      </c>
      <c r="B277" s="6" t="s">
        <v>2704</v>
      </c>
      <c r="C277" s="6" t="s">
        <v>2710</v>
      </c>
      <c r="D277" s="6" t="s">
        <v>24</v>
      </c>
      <c r="E277" s="14"/>
      <c r="F277" s="8">
        <f>IF(HOUR(Table1[[#This Row],[CORREO]])&gt;=11,WORKDAY(Table1[[#This Row],[CORREO]],1,Table2[Dias no laborales]),E277)</f>
        <v>0</v>
      </c>
      <c r="G277" s="8">
        <v>46086</v>
      </c>
      <c r="H277" s="6">
        <f t="shared" si="8"/>
        <v>10</v>
      </c>
      <c r="I277" s="16">
        <f>MAX(1, NETWORKDAYS(A277, G277,Table2[Dias no laborales]))</f>
        <v>255</v>
      </c>
      <c r="J277" s="6" t="str">
        <f>IF(Table1[[#This Row],[FIN]]="","Acumulado",IF(ISNUMBER(SEARCH("ASAP",C277)),"ASAP",IF(NETWORKDAYS.INTL(F277,G277,1,Table2[Dias no laborales]) &lt;= 7, "Dentro", IF(A277&gt;F277,"Programado","Fuera"))))</f>
        <v>ASAP</v>
      </c>
      <c r="K277" s="6" t="str">
        <f t="shared" si="9"/>
        <v>Programados</v>
      </c>
      <c r="L277" s="8">
        <v>45723</v>
      </c>
      <c r="M277" s="17">
        <f>MAX(1,NETWORKDAYS(A277,L277,Table2[Dias no laborales]))</f>
        <v>2</v>
      </c>
    </row>
    <row r="278" spans="1:13" hidden="1" x14ac:dyDescent="0.3">
      <c r="A278" s="8">
        <v>45723</v>
      </c>
      <c r="B278" s="6" t="s">
        <v>563</v>
      </c>
      <c r="C278" s="6" t="s">
        <v>564</v>
      </c>
      <c r="D278" s="6" t="s">
        <v>372</v>
      </c>
      <c r="E278" s="14">
        <v>45722.138888888891</v>
      </c>
      <c r="F278" s="8">
        <f>IF(HOUR(Table1[[#This Row],[CORREO]])&gt;=11,WORKDAY(Table1[[#This Row],[CORREO]],1,Table2[Dias no laborales]),E278)</f>
        <v>45722.138888888891</v>
      </c>
      <c r="G278" s="8">
        <v>45727</v>
      </c>
      <c r="H278" s="6">
        <f t="shared" si="8"/>
        <v>10</v>
      </c>
      <c r="I278" s="16">
        <f>MAX(1, NETWORKDAYS(A278, G278,Table2[Dias no laborales]))</f>
        <v>3</v>
      </c>
      <c r="J278" s="6" t="str">
        <f>IF(Table1[[#This Row],[FIN]]="","Acumulado",IF(ISNUMBER(SEARCH("ASAP",C278)),"ASAP",IF(NETWORKDAYS.INTL(F278,G278,1,Table2[Dias no laborales]) &lt;= 7, "Dentro", IF(A278&gt;F278,"Programado","Fuera"))))</f>
        <v>Dentro</v>
      </c>
      <c r="K278" s="6" t="str">
        <f t="shared" si="9"/>
        <v>Programados</v>
      </c>
      <c r="L278" s="8"/>
      <c r="M278" s="17">
        <f>MAX(1,NETWORKDAYS(A278,L278,Table2[Dias no laborales]))</f>
        <v>1</v>
      </c>
    </row>
    <row r="279" spans="1:13" hidden="1" x14ac:dyDescent="0.3">
      <c r="A279" s="8">
        <v>45723</v>
      </c>
      <c r="B279" s="6" t="s">
        <v>541</v>
      </c>
      <c r="C279" s="6" t="s">
        <v>542</v>
      </c>
      <c r="D279" s="6" t="s">
        <v>423</v>
      </c>
      <c r="E279" s="14"/>
      <c r="F279" s="8">
        <f>IF(HOUR(Table1[[#This Row],[CORREO]])&gt;=11,WORKDAY(Table1[[#This Row],[CORREO]],1,Table2[Dias no laborales]),E279)</f>
        <v>0</v>
      </c>
      <c r="G279" s="8">
        <v>45726</v>
      </c>
      <c r="H279" s="6">
        <f t="shared" si="8"/>
        <v>10</v>
      </c>
      <c r="I279" s="16">
        <f>MAX(1, NETWORKDAYS(A279, G279,Table2[Dias no laborales]))</f>
        <v>2</v>
      </c>
      <c r="J279" s="6" t="str">
        <f>IF(Table1[[#This Row],[FIN]]="","Acumulado",IF(ISNUMBER(SEARCH("ASAP",C279)),"ASAP",IF(NETWORKDAYS.INTL(F279,G279,1,Table2[Dias no laborales]) &lt;= 7, "Dentro", IF(A279&gt;F279,"Programado","Fuera"))))</f>
        <v>Programado</v>
      </c>
      <c r="K279" s="6" t="str">
        <f t="shared" si="9"/>
        <v>Programados</v>
      </c>
      <c r="L279" s="8"/>
      <c r="M279" s="17">
        <f>MAX(1,NETWORKDAYS(A279,L279,Table2[Dias no laborales]))</f>
        <v>1</v>
      </c>
    </row>
    <row r="280" spans="1:13" hidden="1" x14ac:dyDescent="0.3">
      <c r="A280" s="8">
        <v>45754</v>
      </c>
      <c r="B280" s="6" t="s">
        <v>744</v>
      </c>
      <c r="C280" s="6" t="s">
        <v>745</v>
      </c>
      <c r="D280" s="6" t="s">
        <v>24</v>
      </c>
      <c r="E280" s="14">
        <v>45722.748611111114</v>
      </c>
      <c r="F280" s="8">
        <f>IF(HOUR(Table1[[#This Row],[CORREO]])&gt;=11,WORKDAY(Table1[[#This Row],[CORREO]],1,Table2[Dias no laborales]),E280)</f>
        <v>45723</v>
      </c>
      <c r="G280" s="8">
        <v>45754</v>
      </c>
      <c r="H280" s="6">
        <f t="shared" si="8"/>
        <v>14</v>
      </c>
      <c r="I280" s="16">
        <f>MAX(1, NETWORKDAYS(A280, G280,Table2[Dias no laborales]))</f>
        <v>1</v>
      </c>
      <c r="J280" s="6" t="str">
        <f>IF(Table1[[#This Row],[FIN]]="","Acumulado",IF(ISNUMBER(SEARCH("ASAP",C280)),"ASAP",IF(NETWORKDAYS.INTL(F280,G280,1,Table2[Dias no laborales]) &lt;= 7, "Dentro", IF(A280&gt;F280,"Programado","Fuera"))))</f>
        <v>Programado</v>
      </c>
      <c r="K280" s="6" t="str">
        <f t="shared" si="9"/>
        <v>Programados</v>
      </c>
      <c r="L280" s="8"/>
      <c r="M280" s="17">
        <f>MAX(1,NETWORKDAYS(A280,L280,Table2[Dias no laborales]))</f>
        <v>1</v>
      </c>
    </row>
    <row r="281" spans="1:13" hidden="1" x14ac:dyDescent="0.3">
      <c r="A281" s="8">
        <v>45723</v>
      </c>
      <c r="B281" s="6" t="s">
        <v>555</v>
      </c>
      <c r="C281" s="6" t="s">
        <v>556</v>
      </c>
      <c r="D281" s="6" t="s">
        <v>238</v>
      </c>
      <c r="E281" s="14">
        <v>45723.395833333336</v>
      </c>
      <c r="F281" s="8">
        <f>IF(HOUR(Table1[[#This Row],[CORREO]])&gt;=11,WORKDAY(Table1[[#This Row],[CORREO]],1,Table2[Dias no laborales]),E281)</f>
        <v>45723.395833333336</v>
      </c>
      <c r="G281" s="8">
        <v>45727</v>
      </c>
      <c r="H281" s="6">
        <f t="shared" si="8"/>
        <v>10</v>
      </c>
      <c r="I281" s="16">
        <f>MAX(1, NETWORKDAYS(A281, G281,Table2[Dias no laborales]))</f>
        <v>3</v>
      </c>
      <c r="J281" s="6" t="str">
        <f>IF(Table1[[#This Row],[FIN]]="","Acumulado",IF(ISNUMBER(SEARCH("ASAP",C281)),"ASAP",IF(NETWORKDAYS.INTL(F281,G281,1,Table2[Dias no laborales]) &lt;= 7, "Dentro", IF(A281&gt;F281,"Programado","Fuera"))))</f>
        <v>Dentro</v>
      </c>
      <c r="K281" s="6" t="str">
        <f t="shared" si="9"/>
        <v>A tiempo</v>
      </c>
      <c r="L281" s="8"/>
      <c r="M281" s="17">
        <f>MAX(1,NETWORKDAYS(A281,L281,Table2[Dias no laborales]))</f>
        <v>1</v>
      </c>
    </row>
    <row r="282" spans="1:13" hidden="1" x14ac:dyDescent="0.3">
      <c r="A282" s="8">
        <v>45723</v>
      </c>
      <c r="B282" s="6" t="s">
        <v>810</v>
      </c>
      <c r="C282" s="6" t="s">
        <v>506</v>
      </c>
      <c r="D282" s="6" t="s">
        <v>24</v>
      </c>
      <c r="E282" s="14"/>
      <c r="F282" s="8">
        <f>IF(HOUR(Table1[[#This Row],[CORREO]])&gt;=11,WORKDAY(Table1[[#This Row],[CORREO]],1,Table2[Dias no laborales]),E282)</f>
        <v>0</v>
      </c>
      <c r="G282" s="8">
        <v>45761</v>
      </c>
      <c r="H282" s="6">
        <f t="shared" si="8"/>
        <v>10</v>
      </c>
      <c r="I282" s="16">
        <f>MAX(1, NETWORKDAYS(A282, G282,Table2[Dias no laborales]))</f>
        <v>27</v>
      </c>
      <c r="J282" s="6" t="str">
        <f>IF(Table1[[#This Row],[FIN]]="","Acumulado",IF(ISNUMBER(SEARCH("ASAP",C282)),"ASAP",IF(NETWORKDAYS.INTL(F282,G282,1,Table2[Dias no laborales]) &lt;= 7, "Dentro", IF(A282&gt;F282,"Programado","Fuera"))))</f>
        <v>Programado</v>
      </c>
      <c r="K282" s="6" t="str">
        <f t="shared" si="9"/>
        <v>Programados</v>
      </c>
      <c r="L282" s="8"/>
      <c r="M282" s="17">
        <f>MAX(1,NETWORKDAYS(A282,L282,Table2[Dias no laborales]))</f>
        <v>1</v>
      </c>
    </row>
    <row r="283" spans="1:13" hidden="1" x14ac:dyDescent="0.3">
      <c r="A283" s="8">
        <v>45723</v>
      </c>
      <c r="B283" s="6" t="s">
        <v>536</v>
      </c>
      <c r="C283" s="6" t="s">
        <v>537</v>
      </c>
      <c r="D283" s="6" t="s">
        <v>538</v>
      </c>
      <c r="E283" s="14">
        <v>45723.727777777778</v>
      </c>
      <c r="F283" s="8">
        <f>IF(HOUR(Table1[[#This Row],[CORREO]])&gt;=11,WORKDAY(Table1[[#This Row],[CORREO]],1,Table2[Dias no laborales]),E283)</f>
        <v>45726</v>
      </c>
      <c r="G283" s="8">
        <v>45723</v>
      </c>
      <c r="H283" s="6">
        <f t="shared" si="8"/>
        <v>10</v>
      </c>
      <c r="I283" s="16">
        <f>MAX(1, NETWORKDAYS(A283, G283,Table2[Dias no laborales]))</f>
        <v>1</v>
      </c>
      <c r="J283" s="6" t="str">
        <f>IF(Table1[[#This Row],[FIN]]="","Acumulado",IF(ISNUMBER(SEARCH("ASAP",C283)),"ASAP",IF(NETWORKDAYS.INTL(F283,G283,1,Table2[Dias no laborales]) &lt;= 7, "Dentro", IF(A283&gt;F283,"Programado","Fuera"))))</f>
        <v>Dentro</v>
      </c>
      <c r="K283" s="6" t="str">
        <f t="shared" si="9"/>
        <v>Mismo día</v>
      </c>
      <c r="L283" s="8"/>
      <c r="M283" s="17">
        <f>MAX(1,NETWORKDAYS(A283,L283,Table2[Dias no laborales]))</f>
        <v>1</v>
      </c>
    </row>
    <row r="284" spans="1:13" hidden="1" x14ac:dyDescent="0.3">
      <c r="A284" s="8">
        <v>45726</v>
      </c>
      <c r="B284" s="6" t="s">
        <v>596</v>
      </c>
      <c r="C284" s="6" t="s">
        <v>597</v>
      </c>
      <c r="D284" s="6" t="s">
        <v>24</v>
      </c>
      <c r="E284" s="14"/>
      <c r="F284" s="8">
        <f>IF(HOUR(Table1[[#This Row],[CORREO]])&gt;=11,WORKDAY(Table1[[#This Row],[CORREO]],1,Table2[Dias no laborales]),E284)</f>
        <v>0</v>
      </c>
      <c r="G284" s="8">
        <v>45730</v>
      </c>
      <c r="H284" s="6">
        <f t="shared" si="8"/>
        <v>10</v>
      </c>
      <c r="I284" s="16">
        <f>MAX(1, NETWORKDAYS(A284, G284,Table2[Dias no laborales]))</f>
        <v>5</v>
      </c>
      <c r="J284" s="6" t="str">
        <f>IF(Table1[[#This Row],[FIN]]="","Acumulado",IF(ISNUMBER(SEARCH("ASAP",C284)),"ASAP",IF(NETWORKDAYS.INTL(F284,G284,1,Table2[Dias no laborales]) &lt;= 7, "Dentro", IF(A284&gt;F284,"Programado","Fuera"))))</f>
        <v>Programado</v>
      </c>
      <c r="K284" s="6" t="str">
        <f t="shared" si="9"/>
        <v>Programados</v>
      </c>
      <c r="L284" s="8"/>
      <c r="M284" s="17">
        <f>MAX(1,NETWORKDAYS(A284,L284,Table2[Dias no laborales]))</f>
        <v>1</v>
      </c>
    </row>
    <row r="285" spans="1:13" hidden="1" x14ac:dyDescent="0.3">
      <c r="A285" s="8">
        <v>45726</v>
      </c>
      <c r="B285" s="6" t="s">
        <v>576</v>
      </c>
      <c r="C285" s="6" t="s">
        <v>577</v>
      </c>
      <c r="D285" s="6" t="s">
        <v>24</v>
      </c>
      <c r="E285" s="14">
        <v>45726.429166666669</v>
      </c>
      <c r="F285" s="8">
        <f>IF(HOUR(Table1[[#This Row],[CORREO]])&gt;=11,WORKDAY(Table1[[#This Row],[CORREO]],1,Table2[Dias no laborales]),E285)</f>
        <v>45726.429166666669</v>
      </c>
      <c r="G285" s="8">
        <v>45728</v>
      </c>
      <c r="H285" s="6">
        <f t="shared" si="8"/>
        <v>10</v>
      </c>
      <c r="I285" s="16">
        <f>MAX(1, NETWORKDAYS(A285, G285,Table2[Dias no laborales]))</f>
        <v>3</v>
      </c>
      <c r="J285" s="6" t="str">
        <f>IF(Table1[[#This Row],[FIN]]="","Acumulado",IF(ISNUMBER(SEARCH("ASAP",C285)),"ASAP",IF(NETWORKDAYS.INTL(F285,G285,1,Table2[Dias no laborales]) &lt;= 7, "Dentro", IF(A285&gt;F285,"Programado","Fuera"))))</f>
        <v>Dentro</v>
      </c>
      <c r="K285" s="6" t="str">
        <f t="shared" si="9"/>
        <v>A tiempo</v>
      </c>
      <c r="L285" s="8"/>
      <c r="M285" s="17">
        <f>MAX(1,NETWORKDAYS(A285,L285,Table2[Dias no laborales]))</f>
        <v>1</v>
      </c>
    </row>
    <row r="286" spans="1:13" hidden="1" x14ac:dyDescent="0.3">
      <c r="A286" s="8">
        <v>45726</v>
      </c>
      <c r="B286" s="6" t="s">
        <v>574</v>
      </c>
      <c r="C286" s="6" t="s">
        <v>575</v>
      </c>
      <c r="D286" s="6" t="s">
        <v>24</v>
      </c>
      <c r="E286" s="14"/>
      <c r="F286" s="8">
        <f>IF(HOUR(Table1[[#This Row],[CORREO]])&gt;=11,WORKDAY(Table1[[#This Row],[CORREO]],1,Table2[Dias no laborales]),E286)</f>
        <v>0</v>
      </c>
      <c r="G286" s="8">
        <v>45728</v>
      </c>
      <c r="H286" s="6">
        <f t="shared" si="8"/>
        <v>10</v>
      </c>
      <c r="I286" s="16">
        <f>MAX(1, NETWORKDAYS(A286, G286,Table2[Dias no laborales]))</f>
        <v>3</v>
      </c>
      <c r="J286" s="6" t="str">
        <f>IF(Table1[[#This Row],[FIN]]="","Acumulado",IF(ISNUMBER(SEARCH("ASAP",C286)),"ASAP",IF(NETWORKDAYS.INTL(F286,G286,1,Table2[Dias no laborales]) &lt;= 7, "Dentro", IF(A286&gt;F286,"Programado","Fuera"))))</f>
        <v>Programado</v>
      </c>
      <c r="K286" s="6" t="str">
        <f t="shared" si="9"/>
        <v>Programados</v>
      </c>
      <c r="L286" s="8"/>
      <c r="M286" s="17">
        <f>MAX(1,NETWORKDAYS(A286,L286,Table2[Dias no laborales]))</f>
        <v>1</v>
      </c>
    </row>
    <row r="287" spans="1:13" hidden="1" x14ac:dyDescent="0.3">
      <c r="A287" s="8">
        <v>45727</v>
      </c>
      <c r="B287" s="6" t="s">
        <v>569</v>
      </c>
      <c r="C287" s="6" t="s">
        <v>570</v>
      </c>
      <c r="D287" s="6" t="s">
        <v>571</v>
      </c>
      <c r="E287" s="14">
        <v>45727.317361111112</v>
      </c>
      <c r="F287" s="8">
        <f>IF(HOUR(Table1[[#This Row],[CORREO]])&gt;=11,WORKDAY(Table1[[#This Row],[CORREO]],1,Table2[Dias no laborales]),E287)</f>
        <v>45727.317361111112</v>
      </c>
      <c r="G287" s="8">
        <v>45727</v>
      </c>
      <c r="H287" s="6">
        <f t="shared" si="8"/>
        <v>10</v>
      </c>
      <c r="I287" s="16">
        <f>MAX(1, NETWORKDAYS(A287, G287,Table2[Dias no laborales]))</f>
        <v>1</v>
      </c>
      <c r="J287" s="6" t="str">
        <f>IF(Table1[[#This Row],[FIN]]="","Acumulado",IF(ISNUMBER(SEARCH("ASAP",C287)),"ASAP",IF(NETWORKDAYS.INTL(F287,G287,1,Table2[Dias no laborales]) &lt;= 7, "Dentro", IF(A287&gt;F287,"Programado","Fuera"))))</f>
        <v>Dentro</v>
      </c>
      <c r="K287" s="6" t="str">
        <f t="shared" si="9"/>
        <v>A tiempo</v>
      </c>
      <c r="L287" s="8"/>
      <c r="M287" s="17">
        <f>MAX(1,NETWORKDAYS(A287,L287,Table2[Dias no laborales]))</f>
        <v>1</v>
      </c>
    </row>
    <row r="288" spans="1:13" hidden="1" x14ac:dyDescent="0.3">
      <c r="A288" s="8">
        <v>45727</v>
      </c>
      <c r="B288" s="6" t="s">
        <v>675</v>
      </c>
      <c r="C288" s="6" t="s">
        <v>676</v>
      </c>
      <c r="D288" s="6" t="s">
        <v>24</v>
      </c>
      <c r="E288" s="14">
        <v>45727.322222222225</v>
      </c>
      <c r="F288" s="8">
        <f>IF(HOUR(Table1[[#This Row],[CORREO]])&gt;=11,WORKDAY(Table1[[#This Row],[CORREO]],1,Table2[Dias no laborales]),E288)</f>
        <v>45727.322222222225</v>
      </c>
      <c r="G288" s="8">
        <v>45743</v>
      </c>
      <c r="H288" s="6">
        <f t="shared" si="8"/>
        <v>10</v>
      </c>
      <c r="I288" s="16">
        <f>MAX(1, NETWORKDAYS(A288, G288,Table2[Dias no laborales]))</f>
        <v>13</v>
      </c>
      <c r="J288" s="6" t="str">
        <f>IF(Table1[[#This Row],[FIN]]="","Acumulado",IF(ISNUMBER(SEARCH("ASAP",C288)),"ASAP",IF(NETWORKDAYS.INTL(F288,G288,1,Table2[Dias no laborales]) &lt;= 7, "Dentro", IF(A288&gt;F288,"Programado","Fuera"))))</f>
        <v>Fuera</v>
      </c>
      <c r="K288" s="6" t="str">
        <f t="shared" si="9"/>
        <v>A tiempo</v>
      </c>
      <c r="L288" s="8"/>
      <c r="M288" s="17">
        <f>MAX(1,NETWORKDAYS(A288,L288,Table2[Dias no laborales]))</f>
        <v>1</v>
      </c>
    </row>
    <row r="289" spans="1:13" hidden="1" x14ac:dyDescent="0.3">
      <c r="A289" s="8">
        <v>45727</v>
      </c>
      <c r="B289" s="6" t="s">
        <v>783</v>
      </c>
      <c r="C289" s="6" t="s">
        <v>784</v>
      </c>
      <c r="D289" s="6" t="s">
        <v>785</v>
      </c>
      <c r="E289" s="14">
        <v>45727.324305555558</v>
      </c>
      <c r="F289" s="8">
        <f>IF(HOUR(Table1[[#This Row],[CORREO]])&gt;=11,WORKDAY(Table1[[#This Row],[CORREO]],1,Table2[Dias no laborales]),E289)</f>
        <v>45727.324305555558</v>
      </c>
      <c r="G289" s="8">
        <v>45757</v>
      </c>
      <c r="H289" s="6">
        <f t="shared" si="8"/>
        <v>10</v>
      </c>
      <c r="I289" s="16">
        <f>MAX(1, NETWORKDAYS(A289, G289,Table2[Dias no laborales]))</f>
        <v>23</v>
      </c>
      <c r="J289" s="6" t="str">
        <f>IF(Table1[[#This Row],[FIN]]="","Acumulado",IF(ISNUMBER(SEARCH("ASAP",C289)),"ASAP",IF(NETWORKDAYS.INTL(F289,G289,1,Table2[Dias no laborales]) &lt;= 7, "Dentro", IF(A289&gt;F289,"Programado","Fuera"))))</f>
        <v>Fuera</v>
      </c>
      <c r="K289" s="6" t="str">
        <f t="shared" si="9"/>
        <v>A tiempo</v>
      </c>
      <c r="L289" s="8"/>
      <c r="M289" s="17">
        <f>MAX(1,NETWORKDAYS(A289,L289,Table2[Dias no laborales]))</f>
        <v>1</v>
      </c>
    </row>
    <row r="290" spans="1:13" hidden="1" x14ac:dyDescent="0.3">
      <c r="A290" s="8">
        <v>45727</v>
      </c>
      <c r="B290" s="6" t="s">
        <v>572</v>
      </c>
      <c r="C290" s="6" t="s">
        <v>573</v>
      </c>
      <c r="D290" s="6" t="s">
        <v>133</v>
      </c>
      <c r="E290" s="14">
        <v>45726.373611111114</v>
      </c>
      <c r="F290" s="8">
        <f>IF(HOUR(Table1[[#This Row],[CORREO]])&gt;=11,WORKDAY(Table1[[#This Row],[CORREO]],1,Table2[Dias no laborales]),E290)</f>
        <v>45726.373611111114</v>
      </c>
      <c r="G290" s="8">
        <v>45728</v>
      </c>
      <c r="H290" s="6">
        <f t="shared" si="8"/>
        <v>10</v>
      </c>
      <c r="I290" s="16">
        <f>MAX(1, NETWORKDAYS(A290, G290,Table2[Dias no laborales]))</f>
        <v>2</v>
      </c>
      <c r="J290" s="6" t="str">
        <f>IF(Table1[[#This Row],[FIN]]="","Acumulado",IF(ISNUMBER(SEARCH("ASAP",C290)),"ASAP",IF(NETWORKDAYS.INTL(F290,G290,1,Table2[Dias no laborales]) &lt;= 7, "Dentro", IF(A290&gt;F290,"Programado","Fuera"))))</f>
        <v>Dentro</v>
      </c>
      <c r="K290" s="6" t="str">
        <f t="shared" si="9"/>
        <v>Programados</v>
      </c>
      <c r="L290" s="8"/>
      <c r="M290" s="17">
        <f>MAX(1,NETWORKDAYS(A290,L290,Table2[Dias no laborales]))</f>
        <v>1</v>
      </c>
    </row>
    <row r="291" spans="1:13" hidden="1" x14ac:dyDescent="0.3">
      <c r="A291" s="8">
        <v>45728</v>
      </c>
      <c r="B291" s="6" t="s">
        <v>587</v>
      </c>
      <c r="C291" s="6" t="s">
        <v>588</v>
      </c>
      <c r="D291" s="6" t="s">
        <v>56</v>
      </c>
      <c r="E291" s="14">
        <v>45727.642361111109</v>
      </c>
      <c r="F291" s="8">
        <f>IF(HOUR(Table1[[#This Row],[CORREO]])&gt;=11,WORKDAY(Table1[[#This Row],[CORREO]],1,Table2[Dias no laborales]),E291)</f>
        <v>45728</v>
      </c>
      <c r="G291" s="8">
        <v>45729</v>
      </c>
      <c r="H291" s="6">
        <f t="shared" si="8"/>
        <v>11</v>
      </c>
      <c r="I291" s="16">
        <f>MAX(1, NETWORKDAYS(A291, G291,Table2[Dias no laborales]))</f>
        <v>2</v>
      </c>
      <c r="J291" s="6" t="str">
        <f>IF(Table1[[#This Row],[FIN]]="","Acumulado",IF(ISNUMBER(SEARCH("ASAP",C291)),"ASAP",IF(NETWORKDAYS.INTL(F291,G291,1,Table2[Dias no laborales]) &lt;= 7, "Dentro", IF(A291&gt;F291,"Programado","Fuera"))))</f>
        <v>Dentro</v>
      </c>
      <c r="K291" s="6" t="str">
        <f t="shared" si="9"/>
        <v>A tiempo</v>
      </c>
      <c r="L291" s="8"/>
      <c r="M291" s="17">
        <f>MAX(1,NETWORKDAYS(A291,L291,Table2[Dias no laborales]))</f>
        <v>1</v>
      </c>
    </row>
    <row r="292" spans="1:13" hidden="1" x14ac:dyDescent="0.3">
      <c r="A292" s="8">
        <v>45728</v>
      </c>
      <c r="B292" s="6" t="s">
        <v>727</v>
      </c>
      <c r="C292" s="6" t="s">
        <v>728</v>
      </c>
      <c r="D292" s="6" t="s">
        <v>729</v>
      </c>
      <c r="E292" s="14">
        <v>45728.297222222223</v>
      </c>
      <c r="F292" s="8">
        <f>IF(HOUR(Table1[[#This Row],[CORREO]])&gt;=11,WORKDAY(Table1[[#This Row],[CORREO]],1,Table2[Dias no laborales]),E292)</f>
        <v>45728.297222222223</v>
      </c>
      <c r="G292" s="8">
        <v>45751</v>
      </c>
      <c r="H292" s="6">
        <f t="shared" si="8"/>
        <v>11</v>
      </c>
      <c r="I292" s="16">
        <f>MAX(1, NETWORKDAYS(A292, G292,Table2[Dias no laborales]))</f>
        <v>18</v>
      </c>
      <c r="J292" s="6" t="str">
        <f>IF(Table1[[#This Row],[FIN]]="","Acumulado",IF(ISNUMBER(SEARCH("ASAP",C292)),"ASAP",IF(NETWORKDAYS.INTL(F292,G292,1,Table2[Dias no laborales]) &lt;= 7, "Dentro", IF(A292&gt;F292,"Programado","Fuera"))))</f>
        <v>Fuera</v>
      </c>
      <c r="K292" s="6" t="str">
        <f t="shared" si="9"/>
        <v>A tiempo</v>
      </c>
      <c r="L292" s="8"/>
      <c r="M292" s="17">
        <f>MAX(1,NETWORKDAYS(A292,L292,Table2[Dias no laborales]))</f>
        <v>1</v>
      </c>
    </row>
    <row r="293" spans="1:13" hidden="1" x14ac:dyDescent="0.3">
      <c r="A293" s="8">
        <v>45789</v>
      </c>
      <c r="B293" s="6" t="s">
        <v>1126</v>
      </c>
      <c r="C293" s="6" t="s">
        <v>1127</v>
      </c>
      <c r="D293" s="6" t="s">
        <v>877</v>
      </c>
      <c r="E293" s="14">
        <v>45789.659722222219</v>
      </c>
      <c r="F293" s="8">
        <f>IF(HOUR(Table1[[#This Row],[CORREO]])&gt;=11,WORKDAY(Table1[[#This Row],[CORREO]],1,Table2[Dias no laborales]),E293)</f>
        <v>45790</v>
      </c>
      <c r="G293" s="8">
        <v>45793</v>
      </c>
      <c r="H293" s="6">
        <f t="shared" si="8"/>
        <v>19</v>
      </c>
      <c r="I293" s="16">
        <f>MAX(1, NETWORKDAYS(A293, G293,Table2[Dias no laborales]))</f>
        <v>5</v>
      </c>
      <c r="J293" s="6" t="str">
        <f>IF(Table1[[#This Row],[FIN]]="","Acumulado",IF(ISNUMBER(SEARCH("ASAP",C293)),"ASAP",IF(NETWORKDAYS.INTL(F293,G293,1,Table2[Dias no laborales]) &lt;= 7, "Dentro", IF(A293&gt;F293,"Programado","Fuera"))))</f>
        <v>Dentro</v>
      </c>
      <c r="K293" s="6" t="str">
        <f t="shared" si="9"/>
        <v>Mismo día</v>
      </c>
      <c r="L293" s="9">
        <v>45793</v>
      </c>
      <c r="M293" s="17">
        <f>MAX(1,NETWORKDAYS(A293,L293,Table2[Dias no laborales]))</f>
        <v>5</v>
      </c>
    </row>
    <row r="294" spans="1:13" hidden="1" x14ac:dyDescent="0.3">
      <c r="A294" s="8">
        <v>45728</v>
      </c>
      <c r="B294" s="6" t="s">
        <v>594</v>
      </c>
      <c r="C294" s="6" t="s">
        <v>595</v>
      </c>
      <c r="D294" s="6" t="s">
        <v>562</v>
      </c>
      <c r="E294" s="14">
        <v>45728.367361111108</v>
      </c>
      <c r="F294" s="8">
        <f>IF(HOUR(Table1[[#This Row],[CORREO]])&gt;=11,WORKDAY(Table1[[#This Row],[CORREO]],1,Table2[Dias no laborales]),E294)</f>
        <v>45728.367361111108</v>
      </c>
      <c r="G294" s="8">
        <v>45730</v>
      </c>
      <c r="H294" s="6">
        <f t="shared" si="8"/>
        <v>11</v>
      </c>
      <c r="I294" s="16">
        <f>MAX(1, NETWORKDAYS(A294, G294,Table2[Dias no laborales]))</f>
        <v>3</v>
      </c>
      <c r="J294" s="6" t="str">
        <f>IF(Table1[[#This Row],[FIN]]="","Acumulado",IF(ISNUMBER(SEARCH("ASAP",C294)),"ASAP",IF(NETWORKDAYS.INTL(F294,G294,1,Table2[Dias no laborales]) &lt;= 7, "Dentro", IF(A294&gt;F294,"Programado","Fuera"))))</f>
        <v>Dentro</v>
      </c>
      <c r="K294" s="6" t="str">
        <f t="shared" si="9"/>
        <v>A tiempo</v>
      </c>
      <c r="L294" s="8"/>
      <c r="M294" s="17">
        <f>MAX(1,NETWORKDAYS(A294,L294,Table2[Dias no laborales]))</f>
        <v>1</v>
      </c>
    </row>
    <row r="295" spans="1:13" hidden="1" x14ac:dyDescent="0.3">
      <c r="A295" s="8">
        <v>45728</v>
      </c>
      <c r="B295" s="6" t="s">
        <v>582</v>
      </c>
      <c r="C295" s="6" t="s">
        <v>583</v>
      </c>
      <c r="D295" s="6" t="s">
        <v>27</v>
      </c>
      <c r="E295" s="14">
        <v>45728.519444444442</v>
      </c>
      <c r="F295" s="8">
        <f>IF(HOUR(Table1[[#This Row],[CORREO]])&gt;=11,WORKDAY(Table1[[#This Row],[CORREO]],1,Table2[Dias no laborales]),E295)</f>
        <v>45729</v>
      </c>
      <c r="G295" s="8">
        <v>45728</v>
      </c>
      <c r="H295" s="6">
        <f t="shared" si="8"/>
        <v>11</v>
      </c>
      <c r="I295" s="16">
        <f>MAX(1, NETWORKDAYS(A295, G295,Table2[Dias no laborales]))</f>
        <v>1</v>
      </c>
      <c r="J295" s="6" t="str">
        <f>IF(Table1[[#This Row],[FIN]]="","Acumulado",IF(ISNUMBER(SEARCH("ASAP",C295)),"ASAP",IF(NETWORKDAYS.INTL(F295,G295,1,Table2[Dias no laborales]) &lt;= 7, "Dentro", IF(A295&gt;F295,"Programado","Fuera"))))</f>
        <v>Dentro</v>
      </c>
      <c r="K295" s="6" t="str">
        <f t="shared" si="9"/>
        <v>Mismo día</v>
      </c>
      <c r="L295" s="8"/>
      <c r="M295" s="17">
        <f>MAX(1,NETWORKDAYS(A295,L295,Table2[Dias no laborales]))</f>
        <v>1</v>
      </c>
    </row>
    <row r="296" spans="1:13" hidden="1" x14ac:dyDescent="0.3">
      <c r="A296" s="8">
        <v>45729</v>
      </c>
      <c r="B296" s="6" t="s">
        <v>732</v>
      </c>
      <c r="C296" s="6" t="s">
        <v>733</v>
      </c>
      <c r="D296" s="6" t="s">
        <v>288</v>
      </c>
      <c r="E296" s="14">
        <v>45728.52847222222</v>
      </c>
      <c r="F296" s="8">
        <f>IF(HOUR(Table1[[#This Row],[CORREO]])&gt;=11,WORKDAY(Table1[[#This Row],[CORREO]],1,Table2[Dias no laborales]),E296)</f>
        <v>45729</v>
      </c>
      <c r="G296" s="8">
        <v>45751</v>
      </c>
      <c r="H296" s="6">
        <f t="shared" si="8"/>
        <v>11</v>
      </c>
      <c r="I296" s="16">
        <f>MAX(1, NETWORKDAYS(A296, G296,Table2[Dias no laborales]))</f>
        <v>17</v>
      </c>
      <c r="J296" s="6" t="str">
        <f>IF(Table1[[#This Row],[FIN]]="","Acumulado",IF(ISNUMBER(SEARCH("ASAP",C296)),"ASAP",IF(NETWORKDAYS.INTL(F296,G296,1,Table2[Dias no laborales]) &lt;= 7, "Dentro", IF(A296&gt;F296,"Programado","Fuera"))))</f>
        <v>Fuera</v>
      </c>
      <c r="K296" s="6" t="str">
        <f t="shared" si="9"/>
        <v>A tiempo</v>
      </c>
      <c r="L296" s="8"/>
      <c r="M296" s="17">
        <f>MAX(1,NETWORKDAYS(A296,L296,Table2[Dias no laborales]))</f>
        <v>1</v>
      </c>
    </row>
    <row r="297" spans="1:13" hidden="1" x14ac:dyDescent="0.3">
      <c r="A297" s="8">
        <v>45729</v>
      </c>
      <c r="B297" s="5" t="s">
        <v>853</v>
      </c>
      <c r="C297" s="5" t="s">
        <v>854</v>
      </c>
      <c r="D297" s="5" t="s">
        <v>288</v>
      </c>
      <c r="E297" s="14">
        <v>45728.538194444445</v>
      </c>
      <c r="F297" s="8">
        <f>IF(HOUR(Table1[[#This Row],[CORREO]])&gt;=11,WORKDAY(Table1[[#This Row],[CORREO]],1,Table2[Dias no laborales]),E297)</f>
        <v>45729</v>
      </c>
      <c r="G297" s="9">
        <v>45768</v>
      </c>
      <c r="H297" s="6">
        <f t="shared" si="8"/>
        <v>11</v>
      </c>
      <c r="I297" s="16">
        <f>MAX(1, NETWORKDAYS(A297, G297,Table2[Dias no laborales]))</f>
        <v>28</v>
      </c>
      <c r="J297" s="6" t="str">
        <f>IF(Table1[[#This Row],[FIN]]="","Acumulado",IF(ISNUMBER(SEARCH("ASAP",C297)),"ASAP",IF(NETWORKDAYS.INTL(F297,G297,1,Table2[Dias no laborales]) &lt;= 7, "Dentro", IF(A297&gt;F297,"Programado","Fuera"))))</f>
        <v>Fuera</v>
      </c>
      <c r="K297" s="6" t="str">
        <f t="shared" si="9"/>
        <v>A tiempo</v>
      </c>
      <c r="L297" s="8"/>
      <c r="M297" s="17">
        <f>MAX(1,NETWORKDAYS(A297,L297,Table2[Dias no laborales]))</f>
        <v>1</v>
      </c>
    </row>
    <row r="298" spans="1:13" hidden="1" x14ac:dyDescent="0.3">
      <c r="A298" s="8">
        <v>45729</v>
      </c>
      <c r="B298" s="8" t="s">
        <v>651</v>
      </c>
      <c r="C298" s="6" t="s">
        <v>652</v>
      </c>
      <c r="D298" s="6" t="s">
        <v>423</v>
      </c>
      <c r="E298" s="14">
        <v>45728.636111111111</v>
      </c>
      <c r="F298" s="8">
        <f>IF(HOUR(Table1[[#This Row],[CORREO]])&gt;=11,WORKDAY(Table1[[#This Row],[CORREO]],1,Table2[Dias no laborales]),E298)</f>
        <v>45729</v>
      </c>
      <c r="G298" s="8">
        <v>45742</v>
      </c>
      <c r="H298" s="6">
        <f t="shared" si="8"/>
        <v>11</v>
      </c>
      <c r="I298" s="16">
        <f>MAX(1, NETWORKDAYS(A298, G298,Table2[Dias no laborales]))</f>
        <v>10</v>
      </c>
      <c r="J298" s="6" t="str">
        <f>IF(Table1[[#This Row],[FIN]]="","Acumulado",IF(ISNUMBER(SEARCH("ASAP",C298)),"ASAP",IF(NETWORKDAYS.INTL(F298,G298,1,Table2[Dias no laborales]) &lt;= 7, "Dentro", IF(A298&gt;F298,"Programado","Fuera"))))</f>
        <v>Fuera</v>
      </c>
      <c r="K298" s="6" t="str">
        <f t="shared" si="9"/>
        <v>A tiempo</v>
      </c>
      <c r="L298" s="8"/>
      <c r="M298" s="17">
        <f>MAX(1,NETWORKDAYS(A298,L298,Table2[Dias no laborales]))</f>
        <v>1</v>
      </c>
    </row>
    <row r="299" spans="1:13" hidden="1" x14ac:dyDescent="0.3">
      <c r="A299" s="8">
        <v>45729</v>
      </c>
      <c r="B299" s="6" t="s">
        <v>1219</v>
      </c>
      <c r="C299" s="6" t="s">
        <v>1220</v>
      </c>
      <c r="D299" s="6" t="s">
        <v>139</v>
      </c>
      <c r="E299" s="14">
        <v>45728.647916666669</v>
      </c>
      <c r="F299" s="8">
        <f>IF(HOUR(Table1[[#This Row],[CORREO]])&gt;=11,WORKDAY(Table1[[#This Row],[CORREO]],1,Table2[Dias no laborales]),E299)</f>
        <v>45729</v>
      </c>
      <c r="G299" s="8">
        <v>45779</v>
      </c>
      <c r="H299" s="6">
        <f t="shared" si="8"/>
        <v>11</v>
      </c>
      <c r="I299" s="16">
        <f>MAX(1, NETWORKDAYS(A299, G299,Table2[Dias no laborales]))</f>
        <v>37</v>
      </c>
      <c r="J299" s="6" t="str">
        <f>IF(Table1[[#This Row],[FIN]]="","Acumulado",IF(ISNUMBER(SEARCH("ASAP",C299)),"ASAP",IF(NETWORKDAYS.INTL(F299,G299,1,Table2[Dias no laborales]) &lt;= 7, "Dentro", IF(A299&gt;F299,"Programado","Fuera"))))</f>
        <v>Fuera</v>
      </c>
      <c r="K299" s="6" t="str">
        <f t="shared" si="9"/>
        <v>A tiempo</v>
      </c>
      <c r="L299" s="9">
        <v>45768</v>
      </c>
      <c r="M299" s="17">
        <f>MAX(1,NETWORKDAYS(A299,L299,Table2[Dias no laborales]))</f>
        <v>28</v>
      </c>
    </row>
    <row r="300" spans="1:13" hidden="1" x14ac:dyDescent="0.3">
      <c r="A300" s="8">
        <v>45729</v>
      </c>
      <c r="B300" s="6" t="s">
        <v>584</v>
      </c>
      <c r="C300" s="6" t="s">
        <v>585</v>
      </c>
      <c r="D300" s="6" t="s">
        <v>586</v>
      </c>
      <c r="E300" s="14">
        <v>45728.489583333336</v>
      </c>
      <c r="F300" s="8">
        <f>IF(HOUR(Table1[[#This Row],[CORREO]])&gt;=11,WORKDAY(Table1[[#This Row],[CORREO]],1,Table2[Dias no laborales]),E300)</f>
        <v>45729</v>
      </c>
      <c r="G300" s="8">
        <v>45729</v>
      </c>
      <c r="H300" s="6">
        <f t="shared" si="8"/>
        <v>11</v>
      </c>
      <c r="I300" s="16">
        <f>MAX(1, NETWORKDAYS(A300, G300,Table2[Dias no laborales]))</f>
        <v>1</v>
      </c>
      <c r="J300" s="6" t="str">
        <f>IF(Table1[[#This Row],[FIN]]="","Acumulado",IF(ISNUMBER(SEARCH("ASAP",C300)),"ASAP",IF(NETWORKDAYS.INTL(F300,G300,1,Table2[Dias no laborales]) &lt;= 7, "Dentro", IF(A300&gt;F300,"Programado","Fuera"))))</f>
        <v>Dentro</v>
      </c>
      <c r="K300" s="6" t="str">
        <f t="shared" si="9"/>
        <v>A tiempo</v>
      </c>
      <c r="L300" s="8"/>
      <c r="M300" s="17">
        <f>MAX(1,NETWORKDAYS(A300,L300,Table2[Dias no laborales]))</f>
        <v>1</v>
      </c>
    </row>
    <row r="301" spans="1:13" hidden="1" x14ac:dyDescent="0.3">
      <c r="A301" s="8">
        <v>45729</v>
      </c>
      <c r="B301" s="6" t="s">
        <v>589</v>
      </c>
      <c r="C301" s="6" t="s">
        <v>590</v>
      </c>
      <c r="D301" s="6" t="s">
        <v>27</v>
      </c>
      <c r="E301" s="14">
        <v>45728.678472222222</v>
      </c>
      <c r="F301" s="8">
        <f>IF(HOUR(Table1[[#This Row],[CORREO]])&gt;=11,WORKDAY(Table1[[#This Row],[CORREO]],1,Table2[Dias no laborales]),E301)</f>
        <v>45729</v>
      </c>
      <c r="G301" s="8">
        <v>45729</v>
      </c>
      <c r="H301" s="6">
        <f t="shared" si="8"/>
        <v>11</v>
      </c>
      <c r="I301" s="16">
        <f>MAX(1, NETWORKDAYS(A301, G301,Table2[Dias no laborales]))</f>
        <v>1</v>
      </c>
      <c r="J301" s="6" t="str">
        <f>IF(Table1[[#This Row],[FIN]]="","Acumulado",IF(ISNUMBER(SEARCH("ASAP",C301)),"ASAP",IF(NETWORKDAYS.INTL(F301,G301,1,Table2[Dias no laborales]) &lt;= 7, "Dentro", IF(A301&gt;F301,"Programado","Fuera"))))</f>
        <v>Dentro</v>
      </c>
      <c r="K301" s="6" t="str">
        <f t="shared" si="9"/>
        <v>A tiempo</v>
      </c>
      <c r="L301" s="8"/>
      <c r="M301" s="17">
        <f>MAX(1,NETWORKDAYS(A301,L301,Table2[Dias no laborales]))</f>
        <v>1</v>
      </c>
    </row>
    <row r="302" spans="1:13" hidden="1" x14ac:dyDescent="0.3">
      <c r="A302" s="8">
        <v>45729</v>
      </c>
      <c r="B302" s="6" t="s">
        <v>667</v>
      </c>
      <c r="C302" s="6" t="s">
        <v>668</v>
      </c>
      <c r="D302" s="6" t="s">
        <v>82</v>
      </c>
      <c r="E302" s="14">
        <v>45729.043749999997</v>
      </c>
      <c r="F302" s="8">
        <f>IF(HOUR(Table1[[#This Row],[CORREO]])&gt;=11,WORKDAY(Table1[[#This Row],[CORREO]],1,Table2[Dias no laborales]),E302)</f>
        <v>45729.043749999997</v>
      </c>
      <c r="G302" s="8">
        <v>45743</v>
      </c>
      <c r="H302" s="6">
        <f t="shared" si="8"/>
        <v>11</v>
      </c>
      <c r="I302" s="16">
        <f>MAX(1, NETWORKDAYS(A302, G302,Table2[Dias no laborales]))</f>
        <v>11</v>
      </c>
      <c r="J302" s="6" t="str">
        <f>IF(Table1[[#This Row],[FIN]]="","Acumulado",IF(ISNUMBER(SEARCH("ASAP",C302)),"ASAP",IF(NETWORKDAYS.INTL(F302,G302,1,Table2[Dias no laborales]) &lt;= 7, "Dentro", IF(A302&gt;F302,"Programado","Fuera"))))</f>
        <v>Fuera</v>
      </c>
      <c r="K302" s="6" t="str">
        <f t="shared" si="9"/>
        <v>A tiempo</v>
      </c>
      <c r="L302" s="8"/>
      <c r="M302" s="17">
        <f>MAX(1,NETWORKDAYS(A302,L302,Table2[Dias no laborales]))</f>
        <v>1</v>
      </c>
    </row>
    <row r="303" spans="1:13" hidden="1" x14ac:dyDescent="0.3">
      <c r="A303" s="8">
        <v>45729</v>
      </c>
      <c r="B303" s="6" t="s">
        <v>715</v>
      </c>
      <c r="C303" s="6" t="s">
        <v>716</v>
      </c>
      <c r="D303" s="6" t="s">
        <v>171</v>
      </c>
      <c r="E303" s="14">
        <v>45729.31527777778</v>
      </c>
      <c r="F303" s="8">
        <f>IF(HOUR(Table1[[#This Row],[CORREO]])&gt;=11,WORKDAY(Table1[[#This Row],[CORREO]],1,Table2[Dias no laborales]),E303)</f>
        <v>45729.31527777778</v>
      </c>
      <c r="G303" s="8">
        <v>45749</v>
      </c>
      <c r="H303" s="6">
        <f t="shared" si="8"/>
        <v>11</v>
      </c>
      <c r="I303" s="16">
        <f>MAX(1, NETWORKDAYS(A303, G303,Table2[Dias no laborales]))</f>
        <v>15</v>
      </c>
      <c r="J303" s="6" t="str">
        <f>IF(Table1[[#This Row],[FIN]]="","Acumulado",IF(ISNUMBER(SEARCH("ASAP",C303)),"ASAP",IF(NETWORKDAYS.INTL(F303,G303,1,Table2[Dias no laborales]) &lt;= 7, "Dentro", IF(A303&gt;F303,"Programado","Fuera"))))</f>
        <v>Fuera</v>
      </c>
      <c r="K303" s="6" t="str">
        <f t="shared" si="9"/>
        <v>A tiempo</v>
      </c>
      <c r="L303" s="8"/>
      <c r="M303" s="17">
        <f>MAX(1,NETWORKDAYS(A303,L303,Table2[Dias no laborales]))</f>
        <v>1</v>
      </c>
    </row>
    <row r="304" spans="1:13" hidden="1" x14ac:dyDescent="0.3">
      <c r="A304" s="8">
        <v>45729</v>
      </c>
      <c r="B304" s="6" t="s">
        <v>606</v>
      </c>
      <c r="C304" s="6" t="s">
        <v>607</v>
      </c>
      <c r="D304" s="6" t="s">
        <v>24</v>
      </c>
      <c r="E304" s="14">
        <v>45729.34652777778</v>
      </c>
      <c r="F304" s="8">
        <f>IF(HOUR(Table1[[#This Row],[CORREO]])&gt;=11,WORKDAY(Table1[[#This Row],[CORREO]],1,Table2[Dias no laborales]),E304)</f>
        <v>45729.34652777778</v>
      </c>
      <c r="G304" s="8">
        <v>45735</v>
      </c>
      <c r="H304" s="6">
        <f t="shared" si="8"/>
        <v>11</v>
      </c>
      <c r="I304" s="16">
        <f>MAX(1, NETWORKDAYS(A304, G304,Table2[Dias no laborales]))</f>
        <v>5</v>
      </c>
      <c r="J304" s="6" t="str">
        <f>IF(Table1[[#This Row],[FIN]]="","Acumulado",IF(ISNUMBER(SEARCH("ASAP",C304)),"ASAP",IF(NETWORKDAYS.INTL(F304,G304,1,Table2[Dias no laborales]) &lt;= 7, "Dentro", IF(A304&gt;F304,"Programado","Fuera"))))</f>
        <v>Dentro</v>
      </c>
      <c r="K304" s="6" t="str">
        <f t="shared" si="9"/>
        <v>A tiempo</v>
      </c>
      <c r="L304" s="8"/>
      <c r="M304" s="17">
        <f>MAX(1,NETWORKDAYS(A304,L304,Table2[Dias no laborales]))</f>
        <v>1</v>
      </c>
    </row>
    <row r="305" spans="1:13" hidden="1" x14ac:dyDescent="0.3">
      <c r="A305" s="8">
        <v>45729</v>
      </c>
      <c r="B305" s="6" t="s">
        <v>618</v>
      </c>
      <c r="C305" s="6" t="s">
        <v>619</v>
      </c>
      <c r="D305" s="6" t="s">
        <v>620</v>
      </c>
      <c r="E305" s="14">
        <v>45729.400694444441</v>
      </c>
      <c r="F305" s="8">
        <f>IF(HOUR(Table1[[#This Row],[CORREO]])&gt;=11,WORKDAY(Table1[[#This Row],[CORREO]],1,Table2[Dias no laborales]),E305)</f>
        <v>45729.400694444441</v>
      </c>
      <c r="G305" s="8">
        <v>45735</v>
      </c>
      <c r="H305" s="6">
        <f t="shared" si="8"/>
        <v>11</v>
      </c>
      <c r="I305" s="16">
        <f>MAX(1, NETWORKDAYS(A305, G305,Table2[Dias no laborales]))</f>
        <v>5</v>
      </c>
      <c r="J305" s="6" t="str">
        <f>IF(Table1[[#This Row],[FIN]]="","Acumulado",IF(ISNUMBER(SEARCH("ASAP",C305)),"ASAP",IF(NETWORKDAYS.INTL(F305,G305,1,Table2[Dias no laborales]) &lt;= 7, "Dentro", IF(A305&gt;F305,"Programado","Fuera"))))</f>
        <v>Dentro</v>
      </c>
      <c r="K305" s="6" t="str">
        <f t="shared" si="9"/>
        <v>A tiempo</v>
      </c>
      <c r="L305" s="8"/>
      <c r="M305" s="17">
        <f>MAX(1,NETWORKDAYS(A305,L305,Table2[Dias no laborales]))</f>
        <v>1</v>
      </c>
    </row>
    <row r="306" spans="1:13" hidden="1" x14ac:dyDescent="0.3">
      <c r="A306" s="8">
        <v>45729</v>
      </c>
      <c r="B306" s="6" t="s">
        <v>662</v>
      </c>
      <c r="C306" s="6" t="s">
        <v>663</v>
      </c>
      <c r="D306" s="6" t="s">
        <v>139</v>
      </c>
      <c r="E306" s="14">
        <v>45729.457638888889</v>
      </c>
      <c r="F306" s="8">
        <f>IF(HOUR(Table1[[#This Row],[CORREO]])&gt;=11,WORKDAY(Table1[[#This Row],[CORREO]],1,Table2[Dias no laborales]),E306)</f>
        <v>45729.457638888889</v>
      </c>
      <c r="G306" s="8">
        <v>45743</v>
      </c>
      <c r="H306" s="6">
        <f t="shared" si="8"/>
        <v>11</v>
      </c>
      <c r="I306" s="16">
        <f>MAX(1, NETWORKDAYS(A306, G306,Table2[Dias no laborales]))</f>
        <v>11</v>
      </c>
      <c r="J306" s="6" t="str">
        <f>IF(Table1[[#This Row],[FIN]]="","Acumulado",IF(ISNUMBER(SEARCH("ASAP",C306)),"ASAP",IF(NETWORKDAYS.INTL(F306,G306,1,Table2[Dias no laborales]) &lt;= 7, "Dentro", IF(A306&gt;F306,"Programado","Fuera"))))</f>
        <v>Fuera</v>
      </c>
      <c r="K306" s="6" t="str">
        <f t="shared" si="9"/>
        <v>A tiempo</v>
      </c>
      <c r="L306" s="8"/>
      <c r="M306" s="17">
        <f>MAX(1,NETWORKDAYS(A306,L306,Table2[Dias no laborales]))</f>
        <v>1</v>
      </c>
    </row>
    <row r="307" spans="1:13" hidden="1" x14ac:dyDescent="0.3">
      <c r="A307" s="8">
        <v>45730</v>
      </c>
      <c r="B307" s="6" t="s">
        <v>608</v>
      </c>
      <c r="C307" s="6" t="s">
        <v>609</v>
      </c>
      <c r="D307" s="6" t="s">
        <v>27</v>
      </c>
      <c r="E307" s="14">
        <v>45729.688888888886</v>
      </c>
      <c r="F307" s="8">
        <f>IF(HOUR(Table1[[#This Row],[CORREO]])&gt;=11,WORKDAY(Table1[[#This Row],[CORREO]],1,Table2[Dias no laborales]),E307)</f>
        <v>45730</v>
      </c>
      <c r="G307" s="8">
        <v>45735</v>
      </c>
      <c r="H307" s="6">
        <f t="shared" si="8"/>
        <v>11</v>
      </c>
      <c r="I307" s="16">
        <f>MAX(1, NETWORKDAYS(A307, G307,Table2[Dias no laborales]))</f>
        <v>4</v>
      </c>
      <c r="J307" s="6" t="str">
        <f>IF(Table1[[#This Row],[FIN]]="","Acumulado",IF(ISNUMBER(SEARCH("ASAP",C307)),"ASAP",IF(NETWORKDAYS.INTL(F307,G307,1,Table2[Dias no laborales]) &lt;= 7, "Dentro", IF(A307&gt;F307,"Programado","Fuera"))))</f>
        <v>Dentro</v>
      </c>
      <c r="K307" s="6" t="str">
        <f t="shared" si="9"/>
        <v>A tiempo</v>
      </c>
      <c r="L307" s="8"/>
      <c r="M307" s="17">
        <f>MAX(1,NETWORKDAYS(A307,L307,Table2[Dias no laborales]))</f>
        <v>1</v>
      </c>
    </row>
    <row r="308" spans="1:13" hidden="1" x14ac:dyDescent="0.3">
      <c r="A308" s="8">
        <v>45730</v>
      </c>
      <c r="B308" s="6" t="s">
        <v>598</v>
      </c>
      <c r="C308" s="6" t="s">
        <v>599</v>
      </c>
      <c r="D308" s="6" t="s">
        <v>571</v>
      </c>
      <c r="E308" s="14">
        <v>45729.708333333336</v>
      </c>
      <c r="F308" s="8">
        <f>IF(HOUR(Table1[[#This Row],[CORREO]])&gt;=11,WORKDAY(Table1[[#This Row],[CORREO]],1,Table2[Dias no laborales]),E308)</f>
        <v>45730</v>
      </c>
      <c r="G308" s="8">
        <v>45730</v>
      </c>
      <c r="H308" s="6">
        <f t="shared" si="8"/>
        <v>11</v>
      </c>
      <c r="I308" s="16">
        <f>MAX(1, NETWORKDAYS(A308, G308,Table2[Dias no laborales]))</f>
        <v>1</v>
      </c>
      <c r="J308" s="6" t="str">
        <f>IF(Table1[[#This Row],[FIN]]="","Acumulado",IF(ISNUMBER(SEARCH("ASAP",C308)),"ASAP",IF(NETWORKDAYS.INTL(F308,G308,1,Table2[Dias no laborales]) &lt;= 7, "Dentro", IF(A308&gt;F308,"Programado","Fuera"))))</f>
        <v>Dentro</v>
      </c>
      <c r="K308" s="6" t="str">
        <f t="shared" si="9"/>
        <v>A tiempo</v>
      </c>
      <c r="L308" s="8"/>
      <c r="M308" s="17">
        <f>MAX(1,NETWORKDAYS(A308,L308,Table2[Dias no laborales]))</f>
        <v>1</v>
      </c>
    </row>
    <row r="309" spans="1:13" hidden="1" x14ac:dyDescent="0.3">
      <c r="A309" s="8">
        <v>45730</v>
      </c>
      <c r="B309" s="6" t="s">
        <v>629</v>
      </c>
      <c r="C309" s="6" t="s">
        <v>630</v>
      </c>
      <c r="D309" s="6" t="s">
        <v>24</v>
      </c>
      <c r="E309" s="14">
        <v>45730.347916666666</v>
      </c>
      <c r="F309" s="8">
        <f>IF(HOUR(Table1[[#This Row],[CORREO]])&gt;=11,WORKDAY(Table1[[#This Row],[CORREO]],1,Table2[Dias no laborales]),E309)</f>
        <v>45730.347916666666</v>
      </c>
      <c r="G309" s="8">
        <v>45736</v>
      </c>
      <c r="H309" s="6">
        <f t="shared" si="8"/>
        <v>11</v>
      </c>
      <c r="I309" s="16">
        <f>MAX(1, NETWORKDAYS(A309, G309,Table2[Dias no laborales]))</f>
        <v>5</v>
      </c>
      <c r="J309" s="6" t="str">
        <f>IF(Table1[[#This Row],[FIN]]="","Acumulado",IF(ISNUMBER(SEARCH("ASAP",C309)),"ASAP",IF(NETWORKDAYS.INTL(F309,G309,1,Table2[Dias no laborales]) &lt;= 7, "Dentro", IF(A309&gt;F309,"Programado","Fuera"))))</f>
        <v>ASAP</v>
      </c>
      <c r="K309" s="6" t="str">
        <f t="shared" si="9"/>
        <v>A tiempo</v>
      </c>
      <c r="L309" s="8"/>
      <c r="M309" s="17">
        <f>MAX(1,NETWORKDAYS(A309,L309,Table2[Dias no laborales]))</f>
        <v>1</v>
      </c>
    </row>
    <row r="310" spans="1:13" hidden="1" x14ac:dyDescent="0.3">
      <c r="A310" s="8">
        <v>45730</v>
      </c>
      <c r="B310" s="6" t="s">
        <v>671</v>
      </c>
      <c r="C310" s="6" t="s">
        <v>672</v>
      </c>
      <c r="D310" s="6" t="s">
        <v>24</v>
      </c>
      <c r="E310" s="14">
        <v>45730.354166666664</v>
      </c>
      <c r="F310" s="8">
        <f>IF(HOUR(Table1[[#This Row],[CORREO]])&gt;=11,WORKDAY(Table1[[#This Row],[CORREO]],1,Table2[Dias no laborales]),E310)</f>
        <v>45730.354166666664</v>
      </c>
      <c r="G310" s="8">
        <v>45743</v>
      </c>
      <c r="H310" s="6">
        <f t="shared" si="8"/>
        <v>11</v>
      </c>
      <c r="I310" s="16">
        <f>MAX(1, NETWORKDAYS(A310, G310,Table2[Dias no laborales]))</f>
        <v>10</v>
      </c>
      <c r="J310" s="6" t="str">
        <f>IF(Table1[[#This Row],[FIN]]="","Acumulado",IF(ISNUMBER(SEARCH("ASAP",C310)),"ASAP",IF(NETWORKDAYS.INTL(F310,G310,1,Table2[Dias no laborales]) &lt;= 7, "Dentro", IF(A310&gt;F310,"Programado","Fuera"))))</f>
        <v>Fuera</v>
      </c>
      <c r="K310" s="6" t="str">
        <f t="shared" si="9"/>
        <v>A tiempo</v>
      </c>
      <c r="L310" s="8"/>
      <c r="M310" s="17">
        <f>MAX(1,NETWORKDAYS(A310,L310,Table2[Dias no laborales]))</f>
        <v>1</v>
      </c>
    </row>
    <row r="311" spans="1:13" hidden="1" x14ac:dyDescent="0.3">
      <c r="A311" s="8">
        <v>45730</v>
      </c>
      <c r="B311" s="6" t="s">
        <v>656</v>
      </c>
      <c r="C311" s="6" t="s">
        <v>657</v>
      </c>
      <c r="D311" s="6" t="s">
        <v>24</v>
      </c>
      <c r="E311" s="14">
        <v>45730.363194444442</v>
      </c>
      <c r="F311" s="8">
        <f>IF(HOUR(Table1[[#This Row],[CORREO]])&gt;=11,WORKDAY(Table1[[#This Row],[CORREO]],1,Table2[Dias no laborales]),E311)</f>
        <v>45730.363194444442</v>
      </c>
      <c r="G311" s="8">
        <v>45742</v>
      </c>
      <c r="H311" s="6">
        <f t="shared" si="8"/>
        <v>11</v>
      </c>
      <c r="I311" s="16">
        <f>MAX(1, NETWORKDAYS(A311, G311,Table2[Dias no laborales]))</f>
        <v>9</v>
      </c>
      <c r="J311" s="6" t="str">
        <f>IF(Table1[[#This Row],[FIN]]="","Acumulado",IF(ISNUMBER(SEARCH("ASAP",C311)),"ASAP",IF(NETWORKDAYS.INTL(F311,G311,1,Table2[Dias no laborales]) &lt;= 7, "Dentro", IF(A311&gt;F311,"Programado","Fuera"))))</f>
        <v>ASAP</v>
      </c>
      <c r="K311" s="6" t="str">
        <f t="shared" si="9"/>
        <v>A tiempo</v>
      </c>
      <c r="L311" s="8"/>
      <c r="M311" s="17">
        <f>MAX(1,NETWORKDAYS(A311,L311,Table2[Dias no laborales]))</f>
        <v>1</v>
      </c>
    </row>
    <row r="312" spans="1:13" hidden="1" x14ac:dyDescent="0.3">
      <c r="A312" s="8">
        <v>45730</v>
      </c>
      <c r="B312" s="6" t="s">
        <v>605</v>
      </c>
      <c r="C312" s="6" t="s">
        <v>516</v>
      </c>
      <c r="D312" s="6" t="s">
        <v>517</v>
      </c>
      <c r="E312" s="14">
        <v>45730.37222222222</v>
      </c>
      <c r="F312" s="8">
        <f>IF(HOUR(Table1[[#This Row],[CORREO]])&gt;=11,WORKDAY(Table1[[#This Row],[CORREO]],1,Table2[Dias no laborales]),E312)</f>
        <v>45730.37222222222</v>
      </c>
      <c r="G312" s="8">
        <v>45734</v>
      </c>
      <c r="H312" s="6">
        <f t="shared" si="8"/>
        <v>11</v>
      </c>
      <c r="I312" s="16">
        <f>MAX(1, NETWORKDAYS(A312, G312,Table2[Dias no laborales]))</f>
        <v>3</v>
      </c>
      <c r="J312" s="6" t="str">
        <f>IF(Table1[[#This Row],[FIN]]="","Acumulado",IF(ISNUMBER(SEARCH("ASAP",C312)),"ASAP",IF(NETWORKDAYS.INTL(F312,G312,1,Table2[Dias no laborales]) &lt;= 7, "Dentro", IF(A312&gt;F312,"Programado","Fuera"))))</f>
        <v>Dentro</v>
      </c>
      <c r="K312" s="6" t="str">
        <f t="shared" si="9"/>
        <v>A tiempo</v>
      </c>
      <c r="L312" s="8"/>
      <c r="M312" s="17">
        <f>MAX(1,NETWORKDAYS(A312,L312,Table2[Dias no laborales]))</f>
        <v>1</v>
      </c>
    </row>
    <row r="313" spans="1:13" hidden="1" x14ac:dyDescent="0.3">
      <c r="A313" s="8">
        <v>45730</v>
      </c>
      <c r="B313" s="6" t="s">
        <v>664</v>
      </c>
      <c r="C313" s="6" t="s">
        <v>665</v>
      </c>
      <c r="D313" s="6" t="s">
        <v>666</v>
      </c>
      <c r="E313" s="14">
        <v>45730.401388888888</v>
      </c>
      <c r="F313" s="8">
        <f>IF(HOUR(Table1[[#This Row],[CORREO]])&gt;=11,WORKDAY(Table1[[#This Row],[CORREO]],1,Table2[Dias no laborales]),E313)</f>
        <v>45730.401388888888</v>
      </c>
      <c r="G313" s="8">
        <v>45743</v>
      </c>
      <c r="H313" s="6">
        <f t="shared" si="8"/>
        <v>11</v>
      </c>
      <c r="I313" s="16">
        <f>MAX(1, NETWORKDAYS(A313, G313,Table2[Dias no laborales]))</f>
        <v>10</v>
      </c>
      <c r="J313" s="6" t="str">
        <f>IF(Table1[[#This Row],[FIN]]="","Acumulado",IF(ISNUMBER(SEARCH("ASAP",C313)),"ASAP",IF(NETWORKDAYS.INTL(F313,G313,1,Table2[Dias no laborales]) &lt;= 7, "Dentro", IF(A313&gt;F313,"Programado","Fuera"))))</f>
        <v>Fuera</v>
      </c>
      <c r="K313" s="6" t="str">
        <f t="shared" si="9"/>
        <v>A tiempo</v>
      </c>
      <c r="L313" s="8"/>
      <c r="M313" s="17">
        <f>MAX(1,NETWORKDAYS(A313,L313,Table2[Dias no laborales]))</f>
        <v>1</v>
      </c>
    </row>
    <row r="314" spans="1:13" hidden="1" x14ac:dyDescent="0.3">
      <c r="A314" s="8">
        <v>45730</v>
      </c>
      <c r="B314" s="6" t="s">
        <v>633</v>
      </c>
      <c r="C314" s="6" t="s">
        <v>634</v>
      </c>
      <c r="D314" s="6" t="s">
        <v>24</v>
      </c>
      <c r="E314" s="14">
        <v>45730.472222222219</v>
      </c>
      <c r="F314" s="8">
        <f>IF(HOUR(Table1[[#This Row],[CORREO]])&gt;=11,WORKDAY(Table1[[#This Row],[CORREO]],1,Table2[Dias no laborales]),E314)</f>
        <v>45733</v>
      </c>
      <c r="G314" s="8">
        <v>45737</v>
      </c>
      <c r="H314" s="6">
        <f t="shared" si="8"/>
        <v>11</v>
      </c>
      <c r="I314" s="16">
        <f>MAX(1, NETWORKDAYS(A314, G314,Table2[Dias no laborales]))</f>
        <v>6</v>
      </c>
      <c r="J314" s="6" t="str">
        <f>IF(Table1[[#This Row],[FIN]]="","Acumulado",IF(ISNUMBER(SEARCH("ASAP",C314)),"ASAP",IF(NETWORKDAYS.INTL(F314,G314,1,Table2[Dias no laborales]) &lt;= 7, "Dentro", IF(A314&gt;F314,"Programado","Fuera"))))</f>
        <v>Dentro</v>
      </c>
      <c r="K314" s="6" t="str">
        <f t="shared" si="9"/>
        <v>Mismo día</v>
      </c>
      <c r="L314" s="8"/>
      <c r="M314" s="17">
        <f>MAX(1,NETWORKDAYS(A314,L314,Table2[Dias no laborales]))</f>
        <v>1</v>
      </c>
    </row>
    <row r="315" spans="1:13" hidden="1" x14ac:dyDescent="0.3">
      <c r="A315" s="8">
        <v>45734</v>
      </c>
      <c r="B315" s="6" t="s">
        <v>631</v>
      </c>
      <c r="C315" s="6" t="s">
        <v>632</v>
      </c>
      <c r="D315" s="6" t="s">
        <v>24</v>
      </c>
      <c r="E315" s="14"/>
      <c r="F315" s="8">
        <f>IF(HOUR(Table1[[#This Row],[CORREO]])&gt;=11,WORKDAY(Table1[[#This Row],[CORREO]],1,Table2[Dias no laborales]),E315)</f>
        <v>0</v>
      </c>
      <c r="G315" s="8">
        <v>45737</v>
      </c>
      <c r="H315" s="6">
        <f t="shared" si="8"/>
        <v>11</v>
      </c>
      <c r="I315" s="16">
        <f>MAX(1, NETWORKDAYS(A315, G315,Table2[Dias no laborales]))</f>
        <v>4</v>
      </c>
      <c r="J315" s="6" t="str">
        <f>IF(Table1[[#This Row],[FIN]]="","Acumulado",IF(ISNUMBER(SEARCH("ASAP",C315)),"ASAP",IF(NETWORKDAYS.INTL(F315,G315,1,Table2[Dias no laborales]) &lt;= 7, "Dentro", IF(A315&gt;F315,"Programado","Fuera"))))</f>
        <v>Programado</v>
      </c>
      <c r="K315" s="6" t="str">
        <f t="shared" si="9"/>
        <v>Programados</v>
      </c>
      <c r="L315" s="8"/>
      <c r="M315" s="17">
        <f>MAX(1,NETWORKDAYS(A315,L315,Table2[Dias no laborales]))</f>
        <v>1</v>
      </c>
    </row>
    <row r="316" spans="1:13" hidden="1" x14ac:dyDescent="0.3">
      <c r="A316" s="8">
        <v>45734</v>
      </c>
      <c r="B316" s="6" t="s">
        <v>602</v>
      </c>
      <c r="C316" s="6" t="s">
        <v>603</v>
      </c>
      <c r="D316" s="6" t="s">
        <v>24</v>
      </c>
      <c r="E316" s="14">
        <v>45734.313194444447</v>
      </c>
      <c r="F316" s="8">
        <f>IF(HOUR(Table1[[#This Row],[CORREO]])&gt;=11,WORKDAY(Table1[[#This Row],[CORREO]],1,Table2[Dias no laborales]),E316)</f>
        <v>45734.313194444447</v>
      </c>
      <c r="G316" s="8">
        <v>45734</v>
      </c>
      <c r="H316" s="6">
        <f t="shared" si="8"/>
        <v>11</v>
      </c>
      <c r="I316" s="16">
        <f>MAX(1, NETWORKDAYS(A316, G316,Table2[Dias no laborales]))</f>
        <v>1</v>
      </c>
      <c r="J316" s="6" t="str">
        <f>IF(Table1[[#This Row],[FIN]]="","Acumulado",IF(ISNUMBER(SEARCH("ASAP",C316)),"ASAP",IF(NETWORKDAYS.INTL(F316,G316,1,Table2[Dias no laborales]) &lt;= 7, "Dentro", IF(A316&gt;F316,"Programado","Fuera"))))</f>
        <v>Dentro</v>
      </c>
      <c r="K316" s="6" t="str">
        <f t="shared" si="9"/>
        <v>A tiempo</v>
      </c>
      <c r="L316" s="8"/>
      <c r="M316" s="17">
        <f>MAX(1,NETWORKDAYS(A316,L316,Table2[Dias no laborales]))</f>
        <v>1</v>
      </c>
    </row>
    <row r="317" spans="1:13" hidden="1" x14ac:dyDescent="0.3">
      <c r="A317" s="8">
        <v>45735</v>
      </c>
      <c r="B317" s="6" t="s">
        <v>658</v>
      </c>
      <c r="C317" s="6" t="s">
        <v>659</v>
      </c>
      <c r="D317" s="6" t="s">
        <v>27</v>
      </c>
      <c r="E317" s="14">
        <v>45734.611111111109</v>
      </c>
      <c r="F317" s="8">
        <f>IF(HOUR(Table1[[#This Row],[CORREO]])&gt;=11,WORKDAY(Table1[[#This Row],[CORREO]],1,Table2[Dias no laborales]),E317)</f>
        <v>45735</v>
      </c>
      <c r="G317" s="8">
        <v>45743</v>
      </c>
      <c r="H317" s="6">
        <f t="shared" si="8"/>
        <v>12</v>
      </c>
      <c r="I317" s="16">
        <f>MAX(1, NETWORKDAYS(A317, G317,Table2[Dias no laborales]))</f>
        <v>7</v>
      </c>
      <c r="J317" s="6" t="str">
        <f>IF(Table1[[#This Row],[FIN]]="","Acumulado",IF(ISNUMBER(SEARCH("ASAP",C317)),"ASAP",IF(NETWORKDAYS.INTL(F317,G317,1,Table2[Dias no laborales]) &lt;= 7, "Dentro", IF(A317&gt;F317,"Programado","Fuera"))))</f>
        <v>Dentro</v>
      </c>
      <c r="K317" s="6" t="str">
        <f t="shared" si="9"/>
        <v>A tiempo</v>
      </c>
      <c r="L317" s="8"/>
      <c r="M317" s="17">
        <f>MAX(1,NETWORKDAYS(A317,L317,Table2[Dias no laborales]))</f>
        <v>1</v>
      </c>
    </row>
    <row r="318" spans="1:13" hidden="1" x14ac:dyDescent="0.3">
      <c r="A318" s="8">
        <v>45735</v>
      </c>
      <c r="B318" s="6" t="s">
        <v>614</v>
      </c>
      <c r="C318" s="6" t="s">
        <v>615</v>
      </c>
      <c r="D318" s="6" t="s">
        <v>372</v>
      </c>
      <c r="E318" s="14">
        <v>45734.702777777777</v>
      </c>
      <c r="F318" s="8">
        <f>IF(HOUR(Table1[[#This Row],[CORREO]])&gt;=11,WORKDAY(Table1[[#This Row],[CORREO]],1,Table2[Dias no laborales]),E318)</f>
        <v>45735</v>
      </c>
      <c r="G318" s="8">
        <v>45735</v>
      </c>
      <c r="H318" s="6">
        <f t="shared" si="8"/>
        <v>12</v>
      </c>
      <c r="I318" s="16">
        <f>MAX(1, NETWORKDAYS(A318, G318,Table2[Dias no laborales]))</f>
        <v>1</v>
      </c>
      <c r="J318" s="6" t="str">
        <f>IF(Table1[[#This Row],[FIN]]="","Acumulado",IF(ISNUMBER(SEARCH("ASAP",C318)),"ASAP",IF(NETWORKDAYS.INTL(F318,G318,1,Table2[Dias no laborales]) &lt;= 7, "Dentro", IF(A318&gt;F318,"Programado","Fuera"))))</f>
        <v>Dentro</v>
      </c>
      <c r="K318" s="6" t="str">
        <f t="shared" si="9"/>
        <v>A tiempo</v>
      </c>
      <c r="L318" s="8"/>
      <c r="M318" s="17">
        <f>MAX(1,NETWORKDAYS(A318,L318,Table2[Dias no laborales]))</f>
        <v>1</v>
      </c>
    </row>
    <row r="319" spans="1:13" hidden="1" x14ac:dyDescent="0.3">
      <c r="A319" s="8">
        <v>45735</v>
      </c>
      <c r="B319" s="6" t="s">
        <v>626</v>
      </c>
      <c r="C319" s="6" t="s">
        <v>627</v>
      </c>
      <c r="D319" s="6" t="s">
        <v>628</v>
      </c>
      <c r="E319" s="14">
        <v>45735.3125</v>
      </c>
      <c r="F319" s="8">
        <f>IF(HOUR(Table1[[#This Row],[CORREO]])&gt;=11,WORKDAY(Table1[[#This Row],[CORREO]],1,Table2[Dias no laborales]),E319)</f>
        <v>45735.3125</v>
      </c>
      <c r="G319" s="8">
        <v>45736</v>
      </c>
      <c r="H319" s="6">
        <f t="shared" si="8"/>
        <v>12</v>
      </c>
      <c r="I319" s="16">
        <f>MAX(1, NETWORKDAYS(A319, G319,Table2[Dias no laborales]))</f>
        <v>2</v>
      </c>
      <c r="J319" s="6" t="str">
        <f>IF(Table1[[#This Row],[FIN]]="","Acumulado",IF(ISNUMBER(SEARCH("ASAP",C319)),"ASAP",IF(NETWORKDAYS.INTL(F319,G319,1,Table2[Dias no laborales]) &lt;= 7, "Dentro", IF(A319&gt;F319,"Programado","Fuera"))))</f>
        <v>Dentro</v>
      </c>
      <c r="K319" s="6" t="str">
        <f t="shared" si="9"/>
        <v>A tiempo</v>
      </c>
      <c r="L319" s="8"/>
      <c r="M319" s="17">
        <f>MAX(1,NETWORKDAYS(A319,L319,Table2[Dias no laborales]))</f>
        <v>1</v>
      </c>
    </row>
    <row r="320" spans="1:13" hidden="1" x14ac:dyDescent="0.3">
      <c r="A320" s="8">
        <v>45735</v>
      </c>
      <c r="B320" s="6" t="s">
        <v>612</v>
      </c>
      <c r="C320" s="6" t="s">
        <v>613</v>
      </c>
      <c r="D320" s="6" t="s">
        <v>24</v>
      </c>
      <c r="E320" s="14">
        <v>45735.377083333333</v>
      </c>
      <c r="F320" s="8">
        <f>IF(HOUR(Table1[[#This Row],[CORREO]])&gt;=11,WORKDAY(Table1[[#This Row],[CORREO]],1,Table2[Dias no laborales]),E320)</f>
        <v>45735.377083333333</v>
      </c>
      <c r="G320" s="8">
        <v>45735</v>
      </c>
      <c r="H320" s="6">
        <f t="shared" si="8"/>
        <v>12</v>
      </c>
      <c r="I320" s="16">
        <f>MAX(1, NETWORKDAYS(A320, G320,Table2[Dias no laborales]))</f>
        <v>1</v>
      </c>
      <c r="J320" s="6" t="str">
        <f>IF(Table1[[#This Row],[FIN]]="","Acumulado",IF(ISNUMBER(SEARCH("ASAP",C320)),"ASAP",IF(NETWORKDAYS.INTL(F320,G320,1,Table2[Dias no laborales]) &lt;= 7, "Dentro", IF(A320&gt;F320,"Programado","Fuera"))))</f>
        <v>Dentro</v>
      </c>
      <c r="K320" s="6" t="str">
        <f t="shared" si="9"/>
        <v>A tiempo</v>
      </c>
      <c r="L320" s="8"/>
      <c r="M320" s="17">
        <f>MAX(1,NETWORKDAYS(A320,L320,Table2[Dias no laborales]))</f>
        <v>1</v>
      </c>
    </row>
    <row r="321" spans="1:13" hidden="1" x14ac:dyDescent="0.3">
      <c r="A321" s="8">
        <v>45735</v>
      </c>
      <c r="B321" s="6" t="s">
        <v>616</v>
      </c>
      <c r="C321" s="6" t="s">
        <v>617</v>
      </c>
      <c r="D321" s="6" t="s">
        <v>24</v>
      </c>
      <c r="E321" s="14">
        <v>45735.459027777775</v>
      </c>
      <c r="F321" s="8">
        <f>IF(HOUR(Table1[[#This Row],[CORREO]])&gt;=11,WORKDAY(Table1[[#This Row],[CORREO]],1,Table2[Dias no laborales]),E321)</f>
        <v>45736</v>
      </c>
      <c r="G321" s="8">
        <v>45735</v>
      </c>
      <c r="H321" s="6">
        <f t="shared" si="8"/>
        <v>12</v>
      </c>
      <c r="I321" s="16">
        <f>MAX(1, NETWORKDAYS(A321, G321,Table2[Dias no laborales]))</f>
        <v>1</v>
      </c>
      <c r="J321" s="6" t="str">
        <f>IF(Table1[[#This Row],[FIN]]="","Acumulado",IF(ISNUMBER(SEARCH("ASAP",C321)),"ASAP",IF(NETWORKDAYS.INTL(F321,G321,1,Table2[Dias no laborales]) &lt;= 7, "Dentro", IF(A321&gt;F321,"Programado","Fuera"))))</f>
        <v>Dentro</v>
      </c>
      <c r="K321" s="6" t="str">
        <f t="shared" si="9"/>
        <v>Mismo día</v>
      </c>
      <c r="L321" s="8"/>
      <c r="M321" s="17">
        <f>MAX(1,NETWORKDAYS(A321,L321,Table2[Dias no laborales]))</f>
        <v>1</v>
      </c>
    </row>
    <row r="322" spans="1:13" hidden="1" x14ac:dyDescent="0.3">
      <c r="A322" s="8">
        <v>45736</v>
      </c>
      <c r="B322" s="6" t="s">
        <v>699</v>
      </c>
      <c r="C322" s="6" t="s">
        <v>700</v>
      </c>
      <c r="D322" s="6" t="s">
        <v>89</v>
      </c>
      <c r="E322" s="14">
        <v>45735.770138888889</v>
      </c>
      <c r="F322" s="8">
        <f>IF(HOUR(Table1[[#This Row],[CORREO]])&gt;=11,WORKDAY(Table1[[#This Row],[CORREO]],1,Table2[Dias no laborales]),E322)</f>
        <v>45736</v>
      </c>
      <c r="G322" s="8">
        <v>45748</v>
      </c>
      <c r="H322" s="6">
        <f t="shared" ref="H322:H385" si="10">INT((A322-DATE(YEAR(A322),1,1))/7) + 1</f>
        <v>12</v>
      </c>
      <c r="I322" s="16">
        <f>MAX(1, NETWORKDAYS(A322, G322,Table2[Dias no laborales]))</f>
        <v>9</v>
      </c>
      <c r="J322" s="6" t="str">
        <f>IF(Table1[[#This Row],[FIN]]="","Acumulado",IF(ISNUMBER(SEARCH("ASAP",C322)),"ASAP",IF(NETWORKDAYS.INTL(F322,G322,1,Table2[Dias no laborales]) &lt;= 7, "Dentro", IF(A322&gt;F322,"Programado","Fuera"))))</f>
        <v>Fuera</v>
      </c>
      <c r="K322" s="6" t="str">
        <f t="shared" ref="K322:K385" si="11">IF(INT(A322)=INT(F322),"A tiempo", IF(A322&lt;F322,"Mismo día","Programados"))</f>
        <v>A tiempo</v>
      </c>
      <c r="L322" s="8"/>
      <c r="M322" s="17">
        <f>MAX(1,NETWORKDAYS(A322,L322,Table2[Dias no laborales]))</f>
        <v>1</v>
      </c>
    </row>
    <row r="323" spans="1:13" hidden="1" x14ac:dyDescent="0.3">
      <c r="A323" s="8">
        <v>45736</v>
      </c>
      <c r="B323" s="6" t="s">
        <v>624</v>
      </c>
      <c r="C323" s="6" t="s">
        <v>625</v>
      </c>
      <c r="D323" s="6" t="s">
        <v>139</v>
      </c>
      <c r="E323" s="14">
        <v>45736.367361111108</v>
      </c>
      <c r="F323" s="8">
        <f>IF(HOUR(Table1[[#This Row],[CORREO]])&gt;=11,WORKDAY(Table1[[#This Row],[CORREO]],1,Table2[Dias no laborales]),E323)</f>
        <v>45736.367361111108</v>
      </c>
      <c r="G323" s="8">
        <v>45736</v>
      </c>
      <c r="H323" s="6">
        <f t="shared" si="10"/>
        <v>12</v>
      </c>
      <c r="I323" s="16">
        <f>MAX(1, NETWORKDAYS(A323, G323,Table2[Dias no laborales]))</f>
        <v>1</v>
      </c>
      <c r="J323" s="6" t="str">
        <f>IF(Table1[[#This Row],[FIN]]="","Acumulado",IF(ISNUMBER(SEARCH("ASAP",C323)),"ASAP",IF(NETWORKDAYS.INTL(F323,G323,1,Table2[Dias no laborales]) &lt;= 7, "Dentro", IF(A323&gt;F323,"Programado","Fuera"))))</f>
        <v>Dentro</v>
      </c>
      <c r="K323" s="6" t="str">
        <f t="shared" si="11"/>
        <v>A tiempo</v>
      </c>
      <c r="L323" s="8"/>
      <c r="M323" s="17">
        <f>MAX(1,NETWORKDAYS(A323,L323,Table2[Dias no laborales]))</f>
        <v>1</v>
      </c>
    </row>
    <row r="324" spans="1:13" hidden="1" x14ac:dyDescent="0.3">
      <c r="A324" s="8">
        <v>45736</v>
      </c>
      <c r="B324" s="6" t="s">
        <v>638</v>
      </c>
      <c r="C324" s="6" t="s">
        <v>639</v>
      </c>
      <c r="D324" s="6" t="s">
        <v>628</v>
      </c>
      <c r="E324" s="14">
        <v>45736.42083333333</v>
      </c>
      <c r="F324" s="8">
        <f>IF(HOUR(Table1[[#This Row],[CORREO]])&gt;=11,WORKDAY(Table1[[#This Row],[CORREO]],1,Table2[Dias no laborales]),E324)</f>
        <v>45736.42083333333</v>
      </c>
      <c r="G324" s="8">
        <v>45737</v>
      </c>
      <c r="H324" s="6">
        <f t="shared" si="10"/>
        <v>12</v>
      </c>
      <c r="I324" s="16">
        <f>MAX(1, NETWORKDAYS(A324, G324,Table2[Dias no laborales]))</f>
        <v>2</v>
      </c>
      <c r="J324" s="6" t="str">
        <f>IF(Table1[[#This Row],[FIN]]="","Acumulado",IF(ISNUMBER(SEARCH("ASAP",C324)),"ASAP",IF(NETWORKDAYS.INTL(F324,G324,1,Table2[Dias no laborales]) &lt;= 7, "Dentro", IF(A324&gt;F324,"Programado","Fuera"))))</f>
        <v>Dentro</v>
      </c>
      <c r="K324" s="6" t="str">
        <f t="shared" si="11"/>
        <v>A tiempo</v>
      </c>
      <c r="L324" s="8"/>
      <c r="M324" s="17">
        <f>MAX(1,NETWORKDAYS(A324,L324,Table2[Dias no laborales]))</f>
        <v>1</v>
      </c>
    </row>
    <row r="325" spans="1:13" hidden="1" x14ac:dyDescent="0.3">
      <c r="A325" s="8">
        <v>45736</v>
      </c>
      <c r="B325" s="5" t="s">
        <v>846</v>
      </c>
      <c r="C325" s="5" t="s">
        <v>847</v>
      </c>
      <c r="D325" s="5" t="s">
        <v>848</v>
      </c>
      <c r="E325" s="14">
        <v>45736.439583333333</v>
      </c>
      <c r="F325" s="8">
        <f>IF(HOUR(Table1[[#This Row],[CORREO]])&gt;=11,WORKDAY(Table1[[#This Row],[CORREO]],1,Table2[Dias no laborales]),E325)</f>
        <v>45736.439583333333</v>
      </c>
      <c r="G325" s="8">
        <v>45763</v>
      </c>
      <c r="H325" s="6">
        <f t="shared" si="10"/>
        <v>12</v>
      </c>
      <c r="I325" s="16">
        <f>MAX(1, NETWORKDAYS(A325, G325,Table2[Dias no laborales]))</f>
        <v>20</v>
      </c>
      <c r="J325" s="6" t="str">
        <f>IF(Table1[[#This Row],[FIN]]="","Acumulado",IF(ISNUMBER(SEARCH("ASAP",C325)),"ASAP",IF(NETWORKDAYS.INTL(F325,G325,1,Table2[Dias no laborales]) &lt;= 7, "Dentro", IF(A325&gt;F325,"Programado","Fuera"))))</f>
        <v>Fuera</v>
      </c>
      <c r="K325" s="6" t="str">
        <f t="shared" si="11"/>
        <v>A tiempo</v>
      </c>
      <c r="L325" s="8"/>
      <c r="M325" s="17">
        <f>MAX(1,NETWORKDAYS(A325,L325,Table2[Dias no laborales]))</f>
        <v>1</v>
      </c>
    </row>
    <row r="326" spans="1:13" hidden="1" x14ac:dyDescent="0.3">
      <c r="A326" s="12">
        <v>45736</v>
      </c>
      <c r="B326" s="16" t="s">
        <v>644</v>
      </c>
      <c r="C326" s="16" t="s">
        <v>645</v>
      </c>
      <c r="D326" s="16" t="s">
        <v>24</v>
      </c>
      <c r="E326" s="14"/>
      <c r="F326" s="12">
        <f>IF(HOUR(Table1[[#This Row],[CORREO]])&gt;=11,WORKDAY(Table1[[#This Row],[CORREO]],1,Table2[Dias no laborales]),E326)</f>
        <v>0</v>
      </c>
      <c r="G326" s="12">
        <v>45740</v>
      </c>
      <c r="H326" s="16">
        <f t="shared" si="10"/>
        <v>12</v>
      </c>
      <c r="I326" s="16">
        <f>MAX(1, NETWORKDAYS(A326, G326,Table2[Dias no laborales]))</f>
        <v>3</v>
      </c>
      <c r="J326" s="6" t="str">
        <f>IF(Table1[[#This Row],[FIN]]="","Acumulado",IF(ISNUMBER(SEARCH("ASAP",C326)),"ASAP",IF(NETWORKDAYS.INTL(F326,G326,1,Table2[Dias no laborales]) &lt;= 7, "Dentro", IF(A326&gt;F326,"Programado","Fuera"))))</f>
        <v>ASAP</v>
      </c>
      <c r="K326" s="16" t="str">
        <f t="shared" si="11"/>
        <v>Programados</v>
      </c>
      <c r="L326" s="12"/>
      <c r="M326" s="18">
        <f>MAX(1,NETWORKDAYS(A326,L326,Table2[Dias no laborales]))</f>
        <v>1</v>
      </c>
    </row>
    <row r="327" spans="1:13" hidden="1" x14ac:dyDescent="0.3">
      <c r="A327" s="8">
        <v>45737</v>
      </c>
      <c r="B327" s="6" t="s">
        <v>635</v>
      </c>
      <c r="C327" s="6" t="s">
        <v>636</v>
      </c>
      <c r="D327" s="6" t="s">
        <v>637</v>
      </c>
      <c r="E327" s="14">
        <v>45736.532638888886</v>
      </c>
      <c r="F327" s="8">
        <f>IF(HOUR(Table1[[#This Row],[CORREO]])&gt;=11,WORKDAY(Table1[[#This Row],[CORREO]],1,Table2[Dias no laborales]),E327)</f>
        <v>45737</v>
      </c>
      <c r="G327" s="8">
        <v>45737</v>
      </c>
      <c r="H327" s="6">
        <f t="shared" si="10"/>
        <v>12</v>
      </c>
      <c r="I327" s="16">
        <f>MAX(1, NETWORKDAYS(A327, G327,Table2[Dias no laborales]))</f>
        <v>1</v>
      </c>
      <c r="J327" s="6" t="str">
        <f>IF(Table1[[#This Row],[FIN]]="","Acumulado",IF(ISNUMBER(SEARCH("ASAP",C327)),"ASAP",IF(NETWORKDAYS.INTL(F327,G327,1,Table2[Dias no laborales]) &lt;= 7, "Dentro", IF(A327&gt;F327,"Programado","Fuera"))))</f>
        <v>Dentro</v>
      </c>
      <c r="K327" s="6" t="str">
        <f t="shared" si="11"/>
        <v>A tiempo</v>
      </c>
      <c r="L327" s="8"/>
      <c r="M327" s="17">
        <f>MAX(1,NETWORKDAYS(A327,L327,Table2[Dias no laborales]))</f>
        <v>1</v>
      </c>
    </row>
    <row r="328" spans="1:13" hidden="1" x14ac:dyDescent="0.3">
      <c r="A328" s="8">
        <v>45737</v>
      </c>
      <c r="B328" s="6" t="s">
        <v>690</v>
      </c>
      <c r="C328" s="6" t="s">
        <v>691</v>
      </c>
      <c r="D328" s="6" t="s">
        <v>517</v>
      </c>
      <c r="E328" s="14">
        <v>45736.674305555556</v>
      </c>
      <c r="F328" s="8">
        <f>IF(HOUR(Table1[[#This Row],[CORREO]])&gt;=11,WORKDAY(Table1[[#This Row],[CORREO]],1,Table2[Dias no laborales]),E328)</f>
        <v>45737</v>
      </c>
      <c r="G328" s="8">
        <v>45747</v>
      </c>
      <c r="H328" s="6">
        <f t="shared" si="10"/>
        <v>12</v>
      </c>
      <c r="I328" s="16">
        <f>MAX(1, NETWORKDAYS(A328, G328,Table2[Dias no laborales]))</f>
        <v>7</v>
      </c>
      <c r="J328" s="6" t="str">
        <f>IF(Table1[[#This Row],[FIN]]="","Acumulado",IF(ISNUMBER(SEARCH("ASAP",C328)),"ASAP",IF(NETWORKDAYS.INTL(F328,G328,1,Table2[Dias no laborales]) &lt;= 7, "Dentro", IF(A328&gt;F328,"Programado","Fuera"))))</f>
        <v>Dentro</v>
      </c>
      <c r="K328" s="6" t="str">
        <f t="shared" si="11"/>
        <v>A tiempo</v>
      </c>
      <c r="L328" s="8"/>
      <c r="M328" s="17">
        <f>MAX(1,NETWORKDAYS(A328,L328,Table2[Dias no laborales]))</f>
        <v>1</v>
      </c>
    </row>
    <row r="329" spans="1:13" hidden="1" x14ac:dyDescent="0.3">
      <c r="A329" s="8">
        <v>45737</v>
      </c>
      <c r="B329" s="6" t="s">
        <v>660</v>
      </c>
      <c r="C329" s="6" t="s">
        <v>661</v>
      </c>
      <c r="D329" s="6" t="s">
        <v>372</v>
      </c>
      <c r="E329" s="14">
        <v>45737.382638888892</v>
      </c>
      <c r="F329" s="8">
        <f>IF(HOUR(Table1[[#This Row],[CORREO]])&gt;=11,WORKDAY(Table1[[#This Row],[CORREO]],1,Table2[Dias no laborales]),E329)</f>
        <v>45737.382638888892</v>
      </c>
      <c r="G329" s="8">
        <v>45743</v>
      </c>
      <c r="H329" s="6">
        <f t="shared" si="10"/>
        <v>12</v>
      </c>
      <c r="I329" s="16">
        <f>MAX(1, NETWORKDAYS(A329, G329,Table2[Dias no laborales]))</f>
        <v>5</v>
      </c>
      <c r="J329" s="6" t="str">
        <f>IF(Table1[[#This Row],[FIN]]="","Acumulado",IF(ISNUMBER(SEARCH("ASAP",C329)),"ASAP",IF(NETWORKDAYS.INTL(F329,G329,1,Table2[Dias no laborales]) &lt;= 7, "Dentro", IF(A329&gt;F329,"Programado","Fuera"))))</f>
        <v>Dentro</v>
      </c>
      <c r="K329" s="6" t="str">
        <f t="shared" si="11"/>
        <v>A tiempo</v>
      </c>
      <c r="L329" s="8"/>
      <c r="M329" s="17">
        <f>MAX(1,NETWORKDAYS(A329,L329,Table2[Dias no laborales]))</f>
        <v>1</v>
      </c>
    </row>
    <row r="330" spans="1:13" hidden="1" x14ac:dyDescent="0.3">
      <c r="A330" s="8">
        <v>45737</v>
      </c>
      <c r="B330" s="6" t="s">
        <v>642</v>
      </c>
      <c r="C330" s="6" t="s">
        <v>196</v>
      </c>
      <c r="D330" s="6" t="s">
        <v>27</v>
      </c>
      <c r="E330" s="14"/>
      <c r="F330" s="8">
        <f>IF(HOUR(Table1[[#This Row],[CORREO]])&gt;=11,WORKDAY(Table1[[#This Row],[CORREO]],1,Table2[Dias no laborales]),E330)</f>
        <v>0</v>
      </c>
      <c r="G330" s="8">
        <v>45740</v>
      </c>
      <c r="H330" s="6">
        <f t="shared" si="10"/>
        <v>12</v>
      </c>
      <c r="I330" s="16">
        <f>MAX(1, NETWORKDAYS(A330, G330,Table2[Dias no laborales]))</f>
        <v>2</v>
      </c>
      <c r="J330" s="6" t="str">
        <f>IF(Table1[[#This Row],[FIN]]="","Acumulado",IF(ISNUMBER(SEARCH("ASAP",C330)),"ASAP",IF(NETWORKDAYS.INTL(F330,G330,1,Table2[Dias no laborales]) &lt;= 7, "Dentro", IF(A330&gt;F330,"Programado","Fuera"))))</f>
        <v>Programado</v>
      </c>
      <c r="K330" s="6" t="str">
        <f t="shared" si="11"/>
        <v>Programados</v>
      </c>
      <c r="L330" s="8"/>
      <c r="M330" s="17">
        <f>MAX(1,NETWORKDAYS(A330,L330,Table2[Dias no laborales]))</f>
        <v>1</v>
      </c>
    </row>
    <row r="331" spans="1:13" hidden="1" x14ac:dyDescent="0.3">
      <c r="A331" s="8">
        <v>45737</v>
      </c>
      <c r="B331" s="6" t="s">
        <v>643</v>
      </c>
      <c r="C331" s="6" t="s">
        <v>188</v>
      </c>
      <c r="D331" s="6" t="s">
        <v>27</v>
      </c>
      <c r="E331" s="14"/>
      <c r="F331" s="8">
        <f>IF(HOUR(Table1[[#This Row],[CORREO]])&gt;=11,WORKDAY(Table1[[#This Row],[CORREO]],1,Table2[Dias no laborales]),E331)</f>
        <v>0</v>
      </c>
      <c r="G331" s="8">
        <v>45740</v>
      </c>
      <c r="H331" s="6">
        <f t="shared" si="10"/>
        <v>12</v>
      </c>
      <c r="I331" s="16">
        <f>MAX(1, NETWORKDAYS(A331, G331,Table2[Dias no laborales]))</f>
        <v>2</v>
      </c>
      <c r="J331" s="6" t="str">
        <f>IF(Table1[[#This Row],[FIN]]="","Acumulado",IF(ISNUMBER(SEARCH("ASAP",C331)),"ASAP",IF(NETWORKDAYS.INTL(F331,G331,1,Table2[Dias no laborales]) &lt;= 7, "Dentro", IF(A331&gt;F331,"Programado","Fuera"))))</f>
        <v>Programado</v>
      </c>
      <c r="K331" s="6" t="str">
        <f t="shared" si="11"/>
        <v>Programados</v>
      </c>
      <c r="L331" s="8"/>
      <c r="M331" s="17">
        <f>MAX(1,NETWORKDAYS(A331,L331,Table2[Dias no laborales]))</f>
        <v>1</v>
      </c>
    </row>
    <row r="332" spans="1:13" hidden="1" x14ac:dyDescent="0.3">
      <c r="A332" s="8">
        <v>45737</v>
      </c>
      <c r="B332" s="6" t="s">
        <v>640</v>
      </c>
      <c r="C332" s="6" t="s">
        <v>641</v>
      </c>
      <c r="D332" s="6" t="s">
        <v>89</v>
      </c>
      <c r="E332" s="14">
        <v>45737.40625</v>
      </c>
      <c r="F332" s="8">
        <f>IF(HOUR(Table1[[#This Row],[CORREO]])&gt;=11,WORKDAY(Table1[[#This Row],[CORREO]],1,Table2[Dias no laborales]),E332)</f>
        <v>45737.40625</v>
      </c>
      <c r="G332" s="8">
        <v>45737</v>
      </c>
      <c r="H332" s="6">
        <f t="shared" si="10"/>
        <v>12</v>
      </c>
      <c r="I332" s="16">
        <f>MAX(1, NETWORKDAYS(A332, G332,Table2[Dias no laborales]))</f>
        <v>1</v>
      </c>
      <c r="J332" s="6" t="str">
        <f>IF(Table1[[#This Row],[FIN]]="","Acumulado",IF(ISNUMBER(SEARCH("ASAP",C332)),"ASAP",IF(NETWORKDAYS.INTL(F332,G332,1,Table2[Dias no laborales]) &lt;= 7, "Dentro", IF(A332&gt;F332,"Programado","Fuera"))))</f>
        <v>Dentro</v>
      </c>
      <c r="K332" s="6" t="str">
        <f t="shared" si="11"/>
        <v>A tiempo</v>
      </c>
      <c r="L332" s="8"/>
      <c r="M332" s="17">
        <f>MAX(1,NETWORKDAYS(A332,L332,Table2[Dias no laborales]))</f>
        <v>1</v>
      </c>
    </row>
    <row r="333" spans="1:13" hidden="1" x14ac:dyDescent="0.3">
      <c r="A333" s="8">
        <v>45740</v>
      </c>
      <c r="B333" s="6" t="s">
        <v>679</v>
      </c>
      <c r="C333" s="6" t="s">
        <v>680</v>
      </c>
      <c r="D333" s="6" t="s">
        <v>24</v>
      </c>
      <c r="E333" s="14"/>
      <c r="F333" s="8">
        <f>IF(HOUR(Table1[[#This Row],[CORREO]])&gt;=11,WORKDAY(Table1[[#This Row],[CORREO]],1,Table2[Dias no laborales]),E333)</f>
        <v>0</v>
      </c>
      <c r="G333" s="8">
        <v>45744</v>
      </c>
      <c r="H333" s="6">
        <f t="shared" si="10"/>
        <v>12</v>
      </c>
      <c r="I333" s="16">
        <f>MAX(1, NETWORKDAYS(A333, G333,Table2[Dias no laborales]))</f>
        <v>5</v>
      </c>
      <c r="J333" s="6" t="str">
        <f>IF(Table1[[#This Row],[FIN]]="","Acumulado",IF(ISNUMBER(SEARCH("ASAP",C333)),"ASAP",IF(NETWORKDAYS.INTL(F333,G333,1,Table2[Dias no laborales]) &lt;= 7, "Dentro", IF(A333&gt;F333,"Programado","Fuera"))))</f>
        <v>Programado</v>
      </c>
      <c r="K333" s="6" t="str">
        <f t="shared" si="11"/>
        <v>Programados</v>
      </c>
      <c r="L333" s="8"/>
      <c r="M333" s="17">
        <f>MAX(1,NETWORKDAYS(A333,L333,Table2[Dias no laborales]))</f>
        <v>1</v>
      </c>
    </row>
    <row r="334" spans="1:13" hidden="1" x14ac:dyDescent="0.3">
      <c r="A334" s="8">
        <v>45740</v>
      </c>
      <c r="B334" s="6" t="s">
        <v>648</v>
      </c>
      <c r="C334" s="6" t="s">
        <v>649</v>
      </c>
      <c r="D334" s="6" t="s">
        <v>650</v>
      </c>
      <c r="E334" s="14">
        <v>45740.466666666667</v>
      </c>
      <c r="F334" s="8">
        <f>IF(HOUR(Table1[[#This Row],[CORREO]])&gt;=11,WORKDAY(Table1[[#This Row],[CORREO]],1,Table2[Dias no laborales]),E334)</f>
        <v>45741</v>
      </c>
      <c r="G334" s="8">
        <v>45741</v>
      </c>
      <c r="H334" s="6">
        <f t="shared" si="10"/>
        <v>12</v>
      </c>
      <c r="I334" s="16">
        <f>MAX(1, NETWORKDAYS(A334, G334,Table2[Dias no laborales]))</f>
        <v>2</v>
      </c>
      <c r="J334" s="6" t="str">
        <f>IF(Table1[[#This Row],[FIN]]="","Acumulado",IF(ISNUMBER(SEARCH("ASAP",C334)),"ASAP",IF(NETWORKDAYS.INTL(F334,G334,1,Table2[Dias no laborales]) &lt;= 7, "Dentro", IF(A334&gt;F334,"Programado","Fuera"))))</f>
        <v>Dentro</v>
      </c>
      <c r="K334" s="6" t="str">
        <f t="shared" si="11"/>
        <v>Mismo día</v>
      </c>
      <c r="L334" s="8"/>
      <c r="M334" s="17">
        <f>MAX(1,NETWORKDAYS(A334,L334,Table2[Dias no laborales]))</f>
        <v>1</v>
      </c>
    </row>
    <row r="335" spans="1:13" hidden="1" x14ac:dyDescent="0.3">
      <c r="A335" s="8">
        <v>45740</v>
      </c>
      <c r="B335" s="6" t="s">
        <v>653</v>
      </c>
      <c r="C335" s="6" t="s">
        <v>654</v>
      </c>
      <c r="D335" s="6" t="s">
        <v>655</v>
      </c>
      <c r="E335" s="14">
        <v>45740.470833333333</v>
      </c>
      <c r="F335" s="8">
        <f>IF(HOUR(Table1[[#This Row],[CORREO]])&gt;=11,WORKDAY(Table1[[#This Row],[CORREO]],1,Table2[Dias no laborales]),E335)</f>
        <v>45741</v>
      </c>
      <c r="G335" s="8">
        <v>45742</v>
      </c>
      <c r="H335" s="6">
        <f t="shared" si="10"/>
        <v>12</v>
      </c>
      <c r="I335" s="16">
        <f>MAX(1, NETWORKDAYS(A335, G335,Table2[Dias no laborales]))</f>
        <v>3</v>
      </c>
      <c r="J335" s="6" t="str">
        <f>IF(Table1[[#This Row],[FIN]]="","Acumulado",IF(ISNUMBER(SEARCH("ASAP",C335)),"ASAP",IF(NETWORKDAYS.INTL(F335,G335,1,Table2[Dias no laborales]) &lt;= 7, "Dentro", IF(A335&gt;F335,"Programado","Fuera"))))</f>
        <v>Dentro</v>
      </c>
      <c r="K335" s="6" t="str">
        <f t="shared" si="11"/>
        <v>Mismo día</v>
      </c>
      <c r="L335" s="8"/>
      <c r="M335" s="17">
        <f>MAX(1,NETWORKDAYS(A335,L335,Table2[Dias no laborales]))</f>
        <v>1</v>
      </c>
    </row>
    <row r="336" spans="1:13" hidden="1" x14ac:dyDescent="0.3">
      <c r="A336" s="8">
        <v>45742</v>
      </c>
      <c r="B336" s="6" t="s">
        <v>669</v>
      </c>
      <c r="C336" s="6" t="s">
        <v>670</v>
      </c>
      <c r="D336" s="6" t="s">
        <v>27</v>
      </c>
      <c r="E336" s="14">
        <v>45741.760416666664</v>
      </c>
      <c r="F336" s="8">
        <f>IF(HOUR(Table1[[#This Row],[CORREO]])&gt;=11,WORKDAY(Table1[[#This Row],[CORREO]],1,Table2[Dias no laborales]),E336)</f>
        <v>45742</v>
      </c>
      <c r="G336" s="8">
        <v>45743</v>
      </c>
      <c r="H336" s="6">
        <f t="shared" si="10"/>
        <v>13</v>
      </c>
      <c r="I336" s="16">
        <f>MAX(1, NETWORKDAYS(A336, G336,Table2[Dias no laborales]))</f>
        <v>2</v>
      </c>
      <c r="J336" s="6" t="str">
        <f>IF(Table1[[#This Row],[FIN]]="","Acumulado",IF(ISNUMBER(SEARCH("ASAP",C336)),"ASAP",IF(NETWORKDAYS.INTL(F336,G336,1,Table2[Dias no laborales]) &lt;= 7, "Dentro", IF(A336&gt;F336,"Programado","Fuera"))))</f>
        <v>Dentro</v>
      </c>
      <c r="K336" s="6" t="str">
        <f t="shared" si="11"/>
        <v>A tiempo</v>
      </c>
      <c r="L336" s="8"/>
      <c r="M336" s="17">
        <f>MAX(1,NETWORKDAYS(A336,L336,Table2[Dias no laborales]))</f>
        <v>1</v>
      </c>
    </row>
    <row r="337" spans="1:13" hidden="1" x14ac:dyDescent="0.3">
      <c r="A337" s="8">
        <v>45743</v>
      </c>
      <c r="B337" s="6" t="s">
        <v>1213</v>
      </c>
      <c r="C337" s="6" t="s">
        <v>1214</v>
      </c>
      <c r="D337" s="6" t="s">
        <v>151</v>
      </c>
      <c r="E337" s="14">
        <v>45742.387499999997</v>
      </c>
      <c r="F337" s="8">
        <f>IF(HOUR(Table1[[#This Row],[CORREO]])&gt;=11,WORKDAY(Table1[[#This Row],[CORREO]],1,Table2[Dias no laborales]),E337)</f>
        <v>45742.387499999997</v>
      </c>
      <c r="G337" s="8">
        <v>45784</v>
      </c>
      <c r="H337" s="6">
        <f t="shared" si="10"/>
        <v>13</v>
      </c>
      <c r="I337" s="16">
        <f>MAX(1, NETWORKDAYS(A337, G337,Table2[Dias no laborales]))</f>
        <v>30</v>
      </c>
      <c r="J337" s="6" t="str">
        <f>IF(Table1[[#This Row],[FIN]]="","Acumulado",IF(ISNUMBER(SEARCH("ASAP",C337)),"ASAP",IF(NETWORKDAYS.INTL(F337,G337,1,Table2[Dias no laborales]) &lt;= 7, "Dentro", IF(A337&gt;F337,"Programado","Fuera"))))</f>
        <v>Programado</v>
      </c>
      <c r="K337" s="6" t="str">
        <f t="shared" si="11"/>
        <v>Programados</v>
      </c>
      <c r="L337" s="9">
        <v>45744</v>
      </c>
      <c r="M337" s="17">
        <f>MAX(1,NETWORKDAYS(A337,L337,Table2[Dias no laborales]))</f>
        <v>2</v>
      </c>
    </row>
    <row r="338" spans="1:13" hidden="1" x14ac:dyDescent="0.3">
      <c r="A338" s="8">
        <v>45742</v>
      </c>
      <c r="B338" s="6" t="s">
        <v>673</v>
      </c>
      <c r="C338" s="6" t="s">
        <v>674</v>
      </c>
      <c r="D338" s="6" t="s">
        <v>119</v>
      </c>
      <c r="E338" s="14">
        <v>45742.453472222223</v>
      </c>
      <c r="F338" s="8">
        <f>IF(HOUR(Table1[[#This Row],[CORREO]])&gt;=11,WORKDAY(Table1[[#This Row],[CORREO]],1,Table2[Dias no laborales]),E338)</f>
        <v>45742.453472222223</v>
      </c>
      <c r="G338" s="8">
        <v>45743</v>
      </c>
      <c r="H338" s="6">
        <f t="shared" si="10"/>
        <v>13</v>
      </c>
      <c r="I338" s="16">
        <f>MAX(1, NETWORKDAYS(A338, G338,Table2[Dias no laborales]))</f>
        <v>2</v>
      </c>
      <c r="J338" s="6" t="str">
        <f>IF(Table1[[#This Row],[FIN]]="","Acumulado",IF(ISNUMBER(SEARCH("ASAP",C338)),"ASAP",IF(NETWORKDAYS.INTL(F338,G338,1,Table2[Dias no laborales]) &lt;= 7, "Dentro", IF(A338&gt;F338,"Programado","Fuera"))))</f>
        <v>Dentro</v>
      </c>
      <c r="K338" s="6" t="str">
        <f t="shared" si="11"/>
        <v>A tiempo</v>
      </c>
      <c r="L338" s="8"/>
      <c r="M338" s="17">
        <f>MAX(1,NETWORKDAYS(A338,L338,Table2[Dias no laborales]))</f>
        <v>1</v>
      </c>
    </row>
    <row r="339" spans="1:13" hidden="1" x14ac:dyDescent="0.3">
      <c r="A339" s="8">
        <v>45742</v>
      </c>
      <c r="B339" s="6" t="s">
        <v>730</v>
      </c>
      <c r="C339" s="6" t="s">
        <v>731</v>
      </c>
      <c r="D339" s="6" t="s">
        <v>24</v>
      </c>
      <c r="E339" s="14"/>
      <c r="F339" s="8">
        <f>IF(HOUR(Table1[[#This Row],[CORREO]])&gt;=11,WORKDAY(Table1[[#This Row],[CORREO]],1,Table2[Dias no laborales]),E339)</f>
        <v>0</v>
      </c>
      <c r="G339" s="8">
        <v>45751</v>
      </c>
      <c r="H339" s="6">
        <f t="shared" si="10"/>
        <v>13</v>
      </c>
      <c r="I339" s="16">
        <f>MAX(1, NETWORKDAYS(A339, G339,Table2[Dias no laborales]))</f>
        <v>8</v>
      </c>
      <c r="J339" s="6" t="str">
        <f>IF(Table1[[#This Row],[FIN]]="","Acumulado",IF(ISNUMBER(SEARCH("ASAP",C339)),"ASAP",IF(NETWORKDAYS.INTL(F339,G339,1,Table2[Dias no laborales]) &lt;= 7, "Dentro", IF(A339&gt;F339,"Programado","Fuera"))))</f>
        <v>ASAP</v>
      </c>
      <c r="K339" s="6" t="str">
        <f t="shared" si="11"/>
        <v>Programados</v>
      </c>
      <c r="L339" s="8"/>
      <c r="M339" s="17">
        <f>MAX(1,NETWORKDAYS(A339,L339,Table2[Dias no laborales]))</f>
        <v>1</v>
      </c>
    </row>
    <row r="340" spans="1:13" hidden="1" x14ac:dyDescent="0.3">
      <c r="A340" s="8">
        <v>45743</v>
      </c>
      <c r="B340" s="6" t="s">
        <v>684</v>
      </c>
      <c r="C340" s="6" t="s">
        <v>685</v>
      </c>
      <c r="D340" s="6" t="s">
        <v>53</v>
      </c>
      <c r="E340" s="14">
        <v>45742.504861111112</v>
      </c>
      <c r="F340" s="8">
        <f>IF(HOUR(Table1[[#This Row],[CORREO]])&gt;=11,WORKDAY(Table1[[#This Row],[CORREO]],1,Table2[Dias no laborales]),E340)</f>
        <v>45743</v>
      </c>
      <c r="G340" s="8">
        <v>45744</v>
      </c>
      <c r="H340" s="6">
        <f t="shared" si="10"/>
        <v>13</v>
      </c>
      <c r="I340" s="16">
        <f>MAX(1, NETWORKDAYS(A340, G340,Table2[Dias no laborales]))</f>
        <v>2</v>
      </c>
      <c r="J340" s="6" t="str">
        <f>IF(Table1[[#This Row],[FIN]]="","Acumulado",IF(ISNUMBER(SEARCH("ASAP",C340)),"ASAP",IF(NETWORKDAYS.INTL(F340,G340,1,Table2[Dias no laborales]) &lt;= 7, "Dentro", IF(A340&gt;F340,"Programado","Fuera"))))</f>
        <v>Dentro</v>
      </c>
      <c r="K340" s="6" t="str">
        <f t="shared" si="11"/>
        <v>A tiempo</v>
      </c>
      <c r="L340" s="8"/>
      <c r="M340" s="17">
        <f>MAX(1,NETWORKDAYS(A340,L340,Table2[Dias no laborales]))</f>
        <v>1</v>
      </c>
    </row>
    <row r="341" spans="1:13" hidden="1" x14ac:dyDescent="0.3">
      <c r="A341" s="8">
        <v>45743</v>
      </c>
      <c r="B341" s="6" t="s">
        <v>696</v>
      </c>
      <c r="C341" s="6" t="s">
        <v>474</v>
      </c>
      <c r="D341" s="6" t="s">
        <v>24</v>
      </c>
      <c r="E341" s="14">
        <v>45742.585416666669</v>
      </c>
      <c r="F341" s="8">
        <f>IF(HOUR(Table1[[#This Row],[CORREO]])&gt;=11,WORKDAY(Table1[[#This Row],[CORREO]],1,Table2[Dias no laborales]),E341)</f>
        <v>45743</v>
      </c>
      <c r="G341" s="8">
        <v>45747</v>
      </c>
      <c r="H341" s="6">
        <f t="shared" si="10"/>
        <v>13</v>
      </c>
      <c r="I341" s="16">
        <f>MAX(1, NETWORKDAYS(A341, G341,Table2[Dias no laborales]))</f>
        <v>3</v>
      </c>
      <c r="J341" s="6" t="str">
        <f>IF(Table1[[#This Row],[FIN]]="","Acumulado",IF(ISNUMBER(SEARCH("ASAP",C341)),"ASAP",IF(NETWORKDAYS.INTL(F341,G341,1,Table2[Dias no laborales]) &lt;= 7, "Dentro", IF(A341&gt;F341,"Programado","Fuera"))))</f>
        <v>Dentro</v>
      </c>
      <c r="K341" s="6" t="str">
        <f t="shared" si="11"/>
        <v>A tiempo</v>
      </c>
      <c r="L341" s="8"/>
      <c r="M341" s="17">
        <f>MAX(1,NETWORKDAYS(A341,L341,Table2[Dias no laborales]))</f>
        <v>1</v>
      </c>
    </row>
    <row r="342" spans="1:13" hidden="1" x14ac:dyDescent="0.3">
      <c r="A342" s="8">
        <v>45743</v>
      </c>
      <c r="B342" s="6" t="s">
        <v>686</v>
      </c>
      <c r="C342" s="6" t="s">
        <v>687</v>
      </c>
      <c r="D342" s="6" t="s">
        <v>423</v>
      </c>
      <c r="E342" s="14">
        <v>45742.613888888889</v>
      </c>
      <c r="F342" s="8">
        <f>IF(HOUR(Table1[[#This Row],[CORREO]])&gt;=11,WORKDAY(Table1[[#This Row],[CORREO]],1,Table2[Dias no laborales]),E342)</f>
        <v>45743</v>
      </c>
      <c r="G342" s="8">
        <v>45747</v>
      </c>
      <c r="H342" s="6">
        <f t="shared" si="10"/>
        <v>13</v>
      </c>
      <c r="I342" s="16">
        <f>MAX(1, NETWORKDAYS(A342, G342,Table2[Dias no laborales]))</f>
        <v>3</v>
      </c>
      <c r="J342" s="6" t="str">
        <f>IF(Table1[[#This Row],[FIN]]="","Acumulado",IF(ISNUMBER(SEARCH("ASAP",C342)),"ASAP",IF(NETWORKDAYS.INTL(F342,G342,1,Table2[Dias no laborales]) &lt;= 7, "Dentro", IF(A342&gt;F342,"Programado","Fuera"))))</f>
        <v>Dentro</v>
      </c>
      <c r="K342" s="6" t="str">
        <f t="shared" si="11"/>
        <v>A tiempo</v>
      </c>
      <c r="L342" s="8"/>
      <c r="M342" s="17">
        <f>MAX(1,NETWORKDAYS(A342,L342,Table2[Dias no laborales]))</f>
        <v>1</v>
      </c>
    </row>
    <row r="343" spans="1:13" hidden="1" x14ac:dyDescent="0.3">
      <c r="A343" s="8">
        <v>45743</v>
      </c>
      <c r="B343" s="6" t="s">
        <v>688</v>
      </c>
      <c r="C343" s="6" t="s">
        <v>689</v>
      </c>
      <c r="D343" s="6" t="s">
        <v>24</v>
      </c>
      <c r="E343" s="14">
        <v>45742.615277777775</v>
      </c>
      <c r="F343" s="8">
        <f>IF(HOUR(Table1[[#This Row],[CORREO]])&gt;=11,WORKDAY(Table1[[#This Row],[CORREO]],1,Table2[Dias no laborales]),E343)</f>
        <v>45743</v>
      </c>
      <c r="G343" s="8">
        <v>45747</v>
      </c>
      <c r="H343" s="6">
        <f t="shared" si="10"/>
        <v>13</v>
      </c>
      <c r="I343" s="16">
        <f>MAX(1, NETWORKDAYS(A343, G343,Table2[Dias no laborales]))</f>
        <v>3</v>
      </c>
      <c r="J343" s="6" t="str">
        <f>IF(Table1[[#This Row],[FIN]]="","Acumulado",IF(ISNUMBER(SEARCH("ASAP",C343)),"ASAP",IF(NETWORKDAYS.INTL(F343,G343,1,Table2[Dias no laborales]) &lt;= 7, "Dentro", IF(A343&gt;F343,"Programado","Fuera"))))</f>
        <v>Dentro</v>
      </c>
      <c r="K343" s="6" t="str">
        <f t="shared" si="11"/>
        <v>A tiempo</v>
      </c>
      <c r="L343" s="8"/>
      <c r="M343" s="17">
        <f>MAX(1,NETWORKDAYS(A343,L343,Table2[Dias no laborales]))</f>
        <v>1</v>
      </c>
    </row>
    <row r="344" spans="1:13" hidden="1" x14ac:dyDescent="0.3">
      <c r="A344" s="8">
        <v>45743</v>
      </c>
      <c r="B344" s="6" t="s">
        <v>692</v>
      </c>
      <c r="C344" s="6" t="s">
        <v>693</v>
      </c>
      <c r="D344" s="6" t="s">
        <v>151</v>
      </c>
      <c r="E344" s="14">
        <v>45742.631249999999</v>
      </c>
      <c r="F344" s="8">
        <f>IF(HOUR(Table1[[#This Row],[CORREO]])&gt;=11,WORKDAY(Table1[[#This Row],[CORREO]],1,Table2[Dias no laborales]),E344)</f>
        <v>45743</v>
      </c>
      <c r="G344" s="8">
        <v>45747</v>
      </c>
      <c r="H344" s="6">
        <f t="shared" si="10"/>
        <v>13</v>
      </c>
      <c r="I344" s="16">
        <f>MAX(1, NETWORKDAYS(A344, G344,Table2[Dias no laborales]))</f>
        <v>3</v>
      </c>
      <c r="J344" s="6" t="str">
        <f>IF(Table1[[#This Row],[FIN]]="","Acumulado",IF(ISNUMBER(SEARCH("ASAP",C344)),"ASAP",IF(NETWORKDAYS.INTL(F344,G344,1,Table2[Dias no laborales]) &lt;= 7, "Dentro", IF(A344&gt;F344,"Programado","Fuera"))))</f>
        <v>Dentro</v>
      </c>
      <c r="K344" s="6" t="str">
        <f t="shared" si="11"/>
        <v>A tiempo</v>
      </c>
      <c r="L344" s="8"/>
      <c r="M344" s="17">
        <f>MAX(1,NETWORKDAYS(A344,L344,Table2[Dias no laborales]))</f>
        <v>1</v>
      </c>
    </row>
    <row r="345" spans="1:13" hidden="1" x14ac:dyDescent="0.3">
      <c r="A345" s="8">
        <v>45743</v>
      </c>
      <c r="B345" s="6" t="s">
        <v>742</v>
      </c>
      <c r="C345" s="6" t="s">
        <v>743</v>
      </c>
      <c r="D345" s="6" t="s">
        <v>82</v>
      </c>
      <c r="E345" s="14">
        <v>45742.799305555556</v>
      </c>
      <c r="F345" s="8">
        <f>IF(HOUR(Table1[[#This Row],[CORREO]])&gt;=11,WORKDAY(Table1[[#This Row],[CORREO]],1,Table2[Dias no laborales]),E345)</f>
        <v>45743</v>
      </c>
      <c r="G345" s="8">
        <v>45754</v>
      </c>
      <c r="H345" s="6">
        <f t="shared" si="10"/>
        <v>13</v>
      </c>
      <c r="I345" s="16">
        <f>MAX(1, NETWORKDAYS(A345, G345,Table2[Dias no laborales]))</f>
        <v>8</v>
      </c>
      <c r="J345" s="6" t="str">
        <f>IF(Table1[[#This Row],[FIN]]="","Acumulado",IF(ISNUMBER(SEARCH("ASAP",C345)),"ASAP",IF(NETWORKDAYS.INTL(F345,G345,1,Table2[Dias no laborales]) &lt;= 7, "Dentro", IF(A345&gt;F345,"Programado","Fuera"))))</f>
        <v>Fuera</v>
      </c>
      <c r="K345" s="6" t="str">
        <f t="shared" si="11"/>
        <v>A tiempo</v>
      </c>
      <c r="L345" s="8"/>
      <c r="M345" s="17">
        <f>MAX(1,NETWORKDAYS(A345,L345,Table2[Dias no laborales]))</f>
        <v>1</v>
      </c>
    </row>
    <row r="346" spans="1:13" hidden="1" x14ac:dyDescent="0.3">
      <c r="A346" s="8">
        <v>45743</v>
      </c>
      <c r="B346" s="6" t="s">
        <v>677</v>
      </c>
      <c r="C346" s="6" t="s">
        <v>678</v>
      </c>
      <c r="D346" s="6" t="s">
        <v>351</v>
      </c>
      <c r="E346" s="14">
        <v>45743.336805555555</v>
      </c>
      <c r="F346" s="8">
        <f>IF(HOUR(Table1[[#This Row],[CORREO]])&gt;=11,WORKDAY(Table1[[#This Row],[CORREO]],1,Table2[Dias no laborales]),E346)</f>
        <v>45743.336805555555</v>
      </c>
      <c r="G346" s="8">
        <v>45744</v>
      </c>
      <c r="H346" s="6">
        <f t="shared" si="10"/>
        <v>13</v>
      </c>
      <c r="I346" s="16">
        <f>MAX(1, NETWORKDAYS(A346, G346,Table2[Dias no laborales]))</f>
        <v>2</v>
      </c>
      <c r="J346" s="6" t="str">
        <f>IF(Table1[[#This Row],[FIN]]="","Acumulado",IF(ISNUMBER(SEARCH("ASAP",C346)),"ASAP",IF(NETWORKDAYS.INTL(F346,G346,1,Table2[Dias no laborales]) &lt;= 7, "Dentro", IF(A346&gt;F346,"Programado","Fuera"))))</f>
        <v>Dentro</v>
      </c>
      <c r="K346" s="6" t="str">
        <f t="shared" si="11"/>
        <v>A tiempo</v>
      </c>
      <c r="L346" s="8"/>
      <c r="M346" s="17">
        <f>MAX(1,NETWORKDAYS(A346,L346,Table2[Dias no laborales]))</f>
        <v>1</v>
      </c>
    </row>
    <row r="347" spans="1:13" hidden="1" x14ac:dyDescent="0.3">
      <c r="A347" s="8">
        <v>45743</v>
      </c>
      <c r="B347" s="6" t="s">
        <v>719</v>
      </c>
      <c r="C347" s="6" t="s">
        <v>720</v>
      </c>
      <c r="D347" s="6" t="s">
        <v>139</v>
      </c>
      <c r="E347" s="14">
        <v>45743.386111111111</v>
      </c>
      <c r="F347" s="8">
        <f>IF(HOUR(Table1[[#This Row],[CORREO]])&gt;=11,WORKDAY(Table1[[#This Row],[CORREO]],1,Table2[Dias no laborales]),E347)</f>
        <v>45743.386111111111</v>
      </c>
      <c r="G347" s="8">
        <v>45749</v>
      </c>
      <c r="H347" s="6">
        <f t="shared" si="10"/>
        <v>13</v>
      </c>
      <c r="I347" s="16">
        <f>MAX(1, NETWORKDAYS(A347, G347,Table2[Dias no laborales]))</f>
        <v>5</v>
      </c>
      <c r="J347" s="6" t="str">
        <f>IF(Table1[[#This Row],[FIN]]="","Acumulado",IF(ISNUMBER(SEARCH("ASAP",C347)),"ASAP",IF(NETWORKDAYS.INTL(F347,G347,1,Table2[Dias no laborales]) &lt;= 7, "Dentro", IF(A347&gt;F347,"Programado","Fuera"))))</f>
        <v>Dentro</v>
      </c>
      <c r="K347" s="6" t="str">
        <f t="shared" si="11"/>
        <v>A tiempo</v>
      </c>
      <c r="L347" s="8"/>
      <c r="M347" s="17">
        <f>MAX(1,NETWORKDAYS(A347,L347,Table2[Dias no laborales]))</f>
        <v>1</v>
      </c>
    </row>
    <row r="348" spans="1:13" hidden="1" x14ac:dyDescent="0.3">
      <c r="A348" s="8">
        <v>45744</v>
      </c>
      <c r="B348" s="6" t="s">
        <v>694</v>
      </c>
      <c r="C348" s="6" t="s">
        <v>695</v>
      </c>
      <c r="D348" s="6" t="s">
        <v>27</v>
      </c>
      <c r="E348" s="14">
        <v>45743.527777777781</v>
      </c>
      <c r="F348" s="8">
        <f>IF(HOUR(Table1[[#This Row],[CORREO]])&gt;=11,WORKDAY(Table1[[#This Row],[CORREO]],1,Table2[Dias no laborales]),E348)</f>
        <v>45744</v>
      </c>
      <c r="G348" s="8">
        <v>45747</v>
      </c>
      <c r="H348" s="6">
        <f t="shared" si="10"/>
        <v>13</v>
      </c>
      <c r="I348" s="16">
        <f>MAX(1, NETWORKDAYS(A348, G348,Table2[Dias no laborales]))</f>
        <v>2</v>
      </c>
      <c r="J348" s="6" t="str">
        <f>IF(Table1[[#This Row],[FIN]]="","Acumulado",IF(ISNUMBER(SEARCH("ASAP",C348)),"ASAP",IF(NETWORKDAYS.INTL(F348,G348,1,Table2[Dias no laborales]) &lt;= 7, "Dentro", IF(A348&gt;F348,"Programado","Fuera"))))</f>
        <v>Dentro</v>
      </c>
      <c r="K348" s="6" t="str">
        <f t="shared" si="11"/>
        <v>A tiempo</v>
      </c>
      <c r="L348" s="8"/>
      <c r="M348" s="17">
        <f>MAX(1,NETWORKDAYS(A348,L348,Table2[Dias no laborales]))</f>
        <v>1</v>
      </c>
    </row>
    <row r="349" spans="1:13" hidden="1" x14ac:dyDescent="0.3">
      <c r="A349" s="8">
        <v>45744</v>
      </c>
      <c r="B349" s="6" t="s">
        <v>681</v>
      </c>
      <c r="C349" s="6" t="s">
        <v>682</v>
      </c>
      <c r="D349" s="6" t="s">
        <v>171</v>
      </c>
      <c r="E349" s="14">
        <v>45744.374305555553</v>
      </c>
      <c r="F349" s="8">
        <f>IF(HOUR(Table1[[#This Row],[CORREO]])&gt;=11,WORKDAY(Table1[[#This Row],[CORREO]],1,Table2[Dias no laborales]),E349)</f>
        <v>45744.374305555553</v>
      </c>
      <c r="G349" s="8">
        <v>45744</v>
      </c>
      <c r="H349" s="6">
        <f t="shared" si="10"/>
        <v>13</v>
      </c>
      <c r="I349" s="16">
        <f>MAX(1, NETWORKDAYS(A349, G349,Table2[Dias no laborales]))</f>
        <v>1</v>
      </c>
      <c r="J349" s="6" t="str">
        <f>IF(Table1[[#This Row],[FIN]]="","Acumulado",IF(ISNUMBER(SEARCH("ASAP",C349)),"ASAP",IF(NETWORKDAYS.INTL(F349,G349,1,Table2[Dias no laborales]) &lt;= 7, "Dentro", IF(A349&gt;F349,"Programado","Fuera"))))</f>
        <v>Dentro</v>
      </c>
      <c r="K349" s="6" t="str">
        <f t="shared" si="11"/>
        <v>A tiempo</v>
      </c>
      <c r="L349" s="8"/>
      <c r="M349" s="17">
        <f>MAX(1,NETWORKDAYS(A349,L349,Table2[Dias no laborales]))</f>
        <v>1</v>
      </c>
    </row>
    <row r="350" spans="1:13" hidden="1" x14ac:dyDescent="0.3">
      <c r="A350" s="8">
        <v>45744</v>
      </c>
      <c r="B350" s="6" t="s">
        <v>683</v>
      </c>
      <c r="C350" s="6" t="s">
        <v>625</v>
      </c>
      <c r="D350" s="6" t="s">
        <v>139</v>
      </c>
      <c r="E350" s="14">
        <v>45744.420138888891</v>
      </c>
      <c r="F350" s="8">
        <f>IF(HOUR(Table1[[#This Row],[CORREO]])&gt;=11,WORKDAY(Table1[[#This Row],[CORREO]],1,Table2[Dias no laborales]),E350)</f>
        <v>45744.420138888891</v>
      </c>
      <c r="G350" s="8">
        <v>45744</v>
      </c>
      <c r="H350" s="6">
        <f t="shared" si="10"/>
        <v>13</v>
      </c>
      <c r="I350" s="16">
        <f>MAX(1, NETWORKDAYS(A350, G350,Table2[Dias no laborales]))</f>
        <v>1</v>
      </c>
      <c r="J350" s="6" t="str">
        <f>IF(Table1[[#This Row],[FIN]]="","Acumulado",IF(ISNUMBER(SEARCH("ASAP",C350)),"ASAP",IF(NETWORKDAYS.INTL(F350,G350,1,Table2[Dias no laborales]) &lt;= 7, "Dentro", IF(A350&gt;F350,"Programado","Fuera"))))</f>
        <v>Dentro</v>
      </c>
      <c r="K350" s="6" t="str">
        <f t="shared" si="11"/>
        <v>A tiempo</v>
      </c>
      <c r="L350" s="8"/>
      <c r="M350" s="17">
        <f>MAX(1,NETWORKDAYS(A350,L350,Table2[Dias no laborales]))</f>
        <v>1</v>
      </c>
    </row>
    <row r="351" spans="1:13" hidden="1" x14ac:dyDescent="0.3">
      <c r="A351" s="8">
        <v>45744</v>
      </c>
      <c r="B351" s="6" t="s">
        <v>723</v>
      </c>
      <c r="C351" s="6" t="s">
        <v>724</v>
      </c>
      <c r="D351" s="6" t="s">
        <v>27</v>
      </c>
      <c r="E351" s="14"/>
      <c r="F351" s="8">
        <f>IF(HOUR(Table1[[#This Row],[CORREO]])&gt;=11,WORKDAY(Table1[[#This Row],[CORREO]],1,Table2[Dias no laborales]),E351)</f>
        <v>0</v>
      </c>
      <c r="G351" s="8">
        <v>45751</v>
      </c>
      <c r="H351" s="6">
        <f t="shared" si="10"/>
        <v>13</v>
      </c>
      <c r="I351" s="16">
        <f>MAX(1, NETWORKDAYS(A351, G351,Table2[Dias no laborales]))</f>
        <v>6</v>
      </c>
      <c r="J351" s="6" t="str">
        <f>IF(Table1[[#This Row],[FIN]]="","Acumulado",IF(ISNUMBER(SEARCH("ASAP",C351)),"ASAP",IF(NETWORKDAYS.INTL(F351,G351,1,Table2[Dias no laborales]) &lt;= 7, "Dentro", IF(A351&gt;F351,"Programado","Fuera"))))</f>
        <v>ASAP</v>
      </c>
      <c r="K351" s="6" t="str">
        <f t="shared" si="11"/>
        <v>Programados</v>
      </c>
      <c r="L351" s="8"/>
      <c r="M351" s="17">
        <f>MAX(1,NETWORKDAYS(A351,L351,Table2[Dias no laborales]))</f>
        <v>1</v>
      </c>
    </row>
    <row r="352" spans="1:13" hidden="1" x14ac:dyDescent="0.3">
      <c r="A352" s="8">
        <v>45747</v>
      </c>
      <c r="B352" s="6" t="s">
        <v>734</v>
      </c>
      <c r="C352" s="6" t="s">
        <v>735</v>
      </c>
      <c r="D352" s="6" t="s">
        <v>24</v>
      </c>
      <c r="E352" s="14"/>
      <c r="F352" s="8">
        <f>IF(HOUR(Table1[[#This Row],[CORREO]])&gt;=11,WORKDAY(Table1[[#This Row],[CORREO]],1,Table2[Dias no laborales]),E352)</f>
        <v>0</v>
      </c>
      <c r="G352" s="8">
        <v>45751</v>
      </c>
      <c r="H352" s="6">
        <f t="shared" si="10"/>
        <v>13</v>
      </c>
      <c r="I352" s="16">
        <f>MAX(1, NETWORKDAYS(A352, G352,Table2[Dias no laborales]))</f>
        <v>5</v>
      </c>
      <c r="J352" s="6" t="str">
        <f>IF(Table1[[#This Row],[FIN]]="","Acumulado",IF(ISNUMBER(SEARCH("ASAP",C352)),"ASAP",IF(NETWORKDAYS.INTL(F352,G352,1,Table2[Dias no laborales]) &lt;= 7, "Dentro", IF(A352&gt;F352,"Programado","Fuera"))))</f>
        <v>Programado</v>
      </c>
      <c r="K352" s="6" t="str">
        <f t="shared" si="11"/>
        <v>Programados</v>
      </c>
      <c r="L352" s="8"/>
      <c r="M352" s="17">
        <f>MAX(1,NETWORKDAYS(A352,L352,Table2[Dias no laborales]))</f>
        <v>1</v>
      </c>
    </row>
    <row r="353" spans="1:13" hidden="1" x14ac:dyDescent="0.3">
      <c r="A353" s="8">
        <v>45747</v>
      </c>
      <c r="B353" s="6" t="s">
        <v>697</v>
      </c>
      <c r="C353" s="6" t="s">
        <v>698</v>
      </c>
      <c r="D353" s="6" t="s">
        <v>139</v>
      </c>
      <c r="E353" s="14">
        <v>45744.492361111108</v>
      </c>
      <c r="F353" s="8">
        <f>IF(HOUR(Table1[[#This Row],[CORREO]])&gt;=11,WORKDAY(Table1[[#This Row],[CORREO]],1,Table2[Dias no laborales]),E353)</f>
        <v>45747</v>
      </c>
      <c r="G353" s="8">
        <v>45748</v>
      </c>
      <c r="H353" s="6">
        <f t="shared" si="10"/>
        <v>13</v>
      </c>
      <c r="I353" s="16">
        <f>MAX(1, NETWORKDAYS(A353, G353,Table2[Dias no laborales]))</f>
        <v>2</v>
      </c>
      <c r="J353" s="6" t="str">
        <f>IF(Table1[[#This Row],[FIN]]="","Acumulado",IF(ISNUMBER(SEARCH("ASAP",C353)),"ASAP",IF(NETWORKDAYS.INTL(F353,G353,1,Table2[Dias no laborales]) &lt;= 7, "Dentro", IF(A353&gt;F353,"Programado","Fuera"))))</f>
        <v>Dentro</v>
      </c>
      <c r="K353" s="6" t="str">
        <f t="shared" si="11"/>
        <v>A tiempo</v>
      </c>
      <c r="L353" s="8"/>
      <c r="M353" s="17">
        <f>MAX(1,NETWORKDAYS(A353,L353,Table2[Dias no laborales]))</f>
        <v>1</v>
      </c>
    </row>
    <row r="354" spans="1:13" hidden="1" x14ac:dyDescent="0.3">
      <c r="A354" s="8">
        <v>45747</v>
      </c>
      <c r="B354" s="5" t="s">
        <v>862</v>
      </c>
      <c r="C354" s="5" t="s">
        <v>863</v>
      </c>
      <c r="D354" s="5" t="s">
        <v>864</v>
      </c>
      <c r="E354" s="14">
        <v>45747.315972222219</v>
      </c>
      <c r="F354" s="8">
        <f>IF(HOUR(Table1[[#This Row],[CORREO]])&gt;=11,WORKDAY(Table1[[#This Row],[CORREO]],1,Table2[Dias no laborales]),E354)</f>
        <v>45747.315972222219</v>
      </c>
      <c r="G354" s="9">
        <v>45769</v>
      </c>
      <c r="H354" s="6">
        <f t="shared" si="10"/>
        <v>13</v>
      </c>
      <c r="I354" s="16">
        <f>MAX(1, NETWORKDAYS(A354, G354,Table2[Dias no laborales]))</f>
        <v>17</v>
      </c>
      <c r="J354" s="6" t="str">
        <f>IF(Table1[[#This Row],[FIN]]="","Acumulado",IF(ISNUMBER(SEARCH("ASAP",C354)),"ASAP",IF(NETWORKDAYS.INTL(F354,G354,1,Table2[Dias no laborales]) &lt;= 7, "Dentro", IF(A354&gt;F354,"Programado","Fuera"))))</f>
        <v>Fuera</v>
      </c>
      <c r="K354" s="6" t="str">
        <f t="shared" si="11"/>
        <v>A tiempo</v>
      </c>
      <c r="L354" s="8"/>
      <c r="M354" s="17">
        <f>MAX(1,NETWORKDAYS(A354,L354,Table2[Dias no laborales]))</f>
        <v>1</v>
      </c>
    </row>
    <row r="355" spans="1:13" hidden="1" x14ac:dyDescent="0.3">
      <c r="A355" s="8">
        <v>45748</v>
      </c>
      <c r="B355" s="6" t="s">
        <v>769</v>
      </c>
      <c r="C355" s="6" t="s">
        <v>770</v>
      </c>
      <c r="D355" s="6" t="s">
        <v>75</v>
      </c>
      <c r="E355" s="14">
        <v>45747.569444444445</v>
      </c>
      <c r="F355" s="8">
        <f>IF(HOUR(Table1[[#This Row],[CORREO]])&gt;=11,WORKDAY(Table1[[#This Row],[CORREO]],1,Table2[Dias no laborales]),E355)</f>
        <v>45748</v>
      </c>
      <c r="G355" s="8">
        <v>45756</v>
      </c>
      <c r="H355" s="6">
        <f t="shared" si="10"/>
        <v>13</v>
      </c>
      <c r="I355" s="16">
        <f>MAX(1, NETWORKDAYS(A355, G355,Table2[Dias no laborales]))</f>
        <v>7</v>
      </c>
      <c r="J355" s="6" t="str">
        <f>IF(Table1[[#This Row],[FIN]]="","Acumulado",IF(ISNUMBER(SEARCH("ASAP",C355)),"ASAP",IF(NETWORKDAYS.INTL(F355,G355,1,Table2[Dias no laborales]) &lt;= 7, "Dentro", IF(A355&gt;F355,"Programado","Fuera"))))</f>
        <v>Dentro</v>
      </c>
      <c r="K355" s="6" t="str">
        <f t="shared" si="11"/>
        <v>A tiempo</v>
      </c>
      <c r="L355" s="8"/>
      <c r="M355" s="17">
        <f>MAX(1,NETWORKDAYS(A355,L355,Table2[Dias no laborales]))</f>
        <v>1</v>
      </c>
    </row>
    <row r="356" spans="1:13" hidden="1" x14ac:dyDescent="0.3">
      <c r="A356" s="8">
        <v>45748</v>
      </c>
      <c r="B356" s="6" t="s">
        <v>713</v>
      </c>
      <c r="C356" s="6" t="s">
        <v>714</v>
      </c>
      <c r="D356" s="6" t="s">
        <v>133</v>
      </c>
      <c r="E356" s="14">
        <v>45747.745833333334</v>
      </c>
      <c r="F356" s="8">
        <f>IF(HOUR(Table1[[#This Row],[CORREO]])&gt;=11,WORKDAY(Table1[[#This Row],[CORREO]],1,Table2[Dias no laborales]),E356)</f>
        <v>45748</v>
      </c>
      <c r="G356" s="8">
        <v>45749</v>
      </c>
      <c r="H356" s="6">
        <f t="shared" si="10"/>
        <v>13</v>
      </c>
      <c r="I356" s="16">
        <f>MAX(1, NETWORKDAYS(A356, G356,Table2[Dias no laborales]))</f>
        <v>2</v>
      </c>
      <c r="J356" s="6" t="str">
        <f>IF(Table1[[#This Row],[FIN]]="","Acumulado",IF(ISNUMBER(SEARCH("ASAP",C356)),"ASAP",IF(NETWORKDAYS.INTL(F356,G356,1,Table2[Dias no laborales]) &lt;= 7, "Dentro", IF(A356&gt;F356,"Programado","Fuera"))))</f>
        <v>Dentro</v>
      </c>
      <c r="K356" s="6" t="str">
        <f t="shared" si="11"/>
        <v>A tiempo</v>
      </c>
      <c r="L356" s="8"/>
      <c r="M356" s="17">
        <f>MAX(1,NETWORKDAYS(A356,L356,Table2[Dias no laborales]))</f>
        <v>1</v>
      </c>
    </row>
    <row r="357" spans="1:13" hidden="1" x14ac:dyDescent="0.3">
      <c r="A357" s="8">
        <v>45748</v>
      </c>
      <c r="B357" s="6" t="s">
        <v>717</v>
      </c>
      <c r="C357" s="6" t="s">
        <v>718</v>
      </c>
      <c r="D357" s="6" t="s">
        <v>27</v>
      </c>
      <c r="E357" s="14">
        <v>45748.167361111111</v>
      </c>
      <c r="F357" s="8">
        <f>IF(HOUR(Table1[[#This Row],[CORREO]])&gt;=11,WORKDAY(Table1[[#This Row],[CORREO]],1,Table2[Dias no laborales]),E357)</f>
        <v>45748.167361111111</v>
      </c>
      <c r="G357" s="8">
        <v>45749</v>
      </c>
      <c r="H357" s="6">
        <f t="shared" si="10"/>
        <v>13</v>
      </c>
      <c r="I357" s="16">
        <f>MAX(1, NETWORKDAYS(A357, G357,Table2[Dias no laborales]))</f>
        <v>2</v>
      </c>
      <c r="J357" s="6" t="str">
        <f>IF(Table1[[#This Row],[FIN]]="","Acumulado",IF(ISNUMBER(SEARCH("ASAP",C357)),"ASAP",IF(NETWORKDAYS.INTL(F357,G357,1,Table2[Dias no laborales]) &lt;= 7, "Dentro", IF(A357&gt;F357,"Programado","Fuera"))))</f>
        <v>ASAP</v>
      </c>
      <c r="K357" s="6" t="str">
        <f t="shared" si="11"/>
        <v>A tiempo</v>
      </c>
      <c r="L357" s="8"/>
      <c r="M357" s="17">
        <f>MAX(1,NETWORKDAYS(A357,L357,Table2[Dias no laborales]))</f>
        <v>1</v>
      </c>
    </row>
    <row r="358" spans="1:13" hidden="1" x14ac:dyDescent="0.3">
      <c r="A358" s="8">
        <v>45748</v>
      </c>
      <c r="B358" s="6" t="s">
        <v>711</v>
      </c>
      <c r="C358" s="6" t="s">
        <v>712</v>
      </c>
      <c r="D358" s="6" t="s">
        <v>24</v>
      </c>
      <c r="E358" s="14">
        <v>45748.365972222222</v>
      </c>
      <c r="F358" s="8">
        <f>IF(HOUR(Table1[[#This Row],[CORREO]])&gt;=11,WORKDAY(Table1[[#This Row],[CORREO]],1,Table2[Dias no laborales]),E358)</f>
        <v>45748.365972222222</v>
      </c>
      <c r="G358" s="8">
        <v>45749</v>
      </c>
      <c r="H358" s="6">
        <f t="shared" si="10"/>
        <v>13</v>
      </c>
      <c r="I358" s="16">
        <f>MAX(1, NETWORKDAYS(A358, G358,Table2[Dias no laborales]))</f>
        <v>2</v>
      </c>
      <c r="J358" s="6" t="str">
        <f>IF(Table1[[#This Row],[FIN]]="","Acumulado",IF(ISNUMBER(SEARCH("ASAP",C358)),"ASAP",IF(NETWORKDAYS.INTL(F358,G358,1,Table2[Dias no laborales]) &lt;= 7, "Dentro", IF(A358&gt;F358,"Programado","Fuera"))))</f>
        <v>Dentro</v>
      </c>
      <c r="K358" s="6" t="str">
        <f t="shared" si="11"/>
        <v>A tiempo</v>
      </c>
      <c r="L358" s="8"/>
      <c r="M358" s="17">
        <f>MAX(1,NETWORKDAYS(A358,L358,Table2[Dias no laborales]))</f>
        <v>1</v>
      </c>
    </row>
    <row r="359" spans="1:13" hidden="1" x14ac:dyDescent="0.3">
      <c r="A359" s="8">
        <v>45748</v>
      </c>
      <c r="B359" s="6" t="s">
        <v>701</v>
      </c>
      <c r="C359" s="6" t="s">
        <v>702</v>
      </c>
      <c r="D359" s="6" t="s">
        <v>139</v>
      </c>
      <c r="E359" s="14">
        <v>45748.367361111108</v>
      </c>
      <c r="F359" s="8">
        <f>IF(HOUR(Table1[[#This Row],[CORREO]])&gt;=11,WORKDAY(Table1[[#This Row],[CORREO]],1,Table2[Dias no laborales]),E359)</f>
        <v>45748.367361111108</v>
      </c>
      <c r="G359" s="8">
        <v>45748</v>
      </c>
      <c r="H359" s="6">
        <f t="shared" si="10"/>
        <v>13</v>
      </c>
      <c r="I359" s="16">
        <f>MAX(1, NETWORKDAYS(A359, G359,Table2[Dias no laborales]))</f>
        <v>1</v>
      </c>
      <c r="J359" s="6" t="str">
        <f>IF(Table1[[#This Row],[FIN]]="","Acumulado",IF(ISNUMBER(SEARCH("ASAP",C359)),"ASAP",IF(NETWORKDAYS.INTL(F359,G359,1,Table2[Dias no laborales]) &lt;= 7, "Dentro", IF(A359&gt;F359,"Programado","Fuera"))))</f>
        <v>Dentro</v>
      </c>
      <c r="K359" s="6" t="str">
        <f t="shared" si="11"/>
        <v>A tiempo</v>
      </c>
      <c r="L359" s="8"/>
      <c r="M359" s="17">
        <f>MAX(1,NETWORKDAYS(A359,L359,Table2[Dias no laborales]))</f>
        <v>1</v>
      </c>
    </row>
    <row r="360" spans="1:13" hidden="1" x14ac:dyDescent="0.3">
      <c r="A360" s="8">
        <v>45748</v>
      </c>
      <c r="B360" s="6" t="s">
        <v>703</v>
      </c>
      <c r="C360" s="6" t="s">
        <v>704</v>
      </c>
      <c r="D360" s="6" t="s">
        <v>538</v>
      </c>
      <c r="E360" s="14">
        <v>45748.568749999999</v>
      </c>
      <c r="F360" s="8">
        <f>IF(HOUR(Table1[[#This Row],[CORREO]])&gt;=11,WORKDAY(Table1[[#This Row],[CORREO]],1,Table2[Dias no laborales]),E360)</f>
        <v>45749</v>
      </c>
      <c r="G360" s="8">
        <v>45748</v>
      </c>
      <c r="H360" s="6">
        <f t="shared" si="10"/>
        <v>13</v>
      </c>
      <c r="I360" s="16">
        <f>MAX(1, NETWORKDAYS(A360, G360,Table2[Dias no laborales]))</f>
        <v>1</v>
      </c>
      <c r="J360" s="6" t="str">
        <f>IF(Table1[[#This Row],[FIN]]="","Acumulado",IF(ISNUMBER(SEARCH("ASAP",C360)),"ASAP",IF(NETWORKDAYS.INTL(F360,G360,1,Table2[Dias no laborales]) &lt;= 7, "Dentro", IF(A360&gt;F360,"Programado","Fuera"))))</f>
        <v>ASAP</v>
      </c>
      <c r="K360" s="6" t="str">
        <f t="shared" si="11"/>
        <v>Mismo día</v>
      </c>
      <c r="L360" s="8"/>
      <c r="M360" s="17">
        <f>MAX(1,NETWORKDAYS(A360,L360,Table2[Dias no laborales]))</f>
        <v>1</v>
      </c>
    </row>
    <row r="361" spans="1:13" hidden="1" x14ac:dyDescent="0.3">
      <c r="A361" s="8">
        <v>45749</v>
      </c>
      <c r="B361" s="6" t="s">
        <v>708</v>
      </c>
      <c r="C361" s="6" t="s">
        <v>709</v>
      </c>
      <c r="D361" s="6" t="s">
        <v>710</v>
      </c>
      <c r="E361" s="14">
        <v>45748.666666666664</v>
      </c>
      <c r="F361" s="8">
        <f>IF(HOUR(Table1[[#This Row],[CORREO]])&gt;=11,WORKDAY(Table1[[#This Row],[CORREO]],1,Table2[Dias no laborales]),E361)</f>
        <v>45749</v>
      </c>
      <c r="G361" s="8">
        <v>45749</v>
      </c>
      <c r="H361" s="6">
        <f t="shared" si="10"/>
        <v>14</v>
      </c>
      <c r="I361" s="16">
        <f>MAX(1, NETWORKDAYS(A361, G361,Table2[Dias no laborales]))</f>
        <v>1</v>
      </c>
      <c r="J361" s="6" t="str">
        <f>IF(Table1[[#This Row],[FIN]]="","Acumulado",IF(ISNUMBER(SEARCH("ASAP",C361)),"ASAP",IF(NETWORKDAYS.INTL(F361,G361,1,Table2[Dias no laborales]) &lt;= 7, "Dentro", IF(A361&gt;F361,"Programado","Fuera"))))</f>
        <v>ASAP</v>
      </c>
      <c r="K361" s="6" t="str">
        <f t="shared" si="11"/>
        <v>A tiempo</v>
      </c>
      <c r="L361" s="8"/>
      <c r="M361" s="17">
        <f>MAX(1,NETWORKDAYS(A361,L361,Table2[Dias no laborales]))</f>
        <v>1</v>
      </c>
    </row>
    <row r="362" spans="1:13" hidden="1" x14ac:dyDescent="0.3">
      <c r="A362" s="8">
        <v>45749</v>
      </c>
      <c r="B362" s="6" t="s">
        <v>721</v>
      </c>
      <c r="C362" s="6" t="s">
        <v>722</v>
      </c>
      <c r="D362" s="6" t="s">
        <v>61</v>
      </c>
      <c r="E362" s="14"/>
      <c r="F362" s="8">
        <f>IF(HOUR(Table1[[#This Row],[CORREO]])&gt;=11,WORKDAY(Table1[[#This Row],[CORREO]],1,Table2[Dias no laborales]),E362)</f>
        <v>0</v>
      </c>
      <c r="G362" s="8">
        <v>45751</v>
      </c>
      <c r="H362" s="6">
        <f t="shared" si="10"/>
        <v>14</v>
      </c>
      <c r="I362" s="16">
        <f>MAX(1, NETWORKDAYS(A362, G362,Table2[Dias no laborales]))</f>
        <v>3</v>
      </c>
      <c r="J362" s="6" t="str">
        <f>IF(Table1[[#This Row],[FIN]]="","Acumulado",IF(ISNUMBER(SEARCH("ASAP",C362)),"ASAP",IF(NETWORKDAYS.INTL(F362,G362,1,Table2[Dias no laborales]) &lt;= 7, "Dentro", IF(A362&gt;F362,"Programado","Fuera"))))</f>
        <v>ASAP</v>
      </c>
      <c r="K362" s="6" t="str">
        <f t="shared" si="11"/>
        <v>Programados</v>
      </c>
      <c r="L362" s="8"/>
      <c r="M362" s="17">
        <f>MAX(1,NETWORKDAYS(A362,L362,Table2[Dias no laborales]))</f>
        <v>1</v>
      </c>
    </row>
    <row r="363" spans="1:13" hidden="1" x14ac:dyDescent="0.3">
      <c r="A363" s="8">
        <v>45749</v>
      </c>
      <c r="B363" s="6" t="s">
        <v>811</v>
      </c>
      <c r="C363" s="6" t="s">
        <v>812</v>
      </c>
      <c r="D363" s="6" t="s">
        <v>27</v>
      </c>
      <c r="E363" s="14"/>
      <c r="F363" s="8">
        <f>IF(HOUR(Table1[[#This Row],[CORREO]])&gt;=11,WORKDAY(Table1[[#This Row],[CORREO]],1,Table2[Dias no laborales]),E363)</f>
        <v>0</v>
      </c>
      <c r="G363" s="8">
        <v>45761</v>
      </c>
      <c r="H363" s="6">
        <f t="shared" si="10"/>
        <v>14</v>
      </c>
      <c r="I363" s="16">
        <f>MAX(1, NETWORKDAYS(A363, G363,Table2[Dias no laborales]))</f>
        <v>9</v>
      </c>
      <c r="J363" s="6" t="str">
        <f>IF(Table1[[#This Row],[FIN]]="","Acumulado",IF(ISNUMBER(SEARCH("ASAP",C363)),"ASAP",IF(NETWORKDAYS.INTL(F363,G363,1,Table2[Dias no laborales]) &lt;= 7, "Dentro", IF(A363&gt;F363,"Programado","Fuera"))))</f>
        <v>ASAP</v>
      </c>
      <c r="K363" s="6" t="str">
        <f t="shared" si="11"/>
        <v>Programados</v>
      </c>
      <c r="L363" s="8"/>
      <c r="M363" s="17">
        <f>MAX(1,NETWORKDAYS(A363,L363,Table2[Dias no laborales]))</f>
        <v>1</v>
      </c>
    </row>
    <row r="364" spans="1:13" hidden="1" x14ac:dyDescent="0.3">
      <c r="A364" s="8">
        <v>45750</v>
      </c>
      <c r="B364" s="5" t="s">
        <v>930</v>
      </c>
      <c r="C364" s="5" t="s">
        <v>931</v>
      </c>
      <c r="D364" s="5" t="s">
        <v>707</v>
      </c>
      <c r="E364" s="14">
        <v>45749.475694444445</v>
      </c>
      <c r="F364" s="8">
        <f>IF(HOUR(Table1[[#This Row],[CORREO]])&gt;=11,WORKDAY(Table1[[#This Row],[CORREO]],1,Table2[Dias no laborales]),E364)</f>
        <v>45750</v>
      </c>
      <c r="G364" s="9">
        <v>45776</v>
      </c>
      <c r="H364" s="6">
        <f t="shared" si="10"/>
        <v>14</v>
      </c>
      <c r="I364" s="16">
        <f>MAX(1, NETWORKDAYS(A364, G364,Table2[Dias no laborales]))</f>
        <v>19</v>
      </c>
      <c r="J364" s="6" t="str">
        <f>IF(Table1[[#This Row],[FIN]]="","Acumulado",IF(ISNUMBER(SEARCH("ASAP",C364)),"ASAP",IF(NETWORKDAYS.INTL(F364,G364,1,Table2[Dias no laborales]) &lt;= 7, "Dentro", IF(A364&gt;F364,"Programado","Fuera"))))</f>
        <v>Fuera</v>
      </c>
      <c r="K364" s="6" t="str">
        <f t="shared" si="11"/>
        <v>A tiempo</v>
      </c>
      <c r="L364" s="8"/>
      <c r="M364" s="17">
        <f>MAX(1,NETWORKDAYS(A364,L364,Table2[Dias no laborales]))</f>
        <v>1</v>
      </c>
    </row>
    <row r="365" spans="1:13" hidden="1" x14ac:dyDescent="0.3">
      <c r="A365" s="8">
        <v>45750</v>
      </c>
      <c r="B365" s="6" t="s">
        <v>831</v>
      </c>
      <c r="C365" s="6" t="s">
        <v>832</v>
      </c>
      <c r="D365" s="6" t="s">
        <v>53</v>
      </c>
      <c r="E365" s="14">
        <v>45749.657638888886</v>
      </c>
      <c r="F365" s="8">
        <f>IF(HOUR(Table1[[#This Row],[CORREO]])&gt;=11,WORKDAY(Table1[[#This Row],[CORREO]],1,Table2[Dias no laborales]),E365)</f>
        <v>45750</v>
      </c>
      <c r="G365" s="8">
        <v>45762</v>
      </c>
      <c r="H365" s="6">
        <f t="shared" si="10"/>
        <v>14</v>
      </c>
      <c r="I365" s="16">
        <f>MAX(1, NETWORKDAYS(A365, G365,Table2[Dias no laborales]))</f>
        <v>9</v>
      </c>
      <c r="J365" s="6" t="str">
        <f>IF(Table1[[#This Row],[FIN]]="","Acumulado",IF(ISNUMBER(SEARCH("ASAP",C365)),"ASAP",IF(NETWORKDAYS.INTL(F365,G365,1,Table2[Dias no laborales]) &lt;= 7, "Dentro", IF(A365&gt;F365,"Programado","Fuera"))))</f>
        <v>Fuera</v>
      </c>
      <c r="K365" s="6" t="str">
        <f t="shared" si="11"/>
        <v>A tiempo</v>
      </c>
      <c r="L365" s="8"/>
      <c r="M365" s="17">
        <f>MAX(1,NETWORKDAYS(A365,L365,Table2[Dias no laborales]))</f>
        <v>1</v>
      </c>
    </row>
    <row r="366" spans="1:13" hidden="1" x14ac:dyDescent="0.3">
      <c r="A366" s="8">
        <v>45750</v>
      </c>
      <c r="B366" s="6" t="s">
        <v>808</v>
      </c>
      <c r="C366" s="6" t="s">
        <v>809</v>
      </c>
      <c r="D366" s="6" t="s">
        <v>620</v>
      </c>
      <c r="E366" s="14">
        <v>45749.69027777778</v>
      </c>
      <c r="F366" s="8">
        <f>IF(HOUR(Table1[[#This Row],[CORREO]])&gt;=11,WORKDAY(Table1[[#This Row],[CORREO]],1,Table2[Dias no laborales]),E366)</f>
        <v>45750</v>
      </c>
      <c r="G366" s="8">
        <v>45761</v>
      </c>
      <c r="H366" s="6">
        <f t="shared" si="10"/>
        <v>14</v>
      </c>
      <c r="I366" s="16">
        <f>MAX(1, NETWORKDAYS(A366, G366,Table2[Dias no laborales]))</f>
        <v>8</v>
      </c>
      <c r="J366" s="6" t="str">
        <f>IF(Table1[[#This Row],[FIN]]="","Acumulado",IF(ISNUMBER(SEARCH("ASAP",C366)),"ASAP",IF(NETWORKDAYS.INTL(F366,G366,1,Table2[Dias no laborales]) &lt;= 7, "Dentro", IF(A366&gt;F366,"Programado","Fuera"))))</f>
        <v>Fuera</v>
      </c>
      <c r="K366" s="6" t="str">
        <f t="shared" si="11"/>
        <v>A tiempo</v>
      </c>
      <c r="L366" s="8"/>
      <c r="M366" s="17">
        <f>MAX(1,NETWORKDAYS(A366,L366,Table2[Dias no laborales]))</f>
        <v>1</v>
      </c>
    </row>
    <row r="367" spans="1:13" hidden="1" x14ac:dyDescent="0.3">
      <c r="A367" s="8">
        <v>45750</v>
      </c>
      <c r="B367" s="6" t="s">
        <v>788</v>
      </c>
      <c r="C367" s="6" t="s">
        <v>789</v>
      </c>
      <c r="D367" s="6" t="s">
        <v>27</v>
      </c>
      <c r="E367" s="14"/>
      <c r="F367" s="8">
        <f>IF(HOUR(Table1[[#This Row],[CORREO]])&gt;=11,WORKDAY(Table1[[#This Row],[CORREO]],1,Table2[Dias no laborales]),E367)</f>
        <v>0</v>
      </c>
      <c r="G367" s="8">
        <v>45757</v>
      </c>
      <c r="H367" s="6">
        <f t="shared" si="10"/>
        <v>14</v>
      </c>
      <c r="I367" s="16">
        <f>MAX(1, NETWORKDAYS(A367, G367,Table2[Dias no laborales]))</f>
        <v>6</v>
      </c>
      <c r="J367" s="6" t="str">
        <f>IF(Table1[[#This Row],[FIN]]="","Acumulado",IF(ISNUMBER(SEARCH("ASAP",C367)),"ASAP",IF(NETWORKDAYS.INTL(F367,G367,1,Table2[Dias no laborales]) &lt;= 7, "Dentro", IF(A367&gt;F367,"Programado","Fuera"))))</f>
        <v>Programado</v>
      </c>
      <c r="K367" s="6" t="str">
        <f t="shared" si="11"/>
        <v>Programados</v>
      </c>
      <c r="L367" s="8"/>
      <c r="M367" s="17">
        <f>MAX(1,NETWORKDAYS(A367,L367,Table2[Dias no laborales]))</f>
        <v>1</v>
      </c>
    </row>
    <row r="368" spans="1:13" hidden="1" x14ac:dyDescent="0.3">
      <c r="A368" s="8">
        <v>45750</v>
      </c>
      <c r="B368" s="6" t="s">
        <v>790</v>
      </c>
      <c r="C368" s="10" t="s">
        <v>791</v>
      </c>
      <c r="D368" s="6" t="s">
        <v>27</v>
      </c>
      <c r="E368" s="14"/>
      <c r="F368" s="8">
        <f>IF(HOUR(Table1[[#This Row],[CORREO]])&gt;=11,WORKDAY(Table1[[#This Row],[CORREO]],1,Table2[Dias no laborales]),E368)</f>
        <v>0</v>
      </c>
      <c r="G368" s="8">
        <v>45757</v>
      </c>
      <c r="H368" s="6">
        <f t="shared" si="10"/>
        <v>14</v>
      </c>
      <c r="I368" s="16">
        <f>MAX(1, NETWORKDAYS(A368, G368,Table2[Dias no laborales]))</f>
        <v>6</v>
      </c>
      <c r="J368" s="6" t="str">
        <f>IF(Table1[[#This Row],[FIN]]="","Acumulado",IF(ISNUMBER(SEARCH("ASAP",C368)),"ASAP",IF(NETWORKDAYS.INTL(F368,G368,1,Table2[Dias no laborales]) &lt;= 7, "Dentro", IF(A368&gt;F368,"Programado","Fuera"))))</f>
        <v>Programado</v>
      </c>
      <c r="K368" s="6" t="str">
        <f t="shared" si="11"/>
        <v>Programados</v>
      </c>
      <c r="L368" s="8"/>
      <c r="M368" s="17">
        <f>MAX(1,NETWORKDAYS(A368,L368,Table2[Dias no laborales]))</f>
        <v>1</v>
      </c>
    </row>
    <row r="369" spans="1:13" hidden="1" x14ac:dyDescent="0.3">
      <c r="A369" s="8">
        <v>45750</v>
      </c>
      <c r="B369" s="6" t="s">
        <v>792</v>
      </c>
      <c r="C369" s="6" t="s">
        <v>793</v>
      </c>
      <c r="D369" s="6" t="s">
        <v>27</v>
      </c>
      <c r="E369" s="14"/>
      <c r="F369" s="8">
        <f>IF(HOUR(Table1[[#This Row],[CORREO]])&gt;=11,WORKDAY(Table1[[#This Row],[CORREO]],1,Table2[Dias no laborales]),E369)</f>
        <v>0</v>
      </c>
      <c r="G369" s="8">
        <v>45757</v>
      </c>
      <c r="H369" s="6">
        <f t="shared" si="10"/>
        <v>14</v>
      </c>
      <c r="I369" s="16">
        <f>MAX(1, NETWORKDAYS(A369, G369,Table2[Dias no laborales]))</f>
        <v>6</v>
      </c>
      <c r="J369" s="6" t="str">
        <f>IF(Table1[[#This Row],[FIN]]="","Acumulado",IF(ISNUMBER(SEARCH("ASAP",C369)),"ASAP",IF(NETWORKDAYS.INTL(F369,G369,1,Table2[Dias no laborales]) &lt;= 7, "Dentro", IF(A369&gt;F369,"Programado","Fuera"))))</f>
        <v>Programado</v>
      </c>
      <c r="K369" s="6" t="str">
        <f t="shared" si="11"/>
        <v>Programados</v>
      </c>
      <c r="L369" s="8"/>
      <c r="M369" s="17">
        <f>MAX(1,NETWORKDAYS(A369,L369,Table2[Dias no laborales]))</f>
        <v>1</v>
      </c>
    </row>
    <row r="370" spans="1:13" hidden="1" x14ac:dyDescent="0.3">
      <c r="A370" s="8">
        <v>45750</v>
      </c>
      <c r="B370" s="5" t="s">
        <v>855</v>
      </c>
      <c r="C370" s="5" t="s">
        <v>856</v>
      </c>
      <c r="D370" s="5" t="s">
        <v>27</v>
      </c>
      <c r="E370" s="14"/>
      <c r="F370" s="8">
        <f>IF(HOUR(Table1[[#This Row],[CORREO]])&gt;=11,WORKDAY(Table1[[#This Row],[CORREO]],1,Table2[Dias no laborales]),E370)</f>
        <v>0</v>
      </c>
      <c r="G370" s="9">
        <v>45768</v>
      </c>
      <c r="H370" s="6">
        <f t="shared" si="10"/>
        <v>14</v>
      </c>
      <c r="I370" s="16">
        <f>MAX(1, NETWORKDAYS(A370, G370,Table2[Dias no laborales]))</f>
        <v>13</v>
      </c>
      <c r="J370" s="6" t="str">
        <f>IF(Table1[[#This Row],[FIN]]="","Acumulado",IF(ISNUMBER(SEARCH("ASAP",C370)),"ASAP",IF(NETWORKDAYS.INTL(F370,G370,1,Table2[Dias no laborales]) &lt;= 7, "Dentro", IF(A370&gt;F370,"Programado","Fuera"))))</f>
        <v>Programado</v>
      </c>
      <c r="K370" s="6" t="str">
        <f t="shared" si="11"/>
        <v>Programados</v>
      </c>
      <c r="L370" s="8"/>
      <c r="M370" s="17">
        <f>MAX(1,NETWORKDAYS(A370,L370,Table2[Dias no laborales]))</f>
        <v>1</v>
      </c>
    </row>
    <row r="371" spans="1:13" hidden="1" x14ac:dyDescent="0.3">
      <c r="A371" s="8">
        <v>45750</v>
      </c>
      <c r="B371" s="6" t="s">
        <v>794</v>
      </c>
      <c r="C371" s="6" t="s">
        <v>795</v>
      </c>
      <c r="D371" s="6" t="s">
        <v>27</v>
      </c>
      <c r="E371" s="14"/>
      <c r="F371" s="8">
        <f>IF(HOUR(Table1[[#This Row],[CORREO]])&gt;=11,WORKDAY(Table1[[#This Row],[CORREO]],1,Table2[Dias no laborales]),E371)</f>
        <v>0</v>
      </c>
      <c r="G371" s="8">
        <v>45757</v>
      </c>
      <c r="H371" s="6">
        <f t="shared" si="10"/>
        <v>14</v>
      </c>
      <c r="I371" s="16">
        <f>MAX(1, NETWORKDAYS(A371, G371,Table2[Dias no laborales]))</f>
        <v>6</v>
      </c>
      <c r="J371" s="6" t="str">
        <f>IF(Table1[[#This Row],[FIN]]="","Acumulado",IF(ISNUMBER(SEARCH("ASAP",C371)),"ASAP",IF(NETWORKDAYS.INTL(F371,G371,1,Table2[Dias no laborales]) &lt;= 7, "Dentro", IF(A371&gt;F371,"Programado","Fuera"))))</f>
        <v>Programado</v>
      </c>
      <c r="K371" s="6" t="str">
        <f t="shared" si="11"/>
        <v>Programados</v>
      </c>
      <c r="L371" s="8"/>
      <c r="M371" s="17">
        <f>MAX(1,NETWORKDAYS(A371,L371,Table2[Dias no laborales]))</f>
        <v>1</v>
      </c>
    </row>
    <row r="372" spans="1:13" hidden="1" x14ac:dyDescent="0.3">
      <c r="A372" s="8">
        <v>45750</v>
      </c>
      <c r="B372" s="6" t="s">
        <v>796</v>
      </c>
      <c r="C372" s="6" t="s">
        <v>797</v>
      </c>
      <c r="D372" s="6" t="s">
        <v>27</v>
      </c>
      <c r="E372" s="14"/>
      <c r="F372" s="8">
        <f>IF(HOUR(Table1[[#This Row],[CORREO]])&gt;=11,WORKDAY(Table1[[#This Row],[CORREO]],1,Table2[Dias no laborales]),E372)</f>
        <v>0</v>
      </c>
      <c r="G372" s="8">
        <v>45757</v>
      </c>
      <c r="H372" s="6">
        <f t="shared" si="10"/>
        <v>14</v>
      </c>
      <c r="I372" s="16">
        <f>MAX(1, NETWORKDAYS(A372, G372,Table2[Dias no laborales]))</f>
        <v>6</v>
      </c>
      <c r="J372" s="6" t="str">
        <f>IF(Table1[[#This Row],[FIN]]="","Acumulado",IF(ISNUMBER(SEARCH("ASAP",C372)),"ASAP",IF(NETWORKDAYS.INTL(F372,G372,1,Table2[Dias no laborales]) &lt;= 7, "Dentro", IF(A372&gt;F372,"Programado","Fuera"))))</f>
        <v>Programado</v>
      </c>
      <c r="K372" s="6" t="str">
        <f t="shared" si="11"/>
        <v>Programados</v>
      </c>
      <c r="L372" s="8"/>
      <c r="M372" s="17">
        <f>MAX(1,NETWORKDAYS(A372,L372,Table2[Dias no laborales]))</f>
        <v>1</v>
      </c>
    </row>
    <row r="373" spans="1:13" hidden="1" x14ac:dyDescent="0.3">
      <c r="A373" s="8">
        <v>45750</v>
      </c>
      <c r="B373" s="5" t="s">
        <v>873</v>
      </c>
      <c r="C373" s="5" t="s">
        <v>874</v>
      </c>
      <c r="D373" s="5" t="s">
        <v>754</v>
      </c>
      <c r="E373" s="14">
        <v>45750.405555555553</v>
      </c>
      <c r="F373" s="8">
        <f>IF(HOUR(Table1[[#This Row],[CORREO]])&gt;=11,WORKDAY(Table1[[#This Row],[CORREO]],1,Table2[Dias no laborales]),E373)</f>
        <v>45750.405555555553</v>
      </c>
      <c r="G373" s="9">
        <v>45769</v>
      </c>
      <c r="H373" s="6">
        <f t="shared" si="10"/>
        <v>14</v>
      </c>
      <c r="I373" s="16">
        <f>MAX(1, NETWORKDAYS(A373, G373,Table2[Dias no laborales]))</f>
        <v>14</v>
      </c>
      <c r="J373" s="6" t="str">
        <f>IF(Table1[[#This Row],[FIN]]="","Acumulado",IF(ISNUMBER(SEARCH("ASAP",C373)),"ASAP",IF(NETWORKDAYS.INTL(F373,G373,1,Table2[Dias no laborales]) &lt;= 7, "Dentro", IF(A373&gt;F373,"Programado","Fuera"))))</f>
        <v>Fuera</v>
      </c>
      <c r="K373" s="6" t="str">
        <f t="shared" si="11"/>
        <v>A tiempo</v>
      </c>
      <c r="L373" s="8"/>
      <c r="M373" s="17">
        <f>MAX(1,NETWORKDAYS(A373,L373,Table2[Dias no laborales]))</f>
        <v>1</v>
      </c>
    </row>
    <row r="374" spans="1:13" hidden="1" x14ac:dyDescent="0.3">
      <c r="A374" s="8">
        <v>45751</v>
      </c>
      <c r="B374" s="5" t="s">
        <v>880</v>
      </c>
      <c r="C374" s="5" t="s">
        <v>881</v>
      </c>
      <c r="D374" s="5" t="s">
        <v>194</v>
      </c>
      <c r="E374" s="14">
        <v>45750.484027777777</v>
      </c>
      <c r="F374" s="8">
        <f>IF(HOUR(Table1[[#This Row],[CORREO]])&gt;=11,WORKDAY(Table1[[#This Row],[CORREO]],1,Table2[Dias no laborales]),E374)</f>
        <v>45751</v>
      </c>
      <c r="G374" s="9">
        <v>45771</v>
      </c>
      <c r="H374" s="6">
        <f t="shared" si="10"/>
        <v>14</v>
      </c>
      <c r="I374" s="16">
        <f>MAX(1, NETWORKDAYS(A374, G374,Table2[Dias no laborales]))</f>
        <v>15</v>
      </c>
      <c r="J374" s="6" t="str">
        <f>IF(Table1[[#This Row],[FIN]]="","Acumulado",IF(ISNUMBER(SEARCH("ASAP",C374)),"ASAP",IF(NETWORKDAYS.INTL(F374,G374,1,Table2[Dias no laborales]) &lt;= 7, "Dentro", IF(A374&gt;F374,"Programado","Fuera"))))</f>
        <v>Fuera</v>
      </c>
      <c r="K374" s="6" t="str">
        <f t="shared" si="11"/>
        <v>A tiempo</v>
      </c>
      <c r="L374" s="8"/>
      <c r="M374" s="17">
        <f>MAX(1,NETWORKDAYS(A374,L374,Table2[Dias no laborales]))</f>
        <v>1</v>
      </c>
    </row>
    <row r="375" spans="1:13" hidden="1" x14ac:dyDescent="0.3">
      <c r="A375" s="8">
        <v>45751</v>
      </c>
      <c r="B375" s="6" t="s">
        <v>740</v>
      </c>
      <c r="C375" s="6" t="s">
        <v>741</v>
      </c>
      <c r="D375" s="6" t="s">
        <v>61</v>
      </c>
      <c r="E375" s="14">
        <v>45750.548611111109</v>
      </c>
      <c r="F375" s="8">
        <f>IF(HOUR(Table1[[#This Row],[CORREO]])&gt;=11,WORKDAY(Table1[[#This Row],[CORREO]],1,Table2[Dias no laborales]),E375)</f>
        <v>45751</v>
      </c>
      <c r="G375" s="8">
        <v>45751</v>
      </c>
      <c r="H375" s="6">
        <f t="shared" si="10"/>
        <v>14</v>
      </c>
      <c r="I375" s="16">
        <f>MAX(1, NETWORKDAYS(A375, G375,Table2[Dias no laborales]))</f>
        <v>1</v>
      </c>
      <c r="J375" s="6" t="str">
        <f>IF(Table1[[#This Row],[FIN]]="","Acumulado",IF(ISNUMBER(SEARCH("ASAP",C375)),"ASAP",IF(NETWORKDAYS.INTL(F375,G375,1,Table2[Dias no laborales]) &lt;= 7, "Dentro", IF(A375&gt;F375,"Programado","Fuera"))))</f>
        <v>Dentro</v>
      </c>
      <c r="K375" s="6" t="str">
        <f t="shared" si="11"/>
        <v>A tiempo</v>
      </c>
      <c r="L375" s="8"/>
      <c r="M375" s="17">
        <f>MAX(1,NETWORKDAYS(A375,L375,Table2[Dias no laborales]))</f>
        <v>1</v>
      </c>
    </row>
    <row r="376" spans="1:13" hidden="1" x14ac:dyDescent="0.3">
      <c r="A376" s="8">
        <v>45751</v>
      </c>
      <c r="B376" s="6" t="s">
        <v>736</v>
      </c>
      <c r="C376" s="6" t="s">
        <v>737</v>
      </c>
      <c r="D376" s="6" t="s">
        <v>139</v>
      </c>
      <c r="E376" s="14">
        <v>45751.367361111108</v>
      </c>
      <c r="F376" s="8">
        <f>IF(HOUR(Table1[[#This Row],[CORREO]])&gt;=11,WORKDAY(Table1[[#This Row],[CORREO]],1,Table2[Dias no laborales]),E376)</f>
        <v>45751.367361111108</v>
      </c>
      <c r="G376" s="8">
        <v>45751</v>
      </c>
      <c r="H376" s="6">
        <f t="shared" si="10"/>
        <v>14</v>
      </c>
      <c r="I376" s="16">
        <f>MAX(1, NETWORKDAYS(A376, G376,Table2[Dias no laborales]))</f>
        <v>1</v>
      </c>
      <c r="J376" s="6" t="str">
        <f>IF(Table1[[#This Row],[FIN]]="","Acumulado",IF(ISNUMBER(SEARCH("ASAP",C376)),"ASAP",IF(NETWORKDAYS.INTL(F376,G376,1,Table2[Dias no laborales]) &lt;= 7, "Dentro", IF(A376&gt;F376,"Programado","Fuera"))))</f>
        <v>Dentro</v>
      </c>
      <c r="K376" s="6" t="str">
        <f t="shared" si="11"/>
        <v>A tiempo</v>
      </c>
      <c r="L376" s="8"/>
      <c r="M376" s="17">
        <f>MAX(1,NETWORKDAYS(A376,L376,Table2[Dias no laborales]))</f>
        <v>1</v>
      </c>
    </row>
    <row r="377" spans="1:13" hidden="1" x14ac:dyDescent="0.3">
      <c r="A377" s="8">
        <v>45751</v>
      </c>
      <c r="B377" s="5" t="s">
        <v>857</v>
      </c>
      <c r="C377" s="5" t="s">
        <v>858</v>
      </c>
      <c r="D377" s="5" t="s">
        <v>372</v>
      </c>
      <c r="E377" s="14">
        <v>45750.648611111108</v>
      </c>
      <c r="F377" s="8">
        <f>IF(HOUR(Table1[[#This Row],[CORREO]])&gt;=11,WORKDAY(Table1[[#This Row],[CORREO]],1,Table2[Dias no laborales]),E377)</f>
        <v>45751</v>
      </c>
      <c r="G377" s="9">
        <v>45768</v>
      </c>
      <c r="H377" s="6">
        <f t="shared" si="10"/>
        <v>14</v>
      </c>
      <c r="I377" s="16">
        <f>MAX(1, NETWORKDAYS(A377, G377,Table2[Dias no laborales]))</f>
        <v>12</v>
      </c>
      <c r="J377" s="6" t="str">
        <f>IF(Table1[[#This Row],[FIN]]="","Acumulado",IF(ISNUMBER(SEARCH("ASAP",C377)),"ASAP",IF(NETWORKDAYS.INTL(F377,G377,1,Table2[Dias no laborales]) &lt;= 7, "Dentro", IF(A377&gt;F377,"Programado","Fuera"))))</f>
        <v>Fuera</v>
      </c>
      <c r="K377" s="6" t="str">
        <f t="shared" si="11"/>
        <v>A tiempo</v>
      </c>
      <c r="L377" s="8"/>
      <c r="M377" s="17">
        <f>MAX(1,NETWORKDAYS(A377,L377,Table2[Dias no laborales]))</f>
        <v>1</v>
      </c>
    </row>
    <row r="378" spans="1:13" hidden="1" x14ac:dyDescent="0.3">
      <c r="A378" s="8">
        <v>45751</v>
      </c>
      <c r="B378" s="6" t="s">
        <v>738</v>
      </c>
      <c r="C378" s="6" t="s">
        <v>739</v>
      </c>
      <c r="D378" s="6" t="s">
        <v>562</v>
      </c>
      <c r="E378" s="14">
        <v>45750.688888888886</v>
      </c>
      <c r="F378" s="8">
        <f>IF(HOUR(Table1[[#This Row],[CORREO]])&gt;=11,WORKDAY(Table1[[#This Row],[CORREO]],1,Table2[Dias no laborales]),E378)</f>
        <v>45751</v>
      </c>
      <c r="G378" s="8">
        <v>45751</v>
      </c>
      <c r="H378" s="6">
        <f t="shared" si="10"/>
        <v>14</v>
      </c>
      <c r="I378" s="16">
        <f>MAX(1, NETWORKDAYS(A378, G378,Table2[Dias no laborales]))</f>
        <v>1</v>
      </c>
      <c r="J378" s="6" t="str">
        <f>IF(Table1[[#This Row],[FIN]]="","Acumulado",IF(ISNUMBER(SEARCH("ASAP",C378)),"ASAP",IF(NETWORKDAYS.INTL(F378,G378,1,Table2[Dias no laborales]) &lt;= 7, "Dentro", IF(A378&gt;F378,"Programado","Fuera"))))</f>
        <v>Dentro</v>
      </c>
      <c r="K378" s="6" t="str">
        <f t="shared" si="11"/>
        <v>A tiempo</v>
      </c>
      <c r="L378" s="8"/>
      <c r="M378" s="17">
        <f>MAX(1,NETWORKDAYS(A378,L378,Table2[Dias no laborales]))</f>
        <v>1</v>
      </c>
    </row>
    <row r="379" spans="1:13" hidden="1" x14ac:dyDescent="0.3">
      <c r="A379" s="8">
        <v>45751</v>
      </c>
      <c r="B379" s="6" t="s">
        <v>725</v>
      </c>
      <c r="C379" s="6" t="s">
        <v>726</v>
      </c>
      <c r="D379" s="6" t="s">
        <v>27</v>
      </c>
      <c r="E379" s="14">
        <v>45751.36041666667</v>
      </c>
      <c r="F379" s="8">
        <f>IF(HOUR(Table1[[#This Row],[CORREO]])&gt;=11,WORKDAY(Table1[[#This Row],[CORREO]],1,Table2[Dias no laborales]),E379)</f>
        <v>45751.36041666667</v>
      </c>
      <c r="G379" s="8">
        <v>45751</v>
      </c>
      <c r="H379" s="6">
        <f t="shared" si="10"/>
        <v>14</v>
      </c>
      <c r="I379" s="16">
        <f>MAX(1, NETWORKDAYS(A379, G379,Table2[Dias no laborales]))</f>
        <v>1</v>
      </c>
      <c r="J379" s="6" t="str">
        <f>IF(Table1[[#This Row],[FIN]]="","Acumulado",IF(ISNUMBER(SEARCH("ASAP",C379)),"ASAP",IF(NETWORKDAYS.INTL(F379,G379,1,Table2[Dias no laborales]) &lt;= 7, "Dentro", IF(A379&gt;F379,"Programado","Fuera"))))</f>
        <v>ASAP</v>
      </c>
      <c r="K379" s="6" t="str">
        <f t="shared" si="11"/>
        <v>A tiempo</v>
      </c>
      <c r="L379" s="8"/>
      <c r="M379" s="17">
        <f>MAX(1,NETWORKDAYS(A379,L379,Table2[Dias no laborales]))</f>
        <v>1</v>
      </c>
    </row>
    <row r="380" spans="1:13" hidden="1" x14ac:dyDescent="0.3">
      <c r="A380" s="8">
        <v>45754</v>
      </c>
      <c r="B380" s="6" t="s">
        <v>802</v>
      </c>
      <c r="C380" s="6" t="s">
        <v>803</v>
      </c>
      <c r="D380" s="6" t="s">
        <v>24</v>
      </c>
      <c r="E380" s="14"/>
      <c r="F380" s="8">
        <f>IF(HOUR(Table1[[#This Row],[CORREO]])&gt;=11,WORKDAY(Table1[[#This Row],[CORREO]],1,Table2[Dias no laborales]),E380)</f>
        <v>0</v>
      </c>
      <c r="G380" s="8">
        <v>45758</v>
      </c>
      <c r="H380" s="6">
        <f t="shared" si="10"/>
        <v>14</v>
      </c>
      <c r="I380" s="16">
        <f>MAX(1, NETWORKDAYS(A380, G380,Table2[Dias no laborales]))</f>
        <v>5</v>
      </c>
      <c r="J380" s="6" t="str">
        <f>IF(Table1[[#This Row],[FIN]]="","Acumulado",IF(ISNUMBER(SEARCH("ASAP",C380)),"ASAP",IF(NETWORKDAYS.INTL(F380,G380,1,Table2[Dias no laborales]) &lt;= 7, "Dentro", IF(A380&gt;F380,"Programado","Fuera"))))</f>
        <v>Programado</v>
      </c>
      <c r="K380" s="6" t="str">
        <f t="shared" si="11"/>
        <v>Programados</v>
      </c>
      <c r="L380" s="8"/>
      <c r="M380" s="17">
        <f>MAX(1,NETWORKDAYS(A380,L380,Table2[Dias no laborales]))</f>
        <v>1</v>
      </c>
    </row>
    <row r="381" spans="1:13" hidden="1" x14ac:dyDescent="0.3">
      <c r="A381" s="8">
        <v>45754</v>
      </c>
      <c r="B381" s="6" t="s">
        <v>762</v>
      </c>
      <c r="C381" s="6" t="s">
        <v>763</v>
      </c>
      <c r="D381" s="6" t="s">
        <v>85</v>
      </c>
      <c r="E381" s="14">
        <v>45751.489583333336</v>
      </c>
      <c r="F381" s="8">
        <f>IF(HOUR(Table1[[#This Row],[CORREO]])&gt;=11,WORKDAY(Table1[[#This Row],[CORREO]],1,Table2[Dias no laborales]),E381)</f>
        <v>45754</v>
      </c>
      <c r="G381" s="8">
        <v>45756</v>
      </c>
      <c r="H381" s="6">
        <f t="shared" si="10"/>
        <v>14</v>
      </c>
      <c r="I381" s="16">
        <f>MAX(1, NETWORKDAYS(A381, G381,Table2[Dias no laborales]))</f>
        <v>3</v>
      </c>
      <c r="J381" s="6" t="str">
        <f>IF(Table1[[#This Row],[FIN]]="","Acumulado",IF(ISNUMBER(SEARCH("ASAP",C381)),"ASAP",IF(NETWORKDAYS.INTL(F381,G381,1,Table2[Dias no laborales]) &lt;= 7, "Dentro", IF(A381&gt;F381,"Programado","Fuera"))))</f>
        <v>Dentro</v>
      </c>
      <c r="K381" s="6" t="str">
        <f t="shared" si="11"/>
        <v>A tiempo</v>
      </c>
      <c r="L381" s="8"/>
      <c r="M381" s="17">
        <f>MAX(1,NETWORKDAYS(A381,L381,Table2[Dias no laborales]))</f>
        <v>1</v>
      </c>
    </row>
    <row r="382" spans="1:13" hidden="1" x14ac:dyDescent="0.3">
      <c r="A382" s="8">
        <v>45754</v>
      </c>
      <c r="B382" s="6" t="s">
        <v>755</v>
      </c>
      <c r="C382" s="6" t="s">
        <v>756</v>
      </c>
      <c r="D382" s="6" t="s">
        <v>27</v>
      </c>
      <c r="E382" s="14">
        <v>45751.499305555553</v>
      </c>
      <c r="F382" s="8">
        <f>IF(HOUR(Table1[[#This Row],[CORREO]])&gt;=11,WORKDAY(Table1[[#This Row],[CORREO]],1,Table2[Dias no laborales]),E382)</f>
        <v>45754</v>
      </c>
      <c r="G382" s="8">
        <v>45756</v>
      </c>
      <c r="H382" s="6">
        <f t="shared" si="10"/>
        <v>14</v>
      </c>
      <c r="I382" s="16">
        <f>MAX(1, NETWORKDAYS(A382, G382,Table2[Dias no laborales]))</f>
        <v>3</v>
      </c>
      <c r="J382" s="6" t="str">
        <f>IF(Table1[[#This Row],[FIN]]="","Acumulado",IF(ISNUMBER(SEARCH("ASAP",C382)),"ASAP",IF(NETWORKDAYS.INTL(F382,G382,1,Table2[Dias no laborales]) &lt;= 7, "Dentro", IF(A382&gt;F382,"Programado","Fuera"))))</f>
        <v>ASAP</v>
      </c>
      <c r="K382" s="6" t="str">
        <f t="shared" si="11"/>
        <v>A tiempo</v>
      </c>
      <c r="L382" s="8"/>
      <c r="M382" s="17">
        <f>MAX(1,NETWORKDAYS(A382,L382,Table2[Dias no laborales]))</f>
        <v>1</v>
      </c>
    </row>
    <row r="383" spans="1:13" hidden="1" x14ac:dyDescent="0.3">
      <c r="A383" s="8">
        <v>45754</v>
      </c>
      <c r="B383" s="6" t="s">
        <v>746</v>
      </c>
      <c r="C383" s="6" t="s">
        <v>747</v>
      </c>
      <c r="D383" s="6" t="s">
        <v>133</v>
      </c>
      <c r="E383" s="14">
        <v>45751.664583333331</v>
      </c>
      <c r="F383" s="8">
        <f>IF(HOUR(Table1[[#This Row],[CORREO]])&gt;=11,WORKDAY(Table1[[#This Row],[CORREO]],1,Table2[Dias no laborales]),E383)</f>
        <v>45754</v>
      </c>
      <c r="G383" s="8">
        <v>45755</v>
      </c>
      <c r="H383" s="6">
        <f t="shared" si="10"/>
        <v>14</v>
      </c>
      <c r="I383" s="16">
        <f>MAX(1, NETWORKDAYS(A383, G383,Table2[Dias no laborales]))</f>
        <v>2</v>
      </c>
      <c r="J383" s="6" t="str">
        <f>IF(Table1[[#This Row],[FIN]]="","Acumulado",IF(ISNUMBER(SEARCH("ASAP",C383)),"ASAP",IF(NETWORKDAYS.INTL(F383,G383,1,Table2[Dias no laborales]) &lt;= 7, "Dentro", IF(A383&gt;F383,"Programado","Fuera"))))</f>
        <v>Dentro</v>
      </c>
      <c r="K383" s="6" t="str">
        <f t="shared" si="11"/>
        <v>A tiempo</v>
      </c>
      <c r="L383" s="8"/>
      <c r="M383" s="17">
        <f>MAX(1,NETWORKDAYS(A383,L383,Table2[Dias no laborales]))</f>
        <v>1</v>
      </c>
    </row>
    <row r="384" spans="1:13" hidden="1" x14ac:dyDescent="0.3">
      <c r="A384" s="8">
        <v>45754</v>
      </c>
      <c r="B384" s="6" t="s">
        <v>773</v>
      </c>
      <c r="C384" s="6" t="s">
        <v>774</v>
      </c>
      <c r="D384" s="6" t="s">
        <v>139</v>
      </c>
      <c r="E384" s="14"/>
      <c r="F384" s="8">
        <f>IF(HOUR(Table1[[#This Row],[CORREO]])&gt;=11,WORKDAY(Table1[[#This Row],[CORREO]],1,Table2[Dias no laborales]),E384)</f>
        <v>0</v>
      </c>
      <c r="G384" s="8">
        <v>45756</v>
      </c>
      <c r="H384" s="6">
        <f t="shared" si="10"/>
        <v>14</v>
      </c>
      <c r="I384" s="16">
        <f>MAX(1, NETWORKDAYS(A384, G384,Table2[Dias no laborales]))</f>
        <v>3</v>
      </c>
      <c r="J384" s="6" t="str">
        <f>IF(Table1[[#This Row],[FIN]]="","Acumulado",IF(ISNUMBER(SEARCH("ASAP",C384)),"ASAP",IF(NETWORKDAYS.INTL(F384,G384,1,Table2[Dias no laborales]) &lt;= 7, "Dentro", IF(A384&gt;F384,"Programado","Fuera"))))</f>
        <v>Programado</v>
      </c>
      <c r="K384" s="6" t="str">
        <f t="shared" si="11"/>
        <v>Programados</v>
      </c>
      <c r="L384" s="8"/>
      <c r="M384" s="17">
        <f>MAX(1,NETWORKDAYS(A384,L384,Table2[Dias no laborales]))</f>
        <v>1</v>
      </c>
    </row>
    <row r="385" spans="1:13" hidden="1" x14ac:dyDescent="0.3">
      <c r="A385" s="8">
        <v>45754</v>
      </c>
      <c r="B385" s="6" t="s">
        <v>748</v>
      </c>
      <c r="C385" s="6" t="s">
        <v>749</v>
      </c>
      <c r="D385" s="6" t="s">
        <v>27</v>
      </c>
      <c r="E385" s="14">
        <v>45754.432638888888</v>
      </c>
      <c r="F385" s="8">
        <f>IF(HOUR(Table1[[#This Row],[CORREO]])&gt;=11,WORKDAY(Table1[[#This Row],[CORREO]],1,Table2[Dias no laborales]),E385)</f>
        <v>45754.432638888888</v>
      </c>
      <c r="G385" s="8">
        <v>45755</v>
      </c>
      <c r="H385" s="6">
        <f t="shared" si="10"/>
        <v>14</v>
      </c>
      <c r="I385" s="16">
        <f>MAX(1, NETWORKDAYS(A385, G385,Table2[Dias no laborales]))</f>
        <v>2</v>
      </c>
      <c r="J385" s="6" t="str">
        <f>IF(Table1[[#This Row],[FIN]]="","Acumulado",IF(ISNUMBER(SEARCH("ASAP",C385)),"ASAP",IF(NETWORKDAYS.INTL(F385,G385,1,Table2[Dias no laborales]) &lt;= 7, "Dentro", IF(A385&gt;F385,"Programado","Fuera"))))</f>
        <v>ASAP</v>
      </c>
      <c r="K385" s="6" t="str">
        <f t="shared" si="11"/>
        <v>A tiempo</v>
      </c>
      <c r="L385" s="8"/>
      <c r="M385" s="17">
        <f>MAX(1,NETWORKDAYS(A385,L385,Table2[Dias no laborales]))</f>
        <v>1</v>
      </c>
    </row>
    <row r="386" spans="1:13" hidden="1" x14ac:dyDescent="0.3">
      <c r="A386" s="8">
        <v>45754</v>
      </c>
      <c r="B386" s="6" t="s">
        <v>771</v>
      </c>
      <c r="C386" s="6" t="s">
        <v>772</v>
      </c>
      <c r="D386" s="6" t="s">
        <v>139</v>
      </c>
      <c r="E386" s="14">
        <v>45754.533333333333</v>
      </c>
      <c r="F386" s="8">
        <f>IF(HOUR(Table1[[#This Row],[CORREO]])&gt;=11,WORKDAY(Table1[[#This Row],[CORREO]],1,Table2[Dias no laborales]),E386)</f>
        <v>45755</v>
      </c>
      <c r="G386" s="8">
        <v>45756</v>
      </c>
      <c r="H386" s="6">
        <f t="shared" ref="H386:H449" si="12">INT((A386-DATE(YEAR(A386),1,1))/7) + 1</f>
        <v>14</v>
      </c>
      <c r="I386" s="16">
        <f>MAX(1, NETWORKDAYS(A386, G386,Table2[Dias no laborales]))</f>
        <v>3</v>
      </c>
      <c r="J386" s="6" t="str">
        <f>IF(Table1[[#This Row],[FIN]]="","Acumulado",IF(ISNUMBER(SEARCH("ASAP",C386)),"ASAP",IF(NETWORKDAYS.INTL(F386,G386,1,Table2[Dias no laborales]) &lt;= 7, "Dentro", IF(A386&gt;F386,"Programado","Fuera"))))</f>
        <v>Dentro</v>
      </c>
      <c r="K386" s="6" t="str">
        <f t="shared" ref="K386:K449" si="13">IF(INT(A386)=INT(F386),"A tiempo", IF(A386&lt;F386,"Mismo día","Programados"))</f>
        <v>Mismo día</v>
      </c>
      <c r="L386" s="8"/>
      <c r="M386" s="17">
        <f>MAX(1,NETWORKDAYS(A386,L386,Table2[Dias no laborales]))</f>
        <v>1</v>
      </c>
    </row>
    <row r="387" spans="1:13" hidden="1" x14ac:dyDescent="0.3">
      <c r="A387" s="8">
        <v>45755</v>
      </c>
      <c r="B387" s="5" t="s">
        <v>1217</v>
      </c>
      <c r="C387" s="5" t="s">
        <v>1218</v>
      </c>
      <c r="D387" s="5" t="s">
        <v>139</v>
      </c>
      <c r="E387" s="14">
        <v>45754.643750000003</v>
      </c>
      <c r="F387" s="8">
        <f>IF(HOUR(Table1[[#This Row],[CORREO]])&gt;=11,WORKDAY(Table1[[#This Row],[CORREO]],1,Table2[Dias no laborales]),E387)</f>
        <v>45755</v>
      </c>
      <c r="G387" s="8">
        <v>45798</v>
      </c>
      <c r="H387" s="6">
        <f t="shared" si="12"/>
        <v>14</v>
      </c>
      <c r="I387" s="16">
        <f>MAX(1, NETWORKDAYS(A387, G387,Table2[Dias no laborales]))</f>
        <v>32</v>
      </c>
      <c r="J387" s="6" t="str">
        <f>IF(Table1[[#This Row],[FIN]]="","Acumulado",IF(ISNUMBER(SEARCH("ASAP",C387)),"ASAP",IF(NETWORKDAYS.INTL(F387,G387,1,Table2[Dias no laborales]) &lt;= 7, "Dentro", IF(A387&gt;F387,"Programado","Fuera"))))</f>
        <v>Fuera</v>
      </c>
      <c r="K387" s="6" t="str">
        <f t="shared" si="13"/>
        <v>A tiempo</v>
      </c>
      <c r="L387" s="9">
        <v>45772</v>
      </c>
      <c r="M387" s="17">
        <f>MAX(1,NETWORKDAYS(A387,L387,Table2[Dias no laborales]))</f>
        <v>14</v>
      </c>
    </row>
    <row r="388" spans="1:13" hidden="1" x14ac:dyDescent="0.3">
      <c r="A388" s="8">
        <v>45755</v>
      </c>
      <c r="B388" s="6" t="s">
        <v>757</v>
      </c>
      <c r="C388" s="6" t="s">
        <v>758</v>
      </c>
      <c r="D388" s="6" t="s">
        <v>24</v>
      </c>
      <c r="E388" s="14">
        <v>45754.631249999999</v>
      </c>
      <c r="F388" s="8">
        <f>IF(HOUR(Table1[[#This Row],[CORREO]])&gt;=11,WORKDAY(Table1[[#This Row],[CORREO]],1,Table2[Dias no laborales]),E388)</f>
        <v>45755</v>
      </c>
      <c r="G388" s="8">
        <v>45756</v>
      </c>
      <c r="H388" s="6">
        <f t="shared" si="12"/>
        <v>14</v>
      </c>
      <c r="I388" s="16">
        <f>MAX(1, NETWORKDAYS(A388, G388,Table2[Dias no laborales]))</f>
        <v>2</v>
      </c>
      <c r="J388" s="6" t="str">
        <f>IF(Table1[[#This Row],[FIN]]="","Acumulado",IF(ISNUMBER(SEARCH("ASAP",C388)),"ASAP",IF(NETWORKDAYS.INTL(F388,G388,1,Table2[Dias no laborales]) &lt;= 7, "Dentro", IF(A388&gt;F388,"Programado","Fuera"))))</f>
        <v>Dentro</v>
      </c>
      <c r="K388" s="6" t="str">
        <f t="shared" si="13"/>
        <v>A tiempo</v>
      </c>
      <c r="L388" s="8"/>
      <c r="M388" s="17">
        <f>MAX(1,NETWORKDAYS(A388,L388,Table2[Dias no laborales]))</f>
        <v>1</v>
      </c>
    </row>
    <row r="389" spans="1:13" hidden="1" x14ac:dyDescent="0.3">
      <c r="A389" s="8">
        <v>45755</v>
      </c>
      <c r="B389" s="6" t="s">
        <v>759</v>
      </c>
      <c r="C389" s="6" t="s">
        <v>760</v>
      </c>
      <c r="D389" s="6" t="s">
        <v>761</v>
      </c>
      <c r="E389" s="14">
        <v>45749.986111111109</v>
      </c>
      <c r="F389" s="8">
        <f>IF(HOUR(Table1[[#This Row],[CORREO]])&gt;=11,WORKDAY(Table1[[#This Row],[CORREO]],1,Table2[Dias no laborales]),E389)</f>
        <v>45750</v>
      </c>
      <c r="G389" s="8">
        <v>45756</v>
      </c>
      <c r="H389" s="6">
        <f t="shared" si="12"/>
        <v>14</v>
      </c>
      <c r="I389" s="16">
        <f>MAX(1, NETWORKDAYS(A389, G389,Table2[Dias no laborales]))</f>
        <v>2</v>
      </c>
      <c r="J389" s="6" t="str">
        <f>IF(Table1[[#This Row],[FIN]]="","Acumulado",IF(ISNUMBER(SEARCH("ASAP",C389)),"ASAP",IF(NETWORKDAYS.INTL(F389,G389,1,Table2[Dias no laborales]) &lt;= 7, "Dentro", IF(A389&gt;F389,"Programado","Fuera"))))</f>
        <v>Dentro</v>
      </c>
      <c r="K389" s="6" t="str">
        <f t="shared" si="13"/>
        <v>Programados</v>
      </c>
      <c r="L389" s="8"/>
      <c r="M389" s="17">
        <f>MAX(1,NETWORKDAYS(A389,L389,Table2[Dias no laborales]))</f>
        <v>1</v>
      </c>
    </row>
    <row r="390" spans="1:13" hidden="1" x14ac:dyDescent="0.3">
      <c r="A390" s="8">
        <v>45755</v>
      </c>
      <c r="B390" s="6" t="s">
        <v>752</v>
      </c>
      <c r="C390" s="6" t="s">
        <v>753</v>
      </c>
      <c r="D390" s="6" t="s">
        <v>754</v>
      </c>
      <c r="E390" s="14">
        <v>45755.128472222219</v>
      </c>
      <c r="F390" s="8">
        <f>IF(HOUR(Table1[[#This Row],[CORREO]])&gt;=11,WORKDAY(Table1[[#This Row],[CORREO]],1,Table2[Dias no laborales]),E390)</f>
        <v>45755.128472222219</v>
      </c>
      <c r="G390" s="8">
        <v>45756</v>
      </c>
      <c r="H390" s="6">
        <f t="shared" si="12"/>
        <v>14</v>
      </c>
      <c r="I390" s="16">
        <f>MAX(1, NETWORKDAYS(A390, G390,Table2[Dias no laborales]))</f>
        <v>2</v>
      </c>
      <c r="J390" s="6" t="str">
        <f>IF(Table1[[#This Row],[FIN]]="","Acumulado",IF(ISNUMBER(SEARCH("ASAP",C390)),"ASAP",IF(NETWORKDAYS.INTL(F390,G390,1,Table2[Dias no laborales]) &lt;= 7, "Dentro", IF(A390&gt;F390,"Programado","Fuera"))))</f>
        <v>Dentro</v>
      </c>
      <c r="K390" s="6" t="str">
        <f t="shared" si="13"/>
        <v>A tiempo</v>
      </c>
      <c r="L390" s="8"/>
      <c r="M390" s="17">
        <f>MAX(1,NETWORKDAYS(A390,L390,Table2[Dias no laborales]))</f>
        <v>1</v>
      </c>
    </row>
    <row r="391" spans="1:13" hidden="1" x14ac:dyDescent="0.3">
      <c r="A391" s="8">
        <v>45755</v>
      </c>
      <c r="B391" s="6" t="s">
        <v>775</v>
      </c>
      <c r="C391" s="6" t="s">
        <v>776</v>
      </c>
      <c r="D391" s="6" t="s">
        <v>154</v>
      </c>
      <c r="E391" s="14">
        <v>45755.306250000001</v>
      </c>
      <c r="F391" s="8">
        <f>IF(HOUR(Table1[[#This Row],[CORREO]])&gt;=11,WORKDAY(Table1[[#This Row],[CORREO]],1,Table2[Dias no laborales]),E391)</f>
        <v>45755.306250000001</v>
      </c>
      <c r="G391" s="8">
        <v>45756</v>
      </c>
      <c r="H391" s="6">
        <f t="shared" si="12"/>
        <v>14</v>
      </c>
      <c r="I391" s="16">
        <f>MAX(1, NETWORKDAYS(A391, G391,Table2[Dias no laborales]))</f>
        <v>2</v>
      </c>
      <c r="J391" s="6" t="str">
        <f>IF(Table1[[#This Row],[FIN]]="","Acumulado",IF(ISNUMBER(SEARCH("ASAP",C391)),"ASAP",IF(NETWORKDAYS.INTL(F391,G391,1,Table2[Dias no laborales]) &lt;= 7, "Dentro", IF(A391&gt;F391,"Programado","Fuera"))))</f>
        <v>Dentro</v>
      </c>
      <c r="K391" s="6" t="str">
        <f t="shared" si="13"/>
        <v>A tiempo</v>
      </c>
      <c r="L391" s="8"/>
      <c r="M391" s="17">
        <f>MAX(1,NETWORKDAYS(A391,L391,Table2[Dias no laborales]))</f>
        <v>1</v>
      </c>
    </row>
    <row r="392" spans="1:13" hidden="1" x14ac:dyDescent="0.3">
      <c r="A392" s="8">
        <v>45755</v>
      </c>
      <c r="B392" s="6" t="s">
        <v>825</v>
      </c>
      <c r="C392" s="6" t="s">
        <v>826</v>
      </c>
      <c r="D392" s="6" t="s">
        <v>61</v>
      </c>
      <c r="E392" s="14">
        <v>45755.354861111111</v>
      </c>
      <c r="F392" s="8">
        <f>IF(HOUR(Table1[[#This Row],[CORREO]])&gt;=11,WORKDAY(Table1[[#This Row],[CORREO]],1,Table2[Dias no laborales]),E392)</f>
        <v>45755.354861111111</v>
      </c>
      <c r="G392" s="8">
        <v>45761</v>
      </c>
      <c r="H392" s="6">
        <f t="shared" si="12"/>
        <v>14</v>
      </c>
      <c r="I392" s="16">
        <f>MAX(1, NETWORKDAYS(A392, G392,Table2[Dias no laborales]))</f>
        <v>5</v>
      </c>
      <c r="J392" s="6" t="str">
        <f>IF(Table1[[#This Row],[FIN]]="","Acumulado",IF(ISNUMBER(SEARCH("ASAP",C392)),"ASAP",IF(NETWORKDAYS.INTL(F392,G392,1,Table2[Dias no laborales]) &lt;= 7, "Dentro", IF(A392&gt;F392,"Programado","Fuera"))))</f>
        <v>ASAP</v>
      </c>
      <c r="K392" s="6" t="str">
        <f t="shared" si="13"/>
        <v>A tiempo</v>
      </c>
      <c r="L392" s="8"/>
      <c r="M392" s="17">
        <f>MAX(1,NETWORKDAYS(A392,L392,Table2[Dias no laborales]))</f>
        <v>1</v>
      </c>
    </row>
    <row r="393" spans="1:13" hidden="1" x14ac:dyDescent="0.3">
      <c r="A393" s="8">
        <v>45755</v>
      </c>
      <c r="B393" s="6" t="s">
        <v>750</v>
      </c>
      <c r="C393" s="6" t="s">
        <v>751</v>
      </c>
      <c r="D393" s="6" t="s">
        <v>75</v>
      </c>
      <c r="E393" s="14">
        <v>45755.438194444447</v>
      </c>
      <c r="F393" s="8">
        <f>IF(HOUR(Table1[[#This Row],[CORREO]])&gt;=11,WORKDAY(Table1[[#This Row],[CORREO]],1,Table2[Dias no laborales]),E393)</f>
        <v>45755.438194444447</v>
      </c>
      <c r="G393" s="8">
        <v>45756</v>
      </c>
      <c r="H393" s="6">
        <f t="shared" si="12"/>
        <v>14</v>
      </c>
      <c r="I393" s="16">
        <f>MAX(1, NETWORKDAYS(A393, G393,Table2[Dias no laborales]))</f>
        <v>2</v>
      </c>
      <c r="J393" s="6" t="str">
        <f>IF(Table1[[#This Row],[FIN]]="","Acumulado",IF(ISNUMBER(SEARCH("ASAP",C393)),"ASAP",IF(NETWORKDAYS.INTL(F393,G393,1,Table2[Dias no laborales]) &lt;= 7, "Dentro", IF(A393&gt;F393,"Programado","Fuera"))))</f>
        <v>Dentro</v>
      </c>
      <c r="K393" s="6" t="str">
        <f t="shared" si="13"/>
        <v>A tiempo</v>
      </c>
      <c r="L393" s="8"/>
      <c r="M393" s="17">
        <f>MAX(1,NETWORKDAYS(A393,L393,Table2[Dias no laborales]))</f>
        <v>1</v>
      </c>
    </row>
    <row r="394" spans="1:13" hidden="1" x14ac:dyDescent="0.3">
      <c r="A394" s="8">
        <v>45755</v>
      </c>
      <c r="B394" s="6" t="s">
        <v>781</v>
      </c>
      <c r="C394" s="6" t="s">
        <v>782</v>
      </c>
      <c r="D394" s="6" t="s">
        <v>517</v>
      </c>
      <c r="E394" s="14">
        <v>45755.453472222223</v>
      </c>
      <c r="F394" s="8">
        <f>IF(HOUR(Table1[[#This Row],[CORREO]])&gt;=11,WORKDAY(Table1[[#This Row],[CORREO]],1,Table2[Dias no laborales]),E394)</f>
        <v>45755.453472222223</v>
      </c>
      <c r="G394" s="8">
        <v>45757</v>
      </c>
      <c r="H394" s="6">
        <f t="shared" si="12"/>
        <v>14</v>
      </c>
      <c r="I394" s="16">
        <f>MAX(1, NETWORKDAYS(A394, G394,Table2[Dias no laborales]))</f>
        <v>3</v>
      </c>
      <c r="J394" s="6" t="str">
        <f>IF(Table1[[#This Row],[FIN]]="","Acumulado",IF(ISNUMBER(SEARCH("ASAP",C394)),"ASAP",IF(NETWORKDAYS.INTL(F394,G394,1,Table2[Dias no laborales]) &lt;= 7, "Dentro", IF(A394&gt;F394,"Programado","Fuera"))))</f>
        <v>Dentro</v>
      </c>
      <c r="K394" s="6" t="str">
        <f t="shared" si="13"/>
        <v>A tiempo</v>
      </c>
      <c r="L394" s="8"/>
      <c r="M394" s="17">
        <f>MAX(1,NETWORKDAYS(A394,L394,Table2[Dias no laborales]))</f>
        <v>1</v>
      </c>
    </row>
    <row r="395" spans="1:13" hidden="1" x14ac:dyDescent="0.3">
      <c r="A395" s="8">
        <v>45756</v>
      </c>
      <c r="B395" s="6" t="s">
        <v>1206</v>
      </c>
      <c r="C395" s="6" t="s">
        <v>1207</v>
      </c>
      <c r="D395" s="6" t="s">
        <v>24</v>
      </c>
      <c r="E395" s="14">
        <v>45755.530555555553</v>
      </c>
      <c r="F395" s="8">
        <f>IF(HOUR(Table1[[#This Row],[CORREO]])&gt;=11,WORKDAY(Table1[[#This Row],[CORREO]],1,Table2[Dias no laborales]),E395)</f>
        <v>45756</v>
      </c>
      <c r="G395" s="8">
        <v>45785</v>
      </c>
      <c r="H395" s="6">
        <f t="shared" si="12"/>
        <v>15</v>
      </c>
      <c r="I395" s="16">
        <f>MAX(1, NETWORKDAYS(A395, G395,Table2[Dias no laborales]))</f>
        <v>22</v>
      </c>
      <c r="J395" s="6" t="str">
        <f>IF(Table1[[#This Row],[FIN]]="","Acumulado",IF(ISNUMBER(SEARCH("ASAP",C395)),"ASAP",IF(NETWORKDAYS.INTL(F395,G395,1,Table2[Dias no laborales]) &lt;= 7, "Dentro", IF(A395&gt;F395,"Programado","Fuera"))))</f>
        <v>Fuera</v>
      </c>
      <c r="K395" s="6" t="str">
        <f t="shared" si="13"/>
        <v>A tiempo</v>
      </c>
      <c r="L395" s="9">
        <v>45762</v>
      </c>
      <c r="M395" s="17">
        <f>MAX(1,NETWORKDAYS(A395,L395,Table2[Dias no laborales]))</f>
        <v>5</v>
      </c>
    </row>
    <row r="396" spans="1:13" hidden="1" x14ac:dyDescent="0.3">
      <c r="A396" s="8">
        <v>45756</v>
      </c>
      <c r="B396" s="5" t="s">
        <v>928</v>
      </c>
      <c r="C396" s="5" t="s">
        <v>929</v>
      </c>
      <c r="D396" s="5" t="s">
        <v>24</v>
      </c>
      <c r="E396" s="14">
        <v>45755.571527777778</v>
      </c>
      <c r="F396" s="8">
        <f>IF(HOUR(Table1[[#This Row],[CORREO]])&gt;=11,WORKDAY(Table1[[#This Row],[CORREO]],1,Table2[Dias no laborales]),E396)</f>
        <v>45756</v>
      </c>
      <c r="G396" s="9">
        <v>45776</v>
      </c>
      <c r="H396" s="6">
        <f t="shared" si="12"/>
        <v>15</v>
      </c>
      <c r="I396" s="16">
        <f>MAX(1, NETWORKDAYS(A396, G396,Table2[Dias no laborales]))</f>
        <v>15</v>
      </c>
      <c r="J396" s="6" t="str">
        <f>IF(Table1[[#This Row],[FIN]]="","Acumulado",IF(ISNUMBER(SEARCH("ASAP",C396)),"ASAP",IF(NETWORKDAYS.INTL(F396,G396,1,Table2[Dias no laborales]) &lt;= 7, "Dentro", IF(A396&gt;F396,"Programado","Fuera"))))</f>
        <v>Fuera</v>
      </c>
      <c r="K396" s="6" t="str">
        <f t="shared" si="13"/>
        <v>A tiempo</v>
      </c>
      <c r="L396" s="8"/>
      <c r="M396" s="17">
        <f>MAX(1,NETWORKDAYS(A396,L396,Table2[Dias no laborales]))</f>
        <v>1</v>
      </c>
    </row>
    <row r="397" spans="1:13" hidden="1" x14ac:dyDescent="0.3">
      <c r="A397" s="8">
        <v>45756</v>
      </c>
      <c r="B397" s="6" t="s">
        <v>767</v>
      </c>
      <c r="C397" s="6" t="s">
        <v>768</v>
      </c>
      <c r="D397" s="6" t="s">
        <v>24</v>
      </c>
      <c r="E397" s="14">
        <v>45755.704861111109</v>
      </c>
      <c r="F397" s="8">
        <f>IF(HOUR(Table1[[#This Row],[CORREO]])&gt;=11,WORKDAY(Table1[[#This Row],[CORREO]],1,Table2[Dias no laborales]),E397)</f>
        <v>45756</v>
      </c>
      <c r="G397" s="8">
        <v>45756</v>
      </c>
      <c r="H397" s="6">
        <f t="shared" si="12"/>
        <v>15</v>
      </c>
      <c r="I397" s="16">
        <f>MAX(1, NETWORKDAYS(A397, G397,Table2[Dias no laborales]))</f>
        <v>1</v>
      </c>
      <c r="J397" s="6" t="str">
        <f>IF(Table1[[#This Row],[FIN]]="","Acumulado",IF(ISNUMBER(SEARCH("ASAP",C397)),"ASAP",IF(NETWORKDAYS.INTL(F397,G397,1,Table2[Dias no laborales]) &lt;= 7, "Dentro", IF(A397&gt;F397,"Programado","Fuera"))))</f>
        <v>Dentro</v>
      </c>
      <c r="K397" s="6" t="str">
        <f t="shared" si="13"/>
        <v>A tiempo</v>
      </c>
      <c r="L397" s="8"/>
      <c r="M397" s="17">
        <f>MAX(1,NETWORKDAYS(A397,L397,Table2[Dias no laborales]))</f>
        <v>1</v>
      </c>
    </row>
    <row r="398" spans="1:13" hidden="1" x14ac:dyDescent="0.3">
      <c r="A398" s="8">
        <v>45756</v>
      </c>
      <c r="B398" s="5" t="s">
        <v>860</v>
      </c>
      <c r="C398" s="5" t="s">
        <v>861</v>
      </c>
      <c r="D398" s="5" t="s">
        <v>100</v>
      </c>
      <c r="E398" s="14">
        <v>45755.710416666669</v>
      </c>
      <c r="F398" s="8">
        <f>IF(HOUR(Table1[[#This Row],[CORREO]])&gt;=11,WORKDAY(Table1[[#This Row],[CORREO]],1,Table2[Dias no laborales]),E398)</f>
        <v>45756</v>
      </c>
      <c r="G398" s="9">
        <v>45769</v>
      </c>
      <c r="H398" s="6">
        <f t="shared" si="12"/>
        <v>15</v>
      </c>
      <c r="I398" s="16">
        <f>MAX(1, NETWORKDAYS(A398, G398,Table2[Dias no laborales]))</f>
        <v>10</v>
      </c>
      <c r="J398" s="6" t="str">
        <f>IF(Table1[[#This Row],[FIN]]="","Acumulado",IF(ISNUMBER(SEARCH("ASAP",C398)),"ASAP",IF(NETWORKDAYS.INTL(F398,G398,1,Table2[Dias no laborales]) &lt;= 7, "Dentro", IF(A398&gt;F398,"Programado","Fuera"))))</f>
        <v>Fuera</v>
      </c>
      <c r="K398" s="6" t="str">
        <f t="shared" si="13"/>
        <v>A tiempo</v>
      </c>
      <c r="L398" s="8"/>
      <c r="M398" s="17">
        <f>MAX(1,NETWORKDAYS(A398,L398,Table2[Dias no laborales]))</f>
        <v>1</v>
      </c>
    </row>
    <row r="399" spans="1:13" hidden="1" x14ac:dyDescent="0.3">
      <c r="A399" s="8">
        <v>45756</v>
      </c>
      <c r="B399" s="6" t="s">
        <v>765</v>
      </c>
      <c r="C399" s="6" t="s">
        <v>766</v>
      </c>
      <c r="D399" s="6" t="s">
        <v>24</v>
      </c>
      <c r="E399" s="14">
        <v>45755.759722222225</v>
      </c>
      <c r="F399" s="8">
        <f>IF(HOUR(Table1[[#This Row],[CORREO]])&gt;=11,WORKDAY(Table1[[#This Row],[CORREO]],1,Table2[Dias no laborales]),E399)</f>
        <v>45756</v>
      </c>
      <c r="G399" s="8">
        <v>45756</v>
      </c>
      <c r="H399" s="6">
        <f t="shared" si="12"/>
        <v>15</v>
      </c>
      <c r="I399" s="16">
        <f>MAX(1, NETWORKDAYS(A399, G399,Table2[Dias no laborales]))</f>
        <v>1</v>
      </c>
      <c r="J399" s="6" t="str">
        <f>IF(Table1[[#This Row],[FIN]]="","Acumulado",IF(ISNUMBER(SEARCH("ASAP",C399)),"ASAP",IF(NETWORKDAYS.INTL(F399,G399,1,Table2[Dias no laborales]) &lt;= 7, "Dentro", IF(A399&gt;F399,"Programado","Fuera"))))</f>
        <v>Dentro</v>
      </c>
      <c r="K399" s="6" t="str">
        <f t="shared" si="13"/>
        <v>A tiempo</v>
      </c>
      <c r="L399" s="8"/>
      <c r="M399" s="17">
        <f>MAX(1,NETWORKDAYS(A399,L399,Table2[Dias no laborales]))</f>
        <v>1</v>
      </c>
    </row>
    <row r="400" spans="1:13" hidden="1" x14ac:dyDescent="0.3">
      <c r="A400" s="8">
        <v>45756</v>
      </c>
      <c r="B400" s="6" t="s">
        <v>764</v>
      </c>
      <c r="C400" s="6" t="s">
        <v>170</v>
      </c>
      <c r="D400" s="6" t="s">
        <v>171</v>
      </c>
      <c r="E400" s="14">
        <v>45756.304166666669</v>
      </c>
      <c r="F400" s="8">
        <f>IF(HOUR(Table1[[#This Row],[CORREO]])&gt;=11,WORKDAY(Table1[[#This Row],[CORREO]],1,Table2[Dias no laborales]),E400)</f>
        <v>45756.304166666669</v>
      </c>
      <c r="G400" s="8">
        <v>45756</v>
      </c>
      <c r="H400" s="6">
        <f t="shared" si="12"/>
        <v>15</v>
      </c>
      <c r="I400" s="16">
        <f>MAX(1, NETWORKDAYS(A400, G400,Table2[Dias no laborales]))</f>
        <v>1</v>
      </c>
      <c r="J400" s="6" t="str">
        <f>IF(Table1[[#This Row],[FIN]]="","Acumulado",IF(ISNUMBER(SEARCH("ASAP",C400)),"ASAP",IF(NETWORKDAYS.INTL(F400,G400,1,Table2[Dias no laborales]) &lt;= 7, "Dentro", IF(A400&gt;F400,"Programado","Fuera"))))</f>
        <v>Dentro</v>
      </c>
      <c r="K400" s="6" t="str">
        <f t="shared" si="13"/>
        <v>A tiempo</v>
      </c>
      <c r="L400" s="8"/>
      <c r="M400" s="17">
        <f>MAX(1,NETWORKDAYS(A400,L400,Table2[Dias no laborales]))</f>
        <v>1</v>
      </c>
    </row>
    <row r="401" spans="1:13" hidden="1" x14ac:dyDescent="0.3">
      <c r="A401" s="8">
        <v>45756</v>
      </c>
      <c r="B401" s="5" t="s">
        <v>865</v>
      </c>
      <c r="C401" s="5" t="s">
        <v>866</v>
      </c>
      <c r="D401" s="5" t="s">
        <v>24</v>
      </c>
      <c r="E401" s="14">
        <v>45756.623611111114</v>
      </c>
      <c r="F401" s="8">
        <f>IF(HOUR(Table1[[#This Row],[CORREO]])&gt;=11,WORKDAY(Table1[[#This Row],[CORREO]],1,Table2[Dias no laborales]),E401)</f>
        <v>45757</v>
      </c>
      <c r="G401" s="9">
        <v>45769</v>
      </c>
      <c r="H401" s="6">
        <f t="shared" si="12"/>
        <v>15</v>
      </c>
      <c r="I401" s="16">
        <f>MAX(1, NETWORKDAYS(A401, G401,Table2[Dias no laborales]))</f>
        <v>10</v>
      </c>
      <c r="J401" s="6" t="str">
        <f>IF(Table1[[#This Row],[FIN]]="","Acumulado",IF(ISNUMBER(SEARCH("ASAP",C401)),"ASAP",IF(NETWORKDAYS.INTL(F401,G401,1,Table2[Dias no laborales]) &lt;= 7, "Dentro", IF(A401&gt;F401,"Programado","Fuera"))))</f>
        <v>ASAP</v>
      </c>
      <c r="K401" s="6" t="str">
        <f t="shared" si="13"/>
        <v>Mismo día</v>
      </c>
      <c r="L401" s="8"/>
      <c r="M401" s="17">
        <f>MAX(1,NETWORKDAYS(A401,L401,Table2[Dias no laborales]))</f>
        <v>1</v>
      </c>
    </row>
    <row r="402" spans="1:13" hidden="1" x14ac:dyDescent="0.3">
      <c r="A402" s="8">
        <v>45757</v>
      </c>
      <c r="B402" s="6" t="s">
        <v>786</v>
      </c>
      <c r="C402" s="6" t="s">
        <v>787</v>
      </c>
      <c r="D402" s="6" t="s">
        <v>571</v>
      </c>
      <c r="E402" s="14">
        <v>45757.356249999997</v>
      </c>
      <c r="F402" s="8">
        <f>IF(HOUR(Table1[[#This Row],[CORREO]])&gt;=11,WORKDAY(Table1[[#This Row],[CORREO]],1,Table2[Dias no laborales]),E402)</f>
        <v>45757.356249999997</v>
      </c>
      <c r="G402" s="8">
        <v>45757</v>
      </c>
      <c r="H402" s="6">
        <f t="shared" si="12"/>
        <v>15</v>
      </c>
      <c r="I402" s="16">
        <f>MAX(1, NETWORKDAYS(A402, G402,Table2[Dias no laborales]))</f>
        <v>1</v>
      </c>
      <c r="J402" s="6" t="str">
        <f>IF(Table1[[#This Row],[FIN]]="","Acumulado",IF(ISNUMBER(SEARCH("ASAP",C402)),"ASAP",IF(NETWORKDAYS.INTL(F402,G402,1,Table2[Dias no laborales]) &lt;= 7, "Dentro", IF(A402&gt;F402,"Programado","Fuera"))))</f>
        <v>Dentro</v>
      </c>
      <c r="K402" s="6" t="str">
        <f t="shared" si="13"/>
        <v>A tiempo</v>
      </c>
      <c r="L402" s="8"/>
      <c r="M402" s="17">
        <f>MAX(1,NETWORKDAYS(A402,L402,Table2[Dias no laborales]))</f>
        <v>1</v>
      </c>
    </row>
    <row r="403" spans="1:13" hidden="1" x14ac:dyDescent="0.3">
      <c r="A403" s="8">
        <v>45757</v>
      </c>
      <c r="B403" s="6" t="s">
        <v>804</v>
      </c>
      <c r="C403" s="6" t="s">
        <v>805</v>
      </c>
      <c r="D403" s="6" t="s">
        <v>27</v>
      </c>
      <c r="E403" s="14">
        <v>45757.371527777781</v>
      </c>
      <c r="F403" s="8">
        <f>IF(HOUR(Table1[[#This Row],[CORREO]])&gt;=11,WORKDAY(Table1[[#This Row],[CORREO]],1,Table2[Dias no laborales]),E403)</f>
        <v>45757.371527777781</v>
      </c>
      <c r="G403" s="8">
        <v>45758</v>
      </c>
      <c r="H403" s="6">
        <f t="shared" si="12"/>
        <v>15</v>
      </c>
      <c r="I403" s="16">
        <f>MAX(1, NETWORKDAYS(A403, G403,Table2[Dias no laborales]))</f>
        <v>2</v>
      </c>
      <c r="J403" s="6" t="str">
        <f>IF(Table1[[#This Row],[FIN]]="","Acumulado",IF(ISNUMBER(SEARCH("ASAP",C403)),"ASAP",IF(NETWORKDAYS.INTL(F403,G403,1,Table2[Dias no laborales]) &lt;= 7, "Dentro", IF(A403&gt;F403,"Programado","Fuera"))))</f>
        <v>ASAP</v>
      </c>
      <c r="K403" s="6" t="str">
        <f t="shared" si="13"/>
        <v>A tiempo</v>
      </c>
      <c r="L403" s="8"/>
      <c r="M403" s="17">
        <f>MAX(1,NETWORKDAYS(A403,L403,Table2[Dias no laborales]))</f>
        <v>1</v>
      </c>
    </row>
    <row r="404" spans="1:13" hidden="1" x14ac:dyDescent="0.3">
      <c r="A404" s="8">
        <v>45757</v>
      </c>
      <c r="B404" s="6" t="s">
        <v>779</v>
      </c>
      <c r="C404" s="6" t="s">
        <v>780</v>
      </c>
      <c r="D404" s="6" t="s">
        <v>288</v>
      </c>
      <c r="E404" s="14">
        <v>45757.411111111112</v>
      </c>
      <c r="F404" s="8">
        <f>IF(HOUR(Table1[[#This Row],[CORREO]])&gt;=11,WORKDAY(Table1[[#This Row],[CORREO]],1,Table2[Dias no laborales]),E404)</f>
        <v>45757.411111111112</v>
      </c>
      <c r="G404" s="8">
        <v>45757</v>
      </c>
      <c r="H404" s="6">
        <f t="shared" si="12"/>
        <v>15</v>
      </c>
      <c r="I404" s="16">
        <f>MAX(1, NETWORKDAYS(A404, G404,Table2[Dias no laborales]))</f>
        <v>1</v>
      </c>
      <c r="J404" s="6" t="str">
        <f>IF(Table1[[#This Row],[FIN]]="","Acumulado",IF(ISNUMBER(SEARCH("ASAP",C404)),"ASAP",IF(NETWORKDAYS.INTL(F404,G404,1,Table2[Dias no laborales]) &lt;= 7, "Dentro", IF(A404&gt;F404,"Programado","Fuera"))))</f>
        <v>Dentro</v>
      </c>
      <c r="K404" s="6" t="str">
        <f t="shared" si="13"/>
        <v>A tiempo</v>
      </c>
      <c r="L404" s="8"/>
      <c r="M404" s="17">
        <f>MAX(1,NETWORKDAYS(A404,L404,Table2[Dias no laborales]))</f>
        <v>1</v>
      </c>
    </row>
    <row r="405" spans="1:13" hidden="1" x14ac:dyDescent="0.3">
      <c r="A405" s="8">
        <v>45757</v>
      </c>
      <c r="B405" s="6" t="s">
        <v>1204</v>
      </c>
      <c r="C405" s="6" t="s">
        <v>1205</v>
      </c>
      <c r="D405" s="6" t="s">
        <v>24</v>
      </c>
      <c r="E405" s="14">
        <v>45756.601388888892</v>
      </c>
      <c r="F405" s="8">
        <f>IF(HOUR(Table1[[#This Row],[CORREO]])&gt;=11,WORKDAY(Table1[[#This Row],[CORREO]],1,Table2[Dias no laborales]),E405)</f>
        <v>45757</v>
      </c>
      <c r="G405" s="8">
        <v>45785</v>
      </c>
      <c r="H405" s="6">
        <f t="shared" si="12"/>
        <v>15</v>
      </c>
      <c r="I405" s="16">
        <f>MAX(1, NETWORKDAYS(A405, G405,Table2[Dias no laborales]))</f>
        <v>21</v>
      </c>
      <c r="J405" s="6" t="str">
        <f>IF(Table1[[#This Row],[FIN]]="","Acumulado",IF(ISNUMBER(SEARCH("ASAP",C405)),"ASAP",IF(NETWORKDAYS.INTL(F405,G405,1,Table2[Dias no laborales]) &lt;= 7, "Dentro", IF(A405&gt;F405,"Programado","Fuera"))))</f>
        <v>Fuera</v>
      </c>
      <c r="K405" s="6" t="str">
        <f t="shared" si="13"/>
        <v>A tiempo</v>
      </c>
      <c r="L405" s="9">
        <v>45785</v>
      </c>
      <c r="M405" s="17">
        <f>MAX(1,NETWORKDAYS(A405,L405,Table2[Dias no laborales]))</f>
        <v>21</v>
      </c>
    </row>
    <row r="406" spans="1:13" hidden="1" x14ac:dyDescent="0.3">
      <c r="A406" s="8">
        <v>45757</v>
      </c>
      <c r="B406" s="6" t="s">
        <v>806</v>
      </c>
      <c r="C406" s="6" t="s">
        <v>807</v>
      </c>
      <c r="D406" s="6" t="s">
        <v>119</v>
      </c>
      <c r="E406" s="14">
        <v>45756.550694444442</v>
      </c>
      <c r="F406" s="8">
        <f>IF(HOUR(Table1[[#This Row],[CORREO]])&gt;=11,WORKDAY(Table1[[#This Row],[CORREO]],1,Table2[Dias no laborales]),E406)</f>
        <v>45757</v>
      </c>
      <c r="G406" s="8">
        <v>45758</v>
      </c>
      <c r="H406" s="6">
        <f t="shared" si="12"/>
        <v>15</v>
      </c>
      <c r="I406" s="16">
        <f>MAX(1, NETWORKDAYS(A406, G406,Table2[Dias no laborales]))</f>
        <v>2</v>
      </c>
      <c r="J406" s="6" t="str">
        <f>IF(Table1[[#This Row],[FIN]]="","Acumulado",IF(ISNUMBER(SEARCH("ASAP",C406)),"ASAP",IF(NETWORKDAYS.INTL(F406,G406,1,Table2[Dias no laborales]) &lt;= 7, "Dentro", IF(A406&gt;F406,"Programado","Fuera"))))</f>
        <v>Dentro</v>
      </c>
      <c r="K406" s="6" t="str">
        <f t="shared" si="13"/>
        <v>A tiempo</v>
      </c>
      <c r="L406" s="8"/>
      <c r="M406" s="17">
        <f>MAX(1,NETWORKDAYS(A406,L406,Table2[Dias no laborales]))</f>
        <v>1</v>
      </c>
    </row>
    <row r="407" spans="1:13" hidden="1" x14ac:dyDescent="0.3">
      <c r="A407" s="8">
        <v>45757</v>
      </c>
      <c r="B407" s="6" t="s">
        <v>798</v>
      </c>
      <c r="C407" s="6" t="s">
        <v>799</v>
      </c>
      <c r="D407" s="6" t="s">
        <v>24</v>
      </c>
      <c r="E407" s="14">
        <v>45757.487500000003</v>
      </c>
      <c r="F407" s="8">
        <f>IF(HOUR(Table1[[#This Row],[CORREO]])&gt;=11,WORKDAY(Table1[[#This Row],[CORREO]],1,Table2[Dias no laborales]),E407)</f>
        <v>45758</v>
      </c>
      <c r="G407" s="8">
        <v>45757</v>
      </c>
      <c r="H407" s="6">
        <f t="shared" si="12"/>
        <v>15</v>
      </c>
      <c r="I407" s="16">
        <f>MAX(1, NETWORKDAYS(A407, G407,Table2[Dias no laborales]))</f>
        <v>1</v>
      </c>
      <c r="J407" s="6" t="str">
        <f>IF(Table1[[#This Row],[FIN]]="","Acumulado",IF(ISNUMBER(SEARCH("ASAP",C407)),"ASAP",IF(NETWORKDAYS.INTL(F407,G407,1,Table2[Dias no laborales]) &lt;= 7, "Dentro", IF(A407&gt;F407,"Programado","Fuera"))))</f>
        <v>Dentro</v>
      </c>
      <c r="K407" s="6" t="str">
        <f t="shared" si="13"/>
        <v>Mismo día</v>
      </c>
      <c r="L407" s="8"/>
      <c r="M407" s="17">
        <f>MAX(1,NETWORKDAYS(A407,L407,Table2[Dias no laborales]))</f>
        <v>1</v>
      </c>
    </row>
    <row r="408" spans="1:13" hidden="1" x14ac:dyDescent="0.3">
      <c r="A408" s="8">
        <v>45757</v>
      </c>
      <c r="B408" s="6" t="s">
        <v>835</v>
      </c>
      <c r="C408" s="6" t="s">
        <v>836</v>
      </c>
      <c r="D408" s="6" t="s">
        <v>27</v>
      </c>
      <c r="E408" s="14">
        <v>45757.513194444444</v>
      </c>
      <c r="F408" s="8">
        <f>IF(HOUR(Table1[[#This Row],[CORREO]])&gt;=11,WORKDAY(Table1[[#This Row],[CORREO]],1,Table2[Dias no laborales]),E408)</f>
        <v>45758</v>
      </c>
      <c r="G408" s="8">
        <v>45763</v>
      </c>
      <c r="H408" s="6">
        <f t="shared" si="12"/>
        <v>15</v>
      </c>
      <c r="I408" s="16">
        <f>MAX(1, NETWORKDAYS(A408, G408,Table2[Dias no laborales]))</f>
        <v>5</v>
      </c>
      <c r="J408" s="6" t="str">
        <f>IF(Table1[[#This Row],[FIN]]="","Acumulado",IF(ISNUMBER(SEARCH("ASAP",C408)),"ASAP",IF(NETWORKDAYS.INTL(F408,G408,1,Table2[Dias no laborales]) &lt;= 7, "Dentro", IF(A408&gt;F408,"Programado","Fuera"))))</f>
        <v>ASAP</v>
      </c>
      <c r="K408" s="6" t="str">
        <f t="shared" si="13"/>
        <v>Mismo día</v>
      </c>
      <c r="L408" s="8"/>
      <c r="M408" s="17">
        <f>MAX(1,NETWORKDAYS(A408,L408,Table2[Dias no laborales]))</f>
        <v>1</v>
      </c>
    </row>
    <row r="409" spans="1:13" hidden="1" x14ac:dyDescent="0.3">
      <c r="A409" s="8">
        <v>45758</v>
      </c>
      <c r="B409" s="6" t="s">
        <v>823</v>
      </c>
      <c r="C409" s="6" t="s">
        <v>824</v>
      </c>
      <c r="D409" s="6" t="s">
        <v>85</v>
      </c>
      <c r="E409" s="14">
        <v>45757.53125</v>
      </c>
      <c r="F409" s="8">
        <f>IF(HOUR(Table1[[#This Row],[CORREO]])&gt;=11,WORKDAY(Table1[[#This Row],[CORREO]],1,Table2[Dias no laborales]),E409)</f>
        <v>45758</v>
      </c>
      <c r="G409" s="8">
        <v>45761</v>
      </c>
      <c r="H409" s="6">
        <f t="shared" si="12"/>
        <v>15</v>
      </c>
      <c r="I409" s="16">
        <f>MAX(1, NETWORKDAYS(A409, G409,Table2[Dias no laborales]))</f>
        <v>2</v>
      </c>
      <c r="J409" s="6" t="str">
        <f>IF(Table1[[#This Row],[FIN]]="","Acumulado",IF(ISNUMBER(SEARCH("ASAP",C409)),"ASAP",IF(NETWORKDAYS.INTL(F409,G409,1,Table2[Dias no laborales]) &lt;= 7, "Dentro", IF(A409&gt;F409,"Programado","Fuera"))))</f>
        <v>Dentro</v>
      </c>
      <c r="K409" s="6" t="str">
        <f t="shared" si="13"/>
        <v>A tiempo</v>
      </c>
      <c r="L409" s="8"/>
      <c r="M409" s="17">
        <f>MAX(1,NETWORKDAYS(A409,L409,Table2[Dias no laborales]))</f>
        <v>1</v>
      </c>
    </row>
    <row r="410" spans="1:13" hidden="1" x14ac:dyDescent="0.3">
      <c r="A410" s="8">
        <v>45758</v>
      </c>
      <c r="B410" s="6" t="s">
        <v>817</v>
      </c>
      <c r="C410" s="6" t="s">
        <v>818</v>
      </c>
      <c r="D410" s="6" t="s">
        <v>623</v>
      </c>
      <c r="E410" s="14">
        <v>45757.602777777778</v>
      </c>
      <c r="F410" s="8">
        <f>IF(HOUR(Table1[[#This Row],[CORREO]])&gt;=11,WORKDAY(Table1[[#This Row],[CORREO]],1,Table2[Dias no laborales]),E410)</f>
        <v>45758</v>
      </c>
      <c r="G410" s="8">
        <v>45761</v>
      </c>
      <c r="H410" s="6">
        <f t="shared" si="12"/>
        <v>15</v>
      </c>
      <c r="I410" s="16">
        <f>MAX(1, NETWORKDAYS(A410, G410,Table2[Dias no laborales]))</f>
        <v>2</v>
      </c>
      <c r="J410" s="6" t="str">
        <f>IF(Table1[[#This Row],[FIN]]="","Acumulado",IF(ISNUMBER(SEARCH("ASAP",C410)),"ASAP",IF(NETWORKDAYS.INTL(F410,G410,1,Table2[Dias no laborales]) &lt;= 7, "Dentro", IF(A410&gt;F410,"Programado","Fuera"))))</f>
        <v>Dentro</v>
      </c>
      <c r="K410" s="6" t="str">
        <f t="shared" si="13"/>
        <v>A tiempo</v>
      </c>
      <c r="L410" s="8"/>
      <c r="M410" s="17">
        <f>MAX(1,NETWORKDAYS(A410,L410,Table2[Dias no laborales]))</f>
        <v>1</v>
      </c>
    </row>
    <row r="411" spans="1:13" hidden="1" x14ac:dyDescent="0.3">
      <c r="A411" s="8">
        <v>45758</v>
      </c>
      <c r="B411" s="5" t="s">
        <v>1215</v>
      </c>
      <c r="C411" s="5" t="s">
        <v>1216</v>
      </c>
      <c r="D411" s="5" t="s">
        <v>186</v>
      </c>
      <c r="E411" s="14">
        <v>45757.725694444445</v>
      </c>
      <c r="F411" s="8">
        <f>IF(HOUR(Table1[[#This Row],[CORREO]])&gt;=11,WORKDAY(Table1[[#This Row],[CORREO]],1,Table2[Dias no laborales]),E411)</f>
        <v>45758</v>
      </c>
      <c r="G411" s="8">
        <v>45800</v>
      </c>
      <c r="H411" s="6">
        <f t="shared" si="12"/>
        <v>15</v>
      </c>
      <c r="I411" s="16">
        <f>MAX(1, NETWORKDAYS(A411, G411,Table2[Dias no laborales]))</f>
        <v>31</v>
      </c>
      <c r="J411" s="6" t="str">
        <f>IF(Table1[[#This Row],[FIN]]="","Acumulado",IF(ISNUMBER(SEARCH("ASAP",C411)),"ASAP",IF(NETWORKDAYS.INTL(F411,G411,1,Table2[Dias no laborales]) &lt;= 7, "Dentro", IF(A411&gt;F411,"Programado","Fuera"))))</f>
        <v>Fuera</v>
      </c>
      <c r="K411" s="6" t="str">
        <f t="shared" si="13"/>
        <v>A tiempo</v>
      </c>
      <c r="L411" s="9">
        <v>45790</v>
      </c>
      <c r="M411" s="17">
        <f>MAX(1,NETWORKDAYS(A411,L411,Table2[Dias no laborales]))</f>
        <v>23</v>
      </c>
    </row>
    <row r="412" spans="1:13" hidden="1" x14ac:dyDescent="0.3">
      <c r="A412" s="8">
        <v>45758</v>
      </c>
      <c r="B412" s="6" t="s">
        <v>813</v>
      </c>
      <c r="C412" s="6" t="s">
        <v>814</v>
      </c>
      <c r="D412" s="6" t="s">
        <v>194</v>
      </c>
      <c r="E412" s="14">
        <v>45758.305555555555</v>
      </c>
      <c r="F412" s="8">
        <f>IF(HOUR(Table1[[#This Row],[CORREO]])&gt;=11,WORKDAY(Table1[[#This Row],[CORREO]],1,Table2[Dias no laborales]),E412)</f>
        <v>45758.305555555555</v>
      </c>
      <c r="G412" s="8">
        <v>45761</v>
      </c>
      <c r="H412" s="6">
        <f t="shared" si="12"/>
        <v>15</v>
      </c>
      <c r="I412" s="16">
        <f>MAX(1, NETWORKDAYS(A412, G412,Table2[Dias no laborales]))</f>
        <v>2</v>
      </c>
      <c r="J412" s="6" t="str">
        <f>IF(Table1[[#This Row],[FIN]]="","Acumulado",IF(ISNUMBER(SEARCH("ASAP",C412)),"ASAP",IF(NETWORKDAYS.INTL(F412,G412,1,Table2[Dias no laborales]) &lt;= 7, "Dentro", IF(A412&gt;F412,"Programado","Fuera"))))</f>
        <v>Dentro</v>
      </c>
      <c r="K412" s="6" t="str">
        <f t="shared" si="13"/>
        <v>A tiempo</v>
      </c>
      <c r="L412" s="8"/>
      <c r="M412" s="17">
        <f>MAX(1,NETWORKDAYS(A412,L412,Table2[Dias no laborales]))</f>
        <v>1</v>
      </c>
    </row>
    <row r="413" spans="1:13" hidden="1" x14ac:dyDescent="0.3">
      <c r="A413" s="8">
        <v>45758</v>
      </c>
      <c r="B413" s="6" t="s">
        <v>800</v>
      </c>
      <c r="C413" s="6" t="s">
        <v>801</v>
      </c>
      <c r="D413" s="6" t="s">
        <v>24</v>
      </c>
      <c r="E413" s="14">
        <v>45758.317361111112</v>
      </c>
      <c r="F413" s="8">
        <f>IF(HOUR(Table1[[#This Row],[CORREO]])&gt;=11,WORKDAY(Table1[[#This Row],[CORREO]],1,Table2[Dias no laborales]),E413)</f>
        <v>45758.317361111112</v>
      </c>
      <c r="G413" s="8">
        <v>45758</v>
      </c>
      <c r="H413" s="6">
        <f t="shared" si="12"/>
        <v>15</v>
      </c>
      <c r="I413" s="16">
        <f>MAX(1, NETWORKDAYS(A413, G413,Table2[Dias no laborales]))</f>
        <v>1</v>
      </c>
      <c r="J413" s="6" t="str">
        <f>IF(Table1[[#This Row],[FIN]]="","Acumulado",IF(ISNUMBER(SEARCH("ASAP",C413)),"ASAP",IF(NETWORKDAYS.INTL(F413,G413,1,Table2[Dias no laborales]) &lt;= 7, "Dentro", IF(A413&gt;F413,"Programado","Fuera"))))</f>
        <v>Dentro</v>
      </c>
      <c r="K413" s="6" t="str">
        <f t="shared" si="13"/>
        <v>A tiempo</v>
      </c>
      <c r="L413" s="8"/>
      <c r="M413" s="17">
        <f>MAX(1,NETWORKDAYS(A413,L413,Table2[Dias no laborales]))</f>
        <v>1</v>
      </c>
    </row>
    <row r="414" spans="1:13" hidden="1" x14ac:dyDescent="0.3">
      <c r="A414" s="8">
        <v>45761</v>
      </c>
      <c r="B414" s="5" t="s">
        <v>851</v>
      </c>
      <c r="C414" s="5" t="s">
        <v>852</v>
      </c>
      <c r="D414" s="5" t="s">
        <v>24</v>
      </c>
      <c r="E414" s="14"/>
      <c r="F414" s="8">
        <f>IF(HOUR(Table1[[#This Row],[CORREO]])&gt;=11,WORKDAY(Table1[[#This Row],[CORREO]],1,Table2[Dias no laborales]),E414)</f>
        <v>0</v>
      </c>
      <c r="G414" s="8">
        <v>45763</v>
      </c>
      <c r="H414" s="6">
        <f t="shared" si="12"/>
        <v>15</v>
      </c>
      <c r="I414" s="16">
        <f>MAX(1, NETWORKDAYS(A414, G414,Table2[Dias no laborales]))</f>
        <v>3</v>
      </c>
      <c r="J414" s="6" t="str">
        <f>IF(Table1[[#This Row],[FIN]]="","Acumulado",IF(ISNUMBER(SEARCH("ASAP",C414)),"ASAP",IF(NETWORKDAYS.INTL(F414,G414,1,Table2[Dias no laborales]) &lt;= 7, "Dentro", IF(A414&gt;F414,"Programado","Fuera"))))</f>
        <v>Programado</v>
      </c>
      <c r="K414" s="6" t="str">
        <f t="shared" si="13"/>
        <v>Programados</v>
      </c>
      <c r="L414" s="8"/>
      <c r="M414" s="17">
        <f>MAX(1,NETWORKDAYS(A414,L414,Table2[Dias no laborales]))</f>
        <v>1</v>
      </c>
    </row>
    <row r="415" spans="1:13" hidden="1" x14ac:dyDescent="0.3">
      <c r="A415" s="8">
        <v>45761</v>
      </c>
      <c r="B415" s="5" t="s">
        <v>911</v>
      </c>
      <c r="C415" s="5" t="s">
        <v>912</v>
      </c>
      <c r="D415" s="5" t="s">
        <v>913</v>
      </c>
      <c r="E415" s="14">
        <v>45757.750694444447</v>
      </c>
      <c r="F415" s="8">
        <f>IF(HOUR(Table1[[#This Row],[CORREO]])&gt;=11,WORKDAY(Table1[[#This Row],[CORREO]],1,Table2[Dias no laborales]),E415)</f>
        <v>45758</v>
      </c>
      <c r="G415" s="9">
        <v>45772</v>
      </c>
      <c r="H415" s="6">
        <f t="shared" si="12"/>
        <v>15</v>
      </c>
      <c r="I415" s="16">
        <f>MAX(1, NETWORKDAYS(A415, G415,Table2[Dias no laborales]))</f>
        <v>10</v>
      </c>
      <c r="J415" s="6" t="str">
        <f>IF(Table1[[#This Row],[FIN]]="","Acumulado",IF(ISNUMBER(SEARCH("ASAP",C415)),"ASAP",IF(NETWORKDAYS.INTL(F415,G415,1,Table2[Dias no laborales]) &lt;= 7, "Dentro", IF(A415&gt;F415,"Programado","Fuera"))))</f>
        <v>Programado</v>
      </c>
      <c r="K415" s="6" t="str">
        <f t="shared" si="13"/>
        <v>Programados</v>
      </c>
      <c r="L415" s="8"/>
      <c r="M415" s="17">
        <f>MAX(1,NETWORKDAYS(A415,L415,Table2[Dias no laborales]))</f>
        <v>1</v>
      </c>
    </row>
    <row r="416" spans="1:13" hidden="1" x14ac:dyDescent="0.3">
      <c r="A416" s="8">
        <v>45761</v>
      </c>
      <c r="B416" s="6" t="s">
        <v>821</v>
      </c>
      <c r="C416" s="6" t="s">
        <v>822</v>
      </c>
      <c r="D416" s="6" t="s">
        <v>89</v>
      </c>
      <c r="E416" s="14">
        <v>45758.468055555553</v>
      </c>
      <c r="F416" s="8">
        <f>IF(HOUR(Table1[[#This Row],[CORREO]])&gt;=11,WORKDAY(Table1[[#This Row],[CORREO]],1,Table2[Dias no laborales]),E416)</f>
        <v>45761</v>
      </c>
      <c r="G416" s="8">
        <v>45761</v>
      </c>
      <c r="H416" s="6">
        <f t="shared" si="12"/>
        <v>15</v>
      </c>
      <c r="I416" s="16">
        <f>MAX(1, NETWORKDAYS(A416, G416,Table2[Dias no laborales]))</f>
        <v>1</v>
      </c>
      <c r="J416" s="6" t="str">
        <f>IF(Table1[[#This Row],[FIN]]="","Acumulado",IF(ISNUMBER(SEARCH("ASAP",C416)),"ASAP",IF(NETWORKDAYS.INTL(F416,G416,1,Table2[Dias no laborales]) &lt;= 7, "Dentro", IF(A416&gt;F416,"Programado","Fuera"))))</f>
        <v>Dentro</v>
      </c>
      <c r="K416" s="6" t="str">
        <f t="shared" si="13"/>
        <v>A tiempo</v>
      </c>
      <c r="L416" s="8"/>
      <c r="M416" s="17">
        <f>MAX(1,NETWORKDAYS(A416,L416,Table2[Dias no laborales]))</f>
        <v>1</v>
      </c>
    </row>
    <row r="417" spans="1:13" hidden="1" x14ac:dyDescent="0.3">
      <c r="A417" s="8">
        <v>45761</v>
      </c>
      <c r="B417" s="6" t="s">
        <v>819</v>
      </c>
      <c r="C417" s="6" t="s">
        <v>820</v>
      </c>
      <c r="D417" s="6" t="s">
        <v>571</v>
      </c>
      <c r="E417" s="14">
        <v>45758.63958333333</v>
      </c>
      <c r="F417" s="8">
        <f>IF(HOUR(Table1[[#This Row],[CORREO]])&gt;=11,WORKDAY(Table1[[#This Row],[CORREO]],1,Table2[Dias no laborales]),E417)</f>
        <v>45761</v>
      </c>
      <c r="G417" s="8">
        <v>45761</v>
      </c>
      <c r="H417" s="6">
        <f t="shared" si="12"/>
        <v>15</v>
      </c>
      <c r="I417" s="16">
        <f>MAX(1, NETWORKDAYS(A417, G417,Table2[Dias no laborales]))</f>
        <v>1</v>
      </c>
      <c r="J417" s="6" t="str">
        <f>IF(Table1[[#This Row],[FIN]]="","Acumulado",IF(ISNUMBER(SEARCH("ASAP",C417)),"ASAP",IF(NETWORKDAYS.INTL(F417,G417,1,Table2[Dias no laborales]) &lt;= 7, "Dentro", IF(A417&gt;F417,"Programado","Fuera"))))</f>
        <v>Dentro</v>
      </c>
      <c r="K417" s="6" t="str">
        <f t="shared" si="13"/>
        <v>A tiempo</v>
      </c>
      <c r="L417" s="8"/>
      <c r="M417" s="17">
        <f>MAX(1,NETWORKDAYS(A417,L417,Table2[Dias no laborales]))</f>
        <v>1</v>
      </c>
    </row>
    <row r="418" spans="1:13" hidden="1" x14ac:dyDescent="0.3">
      <c r="A418" s="8">
        <v>45761</v>
      </c>
      <c r="B418" s="5" t="s">
        <v>1211</v>
      </c>
      <c r="C418" s="5" t="s">
        <v>1212</v>
      </c>
      <c r="D418" s="5" t="s">
        <v>82</v>
      </c>
      <c r="E418" s="14">
        <v>45759.537499999999</v>
      </c>
      <c r="F418" s="8">
        <f>IF(HOUR(Table1[[#This Row],[CORREO]])&gt;=11,WORKDAY(Table1[[#This Row],[CORREO]],1,Table2[Dias no laborales]),E418)</f>
        <v>45761</v>
      </c>
      <c r="G418" s="8">
        <v>45798</v>
      </c>
      <c r="H418" s="6">
        <f t="shared" si="12"/>
        <v>15</v>
      </c>
      <c r="I418" s="16">
        <f>MAX(1, NETWORKDAYS(A418, G418,Table2[Dias no laborales]))</f>
        <v>28</v>
      </c>
      <c r="J418" s="6" t="str">
        <f>IF(Table1[[#This Row],[FIN]]="","Acumulado",IF(ISNUMBER(SEARCH("ASAP",C418)),"ASAP",IF(NETWORKDAYS.INTL(F418,G418,1,Table2[Dias no laborales]) &lt;= 7, "Dentro", IF(A418&gt;F418,"Programado","Fuera"))))</f>
        <v>Fuera</v>
      </c>
      <c r="K418" s="6" t="str">
        <f t="shared" si="13"/>
        <v>A tiempo</v>
      </c>
      <c r="L418" s="9">
        <v>45771</v>
      </c>
      <c r="M418" s="17">
        <f>MAX(1,NETWORKDAYS(A418,L418,Table2[Dias no laborales]))</f>
        <v>9</v>
      </c>
    </row>
    <row r="419" spans="1:13" hidden="1" x14ac:dyDescent="0.3">
      <c r="A419" s="8">
        <v>45761</v>
      </c>
      <c r="B419" s="5" t="s">
        <v>882</v>
      </c>
      <c r="C419" s="5" t="s">
        <v>883</v>
      </c>
      <c r="D419" s="5" t="s">
        <v>171</v>
      </c>
      <c r="E419" s="14">
        <v>45761.40347222222</v>
      </c>
      <c r="F419" s="8">
        <f>IF(HOUR(Table1[[#This Row],[CORREO]])&gt;=11,WORKDAY(Table1[[#This Row],[CORREO]],1,Table2[Dias no laborales]),E419)</f>
        <v>45761.40347222222</v>
      </c>
      <c r="G419" s="9">
        <v>45771</v>
      </c>
      <c r="H419" s="6">
        <f t="shared" si="12"/>
        <v>15</v>
      </c>
      <c r="I419" s="16">
        <f>MAX(1, NETWORKDAYS(A419, G419,Table2[Dias no laborales]))</f>
        <v>9</v>
      </c>
      <c r="J419" s="6" t="str">
        <f>IF(Table1[[#This Row],[FIN]]="","Acumulado",IF(ISNUMBER(SEARCH("ASAP",C419)),"ASAP",IF(NETWORKDAYS.INTL(F419,G419,1,Table2[Dias no laborales]) &lt;= 7, "Dentro", IF(A419&gt;F419,"Programado","Fuera"))))</f>
        <v>Fuera</v>
      </c>
      <c r="K419" s="6" t="str">
        <f t="shared" si="13"/>
        <v>A tiempo</v>
      </c>
      <c r="L419" s="8"/>
      <c r="M419" s="17">
        <f>MAX(1,NETWORKDAYS(A419,L419,Table2[Dias no laborales]))</f>
        <v>1</v>
      </c>
    </row>
    <row r="420" spans="1:13" hidden="1" x14ac:dyDescent="0.3">
      <c r="A420" s="8">
        <v>45761</v>
      </c>
      <c r="B420" s="6" t="s">
        <v>815</v>
      </c>
      <c r="C420" s="6" t="s">
        <v>816</v>
      </c>
      <c r="D420" s="6" t="s">
        <v>27</v>
      </c>
      <c r="E420" s="14">
        <v>45761.511805555558</v>
      </c>
      <c r="F420" s="8">
        <f>IF(HOUR(Table1[[#This Row],[CORREO]])&gt;=11,WORKDAY(Table1[[#This Row],[CORREO]],1,Table2[Dias no laborales]),E420)</f>
        <v>45762</v>
      </c>
      <c r="G420" s="8">
        <v>45761</v>
      </c>
      <c r="H420" s="6">
        <f t="shared" si="12"/>
        <v>15</v>
      </c>
      <c r="I420" s="16">
        <f>MAX(1, NETWORKDAYS(A420, G420,Table2[Dias no laborales]))</f>
        <v>1</v>
      </c>
      <c r="J420" s="6" t="str">
        <f>IF(Table1[[#This Row],[FIN]]="","Acumulado",IF(ISNUMBER(SEARCH("ASAP",C420)),"ASAP",IF(NETWORKDAYS.INTL(F420,G420,1,Table2[Dias no laborales]) &lt;= 7, "Dentro", IF(A420&gt;F420,"Programado","Fuera"))))</f>
        <v>Dentro</v>
      </c>
      <c r="K420" s="6" t="str">
        <f t="shared" si="13"/>
        <v>Mismo día</v>
      </c>
      <c r="L420" s="8"/>
      <c r="M420" s="17">
        <f>MAX(1,NETWORKDAYS(A420,L420,Table2[Dias no laborales]))</f>
        <v>1</v>
      </c>
    </row>
    <row r="421" spans="1:13" hidden="1" x14ac:dyDescent="0.3">
      <c r="A421" s="8">
        <v>45786</v>
      </c>
      <c r="B421" s="6" t="s">
        <v>1239</v>
      </c>
      <c r="C421" s="6" t="s">
        <v>1240</v>
      </c>
      <c r="D421" s="6" t="s">
        <v>24</v>
      </c>
      <c r="E421" s="14">
        <v>45761.523611111108</v>
      </c>
      <c r="F421" s="8">
        <f>IF(HOUR(Table1[[#This Row],[CORREO]])&gt;=11,WORKDAY(Table1[[#This Row],[CORREO]],1,Table2[Dias no laborales]),E421)</f>
        <v>45762</v>
      </c>
      <c r="G421" s="8">
        <v>45819</v>
      </c>
      <c r="H421" s="6">
        <f t="shared" si="12"/>
        <v>19</v>
      </c>
      <c r="I421" s="16">
        <f>MAX(1, NETWORKDAYS(A421, G421,Table2[Dias no laborales]))</f>
        <v>24</v>
      </c>
      <c r="J421" s="6" t="str">
        <f>IF(Table1[[#This Row],[FIN]]="","Acumulado",IF(ISNUMBER(SEARCH("ASAP",C421)),"ASAP",IF(NETWORKDAYS.INTL(F421,G421,1,Table2[Dias no laborales]) &lt;= 7, "Dentro", IF(A421&gt;F421,"Programado","Fuera"))))</f>
        <v>Programado</v>
      </c>
      <c r="K421" s="6" t="str">
        <f t="shared" si="13"/>
        <v>Programados</v>
      </c>
      <c r="L421" s="9">
        <v>45789</v>
      </c>
      <c r="M421" s="17">
        <f>MAX(1,NETWORKDAYS(A421,L421,Table2[Dias no laborales]))</f>
        <v>2</v>
      </c>
    </row>
    <row r="422" spans="1:13" hidden="1" x14ac:dyDescent="0.3">
      <c r="A422" s="8">
        <v>45762</v>
      </c>
      <c r="B422" s="6" t="s">
        <v>842</v>
      </c>
      <c r="C422" s="6" t="s">
        <v>843</v>
      </c>
      <c r="D422" s="6" t="s">
        <v>119</v>
      </c>
      <c r="E422" s="14">
        <v>45761.463888888888</v>
      </c>
      <c r="F422" s="8">
        <f>IF(HOUR(Table1[[#This Row],[CORREO]])&gt;=11,WORKDAY(Table1[[#This Row],[CORREO]],1,Table2[Dias no laborales]),E422)</f>
        <v>45762</v>
      </c>
      <c r="G422" s="8">
        <v>45763</v>
      </c>
      <c r="H422" s="6">
        <f t="shared" si="12"/>
        <v>15</v>
      </c>
      <c r="I422" s="16">
        <f>MAX(1, NETWORKDAYS(A422, G422,Table2[Dias no laborales]))</f>
        <v>2</v>
      </c>
      <c r="J422" s="6" t="str">
        <f>IF(Table1[[#This Row],[FIN]]="","Acumulado",IF(ISNUMBER(SEARCH("ASAP",C422)),"ASAP",IF(NETWORKDAYS.INTL(F422,G422,1,Table2[Dias no laborales]) &lt;= 7, "Dentro", IF(A422&gt;F422,"Programado","Fuera"))))</f>
        <v>Dentro</v>
      </c>
      <c r="K422" s="6" t="str">
        <f t="shared" si="13"/>
        <v>A tiempo</v>
      </c>
      <c r="L422" s="8"/>
      <c r="M422" s="17">
        <f>MAX(1,NETWORKDAYS(A422,L422,Table2[Dias no laborales]))</f>
        <v>1</v>
      </c>
    </row>
    <row r="423" spans="1:13" hidden="1" x14ac:dyDescent="0.3">
      <c r="A423" s="8">
        <v>45762</v>
      </c>
      <c r="B423" s="5" t="s">
        <v>849</v>
      </c>
      <c r="C423" s="5" t="s">
        <v>850</v>
      </c>
      <c r="D423" s="5" t="s">
        <v>171</v>
      </c>
      <c r="E423" s="14">
        <v>45761.682638888888</v>
      </c>
      <c r="F423" s="8">
        <f>IF(HOUR(Table1[[#This Row],[CORREO]])&gt;=11,WORKDAY(Table1[[#This Row],[CORREO]],1,Table2[Dias no laborales]),E423)</f>
        <v>45762</v>
      </c>
      <c r="G423" s="8">
        <v>45763</v>
      </c>
      <c r="H423" s="6">
        <f t="shared" si="12"/>
        <v>15</v>
      </c>
      <c r="I423" s="16">
        <f>MAX(1, NETWORKDAYS(A423, G423,Table2[Dias no laborales]))</f>
        <v>2</v>
      </c>
      <c r="J423" s="6" t="str">
        <f>IF(Table1[[#This Row],[FIN]]="","Acumulado",IF(ISNUMBER(SEARCH("ASAP",C423)),"ASAP",IF(NETWORKDAYS.INTL(F423,G423,1,Table2[Dias no laborales]) &lt;= 7, "Dentro", IF(A423&gt;F423,"Programado","Fuera"))))</f>
        <v>Dentro</v>
      </c>
      <c r="K423" s="6" t="str">
        <f t="shared" si="13"/>
        <v>A tiempo</v>
      </c>
      <c r="L423" s="8"/>
      <c r="M423" s="17">
        <f>MAX(1,NETWORKDAYS(A423,L423,Table2[Dias no laborales]))</f>
        <v>1</v>
      </c>
    </row>
    <row r="424" spans="1:13" hidden="1" x14ac:dyDescent="0.3">
      <c r="A424" s="8">
        <v>45762</v>
      </c>
      <c r="B424" s="6" t="s">
        <v>829</v>
      </c>
      <c r="C424" s="6" t="s">
        <v>830</v>
      </c>
      <c r="D424" s="6" t="s">
        <v>24</v>
      </c>
      <c r="E424" s="14">
        <v>45761.731944444444</v>
      </c>
      <c r="F424" s="8">
        <f>IF(HOUR(Table1[[#This Row],[CORREO]])&gt;=11,WORKDAY(Table1[[#This Row],[CORREO]],1,Table2[Dias no laborales]),E424)</f>
        <v>45762</v>
      </c>
      <c r="G424" s="8">
        <v>45762</v>
      </c>
      <c r="H424" s="6">
        <f t="shared" si="12"/>
        <v>15</v>
      </c>
      <c r="I424" s="16">
        <f>MAX(1, NETWORKDAYS(A424, G424,Table2[Dias no laborales]))</f>
        <v>1</v>
      </c>
      <c r="J424" s="6" t="str">
        <f>IF(Table1[[#This Row],[FIN]]="","Acumulado",IF(ISNUMBER(SEARCH("ASAP",C424)),"ASAP",IF(NETWORKDAYS.INTL(F424,G424,1,Table2[Dias no laborales]) &lt;= 7, "Dentro", IF(A424&gt;F424,"Programado","Fuera"))))</f>
        <v>ASAP</v>
      </c>
      <c r="K424" s="6" t="str">
        <f t="shared" si="13"/>
        <v>A tiempo</v>
      </c>
      <c r="L424" s="8"/>
      <c r="M424" s="17">
        <f>MAX(1,NETWORKDAYS(A424,L424,Table2[Dias no laborales]))</f>
        <v>1</v>
      </c>
    </row>
    <row r="425" spans="1:13" hidden="1" x14ac:dyDescent="0.3">
      <c r="A425" s="8">
        <v>45762</v>
      </c>
      <c r="B425" s="6" t="s">
        <v>827</v>
      </c>
      <c r="C425" s="6" t="s">
        <v>828</v>
      </c>
      <c r="D425" s="6" t="s">
        <v>538</v>
      </c>
      <c r="E425" s="14">
        <v>45761.736805555556</v>
      </c>
      <c r="F425" s="8">
        <f>IF(HOUR(Table1[[#This Row],[CORREO]])&gt;=11,WORKDAY(Table1[[#This Row],[CORREO]],1,Table2[Dias no laborales]),E425)</f>
        <v>45762</v>
      </c>
      <c r="G425" s="8">
        <v>45762</v>
      </c>
      <c r="H425" s="6">
        <f t="shared" si="12"/>
        <v>15</v>
      </c>
      <c r="I425" s="16">
        <f>MAX(1, NETWORKDAYS(A425, G425,Table2[Dias no laborales]))</f>
        <v>1</v>
      </c>
      <c r="J425" s="6" t="str">
        <f>IF(Table1[[#This Row],[FIN]]="","Acumulado",IF(ISNUMBER(SEARCH("ASAP",C425)),"ASAP",IF(NETWORKDAYS.INTL(F425,G425,1,Table2[Dias no laborales]) &lt;= 7, "Dentro", IF(A425&gt;F425,"Programado","Fuera"))))</f>
        <v>Dentro</v>
      </c>
      <c r="K425" s="6" t="str">
        <f t="shared" si="13"/>
        <v>A tiempo</v>
      </c>
      <c r="L425" s="8"/>
      <c r="M425" s="17">
        <f>MAX(1,NETWORKDAYS(A425,L425,Table2[Dias no laborales]))</f>
        <v>1</v>
      </c>
    </row>
    <row r="426" spans="1:13" hidden="1" x14ac:dyDescent="0.3">
      <c r="A426" s="8">
        <v>45762</v>
      </c>
      <c r="B426" s="6" t="s">
        <v>833</v>
      </c>
      <c r="C426" s="6" t="s">
        <v>834</v>
      </c>
      <c r="D426" s="6" t="s">
        <v>372</v>
      </c>
      <c r="E426" s="14">
        <v>45761.772222222222</v>
      </c>
      <c r="F426" s="8">
        <f>IF(HOUR(Table1[[#This Row],[CORREO]])&gt;=11,WORKDAY(Table1[[#This Row],[CORREO]],1,Table2[Dias no laborales]),E426)</f>
        <v>45762</v>
      </c>
      <c r="G426" s="8">
        <v>45762</v>
      </c>
      <c r="H426" s="6">
        <f t="shared" si="12"/>
        <v>15</v>
      </c>
      <c r="I426" s="16">
        <f>MAX(1, NETWORKDAYS(A426, G426,Table2[Dias no laborales]))</f>
        <v>1</v>
      </c>
      <c r="J426" s="6" t="str">
        <f>IF(Table1[[#This Row],[FIN]]="","Acumulado",IF(ISNUMBER(SEARCH("ASAP",C426)),"ASAP",IF(NETWORKDAYS.INTL(F426,G426,1,Table2[Dias no laborales]) &lt;= 7, "Dentro", IF(A426&gt;F426,"Programado","Fuera"))))</f>
        <v>Dentro</v>
      </c>
      <c r="K426" s="6" t="str">
        <f t="shared" si="13"/>
        <v>A tiempo</v>
      </c>
      <c r="L426" s="8"/>
      <c r="M426" s="17">
        <f>MAX(1,NETWORKDAYS(A426,L426,Table2[Dias no laborales]))</f>
        <v>1</v>
      </c>
    </row>
    <row r="427" spans="1:13" hidden="1" x14ac:dyDescent="0.3">
      <c r="A427" s="8">
        <v>45762</v>
      </c>
      <c r="B427" s="6" t="s">
        <v>840</v>
      </c>
      <c r="C427" s="6" t="s">
        <v>841</v>
      </c>
      <c r="D427" s="6" t="s">
        <v>133</v>
      </c>
      <c r="E427" s="14">
        <v>45762.294444444444</v>
      </c>
      <c r="F427" s="8">
        <f>IF(HOUR(Table1[[#This Row],[CORREO]])&gt;=11,WORKDAY(Table1[[#This Row],[CORREO]],1,Table2[Dias no laborales]),E427)</f>
        <v>45762.294444444444</v>
      </c>
      <c r="G427" s="8">
        <v>45763</v>
      </c>
      <c r="H427" s="6">
        <f t="shared" si="12"/>
        <v>15</v>
      </c>
      <c r="I427" s="16">
        <f>MAX(1, NETWORKDAYS(A427, G427,Table2[Dias no laborales]))</f>
        <v>2</v>
      </c>
      <c r="J427" s="6" t="str">
        <f>IF(Table1[[#This Row],[FIN]]="","Acumulado",IF(ISNUMBER(SEARCH("ASAP",C427)),"ASAP",IF(NETWORKDAYS.INTL(F427,G427,1,Table2[Dias no laborales]) &lt;= 7, "Dentro", IF(A427&gt;F427,"Programado","Fuera"))))</f>
        <v>Dentro</v>
      </c>
      <c r="K427" s="6" t="str">
        <f t="shared" si="13"/>
        <v>A tiempo</v>
      </c>
      <c r="L427" s="8"/>
      <c r="M427" s="17">
        <f>MAX(1,NETWORKDAYS(A427,L427,Table2[Dias no laborales]))</f>
        <v>1</v>
      </c>
    </row>
    <row r="428" spans="1:13" hidden="1" x14ac:dyDescent="0.3">
      <c r="A428" s="8">
        <v>45762</v>
      </c>
      <c r="B428" s="6" t="s">
        <v>2705</v>
      </c>
      <c r="C428" s="6" t="s">
        <v>2711</v>
      </c>
      <c r="D428" s="6" t="s">
        <v>53</v>
      </c>
      <c r="E428" s="14">
        <v>45762.456250000003</v>
      </c>
      <c r="F428" s="8">
        <f>IF(HOUR(Table1[[#This Row],[CORREO]])&gt;=11,WORKDAY(Table1[[#This Row],[CORREO]],1,Table2[Dias no laborales]),E428)</f>
        <v>45762.456250000003</v>
      </c>
      <c r="G428" s="8">
        <v>45762</v>
      </c>
      <c r="H428" s="6">
        <f t="shared" si="12"/>
        <v>15</v>
      </c>
      <c r="I428" s="16">
        <f>MAX(1, NETWORKDAYS(A428, G428,Table2[Dias no laborales]))</f>
        <v>1</v>
      </c>
      <c r="J428" s="6" t="str">
        <f>IF(Table1[[#This Row],[FIN]]="","Acumulado",IF(ISNUMBER(SEARCH("ASAP",C428)),"ASAP",IF(NETWORKDAYS.INTL(F428,G428,1,Table2[Dias no laborales]) &lt;= 7, "Dentro", IF(A428&gt;F428,"Programado","Fuera"))))</f>
        <v>Dentro</v>
      </c>
      <c r="K428" s="6" t="str">
        <f t="shared" si="13"/>
        <v>A tiempo</v>
      </c>
      <c r="L428" s="8">
        <v>45763</v>
      </c>
      <c r="M428" s="17">
        <f>MAX(1,NETWORKDAYS(A428,L428,Table2[Dias no laborales]))</f>
        <v>2</v>
      </c>
    </row>
    <row r="429" spans="1:13" hidden="1" x14ac:dyDescent="0.3">
      <c r="A429" s="8">
        <v>45763</v>
      </c>
      <c r="B429" s="6" t="s">
        <v>837</v>
      </c>
      <c r="C429" s="6" t="s">
        <v>838</v>
      </c>
      <c r="D429" s="6" t="s">
        <v>839</v>
      </c>
      <c r="E429" s="14">
        <v>45762.592361111114</v>
      </c>
      <c r="F429" s="8">
        <f>IF(HOUR(Table1[[#This Row],[CORREO]])&gt;=11,WORKDAY(Table1[[#This Row],[CORREO]],1,Table2[Dias no laborales]),E429)</f>
        <v>45763</v>
      </c>
      <c r="G429" s="8">
        <v>45763</v>
      </c>
      <c r="H429" s="6">
        <f t="shared" si="12"/>
        <v>16</v>
      </c>
      <c r="I429" s="16">
        <f>MAX(1, NETWORKDAYS(A429, G429,Table2[Dias no laborales]))</f>
        <v>1</v>
      </c>
      <c r="J429" s="6" t="str">
        <f>IF(Table1[[#This Row],[FIN]]="","Acumulado",IF(ISNUMBER(SEARCH("ASAP",C429)),"ASAP",IF(NETWORKDAYS.INTL(F429,G429,1,Table2[Dias no laborales]) &lt;= 7, "Dentro", IF(A429&gt;F429,"Programado","Fuera"))))</f>
        <v>Dentro</v>
      </c>
      <c r="K429" s="6" t="str">
        <f t="shared" si="13"/>
        <v>A tiempo</v>
      </c>
      <c r="L429" s="8"/>
      <c r="M429" s="17">
        <f>MAX(1,NETWORKDAYS(A429,L429,Table2[Dias no laborales]))</f>
        <v>1</v>
      </c>
    </row>
    <row r="430" spans="1:13" hidden="1" x14ac:dyDescent="0.3">
      <c r="A430" s="8">
        <v>45763</v>
      </c>
      <c r="B430" s="6" t="s">
        <v>1225</v>
      </c>
      <c r="C430" s="6" t="s">
        <v>1226</v>
      </c>
      <c r="D430" s="6" t="s">
        <v>24</v>
      </c>
      <c r="E430" s="14">
        <v>45763.352083333331</v>
      </c>
      <c r="F430" s="8">
        <f>IF(HOUR(Table1[[#This Row],[CORREO]])&gt;=11,WORKDAY(Table1[[#This Row],[CORREO]],1,Table2[Dias no laborales]),E430)</f>
        <v>45763.352083333331</v>
      </c>
      <c r="G430" s="8">
        <v>45811</v>
      </c>
      <c r="H430" s="6">
        <f t="shared" si="12"/>
        <v>16</v>
      </c>
      <c r="I430" s="16">
        <f>MAX(1, NETWORKDAYS(A430, G430,Table2[Dias no laborales]))</f>
        <v>35</v>
      </c>
      <c r="J430" s="6" t="str">
        <f>IF(Table1[[#This Row],[FIN]]="","Acumulado",IF(ISNUMBER(SEARCH("ASAP",C430)),"ASAP",IF(NETWORKDAYS.INTL(F430,G430,1,Table2[Dias no laborales]) &lt;= 7, "Dentro", IF(A430&gt;F430,"Programado","Fuera"))))</f>
        <v>Fuera</v>
      </c>
      <c r="K430" s="6" t="str">
        <f t="shared" si="13"/>
        <v>A tiempo</v>
      </c>
      <c r="L430" s="9">
        <v>45770</v>
      </c>
      <c r="M430" s="17">
        <f>MAX(1,NETWORKDAYS(A430,L430,Table2[Dias no laborales]))</f>
        <v>6</v>
      </c>
    </row>
    <row r="431" spans="1:13" hidden="1" x14ac:dyDescent="0.3">
      <c r="A431" s="8">
        <v>45763</v>
      </c>
      <c r="B431" s="6" t="s">
        <v>1196</v>
      </c>
      <c r="C431" s="6" t="s">
        <v>1197</v>
      </c>
      <c r="D431" s="6" t="s">
        <v>96</v>
      </c>
      <c r="E431" s="14">
        <v>45763.406944444447</v>
      </c>
      <c r="F431" s="8">
        <f>IF(HOUR(Table1[[#This Row],[CORREO]])&gt;=11,WORKDAY(Table1[[#This Row],[CORREO]],1,Table2[Dias no laborales]),E431)</f>
        <v>45763.406944444447</v>
      </c>
      <c r="G431" s="8">
        <v>45783</v>
      </c>
      <c r="H431" s="6">
        <f t="shared" si="12"/>
        <v>16</v>
      </c>
      <c r="I431" s="16">
        <f>MAX(1, NETWORKDAYS(A431, G431,Table2[Dias no laborales]))</f>
        <v>15</v>
      </c>
      <c r="J431" s="6" t="str">
        <f>IF(Table1[[#This Row],[FIN]]="","Acumulado",IF(ISNUMBER(SEARCH("ASAP",C431)),"ASAP",IF(NETWORKDAYS.INTL(F431,G431,1,Table2[Dias no laborales]) &lt;= 7, "Dentro", IF(A431&gt;F431,"Programado","Fuera"))))</f>
        <v>Fuera</v>
      </c>
      <c r="K431" s="6" t="str">
        <f t="shared" si="13"/>
        <v>A tiempo</v>
      </c>
      <c r="L431" s="9">
        <v>45771</v>
      </c>
      <c r="M431" s="17">
        <f>MAX(1,NETWORKDAYS(A431,L431,Table2[Dias no laborales]))</f>
        <v>7</v>
      </c>
    </row>
    <row r="432" spans="1:13" hidden="1" x14ac:dyDescent="0.3">
      <c r="A432" s="8">
        <v>45768</v>
      </c>
      <c r="B432" s="5" t="s">
        <v>859</v>
      </c>
      <c r="C432" s="5" t="s">
        <v>196</v>
      </c>
      <c r="D432" s="5" t="s">
        <v>27</v>
      </c>
      <c r="E432" s="14"/>
      <c r="F432" s="8">
        <f>IF(HOUR(Table1[[#This Row],[CORREO]])&gt;=11,WORKDAY(Table1[[#This Row],[CORREO]],1,Table2[Dias no laborales]),E432)</f>
        <v>0</v>
      </c>
      <c r="G432" s="9">
        <v>45768</v>
      </c>
      <c r="H432" s="6">
        <f t="shared" si="12"/>
        <v>16</v>
      </c>
      <c r="I432" s="16">
        <f>MAX(1, NETWORKDAYS(A432, G432,Table2[Dias no laborales]))</f>
        <v>1</v>
      </c>
      <c r="J432" s="6" t="str">
        <f>IF(Table1[[#This Row],[FIN]]="","Acumulado",IF(ISNUMBER(SEARCH("ASAP",C432)),"ASAP",IF(NETWORKDAYS.INTL(F432,G432,1,Table2[Dias no laborales]) &lt;= 7, "Dentro", IF(A432&gt;F432,"Programado","Fuera"))))</f>
        <v>Programado</v>
      </c>
      <c r="K432" s="6" t="str">
        <f t="shared" si="13"/>
        <v>Programados</v>
      </c>
      <c r="L432" s="8"/>
      <c r="M432" s="17">
        <f>MAX(1,NETWORKDAYS(A432,L432,Table2[Dias no laborales]))</f>
        <v>1</v>
      </c>
    </row>
    <row r="433" spans="1:13" hidden="1" x14ac:dyDescent="0.3">
      <c r="A433" s="8">
        <v>45768</v>
      </c>
      <c r="B433" s="5" t="s">
        <v>917</v>
      </c>
      <c r="C433" s="5" t="s">
        <v>852</v>
      </c>
      <c r="D433" s="5" t="s">
        <v>24</v>
      </c>
      <c r="E433" s="14"/>
      <c r="F433" s="8">
        <f>IF(HOUR(Table1[[#This Row],[CORREO]])&gt;=11,WORKDAY(Table1[[#This Row],[CORREO]],1,Table2[Dias no laborales]),E433)</f>
        <v>0</v>
      </c>
      <c r="G433" s="9">
        <v>45772</v>
      </c>
      <c r="H433" s="6">
        <f t="shared" si="12"/>
        <v>16</v>
      </c>
      <c r="I433" s="16">
        <f>MAX(1, NETWORKDAYS(A433, G433,Table2[Dias no laborales]))</f>
        <v>5</v>
      </c>
      <c r="J433" s="6" t="str">
        <f>IF(Table1[[#This Row],[FIN]]="","Acumulado",IF(ISNUMBER(SEARCH("ASAP",C433)),"ASAP",IF(NETWORKDAYS.INTL(F433,G433,1,Table2[Dias no laborales]) &lt;= 7, "Dentro", IF(A433&gt;F433,"Programado","Fuera"))))</f>
        <v>Programado</v>
      </c>
      <c r="K433" s="6" t="str">
        <f t="shared" si="13"/>
        <v>Programados</v>
      </c>
      <c r="L433" s="8"/>
      <c r="M433" s="17">
        <f>MAX(1,NETWORKDAYS(A433,L433,Table2[Dias no laborales]))</f>
        <v>1</v>
      </c>
    </row>
    <row r="434" spans="1:13" hidden="1" x14ac:dyDescent="0.3">
      <c r="A434" s="8">
        <v>45768</v>
      </c>
      <c r="B434" s="5" t="s">
        <v>871</v>
      </c>
      <c r="C434" s="5" t="s">
        <v>872</v>
      </c>
      <c r="D434" s="5" t="s">
        <v>53</v>
      </c>
      <c r="E434" s="14">
        <v>45763.47152777778</v>
      </c>
      <c r="F434" s="8">
        <f>IF(HOUR(Table1[[#This Row],[CORREO]])&gt;=11,WORKDAY(Table1[[#This Row],[CORREO]],1,Table2[Dias no laborales]),E434)</f>
        <v>45764</v>
      </c>
      <c r="G434" s="9">
        <v>45769</v>
      </c>
      <c r="H434" s="6">
        <f t="shared" si="12"/>
        <v>16</v>
      </c>
      <c r="I434" s="16">
        <f>MAX(1, NETWORKDAYS(A434, G434,Table2[Dias no laborales]))</f>
        <v>2</v>
      </c>
      <c r="J434" s="6" t="str">
        <f>IF(Table1[[#This Row],[FIN]]="","Acumulado",IF(ISNUMBER(SEARCH("ASAP",C434)),"ASAP",IF(NETWORKDAYS.INTL(F434,G434,1,Table2[Dias no laborales]) &lt;= 7, "Dentro", IF(A434&gt;F434,"Programado","Fuera"))))</f>
        <v>Dentro</v>
      </c>
      <c r="K434" s="6" t="str">
        <f t="shared" si="13"/>
        <v>Programados</v>
      </c>
      <c r="L434" s="8"/>
      <c r="M434" s="17">
        <f>MAX(1,NETWORKDAYS(A434,L434,Table2[Dias no laborales]))</f>
        <v>1</v>
      </c>
    </row>
    <row r="435" spans="1:13" hidden="1" x14ac:dyDescent="0.3">
      <c r="A435" s="8">
        <v>45768</v>
      </c>
      <c r="B435" s="5" t="s">
        <v>892</v>
      </c>
      <c r="C435" s="5" t="s">
        <v>893</v>
      </c>
      <c r="D435" s="5" t="s">
        <v>139</v>
      </c>
      <c r="E435" s="14">
        <v>45763.512499999997</v>
      </c>
      <c r="F435" s="8">
        <f>IF(HOUR(Table1[[#This Row],[CORREO]])&gt;=11,WORKDAY(Table1[[#This Row],[CORREO]],1,Table2[Dias no laborales]),E435)</f>
        <v>45764</v>
      </c>
      <c r="G435" s="9">
        <v>45771</v>
      </c>
      <c r="H435" s="6">
        <f t="shared" si="12"/>
        <v>16</v>
      </c>
      <c r="I435" s="16">
        <f>MAX(1, NETWORKDAYS(A435, G435,Table2[Dias no laborales]))</f>
        <v>4</v>
      </c>
      <c r="J435" s="6" t="str">
        <f>IF(Table1[[#This Row],[FIN]]="","Acumulado",IF(ISNUMBER(SEARCH("ASAP",C435)),"ASAP",IF(NETWORKDAYS.INTL(F435,G435,1,Table2[Dias no laborales]) &lt;= 7, "Dentro", IF(A435&gt;F435,"Programado","Fuera"))))</f>
        <v>Dentro</v>
      </c>
      <c r="K435" s="6" t="str">
        <f t="shared" si="13"/>
        <v>Programados</v>
      </c>
      <c r="L435" s="8"/>
      <c r="M435" s="17">
        <f>MAX(1,NETWORKDAYS(A435,L435,Table2[Dias no laborales]))</f>
        <v>1</v>
      </c>
    </row>
    <row r="436" spans="1:13" hidden="1" x14ac:dyDescent="0.3">
      <c r="A436" s="8">
        <v>45768</v>
      </c>
      <c r="B436" s="5" t="s">
        <v>878</v>
      </c>
      <c r="C436" s="5" t="s">
        <v>879</v>
      </c>
      <c r="D436" s="5" t="s">
        <v>707</v>
      </c>
      <c r="E436" s="14">
        <v>45763.643750000003</v>
      </c>
      <c r="F436" s="8">
        <f>IF(HOUR(Table1[[#This Row],[CORREO]])&gt;=11,WORKDAY(Table1[[#This Row],[CORREO]],1,Table2[Dias no laborales]),E436)</f>
        <v>45764</v>
      </c>
      <c r="G436" s="9">
        <v>45771</v>
      </c>
      <c r="H436" s="6">
        <f t="shared" si="12"/>
        <v>16</v>
      </c>
      <c r="I436" s="16">
        <f>MAX(1, NETWORKDAYS(A436, G436,Table2[Dias no laborales]))</f>
        <v>4</v>
      </c>
      <c r="J436" s="6" t="str">
        <f>IF(Table1[[#This Row],[FIN]]="","Acumulado",IF(ISNUMBER(SEARCH("ASAP",C436)),"ASAP",IF(NETWORKDAYS.INTL(F436,G436,1,Table2[Dias no laborales]) &lt;= 7, "Dentro", IF(A436&gt;F436,"Programado","Fuera"))))</f>
        <v>Dentro</v>
      </c>
      <c r="K436" s="6" t="str">
        <f t="shared" si="13"/>
        <v>Programados</v>
      </c>
      <c r="L436" s="8"/>
      <c r="M436" s="17">
        <f>MAX(1,NETWORKDAYS(A436,L436,Table2[Dias no laborales]))</f>
        <v>1</v>
      </c>
    </row>
    <row r="437" spans="1:13" hidden="1" x14ac:dyDescent="0.3">
      <c r="A437" s="8">
        <v>45768</v>
      </c>
      <c r="B437" s="6" t="s">
        <v>1200</v>
      </c>
      <c r="C437" s="6" t="s">
        <v>1201</v>
      </c>
      <c r="D437" s="6" t="s">
        <v>449</v>
      </c>
      <c r="E437" s="14">
        <v>45790.706944444442</v>
      </c>
      <c r="F437" s="8">
        <f>IF(HOUR(Table1[[#This Row],[CORREO]])&gt;=11,WORKDAY(Table1[[#This Row],[CORREO]],1,Table2[Dias no laborales]),E437)</f>
        <v>45791</v>
      </c>
      <c r="G437" s="8">
        <v>45790</v>
      </c>
      <c r="H437" s="6">
        <f t="shared" si="12"/>
        <v>16</v>
      </c>
      <c r="I437" s="16">
        <f>MAX(1, NETWORKDAYS(A437, G437,Table2[Dias no laborales]))</f>
        <v>17</v>
      </c>
      <c r="J437" s="6" t="str">
        <f>IF(Table1[[#This Row],[FIN]]="","Acumulado",IF(ISNUMBER(SEARCH("ASAP",C437)),"ASAP",IF(NETWORKDAYS.INTL(F437,G437,1,Table2[Dias no laborales]) &lt;= 7, "Dentro", IF(A437&gt;F437,"Programado","Fuera"))))</f>
        <v>Dentro</v>
      </c>
      <c r="K437" s="6" t="str">
        <f t="shared" si="13"/>
        <v>Mismo día</v>
      </c>
      <c r="L437" s="9">
        <v>45768</v>
      </c>
      <c r="M437" s="17">
        <f>MAX(1,NETWORKDAYS(A437,L437,Table2[Dias no laborales]))</f>
        <v>1</v>
      </c>
    </row>
    <row r="438" spans="1:13" hidden="1" x14ac:dyDescent="0.3">
      <c r="A438" s="8">
        <v>45769</v>
      </c>
      <c r="B438" s="5" t="s">
        <v>867</v>
      </c>
      <c r="C438" s="5" t="s">
        <v>868</v>
      </c>
      <c r="D438" s="5" t="s">
        <v>372</v>
      </c>
      <c r="E438" s="14">
        <v>45768.545138888891</v>
      </c>
      <c r="F438" s="8">
        <f>IF(HOUR(Table1[[#This Row],[CORREO]])&gt;=11,WORKDAY(Table1[[#This Row],[CORREO]],1,Table2[Dias no laborales]),E438)</f>
        <v>45769</v>
      </c>
      <c r="G438" s="9">
        <v>45769</v>
      </c>
      <c r="H438" s="6">
        <f t="shared" si="12"/>
        <v>16</v>
      </c>
      <c r="I438" s="16">
        <f>MAX(1, NETWORKDAYS(A438, G438,Table2[Dias no laborales]))</f>
        <v>1</v>
      </c>
      <c r="J438" s="6" t="str">
        <f>IF(Table1[[#This Row],[FIN]]="","Acumulado",IF(ISNUMBER(SEARCH("ASAP",C438)),"ASAP",IF(NETWORKDAYS.INTL(F438,G438,1,Table2[Dias no laborales]) &lt;= 7, "Dentro", IF(A438&gt;F438,"Programado","Fuera"))))</f>
        <v>Dentro</v>
      </c>
      <c r="K438" s="6" t="str">
        <f t="shared" si="13"/>
        <v>A tiempo</v>
      </c>
      <c r="L438" s="8"/>
      <c r="M438" s="17">
        <f>MAX(1,NETWORKDAYS(A438,L438,Table2[Dias no laborales]))</f>
        <v>1</v>
      </c>
    </row>
    <row r="439" spans="1:13" hidden="1" x14ac:dyDescent="0.3">
      <c r="A439" s="8">
        <v>45769</v>
      </c>
      <c r="B439" s="5" t="s">
        <v>946</v>
      </c>
      <c r="C439" s="5" t="s">
        <v>947</v>
      </c>
      <c r="D439" s="5" t="s">
        <v>27</v>
      </c>
      <c r="E439" s="14">
        <v>45768.749305555553</v>
      </c>
      <c r="F439" s="8">
        <f>IF(HOUR(Table1[[#This Row],[CORREO]])&gt;=11,WORKDAY(Table1[[#This Row],[CORREO]],1,Table2[Dias no laborales]),E439)</f>
        <v>45769</v>
      </c>
      <c r="G439" s="9">
        <v>45777</v>
      </c>
      <c r="H439" s="6">
        <f t="shared" si="12"/>
        <v>16</v>
      </c>
      <c r="I439" s="16">
        <f>MAX(1, NETWORKDAYS(A439, G439,Table2[Dias no laborales]))</f>
        <v>7</v>
      </c>
      <c r="J439" s="6" t="str">
        <f>IF(Table1[[#This Row],[FIN]]="","Acumulado",IF(ISNUMBER(SEARCH("ASAP",C439)),"ASAP",IF(NETWORKDAYS.INTL(F439,G439,1,Table2[Dias no laborales]) &lt;= 7, "Dentro", IF(A439&gt;F439,"Programado","Fuera"))))</f>
        <v>Dentro</v>
      </c>
      <c r="K439" s="6" t="str">
        <f t="shared" si="13"/>
        <v>A tiempo</v>
      </c>
      <c r="L439" s="8"/>
      <c r="M439" s="17">
        <f>MAX(1,NETWORKDAYS(A439,L439,Table2[Dias no laborales]))</f>
        <v>1</v>
      </c>
    </row>
    <row r="440" spans="1:13" hidden="1" x14ac:dyDescent="0.3">
      <c r="A440" s="8">
        <v>45772</v>
      </c>
      <c r="B440" s="6" t="s">
        <v>1983</v>
      </c>
      <c r="C440" s="6" t="s">
        <v>1984</v>
      </c>
      <c r="D440" s="6" t="s">
        <v>24</v>
      </c>
      <c r="E440" s="14">
        <v>45769.34097222222</v>
      </c>
      <c r="F440" s="8">
        <f>IF(HOUR(Table1[[#This Row],[CORREO]])&gt;=11,WORKDAY(Table1[[#This Row],[CORREO]],1,Table2[Dias no laborales]),E440)</f>
        <v>45769.34097222222</v>
      </c>
      <c r="G440" s="8">
        <v>45912</v>
      </c>
      <c r="H440" s="6">
        <f t="shared" si="12"/>
        <v>17</v>
      </c>
      <c r="I440" s="16">
        <f>MAX(1, NETWORKDAYS(A440, G440,Table2[Dias no laborales]))</f>
        <v>101</v>
      </c>
      <c r="J440" s="6" t="str">
        <f>IF(Table1[[#This Row],[FIN]]="","Acumulado",IF(ISNUMBER(SEARCH("ASAP",C440)),"ASAP",IF(NETWORKDAYS.INTL(F440,G440,1,Table2[Dias no laborales]) &lt;= 7, "Dentro", IF(A440&gt;F440,"Programado","Fuera"))))</f>
        <v>Programado</v>
      </c>
      <c r="K440" s="6" t="str">
        <f t="shared" si="13"/>
        <v>Programados</v>
      </c>
      <c r="L440" s="9">
        <v>45769</v>
      </c>
      <c r="M440" s="17">
        <f>MAX(1,NETWORKDAYS(A440,L440,Table2[Dias no laborales]))</f>
        <v>1</v>
      </c>
    </row>
    <row r="441" spans="1:13" hidden="1" x14ac:dyDescent="0.3">
      <c r="A441" s="8">
        <v>45769</v>
      </c>
      <c r="B441" s="5" t="s">
        <v>1202</v>
      </c>
      <c r="C441" s="5" t="s">
        <v>1203</v>
      </c>
      <c r="D441" s="5" t="s">
        <v>37</v>
      </c>
      <c r="E441" s="14">
        <v>45769.34652777778</v>
      </c>
      <c r="F441" s="8">
        <f>IF(HOUR(Table1[[#This Row],[CORREO]])&gt;=11,WORKDAY(Table1[[#This Row],[CORREO]],1,Table2[Dias no laborales]),E441)</f>
        <v>45769.34652777778</v>
      </c>
      <c r="G441" s="8">
        <v>45796</v>
      </c>
      <c r="H441" s="6">
        <f t="shared" si="12"/>
        <v>16</v>
      </c>
      <c r="I441" s="16">
        <f>MAX(1, NETWORKDAYS(A441, G441,Table2[Dias no laborales]))</f>
        <v>20</v>
      </c>
      <c r="J441" s="6" t="str">
        <f>IF(Table1[[#This Row],[FIN]]="","Acumulado",IF(ISNUMBER(SEARCH("ASAP",C441)),"ASAP",IF(NETWORKDAYS.INTL(F441,G441,1,Table2[Dias no laborales]) &lt;= 7, "Dentro", IF(A441&gt;F441,"Programado","Fuera"))))</f>
        <v>Fuera</v>
      </c>
      <c r="K441" s="6" t="str">
        <f t="shared" si="13"/>
        <v>A tiempo</v>
      </c>
      <c r="L441" s="9">
        <v>45771</v>
      </c>
      <c r="M441" s="17">
        <f>MAX(1,NETWORKDAYS(A441,L441,Table2[Dias no laborales]))</f>
        <v>3</v>
      </c>
    </row>
    <row r="442" spans="1:13" hidden="1" x14ac:dyDescent="0.3">
      <c r="A442" s="8">
        <v>45769</v>
      </c>
      <c r="B442" s="5" t="s">
        <v>875</v>
      </c>
      <c r="C442" s="5" t="s">
        <v>876</v>
      </c>
      <c r="D442" s="5" t="s">
        <v>877</v>
      </c>
      <c r="E442" s="14">
        <v>45769.357638888891</v>
      </c>
      <c r="F442" s="8">
        <f>IF(HOUR(Table1[[#This Row],[CORREO]])&gt;=11,WORKDAY(Table1[[#This Row],[CORREO]],1,Table2[Dias no laborales]),E442)</f>
        <v>45769.357638888891</v>
      </c>
      <c r="G442" s="9">
        <v>45771</v>
      </c>
      <c r="H442" s="6">
        <f t="shared" si="12"/>
        <v>16</v>
      </c>
      <c r="I442" s="16">
        <f>MAX(1, NETWORKDAYS(A442, G442,Table2[Dias no laborales]))</f>
        <v>3</v>
      </c>
      <c r="J442" s="6" t="str">
        <f>IF(Table1[[#This Row],[FIN]]="","Acumulado",IF(ISNUMBER(SEARCH("ASAP",C442)),"ASAP",IF(NETWORKDAYS.INTL(F442,G442,1,Table2[Dias no laborales]) &lt;= 7, "Dentro", IF(A442&gt;F442,"Programado","Fuera"))))</f>
        <v>Dentro</v>
      </c>
      <c r="K442" s="6" t="str">
        <f t="shared" si="13"/>
        <v>A tiempo</v>
      </c>
      <c r="L442" s="8"/>
      <c r="M442" s="17">
        <f>MAX(1,NETWORKDAYS(A442,L442,Table2[Dias no laborales]))</f>
        <v>1</v>
      </c>
    </row>
    <row r="443" spans="1:13" hidden="1" x14ac:dyDescent="0.3">
      <c r="A443" s="8">
        <v>45769</v>
      </c>
      <c r="B443" s="5" t="s">
        <v>1208</v>
      </c>
      <c r="C443" s="5" t="s">
        <v>1209</v>
      </c>
      <c r="D443" s="5" t="s">
        <v>877</v>
      </c>
      <c r="E443" s="14">
        <v>45769.380555555559</v>
      </c>
      <c r="F443" s="8">
        <f>IF(HOUR(Table1[[#This Row],[CORREO]])&gt;=11,WORKDAY(Table1[[#This Row],[CORREO]],1,Table2[Dias no laborales]),E443)</f>
        <v>45769.380555555559</v>
      </c>
      <c r="G443" s="8">
        <v>45798</v>
      </c>
      <c r="H443" s="6">
        <f t="shared" si="12"/>
        <v>16</v>
      </c>
      <c r="I443" s="16">
        <f>MAX(1, NETWORKDAYS(A443, G443,Table2[Dias no laborales]))</f>
        <v>22</v>
      </c>
      <c r="J443" s="6" t="str">
        <f>IF(Table1[[#This Row],[FIN]]="","Acumulado",IF(ISNUMBER(SEARCH("ASAP",C443)),"ASAP",IF(NETWORKDAYS.INTL(F443,G443,1,Table2[Dias no laborales]) &lt;= 7, "Dentro", IF(A443&gt;F443,"Programado","Fuera"))))</f>
        <v>Fuera</v>
      </c>
      <c r="K443" s="6" t="str">
        <f t="shared" si="13"/>
        <v>A tiempo</v>
      </c>
      <c r="L443" s="9">
        <v>45797</v>
      </c>
      <c r="M443" s="17">
        <f>MAX(1,NETWORKDAYS(A443,L443,Table2[Dias no laborales]))</f>
        <v>21</v>
      </c>
    </row>
    <row r="444" spans="1:13" hidden="1" x14ac:dyDescent="0.3">
      <c r="A444" s="8">
        <v>45769</v>
      </c>
      <c r="B444" s="5" t="s">
        <v>869</v>
      </c>
      <c r="C444" s="5" t="s">
        <v>870</v>
      </c>
      <c r="D444" s="5" t="s">
        <v>24</v>
      </c>
      <c r="E444" s="14">
        <v>45769.402083333334</v>
      </c>
      <c r="F444" s="8">
        <f>IF(HOUR(Table1[[#This Row],[CORREO]])&gt;=11,WORKDAY(Table1[[#This Row],[CORREO]],1,Table2[Dias no laborales]),E444)</f>
        <v>45769.402083333334</v>
      </c>
      <c r="G444" s="9">
        <v>45769</v>
      </c>
      <c r="H444" s="6">
        <f t="shared" si="12"/>
        <v>16</v>
      </c>
      <c r="I444" s="16">
        <f>MAX(1, NETWORKDAYS(A444, G444,Table2[Dias no laborales]))</f>
        <v>1</v>
      </c>
      <c r="J444" s="6" t="str">
        <f>IF(Table1[[#This Row],[FIN]]="","Acumulado",IF(ISNUMBER(SEARCH("ASAP",C444)),"ASAP",IF(NETWORKDAYS.INTL(F444,G444,1,Table2[Dias no laborales]) &lt;= 7, "Dentro", IF(A444&gt;F444,"Programado","Fuera"))))</f>
        <v>Dentro</v>
      </c>
      <c r="K444" s="6" t="str">
        <f t="shared" si="13"/>
        <v>A tiempo</v>
      </c>
      <c r="L444" s="8"/>
      <c r="M444" s="17">
        <f>MAX(1,NETWORKDAYS(A444,L444,Table2[Dias no laborales]))</f>
        <v>1</v>
      </c>
    </row>
    <row r="445" spans="1:13" hidden="1" x14ac:dyDescent="0.3">
      <c r="A445" s="8">
        <v>45770</v>
      </c>
      <c r="B445" s="6" t="s">
        <v>1187</v>
      </c>
      <c r="C445" s="6" t="s">
        <v>1188</v>
      </c>
      <c r="D445" s="6" t="s">
        <v>650</v>
      </c>
      <c r="E445" s="14">
        <v>45769.493055555555</v>
      </c>
      <c r="F445" s="8">
        <f>IF(HOUR(Table1[[#This Row],[CORREO]])&gt;=11,WORKDAY(Table1[[#This Row],[CORREO]],1,Table2[Dias no laborales]),E445)</f>
        <v>45770</v>
      </c>
      <c r="G445" s="8">
        <v>45784</v>
      </c>
      <c r="H445" s="6">
        <f t="shared" si="12"/>
        <v>17</v>
      </c>
      <c r="I445" s="16">
        <f>MAX(1, NETWORKDAYS(A445, G445,Table2[Dias no laborales]))</f>
        <v>11</v>
      </c>
      <c r="J445" s="6" t="str">
        <f>IF(Table1[[#This Row],[FIN]]="","Acumulado",IF(ISNUMBER(SEARCH("ASAP",C445)),"ASAP",IF(NETWORKDAYS.INTL(F445,G445,1,Table2[Dias no laborales]) &lt;= 7, "Dentro", IF(A445&gt;F445,"Programado","Fuera"))))</f>
        <v>Fuera</v>
      </c>
      <c r="K445" s="6" t="str">
        <f t="shared" si="13"/>
        <v>A tiempo</v>
      </c>
      <c r="L445" s="9">
        <v>45770</v>
      </c>
      <c r="M445" s="17">
        <f>MAX(1,NETWORKDAYS(A445,L445,Table2[Dias no laborales]))</f>
        <v>1</v>
      </c>
    </row>
    <row r="446" spans="1:13" hidden="1" x14ac:dyDescent="0.3">
      <c r="A446" s="8">
        <v>45770</v>
      </c>
      <c r="B446" s="5" t="s">
        <v>888</v>
      </c>
      <c r="C446" s="5" t="s">
        <v>889</v>
      </c>
      <c r="D446" s="5" t="s">
        <v>27</v>
      </c>
      <c r="E446" s="14">
        <v>45769.629166666666</v>
      </c>
      <c r="F446" s="8">
        <f>IF(HOUR(Table1[[#This Row],[CORREO]])&gt;=11,WORKDAY(Table1[[#This Row],[CORREO]],1,Table2[Dias no laborales]),E446)</f>
        <v>45770</v>
      </c>
      <c r="G446" s="9">
        <v>45771</v>
      </c>
      <c r="H446" s="6">
        <f t="shared" si="12"/>
        <v>17</v>
      </c>
      <c r="I446" s="16">
        <f>MAX(1, NETWORKDAYS(A446, G446,Table2[Dias no laborales]))</f>
        <v>2</v>
      </c>
      <c r="J446" s="6" t="str">
        <f>IF(Table1[[#This Row],[FIN]]="","Acumulado",IF(ISNUMBER(SEARCH("ASAP",C446)),"ASAP",IF(NETWORKDAYS.INTL(F446,G446,1,Table2[Dias no laborales]) &lt;= 7, "Dentro", IF(A446&gt;F446,"Programado","Fuera"))))</f>
        <v>ASAP</v>
      </c>
      <c r="K446" s="6" t="str">
        <f t="shared" si="13"/>
        <v>A tiempo</v>
      </c>
      <c r="L446" s="8"/>
      <c r="M446" s="17">
        <f>MAX(1,NETWORKDAYS(A446,L446,Table2[Dias no laborales]))</f>
        <v>1</v>
      </c>
    </row>
    <row r="447" spans="1:13" hidden="1" x14ac:dyDescent="0.3">
      <c r="A447" s="8">
        <v>45770</v>
      </c>
      <c r="B447" s="5" t="s">
        <v>905</v>
      </c>
      <c r="C447" s="5" t="s">
        <v>906</v>
      </c>
      <c r="D447" s="5" t="s">
        <v>24</v>
      </c>
      <c r="E447" s="14">
        <v>45769.683333333334</v>
      </c>
      <c r="F447" s="8">
        <f>IF(HOUR(Table1[[#This Row],[CORREO]])&gt;=11,WORKDAY(Table1[[#This Row],[CORREO]],1,Table2[Dias no laborales]),E447)</f>
        <v>45770</v>
      </c>
      <c r="G447" s="9">
        <v>45772</v>
      </c>
      <c r="H447" s="6">
        <f t="shared" si="12"/>
        <v>17</v>
      </c>
      <c r="I447" s="16">
        <f>MAX(1, NETWORKDAYS(A447, G447,Table2[Dias no laborales]))</f>
        <v>3</v>
      </c>
      <c r="J447" s="6" t="str">
        <f>IF(Table1[[#This Row],[FIN]]="","Acumulado",IF(ISNUMBER(SEARCH("ASAP",C447)),"ASAP",IF(NETWORKDAYS.INTL(F447,G447,1,Table2[Dias no laborales]) &lt;= 7, "Dentro", IF(A447&gt;F447,"Programado","Fuera"))))</f>
        <v>Dentro</v>
      </c>
      <c r="K447" s="6" t="str">
        <f t="shared" si="13"/>
        <v>A tiempo</v>
      </c>
      <c r="L447" s="8"/>
      <c r="M447" s="17">
        <f>MAX(1,NETWORKDAYS(A447,L447,Table2[Dias no laborales]))</f>
        <v>1</v>
      </c>
    </row>
    <row r="448" spans="1:13" hidden="1" x14ac:dyDescent="0.3">
      <c r="A448" s="8">
        <v>45770</v>
      </c>
      <c r="B448" s="6" t="s">
        <v>1231</v>
      </c>
      <c r="C448" s="6" t="s">
        <v>1232</v>
      </c>
      <c r="D448" s="6" t="s">
        <v>24</v>
      </c>
      <c r="E448" s="14">
        <v>45769.6875</v>
      </c>
      <c r="F448" s="8">
        <f>IF(HOUR(Table1[[#This Row],[CORREO]])&gt;=11,WORKDAY(Table1[[#This Row],[CORREO]],1,Table2[Dias no laborales]),E448)</f>
        <v>45770</v>
      </c>
      <c r="G448" s="8">
        <v>45813</v>
      </c>
      <c r="H448" s="6">
        <f t="shared" si="12"/>
        <v>17</v>
      </c>
      <c r="I448" s="16">
        <f>MAX(1, NETWORKDAYS(A448, G448,Table2[Dias no laborales]))</f>
        <v>32</v>
      </c>
      <c r="J448" s="6" t="str">
        <f>IF(Table1[[#This Row],[FIN]]="","Acumulado",IF(ISNUMBER(SEARCH("ASAP",C448)),"ASAP",IF(NETWORKDAYS.INTL(F448,G448,1,Table2[Dias no laborales]) &lt;= 7, "Dentro", IF(A448&gt;F448,"Programado","Fuera"))))</f>
        <v>Fuera</v>
      </c>
      <c r="K448" s="6" t="str">
        <f t="shared" si="13"/>
        <v>A tiempo</v>
      </c>
      <c r="L448" s="9">
        <v>45770</v>
      </c>
      <c r="M448" s="17">
        <f>MAX(1,NETWORKDAYS(A448,L448,Table2[Dias no laborales]))</f>
        <v>1</v>
      </c>
    </row>
    <row r="449" spans="1:13" hidden="1" x14ac:dyDescent="0.3">
      <c r="A449" s="12">
        <v>45770</v>
      </c>
      <c r="B449" s="6" t="s">
        <v>1162</v>
      </c>
      <c r="C449" s="6" t="s">
        <v>1163</v>
      </c>
      <c r="D449" s="6" t="s">
        <v>186</v>
      </c>
      <c r="E449" s="14">
        <v>45769.896527777775</v>
      </c>
      <c r="F449" s="12">
        <f>IF(HOUR(Table1[[#This Row],[CORREO]])&gt;=11,WORKDAY(Table1[[#This Row],[CORREO]],1,Table2[Dias no laborales]),E449)</f>
        <v>45770</v>
      </c>
      <c r="G449" s="8">
        <v>45779</v>
      </c>
      <c r="H449" s="16">
        <f t="shared" si="12"/>
        <v>17</v>
      </c>
      <c r="I449" s="16">
        <f>MAX(1, NETWORKDAYS(A449, G449,Table2[Dias no laborales]))</f>
        <v>8</v>
      </c>
      <c r="J449" s="6" t="str">
        <f>IF(Table1[[#This Row],[FIN]]="","Acumulado",IF(ISNUMBER(SEARCH("ASAP",C449)),"ASAP",IF(NETWORKDAYS.INTL(F449,G449,1,Table2[Dias no laborales]) &lt;= 7, "Dentro", IF(A449&gt;F449,"Programado","Fuera"))))</f>
        <v>Fuera</v>
      </c>
      <c r="K449" s="16" t="str">
        <f t="shared" si="13"/>
        <v>A tiempo</v>
      </c>
      <c r="L449" s="22">
        <v>45771</v>
      </c>
      <c r="M449" s="18">
        <f>MAX(1,NETWORKDAYS(A449,L449,Table2[Dias no laborales]))</f>
        <v>2</v>
      </c>
    </row>
    <row r="450" spans="1:13" hidden="1" x14ac:dyDescent="0.3">
      <c r="A450" s="8">
        <v>45770</v>
      </c>
      <c r="B450" s="5" t="s">
        <v>884</v>
      </c>
      <c r="C450" s="5" t="s">
        <v>885</v>
      </c>
      <c r="D450" s="5" t="s">
        <v>562</v>
      </c>
      <c r="E450" s="14">
        <v>45770.34652777778</v>
      </c>
      <c r="F450" s="8">
        <f>IF(HOUR(Table1[[#This Row],[CORREO]])&gt;=11,WORKDAY(Table1[[#This Row],[CORREO]],1,Table2[Dias no laborales]),E450)</f>
        <v>45770.34652777778</v>
      </c>
      <c r="G450" s="9">
        <v>45771</v>
      </c>
      <c r="H450" s="6">
        <f t="shared" ref="H450:H513" si="14">INT((A450-DATE(YEAR(A450),1,1))/7) + 1</f>
        <v>17</v>
      </c>
      <c r="I450" s="16">
        <f>MAX(1, NETWORKDAYS(A450, G450,Table2[Dias no laborales]))</f>
        <v>2</v>
      </c>
      <c r="J450" s="6" t="str">
        <f>IF(Table1[[#This Row],[FIN]]="","Acumulado",IF(ISNUMBER(SEARCH("ASAP",C450)),"ASAP",IF(NETWORKDAYS.INTL(F450,G450,1,Table2[Dias no laborales]) &lt;= 7, "Dentro", IF(A450&gt;F450,"Programado","Fuera"))))</f>
        <v>Dentro</v>
      </c>
      <c r="K450" s="6" t="str">
        <f t="shared" ref="K450:K513" si="15">IF(INT(A450)=INT(F450),"A tiempo", IF(A450&lt;F450,"Mismo día","Programados"))</f>
        <v>A tiempo</v>
      </c>
      <c r="L450" s="8"/>
      <c r="M450" s="17">
        <f>MAX(1,NETWORKDAYS(A450,L450,Table2[Dias no laborales]))</f>
        <v>1</v>
      </c>
    </row>
    <row r="451" spans="1:13" hidden="1" x14ac:dyDescent="0.3">
      <c r="A451" s="8">
        <v>45770</v>
      </c>
      <c r="B451" s="5" t="s">
        <v>934</v>
      </c>
      <c r="C451" s="5" t="s">
        <v>935</v>
      </c>
      <c r="D451" s="5" t="s">
        <v>913</v>
      </c>
      <c r="E451" s="14">
        <v>45770.373611111114</v>
      </c>
      <c r="F451" s="8">
        <f>IF(HOUR(Table1[[#This Row],[CORREO]])&gt;=11,WORKDAY(Table1[[#This Row],[CORREO]],1,Table2[Dias no laborales]),E451)</f>
        <v>45770.373611111114</v>
      </c>
      <c r="G451" s="9">
        <v>45777</v>
      </c>
      <c r="H451" s="6">
        <f t="shared" si="14"/>
        <v>17</v>
      </c>
      <c r="I451" s="16">
        <f>MAX(1, NETWORKDAYS(A451, G451,Table2[Dias no laborales]))</f>
        <v>6</v>
      </c>
      <c r="J451" s="6" t="str">
        <f>IF(Table1[[#This Row],[FIN]]="","Acumulado",IF(ISNUMBER(SEARCH("ASAP",C451)),"ASAP",IF(NETWORKDAYS.INTL(F451,G451,1,Table2[Dias no laborales]) &lt;= 7, "Dentro", IF(A451&gt;F451,"Programado","Fuera"))))</f>
        <v>Dentro</v>
      </c>
      <c r="K451" s="6" t="str">
        <f t="shared" si="15"/>
        <v>A tiempo</v>
      </c>
      <c r="L451" s="8"/>
      <c r="M451" s="17">
        <f>MAX(1,NETWORKDAYS(A451,L451,Table2[Dias no laborales]))</f>
        <v>1</v>
      </c>
    </row>
    <row r="452" spans="1:13" hidden="1" x14ac:dyDescent="0.3">
      <c r="A452" s="8">
        <v>45770</v>
      </c>
      <c r="B452" s="5" t="s">
        <v>901</v>
      </c>
      <c r="C452" s="5" t="s">
        <v>902</v>
      </c>
      <c r="D452" s="5" t="s">
        <v>586</v>
      </c>
      <c r="E452" s="14">
        <v>45770.388888888891</v>
      </c>
      <c r="F452" s="8">
        <f>IF(HOUR(Table1[[#This Row],[CORREO]])&gt;=11,WORKDAY(Table1[[#This Row],[CORREO]],1,Table2[Dias no laborales]),E452)</f>
        <v>45770.388888888891</v>
      </c>
      <c r="G452" s="9">
        <v>45771</v>
      </c>
      <c r="H452" s="6">
        <f t="shared" si="14"/>
        <v>17</v>
      </c>
      <c r="I452" s="16">
        <f>MAX(1, NETWORKDAYS(A452, G452,Table2[Dias no laborales]))</f>
        <v>2</v>
      </c>
      <c r="J452" s="6" t="str">
        <f>IF(Table1[[#This Row],[FIN]]="","Acumulado",IF(ISNUMBER(SEARCH("ASAP",C452)),"ASAP",IF(NETWORKDAYS.INTL(F452,G452,1,Table2[Dias no laborales]) &lt;= 7, "Dentro", IF(A452&gt;F452,"Programado","Fuera"))))</f>
        <v>Dentro</v>
      </c>
      <c r="K452" s="6" t="str">
        <f t="shared" si="15"/>
        <v>A tiempo</v>
      </c>
      <c r="L452" s="8"/>
      <c r="M452" s="17">
        <f>MAX(1,NETWORKDAYS(A452,L452,Table2[Dias no laborales]))</f>
        <v>1</v>
      </c>
    </row>
    <row r="453" spans="1:13" hidden="1" x14ac:dyDescent="0.3">
      <c r="A453" s="8">
        <v>45770</v>
      </c>
      <c r="B453" s="6" t="s">
        <v>1185</v>
      </c>
      <c r="C453" s="6" t="s">
        <v>1186</v>
      </c>
      <c r="D453" s="6" t="s">
        <v>24</v>
      </c>
      <c r="E453" s="14">
        <v>45770.398611111108</v>
      </c>
      <c r="F453" s="8">
        <f>IF(HOUR(Table1[[#This Row],[CORREO]])&gt;=11,WORKDAY(Table1[[#This Row],[CORREO]],1,Table2[Dias no laborales]),E453)</f>
        <v>45770.398611111108</v>
      </c>
      <c r="G453" s="8">
        <v>45784</v>
      </c>
      <c r="H453" s="6">
        <f t="shared" si="14"/>
        <v>17</v>
      </c>
      <c r="I453" s="16">
        <f>MAX(1, NETWORKDAYS(A453, G453,Table2[Dias no laborales]))</f>
        <v>11</v>
      </c>
      <c r="J453" s="6" t="str">
        <f>IF(Table1[[#This Row],[FIN]]="","Acumulado",IF(ISNUMBER(SEARCH("ASAP",C453)),"ASAP",IF(NETWORKDAYS.INTL(F453,G453,1,Table2[Dias no laborales]) &lt;= 7, "Dentro", IF(A453&gt;F453,"Programado","Fuera"))))</f>
        <v>Fuera</v>
      </c>
      <c r="K453" s="6" t="str">
        <f t="shared" si="15"/>
        <v>A tiempo</v>
      </c>
      <c r="L453" s="9">
        <v>45770</v>
      </c>
      <c r="M453" s="17">
        <f>MAX(1,NETWORKDAYS(A453,L453,Table2[Dias no laborales]))</f>
        <v>1</v>
      </c>
    </row>
    <row r="454" spans="1:13" hidden="1" x14ac:dyDescent="0.3">
      <c r="A454" s="8">
        <v>45793</v>
      </c>
      <c r="B454" s="6" t="s">
        <v>1517</v>
      </c>
      <c r="C454" s="6" t="s">
        <v>1518</v>
      </c>
      <c r="D454" s="6" t="s">
        <v>85</v>
      </c>
      <c r="E454" s="14">
        <v>45770.40625</v>
      </c>
      <c r="F454" s="8">
        <f>IF(HOUR(Table1[[#This Row],[CORREO]])&gt;=11,WORKDAY(Table1[[#This Row],[CORREO]],1,Table2[Dias no laborales]),E454)</f>
        <v>45770.40625</v>
      </c>
      <c r="G454" s="8">
        <v>45852</v>
      </c>
      <c r="H454" s="6">
        <f t="shared" si="14"/>
        <v>20</v>
      </c>
      <c r="I454" s="16">
        <f>MAX(1, NETWORKDAYS(A454, G454,Table2[Dias no laborales]))</f>
        <v>42</v>
      </c>
      <c r="J454" s="6" t="str">
        <f>IF(Table1[[#This Row],[FIN]]="","Acumulado",IF(ISNUMBER(SEARCH("ASAP",C454)),"ASAP",IF(NETWORKDAYS.INTL(F454,G454,1,Table2[Dias no laborales]) &lt;= 7, "Dentro", IF(A454&gt;F454,"Programado","Fuera"))))</f>
        <v>Programado</v>
      </c>
      <c r="K454" s="6" t="str">
        <f t="shared" si="15"/>
        <v>Programados</v>
      </c>
      <c r="L454" s="9">
        <v>45772</v>
      </c>
      <c r="M454" s="17">
        <f>MAX(1,NETWORKDAYS(A454,L454,Table2[Dias no laborales]))</f>
        <v>1</v>
      </c>
    </row>
    <row r="455" spans="1:13" hidden="1" x14ac:dyDescent="0.3">
      <c r="A455" s="8">
        <v>45770</v>
      </c>
      <c r="B455" s="5" t="s">
        <v>886</v>
      </c>
      <c r="C455" s="5" t="s">
        <v>887</v>
      </c>
      <c r="D455" s="5" t="s">
        <v>48</v>
      </c>
      <c r="E455" s="14">
        <v>45770.436111111114</v>
      </c>
      <c r="F455" s="8">
        <f>IF(HOUR(Table1[[#This Row],[CORREO]])&gt;=11,WORKDAY(Table1[[#This Row],[CORREO]],1,Table2[Dias no laborales]),E455)</f>
        <v>45770.436111111114</v>
      </c>
      <c r="G455" s="9">
        <v>45771</v>
      </c>
      <c r="H455" s="6">
        <f t="shared" si="14"/>
        <v>17</v>
      </c>
      <c r="I455" s="16">
        <f>MAX(1, NETWORKDAYS(A455, G455,Table2[Dias no laborales]))</f>
        <v>2</v>
      </c>
      <c r="J455" s="6" t="str">
        <f>IF(Table1[[#This Row],[FIN]]="","Acumulado",IF(ISNUMBER(SEARCH("ASAP",C455)),"ASAP",IF(NETWORKDAYS.INTL(F455,G455,1,Table2[Dias no laborales]) &lt;= 7, "Dentro", IF(A455&gt;F455,"Programado","Fuera"))))</f>
        <v>Dentro</v>
      </c>
      <c r="K455" s="6" t="str">
        <f t="shared" si="15"/>
        <v>A tiempo</v>
      </c>
      <c r="L455" s="8"/>
      <c r="M455" s="17">
        <f>MAX(1,NETWORKDAYS(A455,L455,Table2[Dias no laborales]))</f>
        <v>1</v>
      </c>
    </row>
    <row r="456" spans="1:13" hidden="1" x14ac:dyDescent="0.3">
      <c r="A456" s="8">
        <v>45770</v>
      </c>
      <c r="B456" s="5" t="s">
        <v>1210</v>
      </c>
      <c r="C456" s="5" t="s">
        <v>874</v>
      </c>
      <c r="D456" s="5" t="s">
        <v>754</v>
      </c>
      <c r="E456" s="14">
        <v>45750.556250000001</v>
      </c>
      <c r="F456" s="8">
        <f>IF(HOUR(Table1[[#This Row],[CORREO]])&gt;=11,WORKDAY(Table1[[#This Row],[CORREO]],1,Table2[Dias no laborales]),E456)</f>
        <v>45751</v>
      </c>
      <c r="G456" s="9">
        <v>45804</v>
      </c>
      <c r="H456" s="6">
        <f t="shared" si="14"/>
        <v>17</v>
      </c>
      <c r="I456" s="16">
        <f>MAX(1, NETWORKDAYS(A456, G456,Table2[Dias no laborales]))</f>
        <v>25</v>
      </c>
      <c r="J456" s="6" t="str">
        <f>IF(Table1[[#This Row],[FIN]]="","Acumulado",IF(ISNUMBER(SEARCH("ASAP",C456)),"ASAP",IF(NETWORKDAYS.INTL(F456,G456,1,Table2[Dias no laborales]) &lt;= 7, "Dentro", IF(A456&gt;F456,"Programado","Fuera"))))</f>
        <v>Programado</v>
      </c>
      <c r="K456" s="6" t="str">
        <f t="shared" si="15"/>
        <v>Programados</v>
      </c>
      <c r="L456" s="9">
        <v>45784</v>
      </c>
      <c r="M456" s="17">
        <f>MAX(1,NETWORKDAYS(A456,L456,Table2[Dias no laborales]))</f>
        <v>11</v>
      </c>
    </row>
    <row r="457" spans="1:13" hidden="1" x14ac:dyDescent="0.3">
      <c r="A457" s="8">
        <v>45771</v>
      </c>
      <c r="B457" s="5" t="s">
        <v>899</v>
      </c>
      <c r="C457" s="5" t="s">
        <v>900</v>
      </c>
      <c r="D457" s="5" t="s">
        <v>839</v>
      </c>
      <c r="E457" s="14">
        <v>45770.489583333336</v>
      </c>
      <c r="F457" s="8">
        <f>IF(HOUR(Table1[[#This Row],[CORREO]])&gt;=11,WORKDAY(Table1[[#This Row],[CORREO]],1,Table2[Dias no laborales]),E457)</f>
        <v>45771</v>
      </c>
      <c r="G457" s="9">
        <v>45771</v>
      </c>
      <c r="H457" s="6">
        <f t="shared" si="14"/>
        <v>17</v>
      </c>
      <c r="I457" s="16">
        <f>MAX(1, NETWORKDAYS(A457, G457,Table2[Dias no laborales]))</f>
        <v>1</v>
      </c>
      <c r="J457" s="6" t="str">
        <f>IF(Table1[[#This Row],[FIN]]="","Acumulado",IF(ISNUMBER(SEARCH("ASAP",C457)),"ASAP",IF(NETWORKDAYS.INTL(F457,G457,1,Table2[Dias no laborales]) &lt;= 7, "Dentro", IF(A457&gt;F457,"Programado","Fuera"))))</f>
        <v>Dentro</v>
      </c>
      <c r="K457" s="6" t="str">
        <f t="shared" si="15"/>
        <v>A tiempo</v>
      </c>
      <c r="L457" s="8"/>
      <c r="M457" s="17">
        <f>MAX(1,NETWORKDAYS(A457,L457,Table2[Dias no laborales]))</f>
        <v>1</v>
      </c>
    </row>
    <row r="458" spans="1:13" hidden="1" x14ac:dyDescent="0.3">
      <c r="A458" s="8">
        <v>45771</v>
      </c>
      <c r="B458" s="5" t="s">
        <v>907</v>
      </c>
      <c r="C458" s="5" t="s">
        <v>908</v>
      </c>
      <c r="D458" s="5" t="s">
        <v>27</v>
      </c>
      <c r="E458" s="14">
        <v>45770.675000000003</v>
      </c>
      <c r="F458" s="8">
        <f>IF(HOUR(Table1[[#This Row],[CORREO]])&gt;=11,WORKDAY(Table1[[#This Row],[CORREO]],1,Table2[Dias no laborales]),E458)</f>
        <v>45771</v>
      </c>
      <c r="G458" s="9">
        <v>45772</v>
      </c>
      <c r="H458" s="6">
        <f t="shared" si="14"/>
        <v>17</v>
      </c>
      <c r="I458" s="16">
        <f>MAX(1, NETWORKDAYS(A458, G458,Table2[Dias no laborales]))</f>
        <v>2</v>
      </c>
      <c r="J458" s="6" t="str">
        <f>IF(Table1[[#This Row],[FIN]]="","Acumulado",IF(ISNUMBER(SEARCH("ASAP",C458)),"ASAP",IF(NETWORKDAYS.INTL(F458,G458,1,Table2[Dias no laborales]) &lt;= 7, "Dentro", IF(A458&gt;F458,"Programado","Fuera"))))</f>
        <v>Dentro</v>
      </c>
      <c r="K458" s="6" t="str">
        <f t="shared" si="15"/>
        <v>A tiempo</v>
      </c>
      <c r="L458" s="8"/>
      <c r="M458" s="17">
        <f>MAX(1,NETWORKDAYS(A458,L458,Table2[Dias no laborales]))</f>
        <v>1</v>
      </c>
    </row>
    <row r="459" spans="1:13" hidden="1" x14ac:dyDescent="0.3">
      <c r="A459" s="8">
        <v>45771</v>
      </c>
      <c r="B459" s="5" t="s">
        <v>903</v>
      </c>
      <c r="C459" s="5" t="s">
        <v>904</v>
      </c>
      <c r="D459" s="5" t="s">
        <v>372</v>
      </c>
      <c r="E459" s="14">
        <v>45771.320833333331</v>
      </c>
      <c r="F459" s="8">
        <f>IF(HOUR(Table1[[#This Row],[CORREO]])&gt;=11,WORKDAY(Table1[[#This Row],[CORREO]],1,Table2[Dias no laborales]),E459)</f>
        <v>45771.320833333331</v>
      </c>
      <c r="G459" s="9">
        <v>45771</v>
      </c>
      <c r="H459" s="6">
        <f t="shared" si="14"/>
        <v>17</v>
      </c>
      <c r="I459" s="16">
        <f>MAX(1, NETWORKDAYS(A459, G459,Table2[Dias no laborales]))</f>
        <v>1</v>
      </c>
      <c r="J459" s="6" t="str">
        <f>IF(Table1[[#This Row],[FIN]]="","Acumulado",IF(ISNUMBER(SEARCH("ASAP",C459)),"ASAP",IF(NETWORKDAYS.INTL(F459,G459,1,Table2[Dias no laborales]) &lt;= 7, "Dentro", IF(A459&gt;F459,"Programado","Fuera"))))</f>
        <v>Dentro</v>
      </c>
      <c r="K459" s="6" t="str">
        <f t="shared" si="15"/>
        <v>A tiempo</v>
      </c>
      <c r="L459" s="8"/>
      <c r="M459" s="17">
        <f>MAX(1,NETWORKDAYS(A459,L459,Table2[Dias no laborales]))</f>
        <v>1</v>
      </c>
    </row>
    <row r="460" spans="1:13" hidden="1" x14ac:dyDescent="0.3">
      <c r="A460" s="8">
        <v>45771</v>
      </c>
      <c r="B460" s="5" t="s">
        <v>896</v>
      </c>
      <c r="C460" s="5" t="s">
        <v>897</v>
      </c>
      <c r="D460" s="5" t="s">
        <v>372</v>
      </c>
      <c r="E460" s="14">
        <v>45771.327777777777</v>
      </c>
      <c r="F460" s="8">
        <f>IF(HOUR(Table1[[#This Row],[CORREO]])&gt;=11,WORKDAY(Table1[[#This Row],[CORREO]],1,Table2[Dias no laborales]),E460)</f>
        <v>45771.327777777777</v>
      </c>
      <c r="G460" s="9">
        <v>45771</v>
      </c>
      <c r="H460" s="6">
        <f t="shared" si="14"/>
        <v>17</v>
      </c>
      <c r="I460" s="16">
        <f>MAX(1, NETWORKDAYS(A460, G460,Table2[Dias no laborales]))</f>
        <v>1</v>
      </c>
      <c r="J460" s="6" t="str">
        <f>IF(Table1[[#This Row],[FIN]]="","Acumulado",IF(ISNUMBER(SEARCH("ASAP",C460)),"ASAP",IF(NETWORKDAYS.INTL(F460,G460,1,Table2[Dias no laborales]) &lt;= 7, "Dentro", IF(A460&gt;F460,"Programado","Fuera"))))</f>
        <v>Dentro</v>
      </c>
      <c r="K460" s="6" t="str">
        <f t="shared" si="15"/>
        <v>A tiempo</v>
      </c>
      <c r="L460" s="8"/>
      <c r="M460" s="17">
        <f>MAX(1,NETWORKDAYS(A460,L460,Table2[Dias no laborales]))</f>
        <v>1</v>
      </c>
    </row>
    <row r="461" spans="1:13" hidden="1" x14ac:dyDescent="0.3">
      <c r="A461" s="8">
        <v>45771</v>
      </c>
      <c r="B461" s="5" t="s">
        <v>894</v>
      </c>
      <c r="C461" s="5" t="s">
        <v>895</v>
      </c>
      <c r="D461" s="5" t="s">
        <v>27</v>
      </c>
      <c r="E461" s="14">
        <v>45771.364583333336</v>
      </c>
      <c r="F461" s="8">
        <f>IF(HOUR(Table1[[#This Row],[CORREO]])&gt;=11,WORKDAY(Table1[[#This Row],[CORREO]],1,Table2[Dias no laborales]),E461)</f>
        <v>45771.364583333336</v>
      </c>
      <c r="G461" s="9">
        <v>45771</v>
      </c>
      <c r="H461" s="6">
        <f t="shared" si="14"/>
        <v>17</v>
      </c>
      <c r="I461" s="16">
        <f>MAX(1, NETWORKDAYS(A461, G461,Table2[Dias no laborales]))</f>
        <v>1</v>
      </c>
      <c r="J461" s="6" t="str">
        <f>IF(Table1[[#This Row],[FIN]]="","Acumulado",IF(ISNUMBER(SEARCH("ASAP",C461)),"ASAP",IF(NETWORKDAYS.INTL(F461,G461,1,Table2[Dias no laborales]) &lt;= 7, "Dentro", IF(A461&gt;F461,"Programado","Fuera"))))</f>
        <v>Dentro</v>
      </c>
      <c r="K461" s="6" t="str">
        <f t="shared" si="15"/>
        <v>A tiempo</v>
      </c>
      <c r="L461" s="8"/>
      <c r="M461" s="17">
        <f>MAX(1,NETWORKDAYS(A461,L461,Table2[Dias no laborales]))</f>
        <v>1</v>
      </c>
    </row>
    <row r="462" spans="1:13" hidden="1" x14ac:dyDescent="0.3">
      <c r="A462" s="8">
        <v>45771</v>
      </c>
      <c r="B462" s="6" t="s">
        <v>1172</v>
      </c>
      <c r="C462" s="6" t="s">
        <v>1173</v>
      </c>
      <c r="D462" s="6" t="s">
        <v>288</v>
      </c>
      <c r="E462" s="14">
        <v>45770.477083333331</v>
      </c>
      <c r="F462" s="8">
        <f>IF(HOUR(Table1[[#This Row],[CORREO]])&gt;=11,WORKDAY(Table1[[#This Row],[CORREO]],1,Table2[Dias no laborales]),E462)</f>
        <v>45771</v>
      </c>
      <c r="G462" s="8">
        <v>45783</v>
      </c>
      <c r="H462" s="6">
        <f t="shared" si="14"/>
        <v>17</v>
      </c>
      <c r="I462" s="16">
        <f>MAX(1, NETWORKDAYS(A462, G462,Table2[Dias no laborales]))</f>
        <v>9</v>
      </c>
      <c r="J462" s="6" t="str">
        <f>IF(Table1[[#This Row],[FIN]]="","Acumulado",IF(ISNUMBER(SEARCH("ASAP",C462)),"ASAP",IF(NETWORKDAYS.INTL(F462,G462,1,Table2[Dias no laborales]) &lt;= 7, "Dentro", IF(A462&gt;F462,"Programado","Fuera"))))</f>
        <v>Fuera</v>
      </c>
      <c r="K462" s="6" t="str">
        <f t="shared" si="15"/>
        <v>A tiempo</v>
      </c>
      <c r="L462" s="9">
        <v>45772</v>
      </c>
      <c r="M462" s="17">
        <f>MAX(1,NETWORKDAYS(A462,L462,Table2[Dias no laborales]))</f>
        <v>2</v>
      </c>
    </row>
    <row r="463" spans="1:13" hidden="1" x14ac:dyDescent="0.3">
      <c r="A463" s="8">
        <v>45771</v>
      </c>
      <c r="B463" s="5" t="s">
        <v>909</v>
      </c>
      <c r="C463" s="5" t="s">
        <v>910</v>
      </c>
      <c r="D463" s="5" t="s">
        <v>27</v>
      </c>
      <c r="E463" s="14">
        <v>45771.443749999999</v>
      </c>
      <c r="F463" s="8">
        <f>IF(HOUR(Table1[[#This Row],[CORREO]])&gt;=11,WORKDAY(Table1[[#This Row],[CORREO]],1,Table2[Dias no laborales]),E463)</f>
        <v>45771.443749999999</v>
      </c>
      <c r="G463" s="9">
        <v>45772</v>
      </c>
      <c r="H463" s="6">
        <f t="shared" si="14"/>
        <v>17</v>
      </c>
      <c r="I463" s="16">
        <f>MAX(1, NETWORKDAYS(A463, G463,Table2[Dias no laborales]))</f>
        <v>2</v>
      </c>
      <c r="J463" s="6" t="str">
        <f>IF(Table1[[#This Row],[FIN]]="","Acumulado",IF(ISNUMBER(SEARCH("ASAP",C463)),"ASAP",IF(NETWORKDAYS.INTL(F463,G463,1,Table2[Dias no laborales]) &lt;= 7, "Dentro", IF(A463&gt;F463,"Programado","Fuera"))))</f>
        <v>ASAP</v>
      </c>
      <c r="K463" s="6" t="str">
        <f t="shared" si="15"/>
        <v>A tiempo</v>
      </c>
      <c r="L463" s="8"/>
      <c r="M463" s="17">
        <f>MAX(1,NETWORKDAYS(A463,L463,Table2[Dias no laborales]))</f>
        <v>1</v>
      </c>
    </row>
    <row r="464" spans="1:13" hidden="1" x14ac:dyDescent="0.3">
      <c r="A464" s="8">
        <v>45771</v>
      </c>
      <c r="B464" s="5" t="s">
        <v>926</v>
      </c>
      <c r="C464" s="5" t="s">
        <v>927</v>
      </c>
      <c r="D464" s="5" t="s">
        <v>27</v>
      </c>
      <c r="E464" s="14">
        <v>45771.45</v>
      </c>
      <c r="F464" s="8">
        <f>IF(HOUR(Table1[[#This Row],[CORREO]])&gt;=11,WORKDAY(Table1[[#This Row],[CORREO]],1,Table2[Dias no laborales]),E464)</f>
        <v>45771.45</v>
      </c>
      <c r="G464" s="9">
        <v>45776</v>
      </c>
      <c r="H464" s="6">
        <f t="shared" si="14"/>
        <v>17</v>
      </c>
      <c r="I464" s="16">
        <f>MAX(1, NETWORKDAYS(A464, G464,Table2[Dias no laborales]))</f>
        <v>4</v>
      </c>
      <c r="J464" s="6" t="str">
        <f>IF(Table1[[#This Row],[FIN]]="","Acumulado",IF(ISNUMBER(SEARCH("ASAP",C464)),"ASAP",IF(NETWORKDAYS.INTL(F464,G464,1,Table2[Dias no laborales]) &lt;= 7, "Dentro", IF(A464&gt;F464,"Programado","Fuera"))))</f>
        <v>ASAP</v>
      </c>
      <c r="K464" s="6" t="str">
        <f t="shared" si="15"/>
        <v>A tiempo</v>
      </c>
      <c r="L464" s="8"/>
      <c r="M464" s="17">
        <f>MAX(1,NETWORKDAYS(A464,L464,Table2[Dias no laborales]))</f>
        <v>1</v>
      </c>
    </row>
    <row r="465" spans="1:13" hidden="1" x14ac:dyDescent="0.3">
      <c r="A465" s="8">
        <v>45771</v>
      </c>
      <c r="B465" s="5" t="s">
        <v>898</v>
      </c>
      <c r="C465" s="5" t="s">
        <v>188</v>
      </c>
      <c r="D465" s="5" t="s">
        <v>27</v>
      </c>
      <c r="E465" s="14"/>
      <c r="F465" s="8">
        <f>IF(HOUR(Table1[[#This Row],[CORREO]])&gt;=11,WORKDAY(Table1[[#This Row],[CORREO]],1,Table2[Dias no laborales]),E465)</f>
        <v>0</v>
      </c>
      <c r="G465" s="9">
        <v>45771</v>
      </c>
      <c r="H465" s="6">
        <f t="shared" si="14"/>
        <v>17</v>
      </c>
      <c r="I465" s="16">
        <f>MAX(1, NETWORKDAYS(A465, G465,Table2[Dias no laborales]))</f>
        <v>1</v>
      </c>
      <c r="J465" s="6" t="str">
        <f>IF(Table1[[#This Row],[FIN]]="","Acumulado",IF(ISNUMBER(SEARCH("ASAP",C465)),"ASAP",IF(NETWORKDAYS.INTL(F465,G465,1,Table2[Dias no laborales]) &lt;= 7, "Dentro", IF(A465&gt;F465,"Programado","Fuera"))))</f>
        <v>Programado</v>
      </c>
      <c r="K465" s="6" t="str">
        <f t="shared" si="15"/>
        <v>Programados</v>
      </c>
      <c r="L465" s="8"/>
      <c r="M465" s="17">
        <f>MAX(1,NETWORKDAYS(A465,L465,Table2[Dias no laborales]))</f>
        <v>1</v>
      </c>
    </row>
    <row r="466" spans="1:13" hidden="1" x14ac:dyDescent="0.3">
      <c r="A466" s="8">
        <v>45772</v>
      </c>
      <c r="B466" s="5" t="s">
        <v>920</v>
      </c>
      <c r="C466" s="5" t="s">
        <v>921</v>
      </c>
      <c r="D466" s="5" t="s">
        <v>27</v>
      </c>
      <c r="E466" s="14">
        <v>45771.499305555553</v>
      </c>
      <c r="F466" s="8">
        <f>IF(HOUR(Table1[[#This Row],[CORREO]])&gt;=11,WORKDAY(Table1[[#This Row],[CORREO]],1,Table2[Dias no laborales]),E466)</f>
        <v>45772</v>
      </c>
      <c r="G466" s="9">
        <v>45775</v>
      </c>
      <c r="H466" s="6">
        <f t="shared" si="14"/>
        <v>17</v>
      </c>
      <c r="I466" s="16">
        <f>MAX(1, NETWORKDAYS(A466, G466,Table2[Dias no laborales]))</f>
        <v>2</v>
      </c>
      <c r="J466" s="6" t="str">
        <f>IF(Table1[[#This Row],[FIN]]="","Acumulado",IF(ISNUMBER(SEARCH("ASAP",C466)),"ASAP",IF(NETWORKDAYS.INTL(F466,G466,1,Table2[Dias no laborales]) &lt;= 7, "Dentro", IF(A466&gt;F466,"Programado","Fuera"))))</f>
        <v>Dentro</v>
      </c>
      <c r="K466" s="6" t="str">
        <f t="shared" si="15"/>
        <v>A tiempo</v>
      </c>
      <c r="L466" s="8"/>
      <c r="M466" s="17">
        <f>MAX(1,NETWORKDAYS(A466,L466,Table2[Dias no laborales]))</f>
        <v>1</v>
      </c>
    </row>
    <row r="467" spans="1:13" hidden="1" x14ac:dyDescent="0.3">
      <c r="A467" s="8">
        <v>45772</v>
      </c>
      <c r="B467" s="6" t="s">
        <v>1141</v>
      </c>
      <c r="C467" s="6" t="s">
        <v>1142</v>
      </c>
      <c r="D467" s="6" t="s">
        <v>48</v>
      </c>
      <c r="E467" s="14">
        <v>45771.675000000003</v>
      </c>
      <c r="F467" s="8">
        <f>IF(HOUR(Table1[[#This Row],[CORREO]])&gt;=11,WORKDAY(Table1[[#This Row],[CORREO]],1,Table2[Dias no laborales]),E467)</f>
        <v>45772</v>
      </c>
      <c r="G467" s="8">
        <v>45779</v>
      </c>
      <c r="H467" s="6">
        <f t="shared" si="14"/>
        <v>17</v>
      </c>
      <c r="I467" s="16">
        <f>MAX(1, NETWORKDAYS(A467, G467,Table2[Dias no laborales]))</f>
        <v>6</v>
      </c>
      <c r="J467" s="6" t="str">
        <f>IF(Table1[[#This Row],[FIN]]="","Acumulado",IF(ISNUMBER(SEARCH("ASAP",C467)),"ASAP",IF(NETWORKDAYS.INTL(F467,G467,1,Table2[Dias no laborales]) &lt;= 7, "Dentro", IF(A467&gt;F467,"Programado","Fuera"))))</f>
        <v>Dentro</v>
      </c>
      <c r="K467" s="6" t="str">
        <f t="shared" si="15"/>
        <v>A tiempo</v>
      </c>
      <c r="L467" s="9">
        <v>45772</v>
      </c>
      <c r="M467" s="17">
        <f>MAX(1,NETWORKDAYS(A467,L467,Table2[Dias no laborales]))</f>
        <v>1</v>
      </c>
    </row>
    <row r="468" spans="1:13" hidden="1" x14ac:dyDescent="0.3">
      <c r="A468" s="8">
        <v>45772</v>
      </c>
      <c r="B468" s="5" t="s">
        <v>918</v>
      </c>
      <c r="C468" s="5" t="s">
        <v>919</v>
      </c>
      <c r="D468" s="5" t="s">
        <v>191</v>
      </c>
      <c r="E468" s="14">
        <v>45771.823611111111</v>
      </c>
      <c r="F468" s="8">
        <f>IF(HOUR(Table1[[#This Row],[CORREO]])&gt;=11,WORKDAY(Table1[[#This Row],[CORREO]],1,Table2[Dias no laborales]),E468)</f>
        <v>45772</v>
      </c>
      <c r="G468" s="9">
        <v>45775</v>
      </c>
      <c r="H468" s="6">
        <f t="shared" si="14"/>
        <v>17</v>
      </c>
      <c r="I468" s="16">
        <f>MAX(1, NETWORKDAYS(A468, G468,Table2[Dias no laborales]))</f>
        <v>2</v>
      </c>
      <c r="J468" s="6" t="str">
        <f>IF(Table1[[#This Row],[FIN]]="","Acumulado",IF(ISNUMBER(SEARCH("ASAP",C468)),"ASAP",IF(NETWORKDAYS.INTL(F468,G468,1,Table2[Dias no laborales]) &lt;= 7, "Dentro", IF(A468&gt;F468,"Programado","Fuera"))))</f>
        <v>Dentro</v>
      </c>
      <c r="K468" s="6" t="str">
        <f t="shared" si="15"/>
        <v>A tiempo</v>
      </c>
      <c r="L468" s="8"/>
      <c r="M468" s="17">
        <f>MAX(1,NETWORKDAYS(A468,L468,Table2[Dias no laborales]))</f>
        <v>1</v>
      </c>
    </row>
    <row r="469" spans="1:13" hidden="1" x14ac:dyDescent="0.3">
      <c r="A469" s="8">
        <v>45772</v>
      </c>
      <c r="B469" s="6" t="s">
        <v>1143</v>
      </c>
      <c r="C469" s="6" t="s">
        <v>1144</v>
      </c>
      <c r="D469" s="6" t="s">
        <v>133</v>
      </c>
      <c r="E469" s="14">
        <v>45772.25277777778</v>
      </c>
      <c r="F469" s="8">
        <f>IF(HOUR(Table1[[#This Row],[CORREO]])&gt;=11,WORKDAY(Table1[[#This Row],[CORREO]],1,Table2[Dias no laborales]),E469)</f>
        <v>45772.25277777778</v>
      </c>
      <c r="G469" s="8">
        <v>45779</v>
      </c>
      <c r="H469" s="6">
        <f t="shared" si="14"/>
        <v>17</v>
      </c>
      <c r="I469" s="16">
        <f>MAX(1, NETWORKDAYS(A469, G469,Table2[Dias no laborales]))</f>
        <v>6</v>
      </c>
      <c r="J469" s="6" t="str">
        <f>IF(Table1[[#This Row],[FIN]]="","Acumulado",IF(ISNUMBER(SEARCH("ASAP",C469)),"ASAP",IF(NETWORKDAYS.INTL(F469,G469,1,Table2[Dias no laborales]) &lt;= 7, "Dentro", IF(A469&gt;F469,"Programado","Fuera"))))</f>
        <v>Dentro</v>
      </c>
      <c r="K469" s="6" t="str">
        <f t="shared" si="15"/>
        <v>A tiempo</v>
      </c>
      <c r="L469" s="9">
        <v>45779</v>
      </c>
      <c r="M469" s="17">
        <f>MAX(1,NETWORKDAYS(A469,L469,Table2[Dias no laborales]))</f>
        <v>6</v>
      </c>
    </row>
    <row r="470" spans="1:13" hidden="1" x14ac:dyDescent="0.3">
      <c r="A470" s="8">
        <v>45772</v>
      </c>
      <c r="B470" s="5" t="s">
        <v>914</v>
      </c>
      <c r="C470" s="5" t="s">
        <v>915</v>
      </c>
      <c r="D470" s="5" t="s">
        <v>916</v>
      </c>
      <c r="E470" s="14">
        <v>45772.377083333333</v>
      </c>
      <c r="F470" s="8">
        <f>IF(HOUR(Table1[[#This Row],[CORREO]])&gt;=11,WORKDAY(Table1[[#This Row],[CORREO]],1,Table2[Dias no laborales]),E470)</f>
        <v>45772.377083333333</v>
      </c>
      <c r="G470" s="9">
        <v>45772</v>
      </c>
      <c r="H470" s="6">
        <f t="shared" si="14"/>
        <v>17</v>
      </c>
      <c r="I470" s="16">
        <f>MAX(1, NETWORKDAYS(A470, G470,Table2[Dias no laborales]))</f>
        <v>1</v>
      </c>
      <c r="J470" s="6" t="str">
        <f>IF(Table1[[#This Row],[FIN]]="","Acumulado",IF(ISNUMBER(SEARCH("ASAP",C470)),"ASAP",IF(NETWORKDAYS.INTL(F470,G470,1,Table2[Dias no laborales]) &lt;= 7, "Dentro", IF(A470&gt;F470,"Programado","Fuera"))))</f>
        <v>Dentro</v>
      </c>
      <c r="K470" s="6" t="str">
        <f t="shared" si="15"/>
        <v>A tiempo</v>
      </c>
      <c r="L470" s="8"/>
      <c r="M470" s="17">
        <f>MAX(1,NETWORKDAYS(A470,L470,Table2[Dias no laborales]))</f>
        <v>1</v>
      </c>
    </row>
    <row r="471" spans="1:13" hidden="1" x14ac:dyDescent="0.3">
      <c r="A471" s="8">
        <v>45772</v>
      </c>
      <c r="B471" s="5" t="s">
        <v>936</v>
      </c>
      <c r="C471" s="5" t="s">
        <v>937</v>
      </c>
      <c r="D471" s="5" t="s">
        <v>27</v>
      </c>
      <c r="E471" s="14">
        <v>45772.408333333333</v>
      </c>
      <c r="F471" s="8">
        <f>IF(HOUR(Table1[[#This Row],[CORREO]])&gt;=11,WORKDAY(Table1[[#This Row],[CORREO]],1,Table2[Dias no laborales]),E471)</f>
        <v>45772.408333333333</v>
      </c>
      <c r="G471" s="9">
        <v>45777</v>
      </c>
      <c r="H471" s="6">
        <f t="shared" si="14"/>
        <v>17</v>
      </c>
      <c r="I471" s="16">
        <f>MAX(1, NETWORKDAYS(A471, G471,Table2[Dias no laborales]))</f>
        <v>4</v>
      </c>
      <c r="J471" s="6" t="str">
        <f>IF(Table1[[#This Row],[FIN]]="","Acumulado",IF(ISNUMBER(SEARCH("ASAP",C471)),"ASAP",IF(NETWORKDAYS.INTL(F471,G471,1,Table2[Dias no laborales]) &lt;= 7, "Dentro", IF(A471&gt;F471,"Programado","Fuera"))))</f>
        <v>Dentro</v>
      </c>
      <c r="K471" s="6" t="str">
        <f t="shared" si="15"/>
        <v>A tiempo</v>
      </c>
      <c r="L471" s="8"/>
      <c r="M471" s="17">
        <f>MAX(1,NETWORKDAYS(A471,L471,Table2[Dias no laborales]))</f>
        <v>1</v>
      </c>
    </row>
    <row r="472" spans="1:13" hidden="1" x14ac:dyDescent="0.3">
      <c r="A472" s="8">
        <v>45772</v>
      </c>
      <c r="B472" s="5" t="s">
        <v>922</v>
      </c>
      <c r="C472" s="5" t="s">
        <v>923</v>
      </c>
      <c r="D472" s="5" t="s">
        <v>24</v>
      </c>
      <c r="E472" s="14">
        <v>45771.424305555556</v>
      </c>
      <c r="F472" s="8">
        <f>IF(HOUR(Table1[[#This Row],[CORREO]])&gt;=11,WORKDAY(Table1[[#This Row],[CORREO]],1,Table2[Dias no laborales]),E472)</f>
        <v>45771.424305555556</v>
      </c>
      <c r="G472" s="9">
        <v>45775</v>
      </c>
      <c r="H472" s="6">
        <f t="shared" si="14"/>
        <v>17</v>
      </c>
      <c r="I472" s="16">
        <f>MAX(1, NETWORKDAYS(A472, G472,Table2[Dias no laborales]))</f>
        <v>2</v>
      </c>
      <c r="J472" s="6" t="str">
        <f>IF(Table1[[#This Row],[FIN]]="","Acumulado",IF(ISNUMBER(SEARCH("ASAP",C472)),"ASAP",IF(NETWORKDAYS.INTL(F472,G472,1,Table2[Dias no laborales]) &lt;= 7, "Dentro", IF(A472&gt;F472,"Programado","Fuera"))))</f>
        <v>Dentro</v>
      </c>
      <c r="K472" s="6" t="str">
        <f t="shared" si="15"/>
        <v>Programados</v>
      </c>
      <c r="L472" s="8"/>
      <c r="M472" s="17">
        <f>MAX(1,NETWORKDAYS(A472,L472,Table2[Dias no laborales]))</f>
        <v>1</v>
      </c>
    </row>
    <row r="473" spans="1:13" hidden="1" x14ac:dyDescent="0.3">
      <c r="A473" s="8">
        <v>45775</v>
      </c>
      <c r="B473" s="6" t="s">
        <v>1112</v>
      </c>
      <c r="C473" s="6" t="s">
        <v>1113</v>
      </c>
      <c r="D473" s="6" t="s">
        <v>24</v>
      </c>
      <c r="E473" s="14"/>
      <c r="F473" s="8">
        <f>IF(HOUR(Table1[[#This Row],[CORREO]])&gt;=11,WORKDAY(Table1[[#This Row],[CORREO]],1,Table2[Dias no laborales]),E473)</f>
        <v>0</v>
      </c>
      <c r="G473" s="8">
        <v>45779</v>
      </c>
      <c r="H473" s="6">
        <f t="shared" si="14"/>
        <v>17</v>
      </c>
      <c r="I473" s="16">
        <f>MAX(1, NETWORKDAYS(A473, G473,Table2[Dias no laborales]))</f>
        <v>5</v>
      </c>
      <c r="J473" s="6" t="str">
        <f>IF(Table1[[#This Row],[FIN]]="","Acumulado",IF(ISNUMBER(SEARCH("ASAP",C473)),"ASAP",IF(NETWORKDAYS.INTL(F473,G473,1,Table2[Dias no laborales]) &lt;= 7, "Dentro", IF(A473&gt;F473,"Programado","Fuera"))))</f>
        <v>Programado</v>
      </c>
      <c r="K473" s="6" t="str">
        <f t="shared" si="15"/>
        <v>Programados</v>
      </c>
      <c r="L473" s="9">
        <v>45775</v>
      </c>
      <c r="M473" s="17">
        <f>MAX(1,NETWORKDAYS(A473,L473,Table2[Dias no laborales]))</f>
        <v>1</v>
      </c>
    </row>
    <row r="474" spans="1:13" hidden="1" x14ac:dyDescent="0.3">
      <c r="A474" s="8">
        <v>45775</v>
      </c>
      <c r="B474" s="6" t="s">
        <v>1179</v>
      </c>
      <c r="C474" s="6" t="s">
        <v>1180</v>
      </c>
      <c r="D474" s="6" t="s">
        <v>85</v>
      </c>
      <c r="E474" s="14">
        <v>45772.632638888892</v>
      </c>
      <c r="F474" s="8">
        <f>IF(HOUR(Table1[[#This Row],[CORREO]])&gt;=11,WORKDAY(Table1[[#This Row],[CORREO]],1,Table2[Dias no laborales]),E474)</f>
        <v>45775</v>
      </c>
      <c r="G474" s="8">
        <v>45786</v>
      </c>
      <c r="H474" s="6">
        <f t="shared" si="14"/>
        <v>17</v>
      </c>
      <c r="I474" s="16">
        <f>MAX(1, NETWORKDAYS(A474, G474,Table2[Dias no laborales]))</f>
        <v>10</v>
      </c>
      <c r="J474" s="6" t="str">
        <f>IF(Table1[[#This Row],[FIN]]="","Acumulado",IF(ISNUMBER(SEARCH("ASAP",C474)),"ASAP",IF(NETWORKDAYS.INTL(F474,G474,1,Table2[Dias no laborales]) &lt;= 7, "Dentro", IF(A474&gt;F474,"Programado","Fuera"))))</f>
        <v>Fuera</v>
      </c>
      <c r="K474" s="6" t="str">
        <f t="shared" si="15"/>
        <v>A tiempo</v>
      </c>
      <c r="L474" s="9">
        <v>45775</v>
      </c>
      <c r="M474" s="17">
        <f>MAX(1,NETWORKDAYS(A474,L474,Table2[Dias no laborales]))</f>
        <v>1</v>
      </c>
    </row>
    <row r="475" spans="1:13" hidden="1" x14ac:dyDescent="0.3">
      <c r="A475" s="8">
        <v>45775</v>
      </c>
      <c r="B475" s="5" t="s">
        <v>932</v>
      </c>
      <c r="C475" s="5" t="s">
        <v>933</v>
      </c>
      <c r="D475" s="5" t="s">
        <v>75</v>
      </c>
      <c r="E475" s="14">
        <v>45775.381944444445</v>
      </c>
      <c r="F475" s="8">
        <f>IF(HOUR(Table1[[#This Row],[CORREO]])&gt;=11,WORKDAY(Table1[[#This Row],[CORREO]],1,Table2[Dias no laborales]),E475)</f>
        <v>45775.381944444445</v>
      </c>
      <c r="G475" s="9">
        <v>45776</v>
      </c>
      <c r="H475" s="6">
        <f t="shared" si="14"/>
        <v>17</v>
      </c>
      <c r="I475" s="16">
        <f>MAX(1, NETWORKDAYS(A475, G475,Table2[Dias no laborales]))</f>
        <v>2</v>
      </c>
      <c r="J475" s="6" t="str">
        <f>IF(Table1[[#This Row],[FIN]]="","Acumulado",IF(ISNUMBER(SEARCH("ASAP",C475)),"ASAP",IF(NETWORKDAYS.INTL(F475,G475,1,Table2[Dias no laborales]) &lt;= 7, "Dentro", IF(A475&gt;F475,"Programado","Fuera"))))</f>
        <v>Dentro</v>
      </c>
      <c r="K475" s="6" t="str">
        <f t="shared" si="15"/>
        <v>A tiempo</v>
      </c>
      <c r="L475" s="8"/>
      <c r="M475" s="17">
        <f>MAX(1,NETWORKDAYS(A475,L475,Table2[Dias no laborales]))</f>
        <v>1</v>
      </c>
    </row>
    <row r="476" spans="1:13" hidden="1" x14ac:dyDescent="0.3">
      <c r="A476" s="8">
        <v>45776</v>
      </c>
      <c r="B476" s="5" t="s">
        <v>938</v>
      </c>
      <c r="C476" s="5" t="s">
        <v>939</v>
      </c>
      <c r="D476" s="5" t="s">
        <v>288</v>
      </c>
      <c r="E476" s="14">
        <v>45775.574999999997</v>
      </c>
      <c r="F476" s="8">
        <f>IF(HOUR(Table1[[#This Row],[CORREO]])&gt;=11,WORKDAY(Table1[[#This Row],[CORREO]],1,Table2[Dias no laborales]),E476)</f>
        <v>45776</v>
      </c>
      <c r="G476" s="9">
        <v>45777</v>
      </c>
      <c r="H476" s="6">
        <f t="shared" si="14"/>
        <v>17</v>
      </c>
      <c r="I476" s="16">
        <f>MAX(1, NETWORKDAYS(A476, G476,Table2[Dias no laborales]))</f>
        <v>2</v>
      </c>
      <c r="J476" s="6" t="str">
        <f>IF(Table1[[#This Row],[FIN]]="","Acumulado",IF(ISNUMBER(SEARCH("ASAP",C476)),"ASAP",IF(NETWORKDAYS.INTL(F476,G476,1,Table2[Dias no laborales]) &lt;= 7, "Dentro", IF(A476&gt;F476,"Programado","Fuera"))))</f>
        <v>Dentro</v>
      </c>
      <c r="K476" s="6" t="str">
        <f t="shared" si="15"/>
        <v>A tiempo</v>
      </c>
      <c r="L476" s="8"/>
      <c r="M476" s="17">
        <f>MAX(1,NETWORKDAYS(A476,L476,Table2[Dias no laborales]))</f>
        <v>1</v>
      </c>
    </row>
    <row r="477" spans="1:13" hidden="1" x14ac:dyDescent="0.3">
      <c r="A477" s="8">
        <v>45776</v>
      </c>
      <c r="B477" s="5" t="s">
        <v>924</v>
      </c>
      <c r="C477" s="5" t="s">
        <v>925</v>
      </c>
      <c r="D477" s="5" t="s">
        <v>504</v>
      </c>
      <c r="E477" s="14">
        <v>45775.654861111114</v>
      </c>
      <c r="F477" s="8">
        <f>IF(HOUR(Table1[[#This Row],[CORREO]])&gt;=11,WORKDAY(Table1[[#This Row],[CORREO]],1,Table2[Dias no laborales]),E477)</f>
        <v>45776</v>
      </c>
      <c r="G477" s="9">
        <v>45776</v>
      </c>
      <c r="H477" s="6">
        <f t="shared" si="14"/>
        <v>17</v>
      </c>
      <c r="I477" s="16">
        <f>MAX(1, NETWORKDAYS(A477, G477,Table2[Dias no laborales]))</f>
        <v>1</v>
      </c>
      <c r="J477" s="6" t="str">
        <f>IF(Table1[[#This Row],[FIN]]="","Acumulado",IF(ISNUMBER(SEARCH("ASAP",C477)),"ASAP",IF(NETWORKDAYS.INTL(F477,G477,1,Table2[Dias no laborales]) &lt;= 7, "Dentro", IF(A477&gt;F477,"Programado","Fuera"))))</f>
        <v>Dentro</v>
      </c>
      <c r="K477" s="6" t="str">
        <f t="shared" si="15"/>
        <v>A tiempo</v>
      </c>
      <c r="L477" s="8"/>
      <c r="M477" s="17">
        <f>MAX(1,NETWORKDAYS(A477,L477,Table2[Dias no laborales]))</f>
        <v>1</v>
      </c>
    </row>
    <row r="478" spans="1:13" hidden="1" x14ac:dyDescent="0.3">
      <c r="A478" s="8">
        <v>45776</v>
      </c>
      <c r="B478" s="6" t="s">
        <v>1155</v>
      </c>
      <c r="C478" s="6" t="s">
        <v>919</v>
      </c>
      <c r="D478" s="6" t="s">
        <v>191</v>
      </c>
      <c r="E478" s="14">
        <v>45775.963194444441</v>
      </c>
      <c r="F478" s="8">
        <f>IF(HOUR(Table1[[#This Row],[CORREO]])&gt;=11,WORKDAY(Table1[[#This Row],[CORREO]],1,Table2[Dias no laborales]),E478)</f>
        <v>45776</v>
      </c>
      <c r="G478" s="8">
        <v>45784</v>
      </c>
      <c r="H478" s="6">
        <f t="shared" si="14"/>
        <v>17</v>
      </c>
      <c r="I478" s="16">
        <f>MAX(1, NETWORKDAYS(A478, G478,Table2[Dias no laborales]))</f>
        <v>7</v>
      </c>
      <c r="J478" s="6" t="str">
        <f>IF(Table1[[#This Row],[FIN]]="","Acumulado",IF(ISNUMBER(SEARCH("ASAP",C478)),"ASAP",IF(NETWORKDAYS.INTL(F478,G478,1,Table2[Dias no laborales]) &lt;= 7, "Dentro", IF(A478&gt;F478,"Programado","Fuera"))))</f>
        <v>Dentro</v>
      </c>
      <c r="K478" s="6" t="str">
        <f t="shared" si="15"/>
        <v>A tiempo</v>
      </c>
      <c r="L478" s="9">
        <v>45776</v>
      </c>
      <c r="M478" s="17">
        <f>MAX(1,NETWORKDAYS(A478,L478,Table2[Dias no laborales]))</f>
        <v>1</v>
      </c>
    </row>
    <row r="479" spans="1:13" hidden="1" x14ac:dyDescent="0.3">
      <c r="A479" s="8">
        <v>45776</v>
      </c>
      <c r="B479" s="5" t="s">
        <v>948</v>
      </c>
      <c r="C479" s="5" t="s">
        <v>949</v>
      </c>
      <c r="D479" s="5" t="s">
        <v>27</v>
      </c>
      <c r="E479" s="14">
        <v>45776.619444444441</v>
      </c>
      <c r="F479" s="8">
        <f>IF(HOUR(Table1[[#This Row],[CORREO]])&gt;=11,WORKDAY(Table1[[#This Row],[CORREO]],1,Table2[Dias no laborales]),E479)</f>
        <v>45777</v>
      </c>
      <c r="G479" s="9">
        <v>45777</v>
      </c>
      <c r="H479" s="6">
        <f t="shared" si="14"/>
        <v>17</v>
      </c>
      <c r="I479" s="16">
        <f>MAX(1, NETWORKDAYS(A479, G479,Table2[Dias no laborales]))</f>
        <v>2</v>
      </c>
      <c r="J479" s="6" t="str">
        <f>IF(Table1[[#This Row],[FIN]]="","Acumulado",IF(ISNUMBER(SEARCH("ASAP",C479)),"ASAP",IF(NETWORKDAYS.INTL(F479,G479,1,Table2[Dias no laborales]) &lt;= 7, "Dentro", IF(A479&gt;F479,"Programado","Fuera"))))</f>
        <v>Dentro</v>
      </c>
      <c r="K479" s="6" t="str">
        <f t="shared" si="15"/>
        <v>Mismo día</v>
      </c>
      <c r="L479" s="8"/>
      <c r="M479" s="17">
        <f>MAX(1,NETWORKDAYS(A479,L479,Table2[Dias no laborales]))</f>
        <v>1</v>
      </c>
    </row>
    <row r="480" spans="1:13" hidden="1" x14ac:dyDescent="0.3">
      <c r="A480" s="8">
        <v>45777</v>
      </c>
      <c r="B480" s="6" t="s">
        <v>1181</v>
      </c>
      <c r="C480" s="6" t="s">
        <v>1182</v>
      </c>
      <c r="D480" s="6" t="s">
        <v>148</v>
      </c>
      <c r="E480" s="14">
        <v>45776.5</v>
      </c>
      <c r="F480" s="8">
        <f>IF(HOUR(Table1[[#This Row],[CORREO]])&gt;=11,WORKDAY(Table1[[#This Row],[CORREO]],1,Table2[Dias no laborales]),E480)</f>
        <v>45777</v>
      </c>
      <c r="G480" s="8">
        <v>45790</v>
      </c>
      <c r="H480" s="6">
        <f t="shared" si="14"/>
        <v>18</v>
      </c>
      <c r="I480" s="16">
        <f>MAX(1, NETWORKDAYS(A480, G480,Table2[Dias no laborales]))</f>
        <v>10</v>
      </c>
      <c r="J480" s="6" t="str">
        <f>IF(Table1[[#This Row],[FIN]]="","Acumulado",IF(ISNUMBER(SEARCH("ASAP",C480)),"ASAP",IF(NETWORKDAYS.INTL(F480,G480,1,Table2[Dias no laborales]) &lt;= 7, "Dentro", IF(A480&gt;F480,"Programado","Fuera"))))</f>
        <v>Fuera</v>
      </c>
      <c r="K480" s="6" t="str">
        <f t="shared" si="15"/>
        <v>A tiempo</v>
      </c>
      <c r="L480" s="9">
        <v>45790</v>
      </c>
      <c r="M480" s="17">
        <f>MAX(1,NETWORKDAYS(A480,L480,Table2[Dias no laborales]))</f>
        <v>10</v>
      </c>
    </row>
    <row r="481" spans="1:13" hidden="1" x14ac:dyDescent="0.3">
      <c r="A481" s="8">
        <v>45777</v>
      </c>
      <c r="B481" s="5" t="s">
        <v>940</v>
      </c>
      <c r="C481" s="5" t="s">
        <v>941</v>
      </c>
      <c r="D481" s="5" t="s">
        <v>154</v>
      </c>
      <c r="E481" s="14">
        <v>45776.684027777781</v>
      </c>
      <c r="F481" s="8">
        <f>IF(HOUR(Table1[[#This Row],[CORREO]])&gt;=11,WORKDAY(Table1[[#This Row],[CORREO]],1,Table2[Dias no laborales]),E481)</f>
        <v>45777</v>
      </c>
      <c r="G481" s="9">
        <v>45777</v>
      </c>
      <c r="H481" s="6">
        <f t="shared" si="14"/>
        <v>18</v>
      </c>
      <c r="I481" s="16">
        <f>MAX(1, NETWORKDAYS(A481, G481,Table2[Dias no laborales]))</f>
        <v>1</v>
      </c>
      <c r="J481" s="6" t="str">
        <f>IF(Table1[[#This Row],[FIN]]="","Acumulado",IF(ISNUMBER(SEARCH("ASAP",C481)),"ASAP",IF(NETWORKDAYS.INTL(F481,G481,1,Table2[Dias no laborales]) &lt;= 7, "Dentro", IF(A481&gt;F481,"Programado","Fuera"))))</f>
        <v>Dentro</v>
      </c>
      <c r="K481" s="6" t="str">
        <f t="shared" si="15"/>
        <v>A tiempo</v>
      </c>
      <c r="L481" s="8"/>
      <c r="M481" s="17">
        <f>MAX(1,NETWORKDAYS(A481,L481,Table2[Dias no laborales]))</f>
        <v>1</v>
      </c>
    </row>
    <row r="482" spans="1:13" hidden="1" x14ac:dyDescent="0.3">
      <c r="A482" s="8">
        <v>45777</v>
      </c>
      <c r="B482" s="5" t="s">
        <v>942</v>
      </c>
      <c r="C482" s="5" t="s">
        <v>943</v>
      </c>
      <c r="D482" s="5" t="s">
        <v>342</v>
      </c>
      <c r="E482" s="14">
        <v>45777.383333333331</v>
      </c>
      <c r="F482" s="8">
        <f>IF(HOUR(Table1[[#This Row],[CORREO]])&gt;=11,WORKDAY(Table1[[#This Row],[CORREO]],1,Table2[Dias no laborales]),E482)</f>
        <v>45777.383333333331</v>
      </c>
      <c r="G482" s="9">
        <v>45777</v>
      </c>
      <c r="H482" s="6">
        <f t="shared" si="14"/>
        <v>18</v>
      </c>
      <c r="I482" s="16">
        <f>MAX(1, NETWORKDAYS(A482, G482,Table2[Dias no laborales]))</f>
        <v>1</v>
      </c>
      <c r="J482" s="6" t="str">
        <f>IF(Table1[[#This Row],[FIN]]="","Acumulado",IF(ISNUMBER(SEARCH("ASAP",C482)),"ASAP",IF(NETWORKDAYS.INTL(F482,G482,1,Table2[Dias no laborales]) &lt;= 7, "Dentro", IF(A482&gt;F482,"Programado","Fuera"))))</f>
        <v>Dentro</v>
      </c>
      <c r="K482" s="6" t="str">
        <f t="shared" si="15"/>
        <v>A tiempo</v>
      </c>
      <c r="L482" s="8"/>
      <c r="M482" s="17">
        <f>MAX(1,NETWORKDAYS(A482,L482,Table2[Dias no laborales]))</f>
        <v>1</v>
      </c>
    </row>
    <row r="483" spans="1:13" hidden="1" x14ac:dyDescent="0.3">
      <c r="A483" s="8">
        <v>45777</v>
      </c>
      <c r="B483" s="6" t="s">
        <v>1072</v>
      </c>
      <c r="C483" s="6" t="s">
        <v>1073</v>
      </c>
      <c r="D483" s="6" t="s">
        <v>538</v>
      </c>
      <c r="E483" s="14"/>
      <c r="F483" s="8">
        <f>IF(HOUR(Table1[[#This Row],[CORREO]])&gt;=11,WORKDAY(Table1[[#This Row],[CORREO]],1,Table2[Dias no laborales]),E483)</f>
        <v>0</v>
      </c>
      <c r="G483" s="8">
        <v>45779</v>
      </c>
      <c r="H483" s="6">
        <f t="shared" si="14"/>
        <v>18</v>
      </c>
      <c r="I483" s="16">
        <f>MAX(1, NETWORKDAYS(A483, G483,Table2[Dias no laborales]))</f>
        <v>3</v>
      </c>
      <c r="J483" s="6" t="str">
        <f>IF(Table1[[#This Row],[FIN]]="","Acumulado",IF(ISNUMBER(SEARCH("ASAP",C483)),"ASAP",IF(NETWORKDAYS.INTL(F483,G483,1,Table2[Dias no laborales]) &lt;= 7, "Dentro", IF(A483&gt;F483,"Programado","Fuera"))))</f>
        <v>Programado</v>
      </c>
      <c r="K483" s="6" t="str">
        <f t="shared" si="15"/>
        <v>Programados</v>
      </c>
      <c r="L483" s="9">
        <v>45779</v>
      </c>
      <c r="M483" s="17">
        <f>MAX(1,NETWORKDAYS(A483,L483,Table2[Dias no laborales]))</f>
        <v>3</v>
      </c>
    </row>
    <row r="484" spans="1:13" hidden="1" x14ac:dyDescent="0.3">
      <c r="A484" s="8">
        <v>45777</v>
      </c>
      <c r="B484" s="5" t="s">
        <v>944</v>
      </c>
      <c r="C484" s="5" t="s">
        <v>945</v>
      </c>
      <c r="D484" s="5" t="s">
        <v>89</v>
      </c>
      <c r="E484" s="14">
        <v>45777.429166666669</v>
      </c>
      <c r="F484" s="8">
        <f>IF(HOUR(Table1[[#This Row],[CORREO]])&gt;=11,WORKDAY(Table1[[#This Row],[CORREO]],1,Table2[Dias no laborales]),E484)</f>
        <v>45777.429166666669</v>
      </c>
      <c r="G484" s="9">
        <v>45777</v>
      </c>
      <c r="H484" s="6">
        <f t="shared" si="14"/>
        <v>18</v>
      </c>
      <c r="I484" s="16">
        <f>MAX(1, NETWORKDAYS(A484, G484,Table2[Dias no laborales]))</f>
        <v>1</v>
      </c>
      <c r="J484" s="6" t="str">
        <f>IF(Table1[[#This Row],[FIN]]="","Acumulado",IF(ISNUMBER(SEARCH("ASAP",C484)),"ASAP",IF(NETWORKDAYS.INTL(F484,G484,1,Table2[Dias no laborales]) &lt;= 7, "Dentro", IF(A484&gt;F484,"Programado","Fuera"))))</f>
        <v>Dentro</v>
      </c>
      <c r="K484" s="6" t="str">
        <f t="shared" si="15"/>
        <v>A tiempo</v>
      </c>
      <c r="L484" s="8"/>
      <c r="M484" s="17">
        <f>MAX(1,NETWORKDAYS(A484,L484,Table2[Dias no laborales]))</f>
        <v>1</v>
      </c>
    </row>
    <row r="485" spans="1:13" hidden="1" x14ac:dyDescent="0.3">
      <c r="A485" s="8">
        <v>45777</v>
      </c>
      <c r="B485" s="6" t="s">
        <v>1074</v>
      </c>
      <c r="C485" s="6" t="s">
        <v>807</v>
      </c>
      <c r="D485" s="6" t="s">
        <v>119</v>
      </c>
      <c r="E485" s="14">
        <v>45777.436805555553</v>
      </c>
      <c r="F485" s="8">
        <f>IF(HOUR(Table1[[#This Row],[CORREO]])&gt;=11,WORKDAY(Table1[[#This Row],[CORREO]],1,Table2[Dias no laborales]),E485)</f>
        <v>45777.436805555553</v>
      </c>
      <c r="G485" s="8">
        <v>45779</v>
      </c>
      <c r="H485" s="6">
        <f t="shared" si="14"/>
        <v>18</v>
      </c>
      <c r="I485" s="16">
        <f>MAX(1, NETWORKDAYS(A485, G485,Table2[Dias no laborales]))</f>
        <v>3</v>
      </c>
      <c r="J485" s="6" t="str">
        <f>IF(Table1[[#This Row],[FIN]]="","Acumulado",IF(ISNUMBER(SEARCH("ASAP",C485)),"ASAP",IF(NETWORKDAYS.INTL(F485,G485,1,Table2[Dias no laborales]) &lt;= 7, "Dentro", IF(A485&gt;F485,"Programado","Fuera"))))</f>
        <v>Dentro</v>
      </c>
      <c r="K485" s="6" t="str">
        <f t="shared" si="15"/>
        <v>A tiempo</v>
      </c>
      <c r="L485" s="9">
        <v>45779</v>
      </c>
      <c r="M485" s="17">
        <f>MAX(1,NETWORKDAYS(A485,L485,Table2[Dias no laborales]))</f>
        <v>3</v>
      </c>
    </row>
    <row r="486" spans="1:13" hidden="1" x14ac:dyDescent="0.3">
      <c r="A486" s="8">
        <v>45777</v>
      </c>
      <c r="B486" s="6" t="s">
        <v>1114</v>
      </c>
      <c r="C486" s="6" t="s">
        <v>1115</v>
      </c>
      <c r="D486" s="6" t="s">
        <v>351</v>
      </c>
      <c r="E486" s="14">
        <v>45807.461111111108</v>
      </c>
      <c r="F486" s="8">
        <f>IF(HOUR(Table1[[#This Row],[CORREO]])&gt;=11,WORKDAY(Table1[[#This Row],[CORREO]],1,Table2[Dias no laborales]),E486)</f>
        <v>45810</v>
      </c>
      <c r="G486" s="8">
        <v>45783</v>
      </c>
      <c r="H486" s="6">
        <f t="shared" si="14"/>
        <v>18</v>
      </c>
      <c r="I486" s="16">
        <f>MAX(1, NETWORKDAYS(A486, G486,Table2[Dias no laborales]))</f>
        <v>5</v>
      </c>
      <c r="J486" s="6" t="str">
        <f>IF(Table1[[#This Row],[FIN]]="","Acumulado",IF(ISNUMBER(SEARCH("ASAP",C486)),"ASAP",IF(NETWORKDAYS.INTL(F486,G486,1,Table2[Dias no laborales]) &lt;= 7, "Dentro", IF(A486&gt;F486,"Programado","Fuera"))))</f>
        <v>Dentro</v>
      </c>
      <c r="K486" s="6" t="str">
        <f t="shared" si="15"/>
        <v>Mismo día</v>
      </c>
      <c r="L486" s="9">
        <v>45777</v>
      </c>
      <c r="M486" s="17">
        <f>MAX(1,NETWORKDAYS(A486,L486,Table2[Dias no laborales]))</f>
        <v>1</v>
      </c>
    </row>
    <row r="487" spans="1:13" hidden="1" x14ac:dyDescent="0.3">
      <c r="A487" s="8">
        <v>45779</v>
      </c>
      <c r="B487" s="6" t="s">
        <v>1091</v>
      </c>
      <c r="C487" s="6" t="s">
        <v>1092</v>
      </c>
      <c r="D487" s="6" t="s">
        <v>27</v>
      </c>
      <c r="E487" s="14">
        <v>45777.51666666667</v>
      </c>
      <c r="F487" s="8">
        <f>IF(HOUR(Table1[[#This Row],[CORREO]])&gt;=11,WORKDAY(Table1[[#This Row],[CORREO]],1,Table2[Dias no laborales]),E487)</f>
        <v>45778</v>
      </c>
      <c r="G487" s="8">
        <v>45784</v>
      </c>
      <c r="H487" s="6">
        <f t="shared" si="14"/>
        <v>18</v>
      </c>
      <c r="I487" s="16">
        <f>MAX(1, NETWORKDAYS(A487, G487,Table2[Dias no laborales]))</f>
        <v>4</v>
      </c>
      <c r="J487" s="6" t="str">
        <f>IF(Table1[[#This Row],[FIN]]="","Acumulado",IF(ISNUMBER(SEARCH("ASAP",C487)),"ASAP",IF(NETWORKDAYS.INTL(F487,G487,1,Table2[Dias no laborales]) &lt;= 7, "Dentro", IF(A487&gt;F487,"Programado","Fuera"))))</f>
        <v>Dentro</v>
      </c>
      <c r="K487" s="6" t="str">
        <f t="shared" si="15"/>
        <v>Programados</v>
      </c>
      <c r="L487" s="9">
        <v>45784</v>
      </c>
      <c r="M487" s="17">
        <f>MAX(1,NETWORKDAYS(A487,L487,Table2[Dias no laborales]))</f>
        <v>4</v>
      </c>
    </row>
    <row r="488" spans="1:13" hidden="1" x14ac:dyDescent="0.3">
      <c r="A488" s="8">
        <v>45779</v>
      </c>
      <c r="B488" s="6" t="s">
        <v>950</v>
      </c>
      <c r="C488" s="6" t="s">
        <v>951</v>
      </c>
      <c r="D488" s="6" t="s">
        <v>27</v>
      </c>
      <c r="E488" s="14">
        <v>45777.563194444447</v>
      </c>
      <c r="F488" s="8">
        <f>IF(HOUR(Table1[[#This Row],[CORREO]])&gt;=11,WORKDAY(Table1[[#This Row],[CORREO]],1,Table2[Dias no laborales]),E488)</f>
        <v>45778</v>
      </c>
      <c r="G488" s="8">
        <v>45779</v>
      </c>
      <c r="H488" s="6">
        <f t="shared" si="14"/>
        <v>18</v>
      </c>
      <c r="I488" s="16">
        <f>MAX(1, NETWORKDAYS(A488, G488,Table2[Dias no laborales]))</f>
        <v>1</v>
      </c>
      <c r="J488" s="6" t="str">
        <f>IF(Table1[[#This Row],[FIN]]="","Acumulado",IF(ISNUMBER(SEARCH("ASAP",C488)),"ASAP",IF(NETWORKDAYS.INTL(F488,G488,1,Table2[Dias no laborales]) &lt;= 7, "Dentro", IF(A488&gt;F488,"Programado","Fuera"))))</f>
        <v>Dentro</v>
      </c>
      <c r="K488" s="6" t="str">
        <f t="shared" si="15"/>
        <v>Programados</v>
      </c>
      <c r="L488" s="9">
        <v>45779</v>
      </c>
      <c r="M488" s="17">
        <f>MAX(1,NETWORKDAYS(A488,L488,Table2[Dias no laborales]))</f>
        <v>1</v>
      </c>
    </row>
    <row r="489" spans="1:13" hidden="1" x14ac:dyDescent="0.3">
      <c r="A489" s="8">
        <v>45790</v>
      </c>
      <c r="B489" s="6" t="s">
        <v>1255</v>
      </c>
      <c r="C489" s="6" t="s">
        <v>1256</v>
      </c>
      <c r="D489" s="6" t="s">
        <v>24</v>
      </c>
      <c r="E489" s="14">
        <v>45777.59097222222</v>
      </c>
      <c r="F489" s="8">
        <f>IF(HOUR(Table1[[#This Row],[CORREO]])&gt;=11,WORKDAY(Table1[[#This Row],[CORREO]],1,Table2[Dias no laborales]),E489)</f>
        <v>45778</v>
      </c>
      <c r="G489" s="8">
        <v>45812</v>
      </c>
      <c r="H489" s="6">
        <f t="shared" si="14"/>
        <v>19</v>
      </c>
      <c r="I489" s="16">
        <f>MAX(1, NETWORKDAYS(A489, G489,Table2[Dias no laborales]))</f>
        <v>17</v>
      </c>
      <c r="J489" s="6" t="str">
        <f>IF(Table1[[#This Row],[FIN]]="","Acumulado",IF(ISNUMBER(SEARCH("ASAP",C489)),"ASAP",IF(NETWORKDAYS.INTL(F489,G489,1,Table2[Dias no laborales]) &lt;= 7, "Dentro", IF(A489&gt;F489,"Programado","Fuera"))))</f>
        <v>Programado</v>
      </c>
      <c r="K489" s="6" t="str">
        <f t="shared" si="15"/>
        <v>Programados</v>
      </c>
      <c r="L489" s="9">
        <v>45783</v>
      </c>
      <c r="M489" s="17">
        <f>MAX(1,NETWORKDAYS(A489,L489,Table2[Dias no laborales]))</f>
        <v>1</v>
      </c>
    </row>
    <row r="490" spans="1:13" hidden="1" x14ac:dyDescent="0.3">
      <c r="A490" s="8">
        <v>45779</v>
      </c>
      <c r="B490" s="6" t="s">
        <v>952</v>
      </c>
      <c r="C490" s="6" t="s">
        <v>953</v>
      </c>
      <c r="D490" s="6" t="s">
        <v>61</v>
      </c>
      <c r="E490" s="14">
        <v>45779.478472222225</v>
      </c>
      <c r="F490" s="8">
        <f>IF(HOUR(Table1[[#This Row],[CORREO]])&gt;=11,WORKDAY(Table1[[#This Row],[CORREO]],1,Table2[Dias no laborales]),E490)</f>
        <v>45782</v>
      </c>
      <c r="G490" s="8">
        <v>45779</v>
      </c>
      <c r="H490" s="6">
        <f t="shared" si="14"/>
        <v>18</v>
      </c>
      <c r="I490" s="16">
        <f>MAX(1, NETWORKDAYS(A490, G490,Table2[Dias no laborales]))</f>
        <v>1</v>
      </c>
      <c r="J490" s="6" t="str">
        <f>IF(Table1[[#This Row],[FIN]]="","Acumulado",IF(ISNUMBER(SEARCH("ASAP",C490)),"ASAP",IF(NETWORKDAYS.INTL(F490,G490,1,Table2[Dias no laborales]) &lt;= 7, "Dentro", IF(A490&gt;F490,"Programado","Fuera"))))</f>
        <v>Dentro</v>
      </c>
      <c r="K490" s="6" t="str">
        <f t="shared" si="15"/>
        <v>Mismo día</v>
      </c>
      <c r="L490" s="9">
        <v>45779</v>
      </c>
      <c r="M490" s="17">
        <f>MAX(1,NETWORKDAYS(A490,L490,Table2[Dias no laborales]))</f>
        <v>1</v>
      </c>
    </row>
    <row r="491" spans="1:13" hidden="1" x14ac:dyDescent="0.3">
      <c r="A491" s="8">
        <v>45783</v>
      </c>
      <c r="B491" s="6" t="s">
        <v>1097</v>
      </c>
      <c r="C491" s="6" t="s">
        <v>1098</v>
      </c>
      <c r="D491" s="6" t="s">
        <v>1099</v>
      </c>
      <c r="E491" s="14">
        <v>45779.654166666667</v>
      </c>
      <c r="F491" s="8">
        <f>IF(HOUR(Table1[[#This Row],[CORREO]])&gt;=11,WORKDAY(Table1[[#This Row],[CORREO]],1,Table2[Dias no laborales]),E491)</f>
        <v>45782</v>
      </c>
      <c r="G491" s="8">
        <v>45786</v>
      </c>
      <c r="H491" s="6">
        <f t="shared" si="14"/>
        <v>18</v>
      </c>
      <c r="I491" s="16">
        <f>MAX(1, NETWORKDAYS(A491, G491,Table2[Dias no laborales]))</f>
        <v>4</v>
      </c>
      <c r="J491" s="6" t="str">
        <f>IF(Table1[[#This Row],[FIN]]="","Acumulado",IF(ISNUMBER(SEARCH("ASAP",C491)),"ASAP",IF(NETWORKDAYS.INTL(F491,G491,1,Table2[Dias no laborales]) &lt;= 7, "Dentro", IF(A491&gt;F491,"Programado","Fuera"))))</f>
        <v>Dentro</v>
      </c>
      <c r="K491" s="6" t="str">
        <f t="shared" si="15"/>
        <v>Programados</v>
      </c>
      <c r="L491" s="9">
        <v>45783</v>
      </c>
      <c r="M491" s="17">
        <f>MAX(1,NETWORKDAYS(A491,L491,Table2[Dias no laborales]))</f>
        <v>1</v>
      </c>
    </row>
    <row r="492" spans="1:13" hidden="1" x14ac:dyDescent="0.3">
      <c r="A492" s="8">
        <v>45783</v>
      </c>
      <c r="B492" s="6" t="s">
        <v>1156</v>
      </c>
      <c r="C492" s="6" t="s">
        <v>1157</v>
      </c>
      <c r="D492" s="6" t="s">
        <v>24</v>
      </c>
      <c r="E492" s="14">
        <v>45782.352083333331</v>
      </c>
      <c r="F492" s="8">
        <f>IF(HOUR(Table1[[#This Row],[CORREO]])&gt;=11,WORKDAY(Table1[[#This Row],[CORREO]],1,Table2[Dias no laborales]),E492)</f>
        <v>45782.352083333331</v>
      </c>
      <c r="G492" s="8">
        <v>45791</v>
      </c>
      <c r="H492" s="6">
        <f t="shared" si="14"/>
        <v>18</v>
      </c>
      <c r="I492" s="16">
        <f>MAX(1, NETWORKDAYS(A492, G492,Table2[Dias no laborales]))</f>
        <v>7</v>
      </c>
      <c r="J492" s="6" t="str">
        <f>IF(Table1[[#This Row],[FIN]]="","Acumulado",IF(ISNUMBER(SEARCH("ASAP",C492)),"ASAP",IF(NETWORKDAYS.INTL(F492,G492,1,Table2[Dias no laborales]) &lt;= 7, "Dentro", IF(A492&gt;F492,"Programado","Fuera"))))</f>
        <v>Programado</v>
      </c>
      <c r="K492" s="6" t="str">
        <f t="shared" si="15"/>
        <v>Programados</v>
      </c>
      <c r="L492" s="9">
        <v>45789</v>
      </c>
      <c r="M492" s="17">
        <f>MAX(1,NETWORKDAYS(A492,L492,Table2[Dias no laborales]))</f>
        <v>5</v>
      </c>
    </row>
    <row r="493" spans="1:13" hidden="1" x14ac:dyDescent="0.3">
      <c r="A493" s="8">
        <v>45783</v>
      </c>
      <c r="B493" s="6" t="s">
        <v>954</v>
      </c>
      <c r="C493" s="6" t="s">
        <v>955</v>
      </c>
      <c r="D493" s="6" t="s">
        <v>230</v>
      </c>
      <c r="E493" s="14">
        <v>45782.479861111111</v>
      </c>
      <c r="F493" s="8">
        <f>IF(HOUR(Table1[[#This Row],[CORREO]])&gt;=11,WORKDAY(Table1[[#This Row],[CORREO]],1,Table2[Dias no laborales]),E493)</f>
        <v>45783</v>
      </c>
      <c r="G493" s="8">
        <v>45783</v>
      </c>
      <c r="H493" s="6">
        <f t="shared" si="14"/>
        <v>18</v>
      </c>
      <c r="I493" s="16">
        <f>MAX(1, NETWORKDAYS(A493, G493,Table2[Dias no laborales]))</f>
        <v>1</v>
      </c>
      <c r="J493" s="6" t="str">
        <f>IF(Table1[[#This Row],[FIN]]="","Acumulado",IF(ISNUMBER(SEARCH("ASAP",C493)),"ASAP",IF(NETWORKDAYS.INTL(F493,G493,1,Table2[Dias no laborales]) &lt;= 7, "Dentro", IF(A493&gt;F493,"Programado","Fuera"))))</f>
        <v>Dentro</v>
      </c>
      <c r="K493" s="6" t="str">
        <f t="shared" si="15"/>
        <v>A tiempo</v>
      </c>
      <c r="L493" s="9">
        <v>45783</v>
      </c>
      <c r="M493" s="17">
        <f>MAX(1,NETWORKDAYS(A493,L493,Table2[Dias no laborales]))</f>
        <v>1</v>
      </c>
    </row>
    <row r="494" spans="1:13" hidden="1" x14ac:dyDescent="0.3">
      <c r="A494" s="8">
        <v>45783</v>
      </c>
      <c r="B494" s="6" t="s">
        <v>1029</v>
      </c>
      <c r="C494" s="6" t="s">
        <v>320</v>
      </c>
      <c r="D494" s="6" t="s">
        <v>27</v>
      </c>
      <c r="E494" s="14">
        <v>45782.747916666667</v>
      </c>
      <c r="F494" s="8">
        <f>IF(HOUR(Table1[[#This Row],[CORREO]])&gt;=11,WORKDAY(Table1[[#This Row],[CORREO]],1,Table2[Dias no laborales]),E494)</f>
        <v>45783</v>
      </c>
      <c r="G494" s="8">
        <v>45784</v>
      </c>
      <c r="H494" s="6">
        <f t="shared" si="14"/>
        <v>18</v>
      </c>
      <c r="I494" s="16">
        <f>MAX(1, NETWORKDAYS(A494, G494,Table2[Dias no laborales]))</f>
        <v>2</v>
      </c>
      <c r="J494" s="6" t="str">
        <f>IF(Table1[[#This Row],[FIN]]="","Acumulado",IF(ISNUMBER(SEARCH("ASAP",C494)),"ASAP",IF(NETWORKDAYS.INTL(F494,G494,1,Table2[Dias no laborales]) &lt;= 7, "Dentro", IF(A494&gt;F494,"Programado","Fuera"))))</f>
        <v>Dentro</v>
      </c>
      <c r="K494" s="6" t="str">
        <f t="shared" si="15"/>
        <v>A tiempo</v>
      </c>
      <c r="L494" s="9">
        <v>45783</v>
      </c>
      <c r="M494" s="17">
        <f>MAX(1,NETWORKDAYS(A494,L494,Table2[Dias no laborales]))</f>
        <v>1</v>
      </c>
    </row>
    <row r="495" spans="1:13" hidden="1" x14ac:dyDescent="0.3">
      <c r="A495" s="8">
        <v>45783</v>
      </c>
      <c r="B495" s="6" t="s">
        <v>1145</v>
      </c>
      <c r="C495" s="6" t="s">
        <v>1146</v>
      </c>
      <c r="D495" s="6" t="s">
        <v>191</v>
      </c>
      <c r="E495" s="14">
        <v>45782.984722222223</v>
      </c>
      <c r="F495" s="8">
        <f>IF(HOUR(Table1[[#This Row],[CORREO]])&gt;=11,WORKDAY(Table1[[#This Row],[CORREO]],1,Table2[Dias no laborales]),E495)</f>
        <v>45783</v>
      </c>
      <c r="G495" s="8">
        <v>45790</v>
      </c>
      <c r="H495" s="6">
        <f t="shared" si="14"/>
        <v>18</v>
      </c>
      <c r="I495" s="16">
        <f>MAX(1, NETWORKDAYS(A495, G495,Table2[Dias no laborales]))</f>
        <v>6</v>
      </c>
      <c r="J495" s="6" t="str">
        <f>IF(Table1[[#This Row],[FIN]]="","Acumulado",IF(ISNUMBER(SEARCH("ASAP",C495)),"ASAP",IF(NETWORKDAYS.INTL(F495,G495,1,Table2[Dias no laborales]) &lt;= 7, "Dentro", IF(A495&gt;F495,"Programado","Fuera"))))</f>
        <v>Dentro</v>
      </c>
      <c r="K495" s="6" t="str">
        <f t="shared" si="15"/>
        <v>A tiempo</v>
      </c>
      <c r="L495" s="9">
        <v>45783</v>
      </c>
      <c r="M495" s="17">
        <f>MAX(1,NETWORKDAYS(A495,L495,Table2[Dias no laborales]))</f>
        <v>1</v>
      </c>
    </row>
    <row r="496" spans="1:13" hidden="1" x14ac:dyDescent="0.3">
      <c r="A496" s="8">
        <v>45783</v>
      </c>
      <c r="B496" s="6" t="s">
        <v>1093</v>
      </c>
      <c r="C496" s="6" t="s">
        <v>1094</v>
      </c>
      <c r="D496" s="6" t="s">
        <v>133</v>
      </c>
      <c r="E496" s="14">
        <v>45783.380555555559</v>
      </c>
      <c r="F496" s="8">
        <f>IF(HOUR(Table1[[#This Row],[CORREO]])&gt;=11,WORKDAY(Table1[[#This Row],[CORREO]],1,Table2[Dias no laborales]),E496)</f>
        <v>45783.380555555559</v>
      </c>
      <c r="G496" s="8">
        <v>45786</v>
      </c>
      <c r="H496" s="6">
        <f t="shared" si="14"/>
        <v>18</v>
      </c>
      <c r="I496" s="16">
        <f>MAX(1, NETWORKDAYS(A496, G496,Table2[Dias no laborales]))</f>
        <v>4</v>
      </c>
      <c r="J496" s="6" t="str">
        <f>IF(Table1[[#This Row],[FIN]]="","Acumulado",IF(ISNUMBER(SEARCH("ASAP",C496)),"ASAP",IF(NETWORKDAYS.INTL(F496,G496,1,Table2[Dias no laborales]) &lt;= 7, "Dentro", IF(A496&gt;F496,"Programado","Fuera"))))</f>
        <v>Dentro</v>
      </c>
      <c r="K496" s="6" t="str">
        <f t="shared" si="15"/>
        <v>A tiempo</v>
      </c>
      <c r="L496" s="9">
        <v>45786</v>
      </c>
      <c r="M496" s="17">
        <f>MAX(1,NETWORKDAYS(A496,L496,Table2[Dias no laborales]))</f>
        <v>4</v>
      </c>
    </row>
    <row r="497" spans="1:13" hidden="1" x14ac:dyDescent="0.3">
      <c r="A497" s="8">
        <v>45783</v>
      </c>
      <c r="B497" s="6" t="s">
        <v>1095</v>
      </c>
      <c r="C497" s="6" t="s">
        <v>1096</v>
      </c>
      <c r="D497" s="6" t="s">
        <v>24</v>
      </c>
      <c r="E497" s="14"/>
      <c r="F497" s="8">
        <f>IF(HOUR(Table1[[#This Row],[CORREO]])&gt;=11,WORKDAY(Table1[[#This Row],[CORREO]],1,Table2[Dias no laborales]),E497)</f>
        <v>0</v>
      </c>
      <c r="G497" s="8">
        <v>45786</v>
      </c>
      <c r="H497" s="6">
        <f t="shared" si="14"/>
        <v>18</v>
      </c>
      <c r="I497" s="16">
        <f>MAX(1, NETWORKDAYS(A497, G497,Table2[Dias no laborales]))</f>
        <v>4</v>
      </c>
      <c r="J497" s="6" t="str">
        <f>IF(Table1[[#This Row],[FIN]]="","Acumulado",IF(ISNUMBER(SEARCH("ASAP",C497)),"ASAP",IF(NETWORKDAYS.INTL(F497,G497,1,Table2[Dias no laborales]) &lt;= 7, "Dentro", IF(A497&gt;F497,"Programado","Fuera"))))</f>
        <v>Programado</v>
      </c>
      <c r="K497" s="6" t="str">
        <f t="shared" si="15"/>
        <v>Programados</v>
      </c>
      <c r="L497" s="9">
        <v>45783</v>
      </c>
      <c r="M497" s="17">
        <f>MAX(1,NETWORKDAYS(A497,L497,Table2[Dias no laborales]))</f>
        <v>1</v>
      </c>
    </row>
    <row r="498" spans="1:13" hidden="1" x14ac:dyDescent="0.3">
      <c r="A498" s="8">
        <v>45783</v>
      </c>
      <c r="B498" s="5" t="s">
        <v>1189</v>
      </c>
      <c r="C498" s="5" t="s">
        <v>1190</v>
      </c>
      <c r="D498" s="5" t="s">
        <v>27</v>
      </c>
      <c r="E498" s="14"/>
      <c r="F498" s="8">
        <f>IF(HOUR(Table1[[#This Row],[CORREO]])&gt;=11,WORKDAY(Table1[[#This Row],[CORREO]],1,Table2[Dias no laborales]),E498)</f>
        <v>0</v>
      </c>
      <c r="G498" s="8">
        <v>45798</v>
      </c>
      <c r="H498" s="6">
        <f t="shared" si="14"/>
        <v>18</v>
      </c>
      <c r="I498" s="16">
        <f>MAX(1, NETWORKDAYS(A498, G498,Table2[Dias no laborales]))</f>
        <v>12</v>
      </c>
      <c r="J498" s="6" t="str">
        <f>IF(Table1[[#This Row],[FIN]]="","Acumulado",IF(ISNUMBER(SEARCH("ASAP",C498)),"ASAP",IF(NETWORKDAYS.INTL(F498,G498,1,Table2[Dias no laborales]) &lt;= 7, "Dentro", IF(A498&gt;F498,"Programado","Fuera"))))</f>
        <v>Programado</v>
      </c>
      <c r="K498" s="6" t="str">
        <f t="shared" si="15"/>
        <v>Programados</v>
      </c>
      <c r="L498" s="9">
        <v>45785</v>
      </c>
      <c r="M498" s="17">
        <f>MAX(1,NETWORKDAYS(A498,L498,Table2[Dias no laborales]))</f>
        <v>3</v>
      </c>
    </row>
    <row r="499" spans="1:13" hidden="1" x14ac:dyDescent="0.3">
      <c r="A499" s="8">
        <v>45783</v>
      </c>
      <c r="B499" s="6" t="s">
        <v>1116</v>
      </c>
      <c r="C499" s="6" t="s">
        <v>1117</v>
      </c>
      <c r="D499" s="6" t="s">
        <v>27</v>
      </c>
      <c r="E499" s="14"/>
      <c r="F499" s="8">
        <f>IF(HOUR(Table1[[#This Row],[CORREO]])&gt;=11,WORKDAY(Table1[[#This Row],[CORREO]],1,Table2[Dias no laborales]),E499)</f>
        <v>0</v>
      </c>
      <c r="G499" s="8">
        <v>45789</v>
      </c>
      <c r="H499" s="6">
        <f t="shared" si="14"/>
        <v>18</v>
      </c>
      <c r="I499" s="16">
        <f>MAX(1, NETWORKDAYS(A499, G499,Table2[Dias no laborales]))</f>
        <v>5</v>
      </c>
      <c r="J499" s="6" t="str">
        <f>IF(Table1[[#This Row],[FIN]]="","Acumulado",IF(ISNUMBER(SEARCH("ASAP",C499)),"ASAP",IF(NETWORKDAYS.INTL(F499,G499,1,Table2[Dias no laborales]) &lt;= 7, "Dentro", IF(A499&gt;F499,"Programado","Fuera"))))</f>
        <v>Programado</v>
      </c>
      <c r="K499" s="6" t="str">
        <f t="shared" si="15"/>
        <v>Programados</v>
      </c>
      <c r="L499" s="9">
        <v>45785</v>
      </c>
      <c r="M499" s="17">
        <f>MAX(1,NETWORKDAYS(A499,L499,Table2[Dias no laborales]))</f>
        <v>3</v>
      </c>
    </row>
    <row r="500" spans="1:13" hidden="1" x14ac:dyDescent="0.3">
      <c r="A500" s="8">
        <v>45783</v>
      </c>
      <c r="B500" s="6" t="s">
        <v>1118</v>
      </c>
      <c r="C500" s="6" t="s">
        <v>1119</v>
      </c>
      <c r="D500" s="6" t="s">
        <v>27</v>
      </c>
      <c r="E500" s="14"/>
      <c r="F500" s="8">
        <f>IF(HOUR(Table1[[#This Row],[CORREO]])&gt;=11,WORKDAY(Table1[[#This Row],[CORREO]],1,Table2[Dias no laborales]),E500)</f>
        <v>0</v>
      </c>
      <c r="G500" s="8">
        <v>45789</v>
      </c>
      <c r="H500" s="6">
        <f t="shared" si="14"/>
        <v>18</v>
      </c>
      <c r="I500" s="16">
        <f>MAX(1, NETWORKDAYS(A500, G500,Table2[Dias no laborales]))</f>
        <v>5</v>
      </c>
      <c r="J500" s="6" t="str">
        <f>IF(Table1[[#This Row],[FIN]]="","Acumulado",IF(ISNUMBER(SEARCH("ASAP",C500)),"ASAP",IF(NETWORKDAYS.INTL(F500,G500,1,Table2[Dias no laborales]) &lt;= 7, "Dentro", IF(A500&gt;F500,"Programado","Fuera"))))</f>
        <v>Programado</v>
      </c>
      <c r="K500" s="6" t="str">
        <f t="shared" si="15"/>
        <v>Programados</v>
      </c>
      <c r="L500" s="9">
        <v>45783</v>
      </c>
      <c r="M500" s="17">
        <f>MAX(1,NETWORKDAYS(A500,L500,Table2[Dias no laborales]))</f>
        <v>1</v>
      </c>
    </row>
    <row r="501" spans="1:13" hidden="1" x14ac:dyDescent="0.3">
      <c r="A501" s="8">
        <v>45783</v>
      </c>
      <c r="B501" s="6" t="s">
        <v>1164</v>
      </c>
      <c r="C501" s="6" t="s">
        <v>1165</v>
      </c>
      <c r="D501" s="6" t="s">
        <v>27</v>
      </c>
      <c r="E501" s="14"/>
      <c r="F501" s="8">
        <f>IF(HOUR(Table1[[#This Row],[CORREO]])&gt;=11,WORKDAY(Table1[[#This Row],[CORREO]],1,Table2[Dias no laborales]),E501)</f>
        <v>0</v>
      </c>
      <c r="G501" s="8">
        <v>45792</v>
      </c>
      <c r="H501" s="6">
        <f t="shared" si="14"/>
        <v>18</v>
      </c>
      <c r="I501" s="16">
        <f>MAX(1, NETWORKDAYS(A501, G501,Table2[Dias no laborales]))</f>
        <v>8</v>
      </c>
      <c r="J501" s="6" t="str">
        <f>IF(Table1[[#This Row],[FIN]]="","Acumulado",IF(ISNUMBER(SEARCH("ASAP",C501)),"ASAP",IF(NETWORKDAYS.INTL(F501,G501,1,Table2[Dias no laborales]) &lt;= 7, "Dentro", IF(A501&gt;F501,"Programado","Fuera"))))</f>
        <v>Programado</v>
      </c>
      <c r="K501" s="6" t="str">
        <f t="shared" si="15"/>
        <v>Programados</v>
      </c>
      <c r="L501" s="9">
        <v>45785</v>
      </c>
      <c r="M501" s="17">
        <f>MAX(1,NETWORKDAYS(A501,L501,Table2[Dias no laborales]))</f>
        <v>3</v>
      </c>
    </row>
    <row r="502" spans="1:13" hidden="1" x14ac:dyDescent="0.3">
      <c r="A502" s="8">
        <v>45783</v>
      </c>
      <c r="B502" s="6" t="s">
        <v>1120</v>
      </c>
      <c r="C502" s="6" t="s">
        <v>1121</v>
      </c>
      <c r="D502" s="6" t="s">
        <v>27</v>
      </c>
      <c r="E502" s="14"/>
      <c r="F502" s="8">
        <f>IF(HOUR(Table1[[#This Row],[CORREO]])&gt;=11,WORKDAY(Table1[[#This Row],[CORREO]],1,Table2[Dias no laborales]),E502)</f>
        <v>0</v>
      </c>
      <c r="G502" s="8">
        <v>45789</v>
      </c>
      <c r="H502" s="6">
        <f t="shared" si="14"/>
        <v>18</v>
      </c>
      <c r="I502" s="16">
        <f>MAX(1, NETWORKDAYS(A502, G502,Table2[Dias no laborales]))</f>
        <v>5</v>
      </c>
      <c r="J502" s="6" t="str">
        <f>IF(Table1[[#This Row],[FIN]]="","Acumulado",IF(ISNUMBER(SEARCH("ASAP",C502)),"ASAP",IF(NETWORKDAYS.INTL(F502,G502,1,Table2[Dias no laborales]) &lt;= 7, "Dentro", IF(A502&gt;F502,"Programado","Fuera"))))</f>
        <v>Programado</v>
      </c>
      <c r="K502" s="6" t="str">
        <f t="shared" si="15"/>
        <v>Programados</v>
      </c>
      <c r="L502" s="9">
        <v>45783</v>
      </c>
      <c r="M502" s="17">
        <f>MAX(1,NETWORKDAYS(A502,L502,Table2[Dias no laborales]))</f>
        <v>1</v>
      </c>
    </row>
    <row r="503" spans="1:13" hidden="1" x14ac:dyDescent="0.3">
      <c r="A503" s="8">
        <v>45783</v>
      </c>
      <c r="B503" s="6" t="s">
        <v>1122</v>
      </c>
      <c r="C503" s="6" t="s">
        <v>1123</v>
      </c>
      <c r="D503" s="6" t="s">
        <v>27</v>
      </c>
      <c r="E503" s="14"/>
      <c r="F503" s="8">
        <f>IF(HOUR(Table1[[#This Row],[CORREO]])&gt;=11,WORKDAY(Table1[[#This Row],[CORREO]],1,Table2[Dias no laborales]),E503)</f>
        <v>0</v>
      </c>
      <c r="G503" s="8">
        <v>45789</v>
      </c>
      <c r="H503" s="6">
        <f t="shared" si="14"/>
        <v>18</v>
      </c>
      <c r="I503" s="16">
        <f>MAX(1, NETWORKDAYS(A503, G503,Table2[Dias no laborales]))</f>
        <v>5</v>
      </c>
      <c r="J503" s="6" t="str">
        <f>IF(Table1[[#This Row],[FIN]]="","Acumulado",IF(ISNUMBER(SEARCH("ASAP",C503)),"ASAP",IF(NETWORKDAYS.INTL(F503,G503,1,Table2[Dias no laborales]) &lt;= 7, "Dentro", IF(A503&gt;F503,"Programado","Fuera"))))</f>
        <v>Programado</v>
      </c>
      <c r="K503" s="6" t="str">
        <f t="shared" si="15"/>
        <v>Programados</v>
      </c>
      <c r="L503" s="9">
        <v>45785</v>
      </c>
      <c r="M503" s="17">
        <f>MAX(1,NETWORKDAYS(A503,L503,Table2[Dias no laborales]))</f>
        <v>3</v>
      </c>
    </row>
    <row r="504" spans="1:13" hidden="1" x14ac:dyDescent="0.3">
      <c r="A504" s="8">
        <v>45783</v>
      </c>
      <c r="B504" s="5" t="s">
        <v>1194</v>
      </c>
      <c r="C504" s="5" t="s">
        <v>1195</v>
      </c>
      <c r="D504" s="5" t="s">
        <v>538</v>
      </c>
      <c r="E504" s="14">
        <v>45783.404166666667</v>
      </c>
      <c r="F504" s="8">
        <f>IF(HOUR(Table1[[#This Row],[CORREO]])&gt;=11,WORKDAY(Table1[[#This Row],[CORREO]],1,Table2[Dias no laborales]),E504)</f>
        <v>45783.404166666667</v>
      </c>
      <c r="G504" s="8">
        <v>45800</v>
      </c>
      <c r="H504" s="6">
        <f t="shared" si="14"/>
        <v>18</v>
      </c>
      <c r="I504" s="16">
        <f>MAX(1, NETWORKDAYS(A504, G504,Table2[Dias no laborales]))</f>
        <v>14</v>
      </c>
      <c r="J504" s="6" t="str">
        <f>IF(Table1[[#This Row],[FIN]]="","Acumulado",IF(ISNUMBER(SEARCH("ASAP",C504)),"ASAP",IF(NETWORKDAYS.INTL(F504,G504,1,Table2[Dias no laborales]) &lt;= 7, "Dentro", IF(A504&gt;F504,"Programado","Fuera"))))</f>
        <v>Fuera</v>
      </c>
      <c r="K504" s="6" t="str">
        <f t="shared" si="15"/>
        <v>A tiempo</v>
      </c>
      <c r="L504" s="9">
        <v>45783</v>
      </c>
      <c r="M504" s="17">
        <f>MAX(1,NETWORKDAYS(A504,L504,Table2[Dias no laborales]))</f>
        <v>1</v>
      </c>
    </row>
    <row r="505" spans="1:13" hidden="1" x14ac:dyDescent="0.3">
      <c r="A505" s="8">
        <v>45783</v>
      </c>
      <c r="B505" s="6" t="s">
        <v>956</v>
      </c>
      <c r="C505" s="6" t="s">
        <v>957</v>
      </c>
      <c r="D505" s="6" t="s">
        <v>61</v>
      </c>
      <c r="E505" s="14">
        <v>45783.436111111114</v>
      </c>
      <c r="F505" s="8">
        <f>IF(HOUR(Table1[[#This Row],[CORREO]])&gt;=11,WORKDAY(Table1[[#This Row],[CORREO]],1,Table2[Dias no laborales]),E505)</f>
        <v>45783.436111111114</v>
      </c>
      <c r="G505" s="8">
        <v>45783</v>
      </c>
      <c r="H505" s="6">
        <f t="shared" si="14"/>
        <v>18</v>
      </c>
      <c r="I505" s="16">
        <f>MAX(1, NETWORKDAYS(A505, G505,Table2[Dias no laborales]))</f>
        <v>1</v>
      </c>
      <c r="J505" s="6" t="str">
        <f>IF(Table1[[#This Row],[FIN]]="","Acumulado",IF(ISNUMBER(SEARCH("ASAP",C505)),"ASAP",IF(NETWORKDAYS.INTL(F505,G505,1,Table2[Dias no laborales]) &lt;= 7, "Dentro", IF(A505&gt;F505,"Programado","Fuera"))))</f>
        <v>Dentro</v>
      </c>
      <c r="K505" s="6" t="str">
        <f t="shared" si="15"/>
        <v>A tiempo</v>
      </c>
      <c r="L505" s="9">
        <v>45783</v>
      </c>
      <c r="M505" s="17">
        <f>MAX(1,NETWORKDAYS(A505,L505,Table2[Dias no laborales]))</f>
        <v>1</v>
      </c>
    </row>
    <row r="506" spans="1:13" hidden="1" x14ac:dyDescent="0.3">
      <c r="A506" s="8">
        <v>45783</v>
      </c>
      <c r="B506" s="6" t="s">
        <v>1027</v>
      </c>
      <c r="C506" s="6" t="s">
        <v>1028</v>
      </c>
      <c r="D506" s="6" t="s">
        <v>27</v>
      </c>
      <c r="E506" s="14"/>
      <c r="F506" s="8">
        <f>IF(HOUR(Table1[[#This Row],[CORREO]])&gt;=11,WORKDAY(Table1[[#This Row],[CORREO]],1,Table2[Dias no laborales]),E506)</f>
        <v>0</v>
      </c>
      <c r="G506" s="8">
        <v>45784</v>
      </c>
      <c r="H506" s="6">
        <f t="shared" si="14"/>
        <v>18</v>
      </c>
      <c r="I506" s="16">
        <f>MAX(1, NETWORKDAYS(A506, G506,Table2[Dias no laborales]))</f>
        <v>2</v>
      </c>
      <c r="J506" s="6" t="str">
        <f>IF(Table1[[#This Row],[FIN]]="","Acumulado",IF(ISNUMBER(SEARCH("ASAP",C506)),"ASAP",IF(NETWORKDAYS.INTL(F506,G506,1,Table2[Dias no laborales]) &lt;= 7, "Dentro", IF(A506&gt;F506,"Programado","Fuera"))))</f>
        <v>Programado</v>
      </c>
      <c r="K506" s="6" t="str">
        <f t="shared" si="15"/>
        <v>Programados</v>
      </c>
      <c r="L506" s="9">
        <v>45784</v>
      </c>
      <c r="M506" s="17">
        <f>MAX(1,NETWORKDAYS(A506,L506,Table2[Dias no laborales]))</f>
        <v>2</v>
      </c>
    </row>
    <row r="507" spans="1:13" hidden="1" x14ac:dyDescent="0.3">
      <c r="A507" s="8">
        <v>45783</v>
      </c>
      <c r="B507" s="6" t="s">
        <v>1166</v>
      </c>
      <c r="C507" s="6" t="s">
        <v>1167</v>
      </c>
      <c r="D507" s="6" t="s">
        <v>24</v>
      </c>
      <c r="E507" s="14"/>
      <c r="F507" s="8">
        <f>IF(HOUR(Table1[[#This Row],[CORREO]])&gt;=11,WORKDAY(Table1[[#This Row],[CORREO]],1,Table2[Dias no laborales]),E507)</f>
        <v>0</v>
      </c>
      <c r="G507" s="8">
        <v>45792</v>
      </c>
      <c r="H507" s="6">
        <f t="shared" si="14"/>
        <v>18</v>
      </c>
      <c r="I507" s="16">
        <f>MAX(1, NETWORKDAYS(A507, G507,Table2[Dias no laborales]))</f>
        <v>8</v>
      </c>
      <c r="J507" s="6" t="str">
        <f>IF(Table1[[#This Row],[FIN]]="","Acumulado",IF(ISNUMBER(SEARCH("ASAP",C507)),"ASAP",IF(NETWORKDAYS.INTL(F507,G507,1,Table2[Dias no laborales]) &lt;= 7, "Dentro", IF(A507&gt;F507,"Programado","Fuera"))))</f>
        <v>Programado</v>
      </c>
      <c r="K507" s="6" t="str">
        <f t="shared" si="15"/>
        <v>Programados</v>
      </c>
      <c r="L507" s="9">
        <v>45792</v>
      </c>
      <c r="M507" s="17">
        <f>MAX(1,NETWORKDAYS(A507,L507,Table2[Dias no laborales]))</f>
        <v>8</v>
      </c>
    </row>
    <row r="508" spans="1:13" hidden="1" x14ac:dyDescent="0.3">
      <c r="A508" s="8">
        <v>45786</v>
      </c>
      <c r="B508" s="6" t="s">
        <v>1229</v>
      </c>
      <c r="C508" s="6" t="s">
        <v>1230</v>
      </c>
      <c r="D508" s="6" t="s">
        <v>24</v>
      </c>
      <c r="E508" s="14">
        <v>45783.458333333336</v>
      </c>
      <c r="F508" s="8">
        <f>IF(HOUR(Table1[[#This Row],[CORREO]])&gt;=11,WORKDAY(Table1[[#This Row],[CORREO]],1,Table2[Dias no laborales]),E508)</f>
        <v>45784</v>
      </c>
      <c r="G508" s="8">
        <v>45833</v>
      </c>
      <c r="H508" s="6">
        <f t="shared" si="14"/>
        <v>19</v>
      </c>
      <c r="I508" s="16">
        <f>MAX(1, NETWORKDAYS(A508, G508,Table2[Dias no laborales]))</f>
        <v>34</v>
      </c>
      <c r="J508" s="6" t="str">
        <f>IF(Table1[[#This Row],[FIN]]="","Acumulado",IF(ISNUMBER(SEARCH("ASAP",C508)),"ASAP",IF(NETWORKDAYS.INTL(F508,G508,1,Table2[Dias no laborales]) &lt;= 7, "Dentro", IF(A508&gt;F508,"Programado","Fuera"))))</f>
        <v>Programado</v>
      </c>
      <c r="K508" s="6" t="str">
        <f t="shared" si="15"/>
        <v>Programados</v>
      </c>
      <c r="L508" s="9">
        <v>45798</v>
      </c>
      <c r="M508" s="17">
        <f>MAX(1,NETWORKDAYS(A508,L508,Table2[Dias no laborales]))</f>
        <v>9</v>
      </c>
    </row>
    <row r="509" spans="1:13" hidden="1" x14ac:dyDescent="0.3">
      <c r="A509" s="8">
        <v>45784</v>
      </c>
      <c r="B509" s="6" t="s">
        <v>962</v>
      </c>
      <c r="C509" s="6" t="s">
        <v>963</v>
      </c>
      <c r="D509" s="6" t="s">
        <v>27</v>
      </c>
      <c r="E509" s="14">
        <v>45783.499305555553</v>
      </c>
      <c r="F509" s="8">
        <f>IF(HOUR(Table1[[#This Row],[CORREO]])&gt;=11,WORKDAY(Table1[[#This Row],[CORREO]],1,Table2[Dias no laborales]),E509)</f>
        <v>45784</v>
      </c>
      <c r="G509" s="8">
        <v>45784</v>
      </c>
      <c r="H509" s="6">
        <f t="shared" si="14"/>
        <v>19</v>
      </c>
      <c r="I509" s="16">
        <f>MAX(1, NETWORKDAYS(A509, G509,Table2[Dias no laborales]))</f>
        <v>1</v>
      </c>
      <c r="J509" s="6" t="str">
        <f>IF(Table1[[#This Row],[FIN]]="","Acumulado",IF(ISNUMBER(SEARCH("ASAP",C509)),"ASAP",IF(NETWORKDAYS.INTL(F509,G509,1,Table2[Dias no laborales]) &lt;= 7, "Dentro", IF(A509&gt;F509,"Programado","Fuera"))))</f>
        <v>Dentro</v>
      </c>
      <c r="K509" s="6" t="str">
        <f t="shared" si="15"/>
        <v>A tiempo</v>
      </c>
      <c r="L509" s="9">
        <v>45784</v>
      </c>
      <c r="M509" s="17">
        <f>MAX(1,NETWORKDAYS(A509,L509,Table2[Dias no laborales]))</f>
        <v>1</v>
      </c>
    </row>
    <row r="510" spans="1:13" hidden="1" x14ac:dyDescent="0.3">
      <c r="A510" s="8">
        <v>45784</v>
      </c>
      <c r="B510" s="6" t="s">
        <v>960</v>
      </c>
      <c r="C510" s="6" t="s">
        <v>961</v>
      </c>
      <c r="D510" s="6" t="s">
        <v>27</v>
      </c>
      <c r="E510" s="14">
        <v>45783.515972222223</v>
      </c>
      <c r="F510" s="8">
        <f>IF(HOUR(Table1[[#This Row],[CORREO]])&gt;=11,WORKDAY(Table1[[#This Row],[CORREO]],1,Table2[Dias no laborales]),E510)</f>
        <v>45784</v>
      </c>
      <c r="G510" s="8">
        <v>45784</v>
      </c>
      <c r="H510" s="6">
        <f t="shared" si="14"/>
        <v>19</v>
      </c>
      <c r="I510" s="16">
        <f>MAX(1, NETWORKDAYS(A510, G510,Table2[Dias no laborales]))</f>
        <v>1</v>
      </c>
      <c r="J510" s="6" t="str">
        <f>IF(Table1[[#This Row],[FIN]]="","Acumulado",IF(ISNUMBER(SEARCH("ASAP",C510)),"ASAP",IF(NETWORKDAYS.INTL(F510,G510,1,Table2[Dias no laborales]) &lt;= 7, "Dentro", IF(A510&gt;F510,"Programado","Fuera"))))</f>
        <v>Dentro</v>
      </c>
      <c r="K510" s="6" t="str">
        <f t="shared" si="15"/>
        <v>A tiempo</v>
      </c>
      <c r="L510" s="9">
        <v>45784</v>
      </c>
      <c r="M510" s="17">
        <f>MAX(1,NETWORKDAYS(A510,L510,Table2[Dias no laborales]))</f>
        <v>1</v>
      </c>
    </row>
    <row r="511" spans="1:13" hidden="1" x14ac:dyDescent="0.3">
      <c r="A511" s="8">
        <v>45784</v>
      </c>
      <c r="B511" s="6" t="s">
        <v>1030</v>
      </c>
      <c r="C511" s="6" t="s">
        <v>1031</v>
      </c>
      <c r="D511" s="6" t="s">
        <v>133</v>
      </c>
      <c r="E511" s="14">
        <v>45783.532638888886</v>
      </c>
      <c r="F511" s="8">
        <f>IF(HOUR(Table1[[#This Row],[CORREO]])&gt;=11,WORKDAY(Table1[[#This Row],[CORREO]],1,Table2[Dias no laborales]),E511)</f>
        <v>45784</v>
      </c>
      <c r="G511" s="8">
        <v>45785</v>
      </c>
      <c r="H511" s="6">
        <f t="shared" si="14"/>
        <v>19</v>
      </c>
      <c r="I511" s="16">
        <f>MAX(1, NETWORKDAYS(A511, G511,Table2[Dias no laborales]))</f>
        <v>2</v>
      </c>
      <c r="J511" s="6" t="str">
        <f>IF(Table1[[#This Row],[FIN]]="","Acumulado",IF(ISNUMBER(SEARCH("ASAP",C511)),"ASAP",IF(NETWORKDAYS.INTL(F511,G511,1,Table2[Dias no laborales]) &lt;= 7, "Dentro", IF(A511&gt;F511,"Programado","Fuera"))))</f>
        <v>Dentro</v>
      </c>
      <c r="K511" s="6" t="str">
        <f t="shared" si="15"/>
        <v>A tiempo</v>
      </c>
      <c r="L511" s="9">
        <v>45784</v>
      </c>
      <c r="M511" s="17">
        <f>MAX(1,NETWORKDAYS(A511,L511,Table2[Dias no laborales]))</f>
        <v>1</v>
      </c>
    </row>
    <row r="512" spans="1:13" hidden="1" x14ac:dyDescent="0.3">
      <c r="A512" s="8">
        <v>45784</v>
      </c>
      <c r="B512" s="6" t="s">
        <v>1075</v>
      </c>
      <c r="C512" s="6" t="s">
        <v>1076</v>
      </c>
      <c r="D512" s="6" t="s">
        <v>372</v>
      </c>
      <c r="E512" s="14">
        <v>45783.568055555559</v>
      </c>
      <c r="F512" s="8">
        <f>IF(HOUR(Table1[[#This Row],[CORREO]])&gt;=11,WORKDAY(Table1[[#This Row],[CORREO]],1,Table2[Dias no laborales]),E512)</f>
        <v>45784</v>
      </c>
      <c r="G512" s="8">
        <v>45786</v>
      </c>
      <c r="H512" s="6">
        <f t="shared" si="14"/>
        <v>19</v>
      </c>
      <c r="I512" s="16">
        <f>MAX(1, NETWORKDAYS(A512, G512,Table2[Dias no laborales]))</f>
        <v>3</v>
      </c>
      <c r="J512" s="6" t="str">
        <f>IF(Table1[[#This Row],[FIN]]="","Acumulado",IF(ISNUMBER(SEARCH("ASAP",C512)),"ASAP",IF(NETWORKDAYS.INTL(F512,G512,1,Table2[Dias no laborales]) &lt;= 7, "Dentro", IF(A512&gt;F512,"Programado","Fuera"))))</f>
        <v>Dentro</v>
      </c>
      <c r="K512" s="6" t="str">
        <f t="shared" si="15"/>
        <v>A tiempo</v>
      </c>
      <c r="L512" s="9">
        <v>45786</v>
      </c>
      <c r="M512" s="17">
        <f>MAX(1,NETWORKDAYS(A512,L512,Table2[Dias no laborales]))</f>
        <v>3</v>
      </c>
    </row>
    <row r="513" spans="1:13" hidden="1" x14ac:dyDescent="0.3">
      <c r="A513" s="8">
        <v>45784</v>
      </c>
      <c r="B513" s="6" t="s">
        <v>958</v>
      </c>
      <c r="C513" s="6" t="s">
        <v>959</v>
      </c>
      <c r="D513" s="6" t="s">
        <v>171</v>
      </c>
      <c r="E513" s="14">
        <v>45784.342361111114</v>
      </c>
      <c r="F513" s="8">
        <f>IF(HOUR(Table1[[#This Row],[CORREO]])&gt;=11,WORKDAY(Table1[[#This Row],[CORREO]],1,Table2[Dias no laborales]),E513)</f>
        <v>45784.342361111114</v>
      </c>
      <c r="G513" s="8">
        <v>45784</v>
      </c>
      <c r="H513" s="6">
        <f t="shared" si="14"/>
        <v>19</v>
      </c>
      <c r="I513" s="16">
        <f>MAX(1, NETWORKDAYS(A513, G513,Table2[Dias no laborales]))</f>
        <v>1</v>
      </c>
      <c r="J513" s="6" t="str">
        <f>IF(Table1[[#This Row],[FIN]]="","Acumulado",IF(ISNUMBER(SEARCH("ASAP",C513)),"ASAP",IF(NETWORKDAYS.INTL(F513,G513,1,Table2[Dias no laborales]) &lt;= 7, "Dentro", IF(A513&gt;F513,"Programado","Fuera"))))</f>
        <v>Dentro</v>
      </c>
      <c r="K513" s="6" t="str">
        <f t="shared" si="15"/>
        <v>A tiempo</v>
      </c>
      <c r="L513" s="9">
        <v>45784</v>
      </c>
      <c r="M513" s="17">
        <f>MAX(1,NETWORKDAYS(A513,L513,Table2[Dias no laborales]))</f>
        <v>1</v>
      </c>
    </row>
    <row r="514" spans="1:13" hidden="1" x14ac:dyDescent="0.3">
      <c r="A514" s="8">
        <v>45784</v>
      </c>
      <c r="B514" s="6" t="s">
        <v>1147</v>
      </c>
      <c r="C514" s="6" t="s">
        <v>1148</v>
      </c>
      <c r="D514" s="6" t="s">
        <v>154</v>
      </c>
      <c r="E514" s="14">
        <v>45784.45208333333</v>
      </c>
      <c r="F514" s="8">
        <f>IF(HOUR(Table1[[#This Row],[CORREO]])&gt;=11,WORKDAY(Table1[[#This Row],[CORREO]],1,Table2[Dias no laborales]),E514)</f>
        <v>45784.45208333333</v>
      </c>
      <c r="G514" s="8">
        <v>45791</v>
      </c>
      <c r="H514" s="6">
        <f t="shared" ref="H514:H577" si="16">INT((A514-DATE(YEAR(A514),1,1))/7) + 1</f>
        <v>19</v>
      </c>
      <c r="I514" s="16">
        <f>MAX(1, NETWORKDAYS(A514, G514,Table2[Dias no laborales]))</f>
        <v>6</v>
      </c>
      <c r="J514" s="6" t="str">
        <f>IF(Table1[[#This Row],[FIN]]="","Acumulado",IF(ISNUMBER(SEARCH("ASAP",C514)),"ASAP",IF(NETWORKDAYS.INTL(F514,G514,1,Table2[Dias no laborales]) &lt;= 7, "Dentro", IF(A514&gt;F514,"Programado","Fuera"))))</f>
        <v>Dentro</v>
      </c>
      <c r="K514" s="6" t="str">
        <f t="shared" ref="K514:K577" si="17">IF(INT(A514)=INT(F514),"A tiempo", IF(A514&lt;F514,"Mismo día","Programados"))</f>
        <v>A tiempo</v>
      </c>
      <c r="L514" s="9">
        <v>45791</v>
      </c>
      <c r="M514" s="17">
        <f>MAX(1,NETWORKDAYS(A514,L514,Table2[Dias no laborales]))</f>
        <v>6</v>
      </c>
    </row>
    <row r="515" spans="1:13" hidden="1" x14ac:dyDescent="0.3">
      <c r="A515" s="8">
        <v>45784</v>
      </c>
      <c r="B515" s="6" t="s">
        <v>964</v>
      </c>
      <c r="C515" s="6" t="s">
        <v>965</v>
      </c>
      <c r="D515" s="6" t="s">
        <v>27</v>
      </c>
      <c r="E515" s="14">
        <v>45784.519444444442</v>
      </c>
      <c r="F515" s="8">
        <f>IF(HOUR(Table1[[#This Row],[CORREO]])&gt;=11,WORKDAY(Table1[[#This Row],[CORREO]],1,Table2[Dias no laborales]),E515)</f>
        <v>45785</v>
      </c>
      <c r="G515" s="8">
        <v>45784</v>
      </c>
      <c r="H515" s="6">
        <f t="shared" si="16"/>
        <v>19</v>
      </c>
      <c r="I515" s="16">
        <f>MAX(1, NETWORKDAYS(A515, G515,Table2[Dias no laborales]))</f>
        <v>1</v>
      </c>
      <c r="J515" s="6" t="str">
        <f>IF(Table1[[#This Row],[FIN]]="","Acumulado",IF(ISNUMBER(SEARCH("ASAP",C515)),"ASAP",IF(NETWORKDAYS.INTL(F515,G515,1,Table2[Dias no laborales]) &lt;= 7, "Dentro", IF(A515&gt;F515,"Programado","Fuera"))))</f>
        <v>Dentro</v>
      </c>
      <c r="K515" s="6" t="str">
        <f t="shared" si="17"/>
        <v>Mismo día</v>
      </c>
      <c r="L515" s="9">
        <v>45784</v>
      </c>
      <c r="M515" s="17">
        <f>MAX(1,NETWORKDAYS(A515,L515,Table2[Dias no laborales]))</f>
        <v>1</v>
      </c>
    </row>
    <row r="516" spans="1:13" hidden="1" x14ac:dyDescent="0.3">
      <c r="A516" s="8">
        <v>45784</v>
      </c>
      <c r="B516" s="6" t="s">
        <v>1100</v>
      </c>
      <c r="C516" s="6" t="s">
        <v>1101</v>
      </c>
      <c r="D516" s="6" t="s">
        <v>517</v>
      </c>
      <c r="E516" s="14">
        <v>45784.536805555559</v>
      </c>
      <c r="F516" s="8">
        <f>IF(HOUR(Table1[[#This Row],[CORREO]])&gt;=11,WORKDAY(Table1[[#This Row],[CORREO]],1,Table2[Dias no laborales]),E516)</f>
        <v>45785</v>
      </c>
      <c r="G516" s="8">
        <v>45789</v>
      </c>
      <c r="H516" s="6">
        <f t="shared" si="16"/>
        <v>19</v>
      </c>
      <c r="I516" s="16">
        <f>MAX(1, NETWORKDAYS(A516, G516,Table2[Dias no laborales]))</f>
        <v>4</v>
      </c>
      <c r="J516" s="6" t="str">
        <f>IF(Table1[[#This Row],[FIN]]="","Acumulado",IF(ISNUMBER(SEARCH("ASAP",C516)),"ASAP",IF(NETWORKDAYS.INTL(F516,G516,1,Table2[Dias no laborales]) &lt;= 7, "Dentro", IF(A516&gt;F516,"Programado","Fuera"))))</f>
        <v>Dentro</v>
      </c>
      <c r="K516" s="6" t="str">
        <f t="shared" si="17"/>
        <v>Mismo día</v>
      </c>
      <c r="L516" s="9">
        <v>45784</v>
      </c>
      <c r="M516" s="17">
        <f>MAX(1,NETWORKDAYS(A516,L516,Table2[Dias no laborales]))</f>
        <v>1</v>
      </c>
    </row>
    <row r="517" spans="1:13" hidden="1" x14ac:dyDescent="0.3">
      <c r="A517" s="8">
        <v>45785</v>
      </c>
      <c r="B517" s="6" t="s">
        <v>1034</v>
      </c>
      <c r="C517" s="6" t="s">
        <v>1035</v>
      </c>
      <c r="D517" s="6" t="s">
        <v>27</v>
      </c>
      <c r="E517" s="14"/>
      <c r="F517" s="8">
        <f>IF(HOUR(Table1[[#This Row],[CORREO]])&gt;=11,WORKDAY(Table1[[#This Row],[CORREO]],1,Table2[Dias no laborales]),E517)</f>
        <v>0</v>
      </c>
      <c r="G517" s="8">
        <v>45786</v>
      </c>
      <c r="H517" s="6">
        <f t="shared" si="16"/>
        <v>19</v>
      </c>
      <c r="I517" s="16">
        <f>MAX(1, NETWORKDAYS(A517, G517,Table2[Dias no laborales]))</f>
        <v>2</v>
      </c>
      <c r="J517" s="6" t="str">
        <f>IF(Table1[[#This Row],[FIN]]="","Acumulado",IF(ISNUMBER(SEARCH("ASAP",C517)),"ASAP",IF(NETWORKDAYS.INTL(F517,G517,1,Table2[Dias no laborales]) &lt;= 7, "Dentro", IF(A517&gt;F517,"Programado","Fuera"))))</f>
        <v>Programado</v>
      </c>
      <c r="K517" s="6" t="str">
        <f t="shared" si="17"/>
        <v>Programados</v>
      </c>
      <c r="L517" s="9">
        <v>45786</v>
      </c>
      <c r="M517" s="17">
        <f>MAX(1,NETWORKDAYS(A517,L517,Table2[Dias no laborales]))</f>
        <v>2</v>
      </c>
    </row>
    <row r="518" spans="1:13" hidden="1" x14ac:dyDescent="0.3">
      <c r="A518" s="8">
        <v>45785</v>
      </c>
      <c r="B518" s="6" t="s">
        <v>966</v>
      </c>
      <c r="C518" s="6" t="s">
        <v>967</v>
      </c>
      <c r="D518" s="6" t="s">
        <v>968</v>
      </c>
      <c r="E518" s="14">
        <v>45784.510416666664</v>
      </c>
      <c r="F518" s="8">
        <f>IF(HOUR(Table1[[#This Row],[CORREO]])&gt;=11,WORKDAY(Table1[[#This Row],[CORREO]],1,Table2[Dias no laborales]),E518)</f>
        <v>45785</v>
      </c>
      <c r="G518" s="8">
        <v>45785</v>
      </c>
      <c r="H518" s="6">
        <f t="shared" si="16"/>
        <v>19</v>
      </c>
      <c r="I518" s="16">
        <f>MAX(1, NETWORKDAYS(A518, G518,Table2[Dias no laborales]))</f>
        <v>1</v>
      </c>
      <c r="J518" s="6" t="str">
        <f>IF(Table1[[#This Row],[FIN]]="","Acumulado",IF(ISNUMBER(SEARCH("ASAP",C518)),"ASAP",IF(NETWORKDAYS.INTL(F518,G518,1,Table2[Dias no laborales]) &lt;= 7, "Dentro", IF(A518&gt;F518,"Programado","Fuera"))))</f>
        <v>Dentro</v>
      </c>
      <c r="K518" s="6" t="str">
        <f t="shared" si="17"/>
        <v>A tiempo</v>
      </c>
      <c r="L518" s="9">
        <v>45785</v>
      </c>
      <c r="M518" s="17">
        <f>MAX(1,NETWORKDAYS(A518,L518,Table2[Dias no laborales]))</f>
        <v>1</v>
      </c>
    </row>
    <row r="519" spans="1:13" hidden="1" x14ac:dyDescent="0.3">
      <c r="A519" s="8">
        <v>45785</v>
      </c>
      <c r="B519" s="6" t="s">
        <v>1102</v>
      </c>
      <c r="C519" s="6" t="s">
        <v>1103</v>
      </c>
      <c r="D519" s="6" t="s">
        <v>27</v>
      </c>
      <c r="E519" s="14">
        <v>45784.546527777777</v>
      </c>
      <c r="F519" s="8">
        <f>IF(HOUR(Table1[[#This Row],[CORREO]])&gt;=11,WORKDAY(Table1[[#This Row],[CORREO]],1,Table2[Dias no laborales]),E519)</f>
        <v>45785</v>
      </c>
      <c r="G519" s="8">
        <v>45790</v>
      </c>
      <c r="H519" s="6">
        <f t="shared" si="16"/>
        <v>19</v>
      </c>
      <c r="I519" s="16">
        <f>MAX(1, NETWORKDAYS(A519, G519,Table2[Dias no laborales]))</f>
        <v>4</v>
      </c>
      <c r="J519" s="6" t="str">
        <f>IF(Table1[[#This Row],[FIN]]="","Acumulado",IF(ISNUMBER(SEARCH("ASAP",C519)),"ASAP",IF(NETWORKDAYS.INTL(F519,G519,1,Table2[Dias no laborales]) &lt;= 7, "Dentro", IF(A519&gt;F519,"Programado","Fuera"))))</f>
        <v>Dentro</v>
      </c>
      <c r="K519" s="6" t="str">
        <f t="shared" si="17"/>
        <v>A tiempo</v>
      </c>
      <c r="L519" s="9">
        <v>45790</v>
      </c>
      <c r="M519" s="17">
        <f>MAX(1,NETWORKDAYS(A519,L519,Table2[Dias no laborales]))</f>
        <v>4</v>
      </c>
    </row>
    <row r="520" spans="1:13" hidden="1" x14ac:dyDescent="0.3">
      <c r="A520" s="8">
        <v>45785</v>
      </c>
      <c r="B520" s="6" t="s">
        <v>1243</v>
      </c>
      <c r="C520" s="6" t="s">
        <v>1244</v>
      </c>
      <c r="D520" s="6" t="s">
        <v>15</v>
      </c>
      <c r="E520" s="14"/>
      <c r="F520" s="8">
        <f>IF(HOUR(Table1[[#This Row],[CORREO]])&gt;=11,WORKDAY(Table1[[#This Row],[CORREO]],1,Table2[Dias no laborales]),E520)</f>
        <v>0</v>
      </c>
      <c r="G520" s="8">
        <v>45812</v>
      </c>
      <c r="H520" s="6">
        <f t="shared" si="16"/>
        <v>19</v>
      </c>
      <c r="I520" s="16">
        <f>MAX(1, NETWORKDAYS(A520, G520,Table2[Dias no laborales]))</f>
        <v>20</v>
      </c>
      <c r="J520" s="6" t="str">
        <f>IF(Table1[[#This Row],[FIN]]="","Acumulado",IF(ISNUMBER(SEARCH("ASAP",C520)),"ASAP",IF(NETWORKDAYS.INTL(F520,G520,1,Table2[Dias no laborales]) &lt;= 7, "Dentro", IF(A520&gt;F520,"Programado","Fuera"))))</f>
        <v>Programado</v>
      </c>
      <c r="K520" s="6" t="str">
        <f t="shared" si="17"/>
        <v>Programados</v>
      </c>
      <c r="L520" s="9">
        <v>45785</v>
      </c>
      <c r="M520" s="17">
        <f>MAX(1,NETWORKDAYS(A520,L520,Table2[Dias no laborales]))</f>
        <v>1</v>
      </c>
    </row>
    <row r="521" spans="1:13" hidden="1" x14ac:dyDescent="0.3">
      <c r="A521" s="8">
        <v>45785</v>
      </c>
      <c r="B521" s="6" t="s">
        <v>971</v>
      </c>
      <c r="C521" s="6" t="s">
        <v>972</v>
      </c>
      <c r="D521" s="6" t="s">
        <v>133</v>
      </c>
      <c r="E521" s="14">
        <v>45784.594444444447</v>
      </c>
      <c r="F521" s="8">
        <f>IF(HOUR(Table1[[#This Row],[CORREO]])&gt;=11,WORKDAY(Table1[[#This Row],[CORREO]],1,Table2[Dias no laborales]),E521)</f>
        <v>45785</v>
      </c>
      <c r="G521" s="8">
        <v>45785</v>
      </c>
      <c r="H521" s="6">
        <f t="shared" si="16"/>
        <v>19</v>
      </c>
      <c r="I521" s="16">
        <f>MAX(1, NETWORKDAYS(A521, G521,Table2[Dias no laborales]))</f>
        <v>1</v>
      </c>
      <c r="J521" s="6" t="str">
        <f>IF(Table1[[#This Row],[FIN]]="","Acumulado",IF(ISNUMBER(SEARCH("ASAP",C521)),"ASAP",IF(NETWORKDAYS.INTL(F521,G521,1,Table2[Dias no laborales]) &lt;= 7, "Dentro", IF(A521&gt;F521,"Programado","Fuera"))))</f>
        <v>Dentro</v>
      </c>
      <c r="K521" s="6" t="str">
        <f t="shared" si="17"/>
        <v>A tiempo</v>
      </c>
      <c r="L521" s="9">
        <v>45785</v>
      </c>
      <c r="M521" s="17">
        <f>MAX(1,NETWORKDAYS(A521,L521,Table2[Dias no laborales]))</f>
        <v>1</v>
      </c>
    </row>
    <row r="522" spans="1:13" hidden="1" x14ac:dyDescent="0.3">
      <c r="A522" s="8">
        <v>45785</v>
      </c>
      <c r="B522" s="5" t="s">
        <v>1227</v>
      </c>
      <c r="C522" s="5" t="s">
        <v>1228</v>
      </c>
      <c r="D522" s="5" t="s">
        <v>133</v>
      </c>
      <c r="E522" s="14">
        <v>45794.599305555559</v>
      </c>
      <c r="F522" s="8">
        <f>IF(HOUR(Table1[[#This Row],[CORREO]])&gt;=11,WORKDAY(Table1[[#This Row],[CORREO]],1,Table2[Dias no laborales]),E522)</f>
        <v>45796</v>
      </c>
      <c r="G522" s="8">
        <v>45833</v>
      </c>
      <c r="H522" s="6">
        <f t="shared" si="16"/>
        <v>19</v>
      </c>
      <c r="I522" s="16">
        <f>MAX(1, NETWORKDAYS(A522, G522,Table2[Dias no laborales]))</f>
        <v>35</v>
      </c>
      <c r="J522" s="6" t="str">
        <f>IF(Table1[[#This Row],[FIN]]="","Acumulado",IF(ISNUMBER(SEARCH("ASAP",C522)),"ASAP",IF(NETWORKDAYS.INTL(F522,G522,1,Table2[Dias no laborales]) &lt;= 7, "Dentro", IF(A522&gt;F522,"Programado","Fuera"))))</f>
        <v>Fuera</v>
      </c>
      <c r="K522" s="6" t="str">
        <f t="shared" si="17"/>
        <v>Mismo día</v>
      </c>
      <c r="L522" s="9">
        <v>45797</v>
      </c>
      <c r="M522" s="17">
        <f>MAX(1,NETWORKDAYS(A522,L522,Table2[Dias no laborales]))</f>
        <v>9</v>
      </c>
    </row>
    <row r="523" spans="1:13" hidden="1" x14ac:dyDescent="0.3">
      <c r="A523" s="8">
        <v>45785</v>
      </c>
      <c r="B523" s="6" t="s">
        <v>969</v>
      </c>
      <c r="C523" s="6" t="s">
        <v>970</v>
      </c>
      <c r="D523" s="6" t="s">
        <v>504</v>
      </c>
      <c r="E523" s="14">
        <v>45784.706944444442</v>
      </c>
      <c r="F523" s="8">
        <f>IF(HOUR(Table1[[#This Row],[CORREO]])&gt;=11,WORKDAY(Table1[[#This Row],[CORREO]],1,Table2[Dias no laborales]),E523)</f>
        <v>45785</v>
      </c>
      <c r="G523" s="8">
        <v>45785</v>
      </c>
      <c r="H523" s="6">
        <f t="shared" si="16"/>
        <v>19</v>
      </c>
      <c r="I523" s="16">
        <f>MAX(1, NETWORKDAYS(A523, G523,Table2[Dias no laborales]))</f>
        <v>1</v>
      </c>
      <c r="J523" s="6" t="str">
        <f>IF(Table1[[#This Row],[FIN]]="","Acumulado",IF(ISNUMBER(SEARCH("ASAP",C523)),"ASAP",IF(NETWORKDAYS.INTL(F523,G523,1,Table2[Dias no laborales]) &lt;= 7, "Dentro", IF(A523&gt;F523,"Programado","Fuera"))))</f>
        <v>Dentro</v>
      </c>
      <c r="K523" s="6" t="str">
        <f t="shared" si="17"/>
        <v>A tiempo</v>
      </c>
      <c r="L523" s="9">
        <v>45785</v>
      </c>
      <c r="M523" s="17">
        <f>MAX(1,NETWORKDAYS(A523,L523,Table2[Dias no laborales]))</f>
        <v>1</v>
      </c>
    </row>
    <row r="524" spans="1:13" hidden="1" x14ac:dyDescent="0.3">
      <c r="A524" s="8">
        <v>45785</v>
      </c>
      <c r="B524" s="6" t="s">
        <v>1032</v>
      </c>
      <c r="C524" s="6" t="s">
        <v>1033</v>
      </c>
      <c r="D524" s="6" t="s">
        <v>623</v>
      </c>
      <c r="E524" s="14">
        <v>45784.731249999997</v>
      </c>
      <c r="F524" s="8">
        <f>IF(HOUR(Table1[[#This Row],[CORREO]])&gt;=11,WORKDAY(Table1[[#This Row],[CORREO]],1,Table2[Dias no laborales]),E524)</f>
        <v>45785</v>
      </c>
      <c r="G524" s="8">
        <v>45786</v>
      </c>
      <c r="H524" s="6">
        <f t="shared" si="16"/>
        <v>19</v>
      </c>
      <c r="I524" s="16">
        <f>MAX(1, NETWORKDAYS(A524, G524,Table2[Dias no laborales]))</f>
        <v>2</v>
      </c>
      <c r="J524" s="6" t="str">
        <f>IF(Table1[[#This Row],[FIN]]="","Acumulado",IF(ISNUMBER(SEARCH("ASAP",C524)),"ASAP",IF(NETWORKDAYS.INTL(F524,G524,1,Table2[Dias no laborales]) &lt;= 7, "Dentro", IF(A524&gt;F524,"Programado","Fuera"))))</f>
        <v>Dentro</v>
      </c>
      <c r="K524" s="6" t="str">
        <f t="shared" si="17"/>
        <v>A tiempo</v>
      </c>
      <c r="L524" s="9">
        <v>45786</v>
      </c>
      <c r="M524" s="17">
        <f>MAX(1,NETWORKDAYS(A524,L524,Table2[Dias no laborales]))</f>
        <v>2</v>
      </c>
    </row>
    <row r="525" spans="1:13" hidden="1" x14ac:dyDescent="0.3">
      <c r="A525" s="8">
        <v>45873</v>
      </c>
      <c r="B525" s="6" t="s">
        <v>1796</v>
      </c>
      <c r="C525" s="6" t="s">
        <v>1797</v>
      </c>
      <c r="D525" s="6" t="s">
        <v>37</v>
      </c>
      <c r="E525" s="14"/>
      <c r="F525" s="8">
        <f>IF(HOUR(Table1[[#This Row],[CORREO]])&gt;=11,WORKDAY(Table1[[#This Row],[CORREO]],1,Table2[Dias no laborales]),E525)</f>
        <v>0</v>
      </c>
      <c r="G525" s="8">
        <v>45888</v>
      </c>
      <c r="H525" s="6">
        <f t="shared" si="16"/>
        <v>31</v>
      </c>
      <c r="I525" s="16">
        <f>MAX(1, NETWORKDAYS(A525, G525,Table2[Dias no laborales]))</f>
        <v>12</v>
      </c>
      <c r="J525" s="6" t="str">
        <f>IF(Table1[[#This Row],[FIN]]="","Acumulado",IF(ISNUMBER(SEARCH("ASAP",C525)),"ASAP",IF(NETWORKDAYS.INTL(F525,G525,1,Table2[Dias no laborales]) &lt;= 7, "Dentro", IF(A525&gt;F525,"Programado","Fuera"))))</f>
        <v>Programado</v>
      </c>
      <c r="K525" s="6" t="str">
        <f t="shared" si="17"/>
        <v>Programados</v>
      </c>
      <c r="L525" s="9">
        <v>45789</v>
      </c>
      <c r="M525" s="17">
        <f>MAX(1,NETWORKDAYS(A525,L525,Table2[Dias no laborales]))</f>
        <v>1</v>
      </c>
    </row>
    <row r="526" spans="1:13" hidden="1" x14ac:dyDescent="0.3">
      <c r="A526" s="8">
        <v>45786</v>
      </c>
      <c r="B526" s="6" t="s">
        <v>1037</v>
      </c>
      <c r="C526" s="6" t="s">
        <v>1038</v>
      </c>
      <c r="D526" s="6" t="s">
        <v>968</v>
      </c>
      <c r="E526" s="14">
        <v>45785.518055555556</v>
      </c>
      <c r="F526" s="8">
        <f>IF(HOUR(Table1[[#This Row],[CORREO]])&gt;=11,WORKDAY(Table1[[#This Row],[CORREO]],1,Table2[Dias no laborales]),E526)</f>
        <v>45786</v>
      </c>
      <c r="G526" s="8">
        <v>45789</v>
      </c>
      <c r="H526" s="6">
        <f t="shared" si="16"/>
        <v>19</v>
      </c>
      <c r="I526" s="16">
        <f>MAX(1, NETWORKDAYS(A526, G526,Table2[Dias no laborales]))</f>
        <v>2</v>
      </c>
      <c r="J526" s="6" t="str">
        <f>IF(Table1[[#This Row],[FIN]]="","Acumulado",IF(ISNUMBER(SEARCH("ASAP",C526)),"ASAP",IF(NETWORKDAYS.INTL(F526,G526,1,Table2[Dias no laborales]) &lt;= 7, "Dentro", IF(A526&gt;F526,"Programado","Fuera"))))</f>
        <v>Dentro</v>
      </c>
      <c r="K526" s="6" t="str">
        <f t="shared" si="17"/>
        <v>A tiempo</v>
      </c>
      <c r="L526" s="9">
        <v>45786</v>
      </c>
      <c r="M526" s="17">
        <f>MAX(1,NETWORKDAYS(A526,L526,Table2[Dias no laborales]))</f>
        <v>1</v>
      </c>
    </row>
    <row r="527" spans="1:13" hidden="1" x14ac:dyDescent="0.3">
      <c r="A527" s="8">
        <v>45786</v>
      </c>
      <c r="B527" s="6" t="s">
        <v>1041</v>
      </c>
      <c r="C527" s="6" t="s">
        <v>1042</v>
      </c>
      <c r="D527" s="6" t="s">
        <v>85</v>
      </c>
      <c r="E527" s="14">
        <v>45786.363194444442</v>
      </c>
      <c r="F527" s="8">
        <f>IF(HOUR(Table1[[#This Row],[CORREO]])&gt;=11,WORKDAY(Table1[[#This Row],[CORREO]],1,Table2[Dias no laborales]),E527)</f>
        <v>45786.363194444442</v>
      </c>
      <c r="G527" s="8">
        <v>45789</v>
      </c>
      <c r="H527" s="6">
        <f t="shared" si="16"/>
        <v>19</v>
      </c>
      <c r="I527" s="16">
        <f>MAX(1, NETWORKDAYS(A527, G527,Table2[Dias no laborales]))</f>
        <v>2</v>
      </c>
      <c r="J527" s="6" t="str">
        <f>IF(Table1[[#This Row],[FIN]]="","Acumulado",IF(ISNUMBER(SEARCH("ASAP",C527)),"ASAP",IF(NETWORKDAYS.INTL(F527,G527,1,Table2[Dias no laborales]) &lt;= 7, "Dentro", IF(A527&gt;F527,"Programado","Fuera"))))</f>
        <v>Dentro</v>
      </c>
      <c r="K527" s="6" t="str">
        <f t="shared" si="17"/>
        <v>A tiempo</v>
      </c>
      <c r="L527" s="9">
        <v>45787</v>
      </c>
      <c r="M527" s="17">
        <f>MAX(1,NETWORKDAYS(A527,L527,Table2[Dias no laborales]))</f>
        <v>1</v>
      </c>
    </row>
    <row r="528" spans="1:13" hidden="1" x14ac:dyDescent="0.3">
      <c r="A528" s="8">
        <v>45786</v>
      </c>
      <c r="B528" s="6" t="s">
        <v>1247</v>
      </c>
      <c r="C528" s="6" t="s">
        <v>1248</v>
      </c>
      <c r="D528" s="6" t="s">
        <v>133</v>
      </c>
      <c r="E528" s="14"/>
      <c r="F528" s="8">
        <f>IF(HOUR(Table1[[#This Row],[CORREO]])&gt;=11,WORKDAY(Table1[[#This Row],[CORREO]],1,Table2[Dias no laborales]),E528)</f>
        <v>0</v>
      </c>
      <c r="G528" s="8">
        <v>45812</v>
      </c>
      <c r="H528" s="6">
        <f t="shared" si="16"/>
        <v>19</v>
      </c>
      <c r="I528" s="16">
        <f>MAX(1, NETWORKDAYS(A528, G528,Table2[Dias no laborales]))</f>
        <v>19</v>
      </c>
      <c r="J528" s="6" t="str">
        <f>IF(Table1[[#This Row],[FIN]]="","Acumulado",IF(ISNUMBER(SEARCH("ASAP",C528)),"ASAP",IF(NETWORKDAYS.INTL(F528,G528,1,Table2[Dias no laborales]) &lt;= 7, "Dentro", IF(A528&gt;F528,"Programado","Fuera"))))</f>
        <v>Programado</v>
      </c>
      <c r="K528" s="6" t="str">
        <f t="shared" si="17"/>
        <v>Programados</v>
      </c>
      <c r="L528" s="9">
        <v>45786</v>
      </c>
      <c r="M528" s="17">
        <f>MAX(1,NETWORKDAYS(A528,L528,Table2[Dias no laborales]))</f>
        <v>1</v>
      </c>
    </row>
    <row r="529" spans="1:13" hidden="1" x14ac:dyDescent="0.3">
      <c r="A529" s="8">
        <v>45786</v>
      </c>
      <c r="B529" s="5" t="s">
        <v>1183</v>
      </c>
      <c r="C529" s="5" t="s">
        <v>1184</v>
      </c>
      <c r="D529" s="5" t="s">
        <v>53</v>
      </c>
      <c r="E529" s="14">
        <v>45785.611805555556</v>
      </c>
      <c r="F529" s="8">
        <f>IF(HOUR(Table1[[#This Row],[CORREO]])&gt;=11,WORKDAY(Table1[[#This Row],[CORREO]],1,Table2[Dias no laborales]),E529)</f>
        <v>45786</v>
      </c>
      <c r="G529" s="8">
        <v>45799</v>
      </c>
      <c r="H529" s="6">
        <f t="shared" si="16"/>
        <v>19</v>
      </c>
      <c r="I529" s="16">
        <f>MAX(1, NETWORKDAYS(A529, G529,Table2[Dias no laborales]))</f>
        <v>10</v>
      </c>
      <c r="J529" s="6" t="str">
        <f>IF(Table1[[#This Row],[FIN]]="","Acumulado",IF(ISNUMBER(SEARCH("ASAP",C529)),"ASAP",IF(NETWORKDAYS.INTL(F529,G529,1,Table2[Dias no laborales]) &lt;= 7, "Dentro", IF(A529&gt;F529,"Programado","Fuera"))))</f>
        <v>Fuera</v>
      </c>
      <c r="K529" s="6" t="str">
        <f t="shared" si="17"/>
        <v>A tiempo</v>
      </c>
      <c r="L529" s="9">
        <v>45786</v>
      </c>
      <c r="M529" s="17">
        <f>MAX(1,NETWORKDAYS(A529,L529,Table2[Dias no laborales]))</f>
        <v>1</v>
      </c>
    </row>
    <row r="530" spans="1:13" hidden="1" x14ac:dyDescent="0.3">
      <c r="A530" s="8">
        <v>45786</v>
      </c>
      <c r="B530" s="6" t="s">
        <v>1039</v>
      </c>
      <c r="C530" s="6" t="s">
        <v>1040</v>
      </c>
      <c r="D530" s="6" t="s">
        <v>133</v>
      </c>
      <c r="E530" s="14">
        <v>45785.638194444444</v>
      </c>
      <c r="F530" s="8">
        <f>IF(HOUR(Table1[[#This Row],[CORREO]])&gt;=11,WORKDAY(Table1[[#This Row],[CORREO]],1,Table2[Dias no laborales]),E530)</f>
        <v>45786</v>
      </c>
      <c r="G530" s="8">
        <v>45789</v>
      </c>
      <c r="H530" s="6">
        <f t="shared" si="16"/>
        <v>19</v>
      </c>
      <c r="I530" s="16">
        <f>MAX(1, NETWORKDAYS(A530, G530,Table2[Dias no laborales]))</f>
        <v>2</v>
      </c>
      <c r="J530" s="6" t="str">
        <f>IF(Table1[[#This Row],[FIN]]="","Acumulado",IF(ISNUMBER(SEARCH("ASAP",C530)),"ASAP",IF(NETWORKDAYS.INTL(F530,G530,1,Table2[Dias no laborales]) &lt;= 7, "Dentro", IF(A530&gt;F530,"Programado","Fuera"))))</f>
        <v>Dentro</v>
      </c>
      <c r="K530" s="6" t="str">
        <f t="shared" si="17"/>
        <v>A tiempo</v>
      </c>
      <c r="L530" s="9">
        <v>45786</v>
      </c>
      <c r="M530" s="17">
        <f>MAX(1,NETWORKDAYS(A530,L530,Table2[Dias no laborales]))</f>
        <v>1</v>
      </c>
    </row>
    <row r="531" spans="1:13" hidden="1" x14ac:dyDescent="0.3">
      <c r="A531" s="8">
        <v>45786</v>
      </c>
      <c r="B531" s="6" t="s">
        <v>1036</v>
      </c>
      <c r="C531" s="6" t="s">
        <v>986</v>
      </c>
      <c r="D531" s="6" t="s">
        <v>623</v>
      </c>
      <c r="E531" s="14">
        <v>45785.670138888891</v>
      </c>
      <c r="F531" s="8">
        <f>IF(HOUR(Table1[[#This Row],[CORREO]])&gt;=11,WORKDAY(Table1[[#This Row],[CORREO]],1,Table2[Dias no laborales]),E531)</f>
        <v>45786</v>
      </c>
      <c r="G531" s="8">
        <v>45789</v>
      </c>
      <c r="H531" s="6">
        <f t="shared" si="16"/>
        <v>19</v>
      </c>
      <c r="I531" s="16">
        <f>MAX(1, NETWORKDAYS(A531, G531,Table2[Dias no laborales]))</f>
        <v>2</v>
      </c>
      <c r="J531" s="6" t="str">
        <f>IF(Table1[[#This Row],[FIN]]="","Acumulado",IF(ISNUMBER(SEARCH("ASAP",C531)),"ASAP",IF(NETWORKDAYS.INTL(F531,G531,1,Table2[Dias no laborales]) &lt;= 7, "Dentro", IF(A531&gt;F531,"Programado","Fuera"))))</f>
        <v>Dentro</v>
      </c>
      <c r="K531" s="6" t="str">
        <f t="shared" si="17"/>
        <v>A tiempo</v>
      </c>
      <c r="L531" s="9">
        <v>45786</v>
      </c>
      <c r="M531" s="17">
        <f>MAX(1,NETWORKDAYS(A531,L531,Table2[Dias no laborales]))</f>
        <v>1</v>
      </c>
    </row>
    <row r="532" spans="1:13" hidden="1" x14ac:dyDescent="0.3">
      <c r="A532" s="8">
        <v>45786</v>
      </c>
      <c r="B532" s="5" t="s">
        <v>1198</v>
      </c>
      <c r="C532" s="5" t="s">
        <v>1199</v>
      </c>
      <c r="D532" s="5" t="s">
        <v>27</v>
      </c>
      <c r="E532" s="14">
        <v>45785.743750000001</v>
      </c>
      <c r="F532" s="8">
        <f>IF(HOUR(Table1[[#This Row],[CORREO]])&gt;=11,WORKDAY(Table1[[#This Row],[CORREO]],1,Table2[Dias no laborales]),E532)</f>
        <v>45786</v>
      </c>
      <c r="G532" s="9">
        <v>45806</v>
      </c>
      <c r="H532" s="6">
        <f t="shared" si="16"/>
        <v>19</v>
      </c>
      <c r="I532" s="16">
        <f>MAX(1, NETWORKDAYS(A532, G532,Table2[Dias no laborales]))</f>
        <v>15</v>
      </c>
      <c r="J532" s="6" t="str">
        <f>IF(Table1[[#This Row],[FIN]]="","Acumulado",IF(ISNUMBER(SEARCH("ASAP",C532)),"ASAP",IF(NETWORKDAYS.INTL(F532,G532,1,Table2[Dias no laborales]) &lt;= 7, "Dentro", IF(A532&gt;F532,"Programado","Fuera"))))</f>
        <v>Fuera</v>
      </c>
      <c r="K532" s="6" t="str">
        <f t="shared" si="17"/>
        <v>A tiempo</v>
      </c>
      <c r="L532" s="9">
        <v>45797</v>
      </c>
      <c r="M532" s="17">
        <f>MAX(1,NETWORKDAYS(A532,L532,Table2[Dias no laborales]))</f>
        <v>8</v>
      </c>
    </row>
    <row r="533" spans="1:13" hidden="1" x14ac:dyDescent="0.3">
      <c r="A533" s="8">
        <v>45786</v>
      </c>
      <c r="B533" s="5" t="s">
        <v>1174</v>
      </c>
      <c r="C533" s="5" t="s">
        <v>1175</v>
      </c>
      <c r="D533" s="5" t="s">
        <v>1176</v>
      </c>
      <c r="E533" s="14">
        <v>45786.40902777778</v>
      </c>
      <c r="F533" s="8">
        <f>IF(HOUR(Table1[[#This Row],[CORREO]])&gt;=11,WORKDAY(Table1[[#This Row],[CORREO]],1,Table2[Dias no laborales]),E533)</f>
        <v>45786.40902777778</v>
      </c>
      <c r="G533" s="8">
        <v>45798</v>
      </c>
      <c r="H533" s="6">
        <f t="shared" si="16"/>
        <v>19</v>
      </c>
      <c r="I533" s="16">
        <f>MAX(1, NETWORKDAYS(A533, G533,Table2[Dias no laborales]))</f>
        <v>9</v>
      </c>
      <c r="J533" s="6" t="str">
        <f>IF(Table1[[#This Row],[FIN]]="","Acumulado",IF(ISNUMBER(SEARCH("ASAP",C533)),"ASAP",IF(NETWORKDAYS.INTL(F533,G533,1,Table2[Dias no laborales]) &lt;= 7, "Dentro", IF(A533&gt;F533,"Programado","Fuera"))))</f>
        <v>Fuera</v>
      </c>
      <c r="K533" s="6" t="str">
        <f t="shared" si="17"/>
        <v>A tiempo</v>
      </c>
      <c r="L533" s="9">
        <v>45789</v>
      </c>
      <c r="M533" s="17">
        <f>MAX(1,NETWORKDAYS(A533,L533,Table2[Dias no laborales]))</f>
        <v>2</v>
      </c>
    </row>
    <row r="534" spans="1:13" hidden="1" x14ac:dyDescent="0.3">
      <c r="A534" s="8">
        <v>45789</v>
      </c>
      <c r="B534" s="6" t="s">
        <v>1128</v>
      </c>
      <c r="C534" s="6" t="s">
        <v>1129</v>
      </c>
      <c r="D534" s="6" t="s">
        <v>194</v>
      </c>
      <c r="E534" s="14">
        <v>45786.486111111109</v>
      </c>
      <c r="F534" s="8">
        <f>IF(HOUR(Table1[[#This Row],[CORREO]])&gt;=11,WORKDAY(Table1[[#This Row],[CORREO]],1,Table2[Dias no laborales]),E534)</f>
        <v>45789</v>
      </c>
      <c r="G534" s="8">
        <v>45793</v>
      </c>
      <c r="H534" s="6">
        <f t="shared" si="16"/>
        <v>19</v>
      </c>
      <c r="I534" s="16">
        <f>MAX(1, NETWORKDAYS(A534, G534,Table2[Dias no laborales]))</f>
        <v>5</v>
      </c>
      <c r="J534" s="6" t="str">
        <f>IF(Table1[[#This Row],[FIN]]="","Acumulado",IF(ISNUMBER(SEARCH("ASAP",C534)),"ASAP",IF(NETWORKDAYS.INTL(F534,G534,1,Table2[Dias no laborales]) &lt;= 7, "Dentro", IF(A534&gt;F534,"Programado","Fuera"))))</f>
        <v>Dentro</v>
      </c>
      <c r="K534" s="6" t="str">
        <f t="shared" si="17"/>
        <v>A tiempo</v>
      </c>
      <c r="L534" s="9">
        <v>45793</v>
      </c>
      <c r="M534" s="17">
        <f>MAX(1,NETWORKDAYS(A534,L534,Table2[Dias no laborales]))</f>
        <v>5</v>
      </c>
    </row>
    <row r="535" spans="1:13" hidden="1" x14ac:dyDescent="0.3">
      <c r="A535" s="8">
        <v>45789</v>
      </c>
      <c r="B535" s="6" t="s">
        <v>1241</v>
      </c>
      <c r="C535" s="6" t="s">
        <v>1242</v>
      </c>
      <c r="D535" s="6" t="s">
        <v>133</v>
      </c>
      <c r="E535" s="14">
        <v>45786.622916666667</v>
      </c>
      <c r="F535" s="8">
        <f>IF(HOUR(Table1[[#This Row],[CORREO]])&gt;=11,WORKDAY(Table1[[#This Row],[CORREO]],1,Table2[Dias no laborales]),E535)</f>
        <v>45789</v>
      </c>
      <c r="G535" s="8">
        <v>45819</v>
      </c>
      <c r="H535" s="6">
        <f t="shared" si="16"/>
        <v>19</v>
      </c>
      <c r="I535" s="16">
        <f>MAX(1, NETWORKDAYS(A535, G535,Table2[Dias no laborales]))</f>
        <v>23</v>
      </c>
      <c r="J535" s="6" t="str">
        <f>IF(Table1[[#This Row],[FIN]]="","Acumulado",IF(ISNUMBER(SEARCH("ASAP",C535)),"ASAP",IF(NETWORKDAYS.INTL(F535,G535,1,Table2[Dias no laborales]) &lt;= 7, "Dentro", IF(A535&gt;F535,"Programado","Fuera"))))</f>
        <v>Fuera</v>
      </c>
      <c r="K535" s="6" t="str">
        <f t="shared" si="17"/>
        <v>A tiempo</v>
      </c>
      <c r="L535" s="9">
        <v>45789</v>
      </c>
      <c r="M535" s="17">
        <f>MAX(1,NETWORKDAYS(A535,L535,Table2[Dias no laborales]))</f>
        <v>1</v>
      </c>
    </row>
    <row r="536" spans="1:13" hidden="1" x14ac:dyDescent="0.3">
      <c r="A536" s="8">
        <v>45789</v>
      </c>
      <c r="B536" s="5" t="s">
        <v>1191</v>
      </c>
      <c r="C536" s="5" t="s">
        <v>1192</v>
      </c>
      <c r="D536" s="5" t="s">
        <v>1193</v>
      </c>
      <c r="E536" s="14">
        <v>45787.327777777777</v>
      </c>
      <c r="F536" s="8">
        <f>IF(HOUR(Table1[[#This Row],[CORREO]])&gt;=11,WORKDAY(Table1[[#This Row],[CORREO]],1,Table2[Dias no laborales]),E536)</f>
        <v>45787.327777777777</v>
      </c>
      <c r="G536" s="9">
        <v>45804</v>
      </c>
      <c r="H536" s="6">
        <f t="shared" si="16"/>
        <v>19</v>
      </c>
      <c r="I536" s="16">
        <f>MAX(1, NETWORKDAYS(A536, G536,Table2[Dias no laborales]))</f>
        <v>12</v>
      </c>
      <c r="J536" s="6" t="str">
        <f>IF(Table1[[#This Row],[FIN]]="","Acumulado",IF(ISNUMBER(SEARCH("ASAP",C536)),"ASAP",IF(NETWORKDAYS.INTL(F536,G536,1,Table2[Dias no laborales]) &lt;= 7, "Dentro", IF(A536&gt;F536,"Programado","Fuera"))))</f>
        <v>Programado</v>
      </c>
      <c r="K536" s="6" t="str">
        <f t="shared" si="17"/>
        <v>Programados</v>
      </c>
      <c r="L536" s="9">
        <v>45804</v>
      </c>
      <c r="M536" s="17">
        <f>MAX(1,NETWORKDAYS(A536,L536,Table2[Dias no laborales]))</f>
        <v>12</v>
      </c>
    </row>
    <row r="537" spans="1:13" hidden="1" x14ac:dyDescent="0.3">
      <c r="A537" s="8">
        <v>45820</v>
      </c>
      <c r="B537" s="6" t="s">
        <v>1295</v>
      </c>
      <c r="C537" s="6" t="s">
        <v>1296</v>
      </c>
      <c r="D537" s="6" t="s">
        <v>154</v>
      </c>
      <c r="E537" s="14">
        <v>45789.322916666664</v>
      </c>
      <c r="F537" s="8">
        <f>IF(HOUR(Table1[[#This Row],[CORREO]])&gt;=11,WORKDAY(Table1[[#This Row],[CORREO]],1,Table2[Dias no laborales]),E537)</f>
        <v>45789.322916666664</v>
      </c>
      <c r="G537" s="8">
        <v>45832</v>
      </c>
      <c r="H537" s="6">
        <f t="shared" si="16"/>
        <v>24</v>
      </c>
      <c r="I537" s="16">
        <f>MAX(1, NETWORKDAYS(A537, G537,Table2[Dias no laborales]))</f>
        <v>9</v>
      </c>
      <c r="J537" s="6" t="str">
        <f>IF(Table1[[#This Row],[FIN]]="","Acumulado",IF(ISNUMBER(SEARCH("ASAP",C537)),"ASAP",IF(NETWORKDAYS.INTL(F537,G537,1,Table2[Dias no laborales]) &lt;= 7, "Dentro", IF(A537&gt;F537,"Programado","Fuera"))))</f>
        <v>Programado</v>
      </c>
      <c r="K537" s="6" t="str">
        <f t="shared" si="17"/>
        <v>Programados</v>
      </c>
      <c r="L537" s="9">
        <v>45790</v>
      </c>
      <c r="M537" s="17">
        <f>MAX(1,NETWORKDAYS(A537,L537,Table2[Dias no laborales]))</f>
        <v>1</v>
      </c>
    </row>
    <row r="538" spans="1:13" hidden="1" x14ac:dyDescent="0.3">
      <c r="A538" s="8">
        <v>45789</v>
      </c>
      <c r="B538" s="6" t="s">
        <v>1124</v>
      </c>
      <c r="C538" s="6" t="s">
        <v>1125</v>
      </c>
      <c r="D538" s="6" t="s">
        <v>24</v>
      </c>
      <c r="E538" s="14"/>
      <c r="F538" s="8">
        <f>IF(HOUR(Table1[[#This Row],[CORREO]])&gt;=11,WORKDAY(Table1[[#This Row],[CORREO]],1,Table2[Dias no laborales]),E538)</f>
        <v>0</v>
      </c>
      <c r="G538" s="8">
        <v>45793</v>
      </c>
      <c r="H538" s="6">
        <f t="shared" si="16"/>
        <v>19</v>
      </c>
      <c r="I538" s="16">
        <f>MAX(1, NETWORKDAYS(A538, G538,Table2[Dias no laborales]))</f>
        <v>5</v>
      </c>
      <c r="J538" s="6" t="str">
        <f>IF(Table1[[#This Row],[FIN]]="","Acumulado",IF(ISNUMBER(SEARCH("ASAP",C538)),"ASAP",IF(NETWORKDAYS.INTL(F538,G538,1,Table2[Dias no laborales]) &lt;= 7, "Dentro", IF(A538&gt;F538,"Programado","Fuera"))))</f>
        <v>Programado</v>
      </c>
      <c r="K538" s="6" t="str">
        <f t="shared" si="17"/>
        <v>Programados</v>
      </c>
      <c r="L538" s="9">
        <v>45790</v>
      </c>
      <c r="M538" s="17">
        <f>MAX(1,NETWORKDAYS(A538,L538,Table2[Dias no laborales]))</f>
        <v>2</v>
      </c>
    </row>
    <row r="539" spans="1:13" hidden="1" x14ac:dyDescent="0.3">
      <c r="A539" s="8">
        <v>45789</v>
      </c>
      <c r="B539" s="6" t="s">
        <v>973</v>
      </c>
      <c r="C539" s="6" t="s">
        <v>974</v>
      </c>
      <c r="D539" s="6" t="s">
        <v>61</v>
      </c>
      <c r="E539" s="14">
        <v>45789.386805555558</v>
      </c>
      <c r="F539" s="8">
        <f>IF(HOUR(Table1[[#This Row],[CORREO]])&gt;=11,WORKDAY(Table1[[#This Row],[CORREO]],1,Table2[Dias no laborales]),E539)</f>
        <v>45789.386805555558</v>
      </c>
      <c r="G539" s="8">
        <v>45789</v>
      </c>
      <c r="H539" s="6">
        <f t="shared" si="16"/>
        <v>19</v>
      </c>
      <c r="I539" s="16">
        <f>MAX(1, NETWORKDAYS(A539, G539,Table2[Dias no laborales]))</f>
        <v>1</v>
      </c>
      <c r="J539" s="6" t="str">
        <f>IF(Table1[[#This Row],[FIN]]="","Acumulado",IF(ISNUMBER(SEARCH("ASAP",C539)),"ASAP",IF(NETWORKDAYS.INTL(F539,G539,1,Table2[Dias no laborales]) &lt;= 7, "Dentro", IF(A539&gt;F539,"Programado","Fuera"))))</f>
        <v>Dentro</v>
      </c>
      <c r="K539" s="6" t="str">
        <f t="shared" si="17"/>
        <v>A tiempo</v>
      </c>
      <c r="L539" s="9">
        <v>45789</v>
      </c>
      <c r="M539" s="17">
        <f>MAX(1,NETWORKDAYS(A539,L539,Table2[Dias no laborales]))</f>
        <v>1</v>
      </c>
    </row>
    <row r="540" spans="1:13" hidden="1" x14ac:dyDescent="0.3">
      <c r="A540" s="8">
        <v>45789</v>
      </c>
      <c r="B540" s="6" t="s">
        <v>1043</v>
      </c>
      <c r="C540" s="10" t="s">
        <v>1044</v>
      </c>
      <c r="D540" s="6" t="s">
        <v>372</v>
      </c>
      <c r="E540" s="14">
        <v>41041.707638888889</v>
      </c>
      <c r="F540" s="8">
        <f>IF(HOUR(Table1[[#This Row],[CORREO]])&gt;=11,WORKDAY(Table1[[#This Row],[CORREO]],1,Table2[Dias no laborales]),E540)</f>
        <v>41043</v>
      </c>
      <c r="G540" s="8">
        <v>45790</v>
      </c>
      <c r="H540" s="6">
        <f t="shared" si="16"/>
        <v>19</v>
      </c>
      <c r="I540" s="16">
        <f>MAX(1, NETWORKDAYS(A540, G540,Table2[Dias no laborales]))</f>
        <v>2</v>
      </c>
      <c r="J540" s="6" t="str">
        <f>IF(Table1[[#This Row],[FIN]]="","Acumulado",IF(ISNUMBER(SEARCH("ASAP",C540)),"ASAP",IF(NETWORKDAYS.INTL(F540,G540,1,Table2[Dias no laborales]) &lt;= 7, "Dentro", IF(A540&gt;F540,"Programado","Fuera"))))</f>
        <v>Programado</v>
      </c>
      <c r="K540" s="6" t="str">
        <f t="shared" si="17"/>
        <v>Programados</v>
      </c>
      <c r="L540" s="9">
        <v>45789</v>
      </c>
      <c r="M540" s="17">
        <f>MAX(1,NETWORKDAYS(A540,L540,Table2[Dias no laborales]))</f>
        <v>1</v>
      </c>
    </row>
    <row r="541" spans="1:13" hidden="1" x14ac:dyDescent="0.3">
      <c r="A541" s="8">
        <v>45789</v>
      </c>
      <c r="B541" s="6" t="s">
        <v>1077</v>
      </c>
      <c r="C541" s="6" t="s">
        <v>1078</v>
      </c>
      <c r="D541" s="6" t="s">
        <v>24</v>
      </c>
      <c r="E541" s="14"/>
      <c r="F541" s="8">
        <f>IF(HOUR(Table1[[#This Row],[CORREO]])&gt;=11,WORKDAY(Table1[[#This Row],[CORREO]],1,Table2[Dias no laborales]),E541)</f>
        <v>0</v>
      </c>
      <c r="G541" s="8">
        <v>45791</v>
      </c>
      <c r="H541" s="6">
        <f t="shared" si="16"/>
        <v>19</v>
      </c>
      <c r="I541" s="16">
        <f>MAX(1, NETWORKDAYS(A541, G541,Table2[Dias no laborales]))</f>
        <v>3</v>
      </c>
      <c r="J541" s="6" t="str">
        <f>IF(Table1[[#This Row],[FIN]]="","Acumulado",IF(ISNUMBER(SEARCH("ASAP",C541)),"ASAP",IF(NETWORKDAYS.INTL(F541,G541,1,Table2[Dias no laborales]) &lt;= 7, "Dentro", IF(A541&gt;F541,"Programado","Fuera"))))</f>
        <v>Programado</v>
      </c>
      <c r="K541" s="6" t="str">
        <f t="shared" si="17"/>
        <v>Programados</v>
      </c>
      <c r="L541" s="9">
        <v>45791</v>
      </c>
      <c r="M541" s="17">
        <f>MAX(1,NETWORKDAYS(A541,L541,Table2[Dias no laborales]))</f>
        <v>3</v>
      </c>
    </row>
    <row r="542" spans="1:13" hidden="1" x14ac:dyDescent="0.3">
      <c r="A542" s="8">
        <v>45790</v>
      </c>
      <c r="B542" s="6" t="s">
        <v>1104</v>
      </c>
      <c r="C542" s="6" t="s">
        <v>1105</v>
      </c>
      <c r="D542" s="6" t="s">
        <v>27</v>
      </c>
      <c r="E542" s="14">
        <v>45789.642361111109</v>
      </c>
      <c r="F542" s="8">
        <f>IF(HOUR(Table1[[#This Row],[CORREO]])&gt;=11,WORKDAY(Table1[[#This Row],[CORREO]],1,Table2[Dias no laborales]),E542)</f>
        <v>45790</v>
      </c>
      <c r="G542" s="8">
        <v>45793</v>
      </c>
      <c r="H542" s="6">
        <f t="shared" si="16"/>
        <v>19</v>
      </c>
      <c r="I542" s="16">
        <f>MAX(1, NETWORKDAYS(A542, G542,Table2[Dias no laborales]))</f>
        <v>4</v>
      </c>
      <c r="J542" s="6" t="str">
        <f>IF(Table1[[#This Row],[FIN]]="","Acumulado",IF(ISNUMBER(SEARCH("ASAP",C542)),"ASAP",IF(NETWORKDAYS.INTL(F542,G542,1,Table2[Dias no laborales]) &lt;= 7, "Dentro", IF(A542&gt;F542,"Programado","Fuera"))))</f>
        <v>Dentro</v>
      </c>
      <c r="K542" s="6" t="str">
        <f t="shared" si="17"/>
        <v>A tiempo</v>
      </c>
      <c r="L542" s="9">
        <v>45790</v>
      </c>
      <c r="M542" s="17">
        <f>MAX(1,NETWORKDAYS(A542,L542,Table2[Dias no laborales]))</f>
        <v>1</v>
      </c>
    </row>
    <row r="543" spans="1:13" hidden="1" x14ac:dyDescent="0.3">
      <c r="A543" s="8">
        <v>45790</v>
      </c>
      <c r="B543" s="6" t="s">
        <v>1048</v>
      </c>
      <c r="C543" s="6" t="s">
        <v>807</v>
      </c>
      <c r="D543" s="6" t="s">
        <v>119</v>
      </c>
      <c r="E543" s="14">
        <v>45789.870833333334</v>
      </c>
      <c r="F543" s="8">
        <f>IF(HOUR(Table1[[#This Row],[CORREO]])&gt;=11,WORKDAY(Table1[[#This Row],[CORREO]],1,Table2[Dias no laborales]),E543)</f>
        <v>45790</v>
      </c>
      <c r="G543" s="8">
        <v>45791</v>
      </c>
      <c r="H543" s="6">
        <f t="shared" si="16"/>
        <v>19</v>
      </c>
      <c r="I543" s="16">
        <f>MAX(1, NETWORKDAYS(A543, G543,Table2[Dias no laborales]))</f>
        <v>2</v>
      </c>
      <c r="J543" s="6" t="str">
        <f>IF(Table1[[#This Row],[FIN]]="","Acumulado",IF(ISNUMBER(SEARCH("ASAP",C543)),"ASAP",IF(NETWORKDAYS.INTL(F543,G543,1,Table2[Dias no laborales]) &lt;= 7, "Dentro", IF(A543&gt;F543,"Programado","Fuera"))))</f>
        <v>Dentro</v>
      </c>
      <c r="K543" s="6" t="str">
        <f t="shared" si="17"/>
        <v>A tiempo</v>
      </c>
      <c r="L543" s="9">
        <v>45791</v>
      </c>
      <c r="M543" s="17">
        <f>MAX(1,NETWORKDAYS(A543,L543,Table2[Dias no laborales]))</f>
        <v>2</v>
      </c>
    </row>
    <row r="544" spans="1:13" hidden="1" x14ac:dyDescent="0.3">
      <c r="A544" s="8">
        <v>45790</v>
      </c>
      <c r="B544" s="6" t="s">
        <v>977</v>
      </c>
      <c r="C544" s="6" t="s">
        <v>978</v>
      </c>
      <c r="D544" s="6" t="s">
        <v>979</v>
      </c>
      <c r="E544" s="14">
        <v>45789.9375</v>
      </c>
      <c r="F544" s="8">
        <f>IF(HOUR(Table1[[#This Row],[CORREO]])&gt;=11,WORKDAY(Table1[[#This Row],[CORREO]],1,Table2[Dias no laborales]),E544)</f>
        <v>45790</v>
      </c>
      <c r="G544" s="8">
        <v>45790</v>
      </c>
      <c r="H544" s="6">
        <f t="shared" si="16"/>
        <v>19</v>
      </c>
      <c r="I544" s="16">
        <f>MAX(1, NETWORKDAYS(A544, G544,Table2[Dias no laborales]))</f>
        <v>1</v>
      </c>
      <c r="J544" s="6" t="str">
        <f>IF(Table1[[#This Row],[FIN]]="","Acumulado",IF(ISNUMBER(SEARCH("ASAP",C544)),"ASAP",IF(NETWORKDAYS.INTL(F544,G544,1,Table2[Dias no laborales]) &lt;= 7, "Dentro", IF(A544&gt;F544,"Programado","Fuera"))))</f>
        <v>Dentro</v>
      </c>
      <c r="K544" s="6" t="str">
        <f t="shared" si="17"/>
        <v>A tiempo</v>
      </c>
      <c r="L544" s="9">
        <v>45790</v>
      </c>
      <c r="M544" s="17">
        <f>MAX(1,NETWORKDAYS(A544,L544,Table2[Dias no laborales]))</f>
        <v>1</v>
      </c>
    </row>
    <row r="545" spans="1:13" hidden="1" x14ac:dyDescent="0.3">
      <c r="A545" s="8">
        <v>45790</v>
      </c>
      <c r="B545" s="6" t="s">
        <v>1045</v>
      </c>
      <c r="C545" s="6" t="s">
        <v>1046</v>
      </c>
      <c r="D545" s="6" t="s">
        <v>1047</v>
      </c>
      <c r="E545" s="14">
        <v>45790.313888888886</v>
      </c>
      <c r="F545" s="8">
        <f>IF(HOUR(Table1[[#This Row],[CORREO]])&gt;=11,WORKDAY(Table1[[#This Row],[CORREO]],1,Table2[Dias no laborales]),E545)</f>
        <v>45790.313888888886</v>
      </c>
      <c r="G545" s="8">
        <v>45791</v>
      </c>
      <c r="H545" s="6">
        <f t="shared" si="16"/>
        <v>19</v>
      </c>
      <c r="I545" s="16">
        <f>MAX(1, NETWORKDAYS(A545, G545,Table2[Dias no laborales]))</f>
        <v>2</v>
      </c>
      <c r="J545" s="6" t="str">
        <f>IF(Table1[[#This Row],[FIN]]="","Acumulado",IF(ISNUMBER(SEARCH("ASAP",C545)),"ASAP",IF(NETWORKDAYS.INTL(F545,G545,1,Table2[Dias no laborales]) &lt;= 7, "Dentro", IF(A545&gt;F545,"Programado","Fuera"))))</f>
        <v>Dentro</v>
      </c>
      <c r="K545" s="6" t="str">
        <f t="shared" si="17"/>
        <v>A tiempo</v>
      </c>
      <c r="L545" s="9">
        <v>45791</v>
      </c>
      <c r="M545" s="17">
        <f>MAX(1,NETWORKDAYS(A545,L545,Table2[Dias no laborales]))</f>
        <v>2</v>
      </c>
    </row>
    <row r="546" spans="1:13" hidden="1" x14ac:dyDescent="0.3">
      <c r="A546" s="8">
        <v>45790</v>
      </c>
      <c r="B546" s="5" t="s">
        <v>1158</v>
      </c>
      <c r="C546" s="5" t="s">
        <v>1159</v>
      </c>
      <c r="D546" s="5" t="s">
        <v>650</v>
      </c>
      <c r="E546" s="14">
        <v>45790.34375</v>
      </c>
      <c r="F546" s="8">
        <f>IF(HOUR(Table1[[#This Row],[CORREO]])&gt;=11,WORKDAY(Table1[[#This Row],[CORREO]],1,Table2[Dias no laborales]),E546)</f>
        <v>45790.34375</v>
      </c>
      <c r="G546" s="8">
        <v>45798</v>
      </c>
      <c r="H546" s="6">
        <f t="shared" si="16"/>
        <v>19</v>
      </c>
      <c r="I546" s="16">
        <f>MAX(1, NETWORKDAYS(A546, G546,Table2[Dias no laborales]))</f>
        <v>7</v>
      </c>
      <c r="J546" s="6" t="str">
        <f>IF(Table1[[#This Row],[FIN]]="","Acumulado",IF(ISNUMBER(SEARCH("ASAP",C546)),"ASAP",IF(NETWORKDAYS.INTL(F546,G546,1,Table2[Dias no laborales]) &lt;= 7, "Dentro", IF(A546&gt;F546,"Programado","Fuera"))))</f>
        <v>Dentro</v>
      </c>
      <c r="K546" s="6" t="str">
        <f t="shared" si="17"/>
        <v>A tiempo</v>
      </c>
      <c r="L546" s="9">
        <v>45798</v>
      </c>
      <c r="M546" s="17">
        <f>MAX(1,NETWORKDAYS(A546,L546,Table2[Dias no laborales]))</f>
        <v>7</v>
      </c>
    </row>
    <row r="547" spans="1:13" hidden="1" x14ac:dyDescent="0.3">
      <c r="A547" s="8">
        <v>45790</v>
      </c>
      <c r="B547" s="6" t="s">
        <v>1049</v>
      </c>
      <c r="C547" s="6" t="s">
        <v>1050</v>
      </c>
      <c r="D547" s="6" t="s">
        <v>1051</v>
      </c>
      <c r="E547" s="14">
        <v>45790.386111111111</v>
      </c>
      <c r="F547" s="8">
        <f>IF(HOUR(Table1[[#This Row],[CORREO]])&gt;=11,WORKDAY(Table1[[#This Row],[CORREO]],1,Table2[Dias no laborales]),E547)</f>
        <v>45790.386111111111</v>
      </c>
      <c r="G547" s="8">
        <v>45791</v>
      </c>
      <c r="H547" s="6">
        <f t="shared" si="16"/>
        <v>19</v>
      </c>
      <c r="I547" s="16">
        <f>MAX(1, NETWORKDAYS(A547, G547,Table2[Dias no laborales]))</f>
        <v>2</v>
      </c>
      <c r="J547" s="6" t="str">
        <f>IF(Table1[[#This Row],[FIN]]="","Acumulado",IF(ISNUMBER(SEARCH("ASAP",C547)),"ASAP",IF(NETWORKDAYS.INTL(F547,G547,1,Table2[Dias no laborales]) &lt;= 7, "Dentro", IF(A547&gt;F547,"Programado","Fuera"))))</f>
        <v>Dentro</v>
      </c>
      <c r="K547" s="6" t="str">
        <f t="shared" si="17"/>
        <v>A tiempo</v>
      </c>
      <c r="L547" s="9">
        <v>45790</v>
      </c>
      <c r="M547" s="17">
        <f>MAX(1,NETWORKDAYS(A547,L547,Table2[Dias no laborales]))</f>
        <v>1</v>
      </c>
    </row>
    <row r="548" spans="1:13" hidden="1" x14ac:dyDescent="0.3">
      <c r="A548" s="8">
        <v>45790</v>
      </c>
      <c r="B548" s="6" t="s">
        <v>975</v>
      </c>
      <c r="C548" s="6" t="s">
        <v>976</v>
      </c>
      <c r="D548" s="6" t="s">
        <v>27</v>
      </c>
      <c r="E548" s="14">
        <v>45790.402777777781</v>
      </c>
      <c r="F548" s="8">
        <f>IF(HOUR(Table1[[#This Row],[CORREO]])&gt;=11,WORKDAY(Table1[[#This Row],[CORREO]],1,Table2[Dias no laborales]),E548)</f>
        <v>45790.402777777781</v>
      </c>
      <c r="G548" s="8">
        <v>45790</v>
      </c>
      <c r="H548" s="6">
        <f t="shared" si="16"/>
        <v>19</v>
      </c>
      <c r="I548" s="16">
        <f>MAX(1, NETWORKDAYS(A548, G548,Table2[Dias no laborales]))</f>
        <v>1</v>
      </c>
      <c r="J548" s="6" t="str">
        <f>IF(Table1[[#This Row],[FIN]]="","Acumulado",IF(ISNUMBER(SEARCH("ASAP",C548)),"ASAP",IF(NETWORKDAYS.INTL(F548,G548,1,Table2[Dias no laborales]) &lt;= 7, "Dentro", IF(A548&gt;F548,"Programado","Fuera"))))</f>
        <v>ASAP</v>
      </c>
      <c r="K548" s="6" t="str">
        <f t="shared" si="17"/>
        <v>A tiempo</v>
      </c>
      <c r="L548" s="9">
        <v>45790</v>
      </c>
      <c r="M548" s="17">
        <f>MAX(1,NETWORKDAYS(A548,L548,Table2[Dias no laborales]))</f>
        <v>1</v>
      </c>
    </row>
    <row r="549" spans="1:13" hidden="1" x14ac:dyDescent="0.3">
      <c r="A549" s="8">
        <v>45790</v>
      </c>
      <c r="B549" s="5" t="s">
        <v>1160</v>
      </c>
      <c r="C549" s="5" t="s">
        <v>1161</v>
      </c>
      <c r="D549" s="5" t="s">
        <v>148</v>
      </c>
      <c r="E549" s="14">
        <v>45790.431250000001</v>
      </c>
      <c r="F549" s="8">
        <f>IF(HOUR(Table1[[#This Row],[CORREO]])&gt;=11,WORKDAY(Table1[[#This Row],[CORREO]],1,Table2[Dias no laborales]),E549)</f>
        <v>45790.431250000001</v>
      </c>
      <c r="G549" s="8">
        <v>45798</v>
      </c>
      <c r="H549" s="6">
        <f t="shared" si="16"/>
        <v>19</v>
      </c>
      <c r="I549" s="16">
        <f>MAX(1, NETWORKDAYS(A549, G549,Table2[Dias no laborales]))</f>
        <v>7</v>
      </c>
      <c r="J549" s="6" t="str">
        <f>IF(Table1[[#This Row],[FIN]]="","Acumulado",IF(ISNUMBER(SEARCH("ASAP",C549)),"ASAP",IF(NETWORKDAYS.INTL(F549,G549,1,Table2[Dias no laborales]) &lt;= 7, "Dentro", IF(A549&gt;F549,"Programado","Fuera"))))</f>
        <v>Dentro</v>
      </c>
      <c r="K549" s="6" t="str">
        <f t="shared" si="17"/>
        <v>A tiempo</v>
      </c>
      <c r="L549" s="9">
        <v>45798</v>
      </c>
      <c r="M549" s="17">
        <f>MAX(1,NETWORKDAYS(A549,L549,Table2[Dias no laborales]))</f>
        <v>7</v>
      </c>
    </row>
    <row r="550" spans="1:13" hidden="1" x14ac:dyDescent="0.3">
      <c r="A550" s="8">
        <v>45791</v>
      </c>
      <c r="B550" s="6" t="s">
        <v>982</v>
      </c>
      <c r="C550" s="6" t="s">
        <v>983</v>
      </c>
      <c r="D550" s="6" t="s">
        <v>571</v>
      </c>
      <c r="E550" s="14">
        <v>45790.712500000001</v>
      </c>
      <c r="F550" s="8">
        <f>IF(HOUR(Table1[[#This Row],[CORREO]])&gt;=11,WORKDAY(Table1[[#This Row],[CORREO]],1,Table2[Dias no laborales]),E550)</f>
        <v>45791</v>
      </c>
      <c r="G550" s="8">
        <v>45791</v>
      </c>
      <c r="H550" s="6">
        <f t="shared" si="16"/>
        <v>20</v>
      </c>
      <c r="I550" s="16">
        <f>MAX(1, NETWORKDAYS(A550, G550,Table2[Dias no laborales]))</f>
        <v>1</v>
      </c>
      <c r="J550" s="6" t="str">
        <f>IF(Table1[[#This Row],[FIN]]="","Acumulado",IF(ISNUMBER(SEARCH("ASAP",C550)),"ASAP",IF(NETWORKDAYS.INTL(F550,G550,1,Table2[Dias no laborales]) &lt;= 7, "Dentro", IF(A550&gt;F550,"Programado","Fuera"))))</f>
        <v>Dentro</v>
      </c>
      <c r="K550" s="6" t="str">
        <f t="shared" si="17"/>
        <v>A tiempo</v>
      </c>
      <c r="L550" s="9">
        <v>45791</v>
      </c>
      <c r="M550" s="17">
        <f>MAX(1,NETWORKDAYS(A550,L550,Table2[Dias no laborales]))</f>
        <v>1</v>
      </c>
    </row>
    <row r="551" spans="1:13" hidden="1" x14ac:dyDescent="0.3">
      <c r="A551" s="8">
        <v>45791</v>
      </c>
      <c r="B551" s="6" t="s">
        <v>980</v>
      </c>
      <c r="C551" s="6" t="s">
        <v>981</v>
      </c>
      <c r="D551" s="6" t="s">
        <v>61</v>
      </c>
      <c r="E551" s="14">
        <v>45791.352083333331</v>
      </c>
      <c r="F551" s="8">
        <f>IF(HOUR(Table1[[#This Row],[CORREO]])&gt;=11,WORKDAY(Table1[[#This Row],[CORREO]],1,Table2[Dias no laborales]),E551)</f>
        <v>45791.352083333331</v>
      </c>
      <c r="G551" s="8">
        <v>45791</v>
      </c>
      <c r="H551" s="6">
        <f t="shared" si="16"/>
        <v>20</v>
      </c>
      <c r="I551" s="16">
        <f>MAX(1, NETWORKDAYS(A551, G551,Table2[Dias no laborales]))</f>
        <v>1</v>
      </c>
      <c r="J551" s="6" t="str">
        <f>IF(Table1[[#This Row],[FIN]]="","Acumulado",IF(ISNUMBER(SEARCH("ASAP",C551)),"ASAP",IF(NETWORKDAYS.INTL(F551,G551,1,Table2[Dias no laborales]) &lt;= 7, "Dentro", IF(A551&gt;F551,"Programado","Fuera"))))</f>
        <v>Dentro</v>
      </c>
      <c r="K551" s="6" t="str">
        <f t="shared" si="17"/>
        <v>A tiempo</v>
      </c>
      <c r="L551" s="9">
        <v>45791</v>
      </c>
      <c r="M551" s="17">
        <f>MAX(1,NETWORKDAYS(A551,L551,Table2[Dias no laborales]))</f>
        <v>1</v>
      </c>
    </row>
    <row r="552" spans="1:13" hidden="1" x14ac:dyDescent="0.3">
      <c r="A552" s="8">
        <v>45791</v>
      </c>
      <c r="B552" s="5" t="s">
        <v>1149</v>
      </c>
      <c r="C552" s="5" t="s">
        <v>1150</v>
      </c>
      <c r="D552" s="5" t="s">
        <v>24</v>
      </c>
      <c r="E552" s="14">
        <v>45791.362500000003</v>
      </c>
      <c r="F552" s="8">
        <f>IF(HOUR(Table1[[#This Row],[CORREO]])&gt;=11,WORKDAY(Table1[[#This Row],[CORREO]],1,Table2[Dias no laborales]),E552)</f>
        <v>45791.362500000003</v>
      </c>
      <c r="G552" s="8">
        <v>45798</v>
      </c>
      <c r="H552" s="6">
        <f t="shared" si="16"/>
        <v>20</v>
      </c>
      <c r="I552" s="16">
        <f>MAX(1, NETWORKDAYS(A552, G552,Table2[Dias no laborales]))</f>
        <v>6</v>
      </c>
      <c r="J552" s="6" t="str">
        <f>IF(Table1[[#This Row],[FIN]]="","Acumulado",IF(ISNUMBER(SEARCH("ASAP",C552)),"ASAP",IF(NETWORKDAYS.INTL(F552,G552,1,Table2[Dias no laborales]) &lt;= 7, "Dentro", IF(A552&gt;F552,"Programado","Fuera"))))</f>
        <v>Dentro</v>
      </c>
      <c r="K552" s="6" t="str">
        <f t="shared" si="17"/>
        <v>A tiempo</v>
      </c>
      <c r="L552" s="9">
        <v>45798</v>
      </c>
      <c r="M552" s="17">
        <f>MAX(1,NETWORKDAYS(A552,L552,Table2[Dias no laborales]))</f>
        <v>6</v>
      </c>
    </row>
    <row r="553" spans="1:13" hidden="1" x14ac:dyDescent="0.3">
      <c r="A553" s="8">
        <v>45791</v>
      </c>
      <c r="B553" s="6" t="s">
        <v>1052</v>
      </c>
      <c r="C553" s="6" t="s">
        <v>1053</v>
      </c>
      <c r="D553" s="6" t="s">
        <v>351</v>
      </c>
      <c r="E553" s="14">
        <v>45791.373611111114</v>
      </c>
      <c r="F553" s="8">
        <f>IF(HOUR(Table1[[#This Row],[CORREO]])&gt;=11,WORKDAY(Table1[[#This Row],[CORREO]],1,Table2[Dias no laborales]),E553)</f>
        <v>45791.373611111114</v>
      </c>
      <c r="G553" s="8">
        <v>45792</v>
      </c>
      <c r="H553" s="6">
        <f t="shared" si="16"/>
        <v>20</v>
      </c>
      <c r="I553" s="16">
        <f>MAX(1, NETWORKDAYS(A553, G553,Table2[Dias no laborales]))</f>
        <v>2</v>
      </c>
      <c r="J553" s="6" t="str">
        <f>IF(Table1[[#This Row],[FIN]]="","Acumulado",IF(ISNUMBER(SEARCH("ASAP",C553)),"ASAP",IF(NETWORKDAYS.INTL(F553,G553,1,Table2[Dias no laborales]) &lt;= 7, "Dentro", IF(A553&gt;F553,"Programado","Fuera"))))</f>
        <v>Dentro</v>
      </c>
      <c r="K553" s="6" t="str">
        <f t="shared" si="17"/>
        <v>A tiempo</v>
      </c>
      <c r="L553" s="9">
        <v>45792</v>
      </c>
      <c r="M553" s="17">
        <f>MAX(1,NETWORKDAYS(A553,L553,Table2[Dias no laborales]))</f>
        <v>2</v>
      </c>
    </row>
    <row r="554" spans="1:13" hidden="1" x14ac:dyDescent="0.3">
      <c r="A554" s="8">
        <v>45792</v>
      </c>
      <c r="B554" s="5" t="s">
        <v>1177</v>
      </c>
      <c r="C554" s="5" t="s">
        <v>1178</v>
      </c>
      <c r="D554" s="5" t="s">
        <v>119</v>
      </c>
      <c r="E554" s="14">
        <v>45791.619444444441</v>
      </c>
      <c r="F554" s="8">
        <f>IF(HOUR(Table1[[#This Row],[CORREO]])&gt;=11,WORKDAY(Table1[[#This Row],[CORREO]],1,Table2[Dias no laborales]),E554)</f>
        <v>45792</v>
      </c>
      <c r="G554" s="9">
        <v>45804</v>
      </c>
      <c r="H554" s="6">
        <f t="shared" si="16"/>
        <v>20</v>
      </c>
      <c r="I554" s="16">
        <f>MAX(1, NETWORKDAYS(A554, G554,Table2[Dias no laborales]))</f>
        <v>9</v>
      </c>
      <c r="J554" s="6" t="str">
        <f>IF(Table1[[#This Row],[FIN]]="","Acumulado",IF(ISNUMBER(SEARCH("ASAP",C554)),"ASAP",IF(NETWORKDAYS.INTL(F554,G554,1,Table2[Dias no laborales]) &lt;= 7, "Dentro", IF(A554&gt;F554,"Programado","Fuera"))))</f>
        <v>Fuera</v>
      </c>
      <c r="K554" s="6" t="str">
        <f t="shared" si="17"/>
        <v>A tiempo</v>
      </c>
      <c r="L554" s="9">
        <v>45796</v>
      </c>
      <c r="M554" s="17">
        <f>MAX(1,NETWORKDAYS(A554,L554,Table2[Dias no laborales]))</f>
        <v>3</v>
      </c>
    </row>
    <row r="555" spans="1:13" hidden="1" x14ac:dyDescent="0.3">
      <c r="A555" s="8">
        <v>45792</v>
      </c>
      <c r="B555" s="6" t="s">
        <v>1257</v>
      </c>
      <c r="C555" s="6" t="s">
        <v>1258</v>
      </c>
      <c r="D555" s="6" t="s">
        <v>24</v>
      </c>
      <c r="E555" s="14">
        <v>45791.688194444447</v>
      </c>
      <c r="F555" s="8">
        <f>IF(HOUR(Table1[[#This Row],[CORREO]])&gt;=11,WORKDAY(Table1[[#This Row],[CORREO]],1,Table2[Dias no laborales]),E555)</f>
        <v>45792</v>
      </c>
      <c r="G555" s="8">
        <v>45810</v>
      </c>
      <c r="H555" s="6">
        <f t="shared" si="16"/>
        <v>20</v>
      </c>
      <c r="I555" s="16">
        <f>MAX(1, NETWORKDAYS(A555, G555,Table2[Dias no laborales]))</f>
        <v>13</v>
      </c>
      <c r="J555" s="6" t="str">
        <f>IF(Table1[[#This Row],[FIN]]="","Acumulado",IF(ISNUMBER(SEARCH("ASAP",C555)),"ASAP",IF(NETWORKDAYS.INTL(F555,G555,1,Table2[Dias no laborales]) &lt;= 7, "Dentro", IF(A555&gt;F555,"Programado","Fuera"))))</f>
        <v>Fuera</v>
      </c>
      <c r="K555" s="6" t="str">
        <f t="shared" si="17"/>
        <v>A tiempo</v>
      </c>
      <c r="L555" s="9">
        <v>45793</v>
      </c>
      <c r="M555" s="17">
        <f>MAX(1,NETWORKDAYS(A555,L555,Table2[Dias no laborales]))</f>
        <v>2</v>
      </c>
    </row>
    <row r="556" spans="1:13" hidden="1" x14ac:dyDescent="0.3">
      <c r="A556" s="8">
        <v>45792</v>
      </c>
      <c r="B556" s="5" t="s">
        <v>1079</v>
      </c>
      <c r="C556" s="5" t="s">
        <v>1080</v>
      </c>
      <c r="D556" s="5" t="s">
        <v>37</v>
      </c>
      <c r="E556" s="14">
        <v>45792.371527777781</v>
      </c>
      <c r="F556" s="8">
        <f>IF(HOUR(Table1[[#This Row],[CORREO]])&gt;=11,WORKDAY(Table1[[#This Row],[CORREO]],1,Table2[Dias no laborales]),E556)</f>
        <v>45792.371527777781</v>
      </c>
      <c r="G556" s="8">
        <v>45796</v>
      </c>
      <c r="H556" s="6">
        <f t="shared" si="16"/>
        <v>20</v>
      </c>
      <c r="I556" s="16">
        <f>MAX(1, NETWORKDAYS(A556, G556,Table2[Dias no laborales]))</f>
        <v>3</v>
      </c>
      <c r="J556" s="6" t="str">
        <f>IF(Table1[[#This Row],[FIN]]="","Acumulado",IF(ISNUMBER(SEARCH("ASAP",C556)),"ASAP",IF(NETWORKDAYS.INTL(F556,G556,1,Table2[Dias no laborales]) &lt;= 7, "Dentro", IF(A556&gt;F556,"Programado","Fuera"))))</f>
        <v>Dentro</v>
      </c>
      <c r="K556" s="6" t="str">
        <f t="shared" si="17"/>
        <v>A tiempo</v>
      </c>
      <c r="L556" s="9">
        <v>45792</v>
      </c>
      <c r="M556" s="17">
        <f>MAX(1,NETWORKDAYS(A556,L556,Table2[Dias no laborales]))</f>
        <v>1</v>
      </c>
    </row>
    <row r="557" spans="1:13" hidden="1" x14ac:dyDescent="0.3">
      <c r="A557" s="8">
        <v>45793</v>
      </c>
      <c r="B557" s="5" t="s">
        <v>1130</v>
      </c>
      <c r="C557" s="5" t="s">
        <v>1131</v>
      </c>
      <c r="D557" s="5" t="s">
        <v>372</v>
      </c>
      <c r="E557" s="14">
        <v>45792.46597222222</v>
      </c>
      <c r="F557" s="8">
        <f>IF(HOUR(Table1[[#This Row],[CORREO]])&gt;=11,WORKDAY(Table1[[#This Row],[CORREO]],1,Table2[Dias no laborales]),E557)</f>
        <v>45793</v>
      </c>
      <c r="G557" s="8">
        <v>45799</v>
      </c>
      <c r="H557" s="6">
        <f t="shared" si="16"/>
        <v>20</v>
      </c>
      <c r="I557" s="16">
        <f>MAX(1, NETWORKDAYS(A557, G557,Table2[Dias no laborales]))</f>
        <v>5</v>
      </c>
      <c r="J557" s="6" t="str">
        <f>IF(Table1[[#This Row],[FIN]]="","Acumulado",IF(ISNUMBER(SEARCH("ASAP",C557)),"ASAP",IF(NETWORKDAYS.INTL(F557,G557,1,Table2[Dias no laborales]) &lt;= 7, "Dentro", IF(A557&gt;F557,"Programado","Fuera"))))</f>
        <v>Dentro</v>
      </c>
      <c r="K557" s="6" t="str">
        <f t="shared" si="17"/>
        <v>A tiempo</v>
      </c>
      <c r="L557" s="9">
        <v>45799</v>
      </c>
      <c r="M557" s="17">
        <f>MAX(1,NETWORKDAYS(A557,L557,Table2[Dias no laborales]))</f>
        <v>5</v>
      </c>
    </row>
    <row r="558" spans="1:13" hidden="1" x14ac:dyDescent="0.3">
      <c r="A558" s="8">
        <v>45793</v>
      </c>
      <c r="B558" s="6" t="s">
        <v>1259</v>
      </c>
      <c r="C558" s="6" t="s">
        <v>1260</v>
      </c>
      <c r="D558" s="6" t="s">
        <v>53</v>
      </c>
      <c r="E558" s="14">
        <v>45792.660416666666</v>
      </c>
      <c r="F558" s="8">
        <f>IF(HOUR(Table1[[#This Row],[CORREO]])&gt;=11,WORKDAY(Table1[[#This Row],[CORREO]],1,Table2[Dias no laborales]),E558)</f>
        <v>45793</v>
      </c>
      <c r="G558" s="8">
        <v>45811</v>
      </c>
      <c r="H558" s="6">
        <f t="shared" si="16"/>
        <v>20</v>
      </c>
      <c r="I558" s="16">
        <f>MAX(1, NETWORKDAYS(A558, G558,Table2[Dias no laborales]))</f>
        <v>13</v>
      </c>
      <c r="J558" s="6" t="str">
        <f>IF(Table1[[#This Row],[FIN]]="","Acumulado",IF(ISNUMBER(SEARCH("ASAP",C558)),"ASAP",IF(NETWORKDAYS.INTL(F558,G558,1,Table2[Dias no laborales]) &lt;= 7, "Dentro", IF(A558&gt;F558,"Programado","Fuera"))))</f>
        <v>Fuera</v>
      </c>
      <c r="K558" s="6" t="str">
        <f t="shared" si="17"/>
        <v>A tiempo</v>
      </c>
      <c r="L558" s="9">
        <v>45793</v>
      </c>
      <c r="M558" s="17">
        <f>MAX(1,NETWORKDAYS(A558,L558,Table2[Dias no laborales]))</f>
        <v>1</v>
      </c>
    </row>
    <row r="559" spans="1:13" hidden="1" x14ac:dyDescent="0.3">
      <c r="A559" s="8">
        <v>45793</v>
      </c>
      <c r="B559" s="5" t="s">
        <v>1106</v>
      </c>
      <c r="C559" s="5" t="s">
        <v>1107</v>
      </c>
      <c r="D559" s="5" t="s">
        <v>411</v>
      </c>
      <c r="E559" s="14">
        <v>45793.322222222225</v>
      </c>
      <c r="F559" s="8">
        <f>IF(HOUR(Table1[[#This Row],[CORREO]])&gt;=11,WORKDAY(Table1[[#This Row],[CORREO]],1,Table2[Dias no laborales]),E559)</f>
        <v>45793.322222222225</v>
      </c>
      <c r="G559" s="8">
        <v>45798</v>
      </c>
      <c r="H559" s="6">
        <f t="shared" si="16"/>
        <v>20</v>
      </c>
      <c r="I559" s="16">
        <f>MAX(1, NETWORKDAYS(A559, G559,Table2[Dias no laborales]))</f>
        <v>4</v>
      </c>
      <c r="J559" s="6" t="str">
        <f>IF(Table1[[#This Row],[FIN]]="","Acumulado",IF(ISNUMBER(SEARCH("ASAP",C559)),"ASAP",IF(NETWORKDAYS.INTL(F559,G559,1,Table2[Dias no laborales]) &lt;= 7, "Dentro", IF(A559&gt;F559,"Programado","Fuera"))))</f>
        <v>Dentro</v>
      </c>
      <c r="K559" s="6" t="str">
        <f t="shared" si="17"/>
        <v>A tiempo</v>
      </c>
      <c r="L559" s="9">
        <v>45796</v>
      </c>
      <c r="M559" s="17">
        <f>MAX(1,NETWORKDAYS(A559,L559,Table2[Dias no laborales]))</f>
        <v>2</v>
      </c>
    </row>
    <row r="560" spans="1:13" hidden="1" x14ac:dyDescent="0.3">
      <c r="A560" s="8">
        <v>45793</v>
      </c>
      <c r="B560" s="6" t="s">
        <v>985</v>
      </c>
      <c r="C560" s="6" t="s">
        <v>986</v>
      </c>
      <c r="D560" s="6" t="s">
        <v>623</v>
      </c>
      <c r="E560" s="14">
        <v>45793.423611111109</v>
      </c>
      <c r="F560" s="8">
        <f>IF(HOUR(Table1[[#This Row],[CORREO]])&gt;=11,WORKDAY(Table1[[#This Row],[CORREO]],1,Table2[Dias no laborales]),E560)</f>
        <v>45793.423611111109</v>
      </c>
      <c r="G560" s="8">
        <v>45793</v>
      </c>
      <c r="H560" s="6">
        <f t="shared" si="16"/>
        <v>20</v>
      </c>
      <c r="I560" s="16">
        <f>MAX(1, NETWORKDAYS(A560, G560,Table2[Dias no laborales]))</f>
        <v>1</v>
      </c>
      <c r="J560" s="6" t="str">
        <f>IF(Table1[[#This Row],[FIN]]="","Acumulado",IF(ISNUMBER(SEARCH("ASAP",C560)),"ASAP",IF(NETWORKDAYS.INTL(F560,G560,1,Table2[Dias no laborales]) &lt;= 7, "Dentro", IF(A560&gt;F560,"Programado","Fuera"))))</f>
        <v>Dentro</v>
      </c>
      <c r="K560" s="6" t="str">
        <f t="shared" si="17"/>
        <v>A tiempo</v>
      </c>
      <c r="L560" s="9">
        <v>45793</v>
      </c>
      <c r="M560" s="17">
        <f>MAX(1,NETWORKDAYS(A560,L560,Table2[Dias no laborales]))</f>
        <v>1</v>
      </c>
    </row>
    <row r="561" spans="1:13" hidden="1" x14ac:dyDescent="0.3">
      <c r="A561" s="8">
        <v>45793</v>
      </c>
      <c r="B561" s="5" t="s">
        <v>1168</v>
      </c>
      <c r="C561" s="5" t="s">
        <v>1169</v>
      </c>
      <c r="D561" s="5" t="s">
        <v>27</v>
      </c>
      <c r="E561" s="14">
        <v>45793.427777777775</v>
      </c>
      <c r="F561" s="8">
        <f>IF(HOUR(Table1[[#This Row],[CORREO]])&gt;=11,WORKDAY(Table1[[#This Row],[CORREO]],1,Table2[Dias no laborales]),E561)</f>
        <v>45793.427777777775</v>
      </c>
      <c r="G561" s="9">
        <v>45804</v>
      </c>
      <c r="H561" s="6">
        <f t="shared" si="16"/>
        <v>20</v>
      </c>
      <c r="I561" s="16">
        <f>MAX(1, NETWORKDAYS(A561, G561,Table2[Dias no laborales]))</f>
        <v>8</v>
      </c>
      <c r="J561" s="6" t="str">
        <f>IF(Table1[[#This Row],[FIN]]="","Acumulado",IF(ISNUMBER(SEARCH("ASAP",C561)),"ASAP",IF(NETWORKDAYS.INTL(F561,G561,1,Table2[Dias no laborales]) &lt;= 7, "Dentro", IF(A561&gt;F561,"Programado","Fuera"))))</f>
        <v>ASAP</v>
      </c>
      <c r="K561" s="6" t="str">
        <f t="shared" si="17"/>
        <v>A tiempo</v>
      </c>
      <c r="L561" s="9">
        <v>45798</v>
      </c>
      <c r="M561" s="17">
        <f>MAX(1,NETWORKDAYS(A561,L561,Table2[Dias no laborales]))</f>
        <v>4</v>
      </c>
    </row>
    <row r="562" spans="1:13" hidden="1" x14ac:dyDescent="0.3">
      <c r="A562" s="8">
        <v>45793</v>
      </c>
      <c r="B562" s="6" t="s">
        <v>984</v>
      </c>
      <c r="C562" s="6" t="s">
        <v>394</v>
      </c>
      <c r="D562" s="6" t="s">
        <v>27</v>
      </c>
      <c r="E562" s="14">
        <v>45793.538888888892</v>
      </c>
      <c r="F562" s="8">
        <f>IF(HOUR(Table1[[#This Row],[CORREO]])&gt;=11,WORKDAY(Table1[[#This Row],[CORREO]],1,Table2[Dias no laborales]),E562)</f>
        <v>45796</v>
      </c>
      <c r="G562" s="8">
        <v>45793</v>
      </c>
      <c r="H562" s="6">
        <f t="shared" si="16"/>
        <v>20</v>
      </c>
      <c r="I562" s="16">
        <f>MAX(1, NETWORKDAYS(A562, G562,Table2[Dias no laborales]))</f>
        <v>1</v>
      </c>
      <c r="J562" s="6" t="str">
        <f>IF(Table1[[#This Row],[FIN]]="","Acumulado",IF(ISNUMBER(SEARCH("ASAP",C562)),"ASAP",IF(NETWORKDAYS.INTL(F562,G562,1,Table2[Dias no laborales]) &lt;= 7, "Dentro", IF(A562&gt;F562,"Programado","Fuera"))))</f>
        <v>Dentro</v>
      </c>
      <c r="K562" s="6" t="str">
        <f t="shared" si="17"/>
        <v>Mismo día</v>
      </c>
      <c r="L562" s="9">
        <v>45793</v>
      </c>
      <c r="M562" s="17">
        <f>MAX(1,NETWORKDAYS(A562,L562,Table2[Dias no laborales]))</f>
        <v>1</v>
      </c>
    </row>
    <row r="563" spans="1:13" hidden="1" x14ac:dyDescent="0.3">
      <c r="A563" s="8">
        <v>45793</v>
      </c>
      <c r="B563" s="6" t="s">
        <v>990</v>
      </c>
      <c r="C563" s="6" t="s">
        <v>991</v>
      </c>
      <c r="D563" s="6" t="s">
        <v>89</v>
      </c>
      <c r="E563" s="14">
        <v>45793.440972222219</v>
      </c>
      <c r="F563" s="8">
        <f>IF(HOUR(Table1[[#This Row],[CORREO]])&gt;=11,WORKDAY(Table1[[#This Row],[CORREO]],1,Table2[Dias no laborales]),E563)</f>
        <v>45793.440972222219</v>
      </c>
      <c r="G563" s="8">
        <v>45793</v>
      </c>
      <c r="H563" s="6">
        <f t="shared" si="16"/>
        <v>20</v>
      </c>
      <c r="I563" s="16">
        <f>MAX(1, NETWORKDAYS(A563, G563,Table2[Dias no laborales]))</f>
        <v>1</v>
      </c>
      <c r="J563" s="6" t="str">
        <f>IF(Table1[[#This Row],[FIN]]="","Acumulado",IF(ISNUMBER(SEARCH("ASAP",C563)),"ASAP",IF(NETWORKDAYS.INTL(F563,G563,1,Table2[Dias no laborales]) &lt;= 7, "Dentro", IF(A563&gt;F563,"Programado","Fuera"))))</f>
        <v>Dentro</v>
      </c>
      <c r="K563" s="6" t="str">
        <f t="shared" si="17"/>
        <v>A tiempo</v>
      </c>
      <c r="L563" s="9">
        <v>45793</v>
      </c>
      <c r="M563" s="17">
        <f>MAX(1,NETWORKDAYS(A563,L563,Table2[Dias no laborales]))</f>
        <v>1</v>
      </c>
    </row>
    <row r="564" spans="1:13" hidden="1" x14ac:dyDescent="0.3">
      <c r="A564" s="8">
        <v>45796</v>
      </c>
      <c r="B564" s="5" t="s">
        <v>1235</v>
      </c>
      <c r="C564" s="5" t="s">
        <v>1236</v>
      </c>
      <c r="D564" s="5" t="s">
        <v>24</v>
      </c>
      <c r="E564" s="14">
        <v>45793.613194444442</v>
      </c>
      <c r="F564" s="8">
        <f>IF(HOUR(Table1[[#This Row],[CORREO]])&gt;=11,WORKDAY(Table1[[#This Row],[CORREO]],1,Table2[Dias no laborales]),E564)</f>
        <v>45796</v>
      </c>
      <c r="G564" s="8">
        <v>45835</v>
      </c>
      <c r="H564" s="6">
        <f t="shared" si="16"/>
        <v>20</v>
      </c>
      <c r="I564" s="16">
        <f>MAX(1, NETWORKDAYS(A564, G564,Table2[Dias no laborales]))</f>
        <v>30</v>
      </c>
      <c r="J564" s="6" t="str">
        <f>IF(Table1[[#This Row],[FIN]]="","Acumulado",IF(ISNUMBER(SEARCH("ASAP",C564)),"ASAP",IF(NETWORKDAYS.INTL(F564,G564,1,Table2[Dias no laborales]) &lt;= 7, "Dentro", IF(A564&gt;F564,"Programado","Fuera"))))</f>
        <v>Fuera</v>
      </c>
      <c r="K564" s="6" t="str">
        <f t="shared" si="17"/>
        <v>A tiempo</v>
      </c>
      <c r="L564" s="9">
        <v>45797</v>
      </c>
      <c r="M564" s="17">
        <f>MAX(1,NETWORKDAYS(A564,L564,Table2[Dias no laborales]))</f>
        <v>2</v>
      </c>
    </row>
    <row r="565" spans="1:13" hidden="1" x14ac:dyDescent="0.3">
      <c r="A565" s="8">
        <v>45796</v>
      </c>
      <c r="B565" s="5" t="s">
        <v>1085</v>
      </c>
      <c r="C565" s="5" t="s">
        <v>1086</v>
      </c>
      <c r="D565" s="5" t="s">
        <v>238</v>
      </c>
      <c r="E565" s="14">
        <v>45793.701388888891</v>
      </c>
      <c r="F565" s="8">
        <f>IF(HOUR(Table1[[#This Row],[CORREO]])&gt;=11,WORKDAY(Table1[[#This Row],[CORREO]],1,Table2[Dias no laborales]),E565)</f>
        <v>45796</v>
      </c>
      <c r="G565" s="8">
        <v>45798</v>
      </c>
      <c r="H565" s="6">
        <f t="shared" si="16"/>
        <v>20</v>
      </c>
      <c r="I565" s="16">
        <f>MAX(1, NETWORKDAYS(A565, G565,Table2[Dias no laborales]))</f>
        <v>3</v>
      </c>
      <c r="J565" s="6" t="str">
        <f>IF(Table1[[#This Row],[FIN]]="","Acumulado",IF(ISNUMBER(SEARCH("ASAP",C565)),"ASAP",IF(NETWORKDAYS.INTL(F565,G565,1,Table2[Dias no laborales]) &lt;= 7, "Dentro", IF(A565&gt;F565,"Programado","Fuera"))))</f>
        <v>Dentro</v>
      </c>
      <c r="K565" s="6" t="str">
        <f t="shared" si="17"/>
        <v>A tiempo</v>
      </c>
      <c r="L565" s="9">
        <v>45798</v>
      </c>
      <c r="M565" s="17">
        <f>MAX(1,NETWORKDAYS(A565,L565,Table2[Dias no laborales]))</f>
        <v>3</v>
      </c>
    </row>
    <row r="566" spans="1:13" hidden="1" x14ac:dyDescent="0.3">
      <c r="A566" s="8">
        <v>45796</v>
      </c>
      <c r="B566" s="6" t="s">
        <v>992</v>
      </c>
      <c r="C566" s="6" t="s">
        <v>993</v>
      </c>
      <c r="D566" s="6" t="s">
        <v>994</v>
      </c>
      <c r="E566" s="14">
        <v>45796.347916666666</v>
      </c>
      <c r="F566" s="8">
        <f>IF(HOUR(Table1[[#This Row],[CORREO]])&gt;=11,WORKDAY(Table1[[#This Row],[CORREO]],1,Table2[Dias no laborales]),E566)</f>
        <v>45796.347916666666</v>
      </c>
      <c r="G566" s="8">
        <v>45796</v>
      </c>
      <c r="H566" s="6">
        <f t="shared" si="16"/>
        <v>20</v>
      </c>
      <c r="I566" s="16">
        <f>MAX(1, NETWORKDAYS(A566, G566,Table2[Dias no laborales]))</f>
        <v>1</v>
      </c>
      <c r="J566" s="6" t="str">
        <f>IF(Table1[[#This Row],[FIN]]="","Acumulado",IF(ISNUMBER(SEARCH("ASAP",C566)),"ASAP",IF(NETWORKDAYS.INTL(F566,G566,1,Table2[Dias no laborales]) &lt;= 7, "Dentro", IF(A566&gt;F566,"Programado","Fuera"))))</f>
        <v>Dentro</v>
      </c>
      <c r="K566" s="6" t="str">
        <f t="shared" si="17"/>
        <v>A tiempo</v>
      </c>
      <c r="L566" s="9">
        <v>45796</v>
      </c>
      <c r="M566" s="17">
        <f>MAX(1,NETWORKDAYS(A566,L566,Table2[Dias no laborales]))</f>
        <v>1</v>
      </c>
    </row>
    <row r="567" spans="1:13" hidden="1" x14ac:dyDescent="0.3">
      <c r="A567" s="8">
        <v>45796</v>
      </c>
      <c r="B567" s="5" t="s">
        <v>1081</v>
      </c>
      <c r="C567" s="5" t="s">
        <v>1082</v>
      </c>
      <c r="D567" s="5" t="s">
        <v>27</v>
      </c>
      <c r="E567" s="14">
        <v>45796.356249999997</v>
      </c>
      <c r="F567" s="8">
        <f>IF(HOUR(Table1[[#This Row],[CORREO]])&gt;=11,WORKDAY(Table1[[#This Row],[CORREO]],1,Table2[Dias no laborales]),E567)</f>
        <v>45796.356249999997</v>
      </c>
      <c r="G567" s="8">
        <v>45798</v>
      </c>
      <c r="H567" s="6">
        <f t="shared" si="16"/>
        <v>20</v>
      </c>
      <c r="I567" s="16">
        <f>MAX(1, NETWORKDAYS(A567, G567,Table2[Dias no laborales]))</f>
        <v>3</v>
      </c>
      <c r="J567" s="6" t="str">
        <f>IF(Table1[[#This Row],[FIN]]="","Acumulado",IF(ISNUMBER(SEARCH("ASAP",C567)),"ASAP",IF(NETWORKDAYS.INTL(F567,G567,1,Table2[Dias no laborales]) &lt;= 7, "Dentro", IF(A567&gt;F567,"Programado","Fuera"))))</f>
        <v>Dentro</v>
      </c>
      <c r="K567" s="6" t="str">
        <f t="shared" si="17"/>
        <v>A tiempo</v>
      </c>
      <c r="L567" s="9">
        <v>45798</v>
      </c>
      <c r="M567" s="17">
        <f>MAX(1,NETWORKDAYS(A567,L567,Table2[Dias no laborales]))</f>
        <v>3</v>
      </c>
    </row>
    <row r="568" spans="1:13" hidden="1" x14ac:dyDescent="0.3">
      <c r="A568" s="8">
        <v>45796</v>
      </c>
      <c r="B568" s="5" t="s">
        <v>1132</v>
      </c>
      <c r="C568" s="5" t="s">
        <v>1133</v>
      </c>
      <c r="D568" s="5" t="s">
        <v>24</v>
      </c>
      <c r="E568" s="14"/>
      <c r="F568" s="8">
        <f>IF(HOUR(Table1[[#This Row],[CORREO]])&gt;=11,WORKDAY(Table1[[#This Row],[CORREO]],1,Table2[Dias no laborales]),E568)</f>
        <v>0</v>
      </c>
      <c r="G568" s="8">
        <v>45800</v>
      </c>
      <c r="H568" s="6">
        <f t="shared" si="16"/>
        <v>20</v>
      </c>
      <c r="I568" s="16">
        <f>MAX(1, NETWORKDAYS(A568, G568,Table2[Dias no laborales]))</f>
        <v>5</v>
      </c>
      <c r="J568" s="6" t="str">
        <f>IF(Table1[[#This Row],[FIN]]="","Acumulado",IF(ISNUMBER(SEARCH("ASAP",C568)),"ASAP",IF(NETWORKDAYS.INTL(F568,G568,1,Table2[Dias no laborales]) &lt;= 7, "Dentro", IF(A568&gt;F568,"Programado","Fuera"))))</f>
        <v>Programado</v>
      </c>
      <c r="K568" s="6" t="str">
        <f t="shared" si="17"/>
        <v>Programados</v>
      </c>
      <c r="L568" s="9">
        <v>45796</v>
      </c>
      <c r="M568" s="17">
        <f>MAX(1,NETWORKDAYS(A568,L568,Table2[Dias no laborales]))</f>
        <v>1</v>
      </c>
    </row>
    <row r="569" spans="1:13" hidden="1" x14ac:dyDescent="0.3">
      <c r="A569" s="8">
        <v>45796</v>
      </c>
      <c r="B569" s="5" t="s">
        <v>996</v>
      </c>
      <c r="C569" s="5" t="s">
        <v>997</v>
      </c>
      <c r="D569" s="5" t="s">
        <v>119</v>
      </c>
      <c r="E569" s="14">
        <v>45796.399305555555</v>
      </c>
      <c r="F569" s="8">
        <f>IF(HOUR(Table1[[#This Row],[CORREO]])&gt;=11,WORKDAY(Table1[[#This Row],[CORREO]],1,Table2[Dias no laborales]),E569)</f>
        <v>45796.399305555555</v>
      </c>
      <c r="G569" s="8">
        <v>45796</v>
      </c>
      <c r="H569" s="6">
        <f t="shared" si="16"/>
        <v>20</v>
      </c>
      <c r="I569" s="16">
        <f>MAX(1, NETWORKDAYS(A569, G569,Table2[Dias no laborales]))</f>
        <v>1</v>
      </c>
      <c r="J569" s="6" t="str">
        <f>IF(Table1[[#This Row],[FIN]]="","Acumulado",IF(ISNUMBER(SEARCH("ASAP",C569)),"ASAP",IF(NETWORKDAYS.INTL(F569,G569,1,Table2[Dias no laborales]) &lt;= 7, "Dentro", IF(A569&gt;F569,"Programado","Fuera"))))</f>
        <v>Dentro</v>
      </c>
      <c r="K569" s="6" t="str">
        <f t="shared" si="17"/>
        <v>A tiempo</v>
      </c>
      <c r="L569" s="9">
        <v>45796</v>
      </c>
      <c r="M569" s="17">
        <f>MAX(1,NETWORKDAYS(A569,L569,Table2[Dias no laborales]))</f>
        <v>1</v>
      </c>
    </row>
    <row r="570" spans="1:13" hidden="1" x14ac:dyDescent="0.3">
      <c r="A570" s="8">
        <v>45796</v>
      </c>
      <c r="B570" s="5" t="s">
        <v>995</v>
      </c>
      <c r="C570" s="5" t="s">
        <v>394</v>
      </c>
      <c r="D570" s="5" t="s">
        <v>27</v>
      </c>
      <c r="E570" s="14">
        <v>45796.399305555555</v>
      </c>
      <c r="F570" s="8">
        <f>IF(HOUR(Table1[[#This Row],[CORREO]])&gt;=11,WORKDAY(Table1[[#This Row],[CORREO]],1,Table2[Dias no laborales]),E570)</f>
        <v>45796.399305555555</v>
      </c>
      <c r="G570" s="8">
        <v>45796</v>
      </c>
      <c r="H570" s="6">
        <f t="shared" si="16"/>
        <v>20</v>
      </c>
      <c r="I570" s="16">
        <f>MAX(1, NETWORKDAYS(A570, G570,Table2[Dias no laborales]))</f>
        <v>1</v>
      </c>
      <c r="J570" s="6" t="str">
        <f>IF(Table1[[#This Row],[FIN]]="","Acumulado",IF(ISNUMBER(SEARCH("ASAP",C570)),"ASAP",IF(NETWORKDAYS.INTL(F570,G570,1,Table2[Dias no laborales]) &lt;= 7, "Dentro", IF(A570&gt;F570,"Programado","Fuera"))))</f>
        <v>Dentro</v>
      </c>
      <c r="K570" s="6" t="str">
        <f t="shared" si="17"/>
        <v>A tiempo</v>
      </c>
      <c r="L570" s="9">
        <v>45796</v>
      </c>
      <c r="M570" s="17">
        <f>MAX(1,NETWORKDAYS(A570,L570,Table2[Dias no laborales]))</f>
        <v>1</v>
      </c>
    </row>
    <row r="571" spans="1:13" hidden="1" x14ac:dyDescent="0.3">
      <c r="A571" s="8">
        <v>45796</v>
      </c>
      <c r="B571" s="5" t="s">
        <v>1083</v>
      </c>
      <c r="C571" s="5" t="s">
        <v>1084</v>
      </c>
      <c r="D571" s="5" t="s">
        <v>238</v>
      </c>
      <c r="E571" s="14">
        <v>45796.419444444444</v>
      </c>
      <c r="F571" s="8">
        <f>IF(HOUR(Table1[[#This Row],[CORREO]])&gt;=11,WORKDAY(Table1[[#This Row],[CORREO]],1,Table2[Dias no laborales]),E571)</f>
        <v>45796.419444444444</v>
      </c>
      <c r="G571" s="8">
        <v>45798</v>
      </c>
      <c r="H571" s="6">
        <f t="shared" si="16"/>
        <v>20</v>
      </c>
      <c r="I571" s="16">
        <f>MAX(1, NETWORKDAYS(A571, G571,Table2[Dias no laborales]))</f>
        <v>3</v>
      </c>
      <c r="J571" s="6" t="str">
        <f>IF(Table1[[#This Row],[FIN]]="","Acumulado",IF(ISNUMBER(SEARCH("ASAP",C571)),"ASAP",IF(NETWORKDAYS.INTL(F571,G571,1,Table2[Dias no laborales]) &lt;= 7, "Dentro", IF(A571&gt;F571,"Programado","Fuera"))))</f>
        <v>Dentro</v>
      </c>
      <c r="K571" s="6" t="str">
        <f t="shared" si="17"/>
        <v>A tiempo</v>
      </c>
      <c r="L571" s="9">
        <v>45797</v>
      </c>
      <c r="M571" s="17">
        <f>MAX(1,NETWORKDAYS(A571,L571,Table2[Dias no laborales]))</f>
        <v>2</v>
      </c>
    </row>
    <row r="572" spans="1:13" hidden="1" x14ac:dyDescent="0.3">
      <c r="A572" s="8">
        <v>45796</v>
      </c>
      <c r="B572" s="6" t="s">
        <v>1251</v>
      </c>
      <c r="C572" s="6" t="s">
        <v>1252</v>
      </c>
      <c r="D572" s="6" t="s">
        <v>24</v>
      </c>
      <c r="E572" s="14"/>
      <c r="F572" s="8">
        <f>IF(HOUR(Table1[[#This Row],[CORREO]])&gt;=11,WORKDAY(Table1[[#This Row],[CORREO]],1,Table2[Dias no laborales]),E572)</f>
        <v>0</v>
      </c>
      <c r="G572" s="8">
        <v>45819</v>
      </c>
      <c r="H572" s="6">
        <f t="shared" si="16"/>
        <v>20</v>
      </c>
      <c r="I572" s="16">
        <f>MAX(1, NETWORKDAYS(A572, G572,Table2[Dias no laborales]))</f>
        <v>18</v>
      </c>
      <c r="J572" s="6" t="str">
        <f>IF(Table1[[#This Row],[FIN]]="","Acumulado",IF(ISNUMBER(SEARCH("ASAP",C572)),"ASAP",IF(NETWORKDAYS.INTL(F572,G572,1,Table2[Dias no laborales]) &lt;= 7, "Dentro", IF(A572&gt;F572,"Programado","Fuera"))))</f>
        <v>Programado</v>
      </c>
      <c r="K572" s="6" t="str">
        <f t="shared" si="17"/>
        <v>Programados</v>
      </c>
      <c r="L572" s="9">
        <v>45796</v>
      </c>
      <c r="M572" s="17">
        <f>MAX(1,NETWORKDAYS(A572,L572,Table2[Dias no laborales]))</f>
        <v>1</v>
      </c>
    </row>
    <row r="573" spans="1:13" hidden="1" x14ac:dyDescent="0.3">
      <c r="A573" s="8">
        <v>45797</v>
      </c>
      <c r="B573" s="5" t="s">
        <v>1054</v>
      </c>
      <c r="C573" s="5" t="s">
        <v>1055</v>
      </c>
      <c r="D573" s="5" t="s">
        <v>171</v>
      </c>
      <c r="E573" s="14">
        <v>45796.570138888892</v>
      </c>
      <c r="F573" s="8">
        <f>IF(HOUR(Table1[[#This Row],[CORREO]])&gt;=11,WORKDAY(Table1[[#This Row],[CORREO]],1,Table2[Dias no laborales]),E573)</f>
        <v>45797</v>
      </c>
      <c r="G573" s="8">
        <v>45798</v>
      </c>
      <c r="H573" s="6">
        <f t="shared" si="16"/>
        <v>20</v>
      </c>
      <c r="I573" s="16">
        <f>MAX(1, NETWORKDAYS(A573, G573,Table2[Dias no laborales]))</f>
        <v>2</v>
      </c>
      <c r="J573" s="6" t="str">
        <f>IF(Table1[[#This Row],[FIN]]="","Acumulado",IF(ISNUMBER(SEARCH("ASAP",C573)),"ASAP",IF(NETWORKDAYS.INTL(F573,G573,1,Table2[Dias no laborales]) &lt;= 7, "Dentro", IF(A573&gt;F573,"Programado","Fuera"))))</f>
        <v>Dentro</v>
      </c>
      <c r="K573" s="6" t="str">
        <f t="shared" si="17"/>
        <v>A tiempo</v>
      </c>
      <c r="L573" s="9">
        <v>45797</v>
      </c>
      <c r="M573" s="17">
        <f>MAX(1,NETWORKDAYS(A573,L573,Table2[Dias no laborales]))</f>
        <v>1</v>
      </c>
    </row>
    <row r="574" spans="1:13" hidden="1" x14ac:dyDescent="0.3">
      <c r="A574" s="8">
        <v>45797</v>
      </c>
      <c r="B574" s="5" t="s">
        <v>1056</v>
      </c>
      <c r="C574" s="5" t="s">
        <v>1057</v>
      </c>
      <c r="D574" s="5" t="s">
        <v>877</v>
      </c>
      <c r="E574" s="14">
        <v>45796.910416666666</v>
      </c>
      <c r="F574" s="8">
        <f>IF(HOUR(Table1[[#This Row],[CORREO]])&gt;=11,WORKDAY(Table1[[#This Row],[CORREO]],1,Table2[Dias no laborales]),E574)</f>
        <v>45797</v>
      </c>
      <c r="G574" s="8">
        <v>45798</v>
      </c>
      <c r="H574" s="6">
        <f t="shared" si="16"/>
        <v>20</v>
      </c>
      <c r="I574" s="16">
        <f>MAX(1, NETWORKDAYS(A574, G574,Table2[Dias no laborales]))</f>
        <v>2</v>
      </c>
      <c r="J574" s="6" t="str">
        <f>IF(Table1[[#This Row],[FIN]]="","Acumulado",IF(ISNUMBER(SEARCH("ASAP",C574)),"ASAP",IF(NETWORKDAYS.INTL(F574,G574,1,Table2[Dias no laborales]) &lt;= 7, "Dentro", IF(A574&gt;F574,"Programado","Fuera"))))</f>
        <v>Dentro</v>
      </c>
      <c r="K574" s="6" t="str">
        <f t="shared" si="17"/>
        <v>A tiempo</v>
      </c>
      <c r="L574" s="9">
        <v>45798</v>
      </c>
      <c r="M574" s="17">
        <f>MAX(1,NETWORKDAYS(A574,L574,Table2[Dias no laborales]))</f>
        <v>2</v>
      </c>
    </row>
    <row r="575" spans="1:13" hidden="1" x14ac:dyDescent="0.3">
      <c r="A575" s="8">
        <v>45797</v>
      </c>
      <c r="B575" s="6" t="s">
        <v>1265</v>
      </c>
      <c r="C575" s="6" t="s">
        <v>1266</v>
      </c>
      <c r="D575" s="6" t="s">
        <v>133</v>
      </c>
      <c r="E575" s="14"/>
      <c r="F575" s="8">
        <f>IF(HOUR(Table1[[#This Row],[CORREO]])&gt;=11,WORKDAY(Table1[[#This Row],[CORREO]],1,Table2[Dias no laborales]),E575)</f>
        <v>0</v>
      </c>
      <c r="G575" s="8">
        <v>45812</v>
      </c>
      <c r="H575" s="6">
        <f t="shared" si="16"/>
        <v>20</v>
      </c>
      <c r="I575" s="16">
        <f>MAX(1, NETWORKDAYS(A575, G575,Table2[Dias no laborales]))</f>
        <v>12</v>
      </c>
      <c r="J575" s="6" t="str">
        <f>IF(Table1[[#This Row],[FIN]]="","Acumulado",IF(ISNUMBER(SEARCH("ASAP",C575)),"ASAP",IF(NETWORKDAYS.INTL(F575,G575,1,Table2[Dias no laborales]) &lt;= 7, "Dentro", IF(A575&gt;F575,"Programado","Fuera"))))</f>
        <v>Programado</v>
      </c>
      <c r="K575" s="6" t="str">
        <f t="shared" si="17"/>
        <v>Programados</v>
      </c>
      <c r="L575" s="9">
        <v>45805</v>
      </c>
      <c r="M575" s="17">
        <f>MAX(1,NETWORKDAYS(A575,L575,Table2[Dias no laborales]))</f>
        <v>7</v>
      </c>
    </row>
    <row r="576" spans="1:13" hidden="1" x14ac:dyDescent="0.3">
      <c r="A576" s="8">
        <v>45797</v>
      </c>
      <c r="B576" s="5" t="s">
        <v>1087</v>
      </c>
      <c r="C576" s="5" t="s">
        <v>1088</v>
      </c>
      <c r="D576" s="5" t="s">
        <v>27</v>
      </c>
      <c r="E576" s="14">
        <v>45797.576388888891</v>
      </c>
      <c r="F576" s="8">
        <f>IF(HOUR(Table1[[#This Row],[CORREO]])&gt;=11,WORKDAY(Table1[[#This Row],[CORREO]],1,Table2[Dias no laborales]),E576)</f>
        <v>45798</v>
      </c>
      <c r="G576" s="8">
        <v>45799</v>
      </c>
      <c r="H576" s="6">
        <f t="shared" si="16"/>
        <v>20</v>
      </c>
      <c r="I576" s="16">
        <f>MAX(1, NETWORKDAYS(A576, G576,Table2[Dias no laborales]))</f>
        <v>3</v>
      </c>
      <c r="J576" s="6" t="str">
        <f>IF(Table1[[#This Row],[FIN]]="","Acumulado",IF(ISNUMBER(SEARCH("ASAP",C576)),"ASAP",IF(NETWORKDAYS.INTL(F576,G576,1,Table2[Dias no laborales]) &lt;= 7, "Dentro", IF(A576&gt;F576,"Programado","Fuera"))))</f>
        <v>ASAP</v>
      </c>
      <c r="K576" s="6" t="str">
        <f t="shared" si="17"/>
        <v>Mismo día</v>
      </c>
      <c r="L576" s="9">
        <v>45799</v>
      </c>
      <c r="M576" s="17">
        <f>MAX(1,NETWORKDAYS(A576,L576,Table2[Dias no laborales]))</f>
        <v>3</v>
      </c>
    </row>
    <row r="577" spans="1:13" hidden="1" x14ac:dyDescent="0.3">
      <c r="A577" s="8">
        <v>45798</v>
      </c>
      <c r="B577" s="5" t="s">
        <v>1000</v>
      </c>
      <c r="C577" s="5" t="s">
        <v>1001</v>
      </c>
      <c r="D577" s="5" t="s">
        <v>27</v>
      </c>
      <c r="E577" s="14">
        <v>45797.618055555555</v>
      </c>
      <c r="F577" s="8">
        <f>IF(HOUR(Table1[[#This Row],[CORREO]])&gt;=11,WORKDAY(Table1[[#This Row],[CORREO]],1,Table2[Dias no laborales]),E577)</f>
        <v>45798</v>
      </c>
      <c r="G577" s="8">
        <v>45798</v>
      </c>
      <c r="H577" s="6">
        <f t="shared" si="16"/>
        <v>21</v>
      </c>
      <c r="I577" s="16">
        <f>MAX(1, NETWORKDAYS(A577, G577,Table2[Dias no laborales]))</f>
        <v>1</v>
      </c>
      <c r="J577" s="6" t="str">
        <f>IF(Table1[[#This Row],[FIN]]="","Acumulado",IF(ISNUMBER(SEARCH("ASAP",C577)),"ASAP",IF(NETWORKDAYS.INTL(F577,G577,1,Table2[Dias no laborales]) &lt;= 7, "Dentro", IF(A577&gt;F577,"Programado","Fuera"))))</f>
        <v>ASAP</v>
      </c>
      <c r="K577" s="6" t="str">
        <f t="shared" si="17"/>
        <v>A tiempo</v>
      </c>
      <c r="L577" s="9">
        <v>45798</v>
      </c>
      <c r="M577" s="17">
        <f>MAX(1,NETWORKDAYS(A577,L577,Table2[Dias no laborales]))</f>
        <v>1</v>
      </c>
    </row>
    <row r="578" spans="1:13" hidden="1" x14ac:dyDescent="0.3">
      <c r="A578" s="8">
        <v>45798</v>
      </c>
      <c r="B578" s="5" t="s">
        <v>1058</v>
      </c>
      <c r="C578" s="5" t="s">
        <v>1059</v>
      </c>
      <c r="D578" s="5" t="s">
        <v>27</v>
      </c>
      <c r="E578" s="14">
        <v>45797.63958333333</v>
      </c>
      <c r="F578" s="8">
        <f>IF(HOUR(Table1[[#This Row],[CORREO]])&gt;=11,WORKDAY(Table1[[#This Row],[CORREO]],1,Table2[Dias no laborales]),E578)</f>
        <v>45798</v>
      </c>
      <c r="G578" s="8">
        <v>45799</v>
      </c>
      <c r="H578" s="6">
        <f t="shared" ref="H578:H641" si="18">INT((A578-DATE(YEAR(A578),1,1))/7) + 1</f>
        <v>21</v>
      </c>
      <c r="I578" s="16">
        <f>MAX(1, NETWORKDAYS(A578, G578,Table2[Dias no laborales]))</f>
        <v>2</v>
      </c>
      <c r="J578" s="6" t="str">
        <f>IF(Table1[[#This Row],[FIN]]="","Acumulado",IF(ISNUMBER(SEARCH("ASAP",C578)),"ASAP",IF(NETWORKDAYS.INTL(F578,G578,1,Table2[Dias no laborales]) &lt;= 7, "Dentro", IF(A578&gt;F578,"Programado","Fuera"))))</f>
        <v>ASAP</v>
      </c>
      <c r="K578" s="6" t="str">
        <f t="shared" ref="K578:K641" si="19">IF(INT(A578)=INT(F578),"A tiempo", IF(A578&lt;F578,"Mismo día","Programados"))</f>
        <v>A tiempo</v>
      </c>
      <c r="L578" s="9">
        <v>45799</v>
      </c>
      <c r="M578" s="17">
        <f>MAX(1,NETWORKDAYS(A578,L578,Table2[Dias no laborales]))</f>
        <v>2</v>
      </c>
    </row>
    <row r="579" spans="1:13" hidden="1" x14ac:dyDescent="0.3">
      <c r="A579" s="8">
        <v>45798</v>
      </c>
      <c r="B579" s="5" t="s">
        <v>1170</v>
      </c>
      <c r="C579" s="5" t="s">
        <v>1171</v>
      </c>
      <c r="D579" s="5" t="s">
        <v>238</v>
      </c>
      <c r="E579" s="14">
        <v>45797.70416666667</v>
      </c>
      <c r="F579" s="8">
        <f>IF(HOUR(Table1[[#This Row],[CORREO]])&gt;=11,WORKDAY(Table1[[#This Row],[CORREO]],1,Table2[Dias no laborales]),E579)</f>
        <v>45798</v>
      </c>
      <c r="G579" s="9">
        <v>45807</v>
      </c>
      <c r="H579" s="6">
        <f t="shared" si="18"/>
        <v>21</v>
      </c>
      <c r="I579" s="16">
        <f>MAX(1, NETWORKDAYS(A579, G579,Table2[Dias no laborales]))</f>
        <v>8</v>
      </c>
      <c r="J579" s="6" t="str">
        <f>IF(Table1[[#This Row],[FIN]]="","Acumulado",IF(ISNUMBER(SEARCH("ASAP",C579)),"ASAP",IF(NETWORKDAYS.INTL(F579,G579,1,Table2[Dias no laborales]) &lt;= 7, "Dentro", IF(A579&gt;F579,"Programado","Fuera"))))</f>
        <v>Fuera</v>
      </c>
      <c r="K579" s="6" t="str">
        <f t="shared" si="19"/>
        <v>A tiempo</v>
      </c>
      <c r="L579" s="9">
        <v>45799</v>
      </c>
      <c r="M579" s="17">
        <f>MAX(1,NETWORKDAYS(A579,L579,Table2[Dias no laborales]))</f>
        <v>2</v>
      </c>
    </row>
    <row r="580" spans="1:13" hidden="1" x14ac:dyDescent="0.3">
      <c r="A580" s="8">
        <v>45798</v>
      </c>
      <c r="B580" s="5" t="s">
        <v>1151</v>
      </c>
      <c r="C580" s="5" t="s">
        <v>1152</v>
      </c>
      <c r="D580" s="5" t="s">
        <v>504</v>
      </c>
      <c r="E580" s="14">
        <v>45798.296527777777</v>
      </c>
      <c r="F580" s="8">
        <f>IF(HOUR(Table1[[#This Row],[CORREO]])&gt;=11,WORKDAY(Table1[[#This Row],[CORREO]],1,Table2[Dias no laborales]),E580)</f>
        <v>45798.296527777777</v>
      </c>
      <c r="G580" s="9">
        <v>45805</v>
      </c>
      <c r="H580" s="6">
        <f t="shared" si="18"/>
        <v>21</v>
      </c>
      <c r="I580" s="16">
        <f>MAX(1, NETWORKDAYS(A580, G580,Table2[Dias no laborales]))</f>
        <v>6</v>
      </c>
      <c r="J580" s="6" t="str">
        <f>IF(Table1[[#This Row],[FIN]]="","Acumulado",IF(ISNUMBER(SEARCH("ASAP",C580)),"ASAP",IF(NETWORKDAYS.INTL(F580,G580,1,Table2[Dias no laborales]) &lt;= 7, "Dentro", IF(A580&gt;F580,"Programado","Fuera"))))</f>
        <v>Dentro</v>
      </c>
      <c r="K580" s="6" t="str">
        <f t="shared" si="19"/>
        <v>A tiempo</v>
      </c>
      <c r="L580" s="9">
        <v>45800</v>
      </c>
      <c r="M580" s="17">
        <f>MAX(1,NETWORKDAYS(A580,L580,Table2[Dias no laborales]))</f>
        <v>3</v>
      </c>
    </row>
    <row r="581" spans="1:13" hidden="1" x14ac:dyDescent="0.3">
      <c r="A581" s="8">
        <v>45798</v>
      </c>
      <c r="B581" s="5" t="s">
        <v>998</v>
      </c>
      <c r="C581" s="5" t="s">
        <v>999</v>
      </c>
      <c r="D581" s="5" t="s">
        <v>308</v>
      </c>
      <c r="E581" s="14">
        <v>45798.370138888888</v>
      </c>
      <c r="F581" s="8">
        <f>IF(HOUR(Table1[[#This Row],[CORREO]])&gt;=11,WORKDAY(Table1[[#This Row],[CORREO]],1,Table2[Dias no laborales]),E581)</f>
        <v>45798.370138888888</v>
      </c>
      <c r="G581" s="8">
        <v>45798</v>
      </c>
      <c r="H581" s="6">
        <f t="shared" si="18"/>
        <v>21</v>
      </c>
      <c r="I581" s="16">
        <f>MAX(1, NETWORKDAYS(A581, G581,Table2[Dias no laborales]))</f>
        <v>1</v>
      </c>
      <c r="J581" s="6" t="str">
        <f>IF(Table1[[#This Row],[FIN]]="","Acumulado",IF(ISNUMBER(SEARCH("ASAP",C581)),"ASAP",IF(NETWORKDAYS.INTL(F581,G581,1,Table2[Dias no laborales]) &lt;= 7, "Dentro", IF(A581&gt;F581,"Programado","Fuera"))))</f>
        <v>Dentro</v>
      </c>
      <c r="K581" s="6" t="str">
        <f t="shared" si="19"/>
        <v>A tiempo</v>
      </c>
      <c r="L581" s="9">
        <v>45798</v>
      </c>
      <c r="M581" s="17">
        <f>MAX(1,NETWORKDAYS(A581,L581,Table2[Dias no laborales]))</f>
        <v>1</v>
      </c>
    </row>
    <row r="582" spans="1:13" hidden="1" x14ac:dyDescent="0.3">
      <c r="A582" s="8">
        <v>45798</v>
      </c>
      <c r="B582" s="5" t="s">
        <v>1134</v>
      </c>
      <c r="C582" s="5" t="s">
        <v>1135</v>
      </c>
      <c r="D582" s="5" t="s">
        <v>1136</v>
      </c>
      <c r="E582" s="14">
        <v>45798.384722222225</v>
      </c>
      <c r="F582" s="8">
        <f>IF(HOUR(Table1[[#This Row],[CORREO]])&gt;=11,WORKDAY(Table1[[#This Row],[CORREO]],1,Table2[Dias no laborales]),E582)</f>
        <v>45798.384722222225</v>
      </c>
      <c r="G582" s="9">
        <v>45804</v>
      </c>
      <c r="H582" s="6">
        <f t="shared" si="18"/>
        <v>21</v>
      </c>
      <c r="I582" s="16">
        <f>MAX(1, NETWORKDAYS(A582, G582,Table2[Dias no laborales]))</f>
        <v>5</v>
      </c>
      <c r="J582" s="6" t="str">
        <f>IF(Table1[[#This Row],[FIN]]="","Acumulado",IF(ISNUMBER(SEARCH("ASAP",C582)),"ASAP",IF(NETWORKDAYS.INTL(F582,G582,1,Table2[Dias no laborales]) &lt;= 7, "Dentro", IF(A582&gt;F582,"Programado","Fuera"))))</f>
        <v>Dentro</v>
      </c>
      <c r="K582" s="6" t="str">
        <f t="shared" si="19"/>
        <v>A tiempo</v>
      </c>
      <c r="L582" s="9">
        <v>45799</v>
      </c>
      <c r="M582" s="17">
        <f>MAX(1,NETWORKDAYS(A582,L582,Table2[Dias no laborales]))</f>
        <v>2</v>
      </c>
    </row>
    <row r="583" spans="1:13" hidden="1" x14ac:dyDescent="0.3">
      <c r="A583" s="8">
        <v>45798</v>
      </c>
      <c r="B583" s="5" t="s">
        <v>1153</v>
      </c>
      <c r="C583" s="5" t="s">
        <v>1154</v>
      </c>
      <c r="D583" s="5" t="s">
        <v>623</v>
      </c>
      <c r="E583" s="14">
        <v>45798.398611111108</v>
      </c>
      <c r="F583" s="8">
        <f>IF(HOUR(Table1[[#This Row],[CORREO]])&gt;=11,WORKDAY(Table1[[#This Row],[CORREO]],1,Table2[Dias no laborales]),E583)</f>
        <v>45798.398611111108</v>
      </c>
      <c r="G583" s="9">
        <v>45805</v>
      </c>
      <c r="H583" s="6">
        <f t="shared" si="18"/>
        <v>21</v>
      </c>
      <c r="I583" s="16">
        <f>MAX(1, NETWORKDAYS(A583, G583,Table2[Dias no laborales]))</f>
        <v>6</v>
      </c>
      <c r="J583" s="6" t="str">
        <f>IF(Table1[[#This Row],[FIN]]="","Acumulado",IF(ISNUMBER(SEARCH("ASAP",C583)),"ASAP",IF(NETWORKDAYS.INTL(F583,G583,1,Table2[Dias no laborales]) &lt;= 7, "Dentro", IF(A583&gt;F583,"Programado","Fuera"))))</f>
        <v>Dentro</v>
      </c>
      <c r="K583" s="6" t="str">
        <f t="shared" si="19"/>
        <v>A tiempo</v>
      </c>
      <c r="L583" s="9">
        <v>45804</v>
      </c>
      <c r="M583" s="17">
        <f>MAX(1,NETWORKDAYS(A583,L583,Table2[Dias no laborales]))</f>
        <v>5</v>
      </c>
    </row>
    <row r="584" spans="1:13" hidden="1" x14ac:dyDescent="0.3">
      <c r="A584" s="8">
        <v>45798</v>
      </c>
      <c r="B584" s="5" t="s">
        <v>1137</v>
      </c>
      <c r="C584" s="5" t="s">
        <v>1138</v>
      </c>
      <c r="D584" s="5" t="s">
        <v>27</v>
      </c>
      <c r="E584" s="14">
        <v>45798.448611111111</v>
      </c>
      <c r="F584" s="8">
        <f>IF(HOUR(Table1[[#This Row],[CORREO]])&gt;=11,WORKDAY(Table1[[#This Row],[CORREO]],1,Table2[Dias no laborales]),E584)</f>
        <v>45798.448611111111</v>
      </c>
      <c r="G584" s="9">
        <v>45804</v>
      </c>
      <c r="H584" s="6">
        <f t="shared" si="18"/>
        <v>21</v>
      </c>
      <c r="I584" s="16">
        <f>MAX(1, NETWORKDAYS(A584, G584,Table2[Dias no laborales]))</f>
        <v>5</v>
      </c>
      <c r="J584" s="6" t="str">
        <f>IF(Table1[[#This Row],[FIN]]="","Acumulado",IF(ISNUMBER(SEARCH("ASAP",C584)),"ASAP",IF(NETWORKDAYS.INTL(F584,G584,1,Table2[Dias no laborales]) &lt;= 7, "Dentro", IF(A584&gt;F584,"Programado","Fuera"))))</f>
        <v>Dentro</v>
      </c>
      <c r="K584" s="6" t="str">
        <f t="shared" si="19"/>
        <v>A tiempo</v>
      </c>
      <c r="L584" s="9">
        <v>45798</v>
      </c>
      <c r="M584" s="17">
        <f>MAX(1,NETWORKDAYS(A584,L584,Table2[Dias no laborales]))</f>
        <v>1</v>
      </c>
    </row>
    <row r="585" spans="1:13" hidden="1" x14ac:dyDescent="0.3">
      <c r="A585" s="8">
        <v>45798</v>
      </c>
      <c r="B585" s="5" t="s">
        <v>1060</v>
      </c>
      <c r="C585" s="5" t="s">
        <v>1061</v>
      </c>
      <c r="D585" s="5" t="s">
        <v>27</v>
      </c>
      <c r="E585" s="14">
        <v>45798.508333333331</v>
      </c>
      <c r="F585" s="8">
        <f>IF(HOUR(Table1[[#This Row],[CORREO]])&gt;=11,WORKDAY(Table1[[#This Row],[CORREO]],1,Table2[Dias no laborales]),E585)</f>
        <v>45799</v>
      </c>
      <c r="G585" s="8">
        <v>45799</v>
      </c>
      <c r="H585" s="6">
        <f t="shared" si="18"/>
        <v>21</v>
      </c>
      <c r="I585" s="16">
        <f>MAX(1, NETWORKDAYS(A585, G585,Table2[Dias no laborales]))</f>
        <v>2</v>
      </c>
      <c r="J585" s="6" t="str">
        <f>IF(Table1[[#This Row],[FIN]]="","Acumulado",IF(ISNUMBER(SEARCH("ASAP",C585)),"ASAP",IF(NETWORKDAYS.INTL(F585,G585,1,Table2[Dias no laborales]) &lt;= 7, "Dentro", IF(A585&gt;F585,"Programado","Fuera"))))</f>
        <v>ASAP</v>
      </c>
      <c r="K585" s="6" t="str">
        <f t="shared" si="19"/>
        <v>Mismo día</v>
      </c>
      <c r="L585" s="9">
        <v>45798</v>
      </c>
      <c r="M585" s="17">
        <f>MAX(1,NETWORKDAYS(A585,L585,Table2[Dias no laborales]))</f>
        <v>1</v>
      </c>
    </row>
    <row r="586" spans="1:13" hidden="1" x14ac:dyDescent="0.3">
      <c r="A586" s="8">
        <v>45799</v>
      </c>
      <c r="B586" s="5" t="s">
        <v>1002</v>
      </c>
      <c r="C586" s="5" t="s">
        <v>1003</v>
      </c>
      <c r="D586" s="5" t="s">
        <v>139</v>
      </c>
      <c r="E586" s="14">
        <v>45798.53402777778</v>
      </c>
      <c r="F586" s="8">
        <f>IF(HOUR(Table1[[#This Row],[CORREO]])&gt;=11,WORKDAY(Table1[[#This Row],[CORREO]],1,Table2[Dias no laborales]),E586)</f>
        <v>45799</v>
      </c>
      <c r="G586" s="8">
        <v>45799</v>
      </c>
      <c r="H586" s="6">
        <f t="shared" si="18"/>
        <v>21</v>
      </c>
      <c r="I586" s="16">
        <f>MAX(1, NETWORKDAYS(A586, G586,Table2[Dias no laborales]))</f>
        <v>1</v>
      </c>
      <c r="J586" s="6" t="str">
        <f>IF(Table1[[#This Row],[FIN]]="","Acumulado",IF(ISNUMBER(SEARCH("ASAP",C586)),"ASAP",IF(NETWORKDAYS.INTL(F586,G586,1,Table2[Dias no laborales]) &lt;= 7, "Dentro", IF(A586&gt;F586,"Programado","Fuera"))))</f>
        <v>Dentro</v>
      </c>
      <c r="K586" s="6" t="str">
        <f t="shared" si="19"/>
        <v>A tiempo</v>
      </c>
      <c r="L586" s="9">
        <v>45799</v>
      </c>
      <c r="M586" s="17">
        <f>MAX(1,NETWORKDAYS(A586,L586,Table2[Dias no laborales]))</f>
        <v>1</v>
      </c>
    </row>
    <row r="587" spans="1:13" hidden="1" x14ac:dyDescent="0.3">
      <c r="A587" s="8">
        <v>45799</v>
      </c>
      <c r="B587" s="5" t="s">
        <v>1062</v>
      </c>
      <c r="C587" s="5" t="s">
        <v>1063</v>
      </c>
      <c r="D587" s="5" t="s">
        <v>53</v>
      </c>
      <c r="E587" s="14">
        <v>45799.395138888889</v>
      </c>
      <c r="F587" s="8">
        <f>IF(HOUR(Table1[[#This Row],[CORREO]])&gt;=11,WORKDAY(Table1[[#This Row],[CORREO]],1,Table2[Dias no laborales]),E587)</f>
        <v>45799.395138888889</v>
      </c>
      <c r="G587" s="8">
        <v>45800</v>
      </c>
      <c r="H587" s="6">
        <f t="shared" si="18"/>
        <v>21</v>
      </c>
      <c r="I587" s="16">
        <f>MAX(1, NETWORKDAYS(A587, G587,Table2[Dias no laborales]))</f>
        <v>2</v>
      </c>
      <c r="J587" s="6" t="str">
        <f>IF(Table1[[#This Row],[FIN]]="","Acumulado",IF(ISNUMBER(SEARCH("ASAP",C587)),"ASAP",IF(NETWORKDAYS.INTL(F587,G587,1,Table2[Dias no laborales]) &lt;= 7, "Dentro", IF(A587&gt;F587,"Programado","Fuera"))))</f>
        <v>ASAP</v>
      </c>
      <c r="K587" s="6" t="str">
        <f t="shared" si="19"/>
        <v>A tiempo</v>
      </c>
      <c r="L587" s="9">
        <v>45799</v>
      </c>
      <c r="M587" s="17">
        <f>MAX(1,NETWORKDAYS(A587,L587,Table2[Dias no laborales]))</f>
        <v>1</v>
      </c>
    </row>
    <row r="588" spans="1:13" hidden="1" x14ac:dyDescent="0.3">
      <c r="A588" s="8">
        <v>45800</v>
      </c>
      <c r="B588" s="5" t="s">
        <v>1110</v>
      </c>
      <c r="C588" s="5" t="s">
        <v>1111</v>
      </c>
      <c r="D588" s="5" t="s">
        <v>139</v>
      </c>
      <c r="E588" s="14">
        <v>45799.622916666667</v>
      </c>
      <c r="F588" s="8">
        <f>IF(HOUR(Table1[[#This Row],[CORREO]])&gt;=11,WORKDAY(Table1[[#This Row],[CORREO]],1,Table2[Dias no laborales]),E588)</f>
        <v>45800</v>
      </c>
      <c r="G588" s="9">
        <v>45805</v>
      </c>
      <c r="H588" s="6">
        <f t="shared" si="18"/>
        <v>21</v>
      </c>
      <c r="I588" s="16">
        <f>MAX(1, NETWORKDAYS(A588, G588,Table2[Dias no laborales]))</f>
        <v>4</v>
      </c>
      <c r="J588" s="6" t="str">
        <f>IF(Table1[[#This Row],[FIN]]="","Acumulado",IF(ISNUMBER(SEARCH("ASAP",C588)),"ASAP",IF(NETWORKDAYS.INTL(F588,G588,1,Table2[Dias no laborales]) &lt;= 7, "Dentro", IF(A588&gt;F588,"Programado","Fuera"))))</f>
        <v>Dentro</v>
      </c>
      <c r="K588" s="6" t="str">
        <f t="shared" si="19"/>
        <v>A tiempo</v>
      </c>
      <c r="L588" s="9">
        <v>45805</v>
      </c>
      <c r="M588" s="17">
        <f>MAX(1,NETWORKDAYS(A588,L588,Table2[Dias no laborales]))</f>
        <v>4</v>
      </c>
    </row>
    <row r="589" spans="1:13" hidden="1" x14ac:dyDescent="0.3">
      <c r="A589" s="8">
        <v>45800</v>
      </c>
      <c r="B589" s="5" t="s">
        <v>1004</v>
      </c>
      <c r="C589" s="5" t="s">
        <v>1005</v>
      </c>
      <c r="D589" s="5" t="s">
        <v>199</v>
      </c>
      <c r="E589" s="14">
        <v>45799.650694444441</v>
      </c>
      <c r="F589" s="8">
        <f>IF(HOUR(Table1[[#This Row],[CORREO]])&gt;=11,WORKDAY(Table1[[#This Row],[CORREO]],1,Table2[Dias no laborales]),E589)</f>
        <v>45800</v>
      </c>
      <c r="G589" s="8">
        <v>45800</v>
      </c>
      <c r="H589" s="6">
        <f t="shared" si="18"/>
        <v>21</v>
      </c>
      <c r="I589" s="16">
        <f>MAX(1, NETWORKDAYS(A589, G589,Table2[Dias no laborales]))</f>
        <v>1</v>
      </c>
      <c r="J589" s="6" t="str">
        <f>IF(Table1[[#This Row],[FIN]]="","Acumulado",IF(ISNUMBER(SEARCH("ASAP",C589)),"ASAP",IF(NETWORKDAYS.INTL(F589,G589,1,Table2[Dias no laborales]) &lt;= 7, "Dentro", IF(A589&gt;F589,"Programado","Fuera"))))</f>
        <v>Dentro</v>
      </c>
      <c r="K589" s="6" t="str">
        <f t="shared" si="19"/>
        <v>A tiempo</v>
      </c>
      <c r="L589" s="9">
        <v>45800</v>
      </c>
      <c r="M589" s="17">
        <f>MAX(1,NETWORKDAYS(A589,L589,Table2[Dias no laborales]))</f>
        <v>1</v>
      </c>
    </row>
    <row r="590" spans="1:13" hidden="1" x14ac:dyDescent="0.3">
      <c r="A590" s="12">
        <v>45800</v>
      </c>
      <c r="B590" s="5" t="s">
        <v>1089</v>
      </c>
      <c r="C590" s="5" t="s">
        <v>1090</v>
      </c>
      <c r="D590" s="5" t="s">
        <v>154</v>
      </c>
      <c r="E590" s="14">
        <v>45799.663194444445</v>
      </c>
      <c r="F590" s="12">
        <f>IF(HOUR(Table1[[#This Row],[CORREO]])&gt;=11,WORKDAY(Table1[[#This Row],[CORREO]],1,Table2[Dias no laborales]),E590)</f>
        <v>45800</v>
      </c>
      <c r="G590" s="9">
        <v>45804</v>
      </c>
      <c r="H590" s="16">
        <f t="shared" si="18"/>
        <v>21</v>
      </c>
      <c r="I590" s="16">
        <f>MAX(1, NETWORKDAYS(A590, G590,Table2[Dias no laborales]))</f>
        <v>3</v>
      </c>
      <c r="J590" s="6" t="str">
        <f>IF(Table1[[#This Row],[FIN]]="","Acumulado",IF(ISNUMBER(SEARCH("ASAP",C590)),"ASAP",IF(NETWORKDAYS.INTL(F590,G590,1,Table2[Dias no laborales]) &lt;= 7, "Dentro", IF(A590&gt;F590,"Programado","Fuera"))))</f>
        <v>Dentro</v>
      </c>
      <c r="K590" s="16" t="str">
        <f t="shared" si="19"/>
        <v>A tiempo</v>
      </c>
      <c r="L590" s="9">
        <v>45800</v>
      </c>
      <c r="M590" s="18">
        <f>MAX(1,NETWORKDAYS(A590,L590,Table2[Dias no laborales]))</f>
        <v>1</v>
      </c>
    </row>
    <row r="591" spans="1:13" hidden="1" x14ac:dyDescent="0.3">
      <c r="A591" s="8">
        <v>45800</v>
      </c>
      <c r="B591" s="5" t="s">
        <v>1006</v>
      </c>
      <c r="C591" s="5" t="s">
        <v>1007</v>
      </c>
      <c r="D591" s="5" t="s">
        <v>372</v>
      </c>
      <c r="E591" s="14">
        <v>45799.679861111108</v>
      </c>
      <c r="F591" s="8">
        <f>IF(HOUR(Table1[[#This Row],[CORREO]])&gt;=11,WORKDAY(Table1[[#This Row],[CORREO]],1,Table2[Dias no laborales]),E591)</f>
        <v>45800</v>
      </c>
      <c r="G591" s="8">
        <v>45800</v>
      </c>
      <c r="H591" s="6">
        <f t="shared" si="18"/>
        <v>21</v>
      </c>
      <c r="I591" s="16">
        <f>MAX(1, NETWORKDAYS(A591, G591,Table2[Dias no laborales]))</f>
        <v>1</v>
      </c>
      <c r="J591" s="6" t="str">
        <f>IF(Table1[[#This Row],[FIN]]="","Acumulado",IF(ISNUMBER(SEARCH("ASAP",C591)),"ASAP",IF(NETWORKDAYS.INTL(F591,G591,1,Table2[Dias no laborales]) &lt;= 7, "Dentro", IF(A591&gt;F591,"Programado","Fuera"))))</f>
        <v>Dentro</v>
      </c>
      <c r="K591" s="6" t="str">
        <f t="shared" si="19"/>
        <v>A tiempo</v>
      </c>
      <c r="L591" s="9">
        <v>45800</v>
      </c>
      <c r="M591" s="17">
        <f>MAX(1,NETWORKDAYS(A591,L591,Table2[Dias no laborales]))</f>
        <v>1</v>
      </c>
    </row>
    <row r="592" spans="1:13" hidden="1" x14ac:dyDescent="0.3">
      <c r="A592" s="8">
        <v>45800</v>
      </c>
      <c r="B592" s="5" t="s">
        <v>1108</v>
      </c>
      <c r="C592" s="5" t="s">
        <v>1109</v>
      </c>
      <c r="D592" s="5" t="s">
        <v>89</v>
      </c>
      <c r="E592" s="14">
        <v>45800.402083333334</v>
      </c>
      <c r="F592" s="8">
        <f>IF(HOUR(Table1[[#This Row],[CORREO]])&gt;=11,WORKDAY(Table1[[#This Row],[CORREO]],1,Table2[Dias no laborales]),E592)</f>
        <v>45800.402083333334</v>
      </c>
      <c r="G592" s="9">
        <v>45805</v>
      </c>
      <c r="H592" s="6">
        <f t="shared" si="18"/>
        <v>21</v>
      </c>
      <c r="I592" s="16">
        <f>MAX(1, NETWORKDAYS(A592, G592,Table2[Dias no laborales]))</f>
        <v>4</v>
      </c>
      <c r="J592" s="6" t="str">
        <f>IF(Table1[[#This Row],[FIN]]="","Acumulado",IF(ISNUMBER(SEARCH("ASAP",C592)),"ASAP",IF(NETWORKDAYS.INTL(F592,G592,1,Table2[Dias no laborales]) &lt;= 7, "Dentro", IF(A592&gt;F592,"Programado","Fuera"))))</f>
        <v>Dentro</v>
      </c>
      <c r="K592" s="6" t="str">
        <f t="shared" si="19"/>
        <v>A tiempo</v>
      </c>
      <c r="L592" s="9">
        <v>45804</v>
      </c>
      <c r="M592" s="17">
        <f>MAX(1,NETWORKDAYS(A592,L592,Table2[Dias no laborales]))</f>
        <v>3</v>
      </c>
    </row>
    <row r="593" spans="1:13" hidden="1" x14ac:dyDescent="0.3">
      <c r="A593" s="8">
        <v>45800</v>
      </c>
      <c r="B593" s="5" t="s">
        <v>1008</v>
      </c>
      <c r="C593" s="5" t="s">
        <v>1009</v>
      </c>
      <c r="D593" s="5" t="s">
        <v>27</v>
      </c>
      <c r="E593" s="14">
        <v>45800.470833333333</v>
      </c>
      <c r="F593" s="8">
        <f>IF(HOUR(Table1[[#This Row],[CORREO]])&gt;=11,WORKDAY(Table1[[#This Row],[CORREO]],1,Table2[Dias no laborales]),E593)</f>
        <v>45803</v>
      </c>
      <c r="G593" s="8">
        <v>45800</v>
      </c>
      <c r="H593" s="6">
        <f t="shared" si="18"/>
        <v>21</v>
      </c>
      <c r="I593" s="16">
        <f>MAX(1, NETWORKDAYS(A593, G593,Table2[Dias no laborales]))</f>
        <v>1</v>
      </c>
      <c r="J593" s="6" t="str">
        <f>IF(Table1[[#This Row],[FIN]]="","Acumulado",IF(ISNUMBER(SEARCH("ASAP",C593)),"ASAP",IF(NETWORKDAYS.INTL(F593,G593,1,Table2[Dias no laborales]) &lt;= 7, "Dentro", IF(A593&gt;F593,"Programado","Fuera"))))</f>
        <v>Dentro</v>
      </c>
      <c r="K593" s="6" t="str">
        <f t="shared" si="19"/>
        <v>Mismo día</v>
      </c>
      <c r="L593" s="9">
        <v>45800</v>
      </c>
      <c r="M593" s="17">
        <f>MAX(1,NETWORKDAYS(A593,L593,Table2[Dias no laborales]))</f>
        <v>1</v>
      </c>
    </row>
    <row r="594" spans="1:13" hidden="1" x14ac:dyDescent="0.3">
      <c r="A594" s="8">
        <v>45803</v>
      </c>
      <c r="B594" s="5" t="s">
        <v>1139</v>
      </c>
      <c r="C594" s="5" t="s">
        <v>1140</v>
      </c>
      <c r="D594" s="5" t="s">
        <v>24</v>
      </c>
      <c r="E594" s="14"/>
      <c r="F594" s="8">
        <f>IF(HOUR(Table1[[#This Row],[CORREO]])&gt;=11,WORKDAY(Table1[[#This Row],[CORREO]],1,Table2[Dias no laborales]),E594)</f>
        <v>0</v>
      </c>
      <c r="G594" s="9">
        <v>45807</v>
      </c>
      <c r="H594" s="6">
        <f t="shared" si="18"/>
        <v>21</v>
      </c>
      <c r="I594" s="16">
        <f>MAX(1, NETWORKDAYS(A594, G594,Table2[Dias no laborales]))</f>
        <v>5</v>
      </c>
      <c r="J594" s="6" t="str">
        <f>IF(Table1[[#This Row],[FIN]]="","Acumulado",IF(ISNUMBER(SEARCH("ASAP",C594)),"ASAP",IF(NETWORKDAYS.INTL(F594,G594,1,Table2[Dias no laborales]) &lt;= 7, "Dentro", IF(A594&gt;F594,"Programado","Fuera"))))</f>
        <v>Programado</v>
      </c>
      <c r="K594" s="6" t="str">
        <f t="shared" si="19"/>
        <v>Programados</v>
      </c>
      <c r="L594" s="9">
        <v>45803</v>
      </c>
      <c r="M594" s="17">
        <f>MAX(1,NETWORKDAYS(A594,L594,Table2[Dias no laborales]))</f>
        <v>1</v>
      </c>
    </row>
    <row r="595" spans="1:13" hidden="1" x14ac:dyDescent="0.3">
      <c r="A595" s="8">
        <v>45803</v>
      </c>
      <c r="B595" s="5" t="s">
        <v>1066</v>
      </c>
      <c r="C595" s="5" t="s">
        <v>1067</v>
      </c>
      <c r="D595" s="5" t="s">
        <v>571</v>
      </c>
      <c r="E595" s="14">
        <v>45803.334722222222</v>
      </c>
      <c r="F595" s="8">
        <f>IF(HOUR(Table1[[#This Row],[CORREO]])&gt;=11,WORKDAY(Table1[[#This Row],[CORREO]],1,Table2[Dias no laborales]),E595)</f>
        <v>45803.334722222222</v>
      </c>
      <c r="G595" s="9">
        <v>45804</v>
      </c>
      <c r="H595" s="6">
        <f t="shared" si="18"/>
        <v>21</v>
      </c>
      <c r="I595" s="16">
        <f>MAX(1, NETWORKDAYS(A595, G595,Table2[Dias no laborales]))</f>
        <v>2</v>
      </c>
      <c r="J595" s="6" t="str">
        <f>IF(Table1[[#This Row],[FIN]]="","Acumulado",IF(ISNUMBER(SEARCH("ASAP",C595)),"ASAP",IF(NETWORKDAYS.INTL(F595,G595,1,Table2[Dias no laborales]) &lt;= 7, "Dentro", IF(A595&gt;F595,"Programado","Fuera"))))</f>
        <v>Dentro</v>
      </c>
      <c r="K595" s="6" t="str">
        <f t="shared" si="19"/>
        <v>A tiempo</v>
      </c>
      <c r="L595" s="9">
        <v>45803</v>
      </c>
      <c r="M595" s="17">
        <f>MAX(1,NETWORKDAYS(A595,L595,Table2[Dias no laborales]))</f>
        <v>1</v>
      </c>
    </row>
    <row r="596" spans="1:13" hidden="1" x14ac:dyDescent="0.3">
      <c r="A596" s="8">
        <v>45863</v>
      </c>
      <c r="B596" s="6" t="s">
        <v>1915</v>
      </c>
      <c r="C596" s="6" t="s">
        <v>1201</v>
      </c>
      <c r="D596" s="6" t="s">
        <v>449</v>
      </c>
      <c r="E596" s="14">
        <v>45803.357638888891</v>
      </c>
      <c r="F596" s="8">
        <f>IF(HOUR(Table1[[#This Row],[CORREO]])&gt;=11,WORKDAY(Table1[[#This Row],[CORREO]],1,Table2[Dias no laborales]),E596)</f>
        <v>45803.357638888891</v>
      </c>
      <c r="G596" s="8">
        <v>45904</v>
      </c>
      <c r="H596" s="6">
        <f t="shared" si="18"/>
        <v>30</v>
      </c>
      <c r="I596" s="16">
        <f>MAX(1, NETWORKDAYS(A596, G596,Table2[Dias no laborales]))</f>
        <v>30</v>
      </c>
      <c r="J596" s="6" t="str">
        <f>IF(Table1[[#This Row],[FIN]]="","Acumulado",IF(ISNUMBER(SEARCH("ASAP",C596)),"ASAP",IF(NETWORKDAYS.INTL(F596,G596,1,Table2[Dias no laborales]) &lt;= 7, "Dentro", IF(A596&gt;F596,"Programado","Fuera"))))</f>
        <v>Programado</v>
      </c>
      <c r="K596" s="6" t="str">
        <f t="shared" si="19"/>
        <v>Programados</v>
      </c>
      <c r="L596" s="9">
        <v>45803</v>
      </c>
      <c r="M596" s="17">
        <f>MAX(1,NETWORKDAYS(A596,L596,Table2[Dias no laborales]))</f>
        <v>1</v>
      </c>
    </row>
    <row r="597" spans="1:13" hidden="1" x14ac:dyDescent="0.3">
      <c r="A597" s="8">
        <v>45803</v>
      </c>
      <c r="B597" s="5" t="s">
        <v>1010</v>
      </c>
      <c r="C597" s="5" t="s">
        <v>1011</v>
      </c>
      <c r="D597" s="5" t="s">
        <v>61</v>
      </c>
      <c r="E597" s="14">
        <v>45803.368055555555</v>
      </c>
      <c r="F597" s="8">
        <f>IF(HOUR(Table1[[#This Row],[CORREO]])&gt;=11,WORKDAY(Table1[[#This Row],[CORREO]],1,Table2[Dias no laborales]),E597)</f>
        <v>45803.368055555555</v>
      </c>
      <c r="G597" s="8">
        <v>45803</v>
      </c>
      <c r="H597" s="6">
        <f t="shared" si="18"/>
        <v>21</v>
      </c>
      <c r="I597" s="16">
        <f>MAX(1, NETWORKDAYS(A597, G597,Table2[Dias no laborales]))</f>
        <v>1</v>
      </c>
      <c r="J597" s="6" t="str">
        <f>IF(Table1[[#This Row],[FIN]]="","Acumulado",IF(ISNUMBER(SEARCH("ASAP",C597)),"ASAP",IF(NETWORKDAYS.INTL(F597,G597,1,Table2[Dias no laborales]) &lt;= 7, "Dentro", IF(A597&gt;F597,"Programado","Fuera"))))</f>
        <v>Dentro</v>
      </c>
      <c r="K597" s="6" t="str">
        <f t="shared" si="19"/>
        <v>A tiempo</v>
      </c>
      <c r="L597" s="9">
        <v>45803</v>
      </c>
      <c r="M597" s="17">
        <f>MAX(1,NETWORKDAYS(A597,L597,Table2[Dias no laborales]))</f>
        <v>1</v>
      </c>
    </row>
    <row r="598" spans="1:13" hidden="1" x14ac:dyDescent="0.3">
      <c r="A598" s="8">
        <v>45803</v>
      </c>
      <c r="B598" s="5" t="s">
        <v>1064</v>
      </c>
      <c r="C598" s="5" t="s">
        <v>1065</v>
      </c>
      <c r="D598" s="5" t="s">
        <v>342</v>
      </c>
      <c r="E598" s="14">
        <v>45803.373611111114</v>
      </c>
      <c r="F598" s="8">
        <f>IF(HOUR(Table1[[#This Row],[CORREO]])&gt;=11,WORKDAY(Table1[[#This Row],[CORREO]],1,Table2[Dias no laborales]),E598)</f>
        <v>45803.373611111114</v>
      </c>
      <c r="G598" s="9">
        <v>45804</v>
      </c>
      <c r="H598" s="6">
        <f t="shared" si="18"/>
        <v>21</v>
      </c>
      <c r="I598" s="16">
        <f>MAX(1, NETWORKDAYS(A598, G598,Table2[Dias no laborales]))</f>
        <v>2</v>
      </c>
      <c r="J598" s="6" t="str">
        <f>IF(Table1[[#This Row],[FIN]]="","Acumulado",IF(ISNUMBER(SEARCH("ASAP",C598)),"ASAP",IF(NETWORKDAYS.INTL(F598,G598,1,Table2[Dias no laborales]) &lt;= 7, "Dentro", IF(A598&gt;F598,"Programado","Fuera"))))</f>
        <v>Dentro</v>
      </c>
      <c r="K598" s="6" t="str">
        <f t="shared" si="19"/>
        <v>A tiempo</v>
      </c>
      <c r="L598" s="9">
        <v>45803</v>
      </c>
      <c r="M598" s="17">
        <f>MAX(1,NETWORKDAYS(A598,L598,Table2[Dias no laborales]))</f>
        <v>1</v>
      </c>
    </row>
    <row r="599" spans="1:13" hidden="1" x14ac:dyDescent="0.3">
      <c r="A599" s="8">
        <v>45803</v>
      </c>
      <c r="B599" s="6" t="s">
        <v>1498</v>
      </c>
      <c r="C599" s="6" t="s">
        <v>1499</v>
      </c>
      <c r="D599" s="6" t="s">
        <v>449</v>
      </c>
      <c r="E599" s="14">
        <v>45803.386805555558</v>
      </c>
      <c r="F599" s="8">
        <f>IF(HOUR(Table1[[#This Row],[CORREO]])&gt;=11,WORKDAY(Table1[[#This Row],[CORREO]],1,Table2[Dias no laborales]),E599)</f>
        <v>45803.386805555558</v>
      </c>
      <c r="G599" s="8">
        <v>45848</v>
      </c>
      <c r="H599" s="6">
        <f t="shared" si="18"/>
        <v>21</v>
      </c>
      <c r="I599" s="16">
        <f>MAX(1, NETWORKDAYS(A599, G599,Table2[Dias no laborales]))</f>
        <v>34</v>
      </c>
      <c r="J599" s="6" t="str">
        <f>IF(Table1[[#This Row],[FIN]]="","Acumulado",IF(ISNUMBER(SEARCH("ASAP",C599)),"ASAP",IF(NETWORKDAYS.INTL(F599,G599,1,Table2[Dias no laborales]) &lt;= 7, "Dentro", IF(A599&gt;F599,"Programado","Fuera"))))</f>
        <v>Fuera</v>
      </c>
      <c r="K599" s="6" t="str">
        <f t="shared" si="19"/>
        <v>A tiempo</v>
      </c>
      <c r="L599" s="9">
        <v>45803</v>
      </c>
      <c r="M599" s="17">
        <f>MAX(1,NETWORKDAYS(A599,L599,Table2[Dias no laborales]))</f>
        <v>1</v>
      </c>
    </row>
    <row r="600" spans="1:13" hidden="1" x14ac:dyDescent="0.3">
      <c r="A600" s="8">
        <v>45804</v>
      </c>
      <c r="B600" s="5" t="s">
        <v>1012</v>
      </c>
      <c r="C600" s="5" t="s">
        <v>123</v>
      </c>
      <c r="D600" s="5" t="s">
        <v>24</v>
      </c>
      <c r="E600" s="14">
        <v>45804.494444444441</v>
      </c>
      <c r="F600" s="8">
        <f>IF(HOUR(Table1[[#This Row],[CORREO]])&gt;=11,WORKDAY(Table1[[#This Row],[CORREO]],1,Table2[Dias no laborales]),E600)</f>
        <v>45805</v>
      </c>
      <c r="G600" s="9">
        <v>45804</v>
      </c>
      <c r="H600" s="6">
        <f t="shared" si="18"/>
        <v>21</v>
      </c>
      <c r="I600" s="16">
        <f>MAX(1, NETWORKDAYS(A600, G600,Table2[Dias no laborales]))</f>
        <v>1</v>
      </c>
      <c r="J600" s="6" t="str">
        <f>IF(Table1[[#This Row],[FIN]]="","Acumulado",IF(ISNUMBER(SEARCH("ASAP",C600)),"ASAP",IF(NETWORKDAYS.INTL(F600,G600,1,Table2[Dias no laborales]) &lt;= 7, "Dentro", IF(A600&gt;F600,"Programado","Fuera"))))</f>
        <v>Dentro</v>
      </c>
      <c r="K600" s="6" t="str">
        <f t="shared" si="19"/>
        <v>Mismo día</v>
      </c>
      <c r="L600" s="9">
        <v>45804</v>
      </c>
      <c r="M600" s="17">
        <f>MAX(1,NETWORKDAYS(A600,L600,Table2[Dias no laborales]))</f>
        <v>1</v>
      </c>
    </row>
    <row r="601" spans="1:13" hidden="1" x14ac:dyDescent="0.3">
      <c r="A601" s="8">
        <v>45804</v>
      </c>
      <c r="B601" s="6" t="s">
        <v>1299</v>
      </c>
      <c r="C601" s="6" t="s">
        <v>1300</v>
      </c>
      <c r="D601" s="6" t="s">
        <v>96</v>
      </c>
      <c r="E601" s="14">
        <v>45834.555555555555</v>
      </c>
      <c r="F601" s="8">
        <f>IF(HOUR(Table1[[#This Row],[CORREO]])&gt;=11,WORKDAY(Table1[[#This Row],[CORREO]],1,Table2[Dias no laborales]),E601)</f>
        <v>45835</v>
      </c>
      <c r="G601" s="8">
        <v>45813</v>
      </c>
      <c r="H601" s="6">
        <f t="shared" si="18"/>
        <v>21</v>
      </c>
      <c r="I601" s="16">
        <f>MAX(1, NETWORKDAYS(A601, G601,Table2[Dias no laborales]))</f>
        <v>8</v>
      </c>
      <c r="J601" s="6" t="str">
        <f>IF(Table1[[#This Row],[FIN]]="","Acumulado",IF(ISNUMBER(SEARCH("ASAP",C601)),"ASAP",IF(NETWORKDAYS.INTL(F601,G601,1,Table2[Dias no laborales]) &lt;= 7, "Dentro", IF(A601&gt;F601,"Programado","Fuera"))))</f>
        <v>Dentro</v>
      </c>
      <c r="K601" s="6" t="str">
        <f t="shared" si="19"/>
        <v>Mismo día</v>
      </c>
      <c r="L601" s="9">
        <v>45805</v>
      </c>
      <c r="M601" s="17">
        <f>MAX(1,NETWORKDAYS(A601,L601,Table2[Dias no laborales]))</f>
        <v>2</v>
      </c>
    </row>
    <row r="602" spans="1:13" hidden="1" x14ac:dyDescent="0.3">
      <c r="A602" s="8">
        <v>45804</v>
      </c>
      <c r="B602" s="5" t="s">
        <v>1013</v>
      </c>
      <c r="C602" s="5" t="s">
        <v>1014</v>
      </c>
      <c r="D602" s="5" t="s">
        <v>27</v>
      </c>
      <c r="E602" s="14">
        <v>45804.609027777777</v>
      </c>
      <c r="F602" s="8">
        <f>IF(HOUR(Table1[[#This Row],[CORREO]])&gt;=11,WORKDAY(Table1[[#This Row],[CORREO]],1,Table2[Dias no laborales]),E602)</f>
        <v>45805</v>
      </c>
      <c r="G602" s="9">
        <v>45804</v>
      </c>
      <c r="H602" s="6">
        <f t="shared" si="18"/>
        <v>21</v>
      </c>
      <c r="I602" s="16">
        <f>MAX(1, NETWORKDAYS(A602, G602,Table2[Dias no laborales]))</f>
        <v>1</v>
      </c>
      <c r="J602" s="6" t="str">
        <f>IF(Table1[[#This Row],[FIN]]="","Acumulado",IF(ISNUMBER(SEARCH("ASAP",C602)),"ASAP",IF(NETWORKDAYS.INTL(F602,G602,1,Table2[Dias no laborales]) &lt;= 7, "Dentro", IF(A602&gt;F602,"Programado","Fuera"))))</f>
        <v>Dentro</v>
      </c>
      <c r="K602" s="6" t="str">
        <f t="shared" si="19"/>
        <v>Mismo día</v>
      </c>
      <c r="L602" s="9">
        <v>45804</v>
      </c>
      <c r="M602" s="17">
        <f>MAX(1,NETWORKDAYS(A602,L602,Table2[Dias no laborales]))</f>
        <v>1</v>
      </c>
    </row>
    <row r="603" spans="1:13" hidden="1" x14ac:dyDescent="0.3">
      <c r="A603" s="8">
        <v>45805</v>
      </c>
      <c r="B603" s="5" t="s">
        <v>1015</v>
      </c>
      <c r="C603" s="5" t="s">
        <v>1016</v>
      </c>
      <c r="D603" s="5" t="s">
        <v>139</v>
      </c>
      <c r="E603" s="14">
        <v>45804.617361111108</v>
      </c>
      <c r="F603" s="8">
        <f>IF(HOUR(Table1[[#This Row],[CORREO]])&gt;=11,WORKDAY(Table1[[#This Row],[CORREO]],1,Table2[Dias no laborales]),E603)</f>
        <v>45805</v>
      </c>
      <c r="G603" s="9">
        <v>45805</v>
      </c>
      <c r="H603" s="6">
        <f t="shared" si="18"/>
        <v>22</v>
      </c>
      <c r="I603" s="16">
        <f>MAX(1, NETWORKDAYS(A603, G603,Table2[Dias no laborales]))</f>
        <v>1</v>
      </c>
      <c r="J603" s="6" t="str">
        <f>IF(Table1[[#This Row],[FIN]]="","Acumulado",IF(ISNUMBER(SEARCH("ASAP",C603)),"ASAP",IF(NETWORKDAYS.INTL(F603,G603,1,Table2[Dias no laborales]) &lt;= 7, "Dentro", IF(A603&gt;F603,"Programado","Fuera"))))</f>
        <v>Dentro</v>
      </c>
      <c r="K603" s="6" t="str">
        <f t="shared" si="19"/>
        <v>A tiempo</v>
      </c>
      <c r="L603" s="9">
        <v>45805</v>
      </c>
      <c r="M603" s="17">
        <f>MAX(1,NETWORKDAYS(A603,L603,Table2[Dias no laborales]))</f>
        <v>1</v>
      </c>
    </row>
    <row r="604" spans="1:13" hidden="1" x14ac:dyDescent="0.3">
      <c r="A604" s="8">
        <v>45805</v>
      </c>
      <c r="B604" s="6" t="s">
        <v>1301</v>
      </c>
      <c r="C604" s="6" t="s">
        <v>1282</v>
      </c>
      <c r="D604" s="6" t="s">
        <v>154</v>
      </c>
      <c r="E604" s="14">
        <v>45804.652083333334</v>
      </c>
      <c r="F604" s="8">
        <f>IF(HOUR(Table1[[#This Row],[CORREO]])&gt;=11,WORKDAY(Table1[[#This Row],[CORREO]],1,Table2[Dias no laborales]),E604)</f>
        <v>45805</v>
      </c>
      <c r="G604" s="8">
        <v>45814</v>
      </c>
      <c r="H604" s="6">
        <f t="shared" si="18"/>
        <v>22</v>
      </c>
      <c r="I604" s="16">
        <f>MAX(1, NETWORKDAYS(A604, G604,Table2[Dias no laborales]))</f>
        <v>8</v>
      </c>
      <c r="J604" s="6" t="str">
        <f>IF(Table1[[#This Row],[FIN]]="","Acumulado",IF(ISNUMBER(SEARCH("ASAP",C604)),"ASAP",IF(NETWORKDAYS.INTL(F604,G604,1,Table2[Dias no laborales]) &lt;= 7, "Dentro", IF(A604&gt;F604,"Programado","Fuera"))))</f>
        <v>Fuera</v>
      </c>
      <c r="K604" s="6" t="str">
        <f t="shared" si="19"/>
        <v>A tiempo</v>
      </c>
      <c r="L604" s="9">
        <v>45810</v>
      </c>
      <c r="M604" s="17">
        <f>MAX(1,NETWORKDAYS(A604,L604,Table2[Dias no laborales]))</f>
        <v>4</v>
      </c>
    </row>
    <row r="605" spans="1:13" hidden="1" x14ac:dyDescent="0.3">
      <c r="A605" s="8">
        <v>45805</v>
      </c>
      <c r="B605" s="5" t="s">
        <v>1068</v>
      </c>
      <c r="C605" s="5" t="s">
        <v>1069</v>
      </c>
      <c r="D605" s="5" t="s">
        <v>154</v>
      </c>
      <c r="E605" s="14">
        <v>45804.693749999999</v>
      </c>
      <c r="F605" s="8">
        <f>IF(HOUR(Table1[[#This Row],[CORREO]])&gt;=11,WORKDAY(Table1[[#This Row],[CORREO]],1,Table2[Dias no laborales]),E605)</f>
        <v>45805</v>
      </c>
      <c r="G605" s="9">
        <v>45806</v>
      </c>
      <c r="H605" s="6">
        <f t="shared" si="18"/>
        <v>22</v>
      </c>
      <c r="I605" s="16">
        <f>MAX(1, NETWORKDAYS(A605, G605,Table2[Dias no laborales]))</f>
        <v>2</v>
      </c>
      <c r="J605" s="6" t="str">
        <f>IF(Table1[[#This Row],[FIN]]="","Acumulado",IF(ISNUMBER(SEARCH("ASAP",C605)),"ASAP",IF(NETWORKDAYS.INTL(F605,G605,1,Table2[Dias no laborales]) &lt;= 7, "Dentro", IF(A605&gt;F605,"Programado","Fuera"))))</f>
        <v>Dentro</v>
      </c>
      <c r="K605" s="6" t="str">
        <f t="shared" si="19"/>
        <v>A tiempo</v>
      </c>
      <c r="L605" s="9">
        <v>45806</v>
      </c>
      <c r="M605" s="17">
        <f>MAX(1,NETWORKDAYS(A605,L605,Table2[Dias no laborales]))</f>
        <v>2</v>
      </c>
    </row>
    <row r="606" spans="1:13" hidden="1" x14ac:dyDescent="0.3">
      <c r="A606" s="8">
        <v>45805</v>
      </c>
      <c r="B606" s="5" t="s">
        <v>1017</v>
      </c>
      <c r="C606" s="5" t="s">
        <v>1018</v>
      </c>
      <c r="D606" s="5" t="s">
        <v>154</v>
      </c>
      <c r="E606" s="14">
        <v>45804.743750000001</v>
      </c>
      <c r="F606" s="8">
        <f>IF(HOUR(Table1[[#This Row],[CORREO]])&gt;=11,WORKDAY(Table1[[#This Row],[CORREO]],1,Table2[Dias no laborales]),E606)</f>
        <v>45805</v>
      </c>
      <c r="G606" s="9">
        <v>45805</v>
      </c>
      <c r="H606" s="6">
        <f t="shared" si="18"/>
        <v>22</v>
      </c>
      <c r="I606" s="16">
        <f>MAX(1, NETWORKDAYS(A606, G606,Table2[Dias no laborales]))</f>
        <v>1</v>
      </c>
      <c r="J606" s="6" t="str">
        <f>IF(Table1[[#This Row],[FIN]]="","Acumulado",IF(ISNUMBER(SEARCH("ASAP",C606)),"ASAP",IF(NETWORKDAYS.INTL(F606,G606,1,Table2[Dias no laborales]) &lt;= 7, "Dentro", IF(A606&gt;F606,"Programado","Fuera"))))</f>
        <v>Dentro</v>
      </c>
      <c r="K606" s="6" t="str">
        <f t="shared" si="19"/>
        <v>A tiempo</v>
      </c>
      <c r="L606" s="9">
        <v>45805</v>
      </c>
      <c r="M606" s="17">
        <f>MAX(1,NETWORKDAYS(A606,L606,Table2[Dias no laborales]))</f>
        <v>1</v>
      </c>
    </row>
    <row r="607" spans="1:13" hidden="1" x14ac:dyDescent="0.3">
      <c r="A607" s="8">
        <v>45806</v>
      </c>
      <c r="B607" s="6" t="s">
        <v>1304</v>
      </c>
      <c r="C607" s="6" t="s">
        <v>1305</v>
      </c>
      <c r="D607" s="6" t="s">
        <v>139</v>
      </c>
      <c r="E607" s="14">
        <v>45805.579861111109</v>
      </c>
      <c r="F607" s="8">
        <f>IF(HOUR(Table1[[#This Row],[CORREO]])&gt;=11,WORKDAY(Table1[[#This Row],[CORREO]],1,Table2[Dias no laborales]),E607)</f>
        <v>45806</v>
      </c>
      <c r="G607" s="8">
        <v>45814</v>
      </c>
      <c r="H607" s="6">
        <f t="shared" si="18"/>
        <v>22</v>
      </c>
      <c r="I607" s="16">
        <f>MAX(1, NETWORKDAYS(A607, G607,Table2[Dias no laborales]))</f>
        <v>7</v>
      </c>
      <c r="J607" s="6" t="str">
        <f>IF(Table1[[#This Row],[FIN]]="","Acumulado",IF(ISNUMBER(SEARCH("ASAP",C607)),"ASAP",IF(NETWORKDAYS.INTL(F607,G607,1,Table2[Dias no laborales]) &lt;= 7, "Dentro", IF(A607&gt;F607,"Programado","Fuera"))))</f>
        <v>Dentro</v>
      </c>
      <c r="K607" s="6" t="str">
        <f t="shared" si="19"/>
        <v>A tiempo</v>
      </c>
      <c r="L607" s="9">
        <v>45806</v>
      </c>
      <c r="M607" s="17">
        <f>MAX(1,NETWORKDAYS(A607,L607,Table2[Dias no laborales]))</f>
        <v>1</v>
      </c>
    </row>
    <row r="608" spans="1:13" hidden="1" x14ac:dyDescent="0.3">
      <c r="A608" s="8">
        <v>45806</v>
      </c>
      <c r="B608" s="6" t="s">
        <v>1550</v>
      </c>
      <c r="C608" s="6" t="s">
        <v>1551</v>
      </c>
      <c r="D608" s="6" t="s">
        <v>194</v>
      </c>
      <c r="E608" s="14">
        <v>45805.631249999999</v>
      </c>
      <c r="F608" s="8">
        <f>IF(HOUR(Table1[[#This Row],[CORREO]])&gt;=11,WORKDAY(Table1[[#This Row],[CORREO]],1,Table2[Dias no laborales]),E608)</f>
        <v>45806</v>
      </c>
      <c r="G608" s="8">
        <v>45855</v>
      </c>
      <c r="H608" s="6">
        <f t="shared" si="18"/>
        <v>22</v>
      </c>
      <c r="I608" s="16">
        <f>MAX(1, NETWORKDAYS(A608, G608,Table2[Dias no laborales]))</f>
        <v>36</v>
      </c>
      <c r="J608" s="6" t="str">
        <f>IF(Table1[[#This Row],[FIN]]="","Acumulado",IF(ISNUMBER(SEARCH("ASAP",C608)),"ASAP",IF(NETWORKDAYS.INTL(F608,G608,1,Table2[Dias no laborales]) &lt;= 7, "Dentro", IF(A608&gt;F608,"Programado","Fuera"))))</f>
        <v>Fuera</v>
      </c>
      <c r="K608" s="6" t="str">
        <f t="shared" si="19"/>
        <v>A tiempo</v>
      </c>
      <c r="L608" s="9">
        <v>45807</v>
      </c>
      <c r="M608" s="17">
        <f>MAX(1,NETWORKDAYS(A608,L608,Table2[Dias no laborales]))</f>
        <v>2</v>
      </c>
    </row>
    <row r="609" spans="1:13" hidden="1" x14ac:dyDescent="0.3">
      <c r="A609" s="8">
        <v>45806</v>
      </c>
      <c r="B609" s="6" t="s">
        <v>1253</v>
      </c>
      <c r="C609" s="6" t="s">
        <v>1254</v>
      </c>
      <c r="D609" s="6" t="s">
        <v>238</v>
      </c>
      <c r="E609" s="14">
        <v>45805.666666666664</v>
      </c>
      <c r="F609" s="8">
        <f>IF(HOUR(Table1[[#This Row],[CORREO]])&gt;=11,WORKDAY(Table1[[#This Row],[CORREO]],1,Table2[Dias no laborales]),E609)</f>
        <v>45806</v>
      </c>
      <c r="G609" s="8">
        <v>45831</v>
      </c>
      <c r="H609" s="6">
        <f t="shared" si="18"/>
        <v>22</v>
      </c>
      <c r="I609" s="16">
        <f>MAX(1, NETWORKDAYS(A609, G609,Table2[Dias no laborales]))</f>
        <v>18</v>
      </c>
      <c r="J609" s="6" t="str">
        <f>IF(Table1[[#This Row],[FIN]]="","Acumulado",IF(ISNUMBER(SEARCH("ASAP",C609)),"ASAP",IF(NETWORKDAYS.INTL(F609,G609,1,Table2[Dias no laborales]) &lt;= 7, "Dentro", IF(A609&gt;F609,"Programado","Fuera"))))</f>
        <v>Fuera</v>
      </c>
      <c r="K609" s="6" t="str">
        <f t="shared" si="19"/>
        <v>A tiempo</v>
      </c>
      <c r="L609" s="9">
        <v>45810</v>
      </c>
      <c r="M609" s="17">
        <f>MAX(1,NETWORKDAYS(A609,L609,Table2[Dias no laborales]))</f>
        <v>3</v>
      </c>
    </row>
    <row r="610" spans="1:13" hidden="1" x14ac:dyDescent="0.3">
      <c r="A610" s="8">
        <v>45806</v>
      </c>
      <c r="B610" s="5" t="s">
        <v>1021</v>
      </c>
      <c r="C610" s="5" t="s">
        <v>1022</v>
      </c>
      <c r="D610" s="5" t="s">
        <v>133</v>
      </c>
      <c r="E610" s="14">
        <v>45806.293749999997</v>
      </c>
      <c r="F610" s="8">
        <f>IF(HOUR(Table1[[#This Row],[CORREO]])&gt;=11,WORKDAY(Table1[[#This Row],[CORREO]],1,Table2[Dias no laborales]),E610)</f>
        <v>45806.293749999997</v>
      </c>
      <c r="G610" s="9">
        <v>45806</v>
      </c>
      <c r="H610" s="6">
        <f t="shared" si="18"/>
        <v>22</v>
      </c>
      <c r="I610" s="16">
        <f>MAX(1, NETWORKDAYS(A610, G610,Table2[Dias no laborales]))</f>
        <v>1</v>
      </c>
      <c r="J610" s="6" t="str">
        <f>IF(Table1[[#This Row],[FIN]]="","Acumulado",IF(ISNUMBER(SEARCH("ASAP",C610)),"ASAP",IF(NETWORKDAYS.INTL(F610,G610,1,Table2[Dias no laborales]) &lt;= 7, "Dentro", IF(A610&gt;F610,"Programado","Fuera"))))</f>
        <v>Dentro</v>
      </c>
      <c r="K610" s="6" t="str">
        <f t="shared" si="19"/>
        <v>A tiempo</v>
      </c>
      <c r="L610" s="9">
        <v>45806</v>
      </c>
      <c r="M610" s="17">
        <f>MAX(1,NETWORKDAYS(A610,L610,Table2[Dias no laborales]))</f>
        <v>1</v>
      </c>
    </row>
    <row r="611" spans="1:13" hidden="1" x14ac:dyDescent="0.3">
      <c r="A611" s="8">
        <v>45806</v>
      </c>
      <c r="B611" s="6" t="s">
        <v>1285</v>
      </c>
      <c r="C611" s="6" t="s">
        <v>1286</v>
      </c>
      <c r="D611" s="6" t="s">
        <v>449</v>
      </c>
      <c r="E611" s="14">
        <v>45806.370138888888</v>
      </c>
      <c r="F611" s="8">
        <f>IF(HOUR(Table1[[#This Row],[CORREO]])&gt;=11,WORKDAY(Table1[[#This Row],[CORREO]],1,Table2[Dias no laborales]),E611)</f>
        <v>45806.370138888888</v>
      </c>
      <c r="G611" s="8">
        <v>45818</v>
      </c>
      <c r="H611" s="6">
        <f t="shared" si="18"/>
        <v>22</v>
      </c>
      <c r="I611" s="16">
        <f>MAX(1, NETWORKDAYS(A611, G611,Table2[Dias no laborales]))</f>
        <v>9</v>
      </c>
      <c r="J611" s="6" t="str">
        <f>IF(Table1[[#This Row],[FIN]]="","Acumulado",IF(ISNUMBER(SEARCH("ASAP",C611)),"ASAP",IF(NETWORKDAYS.INTL(F611,G611,1,Table2[Dias no laborales]) &lt;= 7, "Dentro", IF(A611&gt;F611,"Programado","Fuera"))))</f>
        <v>Fuera</v>
      </c>
      <c r="K611" s="6" t="str">
        <f t="shared" si="19"/>
        <v>A tiempo</v>
      </c>
      <c r="L611" s="9">
        <v>45810</v>
      </c>
      <c r="M611" s="17">
        <f>MAX(1,NETWORKDAYS(A611,L611,Table2[Dias no laborales]))</f>
        <v>3</v>
      </c>
    </row>
    <row r="612" spans="1:13" hidden="1" x14ac:dyDescent="0.3">
      <c r="A612" s="8">
        <v>45806</v>
      </c>
      <c r="B612" s="5" t="s">
        <v>1019</v>
      </c>
      <c r="C612" s="5" t="s">
        <v>1020</v>
      </c>
      <c r="D612" s="5" t="s">
        <v>504</v>
      </c>
      <c r="E612" s="14">
        <v>45806.45</v>
      </c>
      <c r="F612" s="8">
        <f>IF(HOUR(Table1[[#This Row],[CORREO]])&gt;=11,WORKDAY(Table1[[#This Row],[CORREO]],1,Table2[Dias no laborales]),E612)</f>
        <v>45806.45</v>
      </c>
      <c r="G612" s="9">
        <v>45806</v>
      </c>
      <c r="H612" s="6">
        <f t="shared" si="18"/>
        <v>22</v>
      </c>
      <c r="I612" s="16">
        <f>MAX(1, NETWORKDAYS(A612, G612,Table2[Dias no laborales]))</f>
        <v>1</v>
      </c>
      <c r="J612" s="6" t="str">
        <f>IF(Table1[[#This Row],[FIN]]="","Acumulado",IF(ISNUMBER(SEARCH("ASAP",C612)),"ASAP",IF(NETWORKDAYS.INTL(F612,G612,1,Table2[Dias no laborales]) &lt;= 7, "Dentro", IF(A612&gt;F612,"Programado","Fuera"))))</f>
        <v>Dentro</v>
      </c>
      <c r="K612" s="6" t="str">
        <f t="shared" si="19"/>
        <v>A tiempo</v>
      </c>
      <c r="L612" s="9">
        <v>45806</v>
      </c>
      <c r="M612" s="17">
        <f>MAX(1,NETWORKDAYS(A612,L612,Table2[Dias no laborales]))</f>
        <v>1</v>
      </c>
    </row>
    <row r="613" spans="1:13" hidden="1" x14ac:dyDescent="0.3">
      <c r="A613" s="8">
        <v>45806</v>
      </c>
      <c r="B613" s="5" t="s">
        <v>1070</v>
      </c>
      <c r="C613" s="5" t="s">
        <v>1071</v>
      </c>
      <c r="D613" s="5" t="s">
        <v>171</v>
      </c>
      <c r="E613" s="14">
        <v>45806.614583333336</v>
      </c>
      <c r="F613" s="8">
        <f>IF(HOUR(Table1[[#This Row],[CORREO]])&gt;=11,WORKDAY(Table1[[#This Row],[CORREO]],1,Table2[Dias no laborales]),E613)</f>
        <v>45807</v>
      </c>
      <c r="G613" s="9">
        <v>45807</v>
      </c>
      <c r="H613" s="6">
        <f t="shared" si="18"/>
        <v>22</v>
      </c>
      <c r="I613" s="16">
        <f>MAX(1, NETWORKDAYS(A613, G613,Table2[Dias no laborales]))</f>
        <v>2</v>
      </c>
      <c r="J613" s="6" t="str">
        <f>IF(Table1[[#This Row],[FIN]]="","Acumulado",IF(ISNUMBER(SEARCH("ASAP",C613)),"ASAP",IF(NETWORKDAYS.INTL(F613,G613,1,Table2[Dias no laborales]) &lt;= 7, "Dentro", IF(A613&gt;F613,"Programado","Fuera"))))</f>
        <v>ASAP</v>
      </c>
      <c r="K613" s="6" t="str">
        <f t="shared" si="19"/>
        <v>Mismo día</v>
      </c>
      <c r="L613" s="9">
        <v>45807</v>
      </c>
      <c r="M613" s="17">
        <f>MAX(1,NETWORKDAYS(A613,L613,Table2[Dias no laborales]))</f>
        <v>2</v>
      </c>
    </row>
    <row r="614" spans="1:13" hidden="1" x14ac:dyDescent="0.3">
      <c r="A614" s="8">
        <v>45807</v>
      </c>
      <c r="B614" s="5" t="s">
        <v>1025</v>
      </c>
      <c r="C614" s="5" t="s">
        <v>196</v>
      </c>
      <c r="D614" s="5" t="s">
        <v>27</v>
      </c>
      <c r="E614" s="14"/>
      <c r="F614" s="8">
        <f>IF(HOUR(Table1[[#This Row],[CORREO]])&gt;=11,WORKDAY(Table1[[#This Row],[CORREO]],1,Table2[Dias no laborales]),E614)</f>
        <v>0</v>
      </c>
      <c r="G614" s="9">
        <v>45807</v>
      </c>
      <c r="H614" s="6">
        <f t="shared" si="18"/>
        <v>22</v>
      </c>
      <c r="I614" s="16">
        <f>MAX(1, NETWORKDAYS(A614, G614,Table2[Dias no laborales]))</f>
        <v>1</v>
      </c>
      <c r="J614" s="6" t="str">
        <f>IF(Table1[[#This Row],[FIN]]="","Acumulado",IF(ISNUMBER(SEARCH("ASAP",C614)),"ASAP",IF(NETWORKDAYS.INTL(F614,G614,1,Table2[Dias no laborales]) &lt;= 7, "Dentro", IF(A614&gt;F614,"Programado","Fuera"))))</f>
        <v>Programado</v>
      </c>
      <c r="K614" s="6" t="str">
        <f t="shared" si="19"/>
        <v>Programados</v>
      </c>
      <c r="L614" s="9">
        <v>45807</v>
      </c>
      <c r="M614" s="17">
        <f>MAX(1,NETWORKDAYS(A614,L614,Table2[Dias no laborales]))</f>
        <v>1</v>
      </c>
    </row>
    <row r="615" spans="1:13" hidden="1" x14ac:dyDescent="0.3">
      <c r="A615" s="8">
        <v>45807</v>
      </c>
      <c r="B615" s="5" t="s">
        <v>1026</v>
      </c>
      <c r="C615" s="5" t="s">
        <v>188</v>
      </c>
      <c r="D615" s="5" t="s">
        <v>27</v>
      </c>
      <c r="E615" s="14"/>
      <c r="F615" s="8">
        <f>IF(HOUR(Table1[[#This Row],[CORREO]])&gt;=11,WORKDAY(Table1[[#This Row],[CORREO]],1,Table2[Dias no laborales]),E615)</f>
        <v>0</v>
      </c>
      <c r="G615" s="9">
        <v>45807</v>
      </c>
      <c r="H615" s="6">
        <f t="shared" si="18"/>
        <v>22</v>
      </c>
      <c r="I615" s="16">
        <f>MAX(1, NETWORKDAYS(A615, G615,Table2[Dias no laborales]))</f>
        <v>1</v>
      </c>
      <c r="J615" s="6" t="str">
        <f>IF(Table1[[#This Row],[FIN]]="","Acumulado",IF(ISNUMBER(SEARCH("ASAP",C615)),"ASAP",IF(NETWORKDAYS.INTL(F615,G615,1,Table2[Dias no laborales]) &lt;= 7, "Dentro", IF(A615&gt;F615,"Programado","Fuera"))))</f>
        <v>Programado</v>
      </c>
      <c r="K615" s="6" t="str">
        <f t="shared" si="19"/>
        <v>Programados</v>
      </c>
      <c r="L615" s="9">
        <v>45807</v>
      </c>
      <c r="M615" s="17">
        <f>MAX(1,NETWORKDAYS(A615,L615,Table2[Dias no laborales]))</f>
        <v>1</v>
      </c>
    </row>
    <row r="616" spans="1:13" hidden="1" x14ac:dyDescent="0.3">
      <c r="A616" s="8">
        <v>45807</v>
      </c>
      <c r="B616" s="6" t="s">
        <v>1340</v>
      </c>
      <c r="C616" s="6" t="s">
        <v>1341</v>
      </c>
      <c r="D616" s="6" t="s">
        <v>517</v>
      </c>
      <c r="E616" s="14">
        <v>45807.367361111108</v>
      </c>
      <c r="F616" s="8">
        <f>IF(HOUR(Table1[[#This Row],[CORREO]])&gt;=11,WORKDAY(Table1[[#This Row],[CORREO]],1,Table2[Dias no laborales]),E616)</f>
        <v>45807.367361111108</v>
      </c>
      <c r="G616" s="8">
        <v>45811</v>
      </c>
      <c r="H616" s="6">
        <f t="shared" si="18"/>
        <v>22</v>
      </c>
      <c r="I616" s="16">
        <f>MAX(1, NETWORKDAYS(A616, G616,Table2[Dias no laborales]))</f>
        <v>3</v>
      </c>
      <c r="J616" s="6" t="str">
        <f>IF(Table1[[#This Row],[FIN]]="","Acumulado",IF(ISNUMBER(SEARCH("ASAP",C616)),"ASAP",IF(NETWORKDAYS.INTL(F616,G616,1,Table2[Dias no laborales]) &lt;= 7, "Dentro", IF(A616&gt;F616,"Programado","Fuera"))))</f>
        <v>Dentro</v>
      </c>
      <c r="K616" s="6" t="str">
        <f t="shared" si="19"/>
        <v>A tiempo</v>
      </c>
      <c r="L616" s="9">
        <v>45807</v>
      </c>
      <c r="M616" s="17">
        <f>MAX(1,NETWORKDAYS(A616,L616,Table2[Dias no laborales]))</f>
        <v>1</v>
      </c>
    </row>
    <row r="617" spans="1:13" hidden="1" x14ac:dyDescent="0.3">
      <c r="A617" s="8">
        <v>45807</v>
      </c>
      <c r="B617" s="5" t="s">
        <v>1023</v>
      </c>
      <c r="C617" s="5" t="s">
        <v>1024</v>
      </c>
      <c r="D617" s="5" t="s">
        <v>27</v>
      </c>
      <c r="E617" s="14">
        <v>45807.406944444447</v>
      </c>
      <c r="F617" s="8">
        <f>IF(HOUR(Table1[[#This Row],[CORREO]])&gt;=11,WORKDAY(Table1[[#This Row],[CORREO]],1,Table2[Dias no laborales]),E617)</f>
        <v>45807.406944444447</v>
      </c>
      <c r="G617" s="9">
        <v>45807</v>
      </c>
      <c r="H617" s="6">
        <f t="shared" si="18"/>
        <v>22</v>
      </c>
      <c r="I617" s="16">
        <f>MAX(1, NETWORKDAYS(A617, G617,Table2[Dias no laborales]))</f>
        <v>1</v>
      </c>
      <c r="J617" s="6" t="str">
        <f>IF(Table1[[#This Row],[FIN]]="","Acumulado",IF(ISNUMBER(SEARCH("ASAP",C617)),"ASAP",IF(NETWORKDAYS.INTL(F617,G617,1,Table2[Dias no laborales]) &lt;= 7, "Dentro", IF(A617&gt;F617,"Programado","Fuera"))))</f>
        <v>Dentro</v>
      </c>
      <c r="K617" s="6" t="str">
        <f t="shared" si="19"/>
        <v>A tiempo</v>
      </c>
      <c r="L617" s="9">
        <v>45807</v>
      </c>
      <c r="M617" s="17">
        <f>MAX(1,NETWORKDAYS(A617,L617,Table2[Dias no laborales]))</f>
        <v>1</v>
      </c>
    </row>
    <row r="618" spans="1:13" hidden="1" x14ac:dyDescent="0.3">
      <c r="A618" s="8">
        <v>45810</v>
      </c>
      <c r="B618" s="6" t="s">
        <v>1320</v>
      </c>
      <c r="C618" s="6" t="s">
        <v>1321</v>
      </c>
      <c r="D618" s="6" t="s">
        <v>24</v>
      </c>
      <c r="E618" s="14"/>
      <c r="F618" s="8">
        <f>IF(HOUR(Table1[[#This Row],[CORREO]])&gt;=11,WORKDAY(Table1[[#This Row],[CORREO]],1,Table2[Dias no laborales]),E618)</f>
        <v>0</v>
      </c>
      <c r="G618" s="8">
        <v>45814</v>
      </c>
      <c r="H618" s="6">
        <f t="shared" si="18"/>
        <v>22</v>
      </c>
      <c r="I618" s="16">
        <f>MAX(1, NETWORKDAYS(A618, G618,Table2[Dias no laborales]))</f>
        <v>5</v>
      </c>
      <c r="J618" s="6" t="str">
        <f>IF(Table1[[#This Row],[FIN]]="","Acumulado",IF(ISNUMBER(SEARCH("ASAP",C618)),"ASAP",IF(NETWORKDAYS.INTL(F618,G618,1,Table2[Dias no laborales]) &lt;= 7, "Dentro", IF(A618&gt;F618,"Programado","Fuera"))))</f>
        <v>Programado</v>
      </c>
      <c r="K618" s="6" t="str">
        <f t="shared" si="19"/>
        <v>Programados</v>
      </c>
      <c r="L618" s="9">
        <v>45810</v>
      </c>
      <c r="M618" s="17">
        <f>MAX(1,NETWORKDAYS(A618,L618,Table2[Dias no laborales]))</f>
        <v>1</v>
      </c>
    </row>
    <row r="619" spans="1:13" hidden="1" x14ac:dyDescent="0.3">
      <c r="A619" s="8">
        <v>45810</v>
      </c>
      <c r="B619" s="6" t="s">
        <v>1342</v>
      </c>
      <c r="C619" s="6" t="s">
        <v>1343</v>
      </c>
      <c r="D619" s="6" t="s">
        <v>48</v>
      </c>
      <c r="E619" s="14">
        <v>45807.549305555556</v>
      </c>
      <c r="F619" s="8">
        <f>IF(HOUR(Table1[[#This Row],[CORREO]])&gt;=11,WORKDAY(Table1[[#This Row],[CORREO]],1,Table2[Dias no laborales]),E619)</f>
        <v>45810</v>
      </c>
      <c r="G619" s="8">
        <v>45812</v>
      </c>
      <c r="H619" s="6">
        <f t="shared" si="18"/>
        <v>22</v>
      </c>
      <c r="I619" s="16">
        <f>MAX(1, NETWORKDAYS(A619, G619,Table2[Dias no laborales]))</f>
        <v>3</v>
      </c>
      <c r="J619" s="6" t="str">
        <f>IF(Table1[[#This Row],[FIN]]="","Acumulado",IF(ISNUMBER(SEARCH("ASAP",C619)),"ASAP",IF(NETWORKDAYS.INTL(F619,G619,1,Table2[Dias no laborales]) &lt;= 7, "Dentro", IF(A619&gt;F619,"Programado","Fuera"))))</f>
        <v>Dentro</v>
      </c>
      <c r="K619" s="6" t="str">
        <f t="shared" si="19"/>
        <v>A tiempo</v>
      </c>
      <c r="L619" s="9">
        <v>45810</v>
      </c>
      <c r="M619" s="17">
        <f>MAX(1,NETWORKDAYS(A619,L619,Table2[Dias no laborales]))</f>
        <v>1</v>
      </c>
    </row>
    <row r="620" spans="1:13" hidden="1" x14ac:dyDescent="0.3">
      <c r="A620" s="8">
        <v>45810</v>
      </c>
      <c r="B620" s="6" t="s">
        <v>1388</v>
      </c>
      <c r="C620" s="6" t="s">
        <v>1389</v>
      </c>
      <c r="D620" s="6" t="s">
        <v>42</v>
      </c>
      <c r="E620" s="14">
        <v>45810.299305555556</v>
      </c>
      <c r="F620" s="8">
        <f>IF(HOUR(Table1[[#This Row],[CORREO]])&gt;=11,WORKDAY(Table1[[#This Row],[CORREO]],1,Table2[Dias no laborales]),E620)</f>
        <v>45810.299305555556</v>
      </c>
      <c r="G620" s="8">
        <v>45810</v>
      </c>
      <c r="H620" s="6">
        <f t="shared" si="18"/>
        <v>22</v>
      </c>
      <c r="I620" s="16">
        <f>MAX(1, NETWORKDAYS(A620, G620,Table2[Dias no laborales]))</f>
        <v>1</v>
      </c>
      <c r="J620" s="6" t="str">
        <f>IF(Table1[[#This Row],[FIN]]="","Acumulado",IF(ISNUMBER(SEARCH("ASAP",C620)),"ASAP",IF(NETWORKDAYS.INTL(F620,G620,1,Table2[Dias no laborales]) &lt;= 7, "Dentro", IF(A620&gt;F620,"Programado","Fuera"))))</f>
        <v>Dentro</v>
      </c>
      <c r="K620" s="6" t="str">
        <f t="shared" si="19"/>
        <v>A tiempo</v>
      </c>
      <c r="L620" s="9">
        <v>45810</v>
      </c>
      <c r="M620" s="17">
        <f>MAX(1,NETWORKDAYS(A620,L620,Table2[Dias no laborales]))</f>
        <v>1</v>
      </c>
    </row>
    <row r="621" spans="1:13" hidden="1" x14ac:dyDescent="0.3">
      <c r="A621" s="8">
        <v>45810</v>
      </c>
      <c r="B621" s="6" t="s">
        <v>2189</v>
      </c>
      <c r="C621" s="6" t="s">
        <v>2190</v>
      </c>
      <c r="D621" s="6" t="s">
        <v>194</v>
      </c>
      <c r="E621" s="14"/>
      <c r="F621" s="8">
        <f>IF(HOUR(Table1[[#This Row],[CORREO]])&gt;=11,WORKDAY(Table1[[#This Row],[CORREO]],1,Table2[Dias no laborales]),E621)</f>
        <v>0</v>
      </c>
      <c r="G621" s="8">
        <v>45943</v>
      </c>
      <c r="H621" s="6">
        <f t="shared" si="18"/>
        <v>22</v>
      </c>
      <c r="I621" s="16">
        <f>MAX(1, NETWORKDAYS(A621, G621,Table2[Dias no laborales]))</f>
        <v>96</v>
      </c>
      <c r="J621" s="6" t="str">
        <f>IF(Table1[[#This Row],[FIN]]="","Acumulado",IF(ISNUMBER(SEARCH("ASAP",C621)),"ASAP",IF(NETWORKDAYS.INTL(F621,G621,1,Table2[Dias no laborales]) &lt;= 7, "Dentro", IF(A621&gt;F621,"Programado","Fuera"))))</f>
        <v>Programado</v>
      </c>
      <c r="K621" s="6" t="str">
        <f t="shared" si="19"/>
        <v>Programados</v>
      </c>
      <c r="L621" s="9">
        <v>45811</v>
      </c>
      <c r="M621" s="17">
        <f>MAX(1,NETWORKDAYS(A621,L621,Table2[Dias no laborales]))</f>
        <v>2</v>
      </c>
    </row>
    <row r="622" spans="1:13" hidden="1" x14ac:dyDescent="0.3">
      <c r="A622" s="8">
        <v>45811</v>
      </c>
      <c r="B622" s="6" t="s">
        <v>1390</v>
      </c>
      <c r="C622" s="6" t="s">
        <v>1391</v>
      </c>
      <c r="D622" s="6" t="s">
        <v>538</v>
      </c>
      <c r="E622" s="14">
        <v>45810.503472222219</v>
      </c>
      <c r="F622" s="8">
        <f>IF(HOUR(Table1[[#This Row],[CORREO]])&gt;=11,WORKDAY(Table1[[#This Row],[CORREO]],1,Table2[Dias no laborales]),E622)</f>
        <v>45811</v>
      </c>
      <c r="G622" s="8">
        <v>45811</v>
      </c>
      <c r="H622" s="6">
        <f t="shared" si="18"/>
        <v>22</v>
      </c>
      <c r="I622" s="16">
        <f>MAX(1, NETWORKDAYS(A622, G622,Table2[Dias no laborales]))</f>
        <v>1</v>
      </c>
      <c r="J622" s="6" t="str">
        <f>IF(Table1[[#This Row],[FIN]]="","Acumulado",IF(ISNUMBER(SEARCH("ASAP",C622)),"ASAP",IF(NETWORKDAYS.INTL(F622,G622,1,Table2[Dias no laborales]) &lt;= 7, "Dentro", IF(A622&gt;F622,"Programado","Fuera"))))</f>
        <v>Dentro</v>
      </c>
      <c r="K622" s="6" t="str">
        <f t="shared" si="19"/>
        <v>A tiempo</v>
      </c>
      <c r="L622" s="9">
        <v>45811</v>
      </c>
      <c r="M622" s="17">
        <f>MAX(1,NETWORKDAYS(A622,L622,Table2[Dias no laborales]))</f>
        <v>1</v>
      </c>
    </row>
    <row r="623" spans="1:13" hidden="1" x14ac:dyDescent="0.3">
      <c r="A623" s="8">
        <v>45811</v>
      </c>
      <c r="B623" s="6" t="s">
        <v>1363</v>
      </c>
      <c r="C623" s="6" t="s">
        <v>1364</v>
      </c>
      <c r="D623" s="6" t="s">
        <v>139</v>
      </c>
      <c r="E623" s="14">
        <v>45810.675000000003</v>
      </c>
      <c r="F623" s="8">
        <f>IF(HOUR(Table1[[#This Row],[CORREO]])&gt;=11,WORKDAY(Table1[[#This Row],[CORREO]],1,Table2[Dias no laborales]),E623)</f>
        <v>45811</v>
      </c>
      <c r="G623" s="8">
        <v>45812</v>
      </c>
      <c r="H623" s="6">
        <f t="shared" si="18"/>
        <v>22</v>
      </c>
      <c r="I623" s="16">
        <f>MAX(1, NETWORKDAYS(A623, G623,Table2[Dias no laborales]))</f>
        <v>2</v>
      </c>
      <c r="J623" s="6" t="str">
        <f>IF(Table1[[#This Row],[FIN]]="","Acumulado",IF(ISNUMBER(SEARCH("ASAP",C623)),"ASAP",IF(NETWORKDAYS.INTL(F623,G623,1,Table2[Dias no laborales]) &lt;= 7, "Dentro", IF(A623&gt;F623,"Programado","Fuera"))))</f>
        <v>Dentro</v>
      </c>
      <c r="K623" s="6" t="str">
        <f t="shared" si="19"/>
        <v>A tiempo</v>
      </c>
      <c r="L623" s="9">
        <v>45811</v>
      </c>
      <c r="M623" s="17">
        <f>MAX(1,NETWORKDAYS(A623,L623,Table2[Dias no laborales]))</f>
        <v>1</v>
      </c>
    </row>
    <row r="624" spans="1:13" hidden="1" x14ac:dyDescent="0.3">
      <c r="A624" s="8">
        <v>45811</v>
      </c>
      <c r="B624" s="6" t="s">
        <v>1302</v>
      </c>
      <c r="C624" s="6" t="s">
        <v>1303</v>
      </c>
      <c r="D624" s="6" t="s">
        <v>154</v>
      </c>
      <c r="E624" s="14">
        <v>45811.337500000001</v>
      </c>
      <c r="F624" s="8">
        <f>IF(HOUR(Table1[[#This Row],[CORREO]])&gt;=11,WORKDAY(Table1[[#This Row],[CORREO]],1,Table2[Dias no laborales]),E624)</f>
        <v>45811.337500000001</v>
      </c>
      <c r="G624" s="8">
        <v>45820</v>
      </c>
      <c r="H624" s="6">
        <f t="shared" si="18"/>
        <v>22</v>
      </c>
      <c r="I624" s="16">
        <f>MAX(1, NETWORKDAYS(A624, G624,Table2[Dias no laborales]))</f>
        <v>8</v>
      </c>
      <c r="J624" s="6" t="str">
        <f>IF(Table1[[#This Row],[FIN]]="","Acumulado",IF(ISNUMBER(SEARCH("ASAP",C624)),"ASAP",IF(NETWORKDAYS.INTL(F624,G624,1,Table2[Dias no laborales]) &lt;= 7, "Dentro", IF(A624&gt;F624,"Programado","Fuera"))))</f>
        <v>Fuera</v>
      </c>
      <c r="K624" s="6" t="str">
        <f t="shared" si="19"/>
        <v>A tiempo</v>
      </c>
      <c r="L624" s="9">
        <v>45812</v>
      </c>
      <c r="M624" s="17">
        <f>MAX(1,NETWORKDAYS(A624,L624,Table2[Dias no laborales]))</f>
        <v>2</v>
      </c>
    </row>
    <row r="625" spans="1:13" hidden="1" x14ac:dyDescent="0.3">
      <c r="A625" s="8">
        <v>45811</v>
      </c>
      <c r="B625" s="5" t="s">
        <v>1245</v>
      </c>
      <c r="C625" s="5" t="s">
        <v>1246</v>
      </c>
      <c r="D625" s="5" t="s">
        <v>308</v>
      </c>
      <c r="E625" s="14"/>
      <c r="F625" s="8">
        <f>IF(HOUR(Table1[[#This Row],[CORREO]])&gt;=11,WORKDAY(Table1[[#This Row],[CORREO]],1,Table2[Dias no laborales]),E625)</f>
        <v>0</v>
      </c>
      <c r="G625" s="8">
        <v>45838</v>
      </c>
      <c r="H625" s="6">
        <f t="shared" si="18"/>
        <v>22</v>
      </c>
      <c r="I625" s="16">
        <f>MAX(1, NETWORKDAYS(A625, G625,Table2[Dias no laborales]))</f>
        <v>20</v>
      </c>
      <c r="J625" s="6" t="str">
        <f>IF(Table1[[#This Row],[FIN]]="","Acumulado",IF(ISNUMBER(SEARCH("ASAP",C625)),"ASAP",IF(NETWORKDAYS.INTL(F625,G625,1,Table2[Dias no laborales]) &lt;= 7, "Dentro", IF(A625&gt;F625,"Programado","Fuera"))))</f>
        <v>Programado</v>
      </c>
      <c r="K625" s="6" t="str">
        <f t="shared" si="19"/>
        <v>Programados</v>
      </c>
      <c r="L625" s="9">
        <v>45811</v>
      </c>
      <c r="M625" s="17">
        <f>MAX(1,NETWORKDAYS(A625,L625,Table2[Dias no laborales]))</f>
        <v>1</v>
      </c>
    </row>
    <row r="626" spans="1:13" hidden="1" x14ac:dyDescent="0.3">
      <c r="A626" s="8">
        <v>45811</v>
      </c>
      <c r="B626" s="6" t="s">
        <v>1392</v>
      </c>
      <c r="C626" s="6" t="s">
        <v>1393</v>
      </c>
      <c r="D626" s="6" t="s">
        <v>133</v>
      </c>
      <c r="E626" s="14">
        <v>45811.46597222222</v>
      </c>
      <c r="F626" s="8">
        <f>IF(HOUR(Table1[[#This Row],[CORREO]])&gt;=11,WORKDAY(Table1[[#This Row],[CORREO]],1,Table2[Dias no laborales]),E626)</f>
        <v>45812</v>
      </c>
      <c r="G626" s="8">
        <v>45811</v>
      </c>
      <c r="H626" s="6">
        <f t="shared" si="18"/>
        <v>22</v>
      </c>
      <c r="I626" s="16">
        <f>MAX(1, NETWORKDAYS(A626, G626,Table2[Dias no laborales]))</f>
        <v>1</v>
      </c>
      <c r="J626" s="6" t="str">
        <f>IF(Table1[[#This Row],[FIN]]="","Acumulado",IF(ISNUMBER(SEARCH("ASAP",C626)),"ASAP",IF(NETWORKDAYS.INTL(F626,G626,1,Table2[Dias no laborales]) &lt;= 7, "Dentro", IF(A626&gt;F626,"Programado","Fuera"))))</f>
        <v>Dentro</v>
      </c>
      <c r="K626" s="6" t="str">
        <f t="shared" si="19"/>
        <v>Mismo día</v>
      </c>
      <c r="L626" s="9">
        <v>45811</v>
      </c>
      <c r="M626" s="17">
        <f>MAX(1,NETWORKDAYS(A626,L626,Table2[Dias no laborales]))</f>
        <v>1</v>
      </c>
    </row>
    <row r="627" spans="1:13" hidden="1" x14ac:dyDescent="0.3">
      <c r="A627" s="8">
        <v>45880</v>
      </c>
      <c r="B627" s="6" t="s">
        <v>1890</v>
      </c>
      <c r="C627" s="6" t="s">
        <v>1891</v>
      </c>
      <c r="D627" s="6" t="s">
        <v>199</v>
      </c>
      <c r="E627" s="14">
        <v>45811.679166666669</v>
      </c>
      <c r="F627" s="8">
        <f>IF(HOUR(Table1[[#This Row],[CORREO]])&gt;=11,WORKDAY(Table1[[#This Row],[CORREO]],1,Table2[Dias no laborales]),E627)</f>
        <v>45812</v>
      </c>
      <c r="G627" s="8">
        <v>45908</v>
      </c>
      <c r="H627" s="6">
        <f t="shared" si="18"/>
        <v>32</v>
      </c>
      <c r="I627" s="16">
        <f>MAX(1, NETWORKDAYS(A627, G627,Table2[Dias no laborales]))</f>
        <v>21</v>
      </c>
      <c r="J627" s="6" t="str">
        <f>IF(Table1[[#This Row],[FIN]]="","Acumulado",IF(ISNUMBER(SEARCH("ASAP",C627)),"ASAP",IF(NETWORKDAYS.INTL(F627,G627,1,Table2[Dias no laborales]) &lt;= 7, "Dentro", IF(A627&gt;F627,"Programado","Fuera"))))</f>
        <v>Programado</v>
      </c>
      <c r="K627" s="6" t="str">
        <f t="shared" si="19"/>
        <v>Programados</v>
      </c>
      <c r="L627" s="9">
        <v>45827</v>
      </c>
      <c r="M627" s="17">
        <f>MAX(1,NETWORKDAYS(A627,L627,Table2[Dias no laborales]))</f>
        <v>1</v>
      </c>
    </row>
    <row r="628" spans="1:13" hidden="1" x14ac:dyDescent="0.3">
      <c r="A628" s="8">
        <v>45812</v>
      </c>
      <c r="B628" s="6" t="s">
        <v>1344</v>
      </c>
      <c r="C628" s="6" t="s">
        <v>1345</v>
      </c>
      <c r="D628" s="6" t="s">
        <v>342</v>
      </c>
      <c r="E628" s="14">
        <v>45811.669444444444</v>
      </c>
      <c r="F628" s="8">
        <f>IF(HOUR(Table1[[#This Row],[CORREO]])&gt;=11,WORKDAY(Table1[[#This Row],[CORREO]],1,Table2[Dias no laborales]),E628)</f>
        <v>45812</v>
      </c>
      <c r="G628" s="8">
        <v>45814</v>
      </c>
      <c r="H628" s="6">
        <f t="shared" si="18"/>
        <v>23</v>
      </c>
      <c r="I628" s="16">
        <f>MAX(1, NETWORKDAYS(A628, G628,Table2[Dias no laborales]))</f>
        <v>3</v>
      </c>
      <c r="J628" s="6" t="str">
        <f>IF(Table1[[#This Row],[FIN]]="","Acumulado",IF(ISNUMBER(SEARCH("ASAP",C628)),"ASAP",IF(NETWORKDAYS.INTL(F628,G628,1,Table2[Dias no laborales]) &lt;= 7, "Dentro", IF(A628&gt;F628,"Programado","Fuera"))))</f>
        <v>Dentro</v>
      </c>
      <c r="K628" s="6" t="str">
        <f t="shared" si="19"/>
        <v>A tiempo</v>
      </c>
      <c r="L628" s="9">
        <v>45813</v>
      </c>
      <c r="M628" s="17">
        <f>MAX(1,NETWORKDAYS(A628,L628,Table2[Dias no laborales]))</f>
        <v>2</v>
      </c>
    </row>
    <row r="629" spans="1:13" hidden="1" x14ac:dyDescent="0.3">
      <c r="A629" s="8">
        <v>45812</v>
      </c>
      <c r="B629" s="6" t="s">
        <v>1368</v>
      </c>
      <c r="C629" s="6" t="s">
        <v>1369</v>
      </c>
      <c r="D629" s="6" t="s">
        <v>24</v>
      </c>
      <c r="E629" s="14">
        <v>45812.320833333331</v>
      </c>
      <c r="F629" s="8">
        <f>IF(HOUR(Table1[[#This Row],[CORREO]])&gt;=11,WORKDAY(Table1[[#This Row],[CORREO]],1,Table2[Dias no laborales]),E629)</f>
        <v>45812.320833333331</v>
      </c>
      <c r="G629" s="8">
        <v>45813</v>
      </c>
      <c r="H629" s="6">
        <f t="shared" si="18"/>
        <v>23</v>
      </c>
      <c r="I629" s="16">
        <f>MAX(1, NETWORKDAYS(A629, G629,Table2[Dias no laborales]))</f>
        <v>2</v>
      </c>
      <c r="J629" s="6" t="str">
        <f>IF(Table1[[#This Row],[FIN]]="","Acumulado",IF(ISNUMBER(SEARCH("ASAP",C629)),"ASAP",IF(NETWORKDAYS.INTL(F629,G629,1,Table2[Dias no laborales]) &lt;= 7, "Dentro", IF(A629&gt;F629,"Programado","Fuera"))))</f>
        <v>Dentro</v>
      </c>
      <c r="K629" s="6" t="str">
        <f t="shared" si="19"/>
        <v>A tiempo</v>
      </c>
      <c r="L629" s="9">
        <v>45813</v>
      </c>
      <c r="M629" s="17">
        <f>MAX(1,NETWORKDAYS(A629,L629,Table2[Dias no laborales]))</f>
        <v>2</v>
      </c>
    </row>
    <row r="630" spans="1:13" hidden="1" x14ac:dyDescent="0.3">
      <c r="A630" s="8">
        <v>45812</v>
      </c>
      <c r="B630" s="5" t="s">
        <v>1249</v>
      </c>
      <c r="C630" s="5" t="s">
        <v>1250</v>
      </c>
      <c r="D630" s="5" t="s">
        <v>139</v>
      </c>
      <c r="E630" s="14">
        <v>45812.38958333333</v>
      </c>
      <c r="F630" s="8">
        <f>IF(HOUR(Table1[[#This Row],[CORREO]])&gt;=11,WORKDAY(Table1[[#This Row],[CORREO]],1,Table2[Dias no laborales]),E630)</f>
        <v>45812.38958333333</v>
      </c>
      <c r="G630" s="8">
        <v>45838</v>
      </c>
      <c r="H630" s="6">
        <f t="shared" si="18"/>
        <v>23</v>
      </c>
      <c r="I630" s="16">
        <f>MAX(1, NETWORKDAYS(A630, G630,Table2[Dias no laborales]))</f>
        <v>19</v>
      </c>
      <c r="J630" s="6" t="str">
        <f>IF(Table1[[#This Row],[FIN]]="","Acumulado",IF(ISNUMBER(SEARCH("ASAP",C630)),"ASAP",IF(NETWORKDAYS.INTL(F630,G630,1,Table2[Dias no laborales]) &lt;= 7, "Dentro", IF(A630&gt;F630,"Programado","Fuera"))))</f>
        <v>Fuera</v>
      </c>
      <c r="K630" s="6" t="str">
        <f t="shared" si="19"/>
        <v>A tiempo</v>
      </c>
      <c r="L630" s="9">
        <v>45812</v>
      </c>
      <c r="M630" s="17">
        <f>MAX(1,NETWORKDAYS(A630,L630,Table2[Dias no laborales]))</f>
        <v>1</v>
      </c>
    </row>
    <row r="631" spans="1:13" hidden="1" x14ac:dyDescent="0.3">
      <c r="A631" s="8">
        <v>45812</v>
      </c>
      <c r="B631" s="6" t="s">
        <v>1308</v>
      </c>
      <c r="C631" s="6" t="s">
        <v>1309</v>
      </c>
      <c r="D631" s="6" t="s">
        <v>139</v>
      </c>
      <c r="E631" s="14">
        <v>45812.330555555556</v>
      </c>
      <c r="F631" s="8">
        <f>IF(HOUR(Table1[[#This Row],[CORREO]])&gt;=11,WORKDAY(Table1[[#This Row],[CORREO]],1,Table2[Dias no laborales]),E631)</f>
        <v>45812.330555555556</v>
      </c>
      <c r="G631" s="8">
        <v>45819</v>
      </c>
      <c r="H631" s="6">
        <f t="shared" si="18"/>
        <v>23</v>
      </c>
      <c r="I631" s="16">
        <f>MAX(1, NETWORKDAYS(A631, G631,Table2[Dias no laborales]))</f>
        <v>6</v>
      </c>
      <c r="J631" s="6" t="str">
        <f>IF(Table1[[#This Row],[FIN]]="","Acumulado",IF(ISNUMBER(SEARCH("ASAP",C631)),"ASAP",IF(NETWORKDAYS.INTL(F631,G631,1,Table2[Dias no laborales]) &lt;= 7, "Dentro", IF(A631&gt;F631,"Programado","Fuera"))))</f>
        <v>Dentro</v>
      </c>
      <c r="K631" s="6" t="str">
        <f t="shared" si="19"/>
        <v>A tiempo</v>
      </c>
      <c r="L631" s="9">
        <v>45814</v>
      </c>
      <c r="M631" s="17">
        <f>MAX(1,NETWORKDAYS(A631,L631,Table2[Dias no laborales]))</f>
        <v>3</v>
      </c>
    </row>
    <row r="632" spans="1:13" hidden="1" x14ac:dyDescent="0.3">
      <c r="A632" s="8">
        <v>45812</v>
      </c>
      <c r="B632" s="6" t="s">
        <v>1367</v>
      </c>
      <c r="C632" s="6" t="s">
        <v>1246</v>
      </c>
      <c r="D632" s="6" t="s">
        <v>288</v>
      </c>
      <c r="E632" s="14"/>
      <c r="F632" s="8">
        <f>IF(HOUR(Table1[[#This Row],[CORREO]])&gt;=11,WORKDAY(Table1[[#This Row],[CORREO]],1,Table2[Dias no laborales]),E632)</f>
        <v>0</v>
      </c>
      <c r="G632" s="8">
        <v>45813</v>
      </c>
      <c r="H632" s="6">
        <f t="shared" si="18"/>
        <v>23</v>
      </c>
      <c r="I632" s="16">
        <f>MAX(1, NETWORKDAYS(A632, G632,Table2[Dias no laborales]))</f>
        <v>2</v>
      </c>
      <c r="J632" s="6" t="str">
        <f>IF(Table1[[#This Row],[FIN]]="","Acumulado",IF(ISNUMBER(SEARCH("ASAP",C632)),"ASAP",IF(NETWORKDAYS.INTL(F632,G632,1,Table2[Dias no laborales]) &lt;= 7, "Dentro", IF(A632&gt;F632,"Programado","Fuera"))))</f>
        <v>Programado</v>
      </c>
      <c r="K632" s="6" t="str">
        <f t="shared" si="19"/>
        <v>Programados</v>
      </c>
      <c r="L632" s="9">
        <v>45812</v>
      </c>
      <c r="M632" s="17">
        <f>MAX(1,NETWORKDAYS(A632,L632,Table2[Dias no laborales]))</f>
        <v>1</v>
      </c>
    </row>
    <row r="633" spans="1:13" hidden="1" x14ac:dyDescent="0.3">
      <c r="A633" s="8">
        <v>45812</v>
      </c>
      <c r="B633" s="6" t="s">
        <v>1365</v>
      </c>
      <c r="C633" s="6" t="s">
        <v>1366</v>
      </c>
      <c r="D633" s="6" t="s">
        <v>27</v>
      </c>
      <c r="E633" s="14">
        <v>45812.586111111108</v>
      </c>
      <c r="F633" s="8">
        <f>IF(HOUR(Table1[[#This Row],[CORREO]])&gt;=11,WORKDAY(Table1[[#This Row],[CORREO]],1,Table2[Dias no laborales]),E633)</f>
        <v>45813</v>
      </c>
      <c r="G633" s="8">
        <v>45813</v>
      </c>
      <c r="H633" s="6">
        <f t="shared" si="18"/>
        <v>23</v>
      </c>
      <c r="I633" s="16">
        <f>MAX(1, NETWORKDAYS(A633, G633,Table2[Dias no laborales]))</f>
        <v>2</v>
      </c>
      <c r="J633" s="6" t="str">
        <f>IF(Table1[[#This Row],[FIN]]="","Acumulado",IF(ISNUMBER(SEARCH("ASAP",C633)),"ASAP",IF(NETWORKDAYS.INTL(F633,G633,1,Table2[Dias no laborales]) &lt;= 7, "Dentro", IF(A633&gt;F633,"Programado","Fuera"))))</f>
        <v>Dentro</v>
      </c>
      <c r="K633" s="6" t="str">
        <f t="shared" si="19"/>
        <v>Mismo día</v>
      </c>
      <c r="L633" s="9">
        <v>45812</v>
      </c>
      <c r="M633" s="17">
        <f>MAX(1,NETWORKDAYS(A633,L633,Table2[Dias no laborales]))</f>
        <v>1</v>
      </c>
    </row>
    <row r="634" spans="1:13" hidden="1" x14ac:dyDescent="0.3">
      <c r="A634" s="8">
        <v>45813</v>
      </c>
      <c r="B634" s="6" t="s">
        <v>1287</v>
      </c>
      <c r="C634" s="6" t="s">
        <v>1288</v>
      </c>
      <c r="D634" s="6" t="s">
        <v>18</v>
      </c>
      <c r="E634" s="14">
        <v>45812.475694444445</v>
      </c>
      <c r="F634" s="8">
        <f>IF(HOUR(Table1[[#This Row],[CORREO]])&gt;=11,WORKDAY(Table1[[#This Row],[CORREO]],1,Table2[Dias no laborales]),E634)</f>
        <v>45813</v>
      </c>
      <c r="G634" s="8">
        <v>45825</v>
      </c>
      <c r="H634" s="6">
        <f t="shared" si="18"/>
        <v>23</v>
      </c>
      <c r="I634" s="16">
        <f>MAX(1, NETWORKDAYS(A634, G634,Table2[Dias no laborales]))</f>
        <v>9</v>
      </c>
      <c r="J634" s="6" t="str">
        <f>IF(Table1[[#This Row],[FIN]]="","Acumulado",IF(ISNUMBER(SEARCH("ASAP",C634)),"ASAP",IF(NETWORKDAYS.INTL(F634,G634,1,Table2[Dias no laborales]) &lt;= 7, "Dentro", IF(A634&gt;F634,"Programado","Fuera"))))</f>
        <v>Fuera</v>
      </c>
      <c r="K634" s="6" t="str">
        <f t="shared" si="19"/>
        <v>A tiempo</v>
      </c>
      <c r="L634" s="9">
        <v>45817</v>
      </c>
      <c r="M634" s="17">
        <f>MAX(1,NETWORKDAYS(A634,L634,Table2[Dias no laborales]))</f>
        <v>3</v>
      </c>
    </row>
    <row r="635" spans="1:13" hidden="1" x14ac:dyDescent="0.3">
      <c r="A635" s="8">
        <v>45845</v>
      </c>
      <c r="B635" s="5" t="s">
        <v>1632</v>
      </c>
      <c r="C635" s="5" t="s">
        <v>1633</v>
      </c>
      <c r="D635" s="5" t="s">
        <v>24</v>
      </c>
      <c r="E635" s="14">
        <v>45812.581944444442</v>
      </c>
      <c r="F635" s="8">
        <f>IF(HOUR(Table1[[#This Row],[CORREO]])&gt;=11,WORKDAY(Table1[[#This Row],[CORREO]],1,Table2[Dias no laborales]),E635)</f>
        <v>45813</v>
      </c>
      <c r="G635" s="8">
        <v>45867</v>
      </c>
      <c r="H635" s="6">
        <f t="shared" si="18"/>
        <v>27</v>
      </c>
      <c r="I635" s="16">
        <f>MAX(1, NETWORKDAYS(A635, G635,Table2[Dias no laborales]))</f>
        <v>17</v>
      </c>
      <c r="J635" s="6" t="str">
        <f>IF(Table1[[#This Row],[FIN]]="","Acumulado",IF(ISNUMBER(SEARCH("ASAP",C635)),"ASAP",IF(NETWORKDAYS.INTL(F635,G635,1,Table2[Dias no laborales]) &lt;= 7, "Dentro", IF(A635&gt;F635,"Programado","Fuera"))))</f>
        <v>Programado</v>
      </c>
      <c r="K635" s="6" t="str">
        <f t="shared" si="19"/>
        <v>Programados</v>
      </c>
      <c r="L635" s="9">
        <v>45813</v>
      </c>
      <c r="M635" s="17">
        <f>MAX(1,NETWORKDAYS(A635,L635,Table2[Dias no laborales]))</f>
        <v>1</v>
      </c>
    </row>
    <row r="636" spans="1:13" hidden="1" x14ac:dyDescent="0.3">
      <c r="A636" s="8">
        <v>45813</v>
      </c>
      <c r="B636" s="6" t="s">
        <v>1346</v>
      </c>
      <c r="C636" s="6" t="s">
        <v>1347</v>
      </c>
      <c r="D636" s="6" t="s">
        <v>27</v>
      </c>
      <c r="E636" s="14">
        <v>45812.604166666664</v>
      </c>
      <c r="F636" s="8">
        <f>IF(HOUR(Table1[[#This Row],[CORREO]])&gt;=11,WORKDAY(Table1[[#This Row],[CORREO]],1,Table2[Dias no laborales]),E636)</f>
        <v>45813</v>
      </c>
      <c r="G636" s="8">
        <v>45817</v>
      </c>
      <c r="H636" s="6">
        <f t="shared" si="18"/>
        <v>23</v>
      </c>
      <c r="I636" s="16">
        <f>MAX(1, NETWORKDAYS(A636, G636,Table2[Dias no laborales]))</f>
        <v>3</v>
      </c>
      <c r="J636" s="6" t="str">
        <f>IF(Table1[[#This Row],[FIN]]="","Acumulado",IF(ISNUMBER(SEARCH("ASAP",C636)),"ASAP",IF(NETWORKDAYS.INTL(F636,G636,1,Table2[Dias no laborales]) &lt;= 7, "Dentro", IF(A636&gt;F636,"Programado","Fuera"))))</f>
        <v>Dentro</v>
      </c>
      <c r="K636" s="6" t="str">
        <f t="shared" si="19"/>
        <v>A tiempo</v>
      </c>
      <c r="L636" s="9">
        <v>45814</v>
      </c>
      <c r="M636" s="17">
        <f>MAX(1,NETWORKDAYS(A636,L636,Table2[Dias no laborales]))</f>
        <v>2</v>
      </c>
    </row>
    <row r="637" spans="1:13" hidden="1" x14ac:dyDescent="0.3">
      <c r="A637" s="8">
        <v>45813</v>
      </c>
      <c r="B637" s="6" t="s">
        <v>1261</v>
      </c>
      <c r="C637" s="6" t="s">
        <v>1262</v>
      </c>
      <c r="D637" s="6" t="s">
        <v>191</v>
      </c>
      <c r="E637" s="14">
        <v>45813.072916666664</v>
      </c>
      <c r="F637" s="8">
        <f>IF(HOUR(Table1[[#This Row],[CORREO]])&gt;=11,WORKDAY(Table1[[#This Row],[CORREO]],1,Table2[Dias no laborales]),E637)</f>
        <v>45813.072916666664</v>
      </c>
      <c r="G637" s="8">
        <v>45831</v>
      </c>
      <c r="H637" s="6">
        <f t="shared" si="18"/>
        <v>23</v>
      </c>
      <c r="I637" s="16">
        <f>MAX(1, NETWORKDAYS(A637, G637,Table2[Dias no laborales]))</f>
        <v>13</v>
      </c>
      <c r="J637" s="6" t="str">
        <f>IF(Table1[[#This Row],[FIN]]="","Acumulado",IF(ISNUMBER(SEARCH("ASAP",C637)),"ASAP",IF(NETWORKDAYS.INTL(F637,G637,1,Table2[Dias no laborales]) &lt;= 7, "Dentro", IF(A637&gt;F637,"Programado","Fuera"))))</f>
        <v>Fuera</v>
      </c>
      <c r="K637" s="6" t="str">
        <f t="shared" si="19"/>
        <v>A tiempo</v>
      </c>
      <c r="L637" s="9">
        <v>45831</v>
      </c>
      <c r="M637" s="17">
        <f>MAX(1,NETWORKDAYS(A637,L637,Table2[Dias no laborales]))</f>
        <v>13</v>
      </c>
    </row>
    <row r="638" spans="1:13" hidden="1" x14ac:dyDescent="0.3">
      <c r="A638" s="8">
        <v>45813</v>
      </c>
      <c r="B638" s="6" t="s">
        <v>1269</v>
      </c>
      <c r="C638" s="6" t="s">
        <v>1270</v>
      </c>
      <c r="D638" s="6" t="s">
        <v>27</v>
      </c>
      <c r="E638" s="14"/>
      <c r="F638" s="8">
        <f>IF(HOUR(Table1[[#This Row],[CORREO]])&gt;=11,WORKDAY(Table1[[#This Row],[CORREO]],1,Table2[Dias no laborales]),E638)</f>
        <v>0</v>
      </c>
      <c r="G638" s="8">
        <v>45826</v>
      </c>
      <c r="H638" s="6">
        <f t="shared" si="18"/>
        <v>23</v>
      </c>
      <c r="I638" s="16">
        <f>MAX(1, NETWORKDAYS(A638, G638,Table2[Dias no laborales]))</f>
        <v>10</v>
      </c>
      <c r="J638" s="6" t="str">
        <f>IF(Table1[[#This Row],[FIN]]="","Acumulado",IF(ISNUMBER(SEARCH("ASAP",C638)),"ASAP",IF(NETWORKDAYS.INTL(F638,G638,1,Table2[Dias no laborales]) &lt;= 7, "Dentro", IF(A638&gt;F638,"Programado","Fuera"))))</f>
        <v>Programado</v>
      </c>
      <c r="K638" s="6" t="str">
        <f t="shared" si="19"/>
        <v>Programados</v>
      </c>
      <c r="L638" s="9">
        <v>45813</v>
      </c>
      <c r="M638" s="17">
        <f>MAX(1,NETWORKDAYS(A638,L638,Table2[Dias no laborales]))</f>
        <v>1</v>
      </c>
    </row>
    <row r="639" spans="1:13" hidden="1" x14ac:dyDescent="0.3">
      <c r="A639" s="8">
        <v>45813</v>
      </c>
      <c r="B639" s="6" t="s">
        <v>1271</v>
      </c>
      <c r="C639" s="6" t="s">
        <v>1272</v>
      </c>
      <c r="D639" s="6" t="s">
        <v>27</v>
      </c>
      <c r="E639" s="14"/>
      <c r="F639" s="8">
        <f>IF(HOUR(Table1[[#This Row],[CORREO]])&gt;=11,WORKDAY(Table1[[#This Row],[CORREO]],1,Table2[Dias no laborales]),E639)</f>
        <v>0</v>
      </c>
      <c r="G639" s="8">
        <v>45826</v>
      </c>
      <c r="H639" s="6">
        <f t="shared" si="18"/>
        <v>23</v>
      </c>
      <c r="I639" s="16">
        <f>MAX(1, NETWORKDAYS(A639, G639,Table2[Dias no laborales]))</f>
        <v>10</v>
      </c>
      <c r="J639" s="6" t="str">
        <f>IF(Table1[[#This Row],[FIN]]="","Acumulado",IF(ISNUMBER(SEARCH("ASAP",C639)),"ASAP",IF(NETWORKDAYS.INTL(F639,G639,1,Table2[Dias no laborales]) &lt;= 7, "Dentro", IF(A639&gt;F639,"Programado","Fuera"))))</f>
        <v>Programado</v>
      </c>
      <c r="K639" s="6" t="str">
        <f t="shared" si="19"/>
        <v>Programados</v>
      </c>
      <c r="L639" s="9">
        <v>45813</v>
      </c>
      <c r="M639" s="17">
        <f>MAX(1,NETWORKDAYS(A639,L639,Table2[Dias no laborales]))</f>
        <v>1</v>
      </c>
    </row>
    <row r="640" spans="1:13" hidden="1" x14ac:dyDescent="0.3">
      <c r="A640" s="8">
        <v>45813</v>
      </c>
      <c r="B640" s="6" t="s">
        <v>1273</v>
      </c>
      <c r="C640" s="6" t="s">
        <v>1274</v>
      </c>
      <c r="D640" s="6" t="s">
        <v>27</v>
      </c>
      <c r="E640" s="14"/>
      <c r="F640" s="8">
        <f>IF(HOUR(Table1[[#This Row],[CORREO]])&gt;=11,WORKDAY(Table1[[#This Row],[CORREO]],1,Table2[Dias no laborales]),E640)</f>
        <v>0</v>
      </c>
      <c r="G640" s="8">
        <v>45826</v>
      </c>
      <c r="H640" s="6">
        <f t="shared" si="18"/>
        <v>23</v>
      </c>
      <c r="I640" s="16">
        <f>MAX(1, NETWORKDAYS(A640, G640,Table2[Dias no laborales]))</f>
        <v>10</v>
      </c>
      <c r="J640" s="6" t="str">
        <f>IF(Table1[[#This Row],[FIN]]="","Acumulado",IF(ISNUMBER(SEARCH("ASAP",C640)),"ASAP",IF(NETWORKDAYS.INTL(F640,G640,1,Table2[Dias no laborales]) &lt;= 7, "Dentro", IF(A640&gt;F640,"Programado","Fuera"))))</f>
        <v>Programado</v>
      </c>
      <c r="K640" s="6" t="str">
        <f t="shared" si="19"/>
        <v>Programados</v>
      </c>
      <c r="L640" s="9">
        <v>45813</v>
      </c>
      <c r="M640" s="17">
        <f>MAX(1,NETWORKDAYS(A640,L640,Table2[Dias no laborales]))</f>
        <v>1</v>
      </c>
    </row>
    <row r="641" spans="1:13" hidden="1" x14ac:dyDescent="0.3">
      <c r="A641" s="8">
        <v>45813</v>
      </c>
      <c r="B641" s="6" t="s">
        <v>1279</v>
      </c>
      <c r="C641" s="6" t="s">
        <v>1280</v>
      </c>
      <c r="D641" s="6" t="s">
        <v>27</v>
      </c>
      <c r="E641" s="14"/>
      <c r="F641" s="8">
        <f>IF(HOUR(Table1[[#This Row],[CORREO]])&gt;=11,WORKDAY(Table1[[#This Row],[CORREO]],1,Table2[Dias no laborales]),E641)</f>
        <v>0</v>
      </c>
      <c r="G641" s="8">
        <v>45826</v>
      </c>
      <c r="H641" s="6">
        <f t="shared" si="18"/>
        <v>23</v>
      </c>
      <c r="I641" s="16">
        <f>MAX(1, NETWORKDAYS(A641, G641,Table2[Dias no laborales]))</f>
        <v>10</v>
      </c>
      <c r="J641" s="6" t="str">
        <f>IF(Table1[[#This Row],[FIN]]="","Acumulado",IF(ISNUMBER(SEARCH("ASAP",C641)),"ASAP",IF(NETWORKDAYS.INTL(F641,G641,1,Table2[Dias no laborales]) &lt;= 7, "Dentro", IF(A641&gt;F641,"Programado","Fuera"))))</f>
        <v>Programado</v>
      </c>
      <c r="K641" s="6" t="str">
        <f t="shared" si="19"/>
        <v>Programados</v>
      </c>
      <c r="L641" s="9">
        <v>45813</v>
      </c>
      <c r="M641" s="17">
        <f>MAX(1,NETWORKDAYS(A641,L641,Table2[Dias no laborales]))</f>
        <v>1</v>
      </c>
    </row>
    <row r="642" spans="1:13" hidden="1" x14ac:dyDescent="0.3">
      <c r="A642" s="8">
        <v>45813</v>
      </c>
      <c r="B642" s="6" t="s">
        <v>1275</v>
      </c>
      <c r="C642" s="6" t="s">
        <v>1276</v>
      </c>
      <c r="D642" s="6" t="s">
        <v>27</v>
      </c>
      <c r="E642" s="14"/>
      <c r="F642" s="8">
        <f>IF(HOUR(Table1[[#This Row],[CORREO]])&gt;=11,WORKDAY(Table1[[#This Row],[CORREO]],1,Table2[Dias no laborales]),E642)</f>
        <v>0</v>
      </c>
      <c r="G642" s="8">
        <v>45826</v>
      </c>
      <c r="H642" s="6">
        <f t="shared" ref="H642:H705" si="20">INT((A642-DATE(YEAR(A642),1,1))/7) + 1</f>
        <v>23</v>
      </c>
      <c r="I642" s="16">
        <f>MAX(1, NETWORKDAYS(A642, G642,Table2[Dias no laborales]))</f>
        <v>10</v>
      </c>
      <c r="J642" s="6" t="str">
        <f>IF(Table1[[#This Row],[FIN]]="","Acumulado",IF(ISNUMBER(SEARCH("ASAP",C642)),"ASAP",IF(NETWORKDAYS.INTL(F642,G642,1,Table2[Dias no laborales]) &lt;= 7, "Dentro", IF(A642&gt;F642,"Programado","Fuera"))))</f>
        <v>Programado</v>
      </c>
      <c r="K642" s="6" t="str">
        <f t="shared" ref="K642:K705" si="21">IF(INT(A642)=INT(F642),"A tiempo", IF(A642&lt;F642,"Mismo día","Programados"))</f>
        <v>Programados</v>
      </c>
      <c r="L642" s="9">
        <v>45813</v>
      </c>
      <c r="M642" s="17">
        <f>MAX(1,NETWORKDAYS(A642,L642,Table2[Dias no laborales]))</f>
        <v>1</v>
      </c>
    </row>
    <row r="643" spans="1:13" hidden="1" x14ac:dyDescent="0.3">
      <c r="A643" s="8">
        <v>45813</v>
      </c>
      <c r="B643" s="6" t="s">
        <v>1277</v>
      </c>
      <c r="C643" s="6" t="s">
        <v>1278</v>
      </c>
      <c r="D643" s="6" t="s">
        <v>27</v>
      </c>
      <c r="E643" s="14"/>
      <c r="F643" s="8">
        <f>IF(HOUR(Table1[[#This Row],[CORREO]])&gt;=11,WORKDAY(Table1[[#This Row],[CORREO]],1,Table2[Dias no laborales]),E643)</f>
        <v>0</v>
      </c>
      <c r="G643" s="8">
        <v>45826</v>
      </c>
      <c r="H643" s="6">
        <f t="shared" si="20"/>
        <v>23</v>
      </c>
      <c r="I643" s="16">
        <f>MAX(1, NETWORKDAYS(A643, G643,Table2[Dias no laborales]))</f>
        <v>10</v>
      </c>
      <c r="J643" s="6" t="str">
        <f>IF(Table1[[#This Row],[FIN]]="","Acumulado",IF(ISNUMBER(SEARCH("ASAP",C643)),"ASAP",IF(NETWORKDAYS.INTL(F643,G643,1,Table2[Dias no laborales]) &lt;= 7, "Dentro", IF(A643&gt;F643,"Programado","Fuera"))))</f>
        <v>Programado</v>
      </c>
      <c r="K643" s="6" t="str">
        <f t="shared" si="21"/>
        <v>Programados</v>
      </c>
      <c r="L643" s="9">
        <v>45813</v>
      </c>
      <c r="M643" s="17">
        <f>MAX(1,NETWORKDAYS(A643,L643,Table2[Dias no laborales]))</f>
        <v>1</v>
      </c>
    </row>
    <row r="644" spans="1:13" hidden="1" x14ac:dyDescent="0.3">
      <c r="A644" s="8">
        <v>45813</v>
      </c>
      <c r="B644" s="6" t="s">
        <v>1370</v>
      </c>
      <c r="C644" s="6" t="s">
        <v>1371</v>
      </c>
      <c r="D644" s="6" t="s">
        <v>571</v>
      </c>
      <c r="E644" s="14">
        <v>45813.428472222222</v>
      </c>
      <c r="F644" s="8">
        <f>IF(HOUR(Table1[[#This Row],[CORREO]])&gt;=11,WORKDAY(Table1[[#This Row],[CORREO]],1,Table2[Dias no laborales]),E644)</f>
        <v>45813.428472222222</v>
      </c>
      <c r="G644" s="8">
        <v>45814</v>
      </c>
      <c r="H644" s="6">
        <f t="shared" si="20"/>
        <v>23</v>
      </c>
      <c r="I644" s="16">
        <f>MAX(1, NETWORKDAYS(A644, G644,Table2[Dias no laborales]))</f>
        <v>2</v>
      </c>
      <c r="J644" s="6" t="str">
        <f>IF(Table1[[#This Row],[FIN]]="","Acumulado",IF(ISNUMBER(SEARCH("ASAP",C644)),"ASAP",IF(NETWORKDAYS.INTL(F644,G644,1,Table2[Dias no laborales]) &lt;= 7, "Dentro", IF(A644&gt;F644,"Programado","Fuera"))))</f>
        <v>Dentro</v>
      </c>
      <c r="K644" s="6" t="str">
        <f t="shared" si="21"/>
        <v>A tiempo</v>
      </c>
      <c r="L644" s="9">
        <v>45813</v>
      </c>
      <c r="M644" s="17">
        <f>MAX(1,NETWORKDAYS(A644,L644,Table2[Dias no laborales]))</f>
        <v>1</v>
      </c>
    </row>
    <row r="645" spans="1:13" hidden="1" x14ac:dyDescent="0.3">
      <c r="A645" s="8">
        <v>45814</v>
      </c>
      <c r="B645" s="6" t="s">
        <v>1233</v>
      </c>
      <c r="C645" s="6" t="s">
        <v>1234</v>
      </c>
      <c r="D645" s="6" t="s">
        <v>449</v>
      </c>
      <c r="E645" s="14">
        <v>45813.677083333336</v>
      </c>
      <c r="F645" s="8">
        <f>IF(HOUR(Table1[[#This Row],[CORREO]])&gt;=11,WORKDAY(Table1[[#This Row],[CORREO]],1,Table2[Dias no laborales]),E645)</f>
        <v>45814</v>
      </c>
      <c r="G645" s="8">
        <v>45826</v>
      </c>
      <c r="H645" s="6">
        <f t="shared" si="20"/>
        <v>23</v>
      </c>
      <c r="I645" s="16">
        <f>MAX(1, NETWORKDAYS(A645, G645,Table2[Dias no laborales]))</f>
        <v>9</v>
      </c>
      <c r="J645" s="6" t="str">
        <f>IF(Table1[[#This Row],[FIN]]="","Acumulado",IF(ISNUMBER(SEARCH("ASAP",C645)),"ASAP",IF(NETWORKDAYS.INTL(F645,G645,1,Table2[Dias no laborales]) &lt;= 7, "Dentro", IF(A645&gt;F645,"Programado","Fuera"))))</f>
        <v>Fuera</v>
      </c>
      <c r="K645" s="6" t="str">
        <f t="shared" si="21"/>
        <v>A tiempo</v>
      </c>
      <c r="L645" s="9">
        <v>45817</v>
      </c>
      <c r="M645" s="17">
        <f>MAX(1,NETWORKDAYS(A645,L645,Table2[Dias no laborales]))</f>
        <v>2</v>
      </c>
    </row>
    <row r="646" spans="1:13" hidden="1" x14ac:dyDescent="0.3">
      <c r="A646" s="8">
        <v>45814</v>
      </c>
      <c r="B646" s="6" t="s">
        <v>1394</v>
      </c>
      <c r="C646" s="6" t="s">
        <v>1395</v>
      </c>
      <c r="D646" s="6" t="s">
        <v>139</v>
      </c>
      <c r="E646" s="14">
        <v>45814.383333333331</v>
      </c>
      <c r="F646" s="8">
        <f>IF(HOUR(Table1[[#This Row],[CORREO]])&gt;=11,WORKDAY(Table1[[#This Row],[CORREO]],1,Table2[Dias no laborales]),E646)</f>
        <v>45814.383333333331</v>
      </c>
      <c r="G646" s="8">
        <v>45814</v>
      </c>
      <c r="H646" s="6">
        <f t="shared" si="20"/>
        <v>23</v>
      </c>
      <c r="I646" s="16">
        <f>MAX(1, NETWORKDAYS(A646, G646,Table2[Dias no laborales]))</f>
        <v>1</v>
      </c>
      <c r="J646" s="6" t="str">
        <f>IF(Table1[[#This Row],[FIN]]="","Acumulado",IF(ISNUMBER(SEARCH("ASAP",C646)),"ASAP",IF(NETWORKDAYS.INTL(F646,G646,1,Table2[Dias no laborales]) &lt;= 7, "Dentro", IF(A646&gt;F646,"Programado","Fuera"))))</f>
        <v>Dentro</v>
      </c>
      <c r="K646" s="6" t="str">
        <f t="shared" si="21"/>
        <v>A tiempo</v>
      </c>
      <c r="L646" s="9">
        <v>45814</v>
      </c>
      <c r="M646" s="17">
        <f>MAX(1,NETWORKDAYS(A646,L646,Table2[Dias no laborales]))</f>
        <v>1</v>
      </c>
    </row>
    <row r="647" spans="1:13" hidden="1" x14ac:dyDescent="0.3">
      <c r="A647" s="8">
        <v>45814</v>
      </c>
      <c r="B647" s="6" t="s">
        <v>1396</v>
      </c>
      <c r="C647" s="6" t="s">
        <v>1397</v>
      </c>
      <c r="D647" s="6" t="s">
        <v>61</v>
      </c>
      <c r="E647" s="14">
        <v>45814.493750000001</v>
      </c>
      <c r="F647" s="8">
        <f>IF(HOUR(Table1[[#This Row],[CORREO]])&gt;=11,WORKDAY(Table1[[#This Row],[CORREO]],1,Table2[Dias no laborales]),E647)</f>
        <v>45817</v>
      </c>
      <c r="G647" s="8">
        <v>45814</v>
      </c>
      <c r="H647" s="6">
        <f t="shared" si="20"/>
        <v>23</v>
      </c>
      <c r="I647" s="16">
        <f>MAX(1, NETWORKDAYS(A647, G647,Table2[Dias no laborales]))</f>
        <v>1</v>
      </c>
      <c r="J647" s="6" t="str">
        <f>IF(Table1[[#This Row],[FIN]]="","Acumulado",IF(ISNUMBER(SEARCH("ASAP",C647)),"ASAP",IF(NETWORKDAYS.INTL(F647,G647,1,Table2[Dias no laborales]) &lt;= 7, "Dentro", IF(A647&gt;F647,"Programado","Fuera"))))</f>
        <v>Dentro</v>
      </c>
      <c r="K647" s="6" t="str">
        <f t="shared" si="21"/>
        <v>Mismo día</v>
      </c>
      <c r="L647" s="9">
        <v>45814</v>
      </c>
      <c r="M647" s="17">
        <f>MAX(1,NETWORKDAYS(A647,L647,Table2[Dias no laborales]))</f>
        <v>1</v>
      </c>
    </row>
    <row r="648" spans="1:13" hidden="1" x14ac:dyDescent="0.3">
      <c r="A648" s="8">
        <v>45814</v>
      </c>
      <c r="B648" s="6" t="s">
        <v>1289</v>
      </c>
      <c r="C648" s="6" t="s">
        <v>1290</v>
      </c>
      <c r="D648" s="6" t="s">
        <v>1291</v>
      </c>
      <c r="E648" s="14"/>
      <c r="F648" s="8">
        <f>IF(HOUR(Table1[[#This Row],[CORREO]])&gt;=11,WORKDAY(Table1[[#This Row],[CORREO]],1,Table2[Dias no laborales]),E648)</f>
        <v>0</v>
      </c>
      <c r="G648" s="8">
        <v>45826</v>
      </c>
      <c r="H648" s="6">
        <f t="shared" si="20"/>
        <v>23</v>
      </c>
      <c r="I648" s="16">
        <f>MAX(1, NETWORKDAYS(A648, G648,Table2[Dias no laborales]))</f>
        <v>9</v>
      </c>
      <c r="J648" s="6" t="str">
        <f>IF(Table1[[#This Row],[FIN]]="","Acumulado",IF(ISNUMBER(SEARCH("ASAP",C648)),"ASAP",IF(NETWORKDAYS.INTL(F648,G648,1,Table2[Dias no laborales]) &lt;= 7, "Dentro", IF(A648&gt;F648,"Programado","Fuera"))))</f>
        <v>Programado</v>
      </c>
      <c r="K648" s="6" t="str">
        <f t="shared" si="21"/>
        <v>Programados</v>
      </c>
      <c r="L648" s="9">
        <v>45814</v>
      </c>
      <c r="M648" s="17">
        <f>MAX(1,NETWORKDAYS(A648,L648,Table2[Dias no laborales]))</f>
        <v>1</v>
      </c>
    </row>
    <row r="649" spans="1:13" hidden="1" x14ac:dyDescent="0.3">
      <c r="A649" s="8">
        <v>45817</v>
      </c>
      <c r="B649" s="6" t="s">
        <v>1297</v>
      </c>
      <c r="C649" s="6" t="s">
        <v>1298</v>
      </c>
      <c r="D649" s="6" t="s">
        <v>372</v>
      </c>
      <c r="E649" s="14"/>
      <c r="F649" s="8">
        <f>IF(HOUR(Table1[[#This Row],[CORREO]])&gt;=11,WORKDAY(Table1[[#This Row],[CORREO]],1,Table2[Dias no laborales]),E649)</f>
        <v>0</v>
      </c>
      <c r="G649" s="8">
        <v>45826</v>
      </c>
      <c r="H649" s="6">
        <f t="shared" si="20"/>
        <v>23</v>
      </c>
      <c r="I649" s="16">
        <f>MAX(1, NETWORKDAYS(A649, G649,Table2[Dias no laborales]))</f>
        <v>8</v>
      </c>
      <c r="J649" s="6" t="str">
        <f>IF(Table1[[#This Row],[FIN]]="","Acumulado",IF(ISNUMBER(SEARCH("ASAP",C649)),"ASAP",IF(NETWORKDAYS.INTL(F649,G649,1,Table2[Dias no laborales]) &lt;= 7, "Dentro", IF(A649&gt;F649,"Programado","Fuera"))))</f>
        <v>ASAP</v>
      </c>
      <c r="K649" s="6" t="str">
        <f t="shared" si="21"/>
        <v>Programados</v>
      </c>
      <c r="L649" s="9">
        <v>45817</v>
      </c>
      <c r="M649" s="17">
        <f>MAX(1,NETWORKDAYS(A649,L649,Table2[Dias no laborales]))</f>
        <v>1</v>
      </c>
    </row>
    <row r="650" spans="1:13" hidden="1" x14ac:dyDescent="0.3">
      <c r="A650" s="8">
        <v>45817</v>
      </c>
      <c r="B650" s="6" t="s">
        <v>1237</v>
      </c>
      <c r="C650" s="6" t="s">
        <v>1238</v>
      </c>
      <c r="D650" s="6" t="s">
        <v>24</v>
      </c>
      <c r="E650" s="14">
        <v>45814.62777777778</v>
      </c>
      <c r="F650" s="8">
        <f>IF(HOUR(Table1[[#This Row],[CORREO]])&gt;=11,WORKDAY(Table1[[#This Row],[CORREO]],1,Table2[Dias no laborales]),E650)</f>
        <v>45817</v>
      </c>
      <c r="G650" s="8">
        <v>45820</v>
      </c>
      <c r="H650" s="6">
        <f t="shared" si="20"/>
        <v>23</v>
      </c>
      <c r="I650" s="16">
        <f>MAX(1, NETWORKDAYS(A650, G650,Table2[Dias no laborales]))</f>
        <v>4</v>
      </c>
      <c r="J650" s="6" t="str">
        <f>IF(Table1[[#This Row],[FIN]]="","Acumulado",IF(ISNUMBER(SEARCH("ASAP",C650)),"ASAP",IF(NETWORKDAYS.INTL(F650,G650,1,Table2[Dias no laborales]) &lt;= 7, "Dentro", IF(A650&gt;F650,"Programado","Fuera"))))</f>
        <v>Dentro</v>
      </c>
      <c r="K650" s="6" t="str">
        <f t="shared" si="21"/>
        <v>A tiempo</v>
      </c>
      <c r="L650" s="9">
        <v>45817</v>
      </c>
      <c r="M650" s="17">
        <f>MAX(1,NETWORKDAYS(A650,L650,Table2[Dias no laborales]))</f>
        <v>1</v>
      </c>
    </row>
    <row r="651" spans="1:13" hidden="1" x14ac:dyDescent="0.3">
      <c r="A651" s="8">
        <v>45817</v>
      </c>
      <c r="B651" s="6" t="s">
        <v>1348</v>
      </c>
      <c r="C651" s="6" t="s">
        <v>1349</v>
      </c>
      <c r="D651" s="6" t="s">
        <v>27</v>
      </c>
      <c r="E651" s="14">
        <v>45817.401388888888</v>
      </c>
      <c r="F651" s="8">
        <f>IF(HOUR(Table1[[#This Row],[CORREO]])&gt;=11,WORKDAY(Table1[[#This Row],[CORREO]],1,Table2[Dias no laborales]),E651)</f>
        <v>45817.401388888888</v>
      </c>
      <c r="G651" s="8">
        <v>45819</v>
      </c>
      <c r="H651" s="6">
        <f t="shared" si="20"/>
        <v>23</v>
      </c>
      <c r="I651" s="16">
        <f>MAX(1, NETWORKDAYS(A651, G651,Table2[Dias no laborales]))</f>
        <v>3</v>
      </c>
      <c r="J651" s="6" t="str">
        <f>IF(Table1[[#This Row],[FIN]]="","Acumulado",IF(ISNUMBER(SEARCH("ASAP",C651)),"ASAP",IF(NETWORKDAYS.INTL(F651,G651,1,Table2[Dias no laborales]) &lt;= 7, "Dentro", IF(A651&gt;F651,"Programado","Fuera"))))</f>
        <v>Dentro</v>
      </c>
      <c r="K651" s="6" t="str">
        <f t="shared" si="21"/>
        <v>A tiempo</v>
      </c>
      <c r="L651" s="9">
        <v>45819</v>
      </c>
      <c r="M651" s="17">
        <f>MAX(1,NETWORKDAYS(A651,L651,Table2[Dias no laborales]))</f>
        <v>3</v>
      </c>
    </row>
    <row r="652" spans="1:13" hidden="1" x14ac:dyDescent="0.3">
      <c r="A652" s="8">
        <v>45828</v>
      </c>
      <c r="B652" s="6" t="s">
        <v>1577</v>
      </c>
      <c r="C652" s="6" t="s">
        <v>751</v>
      </c>
      <c r="D652" s="6" t="s">
        <v>75</v>
      </c>
      <c r="E652" s="14">
        <v>45817.402083333334</v>
      </c>
      <c r="F652" s="8">
        <f>IF(HOUR(Table1[[#This Row],[CORREO]])&gt;=11,WORKDAY(Table1[[#This Row],[CORREO]],1,Table2[Dias no laborales]),E652)</f>
        <v>45817.402083333334</v>
      </c>
      <c r="G652" s="8">
        <v>45860</v>
      </c>
      <c r="H652" s="6">
        <f t="shared" si="20"/>
        <v>25</v>
      </c>
      <c r="I652" s="16">
        <f>MAX(1, NETWORKDAYS(A652, G652,Table2[Dias no laborales]))</f>
        <v>23</v>
      </c>
      <c r="J652" s="6" t="str">
        <f>IF(Table1[[#This Row],[FIN]]="","Acumulado",IF(ISNUMBER(SEARCH("ASAP",C652)),"ASAP",IF(NETWORKDAYS.INTL(F652,G652,1,Table2[Dias no laborales]) &lt;= 7, "Dentro", IF(A652&gt;F652,"Programado","Fuera"))))</f>
        <v>Programado</v>
      </c>
      <c r="K652" s="6" t="str">
        <f t="shared" si="21"/>
        <v>Programados</v>
      </c>
      <c r="L652" s="9">
        <v>45817</v>
      </c>
      <c r="M652" s="17">
        <f>MAX(1,NETWORKDAYS(A652,L652,Table2[Dias no laborales]))</f>
        <v>1</v>
      </c>
    </row>
    <row r="653" spans="1:13" hidden="1" x14ac:dyDescent="0.3">
      <c r="A653" s="8">
        <v>45817</v>
      </c>
      <c r="B653" s="6" t="s">
        <v>1372</v>
      </c>
      <c r="C653" s="6" t="s">
        <v>1373</v>
      </c>
      <c r="D653" s="6" t="s">
        <v>623</v>
      </c>
      <c r="E653" s="14">
        <v>45817.415277777778</v>
      </c>
      <c r="F653" s="8">
        <f>IF(HOUR(Table1[[#This Row],[CORREO]])&gt;=11,WORKDAY(Table1[[#This Row],[CORREO]],1,Table2[Dias no laborales]),E653)</f>
        <v>45817.415277777778</v>
      </c>
      <c r="G653" s="8">
        <v>45818</v>
      </c>
      <c r="H653" s="6">
        <f t="shared" si="20"/>
        <v>23</v>
      </c>
      <c r="I653" s="16">
        <f>MAX(1, NETWORKDAYS(A653, G653,Table2[Dias no laborales]))</f>
        <v>2</v>
      </c>
      <c r="J653" s="6" t="str">
        <f>IF(Table1[[#This Row],[FIN]]="","Acumulado",IF(ISNUMBER(SEARCH("ASAP",C653)),"ASAP",IF(NETWORKDAYS.INTL(F653,G653,1,Table2[Dias no laborales]) &lt;= 7, "Dentro", IF(A653&gt;F653,"Programado","Fuera"))))</f>
        <v>Dentro</v>
      </c>
      <c r="K653" s="6" t="str">
        <f t="shared" si="21"/>
        <v>A tiempo</v>
      </c>
      <c r="L653" s="9">
        <v>45817</v>
      </c>
      <c r="M653" s="17">
        <f>MAX(1,NETWORKDAYS(A653,L653,Table2[Dias no laborales]))</f>
        <v>1</v>
      </c>
    </row>
    <row r="654" spans="1:13" hidden="1" x14ac:dyDescent="0.3">
      <c r="A654" s="8">
        <v>45817</v>
      </c>
      <c r="B654" s="6" t="s">
        <v>1330</v>
      </c>
      <c r="C654" s="6" t="s">
        <v>1109</v>
      </c>
      <c r="D654" s="6" t="s">
        <v>89</v>
      </c>
      <c r="E654" s="14">
        <v>45817.468055555553</v>
      </c>
      <c r="F654" s="8">
        <f>IF(HOUR(Table1[[#This Row],[CORREO]])&gt;=11,WORKDAY(Table1[[#This Row],[CORREO]],1,Table2[Dias no laborales]),E654)</f>
        <v>45818</v>
      </c>
      <c r="G654" s="8">
        <v>45820</v>
      </c>
      <c r="H654" s="6">
        <f t="shared" si="20"/>
        <v>23</v>
      </c>
      <c r="I654" s="16">
        <f>MAX(1, NETWORKDAYS(A654, G654,Table2[Dias no laborales]))</f>
        <v>4</v>
      </c>
      <c r="J654" s="6" t="str">
        <f>IF(Table1[[#This Row],[FIN]]="","Acumulado",IF(ISNUMBER(SEARCH("ASAP",C654)),"ASAP",IF(NETWORKDAYS.INTL(F654,G654,1,Table2[Dias no laborales]) &lt;= 7, "Dentro", IF(A654&gt;F654,"Programado","Fuera"))))</f>
        <v>Dentro</v>
      </c>
      <c r="K654" s="6" t="str">
        <f t="shared" si="21"/>
        <v>Mismo día</v>
      </c>
      <c r="L654" s="9">
        <v>45818</v>
      </c>
      <c r="M654" s="17">
        <f>MAX(1,NETWORKDAYS(A654,L654,Table2[Dias no laborales]))</f>
        <v>2</v>
      </c>
    </row>
    <row r="655" spans="1:13" hidden="1" x14ac:dyDescent="0.3">
      <c r="A655" s="8">
        <v>45817</v>
      </c>
      <c r="B655" s="6" t="s">
        <v>1322</v>
      </c>
      <c r="C655" s="6" t="s">
        <v>1323</v>
      </c>
      <c r="D655" s="6" t="s">
        <v>24</v>
      </c>
      <c r="E655" s="14"/>
      <c r="F655" s="8">
        <f>IF(HOUR(Table1[[#This Row],[CORREO]])&gt;=11,WORKDAY(Table1[[#This Row],[CORREO]],1,Table2[Dias no laborales]),E655)</f>
        <v>0</v>
      </c>
      <c r="G655" s="8">
        <v>45821</v>
      </c>
      <c r="H655" s="6">
        <f t="shared" si="20"/>
        <v>23</v>
      </c>
      <c r="I655" s="16">
        <f>MAX(1, NETWORKDAYS(A655, G655,Table2[Dias no laborales]))</f>
        <v>5</v>
      </c>
      <c r="J655" s="6" t="str">
        <f>IF(Table1[[#This Row],[FIN]]="","Acumulado",IF(ISNUMBER(SEARCH("ASAP",C655)),"ASAP",IF(NETWORKDAYS.INTL(F655,G655,1,Table2[Dias no laborales]) &lt;= 7, "Dentro", IF(A655&gt;F655,"Programado","Fuera"))))</f>
        <v>Programado</v>
      </c>
      <c r="K655" s="6" t="str">
        <f t="shared" si="21"/>
        <v>Programados</v>
      </c>
      <c r="L655" s="9">
        <v>45817</v>
      </c>
      <c r="M655" s="17">
        <f>MAX(1,NETWORKDAYS(A655,L655,Table2[Dias no laborales]))</f>
        <v>1</v>
      </c>
    </row>
    <row r="656" spans="1:13" hidden="1" x14ac:dyDescent="0.3">
      <c r="A656" s="8">
        <v>45818</v>
      </c>
      <c r="B656" s="6" t="s">
        <v>1459</v>
      </c>
      <c r="C656" s="6" t="s">
        <v>1460</v>
      </c>
      <c r="D656" s="6" t="s">
        <v>119</v>
      </c>
      <c r="E656" s="14"/>
      <c r="F656" s="8">
        <f>IF(HOUR(Table1[[#This Row],[CORREO]])&gt;=11,WORKDAY(Table1[[#This Row],[CORREO]],1,Table2[Dias no laborales]),E656)</f>
        <v>0</v>
      </c>
      <c r="G656" s="8">
        <v>45846</v>
      </c>
      <c r="H656" s="6">
        <f t="shared" si="20"/>
        <v>23</v>
      </c>
      <c r="I656" s="16">
        <f>MAX(1, NETWORKDAYS(A656, G656,Table2[Dias no laborales]))</f>
        <v>21</v>
      </c>
      <c r="J656" s="6" t="str">
        <f>IF(Table1[[#This Row],[FIN]]="","Acumulado",IF(ISNUMBER(SEARCH("ASAP",C656)),"ASAP",IF(NETWORKDAYS.INTL(F656,G656,1,Table2[Dias no laborales]) &lt;= 7, "Dentro", IF(A656&gt;F656,"Programado","Fuera"))))</f>
        <v>Programado</v>
      </c>
      <c r="K656" s="6" t="str">
        <f t="shared" si="21"/>
        <v>Programados</v>
      </c>
      <c r="L656" s="9">
        <v>45818</v>
      </c>
      <c r="M656" s="17">
        <f>MAX(1,NETWORKDAYS(A656,L656,Table2[Dias no laborales]))</f>
        <v>1</v>
      </c>
    </row>
    <row r="657" spans="1:13" hidden="1" x14ac:dyDescent="0.3">
      <c r="A657" s="8">
        <v>45818</v>
      </c>
      <c r="B657" s="6" t="s">
        <v>1292</v>
      </c>
      <c r="C657" s="6" t="s">
        <v>1293</v>
      </c>
      <c r="D657" s="6" t="s">
        <v>1294</v>
      </c>
      <c r="E657" s="14">
        <v>45817.65625</v>
      </c>
      <c r="F657" s="8">
        <f>IF(HOUR(Table1[[#This Row],[CORREO]])&gt;=11,WORKDAY(Table1[[#This Row],[CORREO]],1,Table2[Dias no laborales]),E657)</f>
        <v>45818</v>
      </c>
      <c r="G657" s="8">
        <v>45828</v>
      </c>
      <c r="H657" s="6">
        <f t="shared" si="20"/>
        <v>23</v>
      </c>
      <c r="I657" s="16">
        <f>MAX(1, NETWORKDAYS(A657, G657,Table2[Dias no laborales]))</f>
        <v>9</v>
      </c>
      <c r="J657" s="6" t="str">
        <f>IF(Table1[[#This Row],[FIN]]="","Acumulado",IF(ISNUMBER(SEARCH("ASAP",C657)),"ASAP",IF(NETWORKDAYS.INTL(F657,G657,1,Table2[Dias no laborales]) &lt;= 7, "Dentro", IF(A657&gt;F657,"Programado","Fuera"))))</f>
        <v>Fuera</v>
      </c>
      <c r="K657" s="6" t="str">
        <f t="shared" si="21"/>
        <v>A tiempo</v>
      </c>
      <c r="L657" s="9">
        <v>45826</v>
      </c>
      <c r="M657" s="17">
        <f>MAX(1,NETWORKDAYS(A657,L657,Table2[Dias no laborales]))</f>
        <v>7</v>
      </c>
    </row>
    <row r="658" spans="1:13" hidden="1" x14ac:dyDescent="0.3">
      <c r="A658" s="8">
        <v>45818</v>
      </c>
      <c r="B658" s="6" t="s">
        <v>1434</v>
      </c>
      <c r="C658" s="6" t="s">
        <v>74</v>
      </c>
      <c r="D658" s="6" t="s">
        <v>162</v>
      </c>
      <c r="E658" s="14">
        <v>45817.684027777781</v>
      </c>
      <c r="F658" s="8">
        <f>IF(HOUR(Table1[[#This Row],[CORREO]])&gt;=11,WORKDAY(Table1[[#This Row],[CORREO]],1,Table2[Dias no laborales]),E658)</f>
        <v>45818</v>
      </c>
      <c r="G658" s="8">
        <v>45840</v>
      </c>
      <c r="H658" s="6">
        <f t="shared" si="20"/>
        <v>23</v>
      </c>
      <c r="I658" s="16">
        <f>MAX(1, NETWORKDAYS(A658, G658,Table2[Dias no laborales]))</f>
        <v>17</v>
      </c>
      <c r="J658" s="6" t="str">
        <f>IF(Table1[[#This Row],[FIN]]="","Acumulado",IF(ISNUMBER(SEARCH("ASAP",C658)),"ASAP",IF(NETWORKDAYS.INTL(F658,G658,1,Table2[Dias no laborales]) &lt;= 7, "Dentro", IF(A658&gt;F658,"Programado","Fuera"))))</f>
        <v>Fuera</v>
      </c>
      <c r="K658" s="6" t="str">
        <f t="shared" si="21"/>
        <v>A tiempo</v>
      </c>
      <c r="L658" s="9">
        <v>45818</v>
      </c>
      <c r="M658" s="17">
        <f>MAX(1,NETWORKDAYS(A658,L658,Table2[Dias no laborales]))</f>
        <v>1</v>
      </c>
    </row>
    <row r="659" spans="1:13" hidden="1" x14ac:dyDescent="0.3">
      <c r="A659" s="8">
        <v>45819</v>
      </c>
      <c r="B659" s="6" t="s">
        <v>1398</v>
      </c>
      <c r="C659" s="6" t="s">
        <v>1399</v>
      </c>
      <c r="D659" s="6" t="s">
        <v>15</v>
      </c>
      <c r="E659" s="14">
        <v>45818.484027777777</v>
      </c>
      <c r="F659" s="8">
        <f>IF(HOUR(Table1[[#This Row],[CORREO]])&gt;=11,WORKDAY(Table1[[#This Row],[CORREO]],1,Table2[Dias no laborales]),E659)</f>
        <v>45819</v>
      </c>
      <c r="G659" s="8">
        <v>45819</v>
      </c>
      <c r="H659" s="6">
        <f t="shared" si="20"/>
        <v>24</v>
      </c>
      <c r="I659" s="16">
        <f>MAX(1, NETWORKDAYS(A659, G659,Table2[Dias no laborales]))</f>
        <v>1</v>
      </c>
      <c r="J659" s="6" t="str">
        <f>IF(Table1[[#This Row],[FIN]]="","Acumulado",IF(ISNUMBER(SEARCH("ASAP",C659)),"ASAP",IF(NETWORKDAYS.INTL(F659,G659,1,Table2[Dias no laborales]) &lt;= 7, "Dentro", IF(A659&gt;F659,"Programado","Fuera"))))</f>
        <v>Dentro</v>
      </c>
      <c r="K659" s="6" t="str">
        <f t="shared" si="21"/>
        <v>A tiempo</v>
      </c>
      <c r="L659" s="9">
        <v>45819</v>
      </c>
      <c r="M659" s="17">
        <f>MAX(1,NETWORKDAYS(A659,L659,Table2[Dias no laborales]))</f>
        <v>1</v>
      </c>
    </row>
    <row r="660" spans="1:13" hidden="1" x14ac:dyDescent="0.3">
      <c r="A660" s="8">
        <v>45819</v>
      </c>
      <c r="B660" s="6" t="s">
        <v>1350</v>
      </c>
      <c r="C660" s="6" t="s">
        <v>1351</v>
      </c>
      <c r="D660" s="6" t="s">
        <v>61</v>
      </c>
      <c r="E660" s="14">
        <v>45818.716666666667</v>
      </c>
      <c r="F660" s="8">
        <f>IF(HOUR(Table1[[#This Row],[CORREO]])&gt;=11,WORKDAY(Table1[[#This Row],[CORREO]],1,Table2[Dias no laborales]),E660)</f>
        <v>45819</v>
      </c>
      <c r="G660" s="8">
        <v>45821</v>
      </c>
      <c r="H660" s="6">
        <f t="shared" si="20"/>
        <v>24</v>
      </c>
      <c r="I660" s="16">
        <f>MAX(1, NETWORKDAYS(A660, G660,Table2[Dias no laborales]))</f>
        <v>3</v>
      </c>
      <c r="J660" s="6" t="str">
        <f>IF(Table1[[#This Row],[FIN]]="","Acumulado",IF(ISNUMBER(SEARCH("ASAP",C660)),"ASAP",IF(NETWORKDAYS.INTL(F660,G660,1,Table2[Dias no laborales]) &lt;= 7, "Dentro", IF(A660&gt;F660,"Programado","Fuera"))))</f>
        <v>Dentro</v>
      </c>
      <c r="K660" s="6" t="str">
        <f t="shared" si="21"/>
        <v>A tiempo</v>
      </c>
      <c r="L660" s="9">
        <v>45819</v>
      </c>
      <c r="M660" s="17">
        <f>MAX(1,NETWORKDAYS(A660,L660,Table2[Dias no laborales]))</f>
        <v>1</v>
      </c>
    </row>
    <row r="661" spans="1:13" hidden="1" x14ac:dyDescent="0.3">
      <c r="A661" s="8">
        <v>45819</v>
      </c>
      <c r="B661" s="6" t="s">
        <v>1374</v>
      </c>
      <c r="C661" s="6" t="s">
        <v>1375</v>
      </c>
      <c r="D661" s="6" t="s">
        <v>24</v>
      </c>
      <c r="E661" s="14"/>
      <c r="F661" s="8">
        <f>IF(HOUR(Table1[[#This Row],[CORREO]])&gt;=11,WORKDAY(Table1[[#This Row],[CORREO]],1,Table2[Dias no laborales]),E661)</f>
        <v>0</v>
      </c>
      <c r="G661" s="8">
        <v>45820</v>
      </c>
      <c r="H661" s="6">
        <f t="shared" si="20"/>
        <v>24</v>
      </c>
      <c r="I661" s="16">
        <f>MAX(1, NETWORKDAYS(A661, G661,Table2[Dias no laborales]))</f>
        <v>2</v>
      </c>
      <c r="J661" s="6" t="str">
        <f>IF(Table1[[#This Row],[FIN]]="","Acumulado",IF(ISNUMBER(SEARCH("ASAP",C661)),"ASAP",IF(NETWORKDAYS.INTL(F661,G661,1,Table2[Dias no laborales]) &lt;= 7, "Dentro", IF(A661&gt;F661,"Programado","Fuera"))))</f>
        <v>ASAP</v>
      </c>
      <c r="K661" s="6" t="str">
        <f t="shared" si="21"/>
        <v>Programados</v>
      </c>
      <c r="L661" s="9">
        <v>45820</v>
      </c>
      <c r="M661" s="17">
        <f>MAX(1,NETWORKDAYS(A661,L661,Table2[Dias no laborales]))</f>
        <v>2</v>
      </c>
    </row>
    <row r="662" spans="1:13" hidden="1" x14ac:dyDescent="0.3">
      <c r="A662" s="8">
        <v>45820</v>
      </c>
      <c r="B662" s="5" t="s">
        <v>1267</v>
      </c>
      <c r="C662" s="5" t="s">
        <v>1268</v>
      </c>
      <c r="D662" s="5" t="s">
        <v>24</v>
      </c>
      <c r="E662" s="14"/>
      <c r="F662" s="8">
        <f>IF(HOUR(Table1[[#This Row],[CORREO]])&gt;=11,WORKDAY(Table1[[#This Row],[CORREO]],1,Table2[Dias no laborales]),E662)</f>
        <v>0</v>
      </c>
      <c r="G662" s="8">
        <v>45835</v>
      </c>
      <c r="H662" s="6">
        <f t="shared" si="20"/>
        <v>24</v>
      </c>
      <c r="I662" s="16">
        <f>MAX(1, NETWORKDAYS(A662, G662,Table2[Dias no laborales]))</f>
        <v>12</v>
      </c>
      <c r="J662" s="6" t="str">
        <f>IF(Table1[[#This Row],[FIN]]="","Acumulado",IF(ISNUMBER(SEARCH("ASAP",C662)),"ASAP",IF(NETWORKDAYS.INTL(F662,G662,1,Table2[Dias no laborales]) &lt;= 7, "Dentro", IF(A662&gt;F662,"Programado","Fuera"))))</f>
        <v>ASAP</v>
      </c>
      <c r="K662" s="6" t="str">
        <f t="shared" si="21"/>
        <v>Programados</v>
      </c>
      <c r="L662" s="9">
        <v>45820</v>
      </c>
      <c r="M662" s="17">
        <f>MAX(1,NETWORKDAYS(A662,L662,Table2[Dias no laborales]))</f>
        <v>1</v>
      </c>
    </row>
    <row r="663" spans="1:13" hidden="1" x14ac:dyDescent="0.3">
      <c r="A663" s="8">
        <v>45820</v>
      </c>
      <c r="B663" s="6" t="s">
        <v>1529</v>
      </c>
      <c r="C663" s="6" t="s">
        <v>1530</v>
      </c>
      <c r="D663" s="6" t="s">
        <v>650</v>
      </c>
      <c r="E663" s="14">
        <v>45819.552083333336</v>
      </c>
      <c r="F663" s="8">
        <f>IF(HOUR(Table1[[#This Row],[CORREO]])&gt;=11,WORKDAY(Table1[[#This Row],[CORREO]],1,Table2[Dias no laborales]),E663)</f>
        <v>45820</v>
      </c>
      <c r="G663" s="8">
        <v>45853</v>
      </c>
      <c r="H663" s="6">
        <f t="shared" si="20"/>
        <v>24</v>
      </c>
      <c r="I663" s="16">
        <f>MAX(1, NETWORKDAYS(A663, G663,Table2[Dias no laborales]))</f>
        <v>24</v>
      </c>
      <c r="J663" s="6" t="str">
        <f>IF(Table1[[#This Row],[FIN]]="","Acumulado",IF(ISNUMBER(SEARCH("ASAP",C663)),"ASAP",IF(NETWORKDAYS.INTL(F663,G663,1,Table2[Dias no laborales]) &lt;= 7, "Dentro", IF(A663&gt;F663,"Programado","Fuera"))))</f>
        <v>Fuera</v>
      </c>
      <c r="K663" s="6" t="str">
        <f t="shared" si="21"/>
        <v>A tiempo</v>
      </c>
      <c r="L663" s="9">
        <v>45820</v>
      </c>
      <c r="M663" s="17">
        <f>MAX(1,NETWORKDAYS(A663,L663,Table2[Dias no laborales]))</f>
        <v>1</v>
      </c>
    </row>
    <row r="664" spans="1:13" hidden="1" x14ac:dyDescent="0.3">
      <c r="A664" s="8">
        <v>45820</v>
      </c>
      <c r="B664" s="6" t="s">
        <v>1310</v>
      </c>
      <c r="C664" s="6" t="s">
        <v>1311</v>
      </c>
      <c r="D664" s="6" t="s">
        <v>119</v>
      </c>
      <c r="E664" s="14">
        <v>45819.640972222223</v>
      </c>
      <c r="F664" s="8">
        <f>IF(HOUR(Table1[[#This Row],[CORREO]])&gt;=11,WORKDAY(Table1[[#This Row],[CORREO]],1,Table2[Dias no laborales]),E664)</f>
        <v>45820</v>
      </c>
      <c r="G664" s="8">
        <v>45827</v>
      </c>
      <c r="H664" s="6">
        <f t="shared" si="20"/>
        <v>24</v>
      </c>
      <c r="I664" s="16">
        <f>MAX(1, NETWORKDAYS(A664, G664,Table2[Dias no laborales]))</f>
        <v>6</v>
      </c>
      <c r="J664" s="6" t="str">
        <f>IF(Table1[[#This Row],[FIN]]="","Acumulado",IF(ISNUMBER(SEARCH("ASAP",C664)),"ASAP",IF(NETWORKDAYS.INTL(F664,G664,1,Table2[Dias no laborales]) &lt;= 7, "Dentro", IF(A664&gt;F664,"Programado","Fuera"))))</f>
        <v>Dentro</v>
      </c>
      <c r="K664" s="6" t="str">
        <f t="shared" si="21"/>
        <v>A tiempo</v>
      </c>
      <c r="L664" s="9">
        <v>45820</v>
      </c>
      <c r="M664" s="17">
        <f>MAX(1,NETWORKDAYS(A664,L664,Table2[Dias no laborales]))</f>
        <v>1</v>
      </c>
    </row>
    <row r="665" spans="1:13" hidden="1" x14ac:dyDescent="0.3">
      <c r="A665" s="8">
        <v>45820</v>
      </c>
      <c r="B665" s="5" t="s">
        <v>1281</v>
      </c>
      <c r="C665" s="5" t="s">
        <v>1282</v>
      </c>
      <c r="D665" s="5" t="s">
        <v>154</v>
      </c>
      <c r="E665" s="14"/>
      <c r="F665" s="8">
        <f>IF(HOUR(Table1[[#This Row],[CORREO]])&gt;=11,WORKDAY(Table1[[#This Row],[CORREO]],1,Table2[Dias no laborales]),E665)</f>
        <v>0</v>
      </c>
      <c r="G665" s="8">
        <v>45833</v>
      </c>
      <c r="H665" s="6">
        <f t="shared" si="20"/>
        <v>24</v>
      </c>
      <c r="I665" s="16">
        <f>MAX(1, NETWORKDAYS(A665, G665,Table2[Dias no laborales]))</f>
        <v>10</v>
      </c>
      <c r="J665" s="6" t="str">
        <f>IF(Table1[[#This Row],[FIN]]="","Acumulado",IF(ISNUMBER(SEARCH("ASAP",C665)),"ASAP",IF(NETWORKDAYS.INTL(F665,G665,1,Table2[Dias no laborales]) &lt;= 7, "Dentro", IF(A665&gt;F665,"Programado","Fuera"))))</f>
        <v>Programado</v>
      </c>
      <c r="K665" s="6" t="str">
        <f t="shared" si="21"/>
        <v>Programados</v>
      </c>
      <c r="L665" s="9">
        <v>45820</v>
      </c>
      <c r="M665" s="17">
        <f>MAX(1,NETWORKDAYS(A665,L665,Table2[Dias no laborales]))</f>
        <v>1</v>
      </c>
    </row>
    <row r="666" spans="1:13" hidden="1" x14ac:dyDescent="0.3">
      <c r="A666" s="8">
        <v>45820</v>
      </c>
      <c r="B666" s="6" t="s">
        <v>1306</v>
      </c>
      <c r="C666" s="6" t="s">
        <v>1307</v>
      </c>
      <c r="D666" s="6" t="s">
        <v>571</v>
      </c>
      <c r="E666" s="14">
        <v>45820.362500000003</v>
      </c>
      <c r="F666" s="8">
        <f>IF(HOUR(Table1[[#This Row],[CORREO]])&gt;=11,WORKDAY(Table1[[#This Row],[CORREO]],1,Table2[Dias no laborales]),E666)</f>
        <v>45820.362500000003</v>
      </c>
      <c r="G666" s="8">
        <v>45828</v>
      </c>
      <c r="H666" s="6">
        <f t="shared" si="20"/>
        <v>24</v>
      </c>
      <c r="I666" s="16">
        <f>MAX(1, NETWORKDAYS(A666, G666,Table2[Dias no laborales]))</f>
        <v>7</v>
      </c>
      <c r="J666" s="6" t="str">
        <f>IF(Table1[[#This Row],[FIN]]="","Acumulado",IF(ISNUMBER(SEARCH("ASAP",C666)),"ASAP",IF(NETWORKDAYS.INTL(F666,G666,1,Table2[Dias no laborales]) &lt;= 7, "Dentro", IF(A666&gt;F666,"Programado","Fuera"))))</f>
        <v>Dentro</v>
      </c>
      <c r="K666" s="6" t="str">
        <f t="shared" si="21"/>
        <v>A tiempo</v>
      </c>
      <c r="L666" s="9">
        <v>45820</v>
      </c>
      <c r="M666" s="17">
        <f>MAX(1,NETWORKDAYS(A666,L666,Table2[Dias no laborales]))</f>
        <v>1</v>
      </c>
    </row>
    <row r="667" spans="1:13" hidden="1" x14ac:dyDescent="0.3">
      <c r="A667" s="8">
        <v>45820</v>
      </c>
      <c r="B667" s="6" t="s">
        <v>1312</v>
      </c>
      <c r="C667" s="6" t="s">
        <v>1313</v>
      </c>
      <c r="D667" s="6" t="s">
        <v>27</v>
      </c>
      <c r="E667" s="14">
        <v>45820.384722222225</v>
      </c>
      <c r="F667" s="8">
        <f>IF(HOUR(Table1[[#This Row],[CORREO]])&gt;=11,WORKDAY(Table1[[#This Row],[CORREO]],1,Table2[Dias no laborales]),E667)</f>
        <v>45820.384722222225</v>
      </c>
      <c r="G667" s="8">
        <v>45827</v>
      </c>
      <c r="H667" s="6">
        <f t="shared" si="20"/>
        <v>24</v>
      </c>
      <c r="I667" s="16">
        <f>MAX(1, NETWORKDAYS(A667, G667,Table2[Dias no laborales]))</f>
        <v>6</v>
      </c>
      <c r="J667" s="6" t="str">
        <f>IF(Table1[[#This Row],[FIN]]="","Acumulado",IF(ISNUMBER(SEARCH("ASAP",C667)),"ASAP",IF(NETWORKDAYS.INTL(F667,G667,1,Table2[Dias no laborales]) &lt;= 7, "Dentro", IF(A667&gt;F667,"Programado","Fuera"))))</f>
        <v>Dentro</v>
      </c>
      <c r="K667" s="6" t="str">
        <f t="shared" si="21"/>
        <v>A tiempo</v>
      </c>
      <c r="L667" s="9">
        <v>45820</v>
      </c>
      <c r="M667" s="17">
        <f>MAX(1,NETWORKDAYS(A667,L667,Table2[Dias no laborales]))</f>
        <v>1</v>
      </c>
    </row>
    <row r="668" spans="1:13" hidden="1" x14ac:dyDescent="0.3">
      <c r="A668" s="8">
        <v>45820</v>
      </c>
      <c r="B668" s="5" t="s">
        <v>1263</v>
      </c>
      <c r="C668" s="5" t="s">
        <v>1264</v>
      </c>
      <c r="D668" s="5" t="s">
        <v>372</v>
      </c>
      <c r="E668" s="14">
        <v>45820.397916666669</v>
      </c>
      <c r="F668" s="8">
        <f>IF(HOUR(Table1[[#This Row],[CORREO]])&gt;=11,WORKDAY(Table1[[#This Row],[CORREO]],1,Table2[Dias no laborales]),E668)</f>
        <v>45820.397916666669</v>
      </c>
      <c r="G668" s="8">
        <v>45838</v>
      </c>
      <c r="H668" s="6">
        <f t="shared" si="20"/>
        <v>24</v>
      </c>
      <c r="I668" s="16">
        <f>MAX(1, NETWORKDAYS(A668, G668,Table2[Dias no laborales]))</f>
        <v>13</v>
      </c>
      <c r="J668" s="6" t="str">
        <f>IF(Table1[[#This Row],[FIN]]="","Acumulado",IF(ISNUMBER(SEARCH("ASAP",C668)),"ASAP",IF(NETWORKDAYS.INTL(F668,G668,1,Table2[Dias no laborales]) &lt;= 7, "Dentro", IF(A668&gt;F668,"Programado","Fuera"))))</f>
        <v>Fuera</v>
      </c>
      <c r="K668" s="6" t="str">
        <f t="shared" si="21"/>
        <v>A tiempo</v>
      </c>
      <c r="L668" s="9">
        <v>45821</v>
      </c>
      <c r="M668" s="17">
        <f>MAX(1,NETWORKDAYS(A668,L668,Table2[Dias no laborales]))</f>
        <v>2</v>
      </c>
    </row>
    <row r="669" spans="1:13" hidden="1" x14ac:dyDescent="0.3">
      <c r="A669" s="8">
        <v>45820</v>
      </c>
      <c r="B669" s="6" t="s">
        <v>1439</v>
      </c>
      <c r="C669" s="6" t="s">
        <v>1440</v>
      </c>
      <c r="D669" s="6" t="s">
        <v>372</v>
      </c>
      <c r="E669" s="14">
        <v>45820.40347222222</v>
      </c>
      <c r="F669" s="8">
        <f>IF(HOUR(Table1[[#This Row],[CORREO]])&gt;=11,WORKDAY(Table1[[#This Row],[CORREO]],1,Table2[Dias no laborales]),E669)</f>
        <v>45820.40347222222</v>
      </c>
      <c r="G669" s="8">
        <v>45840</v>
      </c>
      <c r="H669" s="6">
        <f t="shared" si="20"/>
        <v>24</v>
      </c>
      <c r="I669" s="16">
        <f>MAX(1, NETWORKDAYS(A669, G669,Table2[Dias no laborales]))</f>
        <v>15</v>
      </c>
      <c r="J669" s="6" t="str">
        <f>IF(Table1[[#This Row],[FIN]]="","Acumulado",IF(ISNUMBER(SEARCH("ASAP",C669)),"ASAP",IF(NETWORKDAYS.INTL(F669,G669,1,Table2[Dias no laborales]) &lt;= 7, "Dentro", IF(A669&gt;F669,"Programado","Fuera"))))</f>
        <v>Fuera</v>
      </c>
      <c r="K669" s="6" t="str">
        <f t="shared" si="21"/>
        <v>A tiempo</v>
      </c>
      <c r="L669" s="9">
        <v>45820</v>
      </c>
      <c r="M669" s="17">
        <f>MAX(1,NETWORKDAYS(A669,L669,Table2[Dias no laborales]))</f>
        <v>1</v>
      </c>
    </row>
    <row r="670" spans="1:13" hidden="1" x14ac:dyDescent="0.3">
      <c r="A670" s="8">
        <v>45820</v>
      </c>
      <c r="B670" s="6" t="s">
        <v>1402</v>
      </c>
      <c r="C670" s="6" t="s">
        <v>394</v>
      </c>
      <c r="D670" s="6" t="s">
        <v>27</v>
      </c>
      <c r="E670" s="14">
        <v>45820.563194444447</v>
      </c>
      <c r="F670" s="8">
        <f>IF(HOUR(Table1[[#This Row],[CORREO]])&gt;=11,WORKDAY(Table1[[#This Row],[CORREO]],1,Table2[Dias no laborales]),E670)</f>
        <v>45821</v>
      </c>
      <c r="G670" s="8">
        <v>45820</v>
      </c>
      <c r="H670" s="6">
        <f t="shared" si="20"/>
        <v>24</v>
      </c>
      <c r="I670" s="16">
        <f>MAX(1, NETWORKDAYS(A670, G670,Table2[Dias no laborales]))</f>
        <v>1</v>
      </c>
      <c r="J670" s="6" t="str">
        <f>IF(Table1[[#This Row],[FIN]]="","Acumulado",IF(ISNUMBER(SEARCH("ASAP",C670)),"ASAP",IF(NETWORKDAYS.INTL(F670,G670,1,Table2[Dias no laborales]) &lt;= 7, "Dentro", IF(A670&gt;F670,"Programado","Fuera"))))</f>
        <v>Dentro</v>
      </c>
      <c r="K670" s="6" t="str">
        <f t="shared" si="21"/>
        <v>Mismo día</v>
      </c>
      <c r="L670" s="9">
        <v>45820</v>
      </c>
      <c r="M670" s="17">
        <f>MAX(1,NETWORKDAYS(A670,L670,Table2[Dias no laborales]))</f>
        <v>1</v>
      </c>
    </row>
    <row r="671" spans="1:13" hidden="1" x14ac:dyDescent="0.3">
      <c r="A671" s="8">
        <v>45820</v>
      </c>
      <c r="B671" s="6" t="s">
        <v>1400</v>
      </c>
      <c r="C671" s="6" t="s">
        <v>1401</v>
      </c>
      <c r="D671" s="6" t="s">
        <v>27</v>
      </c>
      <c r="E671" s="14">
        <v>45820.6</v>
      </c>
      <c r="F671" s="8">
        <f>IF(HOUR(Table1[[#This Row],[CORREO]])&gt;=11,WORKDAY(Table1[[#This Row],[CORREO]],1,Table2[Dias no laborales]),E671)</f>
        <v>45821</v>
      </c>
      <c r="G671" s="8">
        <v>45820</v>
      </c>
      <c r="H671" s="6">
        <f t="shared" si="20"/>
        <v>24</v>
      </c>
      <c r="I671" s="16">
        <f>MAX(1, NETWORKDAYS(A671, G671,Table2[Dias no laborales]))</f>
        <v>1</v>
      </c>
      <c r="J671" s="6" t="str">
        <f>IF(Table1[[#This Row],[FIN]]="","Acumulado",IF(ISNUMBER(SEARCH("ASAP",C671)),"ASAP",IF(NETWORKDAYS.INTL(F671,G671,1,Table2[Dias no laborales]) &lt;= 7, "Dentro", IF(A671&gt;F671,"Programado","Fuera"))))</f>
        <v>Dentro</v>
      </c>
      <c r="K671" s="6" t="str">
        <f t="shared" si="21"/>
        <v>Mismo día</v>
      </c>
      <c r="L671" s="9">
        <v>45820</v>
      </c>
      <c r="M671" s="17">
        <f>MAX(1,NETWORKDAYS(A671,L671,Table2[Dias no laborales]))</f>
        <v>1</v>
      </c>
    </row>
    <row r="672" spans="1:13" hidden="1" x14ac:dyDescent="0.3">
      <c r="A672" s="8">
        <v>45821</v>
      </c>
      <c r="B672" s="6" t="s">
        <v>1331</v>
      </c>
      <c r="C672" s="6" t="s">
        <v>1332</v>
      </c>
      <c r="D672" s="6" t="s">
        <v>1333</v>
      </c>
      <c r="E672" s="14">
        <v>45820.696527777778</v>
      </c>
      <c r="F672" s="8">
        <f>IF(HOUR(Table1[[#This Row],[CORREO]])&gt;=11,WORKDAY(Table1[[#This Row],[CORREO]],1,Table2[Dias no laborales]),E672)</f>
        <v>45821</v>
      </c>
      <c r="G672" s="8">
        <v>45826</v>
      </c>
      <c r="H672" s="6">
        <f t="shared" si="20"/>
        <v>24</v>
      </c>
      <c r="I672" s="16">
        <f>MAX(1, NETWORKDAYS(A672, G672,Table2[Dias no laborales]))</f>
        <v>4</v>
      </c>
      <c r="J672" s="6" t="str">
        <f>IF(Table1[[#This Row],[FIN]]="","Acumulado",IF(ISNUMBER(SEARCH("ASAP",C672)),"ASAP",IF(NETWORKDAYS.INTL(F672,G672,1,Table2[Dias no laborales]) &lt;= 7, "Dentro", IF(A672&gt;F672,"Programado","Fuera"))))</f>
        <v>Dentro</v>
      </c>
      <c r="K672" s="6" t="str">
        <f t="shared" si="21"/>
        <v>A tiempo</v>
      </c>
      <c r="L672" s="9">
        <v>45826</v>
      </c>
      <c r="M672" s="17">
        <f>MAX(1,NETWORKDAYS(A672,L672,Table2[Dias no laborales]))</f>
        <v>4</v>
      </c>
    </row>
    <row r="673" spans="1:13" hidden="1" x14ac:dyDescent="0.3">
      <c r="A673" s="8">
        <v>45821</v>
      </c>
      <c r="B673" s="6" t="s">
        <v>1403</v>
      </c>
      <c r="C673" s="6" t="s">
        <v>1404</v>
      </c>
      <c r="D673" s="6" t="s">
        <v>24</v>
      </c>
      <c r="E673" s="14">
        <v>45820.73541666667</v>
      </c>
      <c r="F673" s="8">
        <f>IF(HOUR(Table1[[#This Row],[CORREO]])&gt;=11,WORKDAY(Table1[[#This Row],[CORREO]],1,Table2[Dias no laborales]),E673)</f>
        <v>45821</v>
      </c>
      <c r="G673" s="8">
        <v>45821</v>
      </c>
      <c r="H673" s="6">
        <f t="shared" si="20"/>
        <v>24</v>
      </c>
      <c r="I673" s="16">
        <f>MAX(1, NETWORKDAYS(A673, G673,Table2[Dias no laborales]))</f>
        <v>1</v>
      </c>
      <c r="J673" s="6" t="str">
        <f>IF(Table1[[#This Row],[FIN]]="","Acumulado",IF(ISNUMBER(SEARCH("ASAP",C673)),"ASAP",IF(NETWORKDAYS.INTL(F673,G673,1,Table2[Dias no laborales]) &lt;= 7, "Dentro", IF(A673&gt;F673,"Programado","Fuera"))))</f>
        <v>Dentro</v>
      </c>
      <c r="K673" s="6" t="str">
        <f t="shared" si="21"/>
        <v>A tiempo</v>
      </c>
      <c r="L673" s="9">
        <v>45821</v>
      </c>
      <c r="M673" s="17">
        <f>MAX(1,NETWORKDAYS(A673,L673,Table2[Dias no laborales]))</f>
        <v>1</v>
      </c>
    </row>
    <row r="674" spans="1:13" hidden="1" x14ac:dyDescent="0.3">
      <c r="A674" s="8">
        <v>45821</v>
      </c>
      <c r="B674" s="6" t="s">
        <v>1352</v>
      </c>
      <c r="C674" s="6" t="s">
        <v>196</v>
      </c>
      <c r="D674" s="6" t="s">
        <v>27</v>
      </c>
      <c r="E674" s="14"/>
      <c r="F674" s="8">
        <f>IF(HOUR(Table1[[#This Row],[CORREO]])&gt;=11,WORKDAY(Table1[[#This Row],[CORREO]],1,Table2[Dias no laborales]),E674)</f>
        <v>0</v>
      </c>
      <c r="G674" s="8">
        <v>45825</v>
      </c>
      <c r="H674" s="6">
        <f t="shared" si="20"/>
        <v>24</v>
      </c>
      <c r="I674" s="16">
        <f>MAX(1, NETWORKDAYS(A674, G674,Table2[Dias no laborales]))</f>
        <v>3</v>
      </c>
      <c r="J674" s="6" t="str">
        <f>IF(Table1[[#This Row],[FIN]]="","Acumulado",IF(ISNUMBER(SEARCH("ASAP",C674)),"ASAP",IF(NETWORKDAYS.INTL(F674,G674,1,Table2[Dias no laborales]) &lt;= 7, "Dentro", IF(A674&gt;F674,"Programado","Fuera"))))</f>
        <v>Programado</v>
      </c>
      <c r="K674" s="6" t="str">
        <f t="shared" si="21"/>
        <v>Programados</v>
      </c>
      <c r="L674" s="9">
        <v>45822</v>
      </c>
      <c r="M674" s="17">
        <f>MAX(1,NETWORKDAYS(A674,L674,Table2[Dias no laborales]))</f>
        <v>1</v>
      </c>
    </row>
    <row r="675" spans="1:13" hidden="1" x14ac:dyDescent="0.3">
      <c r="A675" s="8">
        <v>45821</v>
      </c>
      <c r="B675" s="6" t="s">
        <v>1353</v>
      </c>
      <c r="C675" s="6" t="s">
        <v>188</v>
      </c>
      <c r="D675" s="6" t="s">
        <v>27</v>
      </c>
      <c r="E675" s="14"/>
      <c r="F675" s="8">
        <f>IF(HOUR(Table1[[#This Row],[CORREO]])&gt;=11,WORKDAY(Table1[[#This Row],[CORREO]],1,Table2[Dias no laborales]),E675)</f>
        <v>0</v>
      </c>
      <c r="G675" s="8">
        <v>45825</v>
      </c>
      <c r="H675" s="6">
        <f t="shared" si="20"/>
        <v>24</v>
      </c>
      <c r="I675" s="16">
        <f>MAX(1, NETWORKDAYS(A675, G675,Table2[Dias no laborales]))</f>
        <v>3</v>
      </c>
      <c r="J675" s="6" t="str">
        <f>IF(Table1[[#This Row],[FIN]]="","Acumulado",IF(ISNUMBER(SEARCH("ASAP",C675)),"ASAP",IF(NETWORKDAYS.INTL(F675,G675,1,Table2[Dias no laborales]) &lt;= 7, "Dentro", IF(A675&gt;F675,"Programado","Fuera"))))</f>
        <v>Programado</v>
      </c>
      <c r="K675" s="6" t="str">
        <f t="shared" si="21"/>
        <v>Programados</v>
      </c>
      <c r="L675" s="9">
        <v>45823</v>
      </c>
      <c r="M675" s="17">
        <f>MAX(1,NETWORKDAYS(A675,L675,Table2[Dias no laborales]))</f>
        <v>1</v>
      </c>
    </row>
    <row r="676" spans="1:13" hidden="1" x14ac:dyDescent="0.3">
      <c r="A676" s="8">
        <v>45824</v>
      </c>
      <c r="B676" s="6" t="s">
        <v>1354</v>
      </c>
      <c r="C676" s="10" t="s">
        <v>1355</v>
      </c>
      <c r="D676" s="6" t="s">
        <v>24</v>
      </c>
      <c r="E676" s="14"/>
      <c r="F676" s="8">
        <f>IF(HOUR(Table1[[#This Row],[CORREO]])&gt;=11,WORKDAY(Table1[[#This Row],[CORREO]],1,Table2[Dias no laborales]),E676)</f>
        <v>0</v>
      </c>
      <c r="G676" s="8">
        <v>45826</v>
      </c>
      <c r="H676" s="6">
        <f t="shared" si="20"/>
        <v>24</v>
      </c>
      <c r="I676" s="16">
        <f>MAX(1, NETWORKDAYS(A676, G676,Table2[Dias no laborales]))</f>
        <v>3</v>
      </c>
      <c r="J676" s="6" t="str">
        <f>IF(Table1[[#This Row],[FIN]]="","Acumulado",IF(ISNUMBER(SEARCH("ASAP",C676)),"ASAP",IF(NETWORKDAYS.INTL(F676,G676,1,Table2[Dias no laborales]) &lt;= 7, "Dentro", IF(A676&gt;F676,"Programado","Fuera"))))</f>
        <v>Programado</v>
      </c>
      <c r="K676" s="6" t="str">
        <f t="shared" si="21"/>
        <v>Programados</v>
      </c>
      <c r="L676" s="9">
        <v>45826</v>
      </c>
      <c r="M676" s="17">
        <f>MAX(1,NETWORKDAYS(A676,L676,Table2[Dias no laborales]))</f>
        <v>3</v>
      </c>
    </row>
    <row r="677" spans="1:13" hidden="1" x14ac:dyDescent="0.3">
      <c r="A677" s="8">
        <v>45825</v>
      </c>
      <c r="B677" s="6" t="s">
        <v>1334</v>
      </c>
      <c r="C677" s="6" t="s">
        <v>1335</v>
      </c>
      <c r="D677" s="6" t="s">
        <v>24</v>
      </c>
      <c r="E677" s="14"/>
      <c r="F677" s="8">
        <f>IF(HOUR(Table1[[#This Row],[CORREO]])&gt;=11,WORKDAY(Table1[[#This Row],[CORREO]],1,Table2[Dias no laborales]),E677)</f>
        <v>0</v>
      </c>
      <c r="G677" s="8">
        <v>45828</v>
      </c>
      <c r="H677" s="6">
        <f t="shared" si="20"/>
        <v>24</v>
      </c>
      <c r="I677" s="16">
        <f>MAX(1, NETWORKDAYS(A677, G677,Table2[Dias no laborales]))</f>
        <v>4</v>
      </c>
      <c r="J677" s="6" t="str">
        <f>IF(Table1[[#This Row],[FIN]]="","Acumulado",IF(ISNUMBER(SEARCH("ASAP",C677)),"ASAP",IF(NETWORKDAYS.INTL(F677,G677,1,Table2[Dias no laborales]) &lt;= 7, "Dentro", IF(A677&gt;F677,"Programado","Fuera"))))</f>
        <v>Programado</v>
      </c>
      <c r="K677" s="6" t="str">
        <f t="shared" si="21"/>
        <v>Programados</v>
      </c>
      <c r="L677" s="9">
        <v>45831</v>
      </c>
      <c r="M677" s="17">
        <f>MAX(1,NETWORKDAYS(A677,L677,Table2[Dias no laborales]))</f>
        <v>5</v>
      </c>
    </row>
    <row r="678" spans="1:13" hidden="1" x14ac:dyDescent="0.3">
      <c r="A678" s="8">
        <v>45825</v>
      </c>
      <c r="B678" s="6" t="s">
        <v>1563</v>
      </c>
      <c r="C678" s="6" t="s">
        <v>1564</v>
      </c>
      <c r="D678" s="6" t="s">
        <v>650</v>
      </c>
      <c r="E678" s="14"/>
      <c r="F678" s="8">
        <f>IF(HOUR(Table1[[#This Row],[CORREO]])&gt;=11,WORKDAY(Table1[[#This Row],[CORREO]],1,Table2[Dias no laborales]),E678)</f>
        <v>0</v>
      </c>
      <c r="G678" s="8">
        <v>45856</v>
      </c>
      <c r="H678" s="6">
        <f t="shared" si="20"/>
        <v>24</v>
      </c>
      <c r="I678" s="16">
        <f>MAX(1, NETWORKDAYS(A678, G678,Table2[Dias no laborales]))</f>
        <v>24</v>
      </c>
      <c r="J678" s="6" t="str">
        <f>IF(Table1[[#This Row],[FIN]]="","Acumulado",IF(ISNUMBER(SEARCH("ASAP",C678)),"ASAP",IF(NETWORKDAYS.INTL(F678,G678,1,Table2[Dias no laborales]) &lt;= 7, "Dentro", IF(A678&gt;F678,"Programado","Fuera"))))</f>
        <v>Programado</v>
      </c>
      <c r="K678" s="6" t="str">
        <f t="shared" si="21"/>
        <v>Programados</v>
      </c>
      <c r="L678" s="9">
        <v>45825</v>
      </c>
      <c r="M678" s="17">
        <f>MAX(1,NETWORKDAYS(A678,L678,Table2[Dias no laborales]))</f>
        <v>1</v>
      </c>
    </row>
    <row r="679" spans="1:13" hidden="1" x14ac:dyDescent="0.3">
      <c r="A679" s="8">
        <v>45825</v>
      </c>
      <c r="B679" s="6" t="s">
        <v>1356</v>
      </c>
      <c r="C679" s="6" t="s">
        <v>1357</v>
      </c>
      <c r="D679" s="6" t="s">
        <v>916</v>
      </c>
      <c r="E679" s="14">
        <v>45821.630555555559</v>
      </c>
      <c r="F679" s="8">
        <f>IF(HOUR(Table1[[#This Row],[CORREO]])&gt;=11,WORKDAY(Table1[[#This Row],[CORREO]],1,Table2[Dias no laborales]),E679)</f>
        <v>45824</v>
      </c>
      <c r="G679" s="8">
        <v>45827</v>
      </c>
      <c r="H679" s="6">
        <f t="shared" si="20"/>
        <v>24</v>
      </c>
      <c r="I679" s="16">
        <f>MAX(1, NETWORKDAYS(A679, G679,Table2[Dias no laborales]))</f>
        <v>3</v>
      </c>
      <c r="J679" s="6" t="str">
        <f>IF(Table1[[#This Row],[FIN]]="","Acumulado",IF(ISNUMBER(SEARCH("ASAP",C679)),"ASAP",IF(NETWORKDAYS.INTL(F679,G679,1,Table2[Dias no laborales]) &lt;= 7, "Dentro", IF(A679&gt;F679,"Programado","Fuera"))))</f>
        <v>Dentro</v>
      </c>
      <c r="K679" s="6" t="str">
        <f t="shared" si="21"/>
        <v>Programados</v>
      </c>
      <c r="L679" s="9">
        <v>45827</v>
      </c>
      <c r="M679" s="17">
        <f>MAX(1,NETWORKDAYS(A679,L679,Table2[Dias no laborales]))</f>
        <v>3</v>
      </c>
    </row>
    <row r="680" spans="1:13" hidden="1" x14ac:dyDescent="0.3">
      <c r="A680" s="8">
        <v>45825</v>
      </c>
      <c r="B680" s="5" t="s">
        <v>1283</v>
      </c>
      <c r="C680" s="5" t="s">
        <v>1284</v>
      </c>
      <c r="D680" s="5" t="s">
        <v>761</v>
      </c>
      <c r="E680" s="14">
        <v>45821.67291666667</v>
      </c>
      <c r="F680" s="8">
        <f>IF(HOUR(Table1[[#This Row],[CORREO]])&gt;=11,WORKDAY(Table1[[#This Row],[CORREO]],1,Table2[Dias no laborales]),E680)</f>
        <v>45824</v>
      </c>
      <c r="G680" s="8">
        <v>45838</v>
      </c>
      <c r="H680" s="6">
        <f t="shared" si="20"/>
        <v>24</v>
      </c>
      <c r="I680" s="16">
        <f>MAX(1, NETWORKDAYS(A680, G680,Table2[Dias no laborales]))</f>
        <v>10</v>
      </c>
      <c r="J680" s="6" t="str">
        <f>IF(Table1[[#This Row],[FIN]]="","Acumulado",IF(ISNUMBER(SEARCH("ASAP",C680)),"ASAP",IF(NETWORKDAYS.INTL(F680,G680,1,Table2[Dias no laborales]) &lt;= 7, "Dentro", IF(A680&gt;F680,"Programado","Fuera"))))</f>
        <v>Programado</v>
      </c>
      <c r="K680" s="6" t="str">
        <f t="shared" si="21"/>
        <v>Programados</v>
      </c>
      <c r="L680" s="9">
        <v>45828</v>
      </c>
      <c r="M680" s="17">
        <f>MAX(1,NETWORKDAYS(A680,L680,Table2[Dias no laborales]))</f>
        <v>4</v>
      </c>
    </row>
    <row r="681" spans="1:13" hidden="1" x14ac:dyDescent="0.3">
      <c r="A681" s="8">
        <v>45825</v>
      </c>
      <c r="B681" s="6" t="s">
        <v>1405</v>
      </c>
      <c r="C681" s="6" t="s">
        <v>1406</v>
      </c>
      <c r="D681" s="6" t="s">
        <v>517</v>
      </c>
      <c r="E681" s="14">
        <v>45824.414583333331</v>
      </c>
      <c r="F681" s="8">
        <f>IF(HOUR(Table1[[#This Row],[CORREO]])&gt;=11,WORKDAY(Table1[[#This Row],[CORREO]],1,Table2[Dias no laborales]),E681)</f>
        <v>45824.414583333331</v>
      </c>
      <c r="G681" s="8">
        <v>45825</v>
      </c>
      <c r="H681" s="6">
        <f t="shared" si="20"/>
        <v>24</v>
      </c>
      <c r="I681" s="16">
        <f>MAX(1, NETWORKDAYS(A681, G681,Table2[Dias no laborales]))</f>
        <v>1</v>
      </c>
      <c r="J681" s="6" t="str">
        <f>IF(Table1[[#This Row],[FIN]]="","Acumulado",IF(ISNUMBER(SEARCH("ASAP",C681)),"ASAP",IF(NETWORKDAYS.INTL(F681,G681,1,Table2[Dias no laborales]) &lt;= 7, "Dentro", IF(A681&gt;F681,"Programado","Fuera"))))</f>
        <v>Dentro</v>
      </c>
      <c r="K681" s="6" t="str">
        <f t="shared" si="21"/>
        <v>Programados</v>
      </c>
      <c r="L681" s="9">
        <v>45825</v>
      </c>
      <c r="M681" s="17">
        <f>MAX(1,NETWORKDAYS(A681,L681,Table2[Dias no laborales]))</f>
        <v>1</v>
      </c>
    </row>
    <row r="682" spans="1:13" hidden="1" x14ac:dyDescent="0.3">
      <c r="A682" s="8">
        <v>45825</v>
      </c>
      <c r="B682" s="6" t="s">
        <v>1324</v>
      </c>
      <c r="C682" s="6" t="s">
        <v>1325</v>
      </c>
      <c r="D682" s="6" t="s">
        <v>24</v>
      </c>
      <c r="E682" s="14">
        <v>45824.745833333334</v>
      </c>
      <c r="F682" s="8">
        <f>IF(HOUR(Table1[[#This Row],[CORREO]])&gt;=11,WORKDAY(Table1[[#This Row],[CORREO]],1,Table2[Dias no laborales]),E682)</f>
        <v>45825</v>
      </c>
      <c r="G682" s="8">
        <v>45831</v>
      </c>
      <c r="H682" s="6">
        <f t="shared" si="20"/>
        <v>24</v>
      </c>
      <c r="I682" s="16">
        <f>MAX(1, NETWORKDAYS(A682, G682,Table2[Dias no laborales]))</f>
        <v>5</v>
      </c>
      <c r="J682" s="6" t="str">
        <f>IF(Table1[[#This Row],[FIN]]="","Acumulado",IF(ISNUMBER(SEARCH("ASAP",C682)),"ASAP",IF(NETWORKDAYS.INTL(F682,G682,1,Table2[Dias no laborales]) &lt;= 7, "Dentro", IF(A682&gt;F682,"Programado","Fuera"))))</f>
        <v>Dentro</v>
      </c>
      <c r="K682" s="6" t="str">
        <f t="shared" si="21"/>
        <v>A tiempo</v>
      </c>
      <c r="L682" s="9">
        <v>45827</v>
      </c>
      <c r="M682" s="17">
        <f>MAX(1,NETWORKDAYS(A682,L682,Table2[Dias no laborales]))</f>
        <v>3</v>
      </c>
    </row>
    <row r="683" spans="1:13" hidden="1" x14ac:dyDescent="0.3">
      <c r="A683" s="8">
        <v>45825</v>
      </c>
      <c r="B683" s="6" t="s">
        <v>1376</v>
      </c>
      <c r="C683" s="6" t="s">
        <v>1377</v>
      </c>
      <c r="D683" s="6" t="s">
        <v>423</v>
      </c>
      <c r="E683" s="14">
        <v>45825.445833333331</v>
      </c>
      <c r="F683" s="8">
        <f>IF(HOUR(Table1[[#This Row],[CORREO]])&gt;=11,WORKDAY(Table1[[#This Row],[CORREO]],1,Table2[Dias no laborales]),E683)</f>
        <v>45825.445833333331</v>
      </c>
      <c r="G683" s="8">
        <v>45826</v>
      </c>
      <c r="H683" s="6">
        <f t="shared" si="20"/>
        <v>24</v>
      </c>
      <c r="I683" s="16">
        <f>MAX(1, NETWORKDAYS(A683, G683,Table2[Dias no laborales]))</f>
        <v>2</v>
      </c>
      <c r="J683" s="6" t="str">
        <f>IF(Table1[[#This Row],[FIN]]="","Acumulado",IF(ISNUMBER(SEARCH("ASAP",C683)),"ASAP",IF(NETWORKDAYS.INTL(F683,G683,1,Table2[Dias no laborales]) &lt;= 7, "Dentro", IF(A683&gt;F683,"Programado","Fuera"))))</f>
        <v>Dentro</v>
      </c>
      <c r="K683" s="6" t="str">
        <f t="shared" si="21"/>
        <v>A tiempo</v>
      </c>
      <c r="L683" s="9">
        <v>45825</v>
      </c>
      <c r="M683" s="17">
        <f>MAX(1,NETWORKDAYS(A683,L683,Table2[Dias no laborales]))</f>
        <v>1</v>
      </c>
    </row>
    <row r="684" spans="1:13" hidden="1" x14ac:dyDescent="0.3">
      <c r="A684" s="8">
        <v>45825</v>
      </c>
      <c r="B684" s="6" t="s">
        <v>1358</v>
      </c>
      <c r="C684" s="6" t="s">
        <v>1359</v>
      </c>
      <c r="D684" s="6" t="s">
        <v>1360</v>
      </c>
      <c r="E684" s="14">
        <v>45825.536111111112</v>
      </c>
      <c r="F684" s="8">
        <f>IF(HOUR(Table1[[#This Row],[CORREO]])&gt;=11,WORKDAY(Table1[[#This Row],[CORREO]],1,Table2[Dias no laborales]),E684)</f>
        <v>45826</v>
      </c>
      <c r="G684" s="8">
        <v>45827</v>
      </c>
      <c r="H684" s="6">
        <f t="shared" si="20"/>
        <v>24</v>
      </c>
      <c r="I684" s="16">
        <f>MAX(1, NETWORKDAYS(A684, G684,Table2[Dias no laborales]))</f>
        <v>3</v>
      </c>
      <c r="J684" s="6" t="str">
        <f>IF(Table1[[#This Row],[FIN]]="","Acumulado",IF(ISNUMBER(SEARCH("ASAP",C684)),"ASAP",IF(NETWORKDAYS.INTL(F684,G684,1,Table2[Dias no laborales]) &lt;= 7, "Dentro", IF(A684&gt;F684,"Programado","Fuera"))))</f>
        <v>Dentro</v>
      </c>
      <c r="K684" s="6" t="str">
        <f t="shared" si="21"/>
        <v>Mismo día</v>
      </c>
      <c r="L684" s="9">
        <v>45827</v>
      </c>
      <c r="M684" s="17">
        <f>MAX(1,NETWORKDAYS(A684,L684,Table2[Dias no laborales]))</f>
        <v>3</v>
      </c>
    </row>
    <row r="685" spans="1:13" hidden="1" x14ac:dyDescent="0.3">
      <c r="A685" s="8">
        <v>45826</v>
      </c>
      <c r="B685" s="6" t="s">
        <v>1411</v>
      </c>
      <c r="C685" s="6" t="s">
        <v>1412</v>
      </c>
      <c r="D685" s="6" t="s">
        <v>517</v>
      </c>
      <c r="E685" s="14">
        <v>45825.540277777778</v>
      </c>
      <c r="F685" s="8">
        <f>IF(HOUR(Table1[[#This Row],[CORREO]])&gt;=11,WORKDAY(Table1[[#This Row],[CORREO]],1,Table2[Dias no laborales]),E685)</f>
        <v>45826</v>
      </c>
      <c r="G685" s="8">
        <v>45826</v>
      </c>
      <c r="H685" s="6">
        <f t="shared" si="20"/>
        <v>25</v>
      </c>
      <c r="I685" s="16">
        <f>MAX(1, NETWORKDAYS(A685, G685,Table2[Dias no laborales]))</f>
        <v>1</v>
      </c>
      <c r="J685" s="6" t="str">
        <f>IF(Table1[[#This Row],[FIN]]="","Acumulado",IF(ISNUMBER(SEARCH("ASAP",C685)),"ASAP",IF(NETWORKDAYS.INTL(F685,G685,1,Table2[Dias no laborales]) &lt;= 7, "Dentro", IF(A685&gt;F685,"Programado","Fuera"))))</f>
        <v>Dentro</v>
      </c>
      <c r="K685" s="6" t="str">
        <f t="shared" si="21"/>
        <v>A tiempo</v>
      </c>
      <c r="L685" s="9">
        <v>45826</v>
      </c>
      <c r="M685" s="17">
        <f>MAX(1,NETWORKDAYS(A685,L685,Table2[Dias no laborales]))</f>
        <v>1</v>
      </c>
    </row>
    <row r="686" spans="1:13" hidden="1" x14ac:dyDescent="0.3">
      <c r="A686" s="8">
        <v>45826</v>
      </c>
      <c r="B686" s="6" t="s">
        <v>1409</v>
      </c>
      <c r="C686" s="6" t="s">
        <v>1410</v>
      </c>
      <c r="D686" s="6" t="s">
        <v>154</v>
      </c>
      <c r="E686" s="14">
        <v>45825.613888888889</v>
      </c>
      <c r="F686" s="8">
        <f>IF(HOUR(Table1[[#This Row],[CORREO]])&gt;=11,WORKDAY(Table1[[#This Row],[CORREO]],1,Table2[Dias no laborales]),E686)</f>
        <v>45826</v>
      </c>
      <c r="G686" s="8">
        <v>45826</v>
      </c>
      <c r="H686" s="6">
        <f t="shared" si="20"/>
        <v>25</v>
      </c>
      <c r="I686" s="16">
        <f>MAX(1, NETWORKDAYS(A686, G686,Table2[Dias no laborales]))</f>
        <v>1</v>
      </c>
      <c r="J686" s="6" t="str">
        <f>IF(Table1[[#This Row],[FIN]]="","Acumulado",IF(ISNUMBER(SEARCH("ASAP",C686)),"ASAP",IF(NETWORKDAYS.INTL(F686,G686,1,Table2[Dias no laborales]) &lt;= 7, "Dentro", IF(A686&gt;F686,"Programado","Fuera"))))</f>
        <v>Dentro</v>
      </c>
      <c r="K686" s="6" t="str">
        <f t="shared" si="21"/>
        <v>A tiempo</v>
      </c>
      <c r="L686" s="9">
        <v>45826</v>
      </c>
      <c r="M686" s="17">
        <f>MAX(1,NETWORKDAYS(A686,L686,Table2[Dias no laborales]))</f>
        <v>1</v>
      </c>
    </row>
    <row r="687" spans="1:13" hidden="1" x14ac:dyDescent="0.3">
      <c r="A687" s="8">
        <v>45826</v>
      </c>
      <c r="B687" s="6" t="s">
        <v>1361</v>
      </c>
      <c r="C687" s="6" t="s">
        <v>1362</v>
      </c>
      <c r="D687" s="6" t="s">
        <v>119</v>
      </c>
      <c r="E687" s="14">
        <v>45825.677083333336</v>
      </c>
      <c r="F687" s="8">
        <f>IF(HOUR(Table1[[#This Row],[CORREO]])&gt;=11,WORKDAY(Table1[[#This Row],[CORREO]],1,Table2[Dias no laborales]),E687)</f>
        <v>45826</v>
      </c>
      <c r="G687" s="8">
        <v>45828</v>
      </c>
      <c r="H687" s="6">
        <f t="shared" si="20"/>
        <v>25</v>
      </c>
      <c r="I687" s="16">
        <f>MAX(1, NETWORKDAYS(A687, G687,Table2[Dias no laborales]))</f>
        <v>3</v>
      </c>
      <c r="J687" s="6" t="str">
        <f>IF(Table1[[#This Row],[FIN]]="","Acumulado",IF(ISNUMBER(SEARCH("ASAP",C687)),"ASAP",IF(NETWORKDAYS.INTL(F687,G687,1,Table2[Dias no laborales]) &lt;= 7, "Dentro", IF(A687&gt;F687,"Programado","Fuera"))))</f>
        <v>Dentro</v>
      </c>
      <c r="K687" s="6" t="str">
        <f t="shared" si="21"/>
        <v>A tiempo</v>
      </c>
      <c r="L687" s="9">
        <v>45826</v>
      </c>
      <c r="M687" s="17">
        <f>MAX(1,NETWORKDAYS(A687,L687,Table2[Dias no laborales]))</f>
        <v>1</v>
      </c>
    </row>
    <row r="688" spans="1:13" hidden="1" x14ac:dyDescent="0.3">
      <c r="A688" s="8">
        <v>45826</v>
      </c>
      <c r="B688" s="6" t="s">
        <v>1407</v>
      </c>
      <c r="C688" s="6" t="s">
        <v>1408</v>
      </c>
      <c r="D688" s="6" t="s">
        <v>24</v>
      </c>
      <c r="E688" s="14">
        <v>45826.357638888891</v>
      </c>
      <c r="F688" s="8">
        <f>IF(HOUR(Table1[[#This Row],[CORREO]])&gt;=11,WORKDAY(Table1[[#This Row],[CORREO]],1,Table2[Dias no laborales]),E688)</f>
        <v>45826.357638888891</v>
      </c>
      <c r="G688" s="8">
        <v>45826</v>
      </c>
      <c r="H688" s="6">
        <f t="shared" si="20"/>
        <v>25</v>
      </c>
      <c r="I688" s="16">
        <f>MAX(1, NETWORKDAYS(A688, G688,Table2[Dias no laborales]))</f>
        <v>1</v>
      </c>
      <c r="J688" s="6" t="str">
        <f>IF(Table1[[#This Row],[FIN]]="","Acumulado",IF(ISNUMBER(SEARCH("ASAP",C688)),"ASAP",IF(NETWORKDAYS.INTL(F688,G688,1,Table2[Dias no laborales]) &lt;= 7, "Dentro", IF(A688&gt;F688,"Programado","Fuera"))))</f>
        <v>Dentro</v>
      </c>
      <c r="K688" s="6" t="str">
        <f t="shared" si="21"/>
        <v>A tiempo</v>
      </c>
      <c r="L688" s="9">
        <v>45826</v>
      </c>
      <c r="M688" s="17">
        <f>MAX(1,NETWORKDAYS(A688,L688,Table2[Dias no laborales]))</f>
        <v>1</v>
      </c>
    </row>
    <row r="689" spans="1:13" hidden="1" x14ac:dyDescent="0.3">
      <c r="A689" s="8">
        <v>45826</v>
      </c>
      <c r="B689" s="6" t="s">
        <v>1378</v>
      </c>
      <c r="C689" s="6" t="s">
        <v>1379</v>
      </c>
      <c r="D689" s="6" t="s">
        <v>133</v>
      </c>
      <c r="E689" s="14">
        <v>45826.367361111108</v>
      </c>
      <c r="F689" s="8">
        <f>IF(HOUR(Table1[[#This Row],[CORREO]])&gt;=11,WORKDAY(Table1[[#This Row],[CORREO]],1,Table2[Dias no laborales]),E689)</f>
        <v>45826.367361111108</v>
      </c>
      <c r="G689" s="8">
        <v>45827</v>
      </c>
      <c r="H689" s="6">
        <f t="shared" si="20"/>
        <v>25</v>
      </c>
      <c r="I689" s="16">
        <f>MAX(1, NETWORKDAYS(A689, G689,Table2[Dias no laborales]))</f>
        <v>2</v>
      </c>
      <c r="J689" s="6" t="str">
        <f>IF(Table1[[#This Row],[FIN]]="","Acumulado",IF(ISNUMBER(SEARCH("ASAP",C689)),"ASAP",IF(NETWORKDAYS.INTL(F689,G689,1,Table2[Dias no laborales]) &lt;= 7, "Dentro", IF(A689&gt;F689,"Programado","Fuera"))))</f>
        <v>Dentro</v>
      </c>
      <c r="K689" s="6" t="str">
        <f t="shared" si="21"/>
        <v>A tiempo</v>
      </c>
      <c r="L689" s="9">
        <v>45827</v>
      </c>
      <c r="M689" s="17">
        <f>MAX(1,NETWORKDAYS(A689,L689,Table2[Dias no laborales]))</f>
        <v>2</v>
      </c>
    </row>
    <row r="690" spans="1:13" hidden="1" x14ac:dyDescent="0.3">
      <c r="A690" s="8">
        <v>45885</v>
      </c>
      <c r="B690" s="5" t="s">
        <v>1855</v>
      </c>
      <c r="C690" s="5" t="s">
        <v>1856</v>
      </c>
      <c r="D690" s="5" t="s">
        <v>504</v>
      </c>
      <c r="E690" s="14">
        <v>45826.480555555558</v>
      </c>
      <c r="F690" s="8">
        <f>IF(HOUR(Table1[[#This Row],[CORREO]])&gt;=11,WORKDAY(Table1[[#This Row],[CORREO]],1,Table2[Dias no laborales]),E690)</f>
        <v>45827</v>
      </c>
      <c r="G690" s="8">
        <v>45897</v>
      </c>
      <c r="H690" s="6">
        <f t="shared" si="20"/>
        <v>33</v>
      </c>
      <c r="I690" s="16">
        <f>MAX(1, NETWORKDAYS(A690, G690,Table2[Dias no laborales]))</f>
        <v>9</v>
      </c>
      <c r="J690" s="6" t="str">
        <f>IF(Table1[[#This Row],[FIN]]="","Acumulado",IF(ISNUMBER(SEARCH("ASAP",C690)),"ASAP",IF(NETWORKDAYS.INTL(F690,G690,1,Table2[Dias no laborales]) &lt;= 7, "Dentro", IF(A690&gt;F690,"Programado","Fuera"))))</f>
        <v>Programado</v>
      </c>
      <c r="K690" s="6" t="str">
        <f t="shared" si="21"/>
        <v>Programados</v>
      </c>
      <c r="L690" s="9">
        <v>45827</v>
      </c>
      <c r="M690" s="17">
        <f>MAX(1,NETWORKDAYS(A690,L690,Table2[Dias no laborales]))</f>
        <v>1</v>
      </c>
    </row>
    <row r="691" spans="1:13" hidden="1" x14ac:dyDescent="0.3">
      <c r="A691" s="8">
        <v>45827</v>
      </c>
      <c r="B691" s="6" t="s">
        <v>1336</v>
      </c>
      <c r="C691" s="6" t="s">
        <v>1337</v>
      </c>
      <c r="D691" s="6" t="s">
        <v>133</v>
      </c>
      <c r="E691" s="14">
        <v>45826.604166666664</v>
      </c>
      <c r="F691" s="8">
        <f>IF(HOUR(Table1[[#This Row],[CORREO]])&gt;=11,WORKDAY(Table1[[#This Row],[CORREO]],1,Table2[Dias no laborales]),E691)</f>
        <v>45827</v>
      </c>
      <c r="G691" s="8">
        <v>45832</v>
      </c>
      <c r="H691" s="6">
        <f t="shared" si="20"/>
        <v>25</v>
      </c>
      <c r="I691" s="16">
        <f>MAX(1, NETWORKDAYS(A691, G691,Table2[Dias no laborales]))</f>
        <v>4</v>
      </c>
      <c r="J691" s="6" t="str">
        <f>IF(Table1[[#This Row],[FIN]]="","Acumulado",IF(ISNUMBER(SEARCH("ASAP",C691)),"ASAP",IF(NETWORKDAYS.INTL(F691,G691,1,Table2[Dias no laborales]) &lt;= 7, "Dentro", IF(A691&gt;F691,"Programado","Fuera"))))</f>
        <v>Dentro</v>
      </c>
      <c r="K691" s="6" t="str">
        <f t="shared" si="21"/>
        <v>A tiempo</v>
      </c>
      <c r="L691" s="9">
        <v>45827</v>
      </c>
      <c r="M691" s="17">
        <f>MAX(1,NETWORKDAYS(A691,L691,Table2[Dias no laborales]))</f>
        <v>1</v>
      </c>
    </row>
    <row r="692" spans="1:13" hidden="1" x14ac:dyDescent="0.3">
      <c r="A692" s="12">
        <v>45827</v>
      </c>
      <c r="B692" s="6" t="s">
        <v>1413</v>
      </c>
      <c r="C692" s="6" t="s">
        <v>1414</v>
      </c>
      <c r="D692" s="6" t="s">
        <v>1415</v>
      </c>
      <c r="E692" s="14">
        <v>45826.702777777777</v>
      </c>
      <c r="F692" s="12">
        <f>IF(HOUR(Table1[[#This Row],[CORREO]])&gt;=11,WORKDAY(Table1[[#This Row],[CORREO]],1,Table2[Dias no laborales]),E692)</f>
        <v>45827</v>
      </c>
      <c r="G692" s="8">
        <v>45827</v>
      </c>
      <c r="H692" s="16">
        <f t="shared" si="20"/>
        <v>25</v>
      </c>
      <c r="I692" s="16">
        <f>MAX(1, NETWORKDAYS(A692, G692,Table2[Dias no laborales]))</f>
        <v>1</v>
      </c>
      <c r="J692" s="6" t="str">
        <f>IF(Table1[[#This Row],[FIN]]="","Acumulado",IF(ISNUMBER(SEARCH("ASAP",C692)),"ASAP",IF(NETWORKDAYS.INTL(F692,G692,1,Table2[Dias no laborales]) &lt;= 7, "Dentro", IF(A692&gt;F692,"Programado","Fuera"))))</f>
        <v>Dentro</v>
      </c>
      <c r="K692" s="16" t="str">
        <f t="shared" si="21"/>
        <v>A tiempo</v>
      </c>
      <c r="L692" s="9">
        <v>45827</v>
      </c>
      <c r="M692" s="18">
        <f>MAX(1,NETWORKDAYS(A692,L692,Table2[Dias no laborales]))</f>
        <v>1</v>
      </c>
    </row>
    <row r="693" spans="1:13" hidden="1" x14ac:dyDescent="0.3">
      <c r="A693" s="8">
        <v>45842</v>
      </c>
      <c r="B693" s="5" t="s">
        <v>1636</v>
      </c>
      <c r="C693" s="5" t="s">
        <v>1637</v>
      </c>
      <c r="D693" s="5" t="s">
        <v>989</v>
      </c>
      <c r="E693" s="14">
        <v>45827.013194444444</v>
      </c>
      <c r="F693" s="8">
        <f>IF(HOUR(Table1[[#This Row],[CORREO]])&gt;=11,WORKDAY(Table1[[#This Row],[CORREO]],1,Table2[Dias no laborales]),E693)</f>
        <v>45827.013194444444</v>
      </c>
      <c r="G693" s="8">
        <v>45867</v>
      </c>
      <c r="H693" s="6">
        <f t="shared" si="20"/>
        <v>27</v>
      </c>
      <c r="I693" s="16">
        <f>MAX(1, NETWORKDAYS(A693, G693,Table2[Dias no laborales]))</f>
        <v>18</v>
      </c>
      <c r="J693" s="6" t="str">
        <f>IF(Table1[[#This Row],[FIN]]="","Acumulado",IF(ISNUMBER(SEARCH("ASAP",C693)),"ASAP",IF(NETWORKDAYS.INTL(F693,G693,1,Table2[Dias no laborales]) &lt;= 7, "Dentro", IF(A693&gt;F693,"Programado","Fuera"))))</f>
        <v>Programado</v>
      </c>
      <c r="K693" s="6" t="str">
        <f t="shared" si="21"/>
        <v>Programados</v>
      </c>
      <c r="L693" s="9">
        <v>45827</v>
      </c>
      <c r="M693" s="17">
        <f>MAX(1,NETWORKDAYS(A693,L693,Table2[Dias no laborales]))</f>
        <v>1</v>
      </c>
    </row>
    <row r="694" spans="1:13" hidden="1" x14ac:dyDescent="0.3">
      <c r="A694" s="8">
        <v>45882</v>
      </c>
      <c r="B694" s="6" t="s">
        <v>1897</v>
      </c>
      <c r="C694" s="6" t="s">
        <v>1898</v>
      </c>
      <c r="D694" s="6" t="s">
        <v>517</v>
      </c>
      <c r="E694" s="14">
        <v>45827.354166666664</v>
      </c>
      <c r="F694" s="8">
        <f>IF(HOUR(Table1[[#This Row],[CORREO]])&gt;=11,WORKDAY(Table1[[#This Row],[CORREO]],1,Table2[Dias no laborales]),E694)</f>
        <v>45827.354166666664</v>
      </c>
      <c r="G694" s="8">
        <v>45917</v>
      </c>
      <c r="H694" s="6">
        <f t="shared" si="20"/>
        <v>33</v>
      </c>
      <c r="I694" s="16">
        <f>MAX(1, NETWORKDAYS(A694, G694,Table2[Dias no laborales]))</f>
        <v>26</v>
      </c>
      <c r="J694" s="6" t="str">
        <f>IF(Table1[[#This Row],[FIN]]="","Acumulado",IF(ISNUMBER(SEARCH("ASAP",C694)),"ASAP",IF(NETWORKDAYS.INTL(F694,G694,1,Table2[Dias no laborales]) &lt;= 7, "Dentro", IF(A694&gt;F694,"Programado","Fuera"))))</f>
        <v>Programado</v>
      </c>
      <c r="K694" s="6" t="str">
        <f t="shared" si="21"/>
        <v>Programados</v>
      </c>
      <c r="L694" s="9">
        <v>45827</v>
      </c>
      <c r="M694" s="17">
        <f>MAX(1,NETWORKDAYS(A694,L694,Table2[Dias no laborales]))</f>
        <v>1</v>
      </c>
    </row>
    <row r="695" spans="1:13" hidden="1" x14ac:dyDescent="0.3">
      <c r="A695" s="8">
        <v>45828</v>
      </c>
      <c r="B695" s="6" t="s">
        <v>1338</v>
      </c>
      <c r="C695" s="6" t="s">
        <v>1339</v>
      </c>
      <c r="D695" s="6" t="s">
        <v>24</v>
      </c>
      <c r="E695" s="14"/>
      <c r="F695" s="8">
        <f>IF(HOUR(Table1[[#This Row],[CORREO]])&gt;=11,WORKDAY(Table1[[#This Row],[CORREO]],1,Table2[Dias no laborales]),E695)</f>
        <v>0</v>
      </c>
      <c r="G695" s="8">
        <v>45833</v>
      </c>
      <c r="H695" s="6">
        <f t="shared" si="20"/>
        <v>25</v>
      </c>
      <c r="I695" s="16">
        <f>MAX(1, NETWORKDAYS(A695, G695,Table2[Dias no laborales]))</f>
        <v>4</v>
      </c>
      <c r="J695" s="6" t="str">
        <f>IF(Table1[[#This Row],[FIN]]="","Acumulado",IF(ISNUMBER(SEARCH("ASAP",C695)),"ASAP",IF(NETWORKDAYS.INTL(F695,G695,1,Table2[Dias no laborales]) &lt;= 7, "Dentro", IF(A695&gt;F695,"Programado","Fuera"))))</f>
        <v>Programado</v>
      </c>
      <c r="K695" s="6" t="str">
        <f t="shared" si="21"/>
        <v>Programados</v>
      </c>
      <c r="L695" s="9">
        <v>45828</v>
      </c>
      <c r="M695" s="17">
        <f>MAX(1,NETWORKDAYS(A695,L695,Table2[Dias no laborales]))</f>
        <v>1</v>
      </c>
    </row>
    <row r="696" spans="1:13" hidden="1" x14ac:dyDescent="0.3">
      <c r="A696" s="8">
        <v>45828</v>
      </c>
      <c r="B696" s="6" t="s">
        <v>1488</v>
      </c>
      <c r="C696" s="6" t="s">
        <v>1489</v>
      </c>
      <c r="D696" s="6" t="s">
        <v>989</v>
      </c>
      <c r="E696" s="14">
        <v>0</v>
      </c>
      <c r="F696" s="8">
        <f>IF(HOUR(Table1[[#This Row],[CORREO]])&gt;=11,WORKDAY(Table1[[#This Row],[CORREO]],1,Table2[Dias no laborales]),E696)</f>
        <v>0</v>
      </c>
      <c r="G696" s="8">
        <v>45848</v>
      </c>
      <c r="H696" s="6">
        <f t="shared" si="20"/>
        <v>25</v>
      </c>
      <c r="I696" s="16">
        <f>MAX(1, NETWORKDAYS(A696, G696,Table2[Dias no laborales]))</f>
        <v>15</v>
      </c>
      <c r="J696" s="6" t="str">
        <f>IF(Table1[[#This Row],[FIN]]="","Acumulado",IF(ISNUMBER(SEARCH("ASAP",C696)),"ASAP",IF(NETWORKDAYS.INTL(F696,G696,1,Table2[Dias no laborales]) &lt;= 7, "Dentro", IF(A696&gt;F696,"Programado","Fuera"))))</f>
        <v>Programado</v>
      </c>
      <c r="K696" s="6" t="str">
        <f t="shared" si="21"/>
        <v>Programados</v>
      </c>
      <c r="L696" s="9">
        <v>45828</v>
      </c>
      <c r="M696" s="17">
        <f>MAX(1,NETWORKDAYS(A696,L696,Table2[Dias no laborales]))</f>
        <v>1</v>
      </c>
    </row>
    <row r="697" spans="1:13" hidden="1" x14ac:dyDescent="0.3">
      <c r="A697" s="8">
        <v>45831</v>
      </c>
      <c r="B697" s="5" t="s">
        <v>1326</v>
      </c>
      <c r="C697" s="5" t="s">
        <v>1327</v>
      </c>
      <c r="D697" s="5" t="s">
        <v>27</v>
      </c>
      <c r="E697" s="14">
        <v>45828.583333333336</v>
      </c>
      <c r="F697" s="8">
        <f>IF(HOUR(Table1[[#This Row],[CORREO]])&gt;=11,WORKDAY(Table1[[#This Row],[CORREO]],1,Table2[Dias no laborales]),E697)</f>
        <v>45831</v>
      </c>
      <c r="G697" s="8">
        <v>45835</v>
      </c>
      <c r="H697" s="6">
        <f t="shared" si="20"/>
        <v>25</v>
      </c>
      <c r="I697" s="16">
        <f>MAX(1, NETWORKDAYS(A697, G697,Table2[Dias no laborales]))</f>
        <v>5</v>
      </c>
      <c r="J697" s="6" t="str">
        <f>IF(Table1[[#This Row],[FIN]]="","Acumulado",IF(ISNUMBER(SEARCH("ASAP",C697)),"ASAP",IF(NETWORKDAYS.INTL(F697,G697,1,Table2[Dias no laborales]) &lt;= 7, "Dentro", IF(A697&gt;F697,"Programado","Fuera"))))</f>
        <v>Dentro</v>
      </c>
      <c r="K697" s="6" t="str">
        <f t="shared" si="21"/>
        <v>A tiempo</v>
      </c>
      <c r="L697" s="9">
        <v>45832</v>
      </c>
      <c r="M697" s="17">
        <f>MAX(1,NETWORKDAYS(A697,L697,Table2[Dias no laborales]))</f>
        <v>2</v>
      </c>
    </row>
    <row r="698" spans="1:13" hidden="1" x14ac:dyDescent="0.3">
      <c r="A698" s="8">
        <v>45831</v>
      </c>
      <c r="B698" s="5" t="s">
        <v>1314</v>
      </c>
      <c r="C698" s="5" t="s">
        <v>1315</v>
      </c>
      <c r="D698" s="5" t="s">
        <v>392</v>
      </c>
      <c r="E698" s="14">
        <v>45829.085416666669</v>
      </c>
      <c r="F698" s="8">
        <f>IF(HOUR(Table1[[#This Row],[CORREO]])&gt;=11,WORKDAY(Table1[[#This Row],[CORREO]],1,Table2[Dias no laborales]),E698)</f>
        <v>45829.085416666669</v>
      </c>
      <c r="G698" s="8">
        <v>45838</v>
      </c>
      <c r="H698" s="6">
        <f t="shared" si="20"/>
        <v>25</v>
      </c>
      <c r="I698" s="16">
        <f>MAX(1, NETWORKDAYS(A698, G698,Table2[Dias no laborales]))</f>
        <v>6</v>
      </c>
      <c r="J698" s="6" t="str">
        <f>IF(Table1[[#This Row],[FIN]]="","Acumulado",IF(ISNUMBER(SEARCH("ASAP",C698)),"ASAP",IF(NETWORKDAYS.INTL(F698,G698,1,Table2[Dias no laborales]) &lt;= 7, "Dentro", IF(A698&gt;F698,"Programado","Fuera"))))</f>
        <v>Dentro</v>
      </c>
      <c r="K698" s="6" t="str">
        <f t="shared" si="21"/>
        <v>Programados</v>
      </c>
      <c r="L698" s="9">
        <v>45831</v>
      </c>
      <c r="M698" s="17">
        <f>MAX(1,NETWORKDAYS(A698,L698,Table2[Dias no laborales]))</f>
        <v>1</v>
      </c>
    </row>
    <row r="699" spans="1:13" hidden="1" x14ac:dyDescent="0.3">
      <c r="A699" s="8">
        <v>45831</v>
      </c>
      <c r="B699" s="5" t="s">
        <v>1318</v>
      </c>
      <c r="C699" s="5" t="s">
        <v>1319</v>
      </c>
      <c r="D699" s="5" t="s">
        <v>194</v>
      </c>
      <c r="E699" s="14">
        <v>45831.359722222223</v>
      </c>
      <c r="F699" s="8">
        <f>IF(HOUR(Table1[[#This Row],[CORREO]])&gt;=11,WORKDAY(Table1[[#This Row],[CORREO]],1,Table2[Dias no laborales]),E699)</f>
        <v>45831.359722222223</v>
      </c>
      <c r="G699" s="8">
        <v>45838</v>
      </c>
      <c r="H699" s="6">
        <f t="shared" si="20"/>
        <v>25</v>
      </c>
      <c r="I699" s="16">
        <f>MAX(1, NETWORKDAYS(A699, G699,Table2[Dias no laborales]))</f>
        <v>6</v>
      </c>
      <c r="J699" s="6" t="str">
        <f>IF(Table1[[#This Row],[FIN]]="","Acumulado",IF(ISNUMBER(SEARCH("ASAP",C699)),"ASAP",IF(NETWORKDAYS.INTL(F699,G699,1,Table2[Dias no laborales]) &lt;= 7, "Dentro", IF(A699&gt;F699,"Programado","Fuera"))))</f>
        <v>Dentro</v>
      </c>
      <c r="K699" s="6" t="str">
        <f t="shared" si="21"/>
        <v>A tiempo</v>
      </c>
      <c r="L699" s="9">
        <v>45831</v>
      </c>
      <c r="M699" s="17">
        <f>MAX(1,NETWORKDAYS(A699,L699,Table2[Dias no laborales]))</f>
        <v>1</v>
      </c>
    </row>
    <row r="700" spans="1:13" hidden="1" x14ac:dyDescent="0.3">
      <c r="A700" s="8">
        <v>45831</v>
      </c>
      <c r="B700" s="5" t="s">
        <v>1316</v>
      </c>
      <c r="C700" s="5" t="s">
        <v>1317</v>
      </c>
      <c r="D700" s="5" t="s">
        <v>194</v>
      </c>
      <c r="E700" s="14">
        <v>45831.379861111112</v>
      </c>
      <c r="F700" s="8">
        <f>IF(HOUR(Table1[[#This Row],[CORREO]])&gt;=11,WORKDAY(Table1[[#This Row],[CORREO]],1,Table2[Dias no laborales]),E700)</f>
        <v>45831.379861111112</v>
      </c>
      <c r="G700" s="8">
        <v>45838</v>
      </c>
      <c r="H700" s="6">
        <f t="shared" si="20"/>
        <v>25</v>
      </c>
      <c r="I700" s="16">
        <f>MAX(1, NETWORKDAYS(A700, G700,Table2[Dias no laborales]))</f>
        <v>6</v>
      </c>
      <c r="J700" s="6" t="str">
        <f>IF(Table1[[#This Row],[FIN]]="","Acumulado",IF(ISNUMBER(SEARCH("ASAP",C700)),"ASAP",IF(NETWORKDAYS.INTL(F700,G700,1,Table2[Dias no laborales]) &lt;= 7, "Dentro", IF(A700&gt;F700,"Programado","Fuera"))))</f>
        <v>Dentro</v>
      </c>
      <c r="K700" s="6" t="str">
        <f t="shared" si="21"/>
        <v>A tiempo</v>
      </c>
      <c r="L700" s="9">
        <v>45832</v>
      </c>
      <c r="M700" s="17">
        <f>MAX(1,NETWORKDAYS(A700,L700,Table2[Dias no laborales]))</f>
        <v>2</v>
      </c>
    </row>
    <row r="701" spans="1:13" hidden="1" x14ac:dyDescent="0.3">
      <c r="A701" s="8">
        <v>45831</v>
      </c>
      <c r="B701" s="6" t="s">
        <v>1416</v>
      </c>
      <c r="C701" s="6" t="s">
        <v>123</v>
      </c>
      <c r="D701" s="6" t="s">
        <v>24</v>
      </c>
      <c r="E701" s="14">
        <v>45831.410416666666</v>
      </c>
      <c r="F701" s="8">
        <f>IF(HOUR(Table1[[#This Row],[CORREO]])&gt;=11,WORKDAY(Table1[[#This Row],[CORREO]],1,Table2[Dias no laborales]),E701)</f>
        <v>45831.410416666666</v>
      </c>
      <c r="G701" s="8">
        <v>45831</v>
      </c>
      <c r="H701" s="6">
        <f t="shared" si="20"/>
        <v>25</v>
      </c>
      <c r="I701" s="16">
        <f>MAX(1, NETWORKDAYS(A701, G701,Table2[Dias no laborales]))</f>
        <v>1</v>
      </c>
      <c r="J701" s="6" t="str">
        <f>IF(Table1[[#This Row],[FIN]]="","Acumulado",IF(ISNUMBER(SEARCH("ASAP",C701)),"ASAP",IF(NETWORKDAYS.INTL(F701,G701,1,Table2[Dias no laborales]) &lt;= 7, "Dentro", IF(A701&gt;F701,"Programado","Fuera"))))</f>
        <v>Dentro</v>
      </c>
      <c r="K701" s="6" t="str">
        <f t="shared" si="21"/>
        <v>A tiempo</v>
      </c>
      <c r="L701" s="9">
        <v>45831</v>
      </c>
      <c r="M701" s="17">
        <f>MAX(1,NETWORKDAYS(A701,L701,Table2[Dias no laborales]))</f>
        <v>1</v>
      </c>
    </row>
    <row r="702" spans="1:13" hidden="1" x14ac:dyDescent="0.3">
      <c r="A702" s="8">
        <v>45831</v>
      </c>
      <c r="B702" s="6" t="s">
        <v>1451</v>
      </c>
      <c r="C702" s="6" t="s">
        <v>1452</v>
      </c>
      <c r="D702" s="6" t="s">
        <v>754</v>
      </c>
      <c r="E702" s="14">
        <v>45831.456944444442</v>
      </c>
      <c r="F702" s="8">
        <f>IF(HOUR(Table1[[#This Row],[CORREO]])&gt;=11,WORKDAY(Table1[[#This Row],[CORREO]],1,Table2[Dias no laborales]),E702)</f>
        <v>45831.456944444442</v>
      </c>
      <c r="G702" s="8">
        <v>45842</v>
      </c>
      <c r="H702" s="6">
        <f t="shared" si="20"/>
        <v>25</v>
      </c>
      <c r="I702" s="16">
        <f>MAX(1, NETWORKDAYS(A702, G702,Table2[Dias no laborales]))</f>
        <v>10</v>
      </c>
      <c r="J702" s="6" t="str">
        <f>IF(Table1[[#This Row],[FIN]]="","Acumulado",IF(ISNUMBER(SEARCH("ASAP",C702)),"ASAP",IF(NETWORKDAYS.INTL(F702,G702,1,Table2[Dias no laborales]) &lt;= 7, "Dentro", IF(A702&gt;F702,"Programado","Fuera"))))</f>
        <v>Fuera</v>
      </c>
      <c r="K702" s="6" t="str">
        <f t="shared" si="21"/>
        <v>A tiempo</v>
      </c>
      <c r="L702" s="9">
        <v>45834</v>
      </c>
      <c r="M702" s="17">
        <f>MAX(1,NETWORKDAYS(A702,L702,Table2[Dias no laborales]))</f>
        <v>4</v>
      </c>
    </row>
    <row r="703" spans="1:13" hidden="1" x14ac:dyDescent="0.3">
      <c r="A703" s="8">
        <v>45832</v>
      </c>
      <c r="B703" s="5" t="s">
        <v>1328</v>
      </c>
      <c r="C703" s="5" t="s">
        <v>1329</v>
      </c>
      <c r="D703" s="5" t="s">
        <v>24</v>
      </c>
      <c r="E703" s="14"/>
      <c r="F703" s="8">
        <f>IF(HOUR(Table1[[#This Row],[CORREO]])&gt;=11,WORKDAY(Table1[[#This Row],[CORREO]],1,Table2[Dias no laborales]),E703)</f>
        <v>0</v>
      </c>
      <c r="G703" s="8">
        <v>45838</v>
      </c>
      <c r="H703" s="6">
        <f t="shared" si="20"/>
        <v>25</v>
      </c>
      <c r="I703" s="16">
        <f>MAX(1, NETWORKDAYS(A703, G703,Table2[Dias no laborales]))</f>
        <v>5</v>
      </c>
      <c r="J703" s="6" t="str">
        <f>IF(Table1[[#This Row],[FIN]]="","Acumulado",IF(ISNUMBER(SEARCH("ASAP",C703)),"ASAP",IF(NETWORKDAYS.INTL(F703,G703,1,Table2[Dias no laborales]) &lt;= 7, "Dentro", IF(A703&gt;F703,"Programado","Fuera"))))</f>
        <v>Programado</v>
      </c>
      <c r="K703" s="6" t="str">
        <f t="shared" si="21"/>
        <v>Programados</v>
      </c>
      <c r="L703" s="9">
        <v>45831</v>
      </c>
      <c r="M703" s="17">
        <f>MAX(1,NETWORKDAYS(A703,L703,Table2[Dias no laborales]))</f>
        <v>1</v>
      </c>
    </row>
    <row r="704" spans="1:13" hidden="1" x14ac:dyDescent="0.3">
      <c r="A704" s="8">
        <v>45832</v>
      </c>
      <c r="B704" s="5" t="s">
        <v>1380</v>
      </c>
      <c r="C704" s="5" t="s">
        <v>1381</v>
      </c>
      <c r="D704" s="5" t="s">
        <v>24</v>
      </c>
      <c r="E704" s="14">
        <v>45831.70416666667</v>
      </c>
      <c r="F704" s="8">
        <f>IF(HOUR(Table1[[#This Row],[CORREO]])&gt;=11,WORKDAY(Table1[[#This Row],[CORREO]],1,Table2[Dias no laborales]),E704)</f>
        <v>45832</v>
      </c>
      <c r="G704" s="8">
        <v>45833</v>
      </c>
      <c r="H704" s="6">
        <f t="shared" si="20"/>
        <v>25</v>
      </c>
      <c r="I704" s="16">
        <f>MAX(1, NETWORKDAYS(A704, G704,Table2[Dias no laborales]))</f>
        <v>2</v>
      </c>
      <c r="J704" s="6" t="str">
        <f>IF(Table1[[#This Row],[FIN]]="","Acumulado",IF(ISNUMBER(SEARCH("ASAP",C704)),"ASAP",IF(NETWORKDAYS.INTL(F704,G704,1,Table2[Dias no laborales]) &lt;= 7, "Dentro", IF(A704&gt;F704,"Programado","Fuera"))))</f>
        <v>Dentro</v>
      </c>
      <c r="K704" s="6" t="str">
        <f t="shared" si="21"/>
        <v>A tiempo</v>
      </c>
      <c r="L704" s="9">
        <v>45832</v>
      </c>
      <c r="M704" s="17">
        <f>MAX(1,NETWORKDAYS(A704,L704,Table2[Dias no laborales]))</f>
        <v>1</v>
      </c>
    </row>
    <row r="705" spans="1:13" hidden="1" x14ac:dyDescent="0.3">
      <c r="A705" s="8">
        <v>45862</v>
      </c>
      <c r="B705" s="6" t="s">
        <v>1923</v>
      </c>
      <c r="C705" s="6" t="s">
        <v>1924</v>
      </c>
      <c r="D705" s="6" t="s">
        <v>342</v>
      </c>
      <c r="E705" s="14">
        <v>45832.574999999997</v>
      </c>
      <c r="F705" s="8">
        <f>IF(HOUR(Table1[[#This Row],[CORREO]])&gt;=11,WORKDAY(Table1[[#This Row],[CORREO]],1,Table2[Dias no laborales]),E705)</f>
        <v>45833</v>
      </c>
      <c r="G705" s="8">
        <v>45905</v>
      </c>
      <c r="H705" s="6">
        <f t="shared" si="20"/>
        <v>30</v>
      </c>
      <c r="I705" s="16">
        <f>MAX(1, NETWORKDAYS(A705, G705,Table2[Dias no laborales]))</f>
        <v>32</v>
      </c>
      <c r="J705" s="6" t="str">
        <f>IF(Table1[[#This Row],[FIN]]="","Acumulado",IF(ISNUMBER(SEARCH("ASAP",C705)),"ASAP",IF(NETWORKDAYS.INTL(F705,G705,1,Table2[Dias no laborales]) &lt;= 7, "Dentro", IF(A705&gt;F705,"Programado","Fuera"))))</f>
        <v>Programado</v>
      </c>
      <c r="K705" s="6" t="str">
        <f t="shared" si="21"/>
        <v>Programados</v>
      </c>
      <c r="L705" s="9">
        <v>45833</v>
      </c>
      <c r="M705" s="17">
        <f>MAX(1,NETWORKDAYS(A705,L705,Table2[Dias no laborales]))</f>
        <v>1</v>
      </c>
    </row>
    <row r="706" spans="1:13" hidden="1" x14ac:dyDescent="0.3">
      <c r="A706" s="8">
        <v>45833</v>
      </c>
      <c r="B706" s="5" t="s">
        <v>1605</v>
      </c>
      <c r="C706" s="5" t="s">
        <v>1606</v>
      </c>
      <c r="D706" s="5" t="s">
        <v>194</v>
      </c>
      <c r="E706" s="14">
        <v>45832.695138888892</v>
      </c>
      <c r="F706" s="8">
        <f>IF(HOUR(Table1[[#This Row],[CORREO]])&gt;=11,WORKDAY(Table1[[#This Row],[CORREO]],1,Table2[Dias no laborales]),E706)</f>
        <v>45833</v>
      </c>
      <c r="G706" s="8">
        <v>45863</v>
      </c>
      <c r="H706" s="6">
        <f t="shared" ref="H706:H769" si="22">INT((A706-DATE(YEAR(A706),1,1))/7) + 1</f>
        <v>26</v>
      </c>
      <c r="I706" s="16">
        <f>MAX(1, NETWORKDAYS(A706, G706,Table2[Dias no laborales]))</f>
        <v>23</v>
      </c>
      <c r="J706" s="6" t="str">
        <f>IF(Table1[[#This Row],[FIN]]="","Acumulado",IF(ISNUMBER(SEARCH("ASAP",C706)),"ASAP",IF(NETWORKDAYS.INTL(F706,G706,1,Table2[Dias no laborales]) &lt;= 7, "Dentro", IF(A706&gt;F706,"Programado","Fuera"))))</f>
        <v>Fuera</v>
      </c>
      <c r="K706" s="6" t="str">
        <f t="shared" ref="K706:K769" si="23">IF(INT(A706)=INT(F706),"A tiempo", IF(A706&lt;F706,"Mismo día","Programados"))</f>
        <v>A tiempo</v>
      </c>
      <c r="L706" s="9">
        <v>45845</v>
      </c>
      <c r="M706" s="17">
        <f>MAX(1,NETWORKDAYS(A706,L706,Table2[Dias no laborales]))</f>
        <v>9</v>
      </c>
    </row>
    <row r="707" spans="1:13" hidden="1" x14ac:dyDescent="0.3">
      <c r="A707" s="8">
        <v>45833</v>
      </c>
      <c r="B707" s="5" t="s">
        <v>1382</v>
      </c>
      <c r="C707" s="5" t="s">
        <v>1383</v>
      </c>
      <c r="D707" s="5" t="s">
        <v>136</v>
      </c>
      <c r="E707" s="14">
        <v>45833.371527777781</v>
      </c>
      <c r="F707" s="8">
        <f>IF(HOUR(Table1[[#This Row],[CORREO]])&gt;=11,WORKDAY(Table1[[#This Row],[CORREO]],1,Table2[Dias no laborales]),E707)</f>
        <v>45833.371527777781</v>
      </c>
      <c r="G707" s="8">
        <v>45834</v>
      </c>
      <c r="H707" s="6">
        <f t="shared" si="22"/>
        <v>26</v>
      </c>
      <c r="I707" s="16">
        <f>MAX(1, NETWORKDAYS(A707, G707,Table2[Dias no laborales]))</f>
        <v>2</v>
      </c>
      <c r="J707" s="6" t="str">
        <f>IF(Table1[[#This Row],[FIN]]="","Acumulado",IF(ISNUMBER(SEARCH("ASAP",C707)),"ASAP",IF(NETWORKDAYS.INTL(F707,G707,1,Table2[Dias no laborales]) &lt;= 7, "Dentro", IF(A707&gt;F707,"Programado","Fuera"))))</f>
        <v>Dentro</v>
      </c>
      <c r="K707" s="6" t="str">
        <f t="shared" si="23"/>
        <v>A tiempo</v>
      </c>
      <c r="L707" s="9">
        <v>45833</v>
      </c>
      <c r="M707" s="17">
        <f>MAX(1,NETWORKDAYS(A707,L707,Table2[Dias no laborales]))</f>
        <v>1</v>
      </c>
    </row>
    <row r="708" spans="1:13" hidden="1" x14ac:dyDescent="0.3">
      <c r="A708" s="8">
        <v>45833</v>
      </c>
      <c r="B708" s="6" t="s">
        <v>1470</v>
      </c>
      <c r="C708" s="6" t="s">
        <v>1471</v>
      </c>
      <c r="D708" s="6" t="s">
        <v>372</v>
      </c>
      <c r="E708" s="14">
        <v>45833.423611111109</v>
      </c>
      <c r="F708" s="8">
        <f>IF(HOUR(Table1[[#This Row],[CORREO]])&gt;=11,WORKDAY(Table1[[#This Row],[CORREO]],1,Table2[Dias no laborales]),E708)</f>
        <v>45833.423611111109</v>
      </c>
      <c r="G708" s="8">
        <v>45847</v>
      </c>
      <c r="H708" s="6">
        <f t="shared" si="22"/>
        <v>26</v>
      </c>
      <c r="I708" s="16">
        <f>MAX(1, NETWORKDAYS(A708, G708,Table2[Dias no laborales]))</f>
        <v>11</v>
      </c>
      <c r="J708" s="6" t="str">
        <f>IF(Table1[[#This Row],[FIN]]="","Acumulado",IF(ISNUMBER(SEARCH("ASAP",C708)),"ASAP",IF(NETWORKDAYS.INTL(F708,G708,1,Table2[Dias no laborales]) &lt;= 7, "Dentro", IF(A708&gt;F708,"Programado","Fuera"))))</f>
        <v>Fuera</v>
      </c>
      <c r="K708" s="6" t="str">
        <f t="shared" si="23"/>
        <v>A tiempo</v>
      </c>
      <c r="L708" s="9">
        <v>45833</v>
      </c>
      <c r="M708" s="17">
        <f>MAX(1,NETWORKDAYS(A708,L708,Table2[Dias no laborales]))</f>
        <v>1</v>
      </c>
    </row>
    <row r="709" spans="1:13" hidden="1" x14ac:dyDescent="0.3">
      <c r="A709" s="8">
        <v>45833</v>
      </c>
      <c r="B709" s="6" t="s">
        <v>1417</v>
      </c>
      <c r="C709" s="6" t="s">
        <v>1418</v>
      </c>
      <c r="D709" s="6" t="s">
        <v>24</v>
      </c>
      <c r="E709" s="14">
        <v>45833.533333333333</v>
      </c>
      <c r="F709" s="8">
        <f>IF(HOUR(Table1[[#This Row],[CORREO]])&gt;=11,WORKDAY(Table1[[#This Row],[CORREO]],1,Table2[Dias no laborales]),E709)</f>
        <v>45834</v>
      </c>
      <c r="G709" s="8">
        <v>45833</v>
      </c>
      <c r="H709" s="6">
        <f t="shared" si="22"/>
        <v>26</v>
      </c>
      <c r="I709" s="16">
        <f>MAX(1, NETWORKDAYS(A709, G709,Table2[Dias no laborales]))</f>
        <v>1</v>
      </c>
      <c r="J709" s="6" t="str">
        <f>IF(Table1[[#This Row],[FIN]]="","Acumulado",IF(ISNUMBER(SEARCH("ASAP",C709)),"ASAP",IF(NETWORKDAYS.INTL(F709,G709,1,Table2[Dias no laborales]) &lt;= 7, "Dentro", IF(A709&gt;F709,"Programado","Fuera"))))</f>
        <v>ASAP</v>
      </c>
      <c r="K709" s="6" t="str">
        <f t="shared" si="23"/>
        <v>Mismo día</v>
      </c>
      <c r="L709" s="9">
        <v>45833</v>
      </c>
      <c r="M709" s="17">
        <f>MAX(1,NETWORKDAYS(A709,L709,Table2[Dias no laborales]))</f>
        <v>1</v>
      </c>
    </row>
    <row r="710" spans="1:13" hidden="1" x14ac:dyDescent="0.3">
      <c r="A710" s="8">
        <v>45833</v>
      </c>
      <c r="B710" s="5" t="s">
        <v>1419</v>
      </c>
      <c r="C710" s="5" t="s">
        <v>1420</v>
      </c>
      <c r="D710" s="5" t="s">
        <v>194</v>
      </c>
      <c r="E710" s="14"/>
      <c r="F710" s="8">
        <f>IF(HOUR(Table1[[#This Row],[CORREO]])&gt;=11,WORKDAY(Table1[[#This Row],[CORREO]],1,Table2[Dias no laborales]),E710)</f>
        <v>0</v>
      </c>
      <c r="G710" s="8">
        <v>45833</v>
      </c>
      <c r="H710" s="6">
        <f t="shared" si="22"/>
        <v>26</v>
      </c>
      <c r="I710" s="16">
        <f>MAX(1, NETWORKDAYS(A710, G710,Table2[Dias no laborales]))</f>
        <v>1</v>
      </c>
      <c r="J710" s="6" t="str">
        <f>IF(Table1[[#This Row],[FIN]]="","Acumulado",IF(ISNUMBER(SEARCH("ASAP",C710)),"ASAP",IF(NETWORKDAYS.INTL(F710,G710,1,Table2[Dias no laborales]) &lt;= 7, "Dentro", IF(A710&gt;F710,"Programado","Fuera"))))</f>
        <v>ASAP</v>
      </c>
      <c r="K710" s="6" t="str">
        <f t="shared" si="23"/>
        <v>Programados</v>
      </c>
      <c r="L710" s="9">
        <v>45833</v>
      </c>
      <c r="M710" s="17">
        <f>MAX(1,NETWORKDAYS(A710,L710,Table2[Dias no laborales]))</f>
        <v>1</v>
      </c>
    </row>
    <row r="711" spans="1:13" hidden="1" x14ac:dyDescent="0.3">
      <c r="A711" s="8">
        <v>45834</v>
      </c>
      <c r="B711" s="6" t="s">
        <v>1432</v>
      </c>
      <c r="C711" s="6" t="s">
        <v>1433</v>
      </c>
      <c r="D711" s="6" t="s">
        <v>27</v>
      </c>
      <c r="E711" s="14">
        <v>45833.493750000001</v>
      </c>
      <c r="F711" s="8">
        <f>IF(HOUR(Table1[[#This Row],[CORREO]])&gt;=11,WORKDAY(Table1[[#This Row],[CORREO]],1,Table2[Dias no laborales]),E711)</f>
        <v>45834</v>
      </c>
      <c r="G711" s="8">
        <v>45840</v>
      </c>
      <c r="H711" s="6">
        <f t="shared" si="22"/>
        <v>26</v>
      </c>
      <c r="I711" s="16">
        <f>MAX(1, NETWORKDAYS(A711, G711,Table2[Dias no laborales]))</f>
        <v>5</v>
      </c>
      <c r="J711" s="6" t="str">
        <f>IF(Table1[[#This Row],[FIN]]="","Acumulado",IF(ISNUMBER(SEARCH("ASAP",C711)),"ASAP",IF(NETWORKDAYS.INTL(F711,G711,1,Table2[Dias no laborales]) &lt;= 7, "Dentro", IF(A711&gt;F711,"Programado","Fuera"))))</f>
        <v>Dentro</v>
      </c>
      <c r="K711" s="6" t="str">
        <f t="shared" si="23"/>
        <v>A tiempo</v>
      </c>
      <c r="L711" s="9">
        <v>45838</v>
      </c>
      <c r="M711" s="17">
        <f>MAX(1,NETWORKDAYS(A711,L711,Table2[Dias no laborales]))</f>
        <v>3</v>
      </c>
    </row>
    <row r="712" spans="1:13" hidden="1" x14ac:dyDescent="0.3">
      <c r="A712" s="8">
        <v>45834</v>
      </c>
      <c r="B712" s="6" t="s">
        <v>1428</v>
      </c>
      <c r="C712" s="6" t="s">
        <v>1429</v>
      </c>
      <c r="D712" s="6" t="s">
        <v>139</v>
      </c>
      <c r="E712" s="14">
        <v>45833.548611111109</v>
      </c>
      <c r="F712" s="8">
        <f>IF(HOUR(Table1[[#This Row],[CORREO]])&gt;=11,WORKDAY(Table1[[#This Row],[CORREO]],1,Table2[Dias no laborales]),E712)</f>
        <v>45834</v>
      </c>
      <c r="G712" s="8">
        <v>45839</v>
      </c>
      <c r="H712" s="6">
        <f t="shared" si="22"/>
        <v>26</v>
      </c>
      <c r="I712" s="16">
        <f>MAX(1, NETWORKDAYS(A712, G712,Table2[Dias no laborales]))</f>
        <v>4</v>
      </c>
      <c r="J712" s="6" t="str">
        <f>IF(Table1[[#This Row],[FIN]]="","Acumulado",IF(ISNUMBER(SEARCH("ASAP",C712)),"ASAP",IF(NETWORKDAYS.INTL(F712,G712,1,Table2[Dias no laborales]) &lt;= 7, "Dentro", IF(A712&gt;F712,"Programado","Fuera"))))</f>
        <v>Dentro</v>
      </c>
      <c r="K712" s="6" t="str">
        <f t="shared" si="23"/>
        <v>A tiempo</v>
      </c>
      <c r="L712" s="9">
        <v>45834</v>
      </c>
      <c r="M712" s="17">
        <f>MAX(1,NETWORKDAYS(A712,L712,Table2[Dias no laborales]))</f>
        <v>1</v>
      </c>
    </row>
    <row r="713" spans="1:13" hidden="1" x14ac:dyDescent="0.3">
      <c r="A713" s="8">
        <v>45833</v>
      </c>
      <c r="B713" s="6" t="s">
        <v>1746</v>
      </c>
      <c r="C713" s="6" t="s">
        <v>1747</v>
      </c>
      <c r="D713" s="6" t="s">
        <v>96</v>
      </c>
      <c r="E713" s="14">
        <v>45833.584027777775</v>
      </c>
      <c r="F713" s="8">
        <f>IF(HOUR(Table1[[#This Row],[CORREO]])&gt;=11,WORKDAY(Table1[[#This Row],[CORREO]],1,Table2[Dias no laborales]),E713)</f>
        <v>45834</v>
      </c>
      <c r="G713" s="8">
        <v>45884</v>
      </c>
      <c r="H713" s="6">
        <f t="shared" si="22"/>
        <v>26</v>
      </c>
      <c r="I713" s="16">
        <f>MAX(1, NETWORKDAYS(A713, G713,Table2[Dias no laborales]))</f>
        <v>38</v>
      </c>
      <c r="J713" s="6" t="str">
        <f>IF(Table1[[#This Row],[FIN]]="","Acumulado",IF(ISNUMBER(SEARCH("ASAP",C713)),"ASAP",IF(NETWORKDAYS.INTL(F713,G713,1,Table2[Dias no laborales]) &lt;= 7, "Dentro", IF(A713&gt;F713,"Programado","Fuera"))))</f>
        <v>Fuera</v>
      </c>
      <c r="K713" s="6" t="str">
        <f t="shared" si="23"/>
        <v>Mismo día</v>
      </c>
      <c r="L713" s="9">
        <v>45834</v>
      </c>
      <c r="M713" s="17">
        <f>MAX(1,NETWORKDAYS(A713,L713,Table2[Dias no laborales]))</f>
        <v>2</v>
      </c>
    </row>
    <row r="714" spans="1:13" hidden="1" x14ac:dyDescent="0.3">
      <c r="A714" s="8">
        <v>45834</v>
      </c>
      <c r="B714" s="6" t="s">
        <v>1441</v>
      </c>
      <c r="C714" s="6" t="s">
        <v>1442</v>
      </c>
      <c r="D714" s="6" t="s">
        <v>186</v>
      </c>
      <c r="E714" s="14">
        <v>45833.504166666666</v>
      </c>
      <c r="F714" s="8">
        <f>IF(HOUR(Table1[[#This Row],[CORREO]])&gt;=11,WORKDAY(Table1[[#This Row],[CORREO]],1,Table2[Dias no laborales]),E714)</f>
        <v>45834</v>
      </c>
      <c r="G714" s="8">
        <v>45841</v>
      </c>
      <c r="H714" s="6">
        <f t="shared" si="22"/>
        <v>26</v>
      </c>
      <c r="I714" s="16">
        <f>MAX(1, NETWORKDAYS(A714, G714,Table2[Dias no laborales]))</f>
        <v>6</v>
      </c>
      <c r="J714" s="6" t="str">
        <f>IF(Table1[[#This Row],[FIN]]="","Acumulado",IF(ISNUMBER(SEARCH("ASAP",C714)),"ASAP",IF(NETWORKDAYS.INTL(F714,G714,1,Table2[Dias no laborales]) &lt;= 7, "Dentro", IF(A714&gt;F714,"Programado","Fuera"))))</f>
        <v>Dentro</v>
      </c>
      <c r="K714" s="6" t="str">
        <f t="shared" si="23"/>
        <v>A tiempo</v>
      </c>
      <c r="L714" s="9">
        <v>45834</v>
      </c>
      <c r="M714" s="17">
        <f>MAX(1,NETWORKDAYS(A714,L714,Table2[Dias no laborales]))</f>
        <v>1</v>
      </c>
    </row>
    <row r="715" spans="1:13" hidden="1" x14ac:dyDescent="0.3">
      <c r="A715" s="8">
        <v>45834</v>
      </c>
      <c r="B715" s="5" t="s">
        <v>1421</v>
      </c>
      <c r="C715" s="5" t="s">
        <v>1422</v>
      </c>
      <c r="D715" s="5" t="s">
        <v>449</v>
      </c>
      <c r="E715" s="14">
        <v>45834.421527777777</v>
      </c>
      <c r="F715" s="8">
        <f>IF(HOUR(Table1[[#This Row],[CORREO]])&gt;=11,WORKDAY(Table1[[#This Row],[CORREO]],1,Table2[Dias no laborales]),E715)</f>
        <v>45834.421527777777</v>
      </c>
      <c r="G715" s="8">
        <v>45834</v>
      </c>
      <c r="H715" s="6">
        <f t="shared" si="22"/>
        <v>26</v>
      </c>
      <c r="I715" s="16">
        <f>MAX(1, NETWORKDAYS(A715, G715,Table2[Dias no laborales]))</f>
        <v>1</v>
      </c>
      <c r="J715" s="6" t="str">
        <f>IF(Table1[[#This Row],[FIN]]="","Acumulado",IF(ISNUMBER(SEARCH("ASAP",C715)),"ASAP",IF(NETWORKDAYS.INTL(F715,G715,1,Table2[Dias no laborales]) &lt;= 7, "Dentro", IF(A715&gt;F715,"Programado","Fuera"))))</f>
        <v>Dentro</v>
      </c>
      <c r="K715" s="6" t="str">
        <f t="shared" si="23"/>
        <v>A tiempo</v>
      </c>
      <c r="L715" s="9">
        <v>45834</v>
      </c>
      <c r="M715" s="17">
        <f>MAX(1,NETWORKDAYS(A715,L715,Table2[Dias no laborales]))</f>
        <v>1</v>
      </c>
    </row>
    <row r="716" spans="1:13" hidden="1" x14ac:dyDescent="0.3">
      <c r="A716" s="8">
        <v>45834</v>
      </c>
      <c r="B716" s="5" t="s">
        <v>1423</v>
      </c>
      <c r="C716" s="5" t="s">
        <v>1424</v>
      </c>
      <c r="D716" s="5" t="s">
        <v>372</v>
      </c>
      <c r="E716" s="14">
        <v>45834.4375</v>
      </c>
      <c r="F716" s="8">
        <f>IF(HOUR(Table1[[#This Row],[CORREO]])&gt;=11,WORKDAY(Table1[[#This Row],[CORREO]],1,Table2[Dias no laborales]),E716)</f>
        <v>45834.4375</v>
      </c>
      <c r="G716" s="8">
        <v>45834</v>
      </c>
      <c r="H716" s="6">
        <f t="shared" si="22"/>
        <v>26</v>
      </c>
      <c r="I716" s="16">
        <f>MAX(1, NETWORKDAYS(A716, G716,Table2[Dias no laborales]))</f>
        <v>1</v>
      </c>
      <c r="J716" s="6" t="str">
        <f>IF(Table1[[#This Row],[FIN]]="","Acumulado",IF(ISNUMBER(SEARCH("ASAP",C716)),"ASAP",IF(NETWORKDAYS.INTL(F716,G716,1,Table2[Dias no laborales]) &lt;= 7, "Dentro", IF(A716&gt;F716,"Programado","Fuera"))))</f>
        <v>Dentro</v>
      </c>
      <c r="K716" s="6" t="str">
        <f t="shared" si="23"/>
        <v>A tiempo</v>
      </c>
      <c r="L716" s="9">
        <v>45834</v>
      </c>
      <c r="M716" s="17">
        <f>MAX(1,NETWORKDAYS(A716,L716,Table2[Dias no laborales]))</f>
        <v>1</v>
      </c>
    </row>
    <row r="717" spans="1:13" hidden="1" x14ac:dyDescent="0.3">
      <c r="A717" s="8">
        <v>45835</v>
      </c>
      <c r="B717" s="5" t="s">
        <v>1386</v>
      </c>
      <c r="C717" s="5" t="s">
        <v>1387</v>
      </c>
      <c r="D717" s="5" t="s">
        <v>913</v>
      </c>
      <c r="E717" s="14">
        <v>45834.527777777781</v>
      </c>
      <c r="F717" s="8">
        <f>IF(HOUR(Table1[[#This Row],[CORREO]])&gt;=11,WORKDAY(Table1[[#This Row],[CORREO]],1,Table2[Dias no laborales]),E717)</f>
        <v>45835</v>
      </c>
      <c r="G717" s="8">
        <v>45838</v>
      </c>
      <c r="H717" s="6">
        <f t="shared" si="22"/>
        <v>26</v>
      </c>
      <c r="I717" s="16">
        <f>MAX(1, NETWORKDAYS(A717, G717,Table2[Dias no laborales]))</f>
        <v>2</v>
      </c>
      <c r="J717" s="6" t="str">
        <f>IF(Table1[[#This Row],[FIN]]="","Acumulado",IF(ISNUMBER(SEARCH("ASAP",C717)),"ASAP",IF(NETWORKDAYS.INTL(F717,G717,1,Table2[Dias no laborales]) &lt;= 7, "Dentro", IF(A717&gt;F717,"Programado","Fuera"))))</f>
        <v>Dentro</v>
      </c>
      <c r="K717" s="6" t="str">
        <f t="shared" si="23"/>
        <v>A tiempo</v>
      </c>
      <c r="L717" s="9">
        <v>45835</v>
      </c>
      <c r="M717" s="17">
        <f>MAX(1,NETWORKDAYS(A717,L717,Table2[Dias no laborales]))</f>
        <v>1</v>
      </c>
    </row>
    <row r="718" spans="1:13" hidden="1" x14ac:dyDescent="0.3">
      <c r="A718" s="8">
        <v>45835</v>
      </c>
      <c r="B718" s="5" t="s">
        <v>1384</v>
      </c>
      <c r="C718" s="5" t="s">
        <v>1385</v>
      </c>
      <c r="D718" s="5" t="s">
        <v>504</v>
      </c>
      <c r="E718" s="14">
        <v>45835.463888888888</v>
      </c>
      <c r="F718" s="8">
        <f>IF(HOUR(Table1[[#This Row],[CORREO]])&gt;=11,WORKDAY(Table1[[#This Row],[CORREO]],1,Table2[Dias no laborales]),E718)</f>
        <v>45838</v>
      </c>
      <c r="G718" s="8">
        <v>45838</v>
      </c>
      <c r="H718" s="6">
        <f t="shared" si="22"/>
        <v>26</v>
      </c>
      <c r="I718" s="16">
        <f>MAX(1, NETWORKDAYS(A718, G718,Table2[Dias no laborales]))</f>
        <v>2</v>
      </c>
      <c r="J718" s="6" t="str">
        <f>IF(Table1[[#This Row],[FIN]]="","Acumulado",IF(ISNUMBER(SEARCH("ASAP",C718)),"ASAP",IF(NETWORKDAYS.INTL(F718,G718,1,Table2[Dias no laborales]) &lt;= 7, "Dentro", IF(A718&gt;F718,"Programado","Fuera"))))</f>
        <v>Dentro</v>
      </c>
      <c r="K718" s="6" t="str">
        <f t="shared" si="23"/>
        <v>Mismo día</v>
      </c>
      <c r="L718" s="9">
        <v>45835</v>
      </c>
      <c r="M718" s="17">
        <f>MAX(1,NETWORKDAYS(A718,L718,Table2[Dias no laborales]))</f>
        <v>1</v>
      </c>
    </row>
    <row r="719" spans="1:13" hidden="1" x14ac:dyDescent="0.3">
      <c r="A719" s="8">
        <v>45859</v>
      </c>
      <c r="B719" s="6" t="s">
        <v>1737</v>
      </c>
      <c r="C719" s="6" t="s">
        <v>1738</v>
      </c>
      <c r="D719" s="6" t="s">
        <v>1739</v>
      </c>
      <c r="E719" s="14">
        <v>45865.738888888889</v>
      </c>
      <c r="F719" s="8">
        <f>IF(HOUR(Table1[[#This Row],[CORREO]])&gt;=11,WORKDAY(Table1[[#This Row],[CORREO]],1,Table2[Dias no laborales]),E719)</f>
        <v>45866</v>
      </c>
      <c r="G719" s="8">
        <v>45881</v>
      </c>
      <c r="H719" s="6">
        <f t="shared" si="22"/>
        <v>29</v>
      </c>
      <c r="I719" s="16">
        <f>MAX(1, NETWORKDAYS(A719, G719,Table2[Dias no laborales]))</f>
        <v>17</v>
      </c>
      <c r="J719" s="6" t="str">
        <f>IF(Table1[[#This Row],[FIN]]="","Acumulado",IF(ISNUMBER(SEARCH("ASAP",C719)),"ASAP",IF(NETWORKDAYS.INTL(F719,G719,1,Table2[Dias no laborales]) &lt;= 7, "Dentro", IF(A719&gt;F719,"Programado","Fuera"))))</f>
        <v>Fuera</v>
      </c>
      <c r="K719" s="6" t="str">
        <f t="shared" si="23"/>
        <v>Mismo día</v>
      </c>
      <c r="L719" s="9">
        <v>45838</v>
      </c>
      <c r="M719" s="17">
        <f>MAX(1,NETWORKDAYS(A719,L719,Table2[Dias no laborales]))</f>
        <v>1</v>
      </c>
    </row>
    <row r="720" spans="1:13" hidden="1" x14ac:dyDescent="0.3">
      <c r="A720" s="8">
        <v>45838</v>
      </c>
      <c r="B720" s="6" t="s">
        <v>1445</v>
      </c>
      <c r="C720" s="6" t="s">
        <v>1446</v>
      </c>
      <c r="D720" s="6" t="s">
        <v>24</v>
      </c>
      <c r="E720" s="14">
        <v>0</v>
      </c>
      <c r="F720" s="8">
        <f>IF(HOUR(Table1[[#This Row],[CORREO]])&gt;=11,WORKDAY(Table1[[#This Row],[CORREO]],1,Table2[Dias no laborales]),E720)</f>
        <v>0</v>
      </c>
      <c r="G720" s="8">
        <v>45842</v>
      </c>
      <c r="H720" s="6">
        <f t="shared" si="22"/>
        <v>26</v>
      </c>
      <c r="I720" s="16">
        <f>MAX(1, NETWORKDAYS(A720, G720,Table2[Dias no laborales]))</f>
        <v>5</v>
      </c>
      <c r="J720" s="6" t="str">
        <f>IF(Table1[[#This Row],[FIN]]="","Acumulado",IF(ISNUMBER(SEARCH("ASAP",C720)),"ASAP",IF(NETWORKDAYS.INTL(F720,G720,1,Table2[Dias no laborales]) &lt;= 7, "Dentro", IF(A720&gt;F720,"Programado","Fuera"))))</f>
        <v>Programado</v>
      </c>
      <c r="K720" s="6" t="str">
        <f t="shared" si="23"/>
        <v>Programados</v>
      </c>
      <c r="L720" s="9">
        <v>45838</v>
      </c>
      <c r="M720" s="17">
        <f>MAX(1,NETWORKDAYS(A720,L720,Table2[Dias no laborales]))</f>
        <v>1</v>
      </c>
    </row>
    <row r="721" spans="1:13" hidden="1" x14ac:dyDescent="0.3">
      <c r="A721" s="8">
        <v>45838</v>
      </c>
      <c r="B721" s="6" t="s">
        <v>1449</v>
      </c>
      <c r="C721" s="6" t="s">
        <v>1450</v>
      </c>
      <c r="D721" s="6" t="s">
        <v>24</v>
      </c>
      <c r="E721" s="14">
        <v>0</v>
      </c>
      <c r="F721" s="8">
        <f>IF(HOUR(Table1[[#This Row],[CORREO]])&gt;=11,WORKDAY(Table1[[#This Row],[CORREO]],1,Table2[Dias no laborales]),E721)</f>
        <v>0</v>
      </c>
      <c r="G721" s="8">
        <v>45842</v>
      </c>
      <c r="H721" s="6">
        <f t="shared" si="22"/>
        <v>26</v>
      </c>
      <c r="I721" s="16">
        <f>MAX(1, NETWORKDAYS(A721, G721,Table2[Dias no laborales]))</f>
        <v>5</v>
      </c>
      <c r="J721" s="6" t="str">
        <f>IF(Table1[[#This Row],[FIN]]="","Acumulado",IF(ISNUMBER(SEARCH("ASAP",C721)),"ASAP",IF(NETWORKDAYS.INTL(F721,G721,1,Table2[Dias no laborales]) &lt;= 7, "Dentro", IF(A721&gt;F721,"Programado","Fuera"))))</f>
        <v>Programado</v>
      </c>
      <c r="K721" s="6" t="str">
        <f t="shared" si="23"/>
        <v>Programados</v>
      </c>
      <c r="L721" s="9">
        <v>45838</v>
      </c>
      <c r="M721" s="17">
        <f>MAX(1,NETWORKDAYS(A721,L721,Table2[Dias no laborales]))</f>
        <v>1</v>
      </c>
    </row>
    <row r="722" spans="1:13" hidden="1" x14ac:dyDescent="0.3">
      <c r="A722" s="8">
        <v>45838</v>
      </c>
      <c r="B722" s="5" t="s">
        <v>1425</v>
      </c>
      <c r="C722" s="5" t="s">
        <v>1426</v>
      </c>
      <c r="D722" s="5" t="s">
        <v>1427</v>
      </c>
      <c r="E722" s="14">
        <v>45838.591666666667</v>
      </c>
      <c r="F722" s="8">
        <f>IF(HOUR(Table1[[#This Row],[CORREO]])&gt;=11,WORKDAY(Table1[[#This Row],[CORREO]],1,Table2[Dias no laborales]),E722)</f>
        <v>45839</v>
      </c>
      <c r="G722" s="8">
        <v>45838</v>
      </c>
      <c r="H722" s="6">
        <f t="shared" si="22"/>
        <v>26</v>
      </c>
      <c r="I722" s="16">
        <f>MAX(1, NETWORKDAYS(A722, G722,Table2[Dias no laborales]))</f>
        <v>1</v>
      </c>
      <c r="J722" s="6" t="str">
        <f>IF(Table1[[#This Row],[FIN]]="","Acumulado",IF(ISNUMBER(SEARCH("ASAP",C722)),"ASAP",IF(NETWORKDAYS.INTL(F722,G722,1,Table2[Dias no laborales]) &lt;= 7, "Dentro", IF(A722&gt;F722,"Programado","Fuera"))))</f>
        <v>Dentro</v>
      </c>
      <c r="K722" s="6" t="str">
        <f t="shared" si="23"/>
        <v>Mismo día</v>
      </c>
      <c r="L722" s="9">
        <v>45838</v>
      </c>
      <c r="M722" s="17">
        <f>MAX(1,NETWORKDAYS(A722,L722,Table2[Dias no laborales]))</f>
        <v>1</v>
      </c>
    </row>
    <row r="723" spans="1:13" hidden="1" x14ac:dyDescent="0.3">
      <c r="A723" s="8">
        <v>45838</v>
      </c>
      <c r="B723" s="6" t="s">
        <v>1430</v>
      </c>
      <c r="C723" s="6" t="s">
        <v>1431</v>
      </c>
      <c r="D723" s="6" t="s">
        <v>24</v>
      </c>
      <c r="E723" s="14">
        <v>0</v>
      </c>
      <c r="F723" s="8">
        <f>IF(HOUR(Table1[[#This Row],[CORREO]])&gt;=11,WORKDAY(Table1[[#This Row],[CORREO]],1,Table2[Dias no laborales]),E723)</f>
        <v>0</v>
      </c>
      <c r="G723" s="8">
        <v>45839</v>
      </c>
      <c r="H723" s="6">
        <f t="shared" si="22"/>
        <v>26</v>
      </c>
      <c r="I723" s="16">
        <f>MAX(1, NETWORKDAYS(A723, G723,Table2[Dias no laborales]))</f>
        <v>2</v>
      </c>
      <c r="J723" s="6" t="str">
        <f>IF(Table1[[#This Row],[FIN]]="","Acumulado",IF(ISNUMBER(SEARCH("ASAP",C723)),"ASAP",IF(NETWORKDAYS.INTL(F723,G723,1,Table2[Dias no laborales]) &lt;= 7, "Dentro", IF(A723&gt;F723,"Programado","Fuera"))))</f>
        <v>ASAP</v>
      </c>
      <c r="K723" s="6" t="str">
        <f t="shared" si="23"/>
        <v>Programados</v>
      </c>
      <c r="L723" s="9">
        <v>45839</v>
      </c>
      <c r="M723" s="17">
        <f>MAX(1,NETWORKDAYS(A723,L723,Table2[Dias no laborales]))</f>
        <v>2</v>
      </c>
    </row>
    <row r="724" spans="1:13" hidden="1" x14ac:dyDescent="0.3">
      <c r="A724" s="8">
        <v>45839</v>
      </c>
      <c r="B724" s="6" t="s">
        <v>1435</v>
      </c>
      <c r="C724" s="6" t="s">
        <v>1436</v>
      </c>
      <c r="D724" s="6" t="s">
        <v>1360</v>
      </c>
      <c r="E724" s="14">
        <v>45839.436111111114</v>
      </c>
      <c r="F724" s="8">
        <f>IF(HOUR(Table1[[#This Row],[CORREO]])&gt;=11,WORKDAY(Table1[[#This Row],[CORREO]],1,Table2[Dias no laborales]),E724)</f>
        <v>45839.436111111114</v>
      </c>
      <c r="G724" s="8">
        <v>45840</v>
      </c>
      <c r="H724" s="6">
        <f t="shared" si="22"/>
        <v>26</v>
      </c>
      <c r="I724" s="16">
        <f>MAX(1, NETWORKDAYS(A724, G724,Table2[Dias no laborales]))</f>
        <v>2</v>
      </c>
      <c r="J724" s="6" t="str">
        <f>IF(Table1[[#This Row],[FIN]]="","Acumulado",IF(ISNUMBER(SEARCH("ASAP",C724)),"ASAP",IF(NETWORKDAYS.INTL(F724,G724,1,Table2[Dias no laborales]) &lt;= 7, "Dentro", IF(A724&gt;F724,"Programado","Fuera"))))</f>
        <v>Dentro</v>
      </c>
      <c r="K724" s="6" t="str">
        <f t="shared" si="23"/>
        <v>A tiempo</v>
      </c>
      <c r="L724" s="9">
        <v>45840</v>
      </c>
      <c r="M724" s="17">
        <f>MAX(1,NETWORKDAYS(A724,L724,Table2[Dias no laborales]))</f>
        <v>2</v>
      </c>
    </row>
    <row r="725" spans="1:13" hidden="1" x14ac:dyDescent="0.3">
      <c r="A725" s="8">
        <v>45839</v>
      </c>
      <c r="B725" s="6" t="s">
        <v>1464</v>
      </c>
      <c r="C725" s="6" t="s">
        <v>1465</v>
      </c>
      <c r="D725" s="6" t="s">
        <v>24</v>
      </c>
      <c r="E725" s="14">
        <v>0</v>
      </c>
      <c r="F725" s="8">
        <f>IF(HOUR(Table1[[#This Row],[CORREO]])&gt;=11,WORKDAY(Table1[[#This Row],[CORREO]],1,Table2[Dias no laborales]),E725)</f>
        <v>0</v>
      </c>
      <c r="G725" s="8">
        <v>45846</v>
      </c>
      <c r="H725" s="6">
        <f t="shared" si="22"/>
        <v>26</v>
      </c>
      <c r="I725" s="16">
        <f>MAX(1, NETWORKDAYS(A725, G725,Table2[Dias no laborales]))</f>
        <v>6</v>
      </c>
      <c r="J725" s="6" t="str">
        <f>IF(Table1[[#This Row],[FIN]]="","Acumulado",IF(ISNUMBER(SEARCH("ASAP",C725)),"ASAP",IF(NETWORKDAYS.INTL(F725,G725,1,Table2[Dias no laborales]) &lt;= 7, "Dentro", IF(A725&gt;F725,"Programado","Fuera"))))</f>
        <v>ASAP</v>
      </c>
      <c r="K725" s="6" t="str">
        <f t="shared" si="23"/>
        <v>Programados</v>
      </c>
      <c r="L725" s="9">
        <v>45841</v>
      </c>
      <c r="M725" s="17">
        <f>MAX(1,NETWORKDAYS(A725,L725,Table2[Dias no laborales]))</f>
        <v>3</v>
      </c>
    </row>
    <row r="726" spans="1:13" hidden="1" x14ac:dyDescent="0.3">
      <c r="A726" s="8">
        <v>45840</v>
      </c>
      <c r="B726" s="6" t="s">
        <v>1474</v>
      </c>
      <c r="C726" s="6" t="s">
        <v>1475</v>
      </c>
      <c r="D726" s="6" t="s">
        <v>139</v>
      </c>
      <c r="E726" s="14">
        <v>45839.513888888891</v>
      </c>
      <c r="F726" s="8">
        <f>IF(HOUR(Table1[[#This Row],[CORREO]])&gt;=11,WORKDAY(Table1[[#This Row],[CORREO]],1,Table2[Dias no laborales]),E726)</f>
        <v>45840</v>
      </c>
      <c r="G726" s="8">
        <v>45847</v>
      </c>
      <c r="H726" s="6">
        <f t="shared" si="22"/>
        <v>27</v>
      </c>
      <c r="I726" s="16">
        <f>MAX(1, NETWORKDAYS(A726, G726,Table2[Dias no laborales]))</f>
        <v>6</v>
      </c>
      <c r="J726" s="6" t="str">
        <f>IF(Table1[[#This Row],[FIN]]="","Acumulado",IF(ISNUMBER(SEARCH("ASAP",C726)),"ASAP",IF(NETWORKDAYS.INTL(F726,G726,1,Table2[Dias no laborales]) &lt;= 7, "Dentro", IF(A726&gt;F726,"Programado","Fuera"))))</f>
        <v>Dentro</v>
      </c>
      <c r="K726" s="6" t="str">
        <f t="shared" si="23"/>
        <v>A tiempo</v>
      </c>
      <c r="L726" s="9">
        <v>45840</v>
      </c>
      <c r="M726" s="17">
        <f>MAX(1,NETWORKDAYS(A726,L726,Table2[Dias no laborales]))</f>
        <v>1</v>
      </c>
    </row>
    <row r="727" spans="1:13" hidden="1" x14ac:dyDescent="0.3">
      <c r="A727" s="8">
        <v>45840</v>
      </c>
      <c r="B727" s="6" t="s">
        <v>1437</v>
      </c>
      <c r="C727" s="6" t="s">
        <v>1438</v>
      </c>
      <c r="D727" s="6" t="s">
        <v>61</v>
      </c>
      <c r="E727" s="14">
        <v>45839.520833333336</v>
      </c>
      <c r="F727" s="8">
        <f>IF(HOUR(Table1[[#This Row],[CORREO]])&gt;=11,WORKDAY(Table1[[#This Row],[CORREO]],1,Table2[Dias no laborales]),E727)</f>
        <v>45840</v>
      </c>
      <c r="G727" s="8">
        <v>45840</v>
      </c>
      <c r="H727" s="6">
        <f t="shared" si="22"/>
        <v>27</v>
      </c>
      <c r="I727" s="16">
        <f>MAX(1, NETWORKDAYS(A727, G727,Table2[Dias no laborales]))</f>
        <v>1</v>
      </c>
      <c r="J727" s="6" t="str">
        <f>IF(Table1[[#This Row],[FIN]]="","Acumulado",IF(ISNUMBER(SEARCH("ASAP",C727)),"ASAP",IF(NETWORKDAYS.INTL(F727,G727,1,Table2[Dias no laborales]) &lt;= 7, "Dentro", IF(A727&gt;F727,"Programado","Fuera"))))</f>
        <v>Dentro</v>
      </c>
      <c r="K727" s="6" t="str">
        <f t="shared" si="23"/>
        <v>A tiempo</v>
      </c>
      <c r="L727" s="9">
        <v>45840</v>
      </c>
      <c r="M727" s="17">
        <f>MAX(1,NETWORKDAYS(A727,L727,Table2[Dias no laborales]))</f>
        <v>1</v>
      </c>
    </row>
    <row r="728" spans="1:13" hidden="1" x14ac:dyDescent="0.3">
      <c r="A728" s="8">
        <v>45840</v>
      </c>
      <c r="B728" s="6" t="s">
        <v>1480</v>
      </c>
      <c r="C728" s="6" t="s">
        <v>1481</v>
      </c>
      <c r="D728" s="6" t="s">
        <v>586</v>
      </c>
      <c r="E728" s="14"/>
      <c r="F728" s="8">
        <f>IF(HOUR(Table1[[#This Row],[CORREO]])&gt;=11,WORKDAY(Table1[[#This Row],[CORREO]],1,Table2[Dias no laborales]),E728)</f>
        <v>0</v>
      </c>
      <c r="G728" s="8">
        <v>45847</v>
      </c>
      <c r="H728" s="6">
        <f t="shared" si="22"/>
        <v>27</v>
      </c>
      <c r="I728" s="16">
        <f>MAX(1, NETWORKDAYS(A728, G728,Table2[Dias no laborales]))</f>
        <v>6</v>
      </c>
      <c r="J728" s="6" t="str">
        <f>IF(Table1[[#This Row],[FIN]]="","Acumulado",IF(ISNUMBER(SEARCH("ASAP",C728)),"ASAP",IF(NETWORKDAYS.INTL(F728,G728,1,Table2[Dias no laborales]) &lt;= 7, "Dentro", IF(A728&gt;F728,"Programado","Fuera"))))</f>
        <v>Programado</v>
      </c>
      <c r="K728" s="6" t="str">
        <f t="shared" si="23"/>
        <v>Programados</v>
      </c>
      <c r="L728" s="9">
        <v>45840</v>
      </c>
      <c r="M728" s="17">
        <f>MAX(1,NETWORKDAYS(A728,L728,Table2[Dias no laborales]))</f>
        <v>1</v>
      </c>
    </row>
    <row r="729" spans="1:13" hidden="1" x14ac:dyDescent="0.3">
      <c r="A729" s="8">
        <v>45840</v>
      </c>
      <c r="B729" s="6" t="s">
        <v>1453</v>
      </c>
      <c r="C729" s="6" t="s">
        <v>1454</v>
      </c>
      <c r="D729" s="6" t="s">
        <v>1360</v>
      </c>
      <c r="E729" s="14">
        <v>0</v>
      </c>
      <c r="F729" s="8">
        <f>IF(HOUR(Table1[[#This Row],[CORREO]])&gt;=11,WORKDAY(Table1[[#This Row],[CORREO]],1,Table2[Dias no laborales]),E729)</f>
        <v>0</v>
      </c>
      <c r="G729" s="8">
        <v>45842</v>
      </c>
      <c r="H729" s="6">
        <f t="shared" si="22"/>
        <v>27</v>
      </c>
      <c r="I729" s="16">
        <f>MAX(1, NETWORKDAYS(A729, G729,Table2[Dias no laborales]))</f>
        <v>3</v>
      </c>
      <c r="J729" s="6" t="str">
        <f>IF(Table1[[#This Row],[FIN]]="","Acumulado",IF(ISNUMBER(SEARCH("ASAP",C729)),"ASAP",IF(NETWORKDAYS.INTL(F729,G729,1,Table2[Dias no laborales]) &lt;= 7, "Dentro", IF(A729&gt;F729,"Programado","Fuera"))))</f>
        <v>Programado</v>
      </c>
      <c r="K729" s="6" t="str">
        <f t="shared" si="23"/>
        <v>Programados</v>
      </c>
      <c r="L729" s="9">
        <v>45842</v>
      </c>
      <c r="M729" s="17">
        <f>MAX(1,NETWORKDAYS(A729,L729,Table2[Dias no laborales]))</f>
        <v>3</v>
      </c>
    </row>
    <row r="730" spans="1:13" hidden="1" x14ac:dyDescent="0.3">
      <c r="A730" s="8">
        <v>45841</v>
      </c>
      <c r="B730" s="6" t="s">
        <v>1521</v>
      </c>
      <c r="C730" s="6" t="s">
        <v>1522</v>
      </c>
      <c r="D730" s="6" t="s">
        <v>24</v>
      </c>
      <c r="E730" s="14">
        <v>45840.652777777781</v>
      </c>
      <c r="F730" s="8">
        <f>IF(HOUR(Table1[[#This Row],[CORREO]])&gt;=11,WORKDAY(Table1[[#This Row],[CORREO]],1,Table2[Dias no laborales]),E730)</f>
        <v>45841</v>
      </c>
      <c r="G730" s="8">
        <v>45852</v>
      </c>
      <c r="H730" s="6">
        <f t="shared" si="22"/>
        <v>27</v>
      </c>
      <c r="I730" s="16">
        <f>MAX(1, NETWORKDAYS(A730, G730,Table2[Dias no laborales]))</f>
        <v>8</v>
      </c>
      <c r="J730" s="6" t="str">
        <f>IF(Table1[[#This Row],[FIN]]="","Acumulado",IF(ISNUMBER(SEARCH("ASAP",C730)),"ASAP",IF(NETWORKDAYS.INTL(F730,G730,1,Table2[Dias no laborales]) &lt;= 7, "Dentro", IF(A730&gt;F730,"Programado","Fuera"))))</f>
        <v>Fuera</v>
      </c>
      <c r="K730" s="6" t="str">
        <f t="shared" si="23"/>
        <v>A tiempo</v>
      </c>
      <c r="L730" s="9">
        <v>45840</v>
      </c>
      <c r="M730" s="17">
        <f>MAX(1,NETWORKDAYS(A730,L730,Table2[Dias no laborales]))</f>
        <v>1</v>
      </c>
    </row>
    <row r="731" spans="1:13" hidden="1" x14ac:dyDescent="0.3">
      <c r="A731" s="8">
        <v>45841</v>
      </c>
      <c r="B731" s="6" t="s">
        <v>1443</v>
      </c>
      <c r="C731" s="6" t="s">
        <v>1444</v>
      </c>
      <c r="D731" s="6" t="s">
        <v>423</v>
      </c>
      <c r="E731" s="14">
        <v>45810.706944444442</v>
      </c>
      <c r="F731" s="8">
        <f>IF(HOUR(Table1[[#This Row],[CORREO]])&gt;=11,WORKDAY(Table1[[#This Row],[CORREO]],1,Table2[Dias no laborales]),E731)</f>
        <v>45811</v>
      </c>
      <c r="G731" s="8">
        <v>45841</v>
      </c>
      <c r="H731" s="6">
        <f t="shared" si="22"/>
        <v>27</v>
      </c>
      <c r="I731" s="16">
        <f>MAX(1, NETWORKDAYS(A731, G731,Table2[Dias no laborales]))</f>
        <v>1</v>
      </c>
      <c r="J731" s="6" t="str">
        <f>IF(Table1[[#This Row],[FIN]]="","Acumulado",IF(ISNUMBER(SEARCH("ASAP",C731)),"ASAP",IF(NETWORKDAYS.INTL(F731,G731,1,Table2[Dias no laborales]) &lt;= 7, "Dentro", IF(A731&gt;F731,"Programado","Fuera"))))</f>
        <v>Programado</v>
      </c>
      <c r="K731" s="6" t="str">
        <f t="shared" si="23"/>
        <v>Programados</v>
      </c>
      <c r="L731" s="9">
        <v>45841</v>
      </c>
      <c r="M731" s="17">
        <f>MAX(1,NETWORKDAYS(A731,L731,Table2[Dias no laborales]))</f>
        <v>1</v>
      </c>
    </row>
    <row r="732" spans="1:13" hidden="1" x14ac:dyDescent="0.3">
      <c r="A732" s="8">
        <v>45841</v>
      </c>
      <c r="B732" s="6" t="s">
        <v>1505</v>
      </c>
      <c r="C732" s="6" t="s">
        <v>1506</v>
      </c>
      <c r="D732" s="6" t="s">
        <v>27</v>
      </c>
      <c r="E732" s="14">
        <v>0</v>
      </c>
      <c r="F732" s="8">
        <f>IF(HOUR(Table1[[#This Row],[CORREO]])&gt;=11,WORKDAY(Table1[[#This Row],[CORREO]],1,Table2[Dias no laborales]),E732)</f>
        <v>0</v>
      </c>
      <c r="G732" s="8">
        <v>45849</v>
      </c>
      <c r="H732" s="6">
        <f t="shared" si="22"/>
        <v>27</v>
      </c>
      <c r="I732" s="16">
        <f>MAX(1, NETWORKDAYS(A732, G732,Table2[Dias no laborales]))</f>
        <v>7</v>
      </c>
      <c r="J732" s="6" t="str">
        <f>IF(Table1[[#This Row],[FIN]]="","Acumulado",IF(ISNUMBER(SEARCH("ASAP",C732)),"ASAP",IF(NETWORKDAYS.INTL(F732,G732,1,Table2[Dias no laborales]) &lt;= 7, "Dentro", IF(A732&gt;F732,"Programado","Fuera"))))</f>
        <v>Programado</v>
      </c>
      <c r="K732" s="6" t="str">
        <f t="shared" si="23"/>
        <v>Programados</v>
      </c>
      <c r="L732" s="9">
        <v>45841</v>
      </c>
      <c r="M732" s="17">
        <f>MAX(1,NETWORKDAYS(A732,L732,Table2[Dias no laborales]))</f>
        <v>1</v>
      </c>
    </row>
    <row r="733" spans="1:13" hidden="1" x14ac:dyDescent="0.3">
      <c r="A733" s="8">
        <v>45841</v>
      </c>
      <c r="B733" s="6" t="s">
        <v>1496</v>
      </c>
      <c r="C733" s="6" t="s">
        <v>1497</v>
      </c>
      <c r="D733" s="6" t="s">
        <v>27</v>
      </c>
      <c r="E733" s="14">
        <v>0</v>
      </c>
      <c r="F733" s="8">
        <f>IF(HOUR(Table1[[#This Row],[CORREO]])&gt;=11,WORKDAY(Table1[[#This Row],[CORREO]],1,Table2[Dias no laborales]),E733)</f>
        <v>0</v>
      </c>
      <c r="G733" s="8">
        <v>45848</v>
      </c>
      <c r="H733" s="6">
        <f t="shared" si="22"/>
        <v>27</v>
      </c>
      <c r="I733" s="16">
        <f>MAX(1, NETWORKDAYS(A733, G733,Table2[Dias no laborales]))</f>
        <v>6</v>
      </c>
      <c r="J733" s="6" t="str">
        <f>IF(Table1[[#This Row],[FIN]]="","Acumulado",IF(ISNUMBER(SEARCH("ASAP",C733)),"ASAP",IF(NETWORKDAYS.INTL(F733,G733,1,Table2[Dias no laborales]) &lt;= 7, "Dentro", IF(A733&gt;F733,"Programado","Fuera"))))</f>
        <v>Programado</v>
      </c>
      <c r="K733" s="6" t="str">
        <f t="shared" si="23"/>
        <v>Programados</v>
      </c>
      <c r="L733" s="9">
        <v>45841</v>
      </c>
      <c r="M733" s="17">
        <f>MAX(1,NETWORKDAYS(A733,L733,Table2[Dias no laborales]))</f>
        <v>1</v>
      </c>
    </row>
    <row r="734" spans="1:13" hidden="1" x14ac:dyDescent="0.3">
      <c r="A734" s="8">
        <v>45841</v>
      </c>
      <c r="B734" s="6" t="s">
        <v>1494</v>
      </c>
      <c r="C734" s="6" t="s">
        <v>1495</v>
      </c>
      <c r="D734" s="6" t="s">
        <v>27</v>
      </c>
      <c r="E734" s="14">
        <v>0</v>
      </c>
      <c r="F734" s="8">
        <f>IF(HOUR(Table1[[#This Row],[CORREO]])&gt;=11,WORKDAY(Table1[[#This Row],[CORREO]],1,Table2[Dias no laborales]),E734)</f>
        <v>0</v>
      </c>
      <c r="G734" s="8">
        <v>45848</v>
      </c>
      <c r="H734" s="6">
        <f t="shared" si="22"/>
        <v>27</v>
      </c>
      <c r="I734" s="16">
        <f>MAX(1, NETWORKDAYS(A734, G734,Table2[Dias no laborales]))</f>
        <v>6</v>
      </c>
      <c r="J734" s="6" t="str">
        <f>IF(Table1[[#This Row],[FIN]]="","Acumulado",IF(ISNUMBER(SEARCH("ASAP",C734)),"ASAP",IF(NETWORKDAYS.INTL(F734,G734,1,Table2[Dias no laborales]) &lt;= 7, "Dentro", IF(A734&gt;F734,"Programado","Fuera"))))</f>
        <v>Programado</v>
      </c>
      <c r="K734" s="6" t="str">
        <f t="shared" si="23"/>
        <v>Programados</v>
      </c>
      <c r="L734" s="9">
        <v>45841</v>
      </c>
      <c r="M734" s="17">
        <f>MAX(1,NETWORKDAYS(A734,L734,Table2[Dias no laborales]))</f>
        <v>1</v>
      </c>
    </row>
    <row r="735" spans="1:13" hidden="1" x14ac:dyDescent="0.3">
      <c r="A735" s="8">
        <v>45841</v>
      </c>
      <c r="B735" s="6" t="s">
        <v>1455</v>
      </c>
      <c r="C735" s="6" t="s">
        <v>1456</v>
      </c>
      <c r="D735" s="6" t="s">
        <v>27</v>
      </c>
      <c r="E735" s="14">
        <v>0</v>
      </c>
      <c r="F735" s="8">
        <f>IF(HOUR(Table1[[#This Row],[CORREO]])&gt;=11,WORKDAY(Table1[[#This Row],[CORREO]],1,Table2[Dias no laborales]),E735)</f>
        <v>0</v>
      </c>
      <c r="G735" s="8">
        <v>45845</v>
      </c>
      <c r="H735" s="6">
        <f t="shared" si="22"/>
        <v>27</v>
      </c>
      <c r="I735" s="16">
        <f>MAX(1, NETWORKDAYS(A735, G735,Table2[Dias no laborales]))</f>
        <v>3</v>
      </c>
      <c r="J735" s="6" t="str">
        <f>IF(Table1[[#This Row],[FIN]]="","Acumulado",IF(ISNUMBER(SEARCH("ASAP",C735)),"ASAP",IF(NETWORKDAYS.INTL(F735,G735,1,Table2[Dias no laborales]) &lt;= 7, "Dentro", IF(A735&gt;F735,"Programado","Fuera"))))</f>
        <v>Programado</v>
      </c>
      <c r="K735" s="6" t="str">
        <f t="shared" si="23"/>
        <v>Programados</v>
      </c>
      <c r="L735" s="9">
        <v>45841</v>
      </c>
      <c r="M735" s="17">
        <f>MAX(1,NETWORKDAYS(A735,L735,Table2[Dias no laborales]))</f>
        <v>1</v>
      </c>
    </row>
    <row r="736" spans="1:13" hidden="1" x14ac:dyDescent="0.3">
      <c r="A736" s="8">
        <v>45841</v>
      </c>
      <c r="B736" s="6" t="s">
        <v>1486</v>
      </c>
      <c r="C736" s="6" t="s">
        <v>1487</v>
      </c>
      <c r="D736" s="6" t="s">
        <v>27</v>
      </c>
      <c r="E736" s="14">
        <v>0</v>
      </c>
      <c r="F736" s="8">
        <f>IF(HOUR(Table1[[#This Row],[CORREO]])&gt;=11,WORKDAY(Table1[[#This Row],[CORREO]],1,Table2[Dias no laborales]),E736)</f>
        <v>0</v>
      </c>
      <c r="G736" s="8">
        <v>45847</v>
      </c>
      <c r="H736" s="6">
        <f t="shared" si="22"/>
        <v>27</v>
      </c>
      <c r="I736" s="16">
        <f>MAX(1, NETWORKDAYS(A736, G736,Table2[Dias no laborales]))</f>
        <v>5</v>
      </c>
      <c r="J736" s="6" t="str">
        <f>IF(Table1[[#This Row],[FIN]]="","Acumulado",IF(ISNUMBER(SEARCH("ASAP",C736)),"ASAP",IF(NETWORKDAYS.INTL(F736,G736,1,Table2[Dias no laborales]) &lt;= 7, "Dentro", IF(A736&gt;F736,"Programado","Fuera"))))</f>
        <v>Programado</v>
      </c>
      <c r="K736" s="6" t="str">
        <f t="shared" si="23"/>
        <v>Programados</v>
      </c>
      <c r="L736" s="9">
        <v>45841</v>
      </c>
      <c r="M736" s="17">
        <f>MAX(1,NETWORKDAYS(A736,L736,Table2[Dias no laborales]))</f>
        <v>1</v>
      </c>
    </row>
    <row r="737" spans="1:13" hidden="1" x14ac:dyDescent="0.3">
      <c r="A737" s="8">
        <v>45841</v>
      </c>
      <c r="B737" s="6" t="s">
        <v>1484</v>
      </c>
      <c r="C737" s="6" t="s">
        <v>1485</v>
      </c>
      <c r="D737" s="6" t="s">
        <v>27</v>
      </c>
      <c r="E737" s="14">
        <v>0</v>
      </c>
      <c r="F737" s="8">
        <f>IF(HOUR(Table1[[#This Row],[CORREO]])&gt;=11,WORKDAY(Table1[[#This Row],[CORREO]],1,Table2[Dias no laborales]),E737)</f>
        <v>0</v>
      </c>
      <c r="G737" s="8">
        <v>45847</v>
      </c>
      <c r="H737" s="6">
        <f t="shared" si="22"/>
        <v>27</v>
      </c>
      <c r="I737" s="16">
        <f>MAX(1, NETWORKDAYS(A737, G737,Table2[Dias no laborales]))</f>
        <v>5</v>
      </c>
      <c r="J737" s="6" t="str">
        <f>IF(Table1[[#This Row],[FIN]]="","Acumulado",IF(ISNUMBER(SEARCH("ASAP",C737)),"ASAP",IF(NETWORKDAYS.INTL(F737,G737,1,Table2[Dias no laborales]) &lt;= 7, "Dentro", IF(A737&gt;F737,"Programado","Fuera"))))</f>
        <v>Programado</v>
      </c>
      <c r="K737" s="6" t="str">
        <f t="shared" si="23"/>
        <v>Programados</v>
      </c>
      <c r="L737" s="9">
        <v>45841</v>
      </c>
      <c r="M737" s="17">
        <f>MAX(1,NETWORKDAYS(A737,L737,Table2[Dias no laborales]))</f>
        <v>1</v>
      </c>
    </row>
    <row r="738" spans="1:13" hidden="1" x14ac:dyDescent="0.3">
      <c r="A738" s="8">
        <v>45849</v>
      </c>
      <c r="B738" s="5" t="s">
        <v>1630</v>
      </c>
      <c r="C738" s="5" t="s">
        <v>1631</v>
      </c>
      <c r="D738" s="5" t="s">
        <v>24</v>
      </c>
      <c r="E738" s="14">
        <v>45841.388888888891</v>
      </c>
      <c r="F738" s="8">
        <f>IF(HOUR(Table1[[#This Row],[CORREO]])&gt;=11,WORKDAY(Table1[[#This Row],[CORREO]],1,Table2[Dias no laborales]),E738)</f>
        <v>45841.388888888891</v>
      </c>
      <c r="G738" s="8">
        <v>45867</v>
      </c>
      <c r="H738" s="6">
        <f t="shared" si="22"/>
        <v>28</v>
      </c>
      <c r="I738" s="16">
        <f>MAX(1, NETWORKDAYS(A738, G738,Table2[Dias no laborales]))</f>
        <v>13</v>
      </c>
      <c r="J738" s="6" t="str">
        <f>IF(Table1[[#This Row],[FIN]]="","Acumulado",IF(ISNUMBER(SEARCH("ASAP",C738)),"ASAP",IF(NETWORKDAYS.INTL(F738,G738,1,Table2[Dias no laborales]) &lt;= 7, "Dentro", IF(A738&gt;F738,"Programado","Fuera"))))</f>
        <v>Programado</v>
      </c>
      <c r="K738" s="6" t="str">
        <f t="shared" si="23"/>
        <v>Programados</v>
      </c>
      <c r="L738" s="9">
        <v>45841</v>
      </c>
      <c r="M738" s="17">
        <f>MAX(1,NETWORKDAYS(A738,L738,Table2[Dias no laborales]))</f>
        <v>1</v>
      </c>
    </row>
    <row r="739" spans="1:13" hidden="1" x14ac:dyDescent="0.3">
      <c r="A739" s="8">
        <v>45842</v>
      </c>
      <c r="B739" s="6" t="s">
        <v>1538</v>
      </c>
      <c r="C739" s="6" t="s">
        <v>1539</v>
      </c>
      <c r="D739" s="6" t="s">
        <v>1540</v>
      </c>
      <c r="E739" s="14">
        <v>45841.667361111111</v>
      </c>
      <c r="F739" s="8">
        <f>IF(HOUR(Table1[[#This Row],[CORREO]])&gt;=11,WORKDAY(Table1[[#This Row],[CORREO]],1,Table2[Dias no laborales]),E739)</f>
        <v>45842</v>
      </c>
      <c r="G739" s="8">
        <v>45854</v>
      </c>
      <c r="H739" s="6">
        <f t="shared" si="22"/>
        <v>27</v>
      </c>
      <c r="I739" s="16">
        <f>MAX(1, NETWORKDAYS(A739, G739,Table2[Dias no laborales]))</f>
        <v>9</v>
      </c>
      <c r="J739" s="6" t="str">
        <f>IF(Table1[[#This Row],[FIN]]="","Acumulado",IF(ISNUMBER(SEARCH("ASAP",C739)),"ASAP",IF(NETWORKDAYS.INTL(F739,G739,1,Table2[Dias no laborales]) &lt;= 7, "Dentro", IF(A739&gt;F739,"Programado","Fuera"))))</f>
        <v>Fuera</v>
      </c>
      <c r="K739" s="6" t="str">
        <f t="shared" si="23"/>
        <v>A tiempo</v>
      </c>
      <c r="L739" s="9">
        <v>45842</v>
      </c>
      <c r="M739" s="17">
        <f>MAX(1,NETWORKDAYS(A739,L739,Table2[Dias no laborales]))</f>
        <v>1</v>
      </c>
    </row>
    <row r="740" spans="1:13" hidden="1" x14ac:dyDescent="0.3">
      <c r="A740" s="8">
        <v>45842</v>
      </c>
      <c r="B740" s="6" t="s">
        <v>1447</v>
      </c>
      <c r="C740" s="6" t="s">
        <v>1448</v>
      </c>
      <c r="D740" s="6" t="s">
        <v>24</v>
      </c>
      <c r="E740" s="14">
        <v>45812.356944444444</v>
      </c>
      <c r="F740" s="8">
        <f>IF(HOUR(Table1[[#This Row],[CORREO]])&gt;=11,WORKDAY(Table1[[#This Row],[CORREO]],1,Table2[Dias no laborales]),E740)</f>
        <v>45812.356944444444</v>
      </c>
      <c r="G740" s="8">
        <v>45842</v>
      </c>
      <c r="H740" s="6">
        <f t="shared" si="22"/>
        <v>27</v>
      </c>
      <c r="I740" s="16">
        <f>MAX(1, NETWORKDAYS(A740, G740,Table2[Dias no laborales]))</f>
        <v>1</v>
      </c>
      <c r="J740" s="6" t="str">
        <f>IF(Table1[[#This Row],[FIN]]="","Acumulado",IF(ISNUMBER(SEARCH("ASAP",C740)),"ASAP",IF(NETWORKDAYS.INTL(F740,G740,1,Table2[Dias no laborales]) &lt;= 7, "Dentro", IF(A740&gt;F740,"Programado","Fuera"))))</f>
        <v>Programado</v>
      </c>
      <c r="K740" s="6" t="str">
        <f t="shared" si="23"/>
        <v>Programados</v>
      </c>
      <c r="L740" s="9">
        <v>45842</v>
      </c>
      <c r="M740" s="17">
        <f>MAX(1,NETWORKDAYS(A740,L740,Table2[Dias no laborales]))</f>
        <v>1</v>
      </c>
    </row>
    <row r="741" spans="1:13" hidden="1" x14ac:dyDescent="0.3">
      <c r="A741" s="8">
        <v>45842</v>
      </c>
      <c r="B741" s="6" t="s">
        <v>1478</v>
      </c>
      <c r="C741" s="6" t="s">
        <v>1479</v>
      </c>
      <c r="D741" s="6" t="s">
        <v>27</v>
      </c>
      <c r="E741" s="14">
        <v>45842.422222222223</v>
      </c>
      <c r="F741" s="8">
        <f>IF(HOUR(Table1[[#This Row],[CORREO]])&gt;=11,WORKDAY(Table1[[#This Row],[CORREO]],1,Table2[Dias no laborales]),E741)</f>
        <v>45842.422222222223</v>
      </c>
      <c r="G741" s="8">
        <v>45847</v>
      </c>
      <c r="H741" s="6">
        <f t="shared" si="22"/>
        <v>27</v>
      </c>
      <c r="I741" s="16">
        <f>MAX(1, NETWORKDAYS(A741, G741,Table2[Dias no laborales]))</f>
        <v>4</v>
      </c>
      <c r="J741" s="6" t="str">
        <f>IF(Table1[[#This Row],[FIN]]="","Acumulado",IF(ISNUMBER(SEARCH("ASAP",C741)),"ASAP",IF(NETWORKDAYS.INTL(F741,G741,1,Table2[Dias no laborales]) &lt;= 7, "Dentro", IF(A741&gt;F741,"Programado","Fuera"))))</f>
        <v>Dentro</v>
      </c>
      <c r="K741" s="6" t="str">
        <f t="shared" si="23"/>
        <v>A tiempo</v>
      </c>
      <c r="L741" s="9">
        <v>45842</v>
      </c>
      <c r="M741" s="17">
        <f>MAX(1,NETWORKDAYS(A741,L741,Table2[Dias no laborales]))</f>
        <v>1</v>
      </c>
    </row>
    <row r="742" spans="1:13" hidden="1" x14ac:dyDescent="0.3">
      <c r="A742" s="8">
        <v>45842</v>
      </c>
      <c r="B742" s="6" t="s">
        <v>1511</v>
      </c>
      <c r="C742" s="6" t="s">
        <v>1512</v>
      </c>
      <c r="D742" s="6" t="s">
        <v>27</v>
      </c>
      <c r="E742" s="14">
        <v>0</v>
      </c>
      <c r="F742" s="8">
        <f>IF(HOUR(Table1[[#This Row],[CORREO]])&gt;=11,WORKDAY(Table1[[#This Row],[CORREO]],1,Table2[Dias no laborales]),E742)</f>
        <v>0</v>
      </c>
      <c r="G742" s="8">
        <v>45849</v>
      </c>
      <c r="H742" s="6">
        <f t="shared" si="22"/>
        <v>27</v>
      </c>
      <c r="I742" s="16">
        <f>MAX(1, NETWORKDAYS(A742, G742,Table2[Dias no laborales]))</f>
        <v>6</v>
      </c>
      <c r="J742" s="6" t="str">
        <f>IF(Table1[[#This Row],[FIN]]="","Acumulado",IF(ISNUMBER(SEARCH("ASAP",C742)),"ASAP",IF(NETWORKDAYS.INTL(F742,G742,1,Table2[Dias no laborales]) &lt;= 7, "Dentro", IF(A742&gt;F742,"Programado","Fuera"))))</f>
        <v>Programado</v>
      </c>
      <c r="K742" s="6" t="str">
        <f t="shared" si="23"/>
        <v>Programados</v>
      </c>
      <c r="L742" s="9">
        <v>45845</v>
      </c>
      <c r="M742" s="17">
        <f>MAX(1,NETWORKDAYS(A742,L742,Table2[Dias no laborales]))</f>
        <v>2</v>
      </c>
    </row>
    <row r="743" spans="1:13" hidden="1" x14ac:dyDescent="0.3">
      <c r="A743" s="8">
        <v>45845</v>
      </c>
      <c r="B743" s="6" t="s">
        <v>1472</v>
      </c>
      <c r="C743" s="6" t="s">
        <v>1473</v>
      </c>
      <c r="D743" s="6" t="s">
        <v>24</v>
      </c>
      <c r="E743" s="14">
        <v>45842.663888888892</v>
      </c>
      <c r="F743" s="8">
        <f>IF(HOUR(Table1[[#This Row],[CORREO]])&gt;=11,WORKDAY(Table1[[#This Row],[CORREO]],1,Table2[Dias no laborales]),E743)</f>
        <v>45845</v>
      </c>
      <c r="G743" s="8">
        <v>45847</v>
      </c>
      <c r="H743" s="6">
        <f t="shared" si="22"/>
        <v>27</v>
      </c>
      <c r="I743" s="16">
        <f>MAX(1, NETWORKDAYS(A743, G743,Table2[Dias no laborales]))</f>
        <v>3</v>
      </c>
      <c r="J743" s="6" t="str">
        <f>IF(Table1[[#This Row],[FIN]]="","Acumulado",IF(ISNUMBER(SEARCH("ASAP",C743)),"ASAP",IF(NETWORKDAYS.INTL(F743,G743,1,Table2[Dias no laborales]) &lt;= 7, "Dentro", IF(A743&gt;F743,"Programado","Fuera"))))</f>
        <v>Dentro</v>
      </c>
      <c r="K743" s="6" t="str">
        <f t="shared" si="23"/>
        <v>A tiempo</v>
      </c>
      <c r="L743" s="9">
        <v>45845</v>
      </c>
      <c r="M743" s="17">
        <f>MAX(1,NETWORKDAYS(A743,L743,Table2[Dias no laborales]))</f>
        <v>1</v>
      </c>
    </row>
    <row r="744" spans="1:13" hidden="1" x14ac:dyDescent="0.3">
      <c r="A744" s="8">
        <v>45845</v>
      </c>
      <c r="B744" s="6" t="s">
        <v>1503</v>
      </c>
      <c r="C744" s="6" t="s">
        <v>1504</v>
      </c>
      <c r="D744" s="6" t="s">
        <v>24</v>
      </c>
      <c r="E744" s="14">
        <v>0</v>
      </c>
      <c r="F744" s="8">
        <f>IF(HOUR(Table1[[#This Row],[CORREO]])&gt;=11,WORKDAY(Table1[[#This Row],[CORREO]],1,Table2[Dias no laborales]),E744)</f>
        <v>0</v>
      </c>
      <c r="G744" s="8">
        <v>45849</v>
      </c>
      <c r="H744" s="6">
        <f t="shared" si="22"/>
        <v>27</v>
      </c>
      <c r="I744" s="16">
        <f>MAX(1, NETWORKDAYS(A744, G744,Table2[Dias no laborales]))</f>
        <v>5</v>
      </c>
      <c r="J744" s="6" t="str">
        <f>IF(Table1[[#This Row],[FIN]]="","Acumulado",IF(ISNUMBER(SEARCH("ASAP",C744)),"ASAP",IF(NETWORKDAYS.INTL(F744,G744,1,Table2[Dias no laborales]) &lt;= 7, "Dentro", IF(A744&gt;F744,"Programado","Fuera"))))</f>
        <v>Programado</v>
      </c>
      <c r="K744" s="6" t="str">
        <f t="shared" si="23"/>
        <v>Programados</v>
      </c>
      <c r="L744" s="9">
        <v>45845</v>
      </c>
      <c r="M744" s="17">
        <f>MAX(1,NETWORKDAYS(A744,L744,Table2[Dias no laborales]))</f>
        <v>1</v>
      </c>
    </row>
    <row r="745" spans="1:13" hidden="1" x14ac:dyDescent="0.3">
      <c r="A745" s="8">
        <v>45845</v>
      </c>
      <c r="B745" s="6" t="s">
        <v>1584</v>
      </c>
      <c r="C745" s="6" t="s">
        <v>1585</v>
      </c>
      <c r="D745" s="6" t="s">
        <v>136</v>
      </c>
      <c r="E745" s="14">
        <v>45845.424305555556</v>
      </c>
      <c r="F745" s="8">
        <f>IF(HOUR(Table1[[#This Row],[CORREO]])&gt;=11,WORKDAY(Table1[[#This Row],[CORREO]],1,Table2[Dias no laborales]),E745)</f>
        <v>45845.424305555556</v>
      </c>
      <c r="G745" s="8">
        <v>45860</v>
      </c>
      <c r="H745" s="6">
        <f t="shared" si="22"/>
        <v>27</v>
      </c>
      <c r="I745" s="16">
        <f>MAX(1, NETWORKDAYS(A745, G745,Table2[Dias no laborales]))</f>
        <v>12</v>
      </c>
      <c r="J745" s="6" t="str">
        <f>IF(Table1[[#This Row],[FIN]]="","Acumulado",IF(ISNUMBER(SEARCH("ASAP",C745)),"ASAP",IF(NETWORKDAYS.INTL(F745,G745,1,Table2[Dias no laborales]) &lt;= 7, "Dentro", IF(A745&gt;F745,"Programado","Fuera"))))</f>
        <v>Fuera</v>
      </c>
      <c r="K745" s="6" t="str">
        <f t="shared" si="23"/>
        <v>A tiempo</v>
      </c>
      <c r="L745" s="9">
        <v>45845</v>
      </c>
      <c r="M745" s="17">
        <f>MAX(1,NETWORKDAYS(A745,L745,Table2[Dias no laborales]))</f>
        <v>1</v>
      </c>
    </row>
    <row r="746" spans="1:13" hidden="1" x14ac:dyDescent="0.3">
      <c r="A746" s="8">
        <v>45845</v>
      </c>
      <c r="B746" s="6" t="s">
        <v>1457</v>
      </c>
      <c r="C746" s="6" t="s">
        <v>1458</v>
      </c>
      <c r="D746" s="6" t="s">
        <v>538</v>
      </c>
      <c r="E746" s="14">
        <v>45845.488888888889</v>
      </c>
      <c r="F746" s="8">
        <f>IF(HOUR(Table1[[#This Row],[CORREO]])&gt;=11,WORKDAY(Table1[[#This Row],[CORREO]],1,Table2[Dias no laborales]),E746)</f>
        <v>45846</v>
      </c>
      <c r="G746" s="8">
        <v>45845</v>
      </c>
      <c r="H746" s="6">
        <f t="shared" si="22"/>
        <v>27</v>
      </c>
      <c r="I746" s="16">
        <f>MAX(1, NETWORKDAYS(A746, G746,Table2[Dias no laborales]))</f>
        <v>1</v>
      </c>
      <c r="J746" s="6" t="str">
        <f>IF(Table1[[#This Row],[FIN]]="","Acumulado",IF(ISNUMBER(SEARCH("ASAP",C746)),"ASAP",IF(NETWORKDAYS.INTL(F746,G746,1,Table2[Dias no laborales]) &lt;= 7, "Dentro", IF(A746&gt;F746,"Programado","Fuera"))))</f>
        <v>Dentro</v>
      </c>
      <c r="K746" s="6" t="str">
        <f t="shared" si="23"/>
        <v>Mismo día</v>
      </c>
      <c r="L746" s="9">
        <v>45845</v>
      </c>
      <c r="M746" s="17">
        <f>MAX(1,NETWORKDAYS(A746,L746,Table2[Dias no laborales]))</f>
        <v>1</v>
      </c>
    </row>
    <row r="747" spans="1:13" hidden="1" x14ac:dyDescent="0.3">
      <c r="A747" s="8">
        <v>45846</v>
      </c>
      <c r="B747" s="6" t="s">
        <v>1655</v>
      </c>
      <c r="C747" s="6" t="s">
        <v>1656</v>
      </c>
      <c r="D747" s="6" t="s">
        <v>186</v>
      </c>
      <c r="E747" s="14">
        <v>45845.673611111109</v>
      </c>
      <c r="F747" s="8">
        <f>IF(HOUR(Table1[[#This Row],[CORREO]])&gt;=11,WORKDAY(Table1[[#This Row],[CORREO]],1,Table2[Dias no laborales]),E747)</f>
        <v>45846</v>
      </c>
      <c r="G747" s="8">
        <v>45989</v>
      </c>
      <c r="H747" s="6">
        <f t="shared" si="22"/>
        <v>27</v>
      </c>
      <c r="I747" s="16">
        <f>MAX(1, NETWORKDAYS(A747, G747,Table2[Dias no laborales]))</f>
        <v>103</v>
      </c>
      <c r="J747" s="6" t="str">
        <f>IF(Table1[[#This Row],[FIN]]="","Acumulado",IF(ISNUMBER(SEARCH("ASAP",C747)),"ASAP",IF(NETWORKDAYS.INTL(F747,G747,1,Table2[Dias no laborales]) &lt;= 7, "Dentro", IF(A747&gt;F747,"Programado","Fuera"))))</f>
        <v>Fuera</v>
      </c>
      <c r="K747" s="6" t="str">
        <f t="shared" si="23"/>
        <v>A tiempo</v>
      </c>
      <c r="L747" s="9">
        <v>45846</v>
      </c>
      <c r="M747" s="17">
        <f>MAX(1,NETWORKDAYS(A747,L747,Table2[Dias no laborales]))</f>
        <v>1</v>
      </c>
    </row>
    <row r="748" spans="1:13" hidden="1" x14ac:dyDescent="0.3">
      <c r="A748" s="8">
        <v>45846</v>
      </c>
      <c r="B748" s="6" t="s">
        <v>1461</v>
      </c>
      <c r="C748" s="6" t="s">
        <v>1462</v>
      </c>
      <c r="D748" s="6" t="s">
        <v>1463</v>
      </c>
      <c r="E748" s="14">
        <v>45846.357638888891</v>
      </c>
      <c r="F748" s="8">
        <f>IF(HOUR(Table1[[#This Row],[CORREO]])&gt;=11,WORKDAY(Table1[[#This Row],[CORREO]],1,Table2[Dias no laborales]),E748)</f>
        <v>45846.357638888891</v>
      </c>
      <c r="G748" s="8">
        <v>45846</v>
      </c>
      <c r="H748" s="6">
        <f t="shared" si="22"/>
        <v>27</v>
      </c>
      <c r="I748" s="16">
        <f>MAX(1, NETWORKDAYS(A748, G748,Table2[Dias no laborales]))</f>
        <v>1</v>
      </c>
      <c r="J748" s="6" t="str">
        <f>IF(Table1[[#This Row],[FIN]]="","Acumulado",IF(ISNUMBER(SEARCH("ASAP",C748)),"ASAP",IF(NETWORKDAYS.INTL(F748,G748,1,Table2[Dias no laborales]) &lt;= 7, "Dentro", IF(A748&gt;F748,"Programado","Fuera"))))</f>
        <v>Dentro</v>
      </c>
      <c r="K748" s="6" t="str">
        <f t="shared" si="23"/>
        <v>A tiempo</v>
      </c>
      <c r="L748" s="9">
        <v>45846</v>
      </c>
      <c r="M748" s="17">
        <f>MAX(1,NETWORKDAYS(A748,L748,Table2[Dias no laborales]))</f>
        <v>1</v>
      </c>
    </row>
    <row r="749" spans="1:13" hidden="1" x14ac:dyDescent="0.3">
      <c r="A749" s="8">
        <v>45846</v>
      </c>
      <c r="B749" s="6" t="s">
        <v>1502</v>
      </c>
      <c r="C749" s="6" t="s">
        <v>1101</v>
      </c>
      <c r="D749" s="6" t="s">
        <v>517</v>
      </c>
      <c r="E749" s="14">
        <v>45846.415277777778</v>
      </c>
      <c r="F749" s="8">
        <f>IF(HOUR(Table1[[#This Row],[CORREO]])&gt;=11,WORKDAY(Table1[[#This Row],[CORREO]],1,Table2[Dias no laborales]),E749)</f>
        <v>45846.415277777778</v>
      </c>
      <c r="G749" s="8">
        <v>45848</v>
      </c>
      <c r="H749" s="6">
        <f t="shared" si="22"/>
        <v>27</v>
      </c>
      <c r="I749" s="16">
        <f>MAX(1, NETWORKDAYS(A749, G749,Table2[Dias no laborales]))</f>
        <v>3</v>
      </c>
      <c r="J749" s="6" t="str">
        <f>IF(Table1[[#This Row],[FIN]]="","Acumulado",IF(ISNUMBER(SEARCH("ASAP",C749)),"ASAP",IF(NETWORKDAYS.INTL(F749,G749,1,Table2[Dias no laborales]) &lt;= 7, "Dentro", IF(A749&gt;F749,"Programado","Fuera"))))</f>
        <v>Dentro</v>
      </c>
      <c r="K749" s="6" t="str">
        <f t="shared" si="23"/>
        <v>A tiempo</v>
      </c>
      <c r="L749" s="9">
        <v>45846</v>
      </c>
      <c r="M749" s="17">
        <f>MAX(1,NETWORKDAYS(A749,L749,Table2[Dias no laborales]))</f>
        <v>1</v>
      </c>
    </row>
    <row r="750" spans="1:13" hidden="1" x14ac:dyDescent="0.3">
      <c r="A750" s="8">
        <v>45846</v>
      </c>
      <c r="B750" s="6" t="s">
        <v>1531</v>
      </c>
      <c r="C750" s="6" t="s">
        <v>1532</v>
      </c>
      <c r="D750" s="6" t="s">
        <v>571</v>
      </c>
      <c r="E750" s="14">
        <v>45844.424305555556</v>
      </c>
      <c r="F750" s="8">
        <f>IF(HOUR(Table1[[#This Row],[CORREO]])&gt;=11,WORKDAY(Table1[[#This Row],[CORREO]],1,Table2[Dias no laborales]),E750)</f>
        <v>45844.424305555556</v>
      </c>
      <c r="G750" s="8">
        <v>45853</v>
      </c>
      <c r="H750" s="6">
        <f t="shared" si="22"/>
        <v>27</v>
      </c>
      <c r="I750" s="16">
        <f>MAX(1, NETWORKDAYS(A750, G750,Table2[Dias no laborales]))</f>
        <v>6</v>
      </c>
      <c r="J750" s="6" t="str">
        <f>IF(Table1[[#This Row],[FIN]]="","Acumulado",IF(ISNUMBER(SEARCH("ASAP",C750)),"ASAP",IF(NETWORKDAYS.INTL(F750,G750,1,Table2[Dias no laborales]) &lt;= 7, "Dentro", IF(A750&gt;F750,"Programado","Fuera"))))</f>
        <v>Dentro</v>
      </c>
      <c r="K750" s="6" t="str">
        <f t="shared" si="23"/>
        <v>Programados</v>
      </c>
      <c r="L750" s="9">
        <v>45846</v>
      </c>
      <c r="M750" s="17">
        <f>MAX(1,NETWORKDAYS(A750,L750,Table2[Dias no laborales]))</f>
        <v>1</v>
      </c>
    </row>
    <row r="751" spans="1:13" hidden="1" x14ac:dyDescent="0.3">
      <c r="A751" s="8">
        <v>45847</v>
      </c>
      <c r="B751" s="6" t="s">
        <v>1500</v>
      </c>
      <c r="C751" s="6" t="s">
        <v>1501</v>
      </c>
      <c r="D751" s="6" t="s">
        <v>994</v>
      </c>
      <c r="E751" s="14">
        <v>45846.459027777775</v>
      </c>
      <c r="F751" s="8">
        <f>IF(HOUR(Table1[[#This Row],[CORREO]])&gt;=11,WORKDAY(Table1[[#This Row],[CORREO]],1,Table2[Dias no laborales]),E751)</f>
        <v>45847</v>
      </c>
      <c r="G751" s="8">
        <v>45848</v>
      </c>
      <c r="H751" s="6">
        <f t="shared" si="22"/>
        <v>28</v>
      </c>
      <c r="I751" s="16">
        <f>MAX(1, NETWORKDAYS(A751, G751,Table2[Dias no laborales]))</f>
        <v>2</v>
      </c>
      <c r="J751" s="6" t="str">
        <f>IF(Table1[[#This Row],[FIN]]="","Acumulado",IF(ISNUMBER(SEARCH("ASAP",C751)),"ASAP",IF(NETWORKDAYS.INTL(F751,G751,1,Table2[Dias no laborales]) &lt;= 7, "Dentro", IF(A751&gt;F751,"Programado","Fuera"))))</f>
        <v>Dentro</v>
      </c>
      <c r="K751" s="6" t="str">
        <f t="shared" si="23"/>
        <v>A tiempo</v>
      </c>
      <c r="L751" s="9">
        <v>45847</v>
      </c>
      <c r="M751" s="17">
        <f>MAX(1,NETWORKDAYS(A751,L751,Table2[Dias no laborales]))</f>
        <v>1</v>
      </c>
    </row>
    <row r="752" spans="1:13" hidden="1" x14ac:dyDescent="0.3">
      <c r="A752" s="8">
        <v>45847</v>
      </c>
      <c r="B752" s="6" t="s">
        <v>1546</v>
      </c>
      <c r="C752" s="6" t="s">
        <v>1547</v>
      </c>
      <c r="D752" s="6" t="s">
        <v>119</v>
      </c>
      <c r="E752" s="14">
        <v>45846.640972222223</v>
      </c>
      <c r="F752" s="8">
        <f>IF(HOUR(Table1[[#This Row],[CORREO]])&gt;=11,WORKDAY(Table1[[#This Row],[CORREO]],1,Table2[Dias no laborales]),E752)</f>
        <v>45847</v>
      </c>
      <c r="G752" s="8">
        <v>45854</v>
      </c>
      <c r="H752" s="6">
        <f t="shared" si="22"/>
        <v>28</v>
      </c>
      <c r="I752" s="16">
        <f>MAX(1, NETWORKDAYS(A752, G752,Table2[Dias no laborales]))</f>
        <v>6</v>
      </c>
      <c r="J752" s="6" t="str">
        <f>IF(Table1[[#This Row],[FIN]]="","Acumulado",IF(ISNUMBER(SEARCH("ASAP",C752)),"ASAP",IF(NETWORKDAYS.INTL(F752,G752,1,Table2[Dias no laborales]) &lt;= 7, "Dentro", IF(A752&gt;F752,"Programado","Fuera"))))</f>
        <v>Dentro</v>
      </c>
      <c r="K752" s="6" t="str">
        <f t="shared" si="23"/>
        <v>A tiempo</v>
      </c>
      <c r="L752" s="9">
        <v>45847</v>
      </c>
      <c r="M752" s="17">
        <f>MAX(1,NETWORKDAYS(A752,L752,Table2[Dias no laborales]))</f>
        <v>1</v>
      </c>
    </row>
    <row r="753" spans="1:13" hidden="1" x14ac:dyDescent="0.3">
      <c r="A753" s="8">
        <v>45847</v>
      </c>
      <c r="B753" s="6" t="s">
        <v>1468</v>
      </c>
      <c r="C753" s="6" t="s">
        <v>1469</v>
      </c>
      <c r="D753" s="6" t="s">
        <v>48</v>
      </c>
      <c r="E753" s="14">
        <v>45846.654861111114</v>
      </c>
      <c r="F753" s="8">
        <f>IF(HOUR(Table1[[#This Row],[CORREO]])&gt;=11,WORKDAY(Table1[[#This Row],[CORREO]],1,Table2[Dias no laborales]),E753)</f>
        <v>45847</v>
      </c>
      <c r="G753" s="8">
        <v>45847</v>
      </c>
      <c r="H753" s="6">
        <f t="shared" si="22"/>
        <v>28</v>
      </c>
      <c r="I753" s="16">
        <f>MAX(1, NETWORKDAYS(A753, G753,Table2[Dias no laborales]))</f>
        <v>1</v>
      </c>
      <c r="J753" s="6" t="str">
        <f>IF(Table1[[#This Row],[FIN]]="","Acumulado",IF(ISNUMBER(SEARCH("ASAP",C753)),"ASAP",IF(NETWORKDAYS.INTL(F753,G753,1,Table2[Dias no laborales]) &lt;= 7, "Dentro", IF(A753&gt;F753,"Programado","Fuera"))))</f>
        <v>Dentro</v>
      </c>
      <c r="K753" s="6" t="str">
        <f t="shared" si="23"/>
        <v>A tiempo</v>
      </c>
      <c r="L753" s="9">
        <v>45847</v>
      </c>
      <c r="M753" s="17">
        <f>MAX(1,NETWORKDAYS(A753,L753,Table2[Dias no laborales]))</f>
        <v>1</v>
      </c>
    </row>
    <row r="754" spans="1:13" hidden="1" x14ac:dyDescent="0.3">
      <c r="A754" s="8">
        <v>45847</v>
      </c>
      <c r="B754" s="6" t="s">
        <v>1466</v>
      </c>
      <c r="C754" s="6" t="s">
        <v>1467</v>
      </c>
      <c r="D754" s="6" t="s">
        <v>571</v>
      </c>
      <c r="E754" s="14">
        <v>45846.663194444445</v>
      </c>
      <c r="F754" s="8">
        <f>IF(HOUR(Table1[[#This Row],[CORREO]])&gt;=11,WORKDAY(Table1[[#This Row],[CORREO]],1,Table2[Dias no laborales]),E754)</f>
        <v>45847</v>
      </c>
      <c r="G754" s="8">
        <v>45847</v>
      </c>
      <c r="H754" s="6">
        <f t="shared" si="22"/>
        <v>28</v>
      </c>
      <c r="I754" s="16">
        <f>MAX(1, NETWORKDAYS(A754, G754,Table2[Dias no laborales]))</f>
        <v>1</v>
      </c>
      <c r="J754" s="6" t="str">
        <f>IF(Table1[[#This Row],[FIN]]="","Acumulado",IF(ISNUMBER(SEARCH("ASAP",C754)),"ASAP",IF(NETWORKDAYS.INTL(F754,G754,1,Table2[Dias no laborales]) &lt;= 7, "Dentro", IF(A754&gt;F754,"Programado","Fuera"))))</f>
        <v>Dentro</v>
      </c>
      <c r="K754" s="6" t="str">
        <f t="shared" si="23"/>
        <v>A tiempo</v>
      </c>
      <c r="L754" s="9">
        <v>45847</v>
      </c>
      <c r="M754" s="17">
        <f>MAX(1,NETWORKDAYS(A754,L754,Table2[Dias no laborales]))</f>
        <v>1</v>
      </c>
    </row>
    <row r="755" spans="1:13" hidden="1" x14ac:dyDescent="0.3">
      <c r="A755" s="8">
        <v>45859</v>
      </c>
      <c r="B755" s="5" t="s">
        <v>1653</v>
      </c>
      <c r="C755" s="5" t="s">
        <v>1654</v>
      </c>
      <c r="D755" s="5" t="s">
        <v>186</v>
      </c>
      <c r="E755" s="14">
        <v>45846.720833333333</v>
      </c>
      <c r="F755" s="8">
        <f>IF(HOUR(Table1[[#This Row],[CORREO]])&gt;=11,WORKDAY(Table1[[#This Row],[CORREO]],1,Table2[Dias no laborales]),E755)</f>
        <v>45847</v>
      </c>
      <c r="G755" s="8">
        <v>45869</v>
      </c>
      <c r="H755" s="6">
        <f t="shared" si="22"/>
        <v>29</v>
      </c>
      <c r="I755" s="16">
        <f>MAX(1, NETWORKDAYS(A755, G755,Table2[Dias no laborales]))</f>
        <v>9</v>
      </c>
      <c r="J755" s="6" t="str">
        <f>IF(Table1[[#This Row],[FIN]]="","Acumulado",IF(ISNUMBER(SEARCH("ASAP",C755)),"ASAP",IF(NETWORKDAYS.INTL(F755,G755,1,Table2[Dias no laborales]) &lt;= 7, "Dentro", IF(A755&gt;F755,"Programado","Fuera"))))</f>
        <v>Programado</v>
      </c>
      <c r="K755" s="6" t="str">
        <f t="shared" si="23"/>
        <v>Programados</v>
      </c>
      <c r="L755" s="9">
        <v>45847</v>
      </c>
      <c r="M755" s="17">
        <f>MAX(1,NETWORKDAYS(A755,L755,Table2[Dias no laborales]))</f>
        <v>1</v>
      </c>
    </row>
    <row r="756" spans="1:13" hidden="1" x14ac:dyDescent="0.3">
      <c r="A756" s="8">
        <v>45847</v>
      </c>
      <c r="B756" s="6" t="s">
        <v>1476</v>
      </c>
      <c r="C756" s="6" t="s">
        <v>1477</v>
      </c>
      <c r="D756" s="6" t="s">
        <v>133</v>
      </c>
      <c r="E756" s="14">
        <v>45847.384027777778</v>
      </c>
      <c r="F756" s="8">
        <f>IF(HOUR(Table1[[#This Row],[CORREO]])&gt;=11,WORKDAY(Table1[[#This Row],[CORREO]],1,Table2[Dias no laborales]),E756)</f>
        <v>45847.384027777778</v>
      </c>
      <c r="G756" s="8">
        <v>45847</v>
      </c>
      <c r="H756" s="6">
        <f t="shared" si="22"/>
        <v>28</v>
      </c>
      <c r="I756" s="16">
        <f>MAX(1, NETWORKDAYS(A756, G756,Table2[Dias no laborales]))</f>
        <v>1</v>
      </c>
      <c r="J756" s="6" t="str">
        <f>IF(Table1[[#This Row],[FIN]]="","Acumulado",IF(ISNUMBER(SEARCH("ASAP",C756)),"ASAP",IF(NETWORKDAYS.INTL(F756,G756,1,Table2[Dias no laborales]) &lt;= 7, "Dentro", IF(A756&gt;F756,"Programado","Fuera"))))</f>
        <v>Dentro</v>
      </c>
      <c r="K756" s="6" t="str">
        <f t="shared" si="23"/>
        <v>A tiempo</v>
      </c>
      <c r="L756" s="9">
        <v>45847</v>
      </c>
      <c r="M756" s="17">
        <f>MAX(1,NETWORKDAYS(A756,L756,Table2[Dias no laborales]))</f>
        <v>1</v>
      </c>
    </row>
    <row r="757" spans="1:13" hidden="1" x14ac:dyDescent="0.3">
      <c r="A757" s="8">
        <v>45847</v>
      </c>
      <c r="B757" s="6" t="s">
        <v>1657</v>
      </c>
      <c r="C757" s="6" t="s">
        <v>1658</v>
      </c>
      <c r="D757" s="6" t="s">
        <v>24</v>
      </c>
      <c r="E757" s="14"/>
      <c r="F757" s="8">
        <f>IF(HOUR(Table1[[#This Row],[CORREO]])&gt;=11,WORKDAY(Table1[[#This Row],[CORREO]],1,Table2[Dias no laborales]),E757)</f>
        <v>0</v>
      </c>
      <c r="G757" s="8">
        <v>45922</v>
      </c>
      <c r="H757" s="6">
        <f t="shared" si="22"/>
        <v>28</v>
      </c>
      <c r="I757" s="16">
        <f>MAX(1, NETWORKDAYS(A757, G757,Table2[Dias no laborales]))</f>
        <v>54</v>
      </c>
      <c r="J757" s="6" t="str">
        <f>IF(Table1[[#This Row],[FIN]]="","Acumulado",IF(ISNUMBER(SEARCH("ASAP",C757)),"ASAP",IF(NETWORKDAYS.INTL(F757,G757,1,Table2[Dias no laborales]) &lt;= 7, "Dentro", IF(A757&gt;F757,"Programado","Fuera"))))</f>
        <v>Programado</v>
      </c>
      <c r="K757" s="6" t="str">
        <f t="shared" si="23"/>
        <v>Programados</v>
      </c>
      <c r="L757" s="9">
        <v>45849</v>
      </c>
      <c r="M757" s="17">
        <f>MAX(1,NETWORKDAYS(A757,L757,Table2[Dias no laborales]))</f>
        <v>3</v>
      </c>
    </row>
    <row r="758" spans="1:13" hidden="1" x14ac:dyDescent="0.3">
      <c r="A758" s="8">
        <v>45847</v>
      </c>
      <c r="B758" s="6" t="s">
        <v>1482</v>
      </c>
      <c r="C758" s="6" t="s">
        <v>1483</v>
      </c>
      <c r="D758" s="6" t="s">
        <v>27</v>
      </c>
      <c r="E758" s="14">
        <v>45847.515972222223</v>
      </c>
      <c r="F758" s="8">
        <f>IF(HOUR(Table1[[#This Row],[CORREO]])&gt;=11,WORKDAY(Table1[[#This Row],[CORREO]],1,Table2[Dias no laborales]),E758)</f>
        <v>45848</v>
      </c>
      <c r="G758" s="8">
        <v>45847</v>
      </c>
      <c r="H758" s="6">
        <f t="shared" si="22"/>
        <v>28</v>
      </c>
      <c r="I758" s="16">
        <f>MAX(1, NETWORKDAYS(A758, G758,Table2[Dias no laborales]))</f>
        <v>1</v>
      </c>
      <c r="J758" s="6" t="str">
        <f>IF(Table1[[#This Row],[FIN]]="","Acumulado",IF(ISNUMBER(SEARCH("ASAP",C758)),"ASAP",IF(NETWORKDAYS.INTL(F758,G758,1,Table2[Dias no laborales]) &lt;= 7, "Dentro", IF(A758&gt;F758,"Programado","Fuera"))))</f>
        <v>Dentro</v>
      </c>
      <c r="K758" s="6" t="str">
        <f t="shared" si="23"/>
        <v>Mismo día</v>
      </c>
      <c r="L758" s="9">
        <v>45847</v>
      </c>
      <c r="M758" s="17">
        <f>MAX(1,NETWORKDAYS(A758,L758,Table2[Dias no laborales]))</f>
        <v>1</v>
      </c>
    </row>
    <row r="759" spans="1:13" hidden="1" x14ac:dyDescent="0.3">
      <c r="A759" s="8">
        <v>45848</v>
      </c>
      <c r="B759" s="5" t="s">
        <v>1645</v>
      </c>
      <c r="C759" s="5" t="s">
        <v>1646</v>
      </c>
      <c r="D759" s="5" t="s">
        <v>154</v>
      </c>
      <c r="E759" s="14">
        <v>45847.386805555558</v>
      </c>
      <c r="F759" s="8">
        <f>IF(HOUR(Table1[[#This Row],[CORREO]])&gt;=11,WORKDAY(Table1[[#This Row],[CORREO]],1,Table2[Dias no laborales]),E759)</f>
        <v>45847.386805555558</v>
      </c>
      <c r="G759" s="8">
        <v>45869</v>
      </c>
      <c r="H759" s="6">
        <f t="shared" si="22"/>
        <v>28</v>
      </c>
      <c r="I759" s="16">
        <f>MAX(1, NETWORKDAYS(A759, G759,Table2[Dias no laborales]))</f>
        <v>16</v>
      </c>
      <c r="J759" s="6" t="str">
        <f>IF(Table1[[#This Row],[FIN]]="","Acumulado",IF(ISNUMBER(SEARCH("ASAP",C759)),"ASAP",IF(NETWORKDAYS.INTL(F759,G759,1,Table2[Dias no laborales]) &lt;= 7, "Dentro", IF(A759&gt;F759,"Programado","Fuera"))))</f>
        <v>Programado</v>
      </c>
      <c r="K759" s="6" t="str">
        <f t="shared" si="23"/>
        <v>Programados</v>
      </c>
      <c r="L759" s="9">
        <v>45848</v>
      </c>
      <c r="M759" s="17">
        <f>MAX(1,NETWORKDAYS(A759,L759,Table2[Dias no laborales]))</f>
        <v>1</v>
      </c>
    </row>
    <row r="760" spans="1:13" hidden="1" x14ac:dyDescent="0.3">
      <c r="A760" s="8">
        <v>45848</v>
      </c>
      <c r="B760" s="6" t="s">
        <v>1492</v>
      </c>
      <c r="C760" s="6" t="s">
        <v>1493</v>
      </c>
      <c r="D760" s="6" t="s">
        <v>42</v>
      </c>
      <c r="E760" s="14">
        <v>45847.476388888892</v>
      </c>
      <c r="F760" s="8">
        <f>IF(HOUR(Table1[[#This Row],[CORREO]])&gt;=11,WORKDAY(Table1[[#This Row],[CORREO]],1,Table2[Dias no laborales]),E760)</f>
        <v>45848</v>
      </c>
      <c r="G760" s="8">
        <v>45848</v>
      </c>
      <c r="H760" s="6">
        <f t="shared" si="22"/>
        <v>28</v>
      </c>
      <c r="I760" s="16">
        <f>MAX(1, NETWORKDAYS(A760, G760,Table2[Dias no laborales]))</f>
        <v>1</v>
      </c>
      <c r="J760" s="6" t="str">
        <f>IF(Table1[[#This Row],[FIN]]="","Acumulado",IF(ISNUMBER(SEARCH("ASAP",C760)),"ASAP",IF(NETWORKDAYS.INTL(F760,G760,1,Table2[Dias no laborales]) &lt;= 7, "Dentro", IF(A760&gt;F760,"Programado","Fuera"))))</f>
        <v>Dentro</v>
      </c>
      <c r="K760" s="6" t="str">
        <f t="shared" si="23"/>
        <v>A tiempo</v>
      </c>
      <c r="L760" s="9">
        <v>45848</v>
      </c>
      <c r="M760" s="17">
        <f>MAX(1,NETWORKDAYS(A760,L760,Table2[Dias no laborales]))</f>
        <v>1</v>
      </c>
    </row>
    <row r="761" spans="1:13" hidden="1" x14ac:dyDescent="0.3">
      <c r="A761" s="8">
        <v>45848</v>
      </c>
      <c r="B761" s="6" t="s">
        <v>1490</v>
      </c>
      <c r="C761" s="6" t="s">
        <v>1491</v>
      </c>
      <c r="D761" s="6" t="s">
        <v>133</v>
      </c>
      <c r="E761" s="14">
        <v>45847.74722222222</v>
      </c>
      <c r="F761" s="8">
        <f>IF(HOUR(Table1[[#This Row],[CORREO]])&gt;=11,WORKDAY(Table1[[#This Row],[CORREO]],1,Table2[Dias no laborales]),E761)</f>
        <v>45848</v>
      </c>
      <c r="G761" s="8">
        <v>45848</v>
      </c>
      <c r="H761" s="6">
        <f t="shared" si="22"/>
        <v>28</v>
      </c>
      <c r="I761" s="16">
        <f>MAX(1, NETWORKDAYS(A761, G761,Table2[Dias no laborales]))</f>
        <v>1</v>
      </c>
      <c r="J761" s="6" t="str">
        <f>IF(Table1[[#This Row],[FIN]]="","Acumulado",IF(ISNUMBER(SEARCH("ASAP",C761)),"ASAP",IF(NETWORKDAYS.INTL(F761,G761,1,Table2[Dias no laborales]) &lt;= 7, "Dentro", IF(A761&gt;F761,"Programado","Fuera"))))</f>
        <v>Dentro</v>
      </c>
      <c r="K761" s="6" t="str">
        <f t="shared" si="23"/>
        <v>A tiempo</v>
      </c>
      <c r="L761" s="9">
        <v>45848</v>
      </c>
      <c r="M761" s="17">
        <f>MAX(1,NETWORKDAYS(A761,L761,Table2[Dias no laborales]))</f>
        <v>1</v>
      </c>
    </row>
    <row r="762" spans="1:13" hidden="1" x14ac:dyDescent="0.3">
      <c r="A762" s="8">
        <v>45848</v>
      </c>
      <c r="B762" s="6" t="s">
        <v>1549</v>
      </c>
      <c r="C762" s="6" t="s">
        <v>207</v>
      </c>
      <c r="D762" s="6" t="s">
        <v>208</v>
      </c>
      <c r="E762" s="14">
        <v>45848.302083333336</v>
      </c>
      <c r="F762" s="8">
        <f>IF(HOUR(Table1[[#This Row],[CORREO]])&gt;=11,WORKDAY(Table1[[#This Row],[CORREO]],1,Table2[Dias no laborales]),E762)</f>
        <v>45848.302083333336</v>
      </c>
      <c r="G762" s="8">
        <v>45855</v>
      </c>
      <c r="H762" s="6">
        <f t="shared" si="22"/>
        <v>28</v>
      </c>
      <c r="I762" s="16">
        <f>MAX(1, NETWORKDAYS(A762, G762,Table2[Dias no laborales]))</f>
        <v>6</v>
      </c>
      <c r="J762" s="6" t="str">
        <f>IF(Table1[[#This Row],[FIN]]="","Acumulado",IF(ISNUMBER(SEARCH("ASAP",C762)),"ASAP",IF(NETWORKDAYS.INTL(F762,G762,1,Table2[Dias no laborales]) &lt;= 7, "Dentro", IF(A762&gt;F762,"Programado","Fuera"))))</f>
        <v>Dentro</v>
      </c>
      <c r="K762" s="6" t="str">
        <f t="shared" si="23"/>
        <v>A tiempo</v>
      </c>
      <c r="L762" s="9">
        <v>45848</v>
      </c>
      <c r="M762" s="17">
        <f>MAX(1,NETWORKDAYS(A762,L762,Table2[Dias no laborales]))</f>
        <v>1</v>
      </c>
    </row>
    <row r="763" spans="1:13" hidden="1" x14ac:dyDescent="0.3">
      <c r="A763" s="8">
        <v>45848</v>
      </c>
      <c r="B763" s="6" t="s">
        <v>1687</v>
      </c>
      <c r="C763" s="6" t="s">
        <v>1688</v>
      </c>
      <c r="D763" s="6" t="s">
        <v>650</v>
      </c>
      <c r="E763" s="14">
        <v>45848.347222222219</v>
      </c>
      <c r="F763" s="8">
        <f>IF(HOUR(Table1[[#This Row],[CORREO]])&gt;=11,WORKDAY(Table1[[#This Row],[CORREO]],1,Table2[Dias no laborales]),E763)</f>
        <v>45848.347222222219</v>
      </c>
      <c r="G763" s="8">
        <v>45870</v>
      </c>
      <c r="H763" s="6">
        <f t="shared" si="22"/>
        <v>28</v>
      </c>
      <c r="I763" s="16">
        <f>MAX(1, NETWORKDAYS(A763, G763,Table2[Dias no laborales]))</f>
        <v>17</v>
      </c>
      <c r="J763" s="6" t="str">
        <f>IF(Table1[[#This Row],[FIN]]="","Acumulado",IF(ISNUMBER(SEARCH("ASAP",C763)),"ASAP",IF(NETWORKDAYS.INTL(F763,G763,1,Table2[Dias no laborales]) &lt;= 7, "Dentro", IF(A763&gt;F763,"Programado","Fuera"))))</f>
        <v>Fuera</v>
      </c>
      <c r="K763" s="6" t="str">
        <f t="shared" si="23"/>
        <v>A tiempo</v>
      </c>
      <c r="L763" s="9">
        <v>45848</v>
      </c>
      <c r="M763" s="17">
        <f>MAX(1,NETWORKDAYS(A763,L763,Table2[Dias no laborales]))</f>
        <v>1</v>
      </c>
    </row>
    <row r="764" spans="1:13" hidden="1" x14ac:dyDescent="0.3">
      <c r="A764" s="8">
        <v>45848</v>
      </c>
      <c r="B764" s="6" t="s">
        <v>1509</v>
      </c>
      <c r="C764" s="6" t="s">
        <v>1510</v>
      </c>
      <c r="D764" s="6" t="s">
        <v>75</v>
      </c>
      <c r="E764" s="14">
        <v>45848.42083333333</v>
      </c>
      <c r="F764" s="8">
        <f>IF(HOUR(Table1[[#This Row],[CORREO]])&gt;=11,WORKDAY(Table1[[#This Row],[CORREO]],1,Table2[Dias no laborales]),E764)</f>
        <v>45848.42083333333</v>
      </c>
      <c r="G764" s="8">
        <v>45849</v>
      </c>
      <c r="H764" s="6">
        <f t="shared" si="22"/>
        <v>28</v>
      </c>
      <c r="I764" s="16">
        <f>MAX(1, NETWORKDAYS(A764, G764,Table2[Dias no laborales]))</f>
        <v>2</v>
      </c>
      <c r="J764" s="6" t="str">
        <f>IF(Table1[[#This Row],[FIN]]="","Acumulado",IF(ISNUMBER(SEARCH("ASAP",C764)),"ASAP",IF(NETWORKDAYS.INTL(F764,G764,1,Table2[Dias no laborales]) &lt;= 7, "Dentro", IF(A764&gt;F764,"Programado","Fuera"))))</f>
        <v>Dentro</v>
      </c>
      <c r="K764" s="6" t="str">
        <f t="shared" si="23"/>
        <v>A tiempo</v>
      </c>
      <c r="L764" s="9">
        <v>45848</v>
      </c>
      <c r="M764" s="17">
        <f>MAX(1,NETWORKDAYS(A764,L764,Table2[Dias no laborales]))</f>
        <v>1</v>
      </c>
    </row>
    <row r="765" spans="1:13" hidden="1" x14ac:dyDescent="0.3">
      <c r="A765" s="8">
        <v>45848</v>
      </c>
      <c r="B765" s="6" t="s">
        <v>1560</v>
      </c>
      <c r="C765" s="6" t="s">
        <v>1561</v>
      </c>
      <c r="D765" s="6" t="s">
        <v>1562</v>
      </c>
      <c r="E765" s="14">
        <v>45848.441666666666</v>
      </c>
      <c r="F765" s="8">
        <f>IF(HOUR(Table1[[#This Row],[CORREO]])&gt;=11,WORKDAY(Table1[[#This Row],[CORREO]],1,Table2[Dias no laborales]),E765)</f>
        <v>45848.441666666666</v>
      </c>
      <c r="G765" s="8">
        <v>45856</v>
      </c>
      <c r="H765" s="6">
        <f t="shared" si="22"/>
        <v>28</v>
      </c>
      <c r="I765" s="16">
        <f>MAX(1, NETWORKDAYS(A765, G765,Table2[Dias no laborales]))</f>
        <v>7</v>
      </c>
      <c r="J765" s="6" t="str">
        <f>IF(Table1[[#This Row],[FIN]]="","Acumulado",IF(ISNUMBER(SEARCH("ASAP",C765)),"ASAP",IF(NETWORKDAYS.INTL(F765,G765,1,Table2[Dias no laborales]) &lt;= 7, "Dentro", IF(A765&gt;F765,"Programado","Fuera"))))</f>
        <v>Dentro</v>
      </c>
      <c r="K765" s="6" t="str">
        <f t="shared" si="23"/>
        <v>A tiempo</v>
      </c>
      <c r="L765" s="9">
        <v>45848</v>
      </c>
      <c r="M765" s="17">
        <f>MAX(1,NETWORKDAYS(A765,L765,Table2[Dias no laborales]))</f>
        <v>1</v>
      </c>
    </row>
    <row r="766" spans="1:13" hidden="1" x14ac:dyDescent="0.3">
      <c r="A766" s="8">
        <v>45848</v>
      </c>
      <c r="B766" s="6" t="s">
        <v>1507</v>
      </c>
      <c r="C766" s="6" t="s">
        <v>1508</v>
      </c>
      <c r="D766" s="6" t="s">
        <v>562</v>
      </c>
      <c r="E766" s="14">
        <v>45848.445138888892</v>
      </c>
      <c r="F766" s="8">
        <f>IF(HOUR(Table1[[#This Row],[CORREO]])&gt;=11,WORKDAY(Table1[[#This Row],[CORREO]],1,Table2[Dias no laborales]),E766)</f>
        <v>45848.445138888892</v>
      </c>
      <c r="G766" s="8">
        <v>45849</v>
      </c>
      <c r="H766" s="6">
        <f t="shared" si="22"/>
        <v>28</v>
      </c>
      <c r="I766" s="16">
        <f>MAX(1, NETWORKDAYS(A766, G766,Table2[Dias no laborales]))</f>
        <v>2</v>
      </c>
      <c r="J766" s="6" t="str">
        <f>IF(Table1[[#This Row],[FIN]]="","Acumulado",IF(ISNUMBER(SEARCH("ASAP",C766)),"ASAP",IF(NETWORKDAYS.INTL(F766,G766,1,Table2[Dias no laborales]) &lt;= 7, "Dentro", IF(A766&gt;F766,"Programado","Fuera"))))</f>
        <v>Dentro</v>
      </c>
      <c r="K766" s="6" t="str">
        <f t="shared" si="23"/>
        <v>A tiempo</v>
      </c>
      <c r="L766" s="9">
        <v>45848</v>
      </c>
      <c r="M766" s="17">
        <f>MAX(1,NETWORKDAYS(A766,L766,Table2[Dias no laborales]))</f>
        <v>1</v>
      </c>
    </row>
    <row r="767" spans="1:13" hidden="1" x14ac:dyDescent="0.3">
      <c r="A767" s="8">
        <v>45848</v>
      </c>
      <c r="B767" s="6" t="s">
        <v>1573</v>
      </c>
      <c r="C767" s="6" t="s">
        <v>1574</v>
      </c>
      <c r="D767" s="6" t="s">
        <v>27</v>
      </c>
      <c r="E767" s="14">
        <v>45848.445833333331</v>
      </c>
      <c r="F767" s="8">
        <f>IF(HOUR(Table1[[#This Row],[CORREO]])&gt;=11,WORKDAY(Table1[[#This Row],[CORREO]],1,Table2[Dias no laborales]),E767)</f>
        <v>45848.445833333331</v>
      </c>
      <c r="G767" s="8">
        <v>45859</v>
      </c>
      <c r="H767" s="6">
        <f t="shared" si="22"/>
        <v>28</v>
      </c>
      <c r="I767" s="16">
        <f>MAX(1, NETWORKDAYS(A767, G767,Table2[Dias no laborales]))</f>
        <v>8</v>
      </c>
      <c r="J767" s="6" t="str">
        <f>IF(Table1[[#This Row],[FIN]]="","Acumulado",IF(ISNUMBER(SEARCH("ASAP",C767)),"ASAP",IF(NETWORKDAYS.INTL(F767,G767,1,Table2[Dias no laborales]) &lt;= 7, "Dentro", IF(A767&gt;F767,"Programado","Fuera"))))</f>
        <v>Fuera</v>
      </c>
      <c r="K767" s="6" t="str">
        <f t="shared" si="23"/>
        <v>A tiempo</v>
      </c>
      <c r="L767" s="9">
        <v>45848</v>
      </c>
      <c r="M767" s="17">
        <f>MAX(1,NETWORKDAYS(A767,L767,Table2[Dias no laborales]))</f>
        <v>1</v>
      </c>
    </row>
    <row r="768" spans="1:13" hidden="1" x14ac:dyDescent="0.3">
      <c r="A768" s="8">
        <v>45849</v>
      </c>
      <c r="B768" s="6" t="s">
        <v>1515</v>
      </c>
      <c r="C768" s="6" t="s">
        <v>1042</v>
      </c>
      <c r="D768" s="6" t="s">
        <v>288</v>
      </c>
      <c r="E768" s="14">
        <v>45849.477083333331</v>
      </c>
      <c r="F768" s="8">
        <f>IF(HOUR(Table1[[#This Row],[CORREO]])&gt;=11,WORKDAY(Table1[[#This Row],[CORREO]],1,Table2[Dias no laborales]),E768)</f>
        <v>45852</v>
      </c>
      <c r="G768" s="8">
        <v>45849</v>
      </c>
      <c r="H768" s="6">
        <f t="shared" si="22"/>
        <v>28</v>
      </c>
      <c r="I768" s="16">
        <f>MAX(1, NETWORKDAYS(A768, G768,Table2[Dias no laborales]))</f>
        <v>1</v>
      </c>
      <c r="J768" s="6" t="str">
        <f>IF(Table1[[#This Row],[FIN]]="","Acumulado",IF(ISNUMBER(SEARCH("ASAP",C768)),"ASAP",IF(NETWORKDAYS.INTL(F768,G768,1,Table2[Dias no laborales]) &lt;= 7, "Dentro", IF(A768&gt;F768,"Programado","Fuera"))))</f>
        <v>Dentro</v>
      </c>
      <c r="K768" s="6" t="str">
        <f t="shared" si="23"/>
        <v>Mismo día</v>
      </c>
      <c r="L768" s="9">
        <v>45849</v>
      </c>
      <c r="M768" s="17">
        <f>MAX(1,NETWORKDAYS(A768,L768,Table2[Dias no laborales]))</f>
        <v>1</v>
      </c>
    </row>
    <row r="769" spans="1:13" hidden="1" x14ac:dyDescent="0.3">
      <c r="A769" s="8">
        <v>45849</v>
      </c>
      <c r="B769" s="6" t="s">
        <v>1513</v>
      </c>
      <c r="C769" s="6" t="s">
        <v>1514</v>
      </c>
      <c r="D769" s="6" t="s">
        <v>139</v>
      </c>
      <c r="E769" s="14">
        <v>45849.51666666667</v>
      </c>
      <c r="F769" s="8">
        <f>IF(HOUR(Table1[[#This Row],[CORREO]])&gt;=11,WORKDAY(Table1[[#This Row],[CORREO]],1,Table2[Dias no laborales]),E769)</f>
        <v>45852</v>
      </c>
      <c r="G769" s="8">
        <v>45849</v>
      </c>
      <c r="H769" s="6">
        <f t="shared" si="22"/>
        <v>28</v>
      </c>
      <c r="I769" s="16">
        <f>MAX(1, NETWORKDAYS(A769, G769,Table2[Dias no laborales]))</f>
        <v>1</v>
      </c>
      <c r="J769" s="6" t="str">
        <f>IF(Table1[[#This Row],[FIN]]="","Acumulado",IF(ISNUMBER(SEARCH("ASAP",C769)),"ASAP",IF(NETWORKDAYS.INTL(F769,G769,1,Table2[Dias no laborales]) &lt;= 7, "Dentro", IF(A769&gt;F769,"Programado","Fuera"))))</f>
        <v>Dentro</v>
      </c>
      <c r="K769" s="6" t="str">
        <f t="shared" si="23"/>
        <v>Mismo día</v>
      </c>
      <c r="L769" s="9">
        <v>45849</v>
      </c>
      <c r="M769" s="17">
        <f>MAX(1,NETWORKDAYS(A769,L769,Table2[Dias no laborales]))</f>
        <v>1</v>
      </c>
    </row>
    <row r="770" spans="1:13" hidden="1" x14ac:dyDescent="0.3">
      <c r="A770" s="8">
        <v>45852</v>
      </c>
      <c r="B770" s="6" t="s">
        <v>1554</v>
      </c>
      <c r="C770" s="10" t="s">
        <v>1555</v>
      </c>
      <c r="D770" s="6" t="s">
        <v>24</v>
      </c>
      <c r="E770" s="14"/>
      <c r="F770" s="8">
        <f>IF(HOUR(Table1[[#This Row],[CORREO]])&gt;=11,WORKDAY(Table1[[#This Row],[CORREO]],1,Table2[Dias no laborales]),E770)</f>
        <v>0</v>
      </c>
      <c r="G770" s="8">
        <v>45856</v>
      </c>
      <c r="H770" s="6">
        <f t="shared" ref="H770:H833" si="24">INT((A770-DATE(YEAR(A770),1,1))/7) + 1</f>
        <v>28</v>
      </c>
      <c r="I770" s="16">
        <f>MAX(1, NETWORKDAYS(A770, G770,Table2[Dias no laborales]))</f>
        <v>5</v>
      </c>
      <c r="J770" s="6" t="str">
        <f>IF(Table1[[#This Row],[FIN]]="","Acumulado",IF(ISNUMBER(SEARCH("ASAP",C770)),"ASAP",IF(NETWORKDAYS.INTL(F770,G770,1,Table2[Dias no laborales]) &lt;= 7, "Dentro", IF(A770&gt;F770,"Programado","Fuera"))))</f>
        <v>Programado</v>
      </c>
      <c r="K770" s="6" t="str">
        <f t="shared" ref="K770:K833" si="25">IF(INT(A770)=INT(F770),"A tiempo", IF(A770&lt;F770,"Mismo día","Programados"))</f>
        <v>Programados</v>
      </c>
      <c r="L770" s="9">
        <v>45852</v>
      </c>
      <c r="M770" s="17">
        <f>MAX(1,NETWORKDAYS(A770,L770,Table2[Dias no laborales]))</f>
        <v>1</v>
      </c>
    </row>
    <row r="771" spans="1:13" hidden="1" x14ac:dyDescent="0.3">
      <c r="A771" s="8">
        <v>45852</v>
      </c>
      <c r="B771" s="6" t="s">
        <v>1533</v>
      </c>
      <c r="C771" s="6" t="s">
        <v>1534</v>
      </c>
      <c r="D771" s="6" t="s">
        <v>1535</v>
      </c>
      <c r="E771" s="14">
        <v>45849.536805555559</v>
      </c>
      <c r="F771" s="8">
        <f>IF(HOUR(Table1[[#This Row],[CORREO]])&gt;=11,WORKDAY(Table1[[#This Row],[CORREO]],1,Table2[Dias no laborales]),E771)</f>
        <v>45852</v>
      </c>
      <c r="G771" s="8">
        <v>45853</v>
      </c>
      <c r="H771" s="6">
        <f t="shared" si="24"/>
        <v>28</v>
      </c>
      <c r="I771" s="16">
        <f>MAX(1, NETWORKDAYS(A771, G771,Table2[Dias no laborales]))</f>
        <v>2</v>
      </c>
      <c r="J771" s="6" t="str">
        <f>IF(Table1[[#This Row],[FIN]]="","Acumulado",IF(ISNUMBER(SEARCH("ASAP",C771)),"ASAP",IF(NETWORKDAYS.INTL(F771,G771,1,Table2[Dias no laborales]) &lt;= 7, "Dentro", IF(A771&gt;F771,"Programado","Fuera"))))</f>
        <v>Dentro</v>
      </c>
      <c r="K771" s="6" t="str">
        <f t="shared" si="25"/>
        <v>A tiempo</v>
      </c>
      <c r="L771" s="9">
        <v>45852</v>
      </c>
      <c r="M771" s="17">
        <f>MAX(1,NETWORKDAYS(A771,L771,Table2[Dias no laborales]))</f>
        <v>1</v>
      </c>
    </row>
    <row r="772" spans="1:13" hidden="1" x14ac:dyDescent="0.3">
      <c r="A772" s="8">
        <v>45852</v>
      </c>
      <c r="B772" s="6" t="s">
        <v>1516</v>
      </c>
      <c r="C772" s="6" t="s">
        <v>1422</v>
      </c>
      <c r="D772" s="6" t="s">
        <v>449</v>
      </c>
      <c r="E772" s="14">
        <v>45852.421527777777</v>
      </c>
      <c r="F772" s="8">
        <f>IF(HOUR(Table1[[#This Row],[CORREO]])&gt;=11,WORKDAY(Table1[[#This Row],[CORREO]],1,Table2[Dias no laborales]),E772)</f>
        <v>45852.421527777777</v>
      </c>
      <c r="G772" s="8">
        <v>45852</v>
      </c>
      <c r="H772" s="6">
        <f t="shared" si="24"/>
        <v>28</v>
      </c>
      <c r="I772" s="16">
        <f>MAX(1, NETWORKDAYS(A772, G772,Table2[Dias no laborales]))</f>
        <v>1</v>
      </c>
      <c r="J772" s="6" t="str">
        <f>IF(Table1[[#This Row],[FIN]]="","Acumulado",IF(ISNUMBER(SEARCH("ASAP",C772)),"ASAP",IF(NETWORKDAYS.INTL(F772,G772,1,Table2[Dias no laborales]) &lt;= 7, "Dentro", IF(A772&gt;F772,"Programado","Fuera"))))</f>
        <v>Dentro</v>
      </c>
      <c r="K772" s="6" t="str">
        <f t="shared" si="25"/>
        <v>A tiempo</v>
      </c>
      <c r="L772" s="9">
        <v>45852</v>
      </c>
      <c r="M772" s="17">
        <f>MAX(1,NETWORKDAYS(A772,L772,Table2[Dias no laborales]))</f>
        <v>1</v>
      </c>
    </row>
    <row r="773" spans="1:13" hidden="1" x14ac:dyDescent="0.3">
      <c r="A773" s="8">
        <v>45852</v>
      </c>
      <c r="B773" s="6" t="s">
        <v>1548</v>
      </c>
      <c r="C773" s="6" t="s">
        <v>1101</v>
      </c>
      <c r="D773" s="6" t="s">
        <v>517</v>
      </c>
      <c r="E773" s="14">
        <v>45852.441666666666</v>
      </c>
      <c r="F773" s="8">
        <f>IF(HOUR(Table1[[#This Row],[CORREO]])&gt;=11,WORKDAY(Table1[[#This Row],[CORREO]],1,Table2[Dias no laborales]),E773)</f>
        <v>45852.441666666666</v>
      </c>
      <c r="G773" s="8">
        <v>45854</v>
      </c>
      <c r="H773" s="6">
        <f t="shared" si="24"/>
        <v>28</v>
      </c>
      <c r="I773" s="16">
        <f>MAX(1, NETWORKDAYS(A773, G773,Table2[Dias no laborales]))</f>
        <v>3</v>
      </c>
      <c r="J773" s="6" t="str">
        <f>IF(Table1[[#This Row],[FIN]]="","Acumulado",IF(ISNUMBER(SEARCH("ASAP",C773)),"ASAP",IF(NETWORKDAYS.INTL(F773,G773,1,Table2[Dias no laborales]) &lt;= 7, "Dentro", IF(A773&gt;F773,"Programado","Fuera"))))</f>
        <v>Dentro</v>
      </c>
      <c r="K773" s="6" t="str">
        <f t="shared" si="25"/>
        <v>A tiempo</v>
      </c>
      <c r="L773" s="9">
        <v>45852</v>
      </c>
      <c r="M773" s="17">
        <f>MAX(1,NETWORKDAYS(A773,L773,Table2[Dias no laborales]))</f>
        <v>1</v>
      </c>
    </row>
    <row r="774" spans="1:13" hidden="1" x14ac:dyDescent="0.3">
      <c r="A774" s="8">
        <v>45883</v>
      </c>
      <c r="B774" s="6" t="s">
        <v>1744</v>
      </c>
      <c r="C774" s="6" t="s">
        <v>1745</v>
      </c>
      <c r="D774" s="6" t="s">
        <v>24</v>
      </c>
      <c r="E774" s="14">
        <v>45883.461111111108</v>
      </c>
      <c r="F774" s="8">
        <f>IF(HOUR(Table1[[#This Row],[CORREO]])&gt;=11,WORKDAY(Table1[[#This Row],[CORREO]],1,Table2[Dias no laborales]),E774)</f>
        <v>45884</v>
      </c>
      <c r="G774" s="8">
        <v>45883</v>
      </c>
      <c r="H774" s="6">
        <f t="shared" si="24"/>
        <v>33</v>
      </c>
      <c r="I774" s="16">
        <f>MAX(1, NETWORKDAYS(A774, G774,Table2[Dias no laborales]))</f>
        <v>1</v>
      </c>
      <c r="J774" s="6" t="str">
        <f>IF(Table1[[#This Row],[FIN]]="","Acumulado",IF(ISNUMBER(SEARCH("ASAP",C774)),"ASAP",IF(NETWORKDAYS.INTL(F774,G774,1,Table2[Dias no laborales]) &lt;= 7, "Dentro", IF(A774&gt;F774,"Programado","Fuera"))))</f>
        <v>Dentro</v>
      </c>
      <c r="K774" s="6" t="str">
        <f t="shared" si="25"/>
        <v>Mismo día</v>
      </c>
      <c r="L774" s="9">
        <v>45883</v>
      </c>
      <c r="M774" s="17">
        <f>MAX(1,NETWORKDAYS(A774,L774,Table2[Dias no laborales]))</f>
        <v>1</v>
      </c>
    </row>
    <row r="775" spans="1:13" hidden="1" x14ac:dyDescent="0.3">
      <c r="A775" s="8">
        <v>45852</v>
      </c>
      <c r="B775" s="6" t="s">
        <v>1519</v>
      </c>
      <c r="C775" s="6" t="s">
        <v>1520</v>
      </c>
      <c r="D775" s="6" t="s">
        <v>24</v>
      </c>
      <c r="E775" s="14">
        <v>45852.57916666667</v>
      </c>
      <c r="F775" s="8">
        <f>IF(HOUR(Table1[[#This Row],[CORREO]])&gt;=11,WORKDAY(Table1[[#This Row],[CORREO]],1,Table2[Dias no laborales]),E775)</f>
        <v>45853</v>
      </c>
      <c r="G775" s="8">
        <v>45852</v>
      </c>
      <c r="H775" s="6">
        <f t="shared" si="24"/>
        <v>28</v>
      </c>
      <c r="I775" s="16">
        <f>MAX(1, NETWORKDAYS(A775, G775,Table2[Dias no laborales]))</f>
        <v>1</v>
      </c>
      <c r="J775" s="6" t="str">
        <f>IF(Table1[[#This Row],[FIN]]="","Acumulado",IF(ISNUMBER(SEARCH("ASAP",C775)),"ASAP",IF(NETWORKDAYS.INTL(F775,G775,1,Table2[Dias no laborales]) &lt;= 7, "Dentro", IF(A775&gt;F775,"Programado","Fuera"))))</f>
        <v>Dentro</v>
      </c>
      <c r="K775" s="6" t="str">
        <f t="shared" si="25"/>
        <v>Mismo día</v>
      </c>
      <c r="L775" s="9">
        <v>45852</v>
      </c>
      <c r="M775" s="17">
        <f>MAX(1,NETWORKDAYS(A775,L775,Table2[Dias no laborales]))</f>
        <v>1</v>
      </c>
    </row>
    <row r="776" spans="1:13" hidden="1" x14ac:dyDescent="0.3">
      <c r="A776" s="8">
        <v>45853</v>
      </c>
      <c r="B776" s="6" t="s">
        <v>1580</v>
      </c>
      <c r="C776" s="6" t="s">
        <v>1581</v>
      </c>
      <c r="D776" s="6" t="s">
        <v>154</v>
      </c>
      <c r="E776" s="14"/>
      <c r="F776" s="8">
        <f>IF(HOUR(Table1[[#This Row],[CORREO]])&gt;=11,WORKDAY(Table1[[#This Row],[CORREO]],1,Table2[Dias no laborales]),E776)</f>
        <v>0</v>
      </c>
      <c r="G776" s="8">
        <v>45888</v>
      </c>
      <c r="H776" s="6">
        <f t="shared" si="24"/>
        <v>28</v>
      </c>
      <c r="I776" s="16">
        <f>MAX(1, NETWORKDAYS(A776, G776,Table2[Dias no laborales]))</f>
        <v>26</v>
      </c>
      <c r="J776" s="6" t="str">
        <f>IF(Table1[[#This Row],[FIN]]="","Acumulado",IF(ISNUMBER(SEARCH("ASAP",C776)),"ASAP",IF(NETWORKDAYS.INTL(F776,G776,1,Table2[Dias no laborales]) &lt;= 7, "Dentro", IF(A776&gt;F776,"Programado","Fuera"))))</f>
        <v>Programado</v>
      </c>
      <c r="K776" s="6" t="str">
        <f t="shared" si="25"/>
        <v>Programados</v>
      </c>
      <c r="L776" s="9">
        <v>45853</v>
      </c>
      <c r="M776" s="17">
        <f>MAX(1,NETWORKDAYS(A776,L776,Table2[Dias no laborales]))</f>
        <v>1</v>
      </c>
    </row>
    <row r="777" spans="1:13" hidden="1" x14ac:dyDescent="0.3">
      <c r="A777" s="8">
        <v>45853</v>
      </c>
      <c r="B777" s="6" t="s">
        <v>1582</v>
      </c>
      <c r="C777" s="6" t="s">
        <v>1583</v>
      </c>
      <c r="D777" s="6" t="s">
        <v>562</v>
      </c>
      <c r="E777" s="14">
        <v>45852.96597222222</v>
      </c>
      <c r="F777" s="8">
        <f>IF(HOUR(Table1[[#This Row],[CORREO]])&gt;=11,WORKDAY(Table1[[#This Row],[CORREO]],1,Table2[Dias no laborales]),E777)</f>
        <v>45853</v>
      </c>
      <c r="G777" s="8">
        <v>45860</v>
      </c>
      <c r="H777" s="6">
        <f t="shared" si="24"/>
        <v>28</v>
      </c>
      <c r="I777" s="16">
        <f>MAX(1, NETWORKDAYS(A777, G777,Table2[Dias no laborales]))</f>
        <v>6</v>
      </c>
      <c r="J777" s="6" t="str">
        <f>IF(Table1[[#This Row],[FIN]]="","Acumulado",IF(ISNUMBER(SEARCH("ASAP",C777)),"ASAP",IF(NETWORKDAYS.INTL(F777,G777,1,Table2[Dias no laborales]) &lt;= 7, "Dentro", IF(A777&gt;F777,"Programado","Fuera"))))</f>
        <v>Dentro</v>
      </c>
      <c r="K777" s="6" t="str">
        <f t="shared" si="25"/>
        <v>A tiempo</v>
      </c>
      <c r="L777" s="9">
        <v>45853</v>
      </c>
      <c r="M777" s="17">
        <f>MAX(1,NETWORKDAYS(A777,L777,Table2[Dias no laborales]))</f>
        <v>1</v>
      </c>
    </row>
    <row r="778" spans="1:13" hidden="1" x14ac:dyDescent="0.3">
      <c r="A778" s="8">
        <v>45853</v>
      </c>
      <c r="B778" s="6" t="s">
        <v>1523</v>
      </c>
      <c r="C778" s="6" t="s">
        <v>1524</v>
      </c>
      <c r="D778" s="6" t="s">
        <v>171</v>
      </c>
      <c r="E778" s="14">
        <v>45853.342361111114</v>
      </c>
      <c r="F778" s="8">
        <f>IF(HOUR(Table1[[#This Row],[CORREO]])&gt;=11,WORKDAY(Table1[[#This Row],[CORREO]],1,Table2[Dias no laborales]),E778)</f>
        <v>45853.342361111114</v>
      </c>
      <c r="G778" s="8">
        <v>45853</v>
      </c>
      <c r="H778" s="6">
        <f t="shared" si="24"/>
        <v>28</v>
      </c>
      <c r="I778" s="16">
        <f>MAX(1, NETWORKDAYS(A778, G778,Table2[Dias no laborales]))</f>
        <v>1</v>
      </c>
      <c r="J778" s="6" t="str">
        <f>IF(Table1[[#This Row],[FIN]]="","Acumulado",IF(ISNUMBER(SEARCH("ASAP",C778)),"ASAP",IF(NETWORKDAYS.INTL(F778,G778,1,Table2[Dias no laborales]) &lt;= 7, "Dentro", IF(A778&gt;F778,"Programado","Fuera"))))</f>
        <v>Dentro</v>
      </c>
      <c r="K778" s="6" t="str">
        <f t="shared" si="25"/>
        <v>A tiempo</v>
      </c>
      <c r="L778" s="9">
        <v>45853</v>
      </c>
      <c r="M778" s="17">
        <f>MAX(1,NETWORKDAYS(A778,L778,Table2[Dias no laborales]))</f>
        <v>1</v>
      </c>
    </row>
    <row r="779" spans="1:13" hidden="1" x14ac:dyDescent="0.3">
      <c r="A779" s="8">
        <v>45853</v>
      </c>
      <c r="B779" s="6" t="s">
        <v>1525</v>
      </c>
      <c r="C779" s="6" t="s">
        <v>1526</v>
      </c>
      <c r="D779" s="6" t="s">
        <v>24</v>
      </c>
      <c r="E779" s="14">
        <v>45853.354861111111</v>
      </c>
      <c r="F779" s="8">
        <f>IF(HOUR(Table1[[#This Row],[CORREO]])&gt;=11,WORKDAY(Table1[[#This Row],[CORREO]],1,Table2[Dias no laborales]),E779)</f>
        <v>45853.354861111111</v>
      </c>
      <c r="G779" s="8">
        <v>45853</v>
      </c>
      <c r="H779" s="6">
        <f t="shared" si="24"/>
        <v>28</v>
      </c>
      <c r="I779" s="16">
        <f>MAX(1, NETWORKDAYS(A779, G779,Table2[Dias no laborales]))</f>
        <v>1</v>
      </c>
      <c r="J779" s="6" t="str">
        <f>IF(Table1[[#This Row],[FIN]]="","Acumulado",IF(ISNUMBER(SEARCH("ASAP",C779)),"ASAP",IF(NETWORKDAYS.INTL(F779,G779,1,Table2[Dias no laborales]) &lt;= 7, "Dentro", IF(A779&gt;F779,"Programado","Fuera"))))</f>
        <v>Dentro</v>
      </c>
      <c r="K779" s="6" t="str">
        <f t="shared" si="25"/>
        <v>A tiempo</v>
      </c>
      <c r="L779" s="9">
        <v>45853</v>
      </c>
      <c r="M779" s="17">
        <f>MAX(1,NETWORKDAYS(A779,L779,Table2[Dias no laborales]))</f>
        <v>1</v>
      </c>
    </row>
    <row r="780" spans="1:13" hidden="1" x14ac:dyDescent="0.3">
      <c r="A780" s="8">
        <v>45853</v>
      </c>
      <c r="B780" s="6" t="s">
        <v>1527</v>
      </c>
      <c r="C780" s="6" t="s">
        <v>1528</v>
      </c>
      <c r="D780" s="6" t="s">
        <v>24</v>
      </c>
      <c r="E780" s="14">
        <v>45853.371527777781</v>
      </c>
      <c r="F780" s="8">
        <f>IF(HOUR(Table1[[#This Row],[CORREO]])&gt;=11,WORKDAY(Table1[[#This Row],[CORREO]],1,Table2[Dias no laborales]),E780)</f>
        <v>45853.371527777781</v>
      </c>
      <c r="G780" s="8">
        <v>45853</v>
      </c>
      <c r="H780" s="6">
        <f t="shared" si="24"/>
        <v>28</v>
      </c>
      <c r="I780" s="16">
        <f>MAX(1, NETWORKDAYS(A780, G780,Table2[Dias no laborales]))</f>
        <v>1</v>
      </c>
      <c r="J780" s="6" t="str">
        <f>IF(Table1[[#This Row],[FIN]]="","Acumulado",IF(ISNUMBER(SEARCH("ASAP",C780)),"ASAP",IF(NETWORKDAYS.INTL(F780,G780,1,Table2[Dias no laborales]) &lt;= 7, "Dentro", IF(A780&gt;F780,"Programado","Fuera"))))</f>
        <v>Dentro</v>
      </c>
      <c r="K780" s="6" t="str">
        <f t="shared" si="25"/>
        <v>A tiempo</v>
      </c>
      <c r="L780" s="9">
        <v>45853</v>
      </c>
      <c r="M780" s="17">
        <f>MAX(1,NETWORKDAYS(A780,L780,Table2[Dias no laborales]))</f>
        <v>1</v>
      </c>
    </row>
    <row r="781" spans="1:13" hidden="1" x14ac:dyDescent="0.3">
      <c r="A781" s="8">
        <v>45853</v>
      </c>
      <c r="B781" s="6" t="s">
        <v>1552</v>
      </c>
      <c r="C781" s="6" t="s">
        <v>1553</v>
      </c>
      <c r="D781" s="6" t="s">
        <v>913</v>
      </c>
      <c r="E781" s="14">
        <v>45853.396527777775</v>
      </c>
      <c r="F781" s="8">
        <f>IF(HOUR(Table1[[#This Row],[CORREO]])&gt;=11,WORKDAY(Table1[[#This Row],[CORREO]],1,Table2[Dias no laborales]),E781)</f>
        <v>45853.396527777775</v>
      </c>
      <c r="G781" s="8">
        <v>45855</v>
      </c>
      <c r="H781" s="6">
        <f t="shared" si="24"/>
        <v>28</v>
      </c>
      <c r="I781" s="16">
        <f>MAX(1, NETWORKDAYS(A781, G781,Table2[Dias no laborales]))</f>
        <v>3</v>
      </c>
      <c r="J781" s="6" t="str">
        <f>IF(Table1[[#This Row],[FIN]]="","Acumulado",IF(ISNUMBER(SEARCH("ASAP",C781)),"ASAP",IF(NETWORKDAYS.INTL(F781,G781,1,Table2[Dias no laborales]) &lt;= 7, "Dentro", IF(A781&gt;F781,"Programado","Fuera"))))</f>
        <v>Dentro</v>
      </c>
      <c r="K781" s="6" t="str">
        <f t="shared" si="25"/>
        <v>A tiempo</v>
      </c>
      <c r="L781" s="9">
        <v>45853</v>
      </c>
      <c r="M781" s="17">
        <f>MAX(1,NETWORKDAYS(A781,L781,Table2[Dias no laborales]))</f>
        <v>1</v>
      </c>
    </row>
    <row r="782" spans="1:13" hidden="1" x14ac:dyDescent="0.3">
      <c r="A782" s="8">
        <v>45854</v>
      </c>
      <c r="B782" s="6" t="s">
        <v>1575</v>
      </c>
      <c r="C782" s="6" t="s">
        <v>1576</v>
      </c>
      <c r="D782" s="6" t="s">
        <v>27</v>
      </c>
      <c r="E782" s="14">
        <v>45853.70416666667</v>
      </c>
      <c r="F782" s="8">
        <f>IF(HOUR(Table1[[#This Row],[CORREO]])&gt;=11,WORKDAY(Table1[[#This Row],[CORREO]],1,Table2[Dias no laborales]),E782)</f>
        <v>45854</v>
      </c>
      <c r="G782" s="8">
        <v>45859</v>
      </c>
      <c r="H782" s="6">
        <f t="shared" si="24"/>
        <v>29</v>
      </c>
      <c r="I782" s="16">
        <f>MAX(1, NETWORKDAYS(A782, G782,Table2[Dias no laborales]))</f>
        <v>4</v>
      </c>
      <c r="J782" s="6" t="str">
        <f>IF(Table1[[#This Row],[FIN]]="","Acumulado",IF(ISNUMBER(SEARCH("ASAP",C782)),"ASAP",IF(NETWORKDAYS.INTL(F782,G782,1,Table2[Dias no laborales]) &lt;= 7, "Dentro", IF(A782&gt;F782,"Programado","Fuera"))))</f>
        <v>Dentro</v>
      </c>
      <c r="K782" s="6" t="str">
        <f t="shared" si="25"/>
        <v>A tiempo</v>
      </c>
      <c r="L782" s="9">
        <v>45854</v>
      </c>
      <c r="M782" s="17">
        <f>MAX(1,NETWORKDAYS(A782,L782,Table2[Dias no laborales]))</f>
        <v>1</v>
      </c>
    </row>
    <row r="783" spans="1:13" hidden="1" x14ac:dyDescent="0.3">
      <c r="A783" s="8">
        <v>45854</v>
      </c>
      <c r="B783" s="6" t="s">
        <v>1565</v>
      </c>
      <c r="C783" s="6" t="s">
        <v>1566</v>
      </c>
      <c r="D783" s="6" t="s">
        <v>1562</v>
      </c>
      <c r="E783" s="14">
        <v>45854.297222222223</v>
      </c>
      <c r="F783" s="8">
        <f>IF(HOUR(Table1[[#This Row],[CORREO]])&gt;=11,WORKDAY(Table1[[#This Row],[CORREO]],1,Table2[Dias no laborales]),E783)</f>
        <v>45854.297222222223</v>
      </c>
      <c r="G783" s="8">
        <v>45856</v>
      </c>
      <c r="H783" s="6">
        <f t="shared" si="24"/>
        <v>29</v>
      </c>
      <c r="I783" s="16">
        <f>MAX(1, NETWORKDAYS(A783, G783,Table2[Dias no laborales]))</f>
        <v>3</v>
      </c>
      <c r="J783" s="6" t="str">
        <f>IF(Table1[[#This Row],[FIN]]="","Acumulado",IF(ISNUMBER(SEARCH("ASAP",C783)),"ASAP",IF(NETWORKDAYS.INTL(F783,G783,1,Table2[Dias no laborales]) &lt;= 7, "Dentro", IF(A783&gt;F783,"Programado","Fuera"))))</f>
        <v>Dentro</v>
      </c>
      <c r="K783" s="6" t="str">
        <f t="shared" si="25"/>
        <v>A tiempo</v>
      </c>
      <c r="L783" s="9">
        <v>45854</v>
      </c>
      <c r="M783" s="17">
        <f>MAX(1,NETWORKDAYS(A783,L783,Table2[Dias no laborales]))</f>
        <v>1</v>
      </c>
    </row>
    <row r="784" spans="1:13" hidden="1" x14ac:dyDescent="0.3">
      <c r="A784" s="8">
        <v>45855</v>
      </c>
      <c r="B784" s="6" t="s">
        <v>1659</v>
      </c>
      <c r="C784" s="6" t="s">
        <v>1660</v>
      </c>
      <c r="D784" s="6" t="s">
        <v>119</v>
      </c>
      <c r="E784" s="14"/>
      <c r="F784" s="8">
        <f>IF(HOUR(Table1[[#This Row],[CORREO]])&gt;=11,WORKDAY(Table1[[#This Row],[CORREO]],1,Table2[Dias no laborales]),E784)</f>
        <v>0</v>
      </c>
      <c r="G784" s="8">
        <v>45910</v>
      </c>
      <c r="H784" s="6">
        <f t="shared" si="24"/>
        <v>29</v>
      </c>
      <c r="I784" s="16">
        <f>MAX(1, NETWORKDAYS(A784, G784,Table2[Dias no laborales]))</f>
        <v>40</v>
      </c>
      <c r="J784" s="6" t="str">
        <f>IF(Table1[[#This Row],[FIN]]="","Acumulado",IF(ISNUMBER(SEARCH("ASAP",C784)),"ASAP",IF(NETWORKDAYS.INTL(F784,G784,1,Table2[Dias no laborales]) &lt;= 7, "Dentro", IF(A784&gt;F784,"Programado","Fuera"))))</f>
        <v>Programado</v>
      </c>
      <c r="K784" s="6" t="str">
        <f t="shared" si="25"/>
        <v>Programados</v>
      </c>
      <c r="L784" s="9">
        <v>45910</v>
      </c>
      <c r="M784" s="17">
        <f>MAX(1,NETWORKDAYS(A784,L784,Table2[Dias no laborales]))</f>
        <v>40</v>
      </c>
    </row>
    <row r="785" spans="1:13" hidden="1" x14ac:dyDescent="0.3">
      <c r="A785" s="8">
        <v>45854</v>
      </c>
      <c r="B785" s="6" t="s">
        <v>1536</v>
      </c>
      <c r="C785" s="6" t="s">
        <v>1537</v>
      </c>
      <c r="D785" s="6" t="s">
        <v>139</v>
      </c>
      <c r="E785" s="14">
        <v>45853.54583333333</v>
      </c>
      <c r="F785" s="8">
        <f>IF(HOUR(Table1[[#This Row],[CORREO]])&gt;=11,WORKDAY(Table1[[#This Row],[CORREO]],1,Table2[Dias no laborales]),E785)</f>
        <v>45854</v>
      </c>
      <c r="G785" s="8">
        <v>45854</v>
      </c>
      <c r="H785" s="6">
        <f t="shared" si="24"/>
        <v>29</v>
      </c>
      <c r="I785" s="16">
        <f>MAX(1, NETWORKDAYS(A785, G785,Table2[Dias no laborales]))</f>
        <v>1</v>
      </c>
      <c r="J785" s="6" t="str">
        <f>IF(Table1[[#This Row],[FIN]]="","Acumulado",IF(ISNUMBER(SEARCH("ASAP",C785)),"ASAP",IF(NETWORKDAYS.INTL(F785,G785,1,Table2[Dias no laborales]) &lt;= 7, "Dentro", IF(A785&gt;F785,"Programado","Fuera"))))</f>
        <v>Dentro</v>
      </c>
      <c r="K785" s="6" t="str">
        <f t="shared" si="25"/>
        <v>A tiempo</v>
      </c>
      <c r="L785" s="9">
        <v>45854</v>
      </c>
      <c r="M785" s="17">
        <f>MAX(1,NETWORKDAYS(A785,L785,Table2[Dias no laborales]))</f>
        <v>1</v>
      </c>
    </row>
    <row r="786" spans="1:13" hidden="1" x14ac:dyDescent="0.3">
      <c r="A786" s="8">
        <v>45854</v>
      </c>
      <c r="B786" s="5" t="s">
        <v>1640</v>
      </c>
      <c r="C786" s="5" t="s">
        <v>1641</v>
      </c>
      <c r="D786" s="5" t="s">
        <v>139</v>
      </c>
      <c r="E786" s="14">
        <v>45853.478472222225</v>
      </c>
      <c r="F786" s="8">
        <f>IF(HOUR(Table1[[#This Row],[CORREO]])&gt;=11,WORKDAY(Table1[[#This Row],[CORREO]],1,Table2[Dias no laborales]),E786)</f>
        <v>45854</v>
      </c>
      <c r="G786" s="8">
        <v>45867</v>
      </c>
      <c r="H786" s="6">
        <f t="shared" si="24"/>
        <v>29</v>
      </c>
      <c r="I786" s="16">
        <f>MAX(1, NETWORKDAYS(A786, G786,Table2[Dias no laborales]))</f>
        <v>10</v>
      </c>
      <c r="J786" s="6" t="str">
        <f>IF(Table1[[#This Row],[FIN]]="","Acumulado",IF(ISNUMBER(SEARCH("ASAP",C786)),"ASAP",IF(NETWORKDAYS.INTL(F786,G786,1,Table2[Dias no laborales]) &lt;= 7, "Dentro", IF(A786&gt;F786,"Programado","Fuera"))))</f>
        <v>Fuera</v>
      </c>
      <c r="K786" s="6" t="str">
        <f t="shared" si="25"/>
        <v>A tiempo</v>
      </c>
      <c r="L786" s="9">
        <v>45854</v>
      </c>
      <c r="M786" s="17">
        <f>MAX(1,NETWORKDAYS(A786,L786,Table2[Dias no laborales]))</f>
        <v>1</v>
      </c>
    </row>
    <row r="787" spans="1:13" hidden="1" x14ac:dyDescent="0.3">
      <c r="A787" s="8">
        <v>45854</v>
      </c>
      <c r="B787" s="6" t="s">
        <v>1558</v>
      </c>
      <c r="C787" s="6" t="s">
        <v>1559</v>
      </c>
      <c r="D787" s="6" t="s">
        <v>24</v>
      </c>
      <c r="E787" s="14">
        <v>45853.72152777778</v>
      </c>
      <c r="F787" s="8">
        <f>IF(HOUR(Table1[[#This Row],[CORREO]])&gt;=11,WORKDAY(Table1[[#This Row],[CORREO]],1,Table2[Dias no laborales]),E787)</f>
        <v>45854</v>
      </c>
      <c r="G787" s="8">
        <v>45856</v>
      </c>
      <c r="H787" s="6">
        <f t="shared" si="24"/>
        <v>29</v>
      </c>
      <c r="I787" s="16">
        <f>MAX(1, NETWORKDAYS(A787, G787,Table2[Dias no laborales]))</f>
        <v>3</v>
      </c>
      <c r="J787" s="6" t="str">
        <f>IF(Table1[[#This Row],[FIN]]="","Acumulado",IF(ISNUMBER(SEARCH("ASAP",C787)),"ASAP",IF(NETWORKDAYS.INTL(F787,G787,1,Table2[Dias no laborales]) &lt;= 7, "Dentro", IF(A787&gt;F787,"Programado","Fuera"))))</f>
        <v>Dentro</v>
      </c>
      <c r="K787" s="6" t="str">
        <f t="shared" si="25"/>
        <v>A tiempo</v>
      </c>
      <c r="L787" s="9">
        <v>45854</v>
      </c>
      <c r="M787" s="17">
        <f>MAX(1,NETWORKDAYS(A787,L787,Table2[Dias no laborales]))</f>
        <v>1</v>
      </c>
    </row>
    <row r="788" spans="1:13" hidden="1" x14ac:dyDescent="0.3">
      <c r="A788" s="8">
        <v>45854</v>
      </c>
      <c r="B788" s="6" t="s">
        <v>1544</v>
      </c>
      <c r="C788" s="6" t="s">
        <v>1545</v>
      </c>
      <c r="D788" s="6" t="s">
        <v>27</v>
      </c>
      <c r="E788" s="14">
        <v>45854.378472222219</v>
      </c>
      <c r="F788" s="8">
        <f>IF(HOUR(Table1[[#This Row],[CORREO]])&gt;=11,WORKDAY(Table1[[#This Row],[CORREO]],1,Table2[Dias no laborales]),E788)</f>
        <v>45854.378472222219</v>
      </c>
      <c r="G788" s="8">
        <v>45854</v>
      </c>
      <c r="H788" s="6">
        <f t="shared" si="24"/>
        <v>29</v>
      </c>
      <c r="I788" s="16">
        <f>MAX(1, NETWORKDAYS(A788, G788,Table2[Dias no laborales]))</f>
        <v>1</v>
      </c>
      <c r="J788" s="6" t="str">
        <f>IF(Table1[[#This Row],[FIN]]="","Acumulado",IF(ISNUMBER(SEARCH("ASAP",C788)),"ASAP",IF(NETWORKDAYS.INTL(F788,G788,1,Table2[Dias no laborales]) &lt;= 7, "Dentro", IF(A788&gt;F788,"Programado","Fuera"))))</f>
        <v>Dentro</v>
      </c>
      <c r="K788" s="6" t="str">
        <f t="shared" si="25"/>
        <v>A tiempo</v>
      </c>
      <c r="L788" s="9">
        <v>45854</v>
      </c>
      <c r="M788" s="17">
        <f>MAX(1,NETWORKDAYS(A788,L788,Table2[Dias no laborales]))</f>
        <v>1</v>
      </c>
    </row>
    <row r="789" spans="1:13" hidden="1" x14ac:dyDescent="0.3">
      <c r="A789" s="8">
        <v>45854</v>
      </c>
      <c r="B789" s="6" t="s">
        <v>1567</v>
      </c>
      <c r="C789" s="6" t="s">
        <v>1568</v>
      </c>
      <c r="D789" s="6" t="s">
        <v>119</v>
      </c>
      <c r="E789" s="14">
        <v>45854.38958333333</v>
      </c>
      <c r="F789" s="8">
        <f>IF(HOUR(Table1[[#This Row],[CORREO]])&gt;=11,WORKDAY(Table1[[#This Row],[CORREO]],1,Table2[Dias no laborales]),E789)</f>
        <v>45854.38958333333</v>
      </c>
      <c r="G789" s="8">
        <v>45856</v>
      </c>
      <c r="H789" s="6">
        <f t="shared" si="24"/>
        <v>29</v>
      </c>
      <c r="I789" s="16">
        <f>MAX(1, NETWORKDAYS(A789, G789,Table2[Dias no laborales]))</f>
        <v>3</v>
      </c>
      <c r="J789" s="6" t="str">
        <f>IF(Table1[[#This Row],[FIN]]="","Acumulado",IF(ISNUMBER(SEARCH("ASAP",C789)),"ASAP",IF(NETWORKDAYS.INTL(F789,G789,1,Table2[Dias no laborales]) &lt;= 7, "Dentro", IF(A789&gt;F789,"Programado","Fuera"))))</f>
        <v>Dentro</v>
      </c>
      <c r="K789" s="6" t="str">
        <f t="shared" si="25"/>
        <v>A tiempo</v>
      </c>
      <c r="L789" s="9">
        <v>45856</v>
      </c>
      <c r="M789" s="17">
        <f>MAX(1,NETWORKDAYS(A789,L789,Table2[Dias no laborales]))</f>
        <v>3</v>
      </c>
    </row>
    <row r="790" spans="1:13" hidden="1" x14ac:dyDescent="0.3">
      <c r="A790" s="8">
        <v>45854</v>
      </c>
      <c r="B790" s="6" t="s">
        <v>1541</v>
      </c>
      <c r="C790" s="6" t="s">
        <v>1542</v>
      </c>
      <c r="D790" s="6" t="s">
        <v>1543</v>
      </c>
      <c r="E790" s="14">
        <v>45854.409722222219</v>
      </c>
      <c r="F790" s="8">
        <f>IF(HOUR(Table1[[#This Row],[CORREO]])&gt;=11,WORKDAY(Table1[[#This Row],[CORREO]],1,Table2[Dias no laborales]),E790)</f>
        <v>45854.409722222219</v>
      </c>
      <c r="G790" s="8">
        <v>45854</v>
      </c>
      <c r="H790" s="6">
        <f t="shared" si="24"/>
        <v>29</v>
      </c>
      <c r="I790" s="16">
        <f>MAX(1, NETWORKDAYS(A790, G790,Table2[Dias no laborales]))</f>
        <v>1</v>
      </c>
      <c r="J790" s="6" t="str">
        <f>IF(Table1[[#This Row],[FIN]]="","Acumulado",IF(ISNUMBER(SEARCH("ASAP",C790)),"ASAP",IF(NETWORKDAYS.INTL(F790,G790,1,Table2[Dias no laborales]) &lt;= 7, "Dentro", IF(A790&gt;F790,"Programado","Fuera"))))</f>
        <v>Dentro</v>
      </c>
      <c r="K790" s="6" t="str">
        <f t="shared" si="25"/>
        <v>A tiempo</v>
      </c>
      <c r="L790" s="9">
        <v>45854</v>
      </c>
      <c r="M790" s="17">
        <f>MAX(1,NETWORKDAYS(A790,L790,Table2[Dias no laborales]))</f>
        <v>1</v>
      </c>
    </row>
    <row r="791" spans="1:13" hidden="1" x14ac:dyDescent="0.3">
      <c r="A791" s="8">
        <v>45854</v>
      </c>
      <c r="B791" s="6" t="s">
        <v>1556</v>
      </c>
      <c r="C791" s="6" t="s">
        <v>1557</v>
      </c>
      <c r="D791" s="6" t="s">
        <v>24</v>
      </c>
      <c r="E791" s="14">
        <v>45854.57708333333</v>
      </c>
      <c r="F791" s="8">
        <f>IF(HOUR(Table1[[#This Row],[CORREO]])&gt;=11,WORKDAY(Table1[[#This Row],[CORREO]],1,Table2[Dias no laborales]),E791)</f>
        <v>45855</v>
      </c>
      <c r="G791" s="8">
        <v>45856</v>
      </c>
      <c r="H791" s="6">
        <f t="shared" si="24"/>
        <v>29</v>
      </c>
      <c r="I791" s="16">
        <f>MAX(1, NETWORKDAYS(A791, G791,Table2[Dias no laborales]))</f>
        <v>3</v>
      </c>
      <c r="J791" s="6" t="str">
        <f>IF(Table1[[#This Row],[FIN]]="","Acumulado",IF(ISNUMBER(SEARCH("ASAP",C791)),"ASAP",IF(NETWORKDAYS.INTL(F791,G791,1,Table2[Dias no laborales]) &lt;= 7, "Dentro", IF(A791&gt;F791,"Programado","Fuera"))))</f>
        <v>Dentro</v>
      </c>
      <c r="K791" s="6" t="str">
        <f t="shared" si="25"/>
        <v>Mismo día</v>
      </c>
      <c r="L791" s="9">
        <v>45854</v>
      </c>
      <c r="M791" s="17">
        <f>MAX(1,NETWORKDAYS(A791,L791,Table2[Dias no laborales]))</f>
        <v>1</v>
      </c>
    </row>
    <row r="792" spans="1:13" hidden="1" x14ac:dyDescent="0.3">
      <c r="A792" s="8">
        <v>45855</v>
      </c>
      <c r="B792" s="5" t="s">
        <v>1626</v>
      </c>
      <c r="C792" s="5" t="s">
        <v>1627</v>
      </c>
      <c r="D792" s="5" t="s">
        <v>24</v>
      </c>
      <c r="E792" s="14">
        <v>45854.716666666667</v>
      </c>
      <c r="F792" s="8">
        <f>IF(HOUR(Table1[[#This Row],[CORREO]])&gt;=11,WORKDAY(Table1[[#This Row],[CORREO]],1,Table2[Dias no laborales]),E792)</f>
        <v>45855</v>
      </c>
      <c r="G792" s="8">
        <v>45866</v>
      </c>
      <c r="H792" s="6">
        <f t="shared" si="24"/>
        <v>29</v>
      </c>
      <c r="I792" s="16">
        <f>MAX(1, NETWORKDAYS(A792, G792,Table2[Dias no laborales]))</f>
        <v>8</v>
      </c>
      <c r="J792" s="6" t="str">
        <f>IF(Table1[[#This Row],[FIN]]="","Acumulado",IF(ISNUMBER(SEARCH("ASAP",C792)),"ASAP",IF(NETWORKDAYS.INTL(F792,G792,1,Table2[Dias no laborales]) &lt;= 7, "Dentro", IF(A792&gt;F792,"Programado","Fuera"))))</f>
        <v>Fuera</v>
      </c>
      <c r="K792" s="6" t="str">
        <f t="shared" si="25"/>
        <v>A tiempo</v>
      </c>
      <c r="L792" s="9">
        <v>45866</v>
      </c>
      <c r="M792" s="17">
        <f>MAX(1,NETWORKDAYS(A792,L792,Table2[Dias no laborales]))</f>
        <v>8</v>
      </c>
    </row>
    <row r="793" spans="1:13" hidden="1" x14ac:dyDescent="0.3">
      <c r="A793" s="8">
        <v>45856</v>
      </c>
      <c r="B793" s="6" t="s">
        <v>1590</v>
      </c>
      <c r="C793" s="6" t="s">
        <v>1591</v>
      </c>
      <c r="D793" s="6" t="s">
        <v>650</v>
      </c>
      <c r="E793" s="14">
        <v>45855.518750000003</v>
      </c>
      <c r="F793" s="8">
        <f>IF(HOUR(Table1[[#This Row],[CORREO]])&gt;=11,WORKDAY(Table1[[#This Row],[CORREO]],1,Table2[Dias no laborales]),E793)</f>
        <v>45856</v>
      </c>
      <c r="G793" s="8">
        <v>45861</v>
      </c>
      <c r="H793" s="6">
        <f t="shared" si="24"/>
        <v>29</v>
      </c>
      <c r="I793" s="16">
        <f>MAX(1, NETWORKDAYS(A793, G793,Table2[Dias no laborales]))</f>
        <v>4</v>
      </c>
      <c r="J793" s="6" t="str">
        <f>IF(Table1[[#This Row],[FIN]]="","Acumulado",IF(ISNUMBER(SEARCH("ASAP",C793)),"ASAP",IF(NETWORKDAYS.INTL(F793,G793,1,Table2[Dias no laborales]) &lt;= 7, "Dentro", IF(A793&gt;F793,"Programado","Fuera"))))</f>
        <v>Dentro</v>
      </c>
      <c r="K793" s="6" t="str">
        <f t="shared" si="25"/>
        <v>A tiempo</v>
      </c>
      <c r="L793" s="9">
        <v>45856</v>
      </c>
      <c r="M793" s="17">
        <f>MAX(1,NETWORKDAYS(A793,L793,Table2[Dias no laborales]))</f>
        <v>1</v>
      </c>
    </row>
    <row r="794" spans="1:13" hidden="1" x14ac:dyDescent="0.3">
      <c r="A794" s="8">
        <v>45856</v>
      </c>
      <c r="B794" s="6" t="s">
        <v>1586</v>
      </c>
      <c r="C794" s="6" t="s">
        <v>1587</v>
      </c>
      <c r="D794" s="6" t="s">
        <v>504</v>
      </c>
      <c r="E794" s="14">
        <v>45856</v>
      </c>
      <c r="F794" s="8">
        <f>IF(HOUR(Table1[[#This Row],[CORREO]])&gt;=11,WORKDAY(Table1[[#This Row],[CORREO]],1,Table2[Dias no laborales]),E794)</f>
        <v>45856</v>
      </c>
      <c r="G794" s="8">
        <v>45861</v>
      </c>
      <c r="H794" s="6">
        <f t="shared" si="24"/>
        <v>29</v>
      </c>
      <c r="I794" s="16">
        <f>MAX(1, NETWORKDAYS(A794, G794,Table2[Dias no laborales]))</f>
        <v>4</v>
      </c>
      <c r="J794" s="6" t="str">
        <f>IF(Table1[[#This Row],[FIN]]="","Acumulado",IF(ISNUMBER(SEARCH("ASAP",C794)),"ASAP",IF(NETWORKDAYS.INTL(F794,G794,1,Table2[Dias no laborales]) &lt;= 7, "Dentro", IF(A794&gt;F794,"Programado","Fuera"))))</f>
        <v>Dentro</v>
      </c>
      <c r="K794" s="6" t="str">
        <f t="shared" si="25"/>
        <v>A tiempo</v>
      </c>
      <c r="L794" s="9">
        <v>45860</v>
      </c>
      <c r="M794" s="17">
        <f>MAX(1,NETWORKDAYS(A794,L794,Table2[Dias no laborales]))</f>
        <v>3</v>
      </c>
    </row>
    <row r="795" spans="1:13" hidden="1" x14ac:dyDescent="0.3">
      <c r="A795" s="8">
        <v>45856</v>
      </c>
      <c r="B795" s="6" t="s">
        <v>1569</v>
      </c>
      <c r="C795" s="6" t="s">
        <v>1570</v>
      </c>
      <c r="D795" s="6" t="s">
        <v>24</v>
      </c>
      <c r="E795" s="14">
        <v>45856.494444444441</v>
      </c>
      <c r="F795" s="8">
        <f>IF(HOUR(Table1[[#This Row],[CORREO]])&gt;=11,WORKDAY(Table1[[#This Row],[CORREO]],1,Table2[Dias no laborales]),E795)</f>
        <v>45859</v>
      </c>
      <c r="G795" s="8">
        <v>45859</v>
      </c>
      <c r="H795" s="6">
        <f t="shared" si="24"/>
        <v>29</v>
      </c>
      <c r="I795" s="16">
        <f>MAX(1, NETWORKDAYS(A795, G795,Table2[Dias no laborales]))</f>
        <v>2</v>
      </c>
      <c r="J795" s="6" t="str">
        <f>IF(Table1[[#This Row],[FIN]]="","Acumulado",IF(ISNUMBER(SEARCH("ASAP",C795)),"ASAP",IF(NETWORKDAYS.INTL(F795,G795,1,Table2[Dias no laborales]) &lt;= 7, "Dentro", IF(A795&gt;F795,"Programado","Fuera"))))</f>
        <v>Dentro</v>
      </c>
      <c r="K795" s="6" t="str">
        <f t="shared" si="25"/>
        <v>Mismo día</v>
      </c>
      <c r="L795" s="9">
        <v>45859</v>
      </c>
      <c r="M795" s="17">
        <f>MAX(1,NETWORKDAYS(A795,L795,Table2[Dias no laborales]))</f>
        <v>2</v>
      </c>
    </row>
    <row r="796" spans="1:13" hidden="1" x14ac:dyDescent="0.3">
      <c r="A796" s="8">
        <v>45856</v>
      </c>
      <c r="B796" s="6" t="s">
        <v>1571</v>
      </c>
      <c r="C796" s="6" t="s">
        <v>196</v>
      </c>
      <c r="D796" s="6" t="s">
        <v>27</v>
      </c>
      <c r="E796" s="14"/>
      <c r="F796" s="8">
        <f>IF(HOUR(Table1[[#This Row],[CORREO]])&gt;=11,WORKDAY(Table1[[#This Row],[CORREO]],1,Table2[Dias no laborales]),E796)</f>
        <v>0</v>
      </c>
      <c r="G796" s="8">
        <v>45859</v>
      </c>
      <c r="H796" s="6">
        <f t="shared" si="24"/>
        <v>29</v>
      </c>
      <c r="I796" s="16">
        <f>MAX(1, NETWORKDAYS(A796, G796,Table2[Dias no laborales]))</f>
        <v>2</v>
      </c>
      <c r="J796" s="6" t="str">
        <f>IF(Table1[[#This Row],[FIN]]="","Acumulado",IF(ISNUMBER(SEARCH("ASAP",C796)),"ASAP",IF(NETWORKDAYS.INTL(F796,G796,1,Table2[Dias no laborales]) &lt;= 7, "Dentro", IF(A796&gt;F796,"Programado","Fuera"))))</f>
        <v>Programado</v>
      </c>
      <c r="K796" s="6" t="str">
        <f t="shared" si="25"/>
        <v>Programados</v>
      </c>
      <c r="L796" s="9">
        <v>45856</v>
      </c>
      <c r="M796" s="17">
        <f>MAX(1,NETWORKDAYS(A796,L796,Table2[Dias no laborales]))</f>
        <v>1</v>
      </c>
    </row>
    <row r="797" spans="1:13" hidden="1" x14ac:dyDescent="0.3">
      <c r="A797" s="8">
        <v>45856</v>
      </c>
      <c r="B797" s="6" t="s">
        <v>1572</v>
      </c>
      <c r="C797" s="6" t="s">
        <v>188</v>
      </c>
      <c r="D797" s="6" t="s">
        <v>27</v>
      </c>
      <c r="E797" s="14"/>
      <c r="F797" s="8">
        <f>IF(HOUR(Table1[[#This Row],[CORREO]])&gt;=11,WORKDAY(Table1[[#This Row],[CORREO]],1,Table2[Dias no laborales]),E797)</f>
        <v>0</v>
      </c>
      <c r="G797" s="8">
        <v>45859</v>
      </c>
      <c r="H797" s="6">
        <f t="shared" si="24"/>
        <v>29</v>
      </c>
      <c r="I797" s="16">
        <f>MAX(1, NETWORKDAYS(A797, G797,Table2[Dias no laborales]))</f>
        <v>2</v>
      </c>
      <c r="J797" s="6" t="str">
        <f>IF(Table1[[#This Row],[FIN]]="","Acumulado",IF(ISNUMBER(SEARCH("ASAP",C797)),"ASAP",IF(NETWORKDAYS.INTL(F797,G797,1,Table2[Dias no laborales]) &lt;= 7, "Dentro", IF(A797&gt;F797,"Programado","Fuera"))))</f>
        <v>Programado</v>
      </c>
      <c r="K797" s="6" t="str">
        <f t="shared" si="25"/>
        <v>Programados</v>
      </c>
      <c r="L797" s="9">
        <v>45856</v>
      </c>
      <c r="M797" s="17">
        <f>MAX(1,NETWORKDAYS(A797,L797,Table2[Dias no laborales]))</f>
        <v>1</v>
      </c>
    </row>
    <row r="798" spans="1:13" hidden="1" x14ac:dyDescent="0.3">
      <c r="A798" s="8">
        <v>45859</v>
      </c>
      <c r="B798" s="6" t="s">
        <v>1601</v>
      </c>
      <c r="C798" s="6" t="s">
        <v>1602</v>
      </c>
      <c r="D798" s="6" t="s">
        <v>24</v>
      </c>
      <c r="E798" s="14"/>
      <c r="F798" s="8">
        <f>IF(HOUR(Table1[[#This Row],[CORREO]])&gt;=11,WORKDAY(Table1[[#This Row],[CORREO]],1,Table2[Dias no laborales]),E798)</f>
        <v>0</v>
      </c>
      <c r="G798" s="8">
        <v>45863</v>
      </c>
      <c r="H798" s="6">
        <f t="shared" si="24"/>
        <v>29</v>
      </c>
      <c r="I798" s="16">
        <f>MAX(1, NETWORKDAYS(A798, G798,Table2[Dias no laborales]))</f>
        <v>5</v>
      </c>
      <c r="J798" s="6" t="str">
        <f>IF(Table1[[#This Row],[FIN]]="","Acumulado",IF(ISNUMBER(SEARCH("ASAP",C798)),"ASAP",IF(NETWORKDAYS.INTL(F798,G798,1,Table2[Dias no laborales]) &lt;= 7, "Dentro", IF(A798&gt;F798,"Programado","Fuera"))))</f>
        <v>Programado</v>
      </c>
      <c r="K798" s="6" t="str">
        <f t="shared" si="25"/>
        <v>Programados</v>
      </c>
      <c r="L798" s="9">
        <v>45859</v>
      </c>
      <c r="M798" s="17">
        <f>MAX(1,NETWORKDAYS(A798,L798,Table2[Dias no laborales]))</f>
        <v>1</v>
      </c>
    </row>
    <row r="799" spans="1:13" hidden="1" x14ac:dyDescent="0.3">
      <c r="A799" s="8">
        <v>45859</v>
      </c>
      <c r="B799" s="6" t="s">
        <v>1578</v>
      </c>
      <c r="C799" s="6" t="s">
        <v>1579</v>
      </c>
      <c r="D799" s="6" t="s">
        <v>538</v>
      </c>
      <c r="E799" s="14">
        <v>45859.723611111112</v>
      </c>
      <c r="F799" s="8">
        <f>IF(HOUR(Table1[[#This Row],[CORREO]])&gt;=11,WORKDAY(Table1[[#This Row],[CORREO]],1,Table2[Dias no laborales]),E799)</f>
        <v>45860</v>
      </c>
      <c r="G799" s="8">
        <v>45860</v>
      </c>
      <c r="H799" s="6">
        <f t="shared" si="24"/>
        <v>29</v>
      </c>
      <c r="I799" s="16">
        <f>MAX(1, NETWORKDAYS(A799, G799,Table2[Dias no laborales]))</f>
        <v>2</v>
      </c>
      <c r="J799" s="6" t="str">
        <f>IF(Table1[[#This Row],[FIN]]="","Acumulado",IF(ISNUMBER(SEARCH("ASAP",C799)),"ASAP",IF(NETWORKDAYS.INTL(F799,G799,1,Table2[Dias no laborales]) &lt;= 7, "Dentro", IF(A799&gt;F799,"Programado","Fuera"))))</f>
        <v>Dentro</v>
      </c>
      <c r="K799" s="6" t="str">
        <f t="shared" si="25"/>
        <v>Mismo día</v>
      </c>
      <c r="L799" s="9">
        <v>45859</v>
      </c>
      <c r="M799" s="17">
        <f>MAX(1,NETWORKDAYS(A799,L799,Table2[Dias no laborales]))</f>
        <v>1</v>
      </c>
    </row>
    <row r="800" spans="1:13" hidden="1" x14ac:dyDescent="0.3">
      <c r="A800" s="8">
        <v>45860</v>
      </c>
      <c r="B800" s="5" t="s">
        <v>1622</v>
      </c>
      <c r="C800" s="5" t="s">
        <v>1623</v>
      </c>
      <c r="D800" s="5" t="s">
        <v>372</v>
      </c>
      <c r="E800" s="14">
        <v>45860.372916666667</v>
      </c>
      <c r="F800" s="8">
        <f>IF(HOUR(Table1[[#This Row],[CORREO]])&gt;=11,WORKDAY(Table1[[#This Row],[CORREO]],1,Table2[Dias no laborales]),E800)</f>
        <v>45860.372916666667</v>
      </c>
      <c r="G800" s="8">
        <v>45866</v>
      </c>
      <c r="H800" s="6">
        <f t="shared" si="24"/>
        <v>29</v>
      </c>
      <c r="I800" s="16">
        <f>MAX(1, NETWORKDAYS(A800, G800,Table2[Dias no laborales]))</f>
        <v>5</v>
      </c>
      <c r="J800" s="6" t="str">
        <f>IF(Table1[[#This Row],[FIN]]="","Acumulado",IF(ISNUMBER(SEARCH("ASAP",C800)),"ASAP",IF(NETWORKDAYS.INTL(F800,G800,1,Table2[Dias no laborales]) &lt;= 7, "Dentro", IF(A800&gt;F800,"Programado","Fuera"))))</f>
        <v>Dentro</v>
      </c>
      <c r="K800" s="6" t="str">
        <f t="shared" si="25"/>
        <v>A tiempo</v>
      </c>
      <c r="L800" s="9">
        <v>45861</v>
      </c>
      <c r="M800" s="17">
        <f>MAX(1,NETWORKDAYS(A800,L800,Table2[Dias no laborales]))</f>
        <v>2</v>
      </c>
    </row>
    <row r="801" spans="1:13" hidden="1" x14ac:dyDescent="0.3">
      <c r="A801" s="8">
        <v>45860</v>
      </c>
      <c r="B801" s="6" t="s">
        <v>1588</v>
      </c>
      <c r="C801" s="6" t="s">
        <v>1589</v>
      </c>
      <c r="D801" s="6" t="s">
        <v>839</v>
      </c>
      <c r="E801" s="14">
        <v>45860.379861111112</v>
      </c>
      <c r="F801" s="8">
        <f>IF(HOUR(Table1[[#This Row],[CORREO]])&gt;=11,WORKDAY(Table1[[#This Row],[CORREO]],1,Table2[Dias no laborales]),E801)</f>
        <v>45860.379861111112</v>
      </c>
      <c r="G801" s="8">
        <v>45861</v>
      </c>
      <c r="H801" s="6">
        <f t="shared" si="24"/>
        <v>29</v>
      </c>
      <c r="I801" s="16">
        <f>MAX(1, NETWORKDAYS(A801, G801,Table2[Dias no laborales]))</f>
        <v>2</v>
      </c>
      <c r="J801" s="6" t="str">
        <f>IF(Table1[[#This Row],[FIN]]="","Acumulado",IF(ISNUMBER(SEARCH("ASAP",C801)),"ASAP",IF(NETWORKDAYS.INTL(F801,G801,1,Table2[Dias no laborales]) &lt;= 7, "Dentro", IF(A801&gt;F801,"Programado","Fuera"))))</f>
        <v>Dentro</v>
      </c>
      <c r="K801" s="6" t="str">
        <f t="shared" si="25"/>
        <v>A tiempo</v>
      </c>
      <c r="L801" s="9">
        <v>45860</v>
      </c>
      <c r="M801" s="17">
        <f>MAX(1,NETWORKDAYS(A801,L801,Table2[Dias no laborales]))</f>
        <v>1</v>
      </c>
    </row>
    <row r="802" spans="1:13" hidden="1" x14ac:dyDescent="0.3">
      <c r="A802" s="8">
        <v>45860</v>
      </c>
      <c r="B802" s="6" t="s">
        <v>1597</v>
      </c>
      <c r="C802" s="6" t="s">
        <v>1598</v>
      </c>
      <c r="D802" s="6" t="s">
        <v>538</v>
      </c>
      <c r="E802" s="14">
        <v>45860.601388888892</v>
      </c>
      <c r="F802" s="8">
        <f>IF(HOUR(Table1[[#This Row],[CORREO]])&gt;=11,WORKDAY(Table1[[#This Row],[CORREO]],1,Table2[Dias no laborales]),E802)</f>
        <v>45861</v>
      </c>
      <c r="G802" s="8">
        <v>45862</v>
      </c>
      <c r="H802" s="6">
        <f t="shared" si="24"/>
        <v>29</v>
      </c>
      <c r="I802" s="16">
        <f>MAX(1, NETWORKDAYS(A802, G802,Table2[Dias no laborales]))</f>
        <v>3</v>
      </c>
      <c r="J802" s="6" t="str">
        <f>IF(Table1[[#This Row],[FIN]]="","Acumulado",IF(ISNUMBER(SEARCH("ASAP",C802)),"ASAP",IF(NETWORKDAYS.INTL(F802,G802,1,Table2[Dias no laborales]) &lt;= 7, "Dentro", IF(A802&gt;F802,"Programado","Fuera"))))</f>
        <v>ASAP</v>
      </c>
      <c r="K802" s="6" t="str">
        <f t="shared" si="25"/>
        <v>Mismo día</v>
      </c>
      <c r="L802" s="9">
        <v>45860</v>
      </c>
      <c r="M802" s="17">
        <f>MAX(1,NETWORKDAYS(A802,L802,Table2[Dias no laborales]))</f>
        <v>1</v>
      </c>
    </row>
    <row r="803" spans="1:13" hidden="1" x14ac:dyDescent="0.3">
      <c r="A803" s="8">
        <v>45861</v>
      </c>
      <c r="B803" s="5" t="s">
        <v>1614</v>
      </c>
      <c r="C803" s="5" t="s">
        <v>1615</v>
      </c>
      <c r="D803" s="5" t="s">
        <v>119</v>
      </c>
      <c r="E803" s="14">
        <v>45860.498611111114</v>
      </c>
      <c r="F803" s="8">
        <f>IF(HOUR(Table1[[#This Row],[CORREO]])&gt;=11,WORKDAY(Table1[[#This Row],[CORREO]],1,Table2[Dias no laborales]),E803)</f>
        <v>45861</v>
      </c>
      <c r="G803" s="8">
        <v>45863</v>
      </c>
      <c r="H803" s="6">
        <f t="shared" si="24"/>
        <v>30</v>
      </c>
      <c r="I803" s="16">
        <f>MAX(1, NETWORKDAYS(A803, G803,Table2[Dias no laborales]))</f>
        <v>3</v>
      </c>
      <c r="J803" s="6" t="str">
        <f>IF(Table1[[#This Row],[FIN]]="","Acumulado",IF(ISNUMBER(SEARCH("ASAP",C803)),"ASAP",IF(NETWORKDAYS.INTL(F803,G803,1,Table2[Dias no laborales]) &lt;= 7, "Dentro", IF(A803&gt;F803,"Programado","Fuera"))))</f>
        <v>Dentro</v>
      </c>
      <c r="K803" s="6" t="str">
        <f t="shared" si="25"/>
        <v>A tiempo</v>
      </c>
      <c r="L803" s="9">
        <v>45861</v>
      </c>
      <c r="M803" s="17">
        <f>MAX(1,NETWORKDAYS(A803,L803,Table2[Dias no laborales]))</f>
        <v>1</v>
      </c>
    </row>
    <row r="804" spans="1:13" hidden="1" x14ac:dyDescent="0.3">
      <c r="A804" s="8">
        <v>45861</v>
      </c>
      <c r="B804" s="5" t="s">
        <v>1612</v>
      </c>
      <c r="C804" s="5" t="s">
        <v>1613</v>
      </c>
      <c r="D804" s="5" t="s">
        <v>238</v>
      </c>
      <c r="E804" s="14">
        <v>45860.5</v>
      </c>
      <c r="F804" s="8">
        <f>IF(HOUR(Table1[[#This Row],[CORREO]])&gt;=11,WORKDAY(Table1[[#This Row],[CORREO]],1,Table2[Dias no laborales]),E804)</f>
        <v>45861</v>
      </c>
      <c r="G804" s="8">
        <v>45863</v>
      </c>
      <c r="H804" s="6">
        <f t="shared" si="24"/>
        <v>30</v>
      </c>
      <c r="I804" s="16">
        <f>MAX(1, NETWORKDAYS(A804, G804,Table2[Dias no laborales]))</f>
        <v>3</v>
      </c>
      <c r="J804" s="6" t="str">
        <f>IF(Table1[[#This Row],[FIN]]="","Acumulado",IF(ISNUMBER(SEARCH("ASAP",C804)),"ASAP",IF(NETWORKDAYS.INTL(F804,G804,1,Table2[Dias no laborales]) &lt;= 7, "Dentro", IF(A804&gt;F804,"Programado","Fuera"))))</f>
        <v>Dentro</v>
      </c>
      <c r="K804" s="6" t="str">
        <f t="shared" si="25"/>
        <v>A tiempo</v>
      </c>
      <c r="L804" s="9">
        <v>45861</v>
      </c>
      <c r="M804" s="17">
        <f>MAX(1,NETWORKDAYS(A804,L804,Table2[Dias no laborales]))</f>
        <v>1</v>
      </c>
    </row>
    <row r="805" spans="1:13" hidden="1" x14ac:dyDescent="0.3">
      <c r="A805" s="8">
        <v>45861</v>
      </c>
      <c r="B805" s="6" t="s">
        <v>1595</v>
      </c>
      <c r="C805" s="6" t="s">
        <v>1596</v>
      </c>
      <c r="D805" s="6" t="s">
        <v>24</v>
      </c>
      <c r="E805" s="14">
        <v>45861.355555555558</v>
      </c>
      <c r="F805" s="8">
        <f>IF(HOUR(Table1[[#This Row],[CORREO]])&gt;=11,WORKDAY(Table1[[#This Row],[CORREO]],1,Table2[Dias no laborales]),E805)</f>
        <v>45861.355555555558</v>
      </c>
      <c r="G805" s="8">
        <v>45861</v>
      </c>
      <c r="H805" s="6">
        <f t="shared" si="24"/>
        <v>30</v>
      </c>
      <c r="I805" s="16">
        <f>MAX(1, NETWORKDAYS(A805, G805,Table2[Dias no laborales]))</f>
        <v>1</v>
      </c>
      <c r="J805" s="6" t="str">
        <f>IF(Table1[[#This Row],[FIN]]="","Acumulado",IF(ISNUMBER(SEARCH("ASAP",C805)),"ASAP",IF(NETWORKDAYS.INTL(F805,G805,1,Table2[Dias no laborales]) &lt;= 7, "Dentro", IF(A805&gt;F805,"Programado","Fuera"))))</f>
        <v>ASAP</v>
      </c>
      <c r="K805" s="6" t="str">
        <f t="shared" si="25"/>
        <v>A tiempo</v>
      </c>
      <c r="L805" s="9">
        <v>45861</v>
      </c>
      <c r="M805" s="17">
        <f>MAX(1,NETWORKDAYS(A805,L805,Table2[Dias no laborales]))</f>
        <v>1</v>
      </c>
    </row>
    <row r="806" spans="1:13" hidden="1" x14ac:dyDescent="0.3">
      <c r="A806" s="8">
        <v>45861</v>
      </c>
      <c r="B806" s="5" t="s">
        <v>1638</v>
      </c>
      <c r="C806" s="5" t="s">
        <v>1639</v>
      </c>
      <c r="D806" s="5" t="s">
        <v>27</v>
      </c>
      <c r="E806" s="14">
        <v>45860.499305555553</v>
      </c>
      <c r="F806" s="8">
        <f>IF(HOUR(Table1[[#This Row],[CORREO]])&gt;=11,WORKDAY(Table1[[#This Row],[CORREO]],1,Table2[Dias no laborales]),E806)</f>
        <v>45861</v>
      </c>
      <c r="G806" s="8">
        <v>45867</v>
      </c>
      <c r="H806" s="6">
        <f t="shared" si="24"/>
        <v>30</v>
      </c>
      <c r="I806" s="16">
        <f>MAX(1, NETWORKDAYS(A806, G806,Table2[Dias no laborales]))</f>
        <v>5</v>
      </c>
      <c r="J806" s="6" t="str">
        <f>IF(Table1[[#This Row],[FIN]]="","Acumulado",IF(ISNUMBER(SEARCH("ASAP",C806)),"ASAP",IF(NETWORKDAYS.INTL(F806,G806,1,Table2[Dias no laborales]) &lt;= 7, "Dentro", IF(A806&gt;F806,"Programado","Fuera"))))</f>
        <v>Dentro</v>
      </c>
      <c r="K806" s="6" t="str">
        <f t="shared" si="25"/>
        <v>A tiempo</v>
      </c>
      <c r="L806" s="9">
        <v>45861</v>
      </c>
      <c r="M806" s="17">
        <f>MAX(1,NETWORKDAYS(A806,L806,Table2[Dias no laborales]))</f>
        <v>1</v>
      </c>
    </row>
    <row r="807" spans="1:13" hidden="1" x14ac:dyDescent="0.3">
      <c r="A807" s="8">
        <v>45861</v>
      </c>
      <c r="B807" s="6" t="s">
        <v>1593</v>
      </c>
      <c r="C807" s="6" t="s">
        <v>1594</v>
      </c>
      <c r="D807" s="6" t="s">
        <v>308</v>
      </c>
      <c r="E807" s="14">
        <v>45861.379861111112</v>
      </c>
      <c r="F807" s="8">
        <f>IF(HOUR(Table1[[#This Row],[CORREO]])&gt;=11,WORKDAY(Table1[[#This Row],[CORREO]],1,Table2[Dias no laborales]),E807)</f>
        <v>45861.379861111112</v>
      </c>
      <c r="G807" s="8">
        <v>45861</v>
      </c>
      <c r="H807" s="6">
        <f t="shared" si="24"/>
        <v>30</v>
      </c>
      <c r="I807" s="16">
        <f>MAX(1, NETWORKDAYS(A807, G807,Table2[Dias no laborales]))</f>
        <v>1</v>
      </c>
      <c r="J807" s="6" t="str">
        <f>IF(Table1[[#This Row],[FIN]]="","Acumulado",IF(ISNUMBER(SEARCH("ASAP",C807)),"ASAP",IF(NETWORKDAYS.INTL(F807,G807,1,Table2[Dias no laborales]) &lt;= 7, "Dentro", IF(A807&gt;F807,"Programado","Fuera"))))</f>
        <v>Dentro</v>
      </c>
      <c r="K807" s="6" t="str">
        <f t="shared" si="25"/>
        <v>A tiempo</v>
      </c>
      <c r="L807" s="9">
        <v>45861</v>
      </c>
      <c r="M807" s="17">
        <f>MAX(1,NETWORKDAYS(A807,L807,Table2[Dias no laborales]))</f>
        <v>1</v>
      </c>
    </row>
    <row r="808" spans="1:13" hidden="1" x14ac:dyDescent="0.3">
      <c r="A808" s="8">
        <v>45861</v>
      </c>
      <c r="B808" s="5" t="s">
        <v>1616</v>
      </c>
      <c r="C808" s="5" t="s">
        <v>1617</v>
      </c>
      <c r="D808" s="5" t="s">
        <v>48</v>
      </c>
      <c r="E808" s="14">
        <v>45861.393055555556</v>
      </c>
      <c r="F808" s="8">
        <f>IF(HOUR(Table1[[#This Row],[CORREO]])&gt;=11,WORKDAY(Table1[[#This Row],[CORREO]],1,Table2[Dias no laborales]),E808)</f>
        <v>45861.393055555556</v>
      </c>
      <c r="G808" s="8">
        <v>45866</v>
      </c>
      <c r="H808" s="6">
        <f t="shared" si="24"/>
        <v>30</v>
      </c>
      <c r="I808" s="16">
        <f>MAX(1, NETWORKDAYS(A808, G808,Table2[Dias no laborales]))</f>
        <v>4</v>
      </c>
      <c r="J808" s="6" t="str">
        <f>IF(Table1[[#This Row],[FIN]]="","Acumulado",IF(ISNUMBER(SEARCH("ASAP",C808)),"ASAP",IF(NETWORKDAYS.INTL(F808,G808,1,Table2[Dias no laborales]) &lt;= 7, "Dentro", IF(A808&gt;F808,"Programado","Fuera"))))</f>
        <v>Dentro</v>
      </c>
      <c r="K808" s="6" t="str">
        <f t="shared" si="25"/>
        <v>A tiempo</v>
      </c>
      <c r="L808" s="9">
        <v>45861</v>
      </c>
      <c r="M808" s="17">
        <f>MAX(1,NETWORKDAYS(A808,L808,Table2[Dias no laborales]))</f>
        <v>1</v>
      </c>
    </row>
    <row r="809" spans="1:13" hidden="1" x14ac:dyDescent="0.3">
      <c r="A809" s="8">
        <v>45861</v>
      </c>
      <c r="B809" s="5" t="s">
        <v>1611</v>
      </c>
      <c r="C809" s="5" t="s">
        <v>1042</v>
      </c>
      <c r="D809" s="5" t="s">
        <v>119</v>
      </c>
      <c r="E809" s="14">
        <v>45861.40347222222</v>
      </c>
      <c r="F809" s="8">
        <f>IF(HOUR(Table1[[#This Row],[CORREO]])&gt;=11,WORKDAY(Table1[[#This Row],[CORREO]],1,Table2[Dias no laborales]),E809)</f>
        <v>45861.40347222222</v>
      </c>
      <c r="G809" s="8">
        <v>45863</v>
      </c>
      <c r="H809" s="6">
        <f t="shared" si="24"/>
        <v>30</v>
      </c>
      <c r="I809" s="16">
        <f>MAX(1, NETWORKDAYS(A809, G809,Table2[Dias no laborales]))</f>
        <v>3</v>
      </c>
      <c r="J809" s="6" t="str">
        <f>IF(Table1[[#This Row],[FIN]]="","Acumulado",IF(ISNUMBER(SEARCH("ASAP",C809)),"ASAP",IF(NETWORKDAYS.INTL(F809,G809,1,Table2[Dias no laborales]) &lt;= 7, "Dentro", IF(A809&gt;F809,"Programado","Fuera"))))</f>
        <v>Dentro</v>
      </c>
      <c r="K809" s="6" t="str">
        <f t="shared" si="25"/>
        <v>A tiempo</v>
      </c>
      <c r="L809" s="9">
        <v>45861</v>
      </c>
      <c r="M809" s="17">
        <f>MAX(1,NETWORKDAYS(A809,L809,Table2[Dias no laborales]))</f>
        <v>1</v>
      </c>
    </row>
    <row r="810" spans="1:13" hidden="1" x14ac:dyDescent="0.3">
      <c r="A810" s="8">
        <v>45861</v>
      </c>
      <c r="B810" s="6" t="s">
        <v>1592</v>
      </c>
      <c r="C810" s="6" t="s">
        <v>474</v>
      </c>
      <c r="D810" s="6" t="s">
        <v>372</v>
      </c>
      <c r="E810" s="14">
        <v>45861.493055555555</v>
      </c>
      <c r="F810" s="8">
        <f>IF(HOUR(Table1[[#This Row],[CORREO]])&gt;=11,WORKDAY(Table1[[#This Row],[CORREO]],1,Table2[Dias no laborales]),E810)</f>
        <v>45862</v>
      </c>
      <c r="G810" s="8">
        <v>45861</v>
      </c>
      <c r="H810" s="6">
        <f t="shared" si="24"/>
        <v>30</v>
      </c>
      <c r="I810" s="16">
        <f>MAX(1, NETWORKDAYS(A810, G810,Table2[Dias no laborales]))</f>
        <v>1</v>
      </c>
      <c r="J810" s="6" t="str">
        <f>IF(Table1[[#This Row],[FIN]]="","Acumulado",IF(ISNUMBER(SEARCH("ASAP",C810)),"ASAP",IF(NETWORKDAYS.INTL(F810,G810,1,Table2[Dias no laborales]) &lt;= 7, "Dentro", IF(A810&gt;F810,"Programado","Fuera"))))</f>
        <v>Dentro</v>
      </c>
      <c r="K810" s="6" t="str">
        <f t="shared" si="25"/>
        <v>Mismo día</v>
      </c>
      <c r="L810" s="9">
        <v>45861</v>
      </c>
      <c r="M810" s="17">
        <f>MAX(1,NETWORKDAYS(A810,L810,Table2[Dias no laborales]))</f>
        <v>1</v>
      </c>
    </row>
    <row r="811" spans="1:13" hidden="1" x14ac:dyDescent="0.3">
      <c r="A811" s="8">
        <v>45862</v>
      </c>
      <c r="B811" s="6" t="s">
        <v>1603</v>
      </c>
      <c r="C811" s="6" t="s">
        <v>1604</v>
      </c>
      <c r="D811" s="6" t="s">
        <v>913</v>
      </c>
      <c r="E811" s="14">
        <v>45861.561805555553</v>
      </c>
      <c r="F811" s="8">
        <f>IF(HOUR(Table1[[#This Row],[CORREO]])&gt;=11,WORKDAY(Table1[[#This Row],[CORREO]],1,Table2[Dias no laborales]),E811)</f>
        <v>45862</v>
      </c>
      <c r="G811" s="8">
        <v>45863</v>
      </c>
      <c r="H811" s="6">
        <f t="shared" si="24"/>
        <v>30</v>
      </c>
      <c r="I811" s="16">
        <f>MAX(1, NETWORKDAYS(A811, G811,Table2[Dias no laborales]))</f>
        <v>2</v>
      </c>
      <c r="J811" s="6" t="str">
        <f>IF(Table1[[#This Row],[FIN]]="","Acumulado",IF(ISNUMBER(SEARCH("ASAP",C811)),"ASAP",IF(NETWORKDAYS.INTL(F811,G811,1,Table2[Dias no laborales]) &lt;= 7, "Dentro", IF(A811&gt;F811,"Programado","Fuera"))))</f>
        <v>Dentro</v>
      </c>
      <c r="K811" s="6" t="str">
        <f t="shared" si="25"/>
        <v>A tiempo</v>
      </c>
      <c r="L811" s="9">
        <v>45862</v>
      </c>
      <c r="M811" s="17">
        <f>MAX(1,NETWORKDAYS(A811,L811,Table2[Dias no laborales]))</f>
        <v>1</v>
      </c>
    </row>
    <row r="812" spans="1:13" hidden="1" x14ac:dyDescent="0.3">
      <c r="A812" s="8">
        <v>45862</v>
      </c>
      <c r="B812" s="6" t="s">
        <v>1599</v>
      </c>
      <c r="C812" s="6" t="s">
        <v>1600</v>
      </c>
      <c r="D812" s="6" t="s">
        <v>994</v>
      </c>
      <c r="E812" s="14">
        <v>45861</v>
      </c>
      <c r="F812" s="8">
        <f>IF(HOUR(Table1[[#This Row],[CORREO]])&gt;=11,WORKDAY(Table1[[#This Row],[CORREO]],1,Table2[Dias no laborales]),E812)</f>
        <v>45861</v>
      </c>
      <c r="G812" s="8">
        <v>45862</v>
      </c>
      <c r="H812" s="6">
        <f t="shared" si="24"/>
        <v>30</v>
      </c>
      <c r="I812" s="16">
        <f>MAX(1, NETWORKDAYS(A812, G812,Table2[Dias no laborales]))</f>
        <v>1</v>
      </c>
      <c r="J812" s="6" t="str">
        <f>IF(Table1[[#This Row],[FIN]]="","Acumulado",IF(ISNUMBER(SEARCH("ASAP",C812)),"ASAP",IF(NETWORKDAYS.INTL(F812,G812,1,Table2[Dias no laborales]) &lt;= 7, "Dentro", IF(A812&gt;F812,"Programado","Fuera"))))</f>
        <v>Dentro</v>
      </c>
      <c r="K812" s="6" t="str">
        <f t="shared" si="25"/>
        <v>Programados</v>
      </c>
      <c r="L812" s="9">
        <v>45862</v>
      </c>
      <c r="M812" s="17">
        <f>MAX(1,NETWORKDAYS(A812,L812,Table2[Dias no laborales]))</f>
        <v>1</v>
      </c>
    </row>
    <row r="813" spans="1:13" hidden="1" x14ac:dyDescent="0.3">
      <c r="A813" s="8">
        <v>45863</v>
      </c>
      <c r="B813" s="5" t="s">
        <v>1647</v>
      </c>
      <c r="C813" s="5" t="s">
        <v>1648</v>
      </c>
      <c r="D813" s="5" t="s">
        <v>119</v>
      </c>
      <c r="E813" s="14">
        <v>45862.495138888888</v>
      </c>
      <c r="F813" s="8">
        <f>IF(HOUR(Table1[[#This Row],[CORREO]])&gt;=11,WORKDAY(Table1[[#This Row],[CORREO]],1,Table2[Dias no laborales]),E813)</f>
        <v>45863</v>
      </c>
      <c r="G813" s="8">
        <v>45869</v>
      </c>
      <c r="H813" s="6">
        <f t="shared" si="24"/>
        <v>30</v>
      </c>
      <c r="I813" s="16">
        <f>MAX(1, NETWORKDAYS(A813, G813,Table2[Dias no laborales]))</f>
        <v>5</v>
      </c>
      <c r="J813" s="6" t="str">
        <f>IF(Table1[[#This Row],[FIN]]="","Acumulado",IF(ISNUMBER(SEARCH("ASAP",C813)),"ASAP",IF(NETWORKDAYS.INTL(F813,G813,1,Table2[Dias no laborales]) &lt;= 7, "Dentro", IF(A813&gt;F813,"Programado","Fuera"))))</f>
        <v>Dentro</v>
      </c>
      <c r="K813" s="6" t="str">
        <f t="shared" si="25"/>
        <v>A tiempo</v>
      </c>
      <c r="L813" s="9">
        <v>45863</v>
      </c>
      <c r="M813" s="17">
        <f>MAX(1,NETWORKDAYS(A813,L813,Table2[Dias no laborales]))</f>
        <v>1</v>
      </c>
    </row>
    <row r="814" spans="1:13" hidden="1" x14ac:dyDescent="0.3">
      <c r="A814" s="8">
        <v>45863</v>
      </c>
      <c r="B814" s="5" t="s">
        <v>1649</v>
      </c>
      <c r="C814" s="5" t="s">
        <v>1650</v>
      </c>
      <c r="D814" s="5" t="s">
        <v>372</v>
      </c>
      <c r="E814" s="14">
        <v>45862.56527777778</v>
      </c>
      <c r="F814" s="8">
        <f>IF(HOUR(Table1[[#This Row],[CORREO]])&gt;=11,WORKDAY(Table1[[#This Row],[CORREO]],1,Table2[Dias no laborales]),E814)</f>
        <v>45863</v>
      </c>
      <c r="G814" s="8">
        <v>45869</v>
      </c>
      <c r="H814" s="6">
        <f t="shared" si="24"/>
        <v>30</v>
      </c>
      <c r="I814" s="16">
        <f>MAX(1, NETWORKDAYS(A814, G814,Table2[Dias no laborales]))</f>
        <v>5</v>
      </c>
      <c r="J814" s="6" t="str">
        <f>IF(Table1[[#This Row],[FIN]]="","Acumulado",IF(ISNUMBER(SEARCH("ASAP",C814)),"ASAP",IF(NETWORKDAYS.INTL(F814,G814,1,Table2[Dias no laborales]) &lt;= 7, "Dentro", IF(A814&gt;F814,"Programado","Fuera"))))</f>
        <v>Dentro</v>
      </c>
      <c r="K814" s="6" t="str">
        <f t="shared" si="25"/>
        <v>A tiempo</v>
      </c>
      <c r="L814" s="9">
        <v>45863</v>
      </c>
      <c r="M814" s="17">
        <f>MAX(1,NETWORKDAYS(A814,L814,Table2[Dias no laborales]))</f>
        <v>1</v>
      </c>
    </row>
    <row r="815" spans="1:13" hidden="1" x14ac:dyDescent="0.3">
      <c r="A815" s="8">
        <v>45863</v>
      </c>
      <c r="B815" s="6" t="s">
        <v>1685</v>
      </c>
      <c r="C815" s="6" t="s">
        <v>1686</v>
      </c>
      <c r="D815" s="6" t="s">
        <v>162</v>
      </c>
      <c r="E815" s="14">
        <v>45863.356944444444</v>
      </c>
      <c r="F815" s="8">
        <f>IF(HOUR(Table1[[#This Row],[CORREO]])&gt;=11,WORKDAY(Table1[[#This Row],[CORREO]],1,Table2[Dias no laborales]),E815)</f>
        <v>45863.356944444444</v>
      </c>
      <c r="G815" s="8">
        <v>45870</v>
      </c>
      <c r="H815" s="6">
        <f t="shared" si="24"/>
        <v>30</v>
      </c>
      <c r="I815" s="16">
        <f>MAX(1, NETWORKDAYS(A815, G815,Table2[Dias no laborales]))</f>
        <v>6</v>
      </c>
      <c r="J815" s="6" t="str">
        <f>IF(Table1[[#This Row],[FIN]]="","Acumulado",IF(ISNUMBER(SEARCH("ASAP",C815)),"ASAP",IF(NETWORKDAYS.INTL(F815,G815,1,Table2[Dias no laborales]) &lt;= 7, "Dentro", IF(A815&gt;F815,"Programado","Fuera"))))</f>
        <v>Dentro</v>
      </c>
      <c r="K815" s="6" t="str">
        <f t="shared" si="25"/>
        <v>A tiempo</v>
      </c>
      <c r="L815" s="9">
        <v>45863</v>
      </c>
      <c r="M815" s="17">
        <f>MAX(1,NETWORKDAYS(A815,L815,Table2[Dias no laborales]))</f>
        <v>1</v>
      </c>
    </row>
    <row r="816" spans="1:13" hidden="1" x14ac:dyDescent="0.3">
      <c r="A816" s="8">
        <v>45863</v>
      </c>
      <c r="B816" s="5" t="s">
        <v>1607</v>
      </c>
      <c r="C816" s="5" t="s">
        <v>1608</v>
      </c>
      <c r="D816" s="5" t="s">
        <v>15</v>
      </c>
      <c r="E816" s="14"/>
      <c r="F816" s="8">
        <f>IF(HOUR(Table1[[#This Row],[CORREO]])&gt;=11,WORKDAY(Table1[[#This Row],[CORREO]],1,Table2[Dias no laborales]),E816)</f>
        <v>0</v>
      </c>
      <c r="G816" s="8">
        <v>45863</v>
      </c>
      <c r="H816" s="6">
        <f t="shared" si="24"/>
        <v>30</v>
      </c>
      <c r="I816" s="16">
        <f>MAX(1, NETWORKDAYS(A816, G816,Table2[Dias no laborales]))</f>
        <v>1</v>
      </c>
      <c r="J816" s="6" t="str">
        <f>IF(Table1[[#This Row],[FIN]]="","Acumulado",IF(ISNUMBER(SEARCH("ASAP",C816)),"ASAP",IF(NETWORKDAYS.INTL(F816,G816,1,Table2[Dias no laborales]) &lt;= 7, "Dentro", IF(A816&gt;F816,"Programado","Fuera"))))</f>
        <v>ASAP</v>
      </c>
      <c r="K816" s="6" t="str">
        <f t="shared" si="25"/>
        <v>Programados</v>
      </c>
      <c r="L816" s="9">
        <v>45863</v>
      </c>
      <c r="M816" s="17">
        <f>MAX(1,NETWORKDAYS(A816,L816,Table2[Dias no laborales]))</f>
        <v>1</v>
      </c>
    </row>
    <row r="817" spans="1:13" hidden="1" x14ac:dyDescent="0.3">
      <c r="A817" s="8">
        <v>45863</v>
      </c>
      <c r="B817" s="5" t="s">
        <v>1609</v>
      </c>
      <c r="C817" s="5" t="s">
        <v>1610</v>
      </c>
      <c r="D817" s="5" t="s">
        <v>151</v>
      </c>
      <c r="E817" s="14">
        <v>45863.532638888886</v>
      </c>
      <c r="F817" s="8">
        <f>IF(HOUR(Table1[[#This Row],[CORREO]])&gt;=11,WORKDAY(Table1[[#This Row],[CORREO]],1,Table2[Dias no laborales]),E817)</f>
        <v>45866</v>
      </c>
      <c r="G817" s="8">
        <v>45863</v>
      </c>
      <c r="H817" s="6">
        <f t="shared" si="24"/>
        <v>30</v>
      </c>
      <c r="I817" s="16">
        <f>MAX(1, NETWORKDAYS(A817, G817,Table2[Dias no laborales]))</f>
        <v>1</v>
      </c>
      <c r="J817" s="6" t="str">
        <f>IF(Table1[[#This Row],[FIN]]="","Acumulado",IF(ISNUMBER(SEARCH("ASAP",C817)),"ASAP",IF(NETWORKDAYS.INTL(F817,G817,1,Table2[Dias no laborales]) &lt;= 7, "Dentro", IF(A817&gt;F817,"Programado","Fuera"))))</f>
        <v>ASAP</v>
      </c>
      <c r="K817" s="6" t="str">
        <f t="shared" si="25"/>
        <v>Mismo día</v>
      </c>
      <c r="L817" s="9">
        <v>45863</v>
      </c>
      <c r="M817" s="17">
        <f>MAX(1,NETWORKDAYS(A817,L817,Table2[Dias no laborales]))</f>
        <v>1</v>
      </c>
    </row>
    <row r="818" spans="1:13" hidden="1" x14ac:dyDescent="0.3">
      <c r="A818" s="8">
        <v>45866</v>
      </c>
      <c r="B818" s="6" t="s">
        <v>1676</v>
      </c>
      <c r="C818" s="6" t="s">
        <v>1602</v>
      </c>
      <c r="D818" s="6" t="s">
        <v>24</v>
      </c>
      <c r="E818" s="14"/>
      <c r="F818" s="8">
        <f>IF(HOUR(Table1[[#This Row],[CORREO]])&gt;=11,WORKDAY(Table1[[#This Row],[CORREO]],1,Table2[Dias no laborales]),E818)</f>
        <v>0</v>
      </c>
      <c r="G818" s="8">
        <v>45870</v>
      </c>
      <c r="H818" s="6">
        <f t="shared" si="24"/>
        <v>30</v>
      </c>
      <c r="I818" s="16">
        <f>MAX(1, NETWORKDAYS(A818, G818,Table2[Dias no laborales]))</f>
        <v>5</v>
      </c>
      <c r="J818" s="6" t="str">
        <f>IF(Table1[[#This Row],[FIN]]="","Acumulado",IF(ISNUMBER(SEARCH("ASAP",C818)),"ASAP",IF(NETWORKDAYS.INTL(F818,G818,1,Table2[Dias no laborales]) &lt;= 7, "Dentro", IF(A818&gt;F818,"Programado","Fuera"))))</f>
        <v>Programado</v>
      </c>
      <c r="K818" s="6" t="str">
        <f t="shared" si="25"/>
        <v>Programados</v>
      </c>
      <c r="L818" s="9">
        <v>45866</v>
      </c>
      <c r="M818" s="17">
        <f>MAX(1,NETWORKDAYS(A818,L818,Table2[Dias no laborales]))</f>
        <v>1</v>
      </c>
    </row>
    <row r="819" spans="1:13" hidden="1" x14ac:dyDescent="0.3">
      <c r="A819" s="8">
        <v>45866</v>
      </c>
      <c r="B819" s="5" t="s">
        <v>1628</v>
      </c>
      <c r="C819" s="5" t="s">
        <v>1629</v>
      </c>
      <c r="D819" s="5" t="s">
        <v>151</v>
      </c>
      <c r="E819" s="14">
        <v>45863.725694444445</v>
      </c>
      <c r="F819" s="8">
        <f>IF(HOUR(Table1[[#This Row],[CORREO]])&gt;=11,WORKDAY(Table1[[#This Row],[CORREO]],1,Table2[Dias no laborales]),E819)</f>
        <v>45866</v>
      </c>
      <c r="G819" s="8">
        <v>45866</v>
      </c>
      <c r="H819" s="6">
        <f t="shared" si="24"/>
        <v>30</v>
      </c>
      <c r="I819" s="16">
        <f>MAX(1, NETWORKDAYS(A819, G819,Table2[Dias no laborales]))</f>
        <v>1</v>
      </c>
      <c r="J819" s="6" t="str">
        <f>IF(Table1[[#This Row],[FIN]]="","Acumulado",IF(ISNUMBER(SEARCH("ASAP",C819)),"ASAP",IF(NETWORKDAYS.INTL(F819,G819,1,Table2[Dias no laborales]) &lt;= 7, "Dentro", IF(A819&gt;F819,"Programado","Fuera"))))</f>
        <v>Dentro</v>
      </c>
      <c r="K819" s="6" t="str">
        <f t="shared" si="25"/>
        <v>A tiempo</v>
      </c>
      <c r="L819" s="9">
        <v>45866</v>
      </c>
      <c r="M819" s="17">
        <f>MAX(1,NETWORKDAYS(A819,L819,Table2[Dias no laborales]))</f>
        <v>1</v>
      </c>
    </row>
    <row r="820" spans="1:13" hidden="1" x14ac:dyDescent="0.3">
      <c r="A820" s="8">
        <v>45866</v>
      </c>
      <c r="B820" s="5" t="s">
        <v>1618</v>
      </c>
      <c r="C820" s="5" t="s">
        <v>1619</v>
      </c>
      <c r="D820" s="5" t="s">
        <v>1562</v>
      </c>
      <c r="E820" s="14">
        <v>45866.32916666667</v>
      </c>
      <c r="F820" s="8">
        <f>IF(HOUR(Table1[[#This Row],[CORREO]])&gt;=11,WORKDAY(Table1[[#This Row],[CORREO]],1,Table2[Dias no laborales]),E820)</f>
        <v>45866.32916666667</v>
      </c>
      <c r="G820" s="8">
        <v>45866</v>
      </c>
      <c r="H820" s="6">
        <f t="shared" si="24"/>
        <v>30</v>
      </c>
      <c r="I820" s="16">
        <f>MAX(1, NETWORKDAYS(A820, G820,Table2[Dias no laborales]))</f>
        <v>1</v>
      </c>
      <c r="J820" s="6" t="str">
        <f>IF(Table1[[#This Row],[FIN]]="","Acumulado",IF(ISNUMBER(SEARCH("ASAP",C820)),"ASAP",IF(NETWORKDAYS.INTL(F820,G820,1,Table2[Dias no laborales]) &lt;= 7, "Dentro", IF(A820&gt;F820,"Programado","Fuera"))))</f>
        <v>Dentro</v>
      </c>
      <c r="K820" s="6" t="str">
        <f t="shared" si="25"/>
        <v>A tiempo</v>
      </c>
      <c r="L820" s="9">
        <v>45866</v>
      </c>
      <c r="M820" s="17">
        <f>MAX(1,NETWORKDAYS(A820,L820,Table2[Dias no laborales]))</f>
        <v>1</v>
      </c>
    </row>
    <row r="821" spans="1:13" hidden="1" x14ac:dyDescent="0.3">
      <c r="A821" s="12">
        <v>45866</v>
      </c>
      <c r="B821" s="5" t="s">
        <v>1624</v>
      </c>
      <c r="C821" s="5" t="s">
        <v>1625</v>
      </c>
      <c r="D821" s="5" t="s">
        <v>1333</v>
      </c>
      <c r="E821" s="14">
        <v>45866.339583333334</v>
      </c>
      <c r="F821" s="12">
        <f>IF(HOUR(Table1[[#This Row],[CORREO]])&gt;=11,WORKDAY(Table1[[#This Row],[CORREO]],1,Table2[Dias no laborales]),E821)</f>
        <v>45866.339583333334</v>
      </c>
      <c r="G821" s="8">
        <v>45866</v>
      </c>
      <c r="H821" s="16">
        <f t="shared" si="24"/>
        <v>30</v>
      </c>
      <c r="I821" s="16">
        <f>MAX(1, NETWORKDAYS(A821, G821,Table2[Dias no laborales]))</f>
        <v>1</v>
      </c>
      <c r="J821" s="6" t="str">
        <f>IF(Table1[[#This Row],[FIN]]="","Acumulado",IF(ISNUMBER(SEARCH("ASAP",C821)),"ASAP",IF(NETWORKDAYS.INTL(F821,G821,1,Table2[Dias no laborales]) &lt;= 7, "Dentro", IF(A821&gt;F821,"Programado","Fuera"))))</f>
        <v>Dentro</v>
      </c>
      <c r="K821" s="16" t="str">
        <f t="shared" si="25"/>
        <v>A tiempo</v>
      </c>
      <c r="L821" s="9">
        <v>45866</v>
      </c>
      <c r="M821" s="18">
        <f>MAX(1,NETWORKDAYS(A821,L821,Table2[Dias no laborales]))</f>
        <v>1</v>
      </c>
    </row>
    <row r="822" spans="1:13" hidden="1" x14ac:dyDescent="0.3">
      <c r="A822" s="8">
        <v>45866</v>
      </c>
      <c r="B822" s="5" t="s">
        <v>1620</v>
      </c>
      <c r="C822" s="5" t="s">
        <v>1621</v>
      </c>
      <c r="D822" s="5" t="s">
        <v>620</v>
      </c>
      <c r="E822" s="14">
        <v>45866.367361111108</v>
      </c>
      <c r="F822" s="8">
        <f>IF(HOUR(Table1[[#This Row],[CORREO]])&gt;=11,WORKDAY(Table1[[#This Row],[CORREO]],1,Table2[Dias no laborales]),E822)</f>
        <v>45866.367361111108</v>
      </c>
      <c r="G822" s="8">
        <v>45866</v>
      </c>
      <c r="H822" s="6">
        <f t="shared" si="24"/>
        <v>30</v>
      </c>
      <c r="I822" s="16">
        <f>MAX(1, NETWORKDAYS(A822, G822,Table2[Dias no laborales]))</f>
        <v>1</v>
      </c>
      <c r="J822" s="6" t="str">
        <f>IF(Table1[[#This Row],[FIN]]="","Acumulado",IF(ISNUMBER(SEARCH("ASAP",C822)),"ASAP",IF(NETWORKDAYS.INTL(F822,G822,1,Table2[Dias no laborales]) &lt;= 7, "Dentro", IF(A822&gt;F822,"Programado","Fuera"))))</f>
        <v>Dentro</v>
      </c>
      <c r="K822" s="6" t="str">
        <f t="shared" si="25"/>
        <v>A tiempo</v>
      </c>
      <c r="L822" s="9">
        <v>45866</v>
      </c>
      <c r="M822" s="17">
        <f>MAX(1,NETWORKDAYS(A822,L822,Table2[Dias no laborales]))</f>
        <v>1</v>
      </c>
    </row>
    <row r="823" spans="1:13" hidden="1" x14ac:dyDescent="0.3">
      <c r="A823" s="8">
        <v>45867</v>
      </c>
      <c r="B823" s="5" t="s">
        <v>1651</v>
      </c>
      <c r="C823" s="5" t="s">
        <v>1652</v>
      </c>
      <c r="D823" s="5" t="s">
        <v>171</v>
      </c>
      <c r="E823" s="14">
        <v>45866.54791666667</v>
      </c>
      <c r="F823" s="8">
        <f>IF(HOUR(Table1[[#This Row],[CORREO]])&gt;=11,WORKDAY(Table1[[#This Row],[CORREO]],1,Table2[Dias no laborales]),E823)</f>
        <v>45867</v>
      </c>
      <c r="G823" s="8">
        <v>45869</v>
      </c>
      <c r="H823" s="6">
        <f t="shared" si="24"/>
        <v>30</v>
      </c>
      <c r="I823" s="16">
        <f>MAX(1, NETWORKDAYS(A823, G823,Table2[Dias no laborales]))</f>
        <v>3</v>
      </c>
      <c r="J823" s="6" t="str">
        <f>IF(Table1[[#This Row],[FIN]]="","Acumulado",IF(ISNUMBER(SEARCH("ASAP",C823)),"ASAP",IF(NETWORKDAYS.INTL(F823,G823,1,Table2[Dias no laborales]) &lt;= 7, "Dentro", IF(A823&gt;F823,"Programado","Fuera"))))</f>
        <v>Dentro</v>
      </c>
      <c r="K823" s="6" t="str">
        <f t="shared" si="25"/>
        <v>A tiempo</v>
      </c>
      <c r="L823" s="9">
        <v>45867</v>
      </c>
      <c r="M823" s="17">
        <f>MAX(1,NETWORKDAYS(A823,L823,Table2[Dias no laborales]))</f>
        <v>1</v>
      </c>
    </row>
    <row r="824" spans="1:13" hidden="1" x14ac:dyDescent="0.3">
      <c r="A824" s="8">
        <v>45867</v>
      </c>
      <c r="B824" s="5" t="s">
        <v>1634</v>
      </c>
      <c r="C824" s="5" t="s">
        <v>1635</v>
      </c>
      <c r="D824" s="5" t="s">
        <v>449</v>
      </c>
      <c r="E824" s="14">
        <v>45867</v>
      </c>
      <c r="F824" s="8">
        <f>IF(HOUR(Table1[[#This Row],[CORREO]])&gt;=11,WORKDAY(Table1[[#This Row],[CORREO]],1,Table2[Dias no laborales]),E824)</f>
        <v>45867</v>
      </c>
      <c r="G824" s="8">
        <v>45867</v>
      </c>
      <c r="H824" s="6">
        <f t="shared" si="24"/>
        <v>30</v>
      </c>
      <c r="I824" s="16">
        <f>MAX(1, NETWORKDAYS(A824, G824,Table2[Dias no laborales]))</f>
        <v>1</v>
      </c>
      <c r="J824" s="6" t="str">
        <f>IF(Table1[[#This Row],[FIN]]="","Acumulado",IF(ISNUMBER(SEARCH("ASAP",C824)),"ASAP",IF(NETWORKDAYS.INTL(F824,G824,1,Table2[Dias no laborales]) &lt;= 7, "Dentro", IF(A824&gt;F824,"Programado","Fuera"))))</f>
        <v>Dentro</v>
      </c>
      <c r="K824" s="6" t="str">
        <f t="shared" si="25"/>
        <v>A tiempo</v>
      </c>
      <c r="L824" s="9">
        <v>45867</v>
      </c>
      <c r="M824" s="17">
        <f>MAX(1,NETWORKDAYS(A824,L824,Table2[Dias no laborales]))</f>
        <v>1</v>
      </c>
    </row>
    <row r="825" spans="1:13" hidden="1" x14ac:dyDescent="0.3">
      <c r="A825" s="8">
        <v>45867</v>
      </c>
      <c r="B825" s="6" t="s">
        <v>1689</v>
      </c>
      <c r="C825" s="6" t="s">
        <v>1690</v>
      </c>
      <c r="D825" s="6" t="s">
        <v>27</v>
      </c>
      <c r="E825" s="14">
        <v>45867.410416666666</v>
      </c>
      <c r="F825" s="8">
        <f>IF(HOUR(Table1[[#This Row],[CORREO]])&gt;=11,WORKDAY(Table1[[#This Row],[CORREO]],1,Table2[Dias no laborales]),E825)</f>
        <v>45867.410416666666</v>
      </c>
      <c r="G825" s="8">
        <v>45870</v>
      </c>
      <c r="H825" s="6">
        <f t="shared" si="24"/>
        <v>30</v>
      </c>
      <c r="I825" s="16">
        <f>MAX(1, NETWORKDAYS(A825, G825,Table2[Dias no laborales]))</f>
        <v>4</v>
      </c>
      <c r="J825" s="6" t="str">
        <f>IF(Table1[[#This Row],[FIN]]="","Acumulado",IF(ISNUMBER(SEARCH("ASAP",C825)),"ASAP",IF(NETWORKDAYS.INTL(F825,G825,1,Table2[Dias no laborales]) &lt;= 7, "Dentro", IF(A825&gt;F825,"Programado","Fuera"))))</f>
        <v>ASAP</v>
      </c>
      <c r="K825" s="6" t="str">
        <f t="shared" si="25"/>
        <v>A tiempo</v>
      </c>
      <c r="L825" s="9">
        <v>45867</v>
      </c>
      <c r="M825" s="17">
        <f>MAX(1,NETWORKDAYS(A825,L825,Table2[Dias no laborales]))</f>
        <v>1</v>
      </c>
    </row>
    <row r="826" spans="1:13" hidden="1" x14ac:dyDescent="0.3">
      <c r="A826" s="8">
        <v>45868</v>
      </c>
      <c r="B826" s="6" t="s">
        <v>1677</v>
      </c>
      <c r="C826" s="6" t="s">
        <v>1678</v>
      </c>
      <c r="D826" s="6" t="s">
        <v>24</v>
      </c>
      <c r="E826" s="14"/>
      <c r="F826" s="8">
        <f>IF(HOUR(Table1[[#This Row],[CORREO]])&gt;=11,WORKDAY(Table1[[#This Row],[CORREO]],1,Table2[Dias no laborales]),E826)</f>
        <v>0</v>
      </c>
      <c r="G826" s="8">
        <v>45870</v>
      </c>
      <c r="H826" s="6">
        <f t="shared" si="24"/>
        <v>31</v>
      </c>
      <c r="I826" s="16">
        <f>MAX(1, NETWORKDAYS(A826, G826,Table2[Dias no laborales]))</f>
        <v>3</v>
      </c>
      <c r="J826" s="6" t="str">
        <f>IF(Table1[[#This Row],[FIN]]="","Acumulado",IF(ISNUMBER(SEARCH("ASAP",C826)),"ASAP",IF(NETWORKDAYS.INTL(F826,G826,1,Table2[Dias no laborales]) &lt;= 7, "Dentro", IF(A826&gt;F826,"Programado","Fuera"))))</f>
        <v>Programado</v>
      </c>
      <c r="K826" s="6" t="str">
        <f t="shared" si="25"/>
        <v>Programados</v>
      </c>
      <c r="L826" s="9">
        <v>45868</v>
      </c>
      <c r="M826" s="17">
        <f>MAX(1,NETWORKDAYS(A826,L826,Table2[Dias no laborales]))</f>
        <v>1</v>
      </c>
    </row>
    <row r="827" spans="1:13" hidden="1" x14ac:dyDescent="0.3">
      <c r="A827" s="8">
        <v>45868</v>
      </c>
      <c r="B827" s="6" t="s">
        <v>1661</v>
      </c>
      <c r="C827" s="6" t="s">
        <v>1662</v>
      </c>
      <c r="D827" s="6" t="s">
        <v>24</v>
      </c>
      <c r="E827" s="14"/>
      <c r="F827" s="8">
        <f>IF(HOUR(Table1[[#This Row],[CORREO]])&gt;=11,WORKDAY(Table1[[#This Row],[CORREO]],1,Table2[Dias no laborales]),E827)</f>
        <v>0</v>
      </c>
      <c r="G827" s="8">
        <v>45953</v>
      </c>
      <c r="H827" s="6">
        <f t="shared" si="24"/>
        <v>31</v>
      </c>
      <c r="I827" s="16">
        <f>MAX(1, NETWORKDAYS(A827, G827,Table2[Dias no laborales]))</f>
        <v>62</v>
      </c>
      <c r="J827" s="6" t="str">
        <f>IF(Table1[[#This Row],[FIN]]="","Acumulado",IF(ISNUMBER(SEARCH("ASAP",C827)),"ASAP",IF(NETWORKDAYS.INTL(F827,G827,1,Table2[Dias no laborales]) &lt;= 7, "Dentro", IF(A827&gt;F827,"Programado","Fuera"))))</f>
        <v>Programado</v>
      </c>
      <c r="K827" s="6" t="str">
        <f t="shared" si="25"/>
        <v>Programados</v>
      </c>
      <c r="L827" s="9">
        <v>45868</v>
      </c>
      <c r="M827" s="17">
        <f>MAX(1,NETWORKDAYS(A827,L827,Table2[Dias no laborales]))</f>
        <v>1</v>
      </c>
    </row>
    <row r="828" spans="1:13" hidden="1" x14ac:dyDescent="0.3">
      <c r="A828" s="8">
        <v>45868</v>
      </c>
      <c r="B828" s="6" t="s">
        <v>1663</v>
      </c>
      <c r="C828" s="6" t="s">
        <v>1664</v>
      </c>
      <c r="D828" s="6" t="s">
        <v>24</v>
      </c>
      <c r="E828" s="14"/>
      <c r="F828" s="8">
        <f>IF(HOUR(Table1[[#This Row],[CORREO]])&gt;=11,WORKDAY(Table1[[#This Row],[CORREO]],1,Table2[Dias no laborales]),E828)</f>
        <v>0</v>
      </c>
      <c r="G828" s="8">
        <v>45890</v>
      </c>
      <c r="H828" s="6">
        <f t="shared" si="24"/>
        <v>31</v>
      </c>
      <c r="I828" s="16">
        <f>MAX(1, NETWORKDAYS(A828, G828,Table2[Dias no laborales]))</f>
        <v>17</v>
      </c>
      <c r="J828" s="6" t="str">
        <f>IF(Table1[[#This Row],[FIN]]="","Acumulado",IF(ISNUMBER(SEARCH("ASAP",C828)),"ASAP",IF(NETWORKDAYS.INTL(F828,G828,1,Table2[Dias no laborales]) &lt;= 7, "Dentro", IF(A828&gt;F828,"Programado","Fuera"))))</f>
        <v>Programado</v>
      </c>
      <c r="K828" s="6" t="str">
        <f t="shared" si="25"/>
        <v>Programados</v>
      </c>
      <c r="L828" s="9">
        <v>45869</v>
      </c>
      <c r="M828" s="17">
        <f>MAX(1,NETWORKDAYS(A828,L828,Table2[Dias no laborales]))</f>
        <v>2</v>
      </c>
    </row>
    <row r="829" spans="1:13" hidden="1" x14ac:dyDescent="0.3">
      <c r="A829" s="8">
        <v>45868</v>
      </c>
      <c r="B829" s="6" t="s">
        <v>1665</v>
      </c>
      <c r="C829" s="6" t="s">
        <v>1666</v>
      </c>
      <c r="D829" s="6" t="s">
        <v>24</v>
      </c>
      <c r="E829" s="14"/>
      <c r="F829" s="8">
        <f>IF(HOUR(Table1[[#This Row],[CORREO]])&gt;=11,WORKDAY(Table1[[#This Row],[CORREO]],1,Table2[Dias no laborales]),E829)</f>
        <v>0</v>
      </c>
      <c r="G829" s="8">
        <v>45911</v>
      </c>
      <c r="H829" s="6">
        <f t="shared" si="24"/>
        <v>31</v>
      </c>
      <c r="I829" s="16">
        <f>MAX(1, NETWORKDAYS(A829, G829,Table2[Dias no laborales]))</f>
        <v>32</v>
      </c>
      <c r="J829" s="6" t="str">
        <f>IF(Table1[[#This Row],[FIN]]="","Acumulado",IF(ISNUMBER(SEARCH("ASAP",C829)),"ASAP",IF(NETWORKDAYS.INTL(F829,G829,1,Table2[Dias no laborales]) &lt;= 7, "Dentro", IF(A829&gt;F829,"Programado","Fuera"))))</f>
        <v>Programado</v>
      </c>
      <c r="K829" s="6" t="str">
        <f t="shared" si="25"/>
        <v>Programados</v>
      </c>
      <c r="L829" s="9">
        <v>45869</v>
      </c>
      <c r="M829" s="17">
        <f>MAX(1,NETWORKDAYS(A829,L829,Table2[Dias no laborales]))</f>
        <v>2</v>
      </c>
    </row>
    <row r="830" spans="1:13" hidden="1" x14ac:dyDescent="0.3">
      <c r="A830" s="8">
        <v>45868</v>
      </c>
      <c r="B830" s="6" t="s">
        <v>1667</v>
      </c>
      <c r="C830" s="6" t="s">
        <v>1668</v>
      </c>
      <c r="D830" s="6" t="s">
        <v>24</v>
      </c>
      <c r="E830" s="14">
        <v>45863.600694444445</v>
      </c>
      <c r="F830" s="8">
        <f>IF(HOUR(Table1[[#This Row],[CORREO]])&gt;=11,WORKDAY(Table1[[#This Row],[CORREO]],1,Table2[Dias no laborales]),E830)</f>
        <v>45866</v>
      </c>
      <c r="G830" s="8">
        <v>45919</v>
      </c>
      <c r="H830" s="6">
        <f t="shared" si="24"/>
        <v>31</v>
      </c>
      <c r="I830" s="16">
        <f>MAX(1, NETWORKDAYS(A830, G830,Table2[Dias no laborales]))</f>
        <v>38</v>
      </c>
      <c r="J830" s="6" t="str">
        <f>IF(Table1[[#This Row],[FIN]]="","Acumulado",IF(ISNUMBER(SEARCH("ASAP",C830)),"ASAP",IF(NETWORKDAYS.INTL(F830,G830,1,Table2[Dias no laborales]) &lt;= 7, "Dentro", IF(A830&gt;F830,"Programado","Fuera"))))</f>
        <v>Programado</v>
      </c>
      <c r="K830" s="6" t="str">
        <f t="shared" si="25"/>
        <v>Programados</v>
      </c>
      <c r="L830" s="9">
        <v>45868</v>
      </c>
      <c r="M830" s="17">
        <f>MAX(1,NETWORKDAYS(A830,L830,Table2[Dias no laborales]))</f>
        <v>1</v>
      </c>
    </row>
    <row r="831" spans="1:13" hidden="1" x14ac:dyDescent="0.3">
      <c r="A831" s="8">
        <v>45868</v>
      </c>
      <c r="B831" s="5" t="s">
        <v>1642</v>
      </c>
      <c r="C831" s="5" t="s">
        <v>1643</v>
      </c>
      <c r="D831" s="5" t="s">
        <v>1644</v>
      </c>
      <c r="E831" s="14">
        <v>45867.469444444447</v>
      </c>
      <c r="F831" s="8">
        <f>IF(HOUR(Table1[[#This Row],[CORREO]])&gt;=11,WORKDAY(Table1[[#This Row],[CORREO]],1,Table2[Dias no laborales]),E831)</f>
        <v>45868</v>
      </c>
      <c r="G831" s="8">
        <v>45868</v>
      </c>
      <c r="H831" s="6">
        <f t="shared" si="24"/>
        <v>31</v>
      </c>
      <c r="I831" s="16">
        <f>MAX(1, NETWORKDAYS(A831, G831,Table2[Dias no laborales]))</f>
        <v>1</v>
      </c>
      <c r="J831" s="6" t="str">
        <f>IF(Table1[[#This Row],[FIN]]="","Acumulado",IF(ISNUMBER(SEARCH("ASAP",C831)),"ASAP",IF(NETWORKDAYS.INTL(F831,G831,1,Table2[Dias no laborales]) &lt;= 7, "Dentro", IF(A831&gt;F831,"Programado","Fuera"))))</f>
        <v>Dentro</v>
      </c>
      <c r="K831" s="6" t="str">
        <f t="shared" si="25"/>
        <v>A tiempo</v>
      </c>
      <c r="L831" s="9">
        <v>45868</v>
      </c>
      <c r="M831" s="17">
        <f>MAX(1,NETWORKDAYS(A831,L831,Table2[Dias no laborales]))</f>
        <v>1</v>
      </c>
    </row>
    <row r="832" spans="1:13" hidden="1" x14ac:dyDescent="0.3">
      <c r="A832" s="8">
        <v>45868</v>
      </c>
      <c r="B832" s="6" t="s">
        <v>1683</v>
      </c>
      <c r="C832" s="6" t="s">
        <v>1684</v>
      </c>
      <c r="D832" s="6" t="s">
        <v>24</v>
      </c>
      <c r="E832" s="14">
        <v>45867.488194444442</v>
      </c>
      <c r="F832" s="8">
        <f>IF(HOUR(Table1[[#This Row],[CORREO]])&gt;=11,WORKDAY(Table1[[#This Row],[CORREO]],1,Table2[Dias no laborales]),E832)</f>
        <v>45868</v>
      </c>
      <c r="G832" s="8">
        <v>45870</v>
      </c>
      <c r="H832" s="6">
        <f t="shared" si="24"/>
        <v>31</v>
      </c>
      <c r="I832" s="16">
        <f>MAX(1, NETWORKDAYS(A832, G832,Table2[Dias no laborales]))</f>
        <v>3</v>
      </c>
      <c r="J832" s="6" t="str">
        <f>IF(Table1[[#This Row],[FIN]]="","Acumulado",IF(ISNUMBER(SEARCH("ASAP",C832)),"ASAP",IF(NETWORKDAYS.INTL(F832,G832,1,Table2[Dias no laborales]) &lt;= 7, "Dentro", IF(A832&gt;F832,"Programado","Fuera"))))</f>
        <v>Dentro</v>
      </c>
      <c r="K832" s="6" t="str">
        <f t="shared" si="25"/>
        <v>A tiempo</v>
      </c>
      <c r="L832" s="9">
        <v>45868</v>
      </c>
      <c r="M832" s="17">
        <f>MAX(1,NETWORKDAYS(A832,L832,Table2[Dias no laborales]))</f>
        <v>1</v>
      </c>
    </row>
    <row r="833" spans="1:13" hidden="1" x14ac:dyDescent="0.3">
      <c r="A833" s="8">
        <v>45868</v>
      </c>
      <c r="B833" s="6" t="s">
        <v>1681</v>
      </c>
      <c r="C833" s="6" t="s">
        <v>1682</v>
      </c>
      <c r="D833" s="6" t="s">
        <v>24</v>
      </c>
      <c r="E833" s="14">
        <v>45867.488194444442</v>
      </c>
      <c r="F833" s="8">
        <f>IF(HOUR(Table1[[#This Row],[CORREO]])&gt;=11,WORKDAY(Table1[[#This Row],[CORREO]],1,Table2[Dias no laborales]),E833)</f>
        <v>45868</v>
      </c>
      <c r="G833" s="8">
        <v>45870</v>
      </c>
      <c r="H833" s="6">
        <f t="shared" si="24"/>
        <v>31</v>
      </c>
      <c r="I833" s="16">
        <f>MAX(1, NETWORKDAYS(A833, G833,Table2[Dias no laborales]))</f>
        <v>3</v>
      </c>
      <c r="J833" s="6" t="str">
        <f>IF(Table1[[#This Row],[FIN]]="","Acumulado",IF(ISNUMBER(SEARCH("ASAP",C833)),"ASAP",IF(NETWORKDAYS.INTL(F833,G833,1,Table2[Dias no laborales]) &lt;= 7, "Dentro", IF(A833&gt;F833,"Programado","Fuera"))))</f>
        <v>Dentro</v>
      </c>
      <c r="K833" s="6" t="str">
        <f t="shared" si="25"/>
        <v>A tiempo</v>
      </c>
      <c r="L833" s="9">
        <v>45868</v>
      </c>
      <c r="M833" s="17">
        <f>MAX(1,NETWORKDAYS(A833,L833,Table2[Dias no laborales]))</f>
        <v>1</v>
      </c>
    </row>
    <row r="834" spans="1:13" hidden="1" x14ac:dyDescent="0.3">
      <c r="A834" s="8">
        <v>45868</v>
      </c>
      <c r="B834" s="6" t="s">
        <v>1669</v>
      </c>
      <c r="C834" s="6" t="s">
        <v>1670</v>
      </c>
      <c r="D834" s="6" t="s">
        <v>24</v>
      </c>
      <c r="E834" s="14"/>
      <c r="F834" s="8">
        <f>IF(HOUR(Table1[[#This Row],[CORREO]])&gt;=11,WORKDAY(Table1[[#This Row],[CORREO]],1,Table2[Dias no laborales]),E834)</f>
        <v>0</v>
      </c>
      <c r="G834" s="8">
        <v>46122</v>
      </c>
      <c r="H834" s="6">
        <f t="shared" ref="H834:H897" si="26">INT((A834-DATE(YEAR(A834),1,1))/7) + 1</f>
        <v>31</v>
      </c>
      <c r="I834" s="16">
        <f>MAX(1, NETWORKDAYS(A834, G834,Table2[Dias no laborales]))</f>
        <v>174</v>
      </c>
      <c r="J834" s="6" t="str">
        <f>IF(Table1[[#This Row],[FIN]]="","Acumulado",IF(ISNUMBER(SEARCH("ASAP",C834)),"ASAP",IF(NETWORKDAYS.INTL(F834,G834,1,Table2[Dias no laborales]) &lt;= 7, "Dentro", IF(A834&gt;F834,"Programado","Fuera"))))</f>
        <v>Programado</v>
      </c>
      <c r="K834" s="6" t="str">
        <f t="shared" ref="K834:K897" si="27">IF(INT(A834)=INT(F834),"A tiempo", IF(A834&lt;F834,"Mismo día","Programados"))</f>
        <v>Programados</v>
      </c>
      <c r="L834" s="9">
        <v>45868</v>
      </c>
      <c r="M834" s="17">
        <f>MAX(1,NETWORKDAYS(A834,L834,Table2[Dias no laborales]))</f>
        <v>1</v>
      </c>
    </row>
    <row r="835" spans="1:13" hidden="1" x14ac:dyDescent="0.3">
      <c r="A835" s="8">
        <v>45868</v>
      </c>
      <c r="B835" s="6" t="s">
        <v>1679</v>
      </c>
      <c r="C835" s="6" t="s">
        <v>1680</v>
      </c>
      <c r="D835" s="6" t="s">
        <v>24</v>
      </c>
      <c r="E835" s="14">
        <v>45867.656944444447</v>
      </c>
      <c r="F835" s="8">
        <f>IF(HOUR(Table1[[#This Row],[CORREO]])&gt;=11,WORKDAY(Table1[[#This Row],[CORREO]],1,Table2[Dias no laborales]),E835)</f>
        <v>45868</v>
      </c>
      <c r="G835" s="8">
        <v>45870</v>
      </c>
      <c r="H835" s="6">
        <f t="shared" si="26"/>
        <v>31</v>
      </c>
      <c r="I835" s="16">
        <f>MAX(1, NETWORKDAYS(A835, G835,Table2[Dias no laborales]))</f>
        <v>3</v>
      </c>
      <c r="J835" s="6" t="str">
        <f>IF(Table1[[#This Row],[FIN]]="","Acumulado",IF(ISNUMBER(SEARCH("ASAP",C835)),"ASAP",IF(NETWORKDAYS.INTL(F835,G835,1,Table2[Dias no laborales]) &lt;= 7, "Dentro", IF(A835&gt;F835,"Programado","Fuera"))))</f>
        <v>Dentro</v>
      </c>
      <c r="K835" s="6" t="str">
        <f t="shared" si="27"/>
        <v>A tiempo</v>
      </c>
      <c r="L835" s="9">
        <v>45868</v>
      </c>
      <c r="M835" s="17">
        <f>MAX(1,NETWORKDAYS(A835,L835,Table2[Dias no laborales]))</f>
        <v>1</v>
      </c>
    </row>
    <row r="836" spans="1:13" hidden="1" x14ac:dyDescent="0.3">
      <c r="A836" s="8">
        <v>45868</v>
      </c>
      <c r="B836" s="6" t="s">
        <v>1731</v>
      </c>
      <c r="C836" s="6" t="s">
        <v>1732</v>
      </c>
      <c r="D836" s="6" t="s">
        <v>308</v>
      </c>
      <c r="E836" s="14">
        <v>45867.728472222225</v>
      </c>
      <c r="F836" s="8">
        <f>IF(HOUR(Table1[[#This Row],[CORREO]])&gt;=11,WORKDAY(Table1[[#This Row],[CORREO]],1,Table2[Dias no laborales]),E836)</f>
        <v>45868</v>
      </c>
      <c r="G836" s="8">
        <v>45877</v>
      </c>
      <c r="H836" s="6">
        <f t="shared" si="26"/>
        <v>31</v>
      </c>
      <c r="I836" s="16">
        <f>MAX(1, NETWORKDAYS(A836, G836,Table2[Dias no laborales]))</f>
        <v>8</v>
      </c>
      <c r="J836" s="6" t="str">
        <f>IF(Table1[[#This Row],[FIN]]="","Acumulado",IF(ISNUMBER(SEARCH("ASAP",C836)),"ASAP",IF(NETWORKDAYS.INTL(F836,G836,1,Table2[Dias no laborales]) &lt;= 7, "Dentro", IF(A836&gt;F836,"Programado","Fuera"))))</f>
        <v>Fuera</v>
      </c>
      <c r="K836" s="6" t="str">
        <f t="shared" si="27"/>
        <v>A tiempo</v>
      </c>
      <c r="L836" s="9">
        <v>45868</v>
      </c>
      <c r="M836" s="17">
        <f>MAX(1,NETWORKDAYS(A836,L836,Table2[Dias no laborales]))</f>
        <v>1</v>
      </c>
    </row>
    <row r="837" spans="1:13" hidden="1" x14ac:dyDescent="0.3">
      <c r="A837" s="8">
        <v>45869</v>
      </c>
      <c r="B837" s="6" t="s">
        <v>1671</v>
      </c>
      <c r="C837" s="6" t="s">
        <v>1672</v>
      </c>
      <c r="D837" s="6" t="s">
        <v>139</v>
      </c>
      <c r="E837" s="14">
        <v>45868.374305555553</v>
      </c>
      <c r="F837" s="8">
        <f>IF(HOUR(Table1[[#This Row],[CORREO]])&gt;=11,WORKDAY(Table1[[#This Row],[CORREO]],1,Table2[Dias no laborales]),E837)</f>
        <v>45868.374305555553</v>
      </c>
      <c r="G837" s="8">
        <v>46122</v>
      </c>
      <c r="H837" s="6">
        <f t="shared" si="26"/>
        <v>31</v>
      </c>
      <c r="I837" s="16">
        <f>MAX(1, NETWORKDAYS(A837, G837,Table2[Dias no laborales]))</f>
        <v>173</v>
      </c>
      <c r="J837" s="6" t="str">
        <f>IF(Table1[[#This Row],[FIN]]="","Acumulado",IF(ISNUMBER(SEARCH("ASAP",C837)),"ASAP",IF(NETWORKDAYS.INTL(F837,G837,1,Table2[Dias no laborales]) &lt;= 7, "Dentro", IF(A837&gt;F837,"Programado","Fuera"))))</f>
        <v>Programado</v>
      </c>
      <c r="K837" s="6" t="str">
        <f t="shared" si="27"/>
        <v>Programados</v>
      </c>
      <c r="L837" s="9">
        <v>45868</v>
      </c>
      <c r="M837" s="17">
        <f>MAX(1,NETWORKDAYS(A837,L837,Table2[Dias no laborales]))</f>
        <v>1</v>
      </c>
    </row>
    <row r="838" spans="1:13" hidden="1" x14ac:dyDescent="0.3">
      <c r="A838" s="8">
        <v>45868</v>
      </c>
      <c r="B838" s="6" t="s">
        <v>1673</v>
      </c>
      <c r="C838" s="6" t="s">
        <v>1674</v>
      </c>
      <c r="D838" s="6" t="s">
        <v>1675</v>
      </c>
      <c r="E838" s="14">
        <v>45868.418749999997</v>
      </c>
      <c r="F838" s="8">
        <f>IF(HOUR(Table1[[#This Row],[CORREO]])&gt;=11,WORKDAY(Table1[[#This Row],[CORREO]],1,Table2[Dias no laborales]),E838)</f>
        <v>45868.418749999997</v>
      </c>
      <c r="G838" s="8">
        <v>45895</v>
      </c>
      <c r="H838" s="6">
        <f t="shared" si="26"/>
        <v>31</v>
      </c>
      <c r="I838" s="16">
        <f>MAX(1, NETWORKDAYS(A838, G838,Table2[Dias no laborales]))</f>
        <v>20</v>
      </c>
      <c r="J838" s="6" t="str">
        <f>IF(Table1[[#This Row],[FIN]]="","Acumulado",IF(ISNUMBER(SEARCH("ASAP",C838)),"ASAP",IF(NETWORKDAYS.INTL(F838,G838,1,Table2[Dias no laborales]) &lt;= 7, "Dentro", IF(A838&gt;F838,"Programado","Fuera"))))</f>
        <v>Fuera</v>
      </c>
      <c r="K838" s="6" t="str">
        <f t="shared" si="27"/>
        <v>A tiempo</v>
      </c>
      <c r="L838" s="9">
        <v>45869</v>
      </c>
      <c r="M838" s="17">
        <f>MAX(1,NETWORKDAYS(A838,L838,Table2[Dias no laborales]))</f>
        <v>2</v>
      </c>
    </row>
    <row r="839" spans="1:13" hidden="1" x14ac:dyDescent="0.3">
      <c r="A839" s="8">
        <v>45870</v>
      </c>
      <c r="B839" s="6" t="s">
        <v>1701</v>
      </c>
      <c r="C839" s="6" t="s">
        <v>1702</v>
      </c>
      <c r="D839" s="6" t="s">
        <v>24</v>
      </c>
      <c r="E839" s="14">
        <v>45867.488194444442</v>
      </c>
      <c r="F839" s="8">
        <f>IF(HOUR(Table1[[#This Row],[CORREO]])&gt;=11,WORKDAY(Table1[[#This Row],[CORREO]],1,Table2[Dias no laborales]),E839)</f>
        <v>45868</v>
      </c>
      <c r="G839" s="8">
        <v>45875</v>
      </c>
      <c r="H839" s="6">
        <f t="shared" si="26"/>
        <v>31</v>
      </c>
      <c r="I839" s="16">
        <f>MAX(1, NETWORKDAYS(A839, G839,Table2[Dias no laborales]))</f>
        <v>4</v>
      </c>
      <c r="J839" s="6" t="str">
        <f>IF(Table1[[#This Row],[FIN]]="","Acumulado",IF(ISNUMBER(SEARCH("ASAP",C839)),"ASAP",IF(NETWORKDAYS.INTL(F839,G839,1,Table2[Dias no laborales]) &lt;= 7, "Dentro", IF(A839&gt;F839,"Programado","Fuera"))))</f>
        <v>Dentro</v>
      </c>
      <c r="K839" s="6" t="str">
        <f t="shared" si="27"/>
        <v>Programados</v>
      </c>
      <c r="L839" s="9">
        <v>45868</v>
      </c>
      <c r="M839" s="17">
        <f>MAX(1,NETWORKDAYS(A839,L839,Table2[Dias no laborales]))</f>
        <v>1</v>
      </c>
    </row>
    <row r="840" spans="1:13" hidden="1" x14ac:dyDescent="0.3">
      <c r="A840" s="8">
        <v>45869</v>
      </c>
      <c r="B840" s="6" t="s">
        <v>1703</v>
      </c>
      <c r="C840" s="6" t="s">
        <v>1704</v>
      </c>
      <c r="D840" s="6" t="s">
        <v>89</v>
      </c>
      <c r="E840" s="14">
        <v>45869.306944444441</v>
      </c>
      <c r="F840" s="8">
        <f>IF(HOUR(Table1[[#This Row],[CORREO]])&gt;=11,WORKDAY(Table1[[#This Row],[CORREO]],1,Table2[Dias no laborales]),E840)</f>
        <v>45869.306944444441</v>
      </c>
      <c r="G840" s="8">
        <v>45875</v>
      </c>
      <c r="H840" s="6">
        <f t="shared" si="26"/>
        <v>31</v>
      </c>
      <c r="I840" s="16">
        <f>MAX(1, NETWORKDAYS(A840, G840,Table2[Dias no laborales]))</f>
        <v>5</v>
      </c>
      <c r="J840" s="6" t="str">
        <f>IF(Table1[[#This Row],[FIN]]="","Acumulado",IF(ISNUMBER(SEARCH("ASAP",C840)),"ASAP",IF(NETWORKDAYS.INTL(F840,G840,1,Table2[Dias no laborales]) &lt;= 7, "Dentro", IF(A840&gt;F840,"Programado","Fuera"))))</f>
        <v>Dentro</v>
      </c>
      <c r="K840" s="6" t="str">
        <f t="shared" si="27"/>
        <v>A tiempo</v>
      </c>
      <c r="L840" s="9">
        <v>45869</v>
      </c>
      <c r="M840" s="17">
        <f>MAX(1,NETWORKDAYS(A840,L840,Table2[Dias no laborales]))</f>
        <v>1</v>
      </c>
    </row>
    <row r="841" spans="1:13" hidden="1" x14ac:dyDescent="0.3">
      <c r="A841" s="8">
        <v>45870</v>
      </c>
      <c r="B841" s="6" t="s">
        <v>1705</v>
      </c>
      <c r="C841" s="6" t="s">
        <v>893</v>
      </c>
      <c r="D841" s="6" t="s">
        <v>139</v>
      </c>
      <c r="E841" s="14">
        <v>45869.621527777781</v>
      </c>
      <c r="F841" s="8">
        <f>IF(HOUR(Table1[[#This Row],[CORREO]])&gt;=11,WORKDAY(Table1[[#This Row],[CORREO]],1,Table2[Dias no laborales]),E841)</f>
        <v>45870</v>
      </c>
      <c r="G841" s="8">
        <v>45875</v>
      </c>
      <c r="H841" s="6">
        <f t="shared" si="26"/>
        <v>31</v>
      </c>
      <c r="I841" s="16">
        <f>MAX(1, NETWORKDAYS(A841, G841,Table2[Dias no laborales]))</f>
        <v>4</v>
      </c>
      <c r="J841" s="6" t="str">
        <f>IF(Table1[[#This Row],[FIN]]="","Acumulado",IF(ISNUMBER(SEARCH("ASAP",C841)),"ASAP",IF(NETWORKDAYS.INTL(F841,G841,1,Table2[Dias no laborales]) &lt;= 7, "Dentro", IF(A841&gt;F841,"Programado","Fuera"))))</f>
        <v>Dentro</v>
      </c>
      <c r="K841" s="6" t="str">
        <f t="shared" si="27"/>
        <v>A tiempo</v>
      </c>
      <c r="L841" s="9">
        <v>45870</v>
      </c>
      <c r="M841" s="17">
        <f>MAX(1,NETWORKDAYS(A841,L841,Table2[Dias no laborales]))</f>
        <v>1</v>
      </c>
    </row>
    <row r="842" spans="1:13" hidden="1" x14ac:dyDescent="0.3">
      <c r="A842" s="8">
        <v>45870</v>
      </c>
      <c r="B842" s="6" t="s">
        <v>1691</v>
      </c>
      <c r="C842" s="6" t="s">
        <v>1692</v>
      </c>
      <c r="D842" s="6" t="s">
        <v>411</v>
      </c>
      <c r="E842" s="14">
        <v>45869.644444444442</v>
      </c>
      <c r="F842" s="8">
        <f>IF(HOUR(Table1[[#This Row],[CORREO]])&gt;=11,WORKDAY(Table1[[#This Row],[CORREO]],1,Table2[Dias no laborales]),E842)</f>
        <v>45870</v>
      </c>
      <c r="G842" s="8">
        <v>45873</v>
      </c>
      <c r="H842" s="6">
        <f t="shared" si="26"/>
        <v>31</v>
      </c>
      <c r="I842" s="16">
        <f>MAX(1, NETWORKDAYS(A842, G842,Table2[Dias no laborales]))</f>
        <v>2</v>
      </c>
      <c r="J842" s="6" t="str">
        <f>IF(Table1[[#This Row],[FIN]]="","Acumulado",IF(ISNUMBER(SEARCH("ASAP",C842)),"ASAP",IF(NETWORKDAYS.INTL(F842,G842,1,Table2[Dias no laborales]) &lt;= 7, "Dentro", IF(A842&gt;F842,"Programado","Fuera"))))</f>
        <v>Dentro</v>
      </c>
      <c r="K842" s="6" t="str">
        <f t="shared" si="27"/>
        <v>A tiempo</v>
      </c>
      <c r="L842" s="9">
        <v>45870</v>
      </c>
      <c r="M842" s="17">
        <f>MAX(1,NETWORKDAYS(A842,L842,Table2[Dias no laborales]))</f>
        <v>1</v>
      </c>
    </row>
    <row r="843" spans="1:13" hidden="1" x14ac:dyDescent="0.3">
      <c r="A843" s="8">
        <v>45873</v>
      </c>
      <c r="B843" s="6" t="s">
        <v>1722</v>
      </c>
      <c r="C843" s="6" t="s">
        <v>1723</v>
      </c>
      <c r="D843" s="6" t="s">
        <v>24</v>
      </c>
      <c r="E843" s="14"/>
      <c r="F843" s="8">
        <f>IF(HOUR(Table1[[#This Row],[CORREO]])&gt;=11,WORKDAY(Table1[[#This Row],[CORREO]],1,Table2[Dias no laborales]),E843)</f>
        <v>0</v>
      </c>
      <c r="G843" s="8">
        <v>45877</v>
      </c>
      <c r="H843" s="6">
        <f t="shared" si="26"/>
        <v>31</v>
      </c>
      <c r="I843" s="16">
        <f>MAX(1, NETWORKDAYS(A843, G843,Table2[Dias no laborales]))</f>
        <v>5</v>
      </c>
      <c r="J843" s="6" t="str">
        <f>IF(Table1[[#This Row],[FIN]]="","Acumulado",IF(ISNUMBER(SEARCH("ASAP",C843)),"ASAP",IF(NETWORKDAYS.INTL(F843,G843,1,Table2[Dias no laborales]) &lt;= 7, "Dentro", IF(A843&gt;F843,"Programado","Fuera"))))</f>
        <v>Programado</v>
      </c>
      <c r="K843" s="6" t="str">
        <f t="shared" si="27"/>
        <v>Programados</v>
      </c>
      <c r="L843" s="9">
        <v>45873</v>
      </c>
      <c r="M843" s="17">
        <f>MAX(1,NETWORKDAYS(A843,L843,Table2[Dias no laborales]))</f>
        <v>1</v>
      </c>
    </row>
    <row r="844" spans="1:13" hidden="1" x14ac:dyDescent="0.3">
      <c r="A844" s="8">
        <v>45873</v>
      </c>
      <c r="B844" s="6" t="s">
        <v>1693</v>
      </c>
      <c r="C844" s="6" t="s">
        <v>1694</v>
      </c>
      <c r="D844" s="6" t="s">
        <v>162</v>
      </c>
      <c r="E844" s="14"/>
      <c r="F844" s="8">
        <f>IF(HOUR(Table1[[#This Row],[CORREO]])&gt;=11,WORKDAY(Table1[[#This Row],[CORREO]],1,Table2[Dias no laborales]),E844)</f>
        <v>0</v>
      </c>
      <c r="G844" s="8">
        <v>45873</v>
      </c>
      <c r="H844" s="6">
        <f t="shared" si="26"/>
        <v>31</v>
      </c>
      <c r="I844" s="16">
        <f>MAX(1, NETWORKDAYS(A844, G844,Table2[Dias no laborales]))</f>
        <v>1</v>
      </c>
      <c r="J844" s="6" t="str">
        <f>IF(Table1[[#This Row],[FIN]]="","Acumulado",IF(ISNUMBER(SEARCH("ASAP",C844)),"ASAP",IF(NETWORKDAYS.INTL(F844,G844,1,Table2[Dias no laborales]) &lt;= 7, "Dentro", IF(A844&gt;F844,"Programado","Fuera"))))</f>
        <v>Programado</v>
      </c>
      <c r="K844" s="6" t="str">
        <f t="shared" si="27"/>
        <v>Programados</v>
      </c>
      <c r="L844" s="9">
        <v>45873</v>
      </c>
      <c r="M844" s="17">
        <f>MAX(1,NETWORKDAYS(A844,L844,Table2[Dias no laborales]))</f>
        <v>1</v>
      </c>
    </row>
    <row r="845" spans="1:13" hidden="1" x14ac:dyDescent="0.3">
      <c r="A845" s="8">
        <v>45873</v>
      </c>
      <c r="B845" s="6" t="s">
        <v>1776</v>
      </c>
      <c r="C845" s="6" t="s">
        <v>1777</v>
      </c>
      <c r="D845" s="6" t="s">
        <v>27</v>
      </c>
      <c r="E845" s="14"/>
      <c r="F845" s="8">
        <f>IF(HOUR(Table1[[#This Row],[CORREO]])&gt;=11,WORKDAY(Table1[[#This Row],[CORREO]],1,Table2[Dias no laborales]),E845)</f>
        <v>0</v>
      </c>
      <c r="G845" s="8">
        <v>45887</v>
      </c>
      <c r="H845" s="6">
        <f t="shared" si="26"/>
        <v>31</v>
      </c>
      <c r="I845" s="16">
        <f>MAX(1, NETWORKDAYS(A845, G845,Table2[Dias no laborales]))</f>
        <v>11</v>
      </c>
      <c r="J845" s="6" t="str">
        <f>IF(Table1[[#This Row],[FIN]]="","Acumulado",IF(ISNUMBER(SEARCH("ASAP",C845)),"ASAP",IF(NETWORKDAYS.INTL(F845,G845,1,Table2[Dias no laborales]) &lt;= 7, "Dentro", IF(A845&gt;F845,"Programado","Fuera"))))</f>
        <v>Programado</v>
      </c>
      <c r="K845" s="6" t="str">
        <f t="shared" si="27"/>
        <v>Programados</v>
      </c>
      <c r="L845" s="9">
        <v>45873</v>
      </c>
      <c r="M845" s="17">
        <f>MAX(1,NETWORKDAYS(A845,L845,Table2[Dias no laborales]))</f>
        <v>1</v>
      </c>
    </row>
    <row r="846" spans="1:13" hidden="1" x14ac:dyDescent="0.3">
      <c r="A846" s="8">
        <v>45873</v>
      </c>
      <c r="B846" s="6" t="s">
        <v>1778</v>
      </c>
      <c r="C846" s="6" t="s">
        <v>1779</v>
      </c>
      <c r="D846" s="6" t="s">
        <v>27</v>
      </c>
      <c r="E846" s="14"/>
      <c r="F846" s="8">
        <f>IF(HOUR(Table1[[#This Row],[CORREO]])&gt;=11,WORKDAY(Table1[[#This Row],[CORREO]],1,Table2[Dias no laborales]),E846)</f>
        <v>0</v>
      </c>
      <c r="G846" s="8">
        <v>45887</v>
      </c>
      <c r="H846" s="6">
        <f t="shared" si="26"/>
        <v>31</v>
      </c>
      <c r="I846" s="16">
        <f>MAX(1, NETWORKDAYS(A846, G846,Table2[Dias no laborales]))</f>
        <v>11</v>
      </c>
      <c r="J846" s="6" t="str">
        <f>IF(Table1[[#This Row],[FIN]]="","Acumulado",IF(ISNUMBER(SEARCH("ASAP",C846)),"ASAP",IF(NETWORKDAYS.INTL(F846,G846,1,Table2[Dias no laborales]) &lt;= 7, "Dentro", IF(A846&gt;F846,"Programado","Fuera"))))</f>
        <v>Programado</v>
      </c>
      <c r="K846" s="6" t="str">
        <f t="shared" si="27"/>
        <v>Programados</v>
      </c>
      <c r="L846" s="9">
        <v>45873</v>
      </c>
      <c r="M846" s="17">
        <f>MAX(1,NETWORKDAYS(A846,L846,Table2[Dias no laborales]))</f>
        <v>1</v>
      </c>
    </row>
    <row r="847" spans="1:13" hidden="1" x14ac:dyDescent="0.3">
      <c r="A847" s="8">
        <v>45873</v>
      </c>
      <c r="B847" s="6" t="s">
        <v>1780</v>
      </c>
      <c r="C847" s="6" t="s">
        <v>1781</v>
      </c>
      <c r="D847" s="6" t="s">
        <v>27</v>
      </c>
      <c r="E847" s="14"/>
      <c r="F847" s="8">
        <f>IF(HOUR(Table1[[#This Row],[CORREO]])&gt;=11,WORKDAY(Table1[[#This Row],[CORREO]],1,Table2[Dias no laborales]),E847)</f>
        <v>0</v>
      </c>
      <c r="G847" s="8">
        <v>45887</v>
      </c>
      <c r="H847" s="6">
        <f t="shared" si="26"/>
        <v>31</v>
      </c>
      <c r="I847" s="16">
        <f>MAX(1, NETWORKDAYS(A847, G847,Table2[Dias no laborales]))</f>
        <v>11</v>
      </c>
      <c r="J847" s="6" t="str">
        <f>IF(Table1[[#This Row],[FIN]]="","Acumulado",IF(ISNUMBER(SEARCH("ASAP",C847)),"ASAP",IF(NETWORKDAYS.INTL(F847,G847,1,Table2[Dias no laborales]) &lt;= 7, "Dentro", IF(A847&gt;F847,"Programado","Fuera"))))</f>
        <v>Programado</v>
      </c>
      <c r="K847" s="6" t="str">
        <f t="shared" si="27"/>
        <v>Programados</v>
      </c>
      <c r="L847" s="9">
        <v>45873</v>
      </c>
      <c r="M847" s="17">
        <f>MAX(1,NETWORKDAYS(A847,L847,Table2[Dias no laborales]))</f>
        <v>1</v>
      </c>
    </row>
    <row r="848" spans="1:13" hidden="1" x14ac:dyDescent="0.3">
      <c r="A848" s="8">
        <v>45873</v>
      </c>
      <c r="B848" s="6" t="s">
        <v>1782</v>
      </c>
      <c r="C848" s="6" t="s">
        <v>1783</v>
      </c>
      <c r="D848" s="6" t="s">
        <v>27</v>
      </c>
      <c r="E848" s="14"/>
      <c r="F848" s="8">
        <f>IF(HOUR(Table1[[#This Row],[CORREO]])&gt;=11,WORKDAY(Table1[[#This Row],[CORREO]],1,Table2[Dias no laborales]),E848)</f>
        <v>0</v>
      </c>
      <c r="G848" s="8">
        <v>45887</v>
      </c>
      <c r="H848" s="6">
        <f t="shared" si="26"/>
        <v>31</v>
      </c>
      <c r="I848" s="16">
        <f>MAX(1, NETWORKDAYS(A848, G848,Table2[Dias no laborales]))</f>
        <v>11</v>
      </c>
      <c r="J848" s="6" t="str">
        <f>IF(Table1[[#This Row],[FIN]]="","Acumulado",IF(ISNUMBER(SEARCH("ASAP",C848)),"ASAP",IF(NETWORKDAYS.INTL(F848,G848,1,Table2[Dias no laborales]) &lt;= 7, "Dentro", IF(A848&gt;F848,"Programado","Fuera"))))</f>
        <v>Programado</v>
      </c>
      <c r="K848" s="6" t="str">
        <f t="shared" si="27"/>
        <v>Programados</v>
      </c>
      <c r="L848" s="9">
        <v>45873</v>
      </c>
      <c r="M848" s="17">
        <f>MAX(1,NETWORKDAYS(A848,L848,Table2[Dias no laborales]))</f>
        <v>1</v>
      </c>
    </row>
    <row r="849" spans="1:13" hidden="1" x14ac:dyDescent="0.3">
      <c r="A849" s="8">
        <v>45873</v>
      </c>
      <c r="B849" s="6" t="s">
        <v>1784</v>
      </c>
      <c r="C849" s="6" t="s">
        <v>1785</v>
      </c>
      <c r="D849" s="6" t="s">
        <v>27</v>
      </c>
      <c r="E849" s="14"/>
      <c r="F849" s="8">
        <f>IF(HOUR(Table1[[#This Row],[CORREO]])&gt;=11,WORKDAY(Table1[[#This Row],[CORREO]],1,Table2[Dias no laborales]),E849)</f>
        <v>0</v>
      </c>
      <c r="G849" s="8">
        <v>45887</v>
      </c>
      <c r="H849" s="6">
        <f t="shared" si="26"/>
        <v>31</v>
      </c>
      <c r="I849" s="16">
        <f>MAX(1, NETWORKDAYS(A849, G849,Table2[Dias no laborales]))</f>
        <v>11</v>
      </c>
      <c r="J849" s="6" t="str">
        <f>IF(Table1[[#This Row],[FIN]]="","Acumulado",IF(ISNUMBER(SEARCH("ASAP",C849)),"ASAP",IF(NETWORKDAYS.INTL(F849,G849,1,Table2[Dias no laborales]) &lt;= 7, "Dentro", IF(A849&gt;F849,"Programado","Fuera"))))</f>
        <v>Programado</v>
      </c>
      <c r="K849" s="6" t="str">
        <f t="shared" si="27"/>
        <v>Programados</v>
      </c>
      <c r="L849" s="9">
        <v>45873</v>
      </c>
      <c r="M849" s="17">
        <f>MAX(1,NETWORKDAYS(A849,L849,Table2[Dias no laborales]))</f>
        <v>1</v>
      </c>
    </row>
    <row r="850" spans="1:13" hidden="1" x14ac:dyDescent="0.3">
      <c r="A850" s="8">
        <v>45873</v>
      </c>
      <c r="B850" s="6" t="s">
        <v>1695</v>
      </c>
      <c r="C850" s="6" t="s">
        <v>1696</v>
      </c>
      <c r="D850" s="6" t="s">
        <v>61</v>
      </c>
      <c r="E850" s="14">
        <v>45873.461111111108</v>
      </c>
      <c r="F850" s="8">
        <f>IF(HOUR(Table1[[#This Row],[CORREO]])&gt;=11,WORKDAY(Table1[[#This Row],[CORREO]],1,Table2[Dias no laborales]),E850)</f>
        <v>45874</v>
      </c>
      <c r="G850" s="8">
        <v>45873</v>
      </c>
      <c r="H850" s="6">
        <f t="shared" si="26"/>
        <v>31</v>
      </c>
      <c r="I850" s="16">
        <f>MAX(1, NETWORKDAYS(A850, G850,Table2[Dias no laborales]))</f>
        <v>1</v>
      </c>
      <c r="J850" s="6" t="str">
        <f>IF(Table1[[#This Row],[FIN]]="","Acumulado",IF(ISNUMBER(SEARCH("ASAP",C850)),"ASAP",IF(NETWORKDAYS.INTL(F850,G850,1,Table2[Dias no laborales]) &lt;= 7, "Dentro", IF(A850&gt;F850,"Programado","Fuera"))))</f>
        <v>Dentro</v>
      </c>
      <c r="K850" s="6" t="str">
        <f t="shared" si="27"/>
        <v>Mismo día</v>
      </c>
      <c r="L850" s="9">
        <v>45873</v>
      </c>
      <c r="M850" s="17">
        <f>MAX(1,NETWORKDAYS(A850,L850,Table2[Dias no laborales]))</f>
        <v>1</v>
      </c>
    </row>
    <row r="851" spans="1:13" hidden="1" x14ac:dyDescent="0.3">
      <c r="A851" s="8">
        <v>45877</v>
      </c>
      <c r="B851" s="6" t="s">
        <v>2046</v>
      </c>
      <c r="C851" s="6" t="s">
        <v>2047</v>
      </c>
      <c r="D851" s="6" t="s">
        <v>186</v>
      </c>
      <c r="E851" s="14">
        <v>45870.570138888892</v>
      </c>
      <c r="F851" s="8">
        <f>IF(HOUR(Table1[[#This Row],[CORREO]])&gt;=11,WORKDAY(Table1[[#This Row],[CORREO]],1,Table2[Dias no laborales]),E851)</f>
        <v>45873</v>
      </c>
      <c r="G851" s="8">
        <v>45924</v>
      </c>
      <c r="H851" s="6">
        <f t="shared" si="26"/>
        <v>32</v>
      </c>
      <c r="I851" s="16">
        <f>MAX(1, NETWORKDAYS(A851, G851,Table2[Dias no laborales]))</f>
        <v>34</v>
      </c>
      <c r="J851" s="6" t="str">
        <f>IF(Table1[[#This Row],[FIN]]="","Acumulado",IF(ISNUMBER(SEARCH("ASAP",C851)),"ASAP",IF(NETWORKDAYS.INTL(F851,G851,1,Table2[Dias no laborales]) &lt;= 7, "Dentro", IF(A851&gt;F851,"Programado","Fuera"))))</f>
        <v>Programado</v>
      </c>
      <c r="K851" s="6" t="str">
        <f t="shared" si="27"/>
        <v>Programados</v>
      </c>
      <c r="L851" s="9">
        <v>45873</v>
      </c>
      <c r="M851" s="17">
        <f>MAX(1,NETWORKDAYS(A851,L851,Table2[Dias no laborales]))</f>
        <v>1</v>
      </c>
    </row>
    <row r="852" spans="1:13" hidden="1" x14ac:dyDescent="0.3">
      <c r="A852" s="8">
        <v>45874</v>
      </c>
      <c r="B852" s="6" t="s">
        <v>1761</v>
      </c>
      <c r="C852" s="6" t="s">
        <v>1762</v>
      </c>
      <c r="D852" s="6" t="s">
        <v>24</v>
      </c>
      <c r="E852" s="14">
        <v>45874.333333333336</v>
      </c>
      <c r="F852" s="8">
        <f>IF(HOUR(Table1[[#This Row],[CORREO]])&gt;=11,WORKDAY(Table1[[#This Row],[CORREO]],1,Table2[Dias no laborales]),E852)</f>
        <v>45874.333333333336</v>
      </c>
      <c r="G852" s="8">
        <v>45891</v>
      </c>
      <c r="H852" s="6">
        <f t="shared" si="26"/>
        <v>31</v>
      </c>
      <c r="I852" s="16">
        <f>MAX(1, NETWORKDAYS(A852, G852,Table2[Dias no laborales]))</f>
        <v>14</v>
      </c>
      <c r="J852" s="6" t="str">
        <f>IF(Table1[[#This Row],[FIN]]="","Acumulado",IF(ISNUMBER(SEARCH("ASAP",C852)),"ASAP",IF(NETWORKDAYS.INTL(F852,G852,1,Table2[Dias no laborales]) &lt;= 7, "Dentro", IF(A852&gt;F852,"Programado","Fuera"))))</f>
        <v>Fuera</v>
      </c>
      <c r="K852" s="6" t="str">
        <f t="shared" si="27"/>
        <v>A tiempo</v>
      </c>
      <c r="L852" s="9">
        <v>45874</v>
      </c>
      <c r="M852" s="17">
        <f>MAX(1,NETWORKDAYS(A852,L852,Table2[Dias no laborales]))</f>
        <v>1</v>
      </c>
    </row>
    <row r="853" spans="1:13" hidden="1" x14ac:dyDescent="0.3">
      <c r="A853" s="8">
        <v>45874</v>
      </c>
      <c r="B853" s="6" t="s">
        <v>1697</v>
      </c>
      <c r="C853" s="6" t="s">
        <v>1698</v>
      </c>
      <c r="D853" s="6" t="s">
        <v>24</v>
      </c>
      <c r="E853" s="14">
        <v>45874.334027777775</v>
      </c>
      <c r="F853" s="8">
        <f>IF(HOUR(Table1[[#This Row],[CORREO]])&gt;=11,WORKDAY(Table1[[#This Row],[CORREO]],1,Table2[Dias no laborales]),E853)</f>
        <v>45874.334027777775</v>
      </c>
      <c r="G853" s="8">
        <v>45874</v>
      </c>
      <c r="H853" s="6">
        <f t="shared" si="26"/>
        <v>31</v>
      </c>
      <c r="I853" s="16">
        <f>MAX(1, NETWORKDAYS(A853, G853,Table2[Dias no laborales]))</f>
        <v>1</v>
      </c>
      <c r="J853" s="6" t="str">
        <f>IF(Table1[[#This Row],[FIN]]="","Acumulado",IF(ISNUMBER(SEARCH("ASAP",C853)),"ASAP",IF(NETWORKDAYS.INTL(F853,G853,1,Table2[Dias no laborales]) &lt;= 7, "Dentro", IF(A853&gt;F853,"Programado","Fuera"))))</f>
        <v>Dentro</v>
      </c>
      <c r="K853" s="6" t="str">
        <f t="shared" si="27"/>
        <v>A tiempo</v>
      </c>
      <c r="L853" s="9">
        <v>45874</v>
      </c>
      <c r="M853" s="17">
        <f>MAX(1,NETWORKDAYS(A853,L853,Table2[Dias no laborales]))</f>
        <v>1</v>
      </c>
    </row>
    <row r="854" spans="1:13" hidden="1" x14ac:dyDescent="0.3">
      <c r="A854" s="8">
        <v>45874</v>
      </c>
      <c r="B854" s="6" t="s">
        <v>1712</v>
      </c>
      <c r="C854" s="6" t="s">
        <v>1713</v>
      </c>
      <c r="D854" s="6" t="s">
        <v>154</v>
      </c>
      <c r="E854" s="14">
        <v>45874.355555555558</v>
      </c>
      <c r="F854" s="8">
        <f>IF(HOUR(Table1[[#This Row],[CORREO]])&gt;=11,WORKDAY(Table1[[#This Row],[CORREO]],1,Table2[Dias no laborales]),E854)</f>
        <v>45874.355555555558</v>
      </c>
      <c r="G854" s="8">
        <v>45875</v>
      </c>
      <c r="H854" s="6">
        <f t="shared" si="26"/>
        <v>31</v>
      </c>
      <c r="I854" s="16">
        <f>MAX(1, NETWORKDAYS(A854, G854,Table2[Dias no laborales]))</f>
        <v>2</v>
      </c>
      <c r="J854" s="6" t="str">
        <f>IF(Table1[[#This Row],[FIN]]="","Acumulado",IF(ISNUMBER(SEARCH("ASAP",C854)),"ASAP",IF(NETWORKDAYS.INTL(F854,G854,1,Table2[Dias no laborales]) &lt;= 7, "Dentro", IF(A854&gt;F854,"Programado","Fuera"))))</f>
        <v>Dentro</v>
      </c>
      <c r="K854" s="6" t="str">
        <f t="shared" si="27"/>
        <v>A tiempo</v>
      </c>
      <c r="L854" s="9">
        <v>45874</v>
      </c>
      <c r="M854" s="17">
        <f>MAX(1,NETWORKDAYS(A854,L854,Table2[Dias no laborales]))</f>
        <v>1</v>
      </c>
    </row>
    <row r="855" spans="1:13" hidden="1" x14ac:dyDescent="0.3">
      <c r="A855" s="8">
        <v>45874</v>
      </c>
      <c r="B855" s="6" t="s">
        <v>1699</v>
      </c>
      <c r="C855" s="6" t="s">
        <v>1700</v>
      </c>
      <c r="D855" s="6" t="s">
        <v>186</v>
      </c>
      <c r="E855" s="14">
        <v>45873.631944444445</v>
      </c>
      <c r="F855" s="8">
        <f>IF(HOUR(Table1[[#This Row],[CORREO]])&gt;=11,WORKDAY(Table1[[#This Row],[CORREO]],1,Table2[Dias no laborales]),E855)</f>
        <v>45874</v>
      </c>
      <c r="G855" s="8">
        <v>45874</v>
      </c>
      <c r="H855" s="6">
        <f t="shared" si="26"/>
        <v>31</v>
      </c>
      <c r="I855" s="16">
        <f>MAX(1, NETWORKDAYS(A855, G855,Table2[Dias no laborales]))</f>
        <v>1</v>
      </c>
      <c r="J855" s="6" t="str">
        <f>IF(Table1[[#This Row],[FIN]]="","Acumulado",IF(ISNUMBER(SEARCH("ASAP",C855)),"ASAP",IF(NETWORKDAYS.INTL(F855,G855,1,Table2[Dias no laborales]) &lt;= 7, "Dentro", IF(A855&gt;F855,"Programado","Fuera"))))</f>
        <v>Dentro</v>
      </c>
      <c r="K855" s="6" t="str">
        <f t="shared" si="27"/>
        <v>A tiempo</v>
      </c>
      <c r="L855" s="9">
        <v>45874</v>
      </c>
      <c r="M855" s="17">
        <f>MAX(1,NETWORKDAYS(A855,L855,Table2[Dias no laborales]))</f>
        <v>1</v>
      </c>
    </row>
    <row r="856" spans="1:13" hidden="1" x14ac:dyDescent="0.3">
      <c r="A856" s="8">
        <v>45874</v>
      </c>
      <c r="B856" s="6" t="s">
        <v>1716</v>
      </c>
      <c r="C856" s="6" t="s">
        <v>1717</v>
      </c>
      <c r="D856" s="6" t="s">
        <v>53</v>
      </c>
      <c r="E856" s="14">
        <v>45874.407638888886</v>
      </c>
      <c r="F856" s="8">
        <f>IF(HOUR(Table1[[#This Row],[CORREO]])&gt;=11,WORKDAY(Table1[[#This Row],[CORREO]],1,Table2[Dias no laborales]),E856)</f>
        <v>45874.407638888886</v>
      </c>
      <c r="G856" s="8">
        <v>45875</v>
      </c>
      <c r="H856" s="6">
        <f t="shared" si="26"/>
        <v>31</v>
      </c>
      <c r="I856" s="16">
        <f>MAX(1, NETWORKDAYS(A856, G856,Table2[Dias no laborales]))</f>
        <v>2</v>
      </c>
      <c r="J856" s="6" t="str">
        <f>IF(Table1[[#This Row],[FIN]]="","Acumulado",IF(ISNUMBER(SEARCH("ASAP",C856)),"ASAP",IF(NETWORKDAYS.INTL(F856,G856,1,Table2[Dias no laborales]) &lt;= 7, "Dentro", IF(A856&gt;F856,"Programado","Fuera"))))</f>
        <v>Dentro</v>
      </c>
      <c r="K856" s="6" t="str">
        <f t="shared" si="27"/>
        <v>A tiempo</v>
      </c>
      <c r="L856" s="9">
        <v>45874</v>
      </c>
      <c r="M856" s="17">
        <f>MAX(1,NETWORKDAYS(A856,L856,Table2[Dias no laborales]))</f>
        <v>1</v>
      </c>
    </row>
    <row r="857" spans="1:13" hidden="1" x14ac:dyDescent="0.3">
      <c r="A857" s="8">
        <v>45874</v>
      </c>
      <c r="B857" s="6" t="s">
        <v>1710</v>
      </c>
      <c r="C857" s="6" t="s">
        <v>1711</v>
      </c>
      <c r="D857" s="6" t="s">
        <v>27</v>
      </c>
      <c r="E857" s="14">
        <v>45874.554861111108</v>
      </c>
      <c r="F857" s="8">
        <f>IF(HOUR(Table1[[#This Row],[CORREO]])&gt;=11,WORKDAY(Table1[[#This Row],[CORREO]],1,Table2[Dias no laborales]),E857)</f>
        <v>45875</v>
      </c>
      <c r="G857" s="8">
        <v>45875</v>
      </c>
      <c r="H857" s="6">
        <f t="shared" si="26"/>
        <v>31</v>
      </c>
      <c r="I857" s="16">
        <f>MAX(1, NETWORKDAYS(A857, G857,Table2[Dias no laborales]))</f>
        <v>2</v>
      </c>
      <c r="J857" s="6" t="str">
        <f>IF(Table1[[#This Row],[FIN]]="","Acumulado",IF(ISNUMBER(SEARCH("ASAP",C857)),"ASAP",IF(NETWORKDAYS.INTL(F857,G857,1,Table2[Dias no laborales]) &lt;= 7, "Dentro", IF(A857&gt;F857,"Programado","Fuera"))))</f>
        <v>ASAP</v>
      </c>
      <c r="K857" s="6" t="str">
        <f t="shared" si="27"/>
        <v>Mismo día</v>
      </c>
      <c r="L857" s="9">
        <v>45874</v>
      </c>
      <c r="M857" s="17">
        <f>MAX(1,NETWORKDAYS(A857,L857,Table2[Dias no laborales]))</f>
        <v>1</v>
      </c>
    </row>
    <row r="858" spans="1:13" hidden="1" x14ac:dyDescent="0.3">
      <c r="A858" s="8">
        <v>45875</v>
      </c>
      <c r="B858" s="6" t="s">
        <v>1899</v>
      </c>
      <c r="C858" s="6" t="s">
        <v>1900</v>
      </c>
      <c r="D858" s="6" t="s">
        <v>186</v>
      </c>
      <c r="E858" s="14">
        <v>45874.705555555556</v>
      </c>
      <c r="F858" s="8">
        <f>IF(HOUR(Table1[[#This Row],[CORREO]])&gt;=11,WORKDAY(Table1[[#This Row],[CORREO]],1,Table2[Dias no laborales]),E858)</f>
        <v>45875</v>
      </c>
      <c r="G858" s="8">
        <v>45975</v>
      </c>
      <c r="H858" s="6">
        <f t="shared" si="26"/>
        <v>32</v>
      </c>
      <c r="I858" s="16">
        <f>MAX(1, NETWORKDAYS(A858, G858,Table2[Dias no laborales]))</f>
        <v>73</v>
      </c>
      <c r="J858" s="6" t="str">
        <f>IF(Table1[[#This Row],[FIN]]="","Acumulado",IF(ISNUMBER(SEARCH("ASAP",C858)),"ASAP",IF(NETWORKDAYS.INTL(F858,G858,1,Table2[Dias no laborales]) &lt;= 7, "Dentro", IF(A858&gt;F858,"Programado","Fuera"))))</f>
        <v>Fuera</v>
      </c>
      <c r="K858" s="6" t="str">
        <f t="shared" si="27"/>
        <v>A tiempo</v>
      </c>
      <c r="L858" s="9">
        <v>45875</v>
      </c>
      <c r="M858" s="17">
        <f>MAX(1,NETWORKDAYS(A858,L858,Table2[Dias no laborales]))</f>
        <v>1</v>
      </c>
    </row>
    <row r="859" spans="1:13" hidden="1" x14ac:dyDescent="0.3">
      <c r="A859" s="8">
        <v>45875</v>
      </c>
      <c r="B859" s="6" t="s">
        <v>1758</v>
      </c>
      <c r="C859" s="6" t="s">
        <v>1759</v>
      </c>
      <c r="D859" s="6" t="s">
        <v>1760</v>
      </c>
      <c r="E859" s="14"/>
      <c r="F859" s="8">
        <f>IF(HOUR(Table1[[#This Row],[CORREO]])&gt;=11,WORKDAY(Table1[[#This Row],[CORREO]],1,Table2[Dias no laborales]),E859)</f>
        <v>0</v>
      </c>
      <c r="G859" s="8">
        <v>45890</v>
      </c>
      <c r="H859" s="6">
        <f t="shared" si="26"/>
        <v>32</v>
      </c>
      <c r="I859" s="16">
        <f>MAX(1, NETWORKDAYS(A859, G859,Table2[Dias no laborales]))</f>
        <v>12</v>
      </c>
      <c r="J859" s="6" t="str">
        <f>IF(Table1[[#This Row],[FIN]]="","Acumulado",IF(ISNUMBER(SEARCH("ASAP",C859)),"ASAP",IF(NETWORKDAYS.INTL(F859,G859,1,Table2[Dias no laborales]) &lt;= 7, "Dentro", IF(A859&gt;F859,"Programado","Fuera"))))</f>
        <v>ASAP</v>
      </c>
      <c r="K859" s="6" t="str">
        <f t="shared" si="27"/>
        <v>Programados</v>
      </c>
      <c r="L859" s="9">
        <v>45875</v>
      </c>
      <c r="M859" s="17">
        <f>MAX(1,NETWORKDAYS(A859,L859,Table2[Dias no laborales]))</f>
        <v>1</v>
      </c>
    </row>
    <row r="860" spans="1:13" hidden="1" x14ac:dyDescent="0.3">
      <c r="A860" s="8">
        <v>45875</v>
      </c>
      <c r="B860" s="6" t="s">
        <v>1756</v>
      </c>
      <c r="C860" s="6" t="s">
        <v>1757</v>
      </c>
      <c r="D860" s="6" t="s">
        <v>53</v>
      </c>
      <c r="E860" s="14">
        <v>45875.361805555556</v>
      </c>
      <c r="F860" s="8">
        <f>IF(HOUR(Table1[[#This Row],[CORREO]])&gt;=11,WORKDAY(Table1[[#This Row],[CORREO]],1,Table2[Dias no laborales]),E860)</f>
        <v>45875.361805555556</v>
      </c>
      <c r="G860" s="8">
        <v>45889</v>
      </c>
      <c r="H860" s="6">
        <f t="shared" si="26"/>
        <v>32</v>
      </c>
      <c r="I860" s="16">
        <f>MAX(1, NETWORKDAYS(A860, G860,Table2[Dias no laborales]))</f>
        <v>11</v>
      </c>
      <c r="J860" s="6" t="str">
        <f>IF(Table1[[#This Row],[FIN]]="","Acumulado",IF(ISNUMBER(SEARCH("ASAP",C860)),"ASAP",IF(NETWORKDAYS.INTL(F860,G860,1,Table2[Dias no laborales]) &lt;= 7, "Dentro", IF(A860&gt;F860,"Programado","Fuera"))))</f>
        <v>Fuera</v>
      </c>
      <c r="K860" s="6" t="str">
        <f t="shared" si="27"/>
        <v>A tiempo</v>
      </c>
      <c r="L860" s="9">
        <v>45875</v>
      </c>
      <c r="M860" s="17">
        <f>MAX(1,NETWORKDAYS(A860,L860,Table2[Dias no laborales]))</f>
        <v>1</v>
      </c>
    </row>
    <row r="861" spans="1:13" hidden="1" x14ac:dyDescent="0.3">
      <c r="A861" s="8">
        <v>45875</v>
      </c>
      <c r="B861" s="6" t="s">
        <v>1706</v>
      </c>
      <c r="C861" s="6" t="s">
        <v>1707</v>
      </c>
      <c r="D861" s="6" t="s">
        <v>24</v>
      </c>
      <c r="E861" s="14">
        <v>45875.390972222223</v>
      </c>
      <c r="F861" s="8">
        <f>IF(HOUR(Table1[[#This Row],[CORREO]])&gt;=11,WORKDAY(Table1[[#This Row],[CORREO]],1,Table2[Dias no laborales]),E861)</f>
        <v>45875.390972222223</v>
      </c>
      <c r="G861" s="8">
        <v>45875</v>
      </c>
      <c r="H861" s="6">
        <f t="shared" si="26"/>
        <v>32</v>
      </c>
      <c r="I861" s="16">
        <f>MAX(1, NETWORKDAYS(A861, G861,Table2[Dias no laborales]))</f>
        <v>1</v>
      </c>
      <c r="J861" s="6" t="str">
        <f>IF(Table1[[#This Row],[FIN]]="","Acumulado",IF(ISNUMBER(SEARCH("ASAP",C861)),"ASAP",IF(NETWORKDAYS.INTL(F861,G861,1,Table2[Dias no laborales]) &lt;= 7, "Dentro", IF(A861&gt;F861,"Programado","Fuera"))))</f>
        <v>Dentro</v>
      </c>
      <c r="K861" s="6" t="str">
        <f t="shared" si="27"/>
        <v>A tiempo</v>
      </c>
      <c r="L861" s="9">
        <v>45875</v>
      </c>
      <c r="M861" s="17">
        <f>MAX(1,NETWORKDAYS(A861,L861,Table2[Dias no laborales]))</f>
        <v>1</v>
      </c>
    </row>
    <row r="862" spans="1:13" hidden="1" x14ac:dyDescent="0.3">
      <c r="A862" s="8">
        <v>45875</v>
      </c>
      <c r="B862" s="6" t="s">
        <v>1724</v>
      </c>
      <c r="C862" s="6" t="s">
        <v>1725</v>
      </c>
      <c r="D862" s="6" t="s">
        <v>1726</v>
      </c>
      <c r="E862" s="14">
        <v>45874.520138888889</v>
      </c>
      <c r="F862" s="8">
        <f>IF(HOUR(Table1[[#This Row],[CORREO]])&gt;=11,WORKDAY(Table1[[#This Row],[CORREO]],1,Table2[Dias no laborales]),E862)</f>
        <v>45875</v>
      </c>
      <c r="G862" s="8">
        <v>45877</v>
      </c>
      <c r="H862" s="6">
        <f t="shared" si="26"/>
        <v>32</v>
      </c>
      <c r="I862" s="16">
        <f>MAX(1, NETWORKDAYS(A862, G862,Table2[Dias no laborales]))</f>
        <v>3</v>
      </c>
      <c r="J862" s="6" t="str">
        <f>IF(Table1[[#This Row],[FIN]]="","Acumulado",IF(ISNUMBER(SEARCH("ASAP",C862)),"ASAP",IF(NETWORKDAYS.INTL(F862,G862,1,Table2[Dias no laborales]) &lt;= 7, "Dentro", IF(A862&gt;F862,"Programado","Fuera"))))</f>
        <v>Dentro</v>
      </c>
      <c r="K862" s="6" t="str">
        <f t="shared" si="27"/>
        <v>A tiempo</v>
      </c>
      <c r="L862" s="9">
        <v>45875</v>
      </c>
      <c r="M862" s="17">
        <f>MAX(1,NETWORKDAYS(A862,L862,Table2[Dias no laborales]))</f>
        <v>1</v>
      </c>
    </row>
    <row r="863" spans="1:13" hidden="1" x14ac:dyDescent="0.3">
      <c r="A863" s="8">
        <v>45875</v>
      </c>
      <c r="B863" s="6" t="s">
        <v>1714</v>
      </c>
      <c r="C863" s="6" t="s">
        <v>1715</v>
      </c>
      <c r="D863" s="6" t="s">
        <v>24</v>
      </c>
      <c r="E863" s="14">
        <v>45875.414583333331</v>
      </c>
      <c r="F863" s="8">
        <f>IF(HOUR(Table1[[#This Row],[CORREO]])&gt;=11,WORKDAY(Table1[[#This Row],[CORREO]],1,Table2[Dias no laborales]),E863)</f>
        <v>45875.414583333331</v>
      </c>
      <c r="G863" s="8">
        <v>45875</v>
      </c>
      <c r="H863" s="6">
        <f t="shared" si="26"/>
        <v>32</v>
      </c>
      <c r="I863" s="16">
        <f>MAX(1, NETWORKDAYS(A863, G863,Table2[Dias no laborales]))</f>
        <v>1</v>
      </c>
      <c r="J863" s="6" t="str">
        <f>IF(Table1[[#This Row],[FIN]]="","Acumulado",IF(ISNUMBER(SEARCH("ASAP",C863)),"ASAP",IF(NETWORKDAYS.INTL(F863,G863,1,Table2[Dias no laborales]) &lt;= 7, "Dentro", IF(A863&gt;F863,"Programado","Fuera"))))</f>
        <v>Dentro</v>
      </c>
      <c r="K863" s="6" t="str">
        <f t="shared" si="27"/>
        <v>A tiempo</v>
      </c>
      <c r="L863" s="9">
        <v>45875</v>
      </c>
      <c r="M863" s="17">
        <f>MAX(1,NETWORKDAYS(A863,L863,Table2[Dias no laborales]))</f>
        <v>1</v>
      </c>
    </row>
    <row r="864" spans="1:13" hidden="1" x14ac:dyDescent="0.3">
      <c r="A864" s="8">
        <v>45875</v>
      </c>
      <c r="B864" s="6" t="s">
        <v>1708</v>
      </c>
      <c r="C864" s="6" t="s">
        <v>1709</v>
      </c>
      <c r="D864" s="6" t="s">
        <v>913</v>
      </c>
      <c r="E864" s="14">
        <v>45875.5</v>
      </c>
      <c r="F864" s="8">
        <f>IF(HOUR(Table1[[#This Row],[CORREO]])&gt;=11,WORKDAY(Table1[[#This Row],[CORREO]],1,Table2[Dias no laborales]),E864)</f>
        <v>45876</v>
      </c>
      <c r="G864" s="8">
        <v>45875</v>
      </c>
      <c r="H864" s="6">
        <f t="shared" si="26"/>
        <v>32</v>
      </c>
      <c r="I864" s="16">
        <f>MAX(1, NETWORKDAYS(A864, G864,Table2[Dias no laborales]))</f>
        <v>1</v>
      </c>
      <c r="J864" s="6" t="str">
        <f>IF(Table1[[#This Row],[FIN]]="","Acumulado",IF(ISNUMBER(SEARCH("ASAP",C864)),"ASAP",IF(NETWORKDAYS.INTL(F864,G864,1,Table2[Dias no laborales]) &lt;= 7, "Dentro", IF(A864&gt;F864,"Programado","Fuera"))))</f>
        <v>ASAP</v>
      </c>
      <c r="K864" s="6" t="str">
        <f t="shared" si="27"/>
        <v>Mismo día</v>
      </c>
      <c r="L864" s="9">
        <v>45875</v>
      </c>
      <c r="M864" s="17">
        <f>MAX(1,NETWORKDAYS(A864,L864,Table2[Dias no laborales]))</f>
        <v>1</v>
      </c>
    </row>
    <row r="865" spans="1:13" hidden="1" x14ac:dyDescent="0.3">
      <c r="A865" s="8">
        <v>45876</v>
      </c>
      <c r="B865" s="6" t="s">
        <v>1720</v>
      </c>
      <c r="C865" s="6" t="s">
        <v>1721</v>
      </c>
      <c r="D865" s="6" t="s">
        <v>139</v>
      </c>
      <c r="E865" s="14">
        <v>45875.672222222223</v>
      </c>
      <c r="F865" s="8">
        <f>IF(HOUR(Table1[[#This Row],[CORREO]])&gt;=11,WORKDAY(Table1[[#This Row],[CORREO]],1,Table2[Dias no laborales]),E865)</f>
        <v>45876</v>
      </c>
      <c r="G865" s="8">
        <v>45876</v>
      </c>
      <c r="H865" s="6">
        <f t="shared" si="26"/>
        <v>32</v>
      </c>
      <c r="I865" s="16">
        <f>MAX(1, NETWORKDAYS(A865, G865,Table2[Dias no laborales]))</f>
        <v>1</v>
      </c>
      <c r="J865" s="6" t="str">
        <f>IF(Table1[[#This Row],[FIN]]="","Acumulado",IF(ISNUMBER(SEARCH("ASAP",C865)),"ASAP",IF(NETWORKDAYS.INTL(F865,G865,1,Table2[Dias no laborales]) &lt;= 7, "Dentro", IF(A865&gt;F865,"Programado","Fuera"))))</f>
        <v>Dentro</v>
      </c>
      <c r="K865" s="6" t="str">
        <f t="shared" si="27"/>
        <v>A tiempo</v>
      </c>
      <c r="L865" s="9">
        <v>45877</v>
      </c>
      <c r="M865" s="17">
        <f>MAX(1,NETWORKDAYS(A865,L865,Table2[Dias no laborales]))</f>
        <v>2</v>
      </c>
    </row>
    <row r="866" spans="1:13" hidden="1" x14ac:dyDescent="0.3">
      <c r="A866" s="8">
        <v>45876</v>
      </c>
      <c r="B866" s="6" t="s">
        <v>1718</v>
      </c>
      <c r="C866" s="6" t="s">
        <v>1719</v>
      </c>
      <c r="D866" s="6" t="s">
        <v>785</v>
      </c>
      <c r="E866" s="14">
        <v>45876.603472222225</v>
      </c>
      <c r="F866" s="8">
        <f>IF(HOUR(Table1[[#This Row],[CORREO]])&gt;=11,WORKDAY(Table1[[#This Row],[CORREO]],1,Table2[Dias no laborales]),E866)</f>
        <v>45877</v>
      </c>
      <c r="G866" s="8">
        <v>45876</v>
      </c>
      <c r="H866" s="6">
        <f t="shared" si="26"/>
        <v>32</v>
      </c>
      <c r="I866" s="16">
        <f>MAX(1, NETWORKDAYS(A866, G866,Table2[Dias no laborales]))</f>
        <v>1</v>
      </c>
      <c r="J866" s="6" t="str">
        <f>IF(Table1[[#This Row],[FIN]]="","Acumulado",IF(ISNUMBER(SEARCH("ASAP",C866)),"ASAP",IF(NETWORKDAYS.INTL(F866,G866,1,Table2[Dias no laborales]) &lt;= 7, "Dentro", IF(A866&gt;F866,"Programado","Fuera"))))</f>
        <v>Dentro</v>
      </c>
      <c r="K866" s="6" t="str">
        <f t="shared" si="27"/>
        <v>Mismo día</v>
      </c>
      <c r="L866" s="9">
        <v>45876</v>
      </c>
      <c r="M866" s="17">
        <f>MAX(1,NETWORKDAYS(A866,L866,Table2[Dias no laborales]))</f>
        <v>1</v>
      </c>
    </row>
    <row r="867" spans="1:13" hidden="1" x14ac:dyDescent="0.3">
      <c r="A867" s="8">
        <v>45883</v>
      </c>
      <c r="B867" s="6" t="s">
        <v>1894</v>
      </c>
      <c r="C867" s="6" t="s">
        <v>1895</v>
      </c>
      <c r="D867" s="6" t="s">
        <v>1896</v>
      </c>
      <c r="E867" s="14"/>
      <c r="F867" s="8">
        <f>IF(HOUR(Table1[[#This Row],[CORREO]])&gt;=11,WORKDAY(Table1[[#This Row],[CORREO]],1,Table2[Dias no laborales]),E867)</f>
        <v>0</v>
      </c>
      <c r="G867" s="8">
        <v>45910</v>
      </c>
      <c r="H867" s="6">
        <f t="shared" si="26"/>
        <v>33</v>
      </c>
      <c r="I867" s="16">
        <f>MAX(1, NETWORKDAYS(A867, G867,Table2[Dias no laborales]))</f>
        <v>20</v>
      </c>
      <c r="J867" s="6" t="str">
        <f>IF(Table1[[#This Row],[FIN]]="","Acumulado",IF(ISNUMBER(SEARCH("ASAP",C867)),"ASAP",IF(NETWORKDAYS.INTL(F867,G867,1,Table2[Dias no laborales]) &lt;= 7, "Dentro", IF(A867&gt;F867,"Programado","Fuera"))))</f>
        <v>Programado</v>
      </c>
      <c r="K867" s="6" t="str">
        <f t="shared" si="27"/>
        <v>Programados</v>
      </c>
      <c r="L867" s="9">
        <v>45877</v>
      </c>
      <c r="M867" s="17">
        <f>MAX(1,NETWORKDAYS(A867,L867,Table2[Dias no laborales]))</f>
        <v>1</v>
      </c>
    </row>
    <row r="868" spans="1:13" hidden="1" x14ac:dyDescent="0.3">
      <c r="A868" s="8">
        <v>45877</v>
      </c>
      <c r="B868" s="6" t="s">
        <v>1871</v>
      </c>
      <c r="C868" s="6" t="s">
        <v>1872</v>
      </c>
      <c r="D868" s="6" t="s">
        <v>53</v>
      </c>
      <c r="E868" s="14"/>
      <c r="F868" s="8">
        <f>IF(HOUR(Table1[[#This Row],[CORREO]])&gt;=11,WORKDAY(Table1[[#This Row],[CORREO]],1,Table2[Dias no laborales]),E868)</f>
        <v>0</v>
      </c>
      <c r="G868" s="8">
        <v>45901</v>
      </c>
      <c r="H868" s="6">
        <f t="shared" si="26"/>
        <v>32</v>
      </c>
      <c r="I868" s="16">
        <f>MAX(1, NETWORKDAYS(A868, G868,Table2[Dias no laborales]))</f>
        <v>17</v>
      </c>
      <c r="J868" s="6" t="str">
        <f>IF(Table1[[#This Row],[FIN]]="","Acumulado",IF(ISNUMBER(SEARCH("ASAP",C868)),"ASAP",IF(NETWORKDAYS.INTL(F868,G868,1,Table2[Dias no laborales]) &lt;= 7, "Dentro", IF(A868&gt;F868,"Programado","Fuera"))))</f>
        <v>Programado</v>
      </c>
      <c r="K868" s="6" t="str">
        <f t="shared" si="27"/>
        <v>Programados</v>
      </c>
      <c r="L868" s="9">
        <v>45877</v>
      </c>
      <c r="M868" s="17">
        <f>MAX(1,NETWORKDAYS(A868,L868,Table2[Dias no laborales]))</f>
        <v>1</v>
      </c>
    </row>
    <row r="869" spans="1:13" hidden="1" x14ac:dyDescent="0.3">
      <c r="A869" s="8">
        <v>45877</v>
      </c>
      <c r="B869" s="6" t="s">
        <v>1729</v>
      </c>
      <c r="C869" s="6" t="s">
        <v>1730</v>
      </c>
      <c r="D869" s="6" t="s">
        <v>24</v>
      </c>
      <c r="E869" s="14">
        <v>45877.313194444447</v>
      </c>
      <c r="F869" s="8">
        <f>IF(HOUR(Table1[[#This Row],[CORREO]])&gt;=11,WORKDAY(Table1[[#This Row],[CORREO]],1,Table2[Dias no laborales]),E869)</f>
        <v>45877.313194444447</v>
      </c>
      <c r="G869" s="8">
        <v>45877</v>
      </c>
      <c r="H869" s="6">
        <f t="shared" si="26"/>
        <v>32</v>
      </c>
      <c r="I869" s="16">
        <f>MAX(1, NETWORKDAYS(A869, G869,Table2[Dias no laborales]))</f>
        <v>1</v>
      </c>
      <c r="J869" s="6" t="str">
        <f>IF(Table1[[#This Row],[FIN]]="","Acumulado",IF(ISNUMBER(SEARCH("ASAP",C869)),"ASAP",IF(NETWORKDAYS.INTL(F869,G869,1,Table2[Dias no laborales]) &lt;= 7, "Dentro", IF(A869&gt;F869,"Programado","Fuera"))))</f>
        <v>Dentro</v>
      </c>
      <c r="K869" s="6" t="str">
        <f t="shared" si="27"/>
        <v>A tiempo</v>
      </c>
      <c r="L869" s="9">
        <v>45877</v>
      </c>
      <c r="M869" s="17">
        <f>MAX(1,NETWORKDAYS(A869,L869,Table2[Dias no laborales]))</f>
        <v>1</v>
      </c>
    </row>
    <row r="870" spans="1:13" hidden="1" x14ac:dyDescent="0.3">
      <c r="A870" s="8">
        <v>45880</v>
      </c>
      <c r="B870" s="6" t="s">
        <v>1742</v>
      </c>
      <c r="C870" s="6" t="s">
        <v>1743</v>
      </c>
      <c r="D870" s="6" t="s">
        <v>24</v>
      </c>
      <c r="E870" s="14">
        <v>45877.743055555555</v>
      </c>
      <c r="F870" s="8">
        <f>IF(HOUR(Table1[[#This Row],[CORREO]])&gt;=11,WORKDAY(Table1[[#This Row],[CORREO]],1,Table2[Dias no laborales]),E870)</f>
        <v>45880</v>
      </c>
      <c r="G870" s="8">
        <v>45882</v>
      </c>
      <c r="H870" s="6">
        <f t="shared" si="26"/>
        <v>32</v>
      </c>
      <c r="I870" s="16">
        <f>MAX(1, NETWORKDAYS(A870, G870,Table2[Dias no laborales]))</f>
        <v>3</v>
      </c>
      <c r="J870" s="6" t="str">
        <f>IF(Table1[[#This Row],[FIN]]="","Acumulado",IF(ISNUMBER(SEARCH("ASAP",C870)),"ASAP",IF(NETWORKDAYS.INTL(F870,G870,1,Table2[Dias no laborales]) &lt;= 7, "Dentro", IF(A870&gt;F870,"Programado","Fuera"))))</f>
        <v>Dentro</v>
      </c>
      <c r="K870" s="6" t="str">
        <f t="shared" si="27"/>
        <v>A tiempo</v>
      </c>
      <c r="L870" s="9">
        <v>45880</v>
      </c>
      <c r="M870" s="17">
        <f>MAX(1,NETWORKDAYS(A870,L870,Table2[Dias no laborales]))</f>
        <v>1</v>
      </c>
    </row>
    <row r="871" spans="1:13" hidden="1" x14ac:dyDescent="0.3">
      <c r="A871" s="8">
        <v>45877</v>
      </c>
      <c r="B871" s="6" t="s">
        <v>1727</v>
      </c>
      <c r="C871" s="6" t="s">
        <v>1728</v>
      </c>
      <c r="D871" s="6" t="s">
        <v>24</v>
      </c>
      <c r="E871" s="14">
        <v>45877.334722222222</v>
      </c>
      <c r="F871" s="8">
        <f>IF(HOUR(Table1[[#This Row],[CORREO]])&gt;=11,WORKDAY(Table1[[#This Row],[CORREO]],1,Table2[Dias no laborales]),E871)</f>
        <v>45877.334722222222</v>
      </c>
      <c r="G871" s="8">
        <v>45877</v>
      </c>
      <c r="H871" s="6">
        <f t="shared" si="26"/>
        <v>32</v>
      </c>
      <c r="I871" s="16">
        <f>MAX(1, NETWORKDAYS(A871, G871,Table2[Dias no laborales]))</f>
        <v>1</v>
      </c>
      <c r="J871" s="6" t="str">
        <f>IF(Table1[[#This Row],[FIN]]="","Acumulado",IF(ISNUMBER(SEARCH("ASAP",C871)),"ASAP",IF(NETWORKDAYS.INTL(F871,G871,1,Table2[Dias no laborales]) &lt;= 7, "Dentro", IF(A871&gt;F871,"Programado","Fuera"))))</f>
        <v>Dentro</v>
      </c>
      <c r="K871" s="6" t="str">
        <f t="shared" si="27"/>
        <v>A tiempo</v>
      </c>
      <c r="L871" s="9">
        <v>45877</v>
      </c>
      <c r="M871" s="17">
        <f>MAX(1,NETWORKDAYS(A871,L871,Table2[Dias no laborales]))</f>
        <v>1</v>
      </c>
    </row>
    <row r="872" spans="1:13" hidden="1" x14ac:dyDescent="0.3">
      <c r="A872" s="8">
        <v>45877</v>
      </c>
      <c r="B872" s="6" t="s">
        <v>1821</v>
      </c>
      <c r="C872" s="6" t="s">
        <v>1822</v>
      </c>
      <c r="D872" s="6" t="s">
        <v>186</v>
      </c>
      <c r="E872" s="14"/>
      <c r="F872" s="8">
        <f>IF(HOUR(Table1[[#This Row],[CORREO]])&gt;=11,WORKDAY(Table1[[#This Row],[CORREO]],1,Table2[Dias no laborales]),E872)</f>
        <v>0</v>
      </c>
      <c r="G872" s="8">
        <v>45894</v>
      </c>
      <c r="H872" s="6">
        <f t="shared" si="26"/>
        <v>32</v>
      </c>
      <c r="I872" s="16">
        <f>MAX(1, NETWORKDAYS(A872, G872,Table2[Dias no laborales]))</f>
        <v>12</v>
      </c>
      <c r="J872" s="6" t="str">
        <f>IF(Table1[[#This Row],[FIN]]="","Acumulado",IF(ISNUMBER(SEARCH("ASAP",C872)),"ASAP",IF(NETWORKDAYS.INTL(F872,G872,1,Table2[Dias no laborales]) &lt;= 7, "Dentro", IF(A872&gt;F872,"Programado","Fuera"))))</f>
        <v>Programado</v>
      </c>
      <c r="K872" s="6" t="str">
        <f t="shared" si="27"/>
        <v>Programados</v>
      </c>
      <c r="L872" s="9">
        <v>45877</v>
      </c>
      <c r="M872" s="17">
        <f>MAX(1,NETWORKDAYS(A872,L872,Table2[Dias no laborales]))</f>
        <v>1</v>
      </c>
    </row>
    <row r="873" spans="1:13" hidden="1" x14ac:dyDescent="0.3">
      <c r="A873" s="8">
        <v>45880</v>
      </c>
      <c r="B873" s="6" t="s">
        <v>1774</v>
      </c>
      <c r="C873" s="6" t="s">
        <v>1775</v>
      </c>
      <c r="D873" s="6" t="s">
        <v>24</v>
      </c>
      <c r="E873" s="14"/>
      <c r="F873" s="8">
        <f>IF(HOUR(Table1[[#This Row],[CORREO]])&gt;=11,WORKDAY(Table1[[#This Row],[CORREO]],1,Table2[Dias no laborales]),E873)</f>
        <v>0</v>
      </c>
      <c r="G873" s="8">
        <v>45887</v>
      </c>
      <c r="H873" s="6">
        <f t="shared" si="26"/>
        <v>32</v>
      </c>
      <c r="I873" s="16">
        <f>MAX(1, NETWORKDAYS(A873, G873,Table2[Dias no laborales]))</f>
        <v>6</v>
      </c>
      <c r="J873" s="6" t="str">
        <f>IF(Table1[[#This Row],[FIN]]="","Acumulado",IF(ISNUMBER(SEARCH("ASAP",C873)),"ASAP",IF(NETWORKDAYS.INTL(F873,G873,1,Table2[Dias no laborales]) &lt;= 7, "Dentro", IF(A873&gt;F873,"Programado","Fuera"))))</f>
        <v>Programado</v>
      </c>
      <c r="K873" s="6" t="str">
        <f t="shared" si="27"/>
        <v>Programados</v>
      </c>
      <c r="L873" s="9">
        <v>45880</v>
      </c>
      <c r="M873" s="17">
        <f>MAX(1,NETWORKDAYS(A873,L873,Table2[Dias no laborales]))</f>
        <v>1</v>
      </c>
    </row>
    <row r="874" spans="1:13" hidden="1" x14ac:dyDescent="0.3">
      <c r="A874" s="8">
        <v>45880</v>
      </c>
      <c r="B874" s="6" t="s">
        <v>1736</v>
      </c>
      <c r="C874" s="6" t="s">
        <v>476</v>
      </c>
      <c r="D874" s="6" t="s">
        <v>477</v>
      </c>
      <c r="E874" s="14">
        <v>45877.490277777775</v>
      </c>
      <c r="F874" s="8">
        <f>IF(HOUR(Table1[[#This Row],[CORREO]])&gt;=11,WORKDAY(Table1[[#This Row],[CORREO]],1,Table2[Dias no laborales]),E874)</f>
        <v>45880</v>
      </c>
      <c r="G874" s="8">
        <v>45881</v>
      </c>
      <c r="H874" s="6">
        <f t="shared" si="26"/>
        <v>32</v>
      </c>
      <c r="I874" s="16">
        <f>MAX(1, NETWORKDAYS(A874, G874,Table2[Dias no laborales]))</f>
        <v>2</v>
      </c>
      <c r="J874" s="6" t="str">
        <f>IF(Table1[[#This Row],[FIN]]="","Acumulado",IF(ISNUMBER(SEARCH("ASAP",C874)),"ASAP",IF(NETWORKDAYS.INTL(F874,G874,1,Table2[Dias no laborales]) &lt;= 7, "Dentro", IF(A874&gt;F874,"Programado","Fuera"))))</f>
        <v>Dentro</v>
      </c>
      <c r="K874" s="6" t="str">
        <f t="shared" si="27"/>
        <v>A tiempo</v>
      </c>
      <c r="L874" s="9">
        <v>45880</v>
      </c>
      <c r="M874" s="17">
        <f>MAX(1,NETWORKDAYS(A874,L874,Table2[Dias no laborales]))</f>
        <v>1</v>
      </c>
    </row>
    <row r="875" spans="1:13" hidden="1" x14ac:dyDescent="0.3">
      <c r="A875" s="8">
        <v>45880</v>
      </c>
      <c r="B875" s="6" t="s">
        <v>1884</v>
      </c>
      <c r="C875" s="6" t="s">
        <v>1885</v>
      </c>
      <c r="D875" s="6" t="s">
        <v>103</v>
      </c>
      <c r="E875" s="14">
        <v>45877.743055555555</v>
      </c>
      <c r="F875" s="8">
        <f>IF(HOUR(Table1[[#This Row],[CORREO]])&gt;=11,WORKDAY(Table1[[#This Row],[CORREO]],1,Table2[Dias no laborales]),E875)</f>
        <v>45880</v>
      </c>
      <c r="G875" s="8">
        <v>45905</v>
      </c>
      <c r="H875" s="6">
        <f t="shared" si="26"/>
        <v>32</v>
      </c>
      <c r="I875" s="16">
        <f>MAX(1, NETWORKDAYS(A875, G875,Table2[Dias no laborales]))</f>
        <v>20</v>
      </c>
      <c r="J875" s="6" t="str">
        <f>IF(Table1[[#This Row],[FIN]]="","Acumulado",IF(ISNUMBER(SEARCH("ASAP",C875)),"ASAP",IF(NETWORKDAYS.INTL(F875,G875,1,Table2[Dias no laborales]) &lt;= 7, "Dentro", IF(A875&gt;F875,"Programado","Fuera"))))</f>
        <v>Fuera</v>
      </c>
      <c r="K875" s="6" t="str">
        <f t="shared" si="27"/>
        <v>A tiempo</v>
      </c>
      <c r="L875" s="9">
        <v>45880</v>
      </c>
      <c r="M875" s="17">
        <f>MAX(1,NETWORKDAYS(A875,L875,Table2[Dias no laborales]))</f>
        <v>1</v>
      </c>
    </row>
    <row r="876" spans="1:13" hidden="1" x14ac:dyDescent="0.3">
      <c r="A876" s="8">
        <v>45880</v>
      </c>
      <c r="B876" s="6" t="s">
        <v>1825</v>
      </c>
      <c r="C876" s="6" t="s">
        <v>1789</v>
      </c>
      <c r="D876" s="6" t="s">
        <v>504</v>
      </c>
      <c r="E876" s="14"/>
      <c r="F876" s="8">
        <f>IF(HOUR(Table1[[#This Row],[CORREO]])&gt;=11,WORKDAY(Table1[[#This Row],[CORREO]],1,Table2[Dias no laborales]),E876)</f>
        <v>0</v>
      </c>
      <c r="G876" s="8">
        <v>45894</v>
      </c>
      <c r="H876" s="6">
        <f t="shared" si="26"/>
        <v>32</v>
      </c>
      <c r="I876" s="16">
        <f>MAX(1, NETWORKDAYS(A876, G876,Table2[Dias no laborales]))</f>
        <v>11</v>
      </c>
      <c r="J876" s="6" t="str">
        <f>IF(Table1[[#This Row],[FIN]]="","Acumulado",IF(ISNUMBER(SEARCH("ASAP",C876)),"ASAP",IF(NETWORKDAYS.INTL(F876,G876,1,Table2[Dias no laborales]) &lt;= 7, "Dentro", IF(A876&gt;F876,"Programado","Fuera"))))</f>
        <v>Programado</v>
      </c>
      <c r="K876" s="6" t="str">
        <f t="shared" si="27"/>
        <v>Programados</v>
      </c>
      <c r="L876" s="9">
        <v>45880</v>
      </c>
      <c r="M876" s="17">
        <f>MAX(1,NETWORKDAYS(A876,L876,Table2[Dias no laborales]))</f>
        <v>1</v>
      </c>
    </row>
    <row r="877" spans="1:13" hidden="1" x14ac:dyDescent="0.3">
      <c r="A877" s="8">
        <v>45881</v>
      </c>
      <c r="B877" s="6" t="s">
        <v>1733</v>
      </c>
      <c r="C877" s="6" t="s">
        <v>1734</v>
      </c>
      <c r="D877" s="6" t="s">
        <v>1735</v>
      </c>
      <c r="E877" s="14">
        <v>45880.476388888892</v>
      </c>
      <c r="F877" s="8">
        <f>IF(HOUR(Table1[[#This Row],[CORREO]])&gt;=11,WORKDAY(Table1[[#This Row],[CORREO]],1,Table2[Dias no laborales]),E877)</f>
        <v>45881</v>
      </c>
      <c r="G877" s="8">
        <v>45881</v>
      </c>
      <c r="H877" s="6">
        <f t="shared" si="26"/>
        <v>32</v>
      </c>
      <c r="I877" s="16">
        <f>MAX(1, NETWORKDAYS(A877, G877,Table2[Dias no laborales]))</f>
        <v>1</v>
      </c>
      <c r="J877" s="6" t="str">
        <f>IF(Table1[[#This Row],[FIN]]="","Acumulado",IF(ISNUMBER(SEARCH("ASAP",C877)),"ASAP",IF(NETWORKDAYS.INTL(F877,G877,1,Table2[Dias no laborales]) &lt;= 7, "Dentro", IF(A877&gt;F877,"Programado","Fuera"))))</f>
        <v>Dentro</v>
      </c>
      <c r="K877" s="6" t="str">
        <f t="shared" si="27"/>
        <v>A tiempo</v>
      </c>
      <c r="L877" s="9">
        <v>45881</v>
      </c>
      <c r="M877" s="17">
        <f>MAX(1,NETWORKDAYS(A877,L877,Table2[Dias no laborales]))</f>
        <v>1</v>
      </c>
    </row>
    <row r="878" spans="1:13" hidden="1" x14ac:dyDescent="0.3">
      <c r="A878" s="8">
        <v>45881</v>
      </c>
      <c r="B878" s="6" t="s">
        <v>1815</v>
      </c>
      <c r="C878" s="6" t="s">
        <v>1816</v>
      </c>
      <c r="D878" s="6" t="s">
        <v>1099</v>
      </c>
      <c r="E878" s="14">
        <v>45880.638194444444</v>
      </c>
      <c r="F878" s="8">
        <f>IF(HOUR(Table1[[#This Row],[CORREO]])&gt;=11,WORKDAY(Table1[[#This Row],[CORREO]],1,Table2[Dias no laborales]),E878)</f>
        <v>45881</v>
      </c>
      <c r="G878" s="8">
        <v>45891</v>
      </c>
      <c r="H878" s="6">
        <f t="shared" si="26"/>
        <v>32</v>
      </c>
      <c r="I878" s="16">
        <f>MAX(1, NETWORKDAYS(A878, G878,Table2[Dias no laborales]))</f>
        <v>9</v>
      </c>
      <c r="J878" s="6" t="str">
        <f>IF(Table1[[#This Row],[FIN]]="","Acumulado",IF(ISNUMBER(SEARCH("ASAP",C878)),"ASAP",IF(NETWORKDAYS.INTL(F878,G878,1,Table2[Dias no laborales]) &lt;= 7, "Dentro", IF(A878&gt;F878,"Programado","Fuera"))))</f>
        <v>Fuera</v>
      </c>
      <c r="K878" s="6" t="str">
        <f t="shared" si="27"/>
        <v>A tiempo</v>
      </c>
      <c r="L878" s="9">
        <v>45881</v>
      </c>
      <c r="M878" s="17">
        <f>MAX(1,NETWORKDAYS(A878,L878,Table2[Dias no laborales]))</f>
        <v>1</v>
      </c>
    </row>
    <row r="879" spans="1:13" hidden="1" x14ac:dyDescent="0.3">
      <c r="A879" s="8">
        <v>45881</v>
      </c>
      <c r="B879" s="6" t="s">
        <v>1752</v>
      </c>
      <c r="C879" s="6" t="s">
        <v>1753</v>
      </c>
      <c r="D879" s="6" t="s">
        <v>154</v>
      </c>
      <c r="E879" s="14">
        <v>45880.709722222222</v>
      </c>
      <c r="F879" s="8">
        <f>IF(HOUR(Table1[[#This Row],[CORREO]])&gt;=11,WORKDAY(Table1[[#This Row],[CORREO]],1,Table2[Dias no laborales]),E879)</f>
        <v>45881</v>
      </c>
      <c r="G879" s="8">
        <v>45887</v>
      </c>
      <c r="H879" s="6">
        <f t="shared" si="26"/>
        <v>32</v>
      </c>
      <c r="I879" s="16">
        <f>MAX(1, NETWORKDAYS(A879, G879,Table2[Dias no laborales]))</f>
        <v>5</v>
      </c>
      <c r="J879" s="6" t="str">
        <f>IF(Table1[[#This Row],[FIN]]="","Acumulado",IF(ISNUMBER(SEARCH("ASAP",C879)),"ASAP",IF(NETWORKDAYS.INTL(F879,G879,1,Table2[Dias no laborales]) &lt;= 7, "Dentro", IF(A879&gt;F879,"Programado","Fuera"))))</f>
        <v>Dentro</v>
      </c>
      <c r="K879" s="6" t="str">
        <f t="shared" si="27"/>
        <v>A tiempo</v>
      </c>
      <c r="L879" s="9">
        <v>45881</v>
      </c>
      <c r="M879" s="17">
        <f>MAX(1,NETWORKDAYS(A879,L879,Table2[Dias no laborales]))</f>
        <v>1</v>
      </c>
    </row>
    <row r="880" spans="1:13" hidden="1" x14ac:dyDescent="0.3">
      <c r="A880" s="8">
        <v>45881</v>
      </c>
      <c r="B880" s="6" t="s">
        <v>1740</v>
      </c>
      <c r="C880" s="6" t="s">
        <v>1741</v>
      </c>
      <c r="D880" s="6" t="s">
        <v>27</v>
      </c>
      <c r="E880" s="14">
        <v>45881.387499999997</v>
      </c>
      <c r="F880" s="8">
        <f>IF(HOUR(Table1[[#This Row],[CORREO]])&gt;=11,WORKDAY(Table1[[#This Row],[CORREO]],1,Table2[Dias no laborales]),E880)</f>
        <v>45881.387499999997</v>
      </c>
      <c r="G880" s="8">
        <v>45882</v>
      </c>
      <c r="H880" s="6">
        <f t="shared" si="26"/>
        <v>32</v>
      </c>
      <c r="I880" s="16">
        <f>MAX(1, NETWORKDAYS(A880, G880,Table2[Dias no laborales]))</f>
        <v>2</v>
      </c>
      <c r="J880" s="6" t="str">
        <f>IF(Table1[[#This Row],[FIN]]="","Acumulado",IF(ISNUMBER(SEARCH("ASAP",C880)),"ASAP",IF(NETWORKDAYS.INTL(F880,G880,1,Table2[Dias no laborales]) &lt;= 7, "Dentro", IF(A880&gt;F880,"Programado","Fuera"))))</f>
        <v>Dentro</v>
      </c>
      <c r="K880" s="6" t="str">
        <f t="shared" si="27"/>
        <v>A tiempo</v>
      </c>
      <c r="L880" s="9">
        <v>45881</v>
      </c>
      <c r="M880" s="17">
        <f>MAX(1,NETWORKDAYS(A880,L880,Table2[Dias no laborales]))</f>
        <v>1</v>
      </c>
    </row>
    <row r="881" spans="1:13" hidden="1" x14ac:dyDescent="0.3">
      <c r="A881" s="8">
        <v>45881</v>
      </c>
      <c r="B881" s="6" t="s">
        <v>1769</v>
      </c>
      <c r="C881" s="6" t="s">
        <v>1770</v>
      </c>
      <c r="D881" s="6" t="s">
        <v>1360</v>
      </c>
      <c r="E881" s="14">
        <v>45881.433333333334</v>
      </c>
      <c r="F881" s="8">
        <f>IF(HOUR(Table1[[#This Row],[CORREO]])&gt;=11,WORKDAY(Table1[[#This Row],[CORREO]],1,Table2[Dias no laborales]),E881)</f>
        <v>45881.433333333334</v>
      </c>
      <c r="G881" s="8">
        <v>45886</v>
      </c>
      <c r="H881" s="6">
        <f t="shared" si="26"/>
        <v>32</v>
      </c>
      <c r="I881" s="16">
        <f>MAX(1, NETWORKDAYS(A881, G881,Table2[Dias no laborales]))</f>
        <v>4</v>
      </c>
      <c r="J881" s="6" t="str">
        <f>IF(Table1[[#This Row],[FIN]]="","Acumulado",IF(ISNUMBER(SEARCH("ASAP",C881)),"ASAP",IF(NETWORKDAYS.INTL(F881,G881,1,Table2[Dias no laborales]) &lt;= 7, "Dentro", IF(A881&gt;F881,"Programado","Fuera"))))</f>
        <v>Dentro</v>
      </c>
      <c r="K881" s="6" t="str">
        <f t="shared" si="27"/>
        <v>A tiempo</v>
      </c>
      <c r="L881" s="9">
        <v>45881</v>
      </c>
      <c r="M881" s="17">
        <f>MAX(1,NETWORKDAYS(A881,L881,Table2[Dias no laborales]))</f>
        <v>1</v>
      </c>
    </row>
    <row r="882" spans="1:13" hidden="1" x14ac:dyDescent="0.3">
      <c r="A882" s="8">
        <v>45881</v>
      </c>
      <c r="B882" s="6" t="s">
        <v>1748</v>
      </c>
      <c r="C882" s="6" t="s">
        <v>1749</v>
      </c>
      <c r="D882" s="6" t="s">
        <v>538</v>
      </c>
      <c r="E882" s="14">
        <v>45881.571527777778</v>
      </c>
      <c r="F882" s="8">
        <f>IF(HOUR(Table1[[#This Row],[CORREO]])&gt;=11,WORKDAY(Table1[[#This Row],[CORREO]],1,Table2[Dias no laborales]),E882)</f>
        <v>45882</v>
      </c>
      <c r="G882" s="8">
        <v>45885</v>
      </c>
      <c r="H882" s="6">
        <f t="shared" si="26"/>
        <v>32</v>
      </c>
      <c r="I882" s="16">
        <f>MAX(1, NETWORKDAYS(A882, G882,Table2[Dias no laborales]))</f>
        <v>4</v>
      </c>
      <c r="J882" s="6" t="str">
        <f>IF(Table1[[#This Row],[FIN]]="","Acumulado",IF(ISNUMBER(SEARCH("ASAP",C882)),"ASAP",IF(NETWORKDAYS.INTL(F882,G882,1,Table2[Dias no laborales]) &lt;= 7, "Dentro", IF(A882&gt;F882,"Programado","Fuera"))))</f>
        <v>ASAP</v>
      </c>
      <c r="K882" s="6" t="str">
        <f t="shared" si="27"/>
        <v>Mismo día</v>
      </c>
      <c r="L882" s="9">
        <v>45881</v>
      </c>
      <c r="M882" s="17">
        <f>MAX(1,NETWORKDAYS(A882,L882,Table2[Dias no laborales]))</f>
        <v>1</v>
      </c>
    </row>
    <row r="883" spans="1:13" hidden="1" x14ac:dyDescent="0.3">
      <c r="A883" s="8">
        <v>45881</v>
      </c>
      <c r="B883" s="6" t="s">
        <v>1750</v>
      </c>
      <c r="C883" s="6" t="s">
        <v>1751</v>
      </c>
      <c r="D883" s="6" t="s">
        <v>538</v>
      </c>
      <c r="E883" s="14">
        <v>45881.575694444444</v>
      </c>
      <c r="F883" s="8">
        <f>IF(HOUR(Table1[[#This Row],[CORREO]])&gt;=11,WORKDAY(Table1[[#This Row],[CORREO]],1,Table2[Dias no laborales]),E883)</f>
        <v>45882</v>
      </c>
      <c r="G883" s="8">
        <v>45886</v>
      </c>
      <c r="H883" s="6">
        <f t="shared" si="26"/>
        <v>32</v>
      </c>
      <c r="I883" s="16">
        <f>MAX(1, NETWORKDAYS(A883, G883,Table2[Dias no laborales]))</f>
        <v>4</v>
      </c>
      <c r="J883" s="6" t="str">
        <f>IF(Table1[[#This Row],[FIN]]="","Acumulado",IF(ISNUMBER(SEARCH("ASAP",C883)),"ASAP",IF(NETWORKDAYS.INTL(F883,G883,1,Table2[Dias no laborales]) &lt;= 7, "Dentro", IF(A883&gt;F883,"Programado","Fuera"))))</f>
        <v>ASAP</v>
      </c>
      <c r="K883" s="6" t="str">
        <f t="shared" si="27"/>
        <v>Mismo día</v>
      </c>
      <c r="L883" s="9">
        <v>45881</v>
      </c>
      <c r="M883" s="17">
        <f>MAX(1,NETWORKDAYS(A883,L883,Table2[Dias no laborales]))</f>
        <v>1</v>
      </c>
    </row>
    <row r="884" spans="1:13" hidden="1" x14ac:dyDescent="0.3">
      <c r="A884" s="8">
        <v>45882</v>
      </c>
      <c r="B884" s="6" t="s">
        <v>1838</v>
      </c>
      <c r="C884" s="6" t="s">
        <v>1839</v>
      </c>
      <c r="D884" s="6" t="s">
        <v>1840</v>
      </c>
      <c r="E884" s="14">
        <v>45881.47152777778</v>
      </c>
      <c r="F884" s="8">
        <f>IF(HOUR(Table1[[#This Row],[CORREO]])&gt;=11,WORKDAY(Table1[[#This Row],[CORREO]],1,Table2[Dias no laborales]),E884)</f>
        <v>45882</v>
      </c>
      <c r="G884" s="8">
        <v>45895</v>
      </c>
      <c r="H884" s="6">
        <f t="shared" si="26"/>
        <v>33</v>
      </c>
      <c r="I884" s="16">
        <f>MAX(1, NETWORKDAYS(A884, G884,Table2[Dias no laborales]))</f>
        <v>10</v>
      </c>
      <c r="J884" s="6" t="str">
        <f>IF(Table1[[#This Row],[FIN]]="","Acumulado",IF(ISNUMBER(SEARCH("ASAP",C884)),"ASAP",IF(NETWORKDAYS.INTL(F884,G884,1,Table2[Dias no laborales]) &lt;= 7, "Dentro", IF(A884&gt;F884,"Programado","Fuera"))))</f>
        <v>Fuera</v>
      </c>
      <c r="K884" s="6" t="str">
        <f t="shared" si="27"/>
        <v>A tiempo</v>
      </c>
      <c r="L884" s="9">
        <v>45882</v>
      </c>
      <c r="M884" s="17">
        <f>MAX(1,NETWORKDAYS(A884,L884,Table2[Dias no laborales]))</f>
        <v>1</v>
      </c>
    </row>
    <row r="885" spans="1:13" hidden="1" x14ac:dyDescent="0.3">
      <c r="A885" s="8">
        <v>45882</v>
      </c>
      <c r="B885" s="6" t="s">
        <v>1754</v>
      </c>
      <c r="C885" s="6" t="s">
        <v>1755</v>
      </c>
      <c r="D885" s="6" t="s">
        <v>27</v>
      </c>
      <c r="E885" s="14">
        <v>45881.500694444447</v>
      </c>
      <c r="F885" s="8">
        <f>IF(HOUR(Table1[[#This Row],[CORREO]])&gt;=11,WORKDAY(Table1[[#This Row],[CORREO]],1,Table2[Dias no laborales]),E885)</f>
        <v>45882</v>
      </c>
      <c r="G885" s="8">
        <v>45888</v>
      </c>
      <c r="H885" s="6">
        <f t="shared" si="26"/>
        <v>33</v>
      </c>
      <c r="I885" s="16">
        <f>MAX(1, NETWORKDAYS(A885, G885,Table2[Dias no laborales]))</f>
        <v>5</v>
      </c>
      <c r="J885" s="6" t="str">
        <f>IF(Table1[[#This Row],[FIN]]="","Acumulado",IF(ISNUMBER(SEARCH("ASAP",C885)),"ASAP",IF(NETWORKDAYS.INTL(F885,G885,1,Table2[Dias no laborales]) &lt;= 7, "Dentro", IF(A885&gt;F885,"Programado","Fuera"))))</f>
        <v>Dentro</v>
      </c>
      <c r="K885" s="6" t="str">
        <f t="shared" si="27"/>
        <v>A tiempo</v>
      </c>
      <c r="L885" s="9">
        <v>45882</v>
      </c>
      <c r="M885" s="17">
        <f>MAX(1,NETWORKDAYS(A885,L885,Table2[Dias no laborales]))</f>
        <v>1</v>
      </c>
    </row>
    <row r="886" spans="1:13" hidden="1" x14ac:dyDescent="0.3">
      <c r="A886" s="8">
        <v>45882</v>
      </c>
      <c r="B886" s="6" t="s">
        <v>1794</v>
      </c>
      <c r="C886" s="6" t="s">
        <v>1795</v>
      </c>
      <c r="D886" s="6" t="s">
        <v>61</v>
      </c>
      <c r="E886" s="14">
        <v>45881.729166666664</v>
      </c>
      <c r="F886" s="8">
        <f>IF(HOUR(Table1[[#This Row],[CORREO]])&gt;=11,WORKDAY(Table1[[#This Row],[CORREO]],1,Table2[Dias no laborales]),E886)</f>
        <v>45882</v>
      </c>
      <c r="G886" s="8">
        <v>45888</v>
      </c>
      <c r="H886" s="6">
        <f t="shared" si="26"/>
        <v>33</v>
      </c>
      <c r="I886" s="16">
        <f>MAX(1, NETWORKDAYS(A886, G886,Table2[Dias no laborales]))</f>
        <v>5</v>
      </c>
      <c r="J886" s="6" t="str">
        <f>IF(Table1[[#This Row],[FIN]]="","Acumulado",IF(ISNUMBER(SEARCH("ASAP",C886)),"ASAP",IF(NETWORKDAYS.INTL(F886,G886,1,Table2[Dias no laborales]) &lt;= 7, "Dentro", IF(A886&gt;F886,"Programado","Fuera"))))</f>
        <v>Dentro</v>
      </c>
      <c r="K886" s="6" t="str">
        <f t="shared" si="27"/>
        <v>A tiempo</v>
      </c>
      <c r="L886" s="9">
        <v>45882</v>
      </c>
      <c r="M886" s="17">
        <f>MAX(1,NETWORKDAYS(A886,L886,Table2[Dias no laborales]))</f>
        <v>1</v>
      </c>
    </row>
    <row r="887" spans="1:13" hidden="1" x14ac:dyDescent="0.3">
      <c r="A887" s="8">
        <v>45882</v>
      </c>
      <c r="B887" s="6" t="s">
        <v>1763</v>
      </c>
      <c r="C887" s="6" t="s">
        <v>1764</v>
      </c>
      <c r="D887" s="6" t="s">
        <v>411</v>
      </c>
      <c r="E887" s="14">
        <v>45882.329861111109</v>
      </c>
      <c r="F887" s="8">
        <f>IF(HOUR(Table1[[#This Row],[CORREO]])&gt;=11,WORKDAY(Table1[[#This Row],[CORREO]],1,Table2[Dias no laborales]),E887)</f>
        <v>45882.329861111109</v>
      </c>
      <c r="G887" s="8">
        <v>45883</v>
      </c>
      <c r="H887" s="6">
        <f t="shared" si="26"/>
        <v>33</v>
      </c>
      <c r="I887" s="16">
        <f>MAX(1, NETWORKDAYS(A887, G887,Table2[Dias no laborales]))</f>
        <v>2</v>
      </c>
      <c r="J887" s="6" t="str">
        <f>IF(Table1[[#This Row],[FIN]]="","Acumulado",IF(ISNUMBER(SEARCH("ASAP",C887)),"ASAP",IF(NETWORKDAYS.INTL(F887,G887,1,Table2[Dias no laborales]) &lt;= 7, "Dentro", IF(A887&gt;F887,"Programado","Fuera"))))</f>
        <v>Dentro</v>
      </c>
      <c r="K887" s="6" t="str">
        <f t="shared" si="27"/>
        <v>A tiempo</v>
      </c>
      <c r="L887" s="9">
        <v>45882</v>
      </c>
      <c r="M887" s="17">
        <f>MAX(1,NETWORKDAYS(A887,L887,Table2[Dias no laborales]))</f>
        <v>1</v>
      </c>
    </row>
    <row r="888" spans="1:13" hidden="1" x14ac:dyDescent="0.3">
      <c r="A888" s="8">
        <v>45883</v>
      </c>
      <c r="B888" s="6" t="s">
        <v>1767</v>
      </c>
      <c r="C888" s="6" t="s">
        <v>1768</v>
      </c>
      <c r="D888" s="6" t="s">
        <v>27</v>
      </c>
      <c r="E888" s="14">
        <v>45882.507638888892</v>
      </c>
      <c r="F888" s="8">
        <f>IF(HOUR(Table1[[#This Row],[CORREO]])&gt;=11,WORKDAY(Table1[[#This Row],[CORREO]],1,Table2[Dias no laborales]),E888)</f>
        <v>45883</v>
      </c>
      <c r="G888" s="8">
        <v>45885</v>
      </c>
      <c r="H888" s="6">
        <f t="shared" si="26"/>
        <v>33</v>
      </c>
      <c r="I888" s="16">
        <f>MAX(1, NETWORKDAYS(A888, G888,Table2[Dias no laborales]))</f>
        <v>2</v>
      </c>
      <c r="J888" s="6" t="str">
        <f>IF(Table1[[#This Row],[FIN]]="","Acumulado",IF(ISNUMBER(SEARCH("ASAP",C888)),"ASAP",IF(NETWORKDAYS.INTL(F888,G888,1,Table2[Dias no laborales]) &lt;= 7, "Dentro", IF(A888&gt;F888,"Programado","Fuera"))))</f>
        <v>Dentro</v>
      </c>
      <c r="K888" s="6" t="str">
        <f t="shared" si="27"/>
        <v>A tiempo</v>
      </c>
      <c r="L888" s="9">
        <v>45883</v>
      </c>
      <c r="M888" s="17">
        <f>MAX(1,NETWORKDAYS(A888,L888,Table2[Dias no laborales]))</f>
        <v>1</v>
      </c>
    </row>
    <row r="889" spans="1:13" hidden="1" x14ac:dyDescent="0.3">
      <c r="A889" s="8">
        <v>45883</v>
      </c>
      <c r="B889" s="6" t="s">
        <v>1765</v>
      </c>
      <c r="C889" s="6" t="s">
        <v>1766</v>
      </c>
      <c r="D889" s="6" t="s">
        <v>27</v>
      </c>
      <c r="E889" s="14">
        <v>45882.740277777775</v>
      </c>
      <c r="F889" s="8">
        <f>IF(HOUR(Table1[[#This Row],[CORREO]])&gt;=11,WORKDAY(Table1[[#This Row],[CORREO]],1,Table2[Dias no laborales]),E889)</f>
        <v>45883</v>
      </c>
      <c r="G889" s="8">
        <v>45884</v>
      </c>
      <c r="H889" s="6">
        <f t="shared" si="26"/>
        <v>33</v>
      </c>
      <c r="I889" s="16">
        <f>MAX(1, NETWORKDAYS(A889, G889,Table2[Dias no laborales]))</f>
        <v>2</v>
      </c>
      <c r="J889" s="6" t="str">
        <f>IF(Table1[[#This Row],[FIN]]="","Acumulado",IF(ISNUMBER(SEARCH("ASAP",C889)),"ASAP",IF(NETWORKDAYS.INTL(F889,G889,1,Table2[Dias no laborales]) &lt;= 7, "Dentro", IF(A889&gt;F889,"Programado","Fuera"))))</f>
        <v>Dentro</v>
      </c>
      <c r="K889" s="6" t="str">
        <f t="shared" si="27"/>
        <v>A tiempo</v>
      </c>
      <c r="L889" s="9">
        <v>45883</v>
      </c>
      <c r="M889" s="17">
        <f>MAX(1,NETWORKDAYS(A889,L889,Table2[Dias no laborales]))</f>
        <v>1</v>
      </c>
    </row>
    <row r="890" spans="1:13" hidden="1" x14ac:dyDescent="0.3">
      <c r="A890" s="8">
        <v>45883</v>
      </c>
      <c r="B890" s="6" t="s">
        <v>1771</v>
      </c>
      <c r="C890" s="6" t="s">
        <v>1040</v>
      </c>
      <c r="D890" s="6" t="s">
        <v>133</v>
      </c>
      <c r="E890" s="14">
        <v>45883.428472222222</v>
      </c>
      <c r="F890" s="8">
        <f>IF(HOUR(Table1[[#This Row],[CORREO]])&gt;=11,WORKDAY(Table1[[#This Row],[CORREO]],1,Table2[Dias no laborales]),E890)</f>
        <v>45883.428472222222</v>
      </c>
      <c r="G890" s="8">
        <v>45887</v>
      </c>
      <c r="H890" s="6">
        <f t="shared" si="26"/>
        <v>33</v>
      </c>
      <c r="I890" s="16">
        <f>MAX(1, NETWORKDAYS(A890, G890,Table2[Dias no laborales]))</f>
        <v>3</v>
      </c>
      <c r="J890" s="6" t="str">
        <f>IF(Table1[[#This Row],[FIN]]="","Acumulado",IF(ISNUMBER(SEARCH("ASAP",C890)),"ASAP",IF(NETWORKDAYS.INTL(F890,G890,1,Table2[Dias no laborales]) &lt;= 7, "Dentro", IF(A890&gt;F890,"Programado","Fuera"))))</f>
        <v>Dentro</v>
      </c>
      <c r="K890" s="6" t="str">
        <f t="shared" si="27"/>
        <v>A tiempo</v>
      </c>
      <c r="L890" s="9">
        <v>45883</v>
      </c>
      <c r="M890" s="17">
        <f>MAX(1,NETWORKDAYS(A890,L890,Table2[Dias no laborales]))</f>
        <v>1</v>
      </c>
    </row>
    <row r="891" spans="1:13" hidden="1" x14ac:dyDescent="0.3">
      <c r="A891" s="8">
        <v>45884</v>
      </c>
      <c r="B891" s="6" t="s">
        <v>1772</v>
      </c>
      <c r="C891" s="6" t="s">
        <v>1773</v>
      </c>
      <c r="D891" s="6" t="s">
        <v>623</v>
      </c>
      <c r="E891" s="14">
        <v>45883.602083333331</v>
      </c>
      <c r="F891" s="8">
        <f>IF(HOUR(Table1[[#This Row],[CORREO]])&gt;=11,WORKDAY(Table1[[#This Row],[CORREO]],1,Table2[Dias no laborales]),E891)</f>
        <v>45884</v>
      </c>
      <c r="G891" s="8">
        <v>45887</v>
      </c>
      <c r="H891" s="6">
        <f t="shared" si="26"/>
        <v>33</v>
      </c>
      <c r="I891" s="16">
        <f>MAX(1, NETWORKDAYS(A891, G891,Table2[Dias no laborales]))</f>
        <v>2</v>
      </c>
      <c r="J891" s="6" t="str">
        <f>IF(Table1[[#This Row],[FIN]]="","Acumulado",IF(ISNUMBER(SEARCH("ASAP",C891)),"ASAP",IF(NETWORKDAYS.INTL(F891,G891,1,Table2[Dias no laborales]) &lt;= 7, "Dentro", IF(A891&gt;F891,"Programado","Fuera"))))</f>
        <v>Dentro</v>
      </c>
      <c r="K891" s="6" t="str">
        <f t="shared" si="27"/>
        <v>A tiempo</v>
      </c>
      <c r="L891" s="9">
        <v>45884</v>
      </c>
      <c r="M891" s="17">
        <f>MAX(1,NETWORKDAYS(A891,L891,Table2[Dias no laborales]))</f>
        <v>1</v>
      </c>
    </row>
    <row r="892" spans="1:13" hidden="1" x14ac:dyDescent="0.3">
      <c r="A892" s="8">
        <v>45884</v>
      </c>
      <c r="B892" s="6" t="s">
        <v>1865</v>
      </c>
      <c r="C892" s="6" t="s">
        <v>1866</v>
      </c>
      <c r="D892" s="6" t="s">
        <v>133</v>
      </c>
      <c r="E892" s="14"/>
      <c r="F892" s="8">
        <f>IF(HOUR(Table1[[#This Row],[CORREO]])&gt;=11,WORKDAY(Table1[[#This Row],[CORREO]],1,Table2[Dias no laborales]),E892)</f>
        <v>0</v>
      </c>
      <c r="G892" s="8">
        <v>45901</v>
      </c>
      <c r="H892" s="6">
        <f t="shared" si="26"/>
        <v>33</v>
      </c>
      <c r="I892" s="16">
        <f>MAX(1, NETWORKDAYS(A892, G892,Table2[Dias no laborales]))</f>
        <v>12</v>
      </c>
      <c r="J892" s="6" t="str">
        <f>IF(Table1[[#This Row],[FIN]]="","Acumulado",IF(ISNUMBER(SEARCH("ASAP",C892)),"ASAP",IF(NETWORKDAYS.INTL(F892,G892,1,Table2[Dias no laborales]) &lt;= 7, "Dentro", IF(A892&gt;F892,"Programado","Fuera"))))</f>
        <v>Programado</v>
      </c>
      <c r="K892" s="6" t="str">
        <f t="shared" si="27"/>
        <v>Programados</v>
      </c>
      <c r="L892" s="9">
        <v>45884</v>
      </c>
      <c r="M892" s="17">
        <f>MAX(1,NETWORKDAYS(A892,L892,Table2[Dias no laborales]))</f>
        <v>1</v>
      </c>
    </row>
    <row r="893" spans="1:13" hidden="1" x14ac:dyDescent="0.3">
      <c r="A893" s="8">
        <v>45883</v>
      </c>
      <c r="B893" s="6" t="s">
        <v>1786</v>
      </c>
      <c r="C893" s="6" t="s">
        <v>1787</v>
      </c>
      <c r="D893" s="6" t="s">
        <v>27</v>
      </c>
      <c r="E893" s="14">
        <v>45883.634027777778</v>
      </c>
      <c r="F893" s="8">
        <f>IF(HOUR(Table1[[#This Row],[CORREO]])&gt;=11,WORKDAY(Table1[[#This Row],[CORREO]],1,Table2[Dias no laborales]),E893)</f>
        <v>45884</v>
      </c>
      <c r="G893" s="8">
        <v>45887</v>
      </c>
      <c r="H893" s="6">
        <f t="shared" si="26"/>
        <v>33</v>
      </c>
      <c r="I893" s="16">
        <f>MAX(1, NETWORKDAYS(A893, G893,Table2[Dias no laborales]))</f>
        <v>3</v>
      </c>
      <c r="J893" s="6" t="str">
        <f>IF(Table1[[#This Row],[FIN]]="","Acumulado",IF(ISNUMBER(SEARCH("ASAP",C893)),"ASAP",IF(NETWORKDAYS.INTL(F893,G893,1,Table2[Dias no laborales]) &lt;= 7, "Dentro", IF(A893&gt;F893,"Programado","Fuera"))))</f>
        <v>ASAP</v>
      </c>
      <c r="K893" s="6" t="str">
        <f t="shared" si="27"/>
        <v>Mismo día</v>
      </c>
      <c r="L893" s="9">
        <v>45883</v>
      </c>
      <c r="M893" s="17">
        <f>MAX(1,NETWORKDAYS(A893,L893,Table2[Dias no laborales]))</f>
        <v>1</v>
      </c>
    </row>
    <row r="894" spans="1:13" hidden="1" x14ac:dyDescent="0.3">
      <c r="A894" s="8">
        <v>45884</v>
      </c>
      <c r="B894" s="6" t="s">
        <v>1888</v>
      </c>
      <c r="C894" s="6" t="s">
        <v>1889</v>
      </c>
      <c r="D894" s="6" t="s">
        <v>139</v>
      </c>
      <c r="E894" s="14"/>
      <c r="F894" s="8">
        <f>IF(HOUR(Table1[[#This Row],[CORREO]])&gt;=11,WORKDAY(Table1[[#This Row],[CORREO]],1,Table2[Dias no laborales]),E894)</f>
        <v>0</v>
      </c>
      <c r="G894" s="8">
        <v>45905</v>
      </c>
      <c r="H894" s="6">
        <f t="shared" si="26"/>
        <v>33</v>
      </c>
      <c r="I894" s="16">
        <f>MAX(1, NETWORKDAYS(A894, G894,Table2[Dias no laborales]))</f>
        <v>16</v>
      </c>
      <c r="J894" s="6" t="str">
        <f>IF(Table1[[#This Row],[FIN]]="","Acumulado",IF(ISNUMBER(SEARCH("ASAP",C894)),"ASAP",IF(NETWORKDAYS.INTL(F894,G894,1,Table2[Dias no laborales]) &lt;= 7, "Dentro", IF(A894&gt;F894,"Programado","Fuera"))))</f>
        <v>ASAP</v>
      </c>
      <c r="K894" s="6" t="str">
        <f t="shared" si="27"/>
        <v>Programados</v>
      </c>
      <c r="L894" s="9">
        <v>45884</v>
      </c>
      <c r="M894" s="17">
        <f>MAX(1,NETWORKDAYS(A894,L894,Table2[Dias no laborales]))</f>
        <v>1</v>
      </c>
    </row>
    <row r="895" spans="1:13" hidden="1" x14ac:dyDescent="0.3">
      <c r="A895" s="8">
        <v>45887</v>
      </c>
      <c r="B895" s="6" t="s">
        <v>1826</v>
      </c>
      <c r="C895" s="6" t="s">
        <v>1789</v>
      </c>
      <c r="D895" s="6" t="s">
        <v>1827</v>
      </c>
      <c r="E895" s="14"/>
      <c r="F895" s="8">
        <f>IF(HOUR(Table1[[#This Row],[CORREO]])&gt;=11,WORKDAY(Table1[[#This Row],[CORREO]],1,Table2[Dias no laborales]),E895)</f>
        <v>0</v>
      </c>
      <c r="G895" s="8">
        <v>45894</v>
      </c>
      <c r="H895" s="6">
        <f t="shared" si="26"/>
        <v>33</v>
      </c>
      <c r="I895" s="16">
        <f>MAX(1, NETWORKDAYS(A895, G895,Table2[Dias no laborales]))</f>
        <v>6</v>
      </c>
      <c r="J895" s="6" t="str">
        <f>IF(Table1[[#This Row],[FIN]]="","Acumulado",IF(ISNUMBER(SEARCH("ASAP",C895)),"ASAP",IF(NETWORKDAYS.INTL(F895,G895,1,Table2[Dias no laborales]) &lt;= 7, "Dentro", IF(A895&gt;F895,"Programado","Fuera"))))</f>
        <v>Programado</v>
      </c>
      <c r="K895" s="6" t="str">
        <f t="shared" si="27"/>
        <v>Programados</v>
      </c>
      <c r="L895" s="9">
        <v>45887</v>
      </c>
      <c r="M895" s="17">
        <f>MAX(1,NETWORKDAYS(A895,L895,Table2[Dias no laborales]))</f>
        <v>1</v>
      </c>
    </row>
    <row r="896" spans="1:13" hidden="1" x14ac:dyDescent="0.3">
      <c r="A896" s="8">
        <v>45887</v>
      </c>
      <c r="B896" s="6" t="s">
        <v>1823</v>
      </c>
      <c r="C896" s="6" t="s">
        <v>1789</v>
      </c>
      <c r="D896" s="6" t="s">
        <v>620</v>
      </c>
      <c r="E896" s="14"/>
      <c r="F896" s="8">
        <f>IF(HOUR(Table1[[#This Row],[CORREO]])&gt;=11,WORKDAY(Table1[[#This Row],[CORREO]],1,Table2[Dias no laborales]),E896)</f>
        <v>0</v>
      </c>
      <c r="G896" s="8">
        <v>45894</v>
      </c>
      <c r="H896" s="6">
        <f t="shared" si="26"/>
        <v>33</v>
      </c>
      <c r="I896" s="16">
        <f>MAX(1, NETWORKDAYS(A896, G896,Table2[Dias no laborales]))</f>
        <v>6</v>
      </c>
      <c r="J896" s="6" t="str">
        <f>IF(Table1[[#This Row],[FIN]]="","Acumulado",IF(ISNUMBER(SEARCH("ASAP",C896)),"ASAP",IF(NETWORKDAYS.INTL(F896,G896,1,Table2[Dias no laborales]) &lt;= 7, "Dentro", IF(A896&gt;F896,"Programado","Fuera"))))</f>
        <v>Programado</v>
      </c>
      <c r="K896" s="6" t="str">
        <f t="shared" si="27"/>
        <v>Programados</v>
      </c>
      <c r="L896" s="9">
        <v>45887</v>
      </c>
      <c r="M896" s="17">
        <f>MAX(1,NETWORKDAYS(A896,L896,Table2[Dias no laborales]))</f>
        <v>1</v>
      </c>
    </row>
    <row r="897" spans="1:13" hidden="1" x14ac:dyDescent="0.3">
      <c r="A897" s="8">
        <v>45887</v>
      </c>
      <c r="B897" s="6" t="s">
        <v>1824</v>
      </c>
      <c r="C897" s="6" t="s">
        <v>1789</v>
      </c>
      <c r="D897" s="6" t="s">
        <v>650</v>
      </c>
      <c r="E897" s="14"/>
      <c r="F897" s="8">
        <f>IF(HOUR(Table1[[#This Row],[CORREO]])&gt;=11,WORKDAY(Table1[[#This Row],[CORREO]],1,Table2[Dias no laborales]),E897)</f>
        <v>0</v>
      </c>
      <c r="G897" s="8">
        <v>45894</v>
      </c>
      <c r="H897" s="6">
        <f t="shared" si="26"/>
        <v>33</v>
      </c>
      <c r="I897" s="16">
        <f>MAX(1, NETWORKDAYS(A897, G897,Table2[Dias no laborales]))</f>
        <v>6</v>
      </c>
      <c r="J897" s="6" t="str">
        <f>IF(Table1[[#This Row],[FIN]]="","Acumulado",IF(ISNUMBER(SEARCH("ASAP",C897)),"ASAP",IF(NETWORKDAYS.INTL(F897,G897,1,Table2[Dias no laborales]) &lt;= 7, "Dentro", IF(A897&gt;F897,"Programado","Fuera"))))</f>
        <v>Programado</v>
      </c>
      <c r="K897" s="6" t="str">
        <f t="shared" si="27"/>
        <v>Programados</v>
      </c>
      <c r="L897" s="9">
        <v>45887</v>
      </c>
      <c r="M897" s="17">
        <f>MAX(1,NETWORKDAYS(A897,L897,Table2[Dias no laborales]))</f>
        <v>1</v>
      </c>
    </row>
    <row r="898" spans="1:13" hidden="1" x14ac:dyDescent="0.3">
      <c r="A898" s="8">
        <v>45887</v>
      </c>
      <c r="B898" s="6" t="s">
        <v>1788</v>
      </c>
      <c r="C898" s="6" t="s">
        <v>1789</v>
      </c>
      <c r="D898" s="6" t="s">
        <v>171</v>
      </c>
      <c r="E898" s="14"/>
      <c r="F898" s="8">
        <f>IF(HOUR(Table1[[#This Row],[CORREO]])&gt;=11,WORKDAY(Table1[[#This Row],[CORREO]],1,Table2[Dias no laborales]),E898)</f>
        <v>0</v>
      </c>
      <c r="G898" s="8">
        <v>45887</v>
      </c>
      <c r="H898" s="6">
        <f t="shared" ref="H898:H961" si="28">INT((A898-DATE(YEAR(A898),1,1))/7) + 1</f>
        <v>33</v>
      </c>
      <c r="I898" s="16">
        <f>MAX(1, NETWORKDAYS(A898, G898,Table2[Dias no laborales]))</f>
        <v>1</v>
      </c>
      <c r="J898" s="6" t="str">
        <f>IF(Table1[[#This Row],[FIN]]="","Acumulado",IF(ISNUMBER(SEARCH("ASAP",C898)),"ASAP",IF(NETWORKDAYS.INTL(F898,G898,1,Table2[Dias no laborales]) &lt;= 7, "Dentro", IF(A898&gt;F898,"Programado","Fuera"))))</f>
        <v>Programado</v>
      </c>
      <c r="K898" s="6" t="str">
        <f t="shared" ref="K898:K961" si="29">IF(INT(A898)=INT(F898),"A tiempo", IF(A898&lt;F898,"Mismo día","Programados"))</f>
        <v>Programados</v>
      </c>
      <c r="L898" s="9">
        <v>45887</v>
      </c>
      <c r="M898" s="17">
        <f>MAX(1,NETWORKDAYS(A898,L898,Table2[Dias no laborales]))</f>
        <v>1</v>
      </c>
    </row>
    <row r="899" spans="1:13" hidden="1" x14ac:dyDescent="0.3">
      <c r="A899" s="8">
        <v>45887</v>
      </c>
      <c r="B899" s="6" t="s">
        <v>1792</v>
      </c>
      <c r="C899" s="6" t="s">
        <v>1793</v>
      </c>
      <c r="D899" s="6" t="s">
        <v>24</v>
      </c>
      <c r="E899" s="14">
        <v>45884.901388888888</v>
      </c>
      <c r="F899" s="8">
        <f>IF(HOUR(Table1[[#This Row],[CORREO]])&gt;=11,WORKDAY(Table1[[#This Row],[CORREO]],1,Table2[Dias no laborales]),E899)</f>
        <v>45887</v>
      </c>
      <c r="G899" s="8">
        <v>45888</v>
      </c>
      <c r="H899" s="6">
        <f t="shared" si="28"/>
        <v>33</v>
      </c>
      <c r="I899" s="16">
        <f>MAX(1, NETWORKDAYS(A899, G899,Table2[Dias no laborales]))</f>
        <v>2</v>
      </c>
      <c r="J899" s="6" t="str">
        <f>IF(Table1[[#This Row],[FIN]]="","Acumulado",IF(ISNUMBER(SEARCH("ASAP",C899)),"ASAP",IF(NETWORKDAYS.INTL(F899,G899,1,Table2[Dias no laborales]) &lt;= 7, "Dentro", IF(A899&gt;F899,"Programado","Fuera"))))</f>
        <v>Dentro</v>
      </c>
      <c r="K899" s="6" t="str">
        <f t="shared" si="29"/>
        <v>A tiempo</v>
      </c>
      <c r="L899" s="9">
        <v>45887</v>
      </c>
      <c r="M899" s="17">
        <f>MAX(1,NETWORKDAYS(A899,L899,Table2[Dias no laborales]))</f>
        <v>1</v>
      </c>
    </row>
    <row r="900" spans="1:13" hidden="1" x14ac:dyDescent="0.3">
      <c r="A900" s="8">
        <v>45887</v>
      </c>
      <c r="B900" s="6" t="s">
        <v>1790</v>
      </c>
      <c r="C900" s="6" t="s">
        <v>1791</v>
      </c>
      <c r="D900" s="6" t="s">
        <v>133</v>
      </c>
      <c r="E900" s="14">
        <v>45887.418749999997</v>
      </c>
      <c r="F900" s="8">
        <f>IF(HOUR(Table1[[#This Row],[CORREO]])&gt;=11,WORKDAY(Table1[[#This Row],[CORREO]],1,Table2[Dias no laborales]),E900)</f>
        <v>45887.418749999997</v>
      </c>
      <c r="G900" s="8">
        <v>45888</v>
      </c>
      <c r="H900" s="6">
        <f t="shared" si="28"/>
        <v>33</v>
      </c>
      <c r="I900" s="16">
        <f>MAX(1, NETWORKDAYS(A900, G900,Table2[Dias no laborales]))</f>
        <v>2</v>
      </c>
      <c r="J900" s="6" t="str">
        <f>IF(Table1[[#This Row],[FIN]]="","Acumulado",IF(ISNUMBER(SEARCH("ASAP",C900)),"ASAP",IF(NETWORKDAYS.INTL(F900,G900,1,Table2[Dias no laborales]) &lt;= 7, "Dentro", IF(A900&gt;F900,"Programado","Fuera"))))</f>
        <v>Dentro</v>
      </c>
      <c r="K900" s="6" t="str">
        <f t="shared" si="29"/>
        <v>A tiempo</v>
      </c>
      <c r="L900" s="9">
        <v>45887</v>
      </c>
      <c r="M900" s="17">
        <f>MAX(1,NETWORKDAYS(A900,L900,Table2[Dias no laborales]))</f>
        <v>1</v>
      </c>
    </row>
    <row r="901" spans="1:13" hidden="1" x14ac:dyDescent="0.3">
      <c r="A901" s="8">
        <v>45887</v>
      </c>
      <c r="B901" s="6" t="s">
        <v>1808</v>
      </c>
      <c r="C901" s="6" t="s">
        <v>1809</v>
      </c>
      <c r="D901" s="6" t="s">
        <v>24</v>
      </c>
      <c r="E901" s="14"/>
      <c r="F901" s="8">
        <f>IF(HOUR(Table1[[#This Row],[CORREO]])&gt;=11,WORKDAY(Table1[[#This Row],[CORREO]],1,Table2[Dias no laborales]),E901)</f>
        <v>0</v>
      </c>
      <c r="G901" s="8">
        <v>45891</v>
      </c>
      <c r="H901" s="6">
        <f t="shared" si="28"/>
        <v>33</v>
      </c>
      <c r="I901" s="16">
        <f>MAX(1, NETWORKDAYS(A901, G901,Table2[Dias no laborales]))</f>
        <v>5</v>
      </c>
      <c r="J901" s="6" t="str">
        <f>IF(Table1[[#This Row],[FIN]]="","Acumulado",IF(ISNUMBER(SEARCH("ASAP",C901)),"ASAP",IF(NETWORKDAYS.INTL(F901,G901,1,Table2[Dias no laborales]) &lt;= 7, "Dentro", IF(A901&gt;F901,"Programado","Fuera"))))</f>
        <v>Programado</v>
      </c>
      <c r="K901" s="6" t="str">
        <f t="shared" si="29"/>
        <v>Programados</v>
      </c>
      <c r="L901" s="9">
        <v>45887</v>
      </c>
      <c r="M901" s="17">
        <f>MAX(1,NETWORKDAYS(A901,L901,Table2[Dias no laborales]))</f>
        <v>1</v>
      </c>
    </row>
    <row r="902" spans="1:13" hidden="1" x14ac:dyDescent="0.3">
      <c r="A902" s="8">
        <v>45887</v>
      </c>
      <c r="B902" s="6" t="s">
        <v>1812</v>
      </c>
      <c r="C902" s="6" t="s">
        <v>1813</v>
      </c>
      <c r="D902" s="6" t="s">
        <v>24</v>
      </c>
      <c r="E902" s="14">
        <v>45887.580555555556</v>
      </c>
      <c r="F902" s="8">
        <f>IF(HOUR(Table1[[#This Row],[CORREO]])&gt;=11,WORKDAY(Table1[[#This Row],[CORREO]],1,Table2[Dias no laborales]),E902)</f>
        <v>45888</v>
      </c>
      <c r="G902" s="8">
        <v>45891</v>
      </c>
      <c r="H902" s="6">
        <f t="shared" si="28"/>
        <v>33</v>
      </c>
      <c r="I902" s="16">
        <f>MAX(1, NETWORKDAYS(A902, G902,Table2[Dias no laborales]))</f>
        <v>5</v>
      </c>
      <c r="J902" s="6" t="str">
        <f>IF(Table1[[#This Row],[FIN]]="","Acumulado",IF(ISNUMBER(SEARCH("ASAP",C902)),"ASAP",IF(NETWORKDAYS.INTL(F902,G902,1,Table2[Dias no laborales]) &lt;= 7, "Dentro", IF(A902&gt;F902,"Programado","Fuera"))))</f>
        <v>Dentro</v>
      </c>
      <c r="K902" s="6" t="str">
        <f t="shared" si="29"/>
        <v>Mismo día</v>
      </c>
      <c r="L902" s="9">
        <v>45887</v>
      </c>
      <c r="M902" s="17">
        <f>MAX(1,NETWORKDAYS(A902,L902,Table2[Dias no laborales]))</f>
        <v>1</v>
      </c>
    </row>
    <row r="903" spans="1:13" hidden="1" x14ac:dyDescent="0.3">
      <c r="A903" s="8">
        <v>45888</v>
      </c>
      <c r="B903" s="6" t="s">
        <v>1798</v>
      </c>
      <c r="C903" s="6" t="s">
        <v>1799</v>
      </c>
      <c r="D903" s="6" t="s">
        <v>139</v>
      </c>
      <c r="E903" s="14">
        <v>45887.477083333331</v>
      </c>
      <c r="F903" s="8">
        <f>IF(HOUR(Table1[[#This Row],[CORREO]])&gt;=11,WORKDAY(Table1[[#This Row],[CORREO]],1,Table2[Dias no laborales]),E903)</f>
        <v>45888</v>
      </c>
      <c r="G903" s="8">
        <v>45888</v>
      </c>
      <c r="H903" s="6">
        <f t="shared" si="28"/>
        <v>33</v>
      </c>
      <c r="I903" s="16">
        <f>MAX(1, NETWORKDAYS(A903, G903,Table2[Dias no laborales]))</f>
        <v>1</v>
      </c>
      <c r="J903" s="6" t="str">
        <f>IF(Table1[[#This Row],[FIN]]="","Acumulado",IF(ISNUMBER(SEARCH("ASAP",C903)),"ASAP",IF(NETWORKDAYS.INTL(F903,G903,1,Table2[Dias no laborales]) &lt;= 7, "Dentro", IF(A903&gt;F903,"Programado","Fuera"))))</f>
        <v>Dentro</v>
      </c>
      <c r="K903" s="6" t="str">
        <f t="shared" si="29"/>
        <v>A tiempo</v>
      </c>
      <c r="L903" s="9">
        <v>45888</v>
      </c>
      <c r="M903" s="17">
        <f>MAX(1,NETWORKDAYS(A903,L903,Table2[Dias no laborales]))</f>
        <v>1</v>
      </c>
    </row>
    <row r="904" spans="1:13" hidden="1" x14ac:dyDescent="0.3">
      <c r="A904" s="8">
        <v>45888</v>
      </c>
      <c r="B904" s="6" t="s">
        <v>1867</v>
      </c>
      <c r="C904" s="6" t="s">
        <v>1868</v>
      </c>
      <c r="D904" s="6" t="s">
        <v>650</v>
      </c>
      <c r="E904" s="14">
        <v>45887.650694444441</v>
      </c>
      <c r="F904" s="8">
        <f>IF(HOUR(Table1[[#This Row],[CORREO]])&gt;=11,WORKDAY(Table1[[#This Row],[CORREO]],1,Table2[Dias no laborales]),E904)</f>
        <v>45888</v>
      </c>
      <c r="G904" s="8">
        <v>45901</v>
      </c>
      <c r="H904" s="6">
        <f t="shared" si="28"/>
        <v>33</v>
      </c>
      <c r="I904" s="16">
        <f>MAX(1, NETWORKDAYS(A904, G904,Table2[Dias no laborales]))</f>
        <v>10</v>
      </c>
      <c r="J904" s="6" t="str">
        <f>IF(Table1[[#This Row],[FIN]]="","Acumulado",IF(ISNUMBER(SEARCH("ASAP",C904)),"ASAP",IF(NETWORKDAYS.INTL(F904,G904,1,Table2[Dias no laborales]) &lt;= 7, "Dentro", IF(A904&gt;F904,"Programado","Fuera"))))</f>
        <v>Fuera</v>
      </c>
      <c r="K904" s="6" t="str">
        <f t="shared" si="29"/>
        <v>A tiempo</v>
      </c>
      <c r="L904" s="9">
        <v>45888</v>
      </c>
      <c r="M904" s="17">
        <f>MAX(1,NETWORKDAYS(A904,L904,Table2[Dias no laborales]))</f>
        <v>1</v>
      </c>
    </row>
    <row r="905" spans="1:13" hidden="1" x14ac:dyDescent="0.3">
      <c r="A905" s="8">
        <v>45888</v>
      </c>
      <c r="B905" s="6" t="s">
        <v>1804</v>
      </c>
      <c r="C905" s="6" t="s">
        <v>1805</v>
      </c>
      <c r="D905" s="6" t="s">
        <v>27</v>
      </c>
      <c r="E905" s="14">
        <v>45887.670138888891</v>
      </c>
      <c r="F905" s="8">
        <f>IF(HOUR(Table1[[#This Row],[CORREO]])&gt;=11,WORKDAY(Table1[[#This Row],[CORREO]],1,Table2[Dias no laborales]),E905)</f>
        <v>45888</v>
      </c>
      <c r="G905" s="8">
        <v>45891</v>
      </c>
      <c r="H905" s="6">
        <f t="shared" si="28"/>
        <v>33</v>
      </c>
      <c r="I905" s="16">
        <f>MAX(1, NETWORKDAYS(A905, G905,Table2[Dias no laborales]))</f>
        <v>4</v>
      </c>
      <c r="J905" s="6" t="str">
        <f>IF(Table1[[#This Row],[FIN]]="","Acumulado",IF(ISNUMBER(SEARCH("ASAP",C905)),"ASAP",IF(NETWORKDAYS.INTL(F905,G905,1,Table2[Dias no laborales]) &lt;= 7, "Dentro", IF(A905&gt;F905,"Programado","Fuera"))))</f>
        <v>Dentro</v>
      </c>
      <c r="K905" s="6" t="str">
        <f t="shared" si="29"/>
        <v>A tiempo</v>
      </c>
      <c r="L905" s="9">
        <v>45888</v>
      </c>
      <c r="M905" s="17">
        <f>MAX(1,NETWORKDAYS(A905,L905,Table2[Dias no laborales]))</f>
        <v>1</v>
      </c>
    </row>
    <row r="906" spans="1:13" hidden="1" x14ac:dyDescent="0.3">
      <c r="A906" s="8">
        <v>45888</v>
      </c>
      <c r="B906" s="6" t="s">
        <v>1810</v>
      </c>
      <c r="C906" s="6" t="s">
        <v>1811</v>
      </c>
      <c r="D906" s="6" t="s">
        <v>27</v>
      </c>
      <c r="E906" s="14">
        <v>45887.6875</v>
      </c>
      <c r="F906" s="8">
        <f>IF(HOUR(Table1[[#This Row],[CORREO]])&gt;=11,WORKDAY(Table1[[#This Row],[CORREO]],1,Table2[Dias no laborales]),E906)</f>
        <v>45888</v>
      </c>
      <c r="G906" s="8">
        <v>45891</v>
      </c>
      <c r="H906" s="6">
        <f t="shared" si="28"/>
        <v>33</v>
      </c>
      <c r="I906" s="16">
        <f>MAX(1, NETWORKDAYS(A906, G906,Table2[Dias no laborales]))</f>
        <v>4</v>
      </c>
      <c r="J906" s="6" t="str">
        <f>IF(Table1[[#This Row],[FIN]]="","Acumulado",IF(ISNUMBER(SEARCH("ASAP",C906)),"ASAP",IF(NETWORKDAYS.INTL(F906,G906,1,Table2[Dias no laborales]) &lt;= 7, "Dentro", IF(A906&gt;F906,"Programado","Fuera"))))</f>
        <v>Dentro</v>
      </c>
      <c r="K906" s="6" t="str">
        <f t="shared" si="29"/>
        <v>A tiempo</v>
      </c>
      <c r="L906" s="9">
        <v>45889</v>
      </c>
      <c r="M906" s="17">
        <f>MAX(1,NETWORKDAYS(A906,L906,Table2[Dias no laborales]))</f>
        <v>2</v>
      </c>
    </row>
    <row r="907" spans="1:13" hidden="1" x14ac:dyDescent="0.3">
      <c r="A907" s="8">
        <v>45888</v>
      </c>
      <c r="B907" s="6" t="s">
        <v>1835</v>
      </c>
      <c r="C907" s="6" t="s">
        <v>1836</v>
      </c>
      <c r="D907" s="6" t="s">
        <v>133</v>
      </c>
      <c r="E907" s="14">
        <v>45887.696527777778</v>
      </c>
      <c r="F907" s="8">
        <f>IF(HOUR(Table1[[#This Row],[CORREO]])&gt;=11,WORKDAY(Table1[[#This Row],[CORREO]],1,Table2[Dias no laborales]),E907)</f>
        <v>45888</v>
      </c>
      <c r="G907" s="8">
        <v>45895</v>
      </c>
      <c r="H907" s="6">
        <f t="shared" si="28"/>
        <v>33</v>
      </c>
      <c r="I907" s="16">
        <f>MAX(1, NETWORKDAYS(A907, G907,Table2[Dias no laborales]))</f>
        <v>6</v>
      </c>
      <c r="J907" s="6" t="str">
        <f>IF(Table1[[#This Row],[FIN]]="","Acumulado",IF(ISNUMBER(SEARCH("ASAP",C907)),"ASAP",IF(NETWORKDAYS.INTL(F907,G907,1,Table2[Dias no laborales]) &lt;= 7, "Dentro", IF(A907&gt;F907,"Programado","Fuera"))))</f>
        <v>Dentro</v>
      </c>
      <c r="K907" s="6" t="str">
        <f t="shared" si="29"/>
        <v>A tiempo</v>
      </c>
      <c r="L907" s="9">
        <v>45888</v>
      </c>
      <c r="M907" s="17">
        <f>MAX(1,NETWORKDAYS(A907,L907,Table2[Dias no laborales]))</f>
        <v>1</v>
      </c>
    </row>
    <row r="908" spans="1:13" hidden="1" x14ac:dyDescent="0.3">
      <c r="A908" s="8">
        <v>45888</v>
      </c>
      <c r="B908" s="6" t="s">
        <v>1800</v>
      </c>
      <c r="C908" s="6" t="s">
        <v>1801</v>
      </c>
      <c r="D908" s="6" t="s">
        <v>139</v>
      </c>
      <c r="E908" s="14">
        <v>45888.329861111109</v>
      </c>
      <c r="F908" s="8">
        <f>IF(HOUR(Table1[[#This Row],[CORREO]])&gt;=11,WORKDAY(Table1[[#This Row],[CORREO]],1,Table2[Dias no laborales]),E908)</f>
        <v>45888.329861111109</v>
      </c>
      <c r="G908" s="8">
        <v>45890</v>
      </c>
      <c r="H908" s="6">
        <f t="shared" si="28"/>
        <v>33</v>
      </c>
      <c r="I908" s="16">
        <f>MAX(1, NETWORKDAYS(A908, G908,Table2[Dias no laborales]))</f>
        <v>3</v>
      </c>
      <c r="J908" s="6" t="str">
        <f>IF(Table1[[#This Row],[FIN]]="","Acumulado",IF(ISNUMBER(SEARCH("ASAP",C908)),"ASAP",IF(NETWORKDAYS.INTL(F908,G908,1,Table2[Dias no laborales]) &lt;= 7, "Dentro", IF(A908&gt;F908,"Programado","Fuera"))))</f>
        <v>Dentro</v>
      </c>
      <c r="K908" s="6" t="str">
        <f t="shared" si="29"/>
        <v>A tiempo</v>
      </c>
      <c r="L908" s="9">
        <v>45888</v>
      </c>
      <c r="M908" s="17">
        <f>MAX(1,NETWORKDAYS(A908,L908,Table2[Dias no laborales]))</f>
        <v>1</v>
      </c>
    </row>
    <row r="909" spans="1:13" hidden="1" x14ac:dyDescent="0.3">
      <c r="A909" s="8">
        <v>45888</v>
      </c>
      <c r="B909" s="6" t="s">
        <v>1802</v>
      </c>
      <c r="C909" s="6" t="s">
        <v>1803</v>
      </c>
      <c r="D909" s="6" t="s">
        <v>27</v>
      </c>
      <c r="E909" s="14">
        <v>45888.73541666667</v>
      </c>
      <c r="F909" s="8">
        <f>IF(HOUR(Table1[[#This Row],[CORREO]])&gt;=11,WORKDAY(Table1[[#This Row],[CORREO]],1,Table2[Dias no laborales]),E909)</f>
        <v>45889</v>
      </c>
      <c r="G909" s="8">
        <v>45891</v>
      </c>
      <c r="H909" s="6">
        <f t="shared" si="28"/>
        <v>33</v>
      </c>
      <c r="I909" s="16">
        <f>MAX(1, NETWORKDAYS(A909, G909,Table2[Dias no laborales]))</f>
        <v>4</v>
      </c>
      <c r="J909" s="6" t="str">
        <f>IF(Table1[[#This Row],[FIN]]="","Acumulado",IF(ISNUMBER(SEARCH("ASAP",C909)),"ASAP",IF(NETWORKDAYS.INTL(F909,G909,1,Table2[Dias no laborales]) &lt;= 7, "Dentro", IF(A909&gt;F909,"Programado","Fuera"))))</f>
        <v>ASAP</v>
      </c>
      <c r="K909" s="6" t="str">
        <f t="shared" si="29"/>
        <v>Mismo día</v>
      </c>
      <c r="L909" s="9">
        <v>45888</v>
      </c>
      <c r="M909" s="17">
        <f>MAX(1,NETWORKDAYS(A909,L909,Table2[Dias no laborales]))</f>
        <v>1</v>
      </c>
    </row>
    <row r="910" spans="1:13" hidden="1" x14ac:dyDescent="0.3">
      <c r="A910" s="8">
        <v>45889</v>
      </c>
      <c r="B910" s="6" t="s">
        <v>1819</v>
      </c>
      <c r="C910" s="6" t="s">
        <v>1820</v>
      </c>
      <c r="D910" s="6" t="s">
        <v>308</v>
      </c>
      <c r="E910" s="14">
        <v>45888.662499999999</v>
      </c>
      <c r="F910" s="8">
        <f>IF(HOUR(Table1[[#This Row],[CORREO]])&gt;=11,WORKDAY(Table1[[#This Row],[CORREO]],1,Table2[Dias no laborales]),E910)</f>
        <v>45889</v>
      </c>
      <c r="G910" s="8">
        <v>45891</v>
      </c>
      <c r="H910" s="6">
        <f t="shared" si="28"/>
        <v>34</v>
      </c>
      <c r="I910" s="16">
        <f>MAX(1, NETWORKDAYS(A910, G910,Table2[Dias no laborales]))</f>
        <v>3</v>
      </c>
      <c r="J910" s="6" t="str">
        <f>IF(Table1[[#This Row],[FIN]]="","Acumulado",IF(ISNUMBER(SEARCH("ASAP",C910)),"ASAP",IF(NETWORKDAYS.INTL(F910,G910,1,Table2[Dias no laborales]) &lt;= 7, "Dentro", IF(A910&gt;F910,"Programado","Fuera"))))</f>
        <v>Dentro</v>
      </c>
      <c r="K910" s="6" t="str">
        <f t="shared" si="29"/>
        <v>A tiempo</v>
      </c>
      <c r="L910" s="9">
        <v>45889</v>
      </c>
      <c r="M910" s="17">
        <f>MAX(1,NETWORKDAYS(A910,L910,Table2[Dias no laborales]))</f>
        <v>1</v>
      </c>
    </row>
    <row r="911" spans="1:13" hidden="1" x14ac:dyDescent="0.3">
      <c r="A911" s="8">
        <v>45889</v>
      </c>
      <c r="B911" s="6" t="s">
        <v>1830</v>
      </c>
      <c r="C911" s="6" t="s">
        <v>1831</v>
      </c>
      <c r="D911" s="6" t="s">
        <v>139</v>
      </c>
      <c r="E911" s="14">
        <v>45888.717361111114</v>
      </c>
      <c r="F911" s="8">
        <f>IF(HOUR(Table1[[#This Row],[CORREO]])&gt;=11,WORKDAY(Table1[[#This Row],[CORREO]],1,Table2[Dias no laborales]),E911)</f>
        <v>45889</v>
      </c>
      <c r="G911" s="8">
        <v>45894</v>
      </c>
      <c r="H911" s="6">
        <f t="shared" si="28"/>
        <v>34</v>
      </c>
      <c r="I911" s="16">
        <f>MAX(1, NETWORKDAYS(A911, G911,Table2[Dias no laborales]))</f>
        <v>4</v>
      </c>
      <c r="J911" s="6" t="str">
        <f>IF(Table1[[#This Row],[FIN]]="","Acumulado",IF(ISNUMBER(SEARCH("ASAP",C911)),"ASAP",IF(NETWORKDAYS.INTL(F911,G911,1,Table2[Dias no laborales]) &lt;= 7, "Dentro", IF(A911&gt;F911,"Programado","Fuera"))))</f>
        <v>Dentro</v>
      </c>
      <c r="K911" s="6" t="str">
        <f t="shared" si="29"/>
        <v>A tiempo</v>
      </c>
      <c r="L911" s="9">
        <v>45889</v>
      </c>
      <c r="M911" s="17">
        <f>MAX(1,NETWORKDAYS(A911,L911,Table2[Dias no laborales]))</f>
        <v>1</v>
      </c>
    </row>
    <row r="912" spans="1:13" hidden="1" x14ac:dyDescent="0.3">
      <c r="A912" s="8">
        <v>45889</v>
      </c>
      <c r="B912" s="6" t="s">
        <v>1843</v>
      </c>
      <c r="C912" s="6" t="s">
        <v>1844</v>
      </c>
      <c r="D912" s="6" t="s">
        <v>24</v>
      </c>
      <c r="E912" s="14">
        <v>45888.720138888886</v>
      </c>
      <c r="F912" s="8">
        <f>IF(HOUR(Table1[[#This Row],[CORREO]])&gt;=11,WORKDAY(Table1[[#This Row],[CORREO]],1,Table2[Dias no laborales]),E912)</f>
        <v>45889</v>
      </c>
      <c r="G912" s="8">
        <v>45895</v>
      </c>
      <c r="H912" s="6">
        <f t="shared" si="28"/>
        <v>34</v>
      </c>
      <c r="I912" s="16">
        <f>MAX(1, NETWORKDAYS(A912, G912,Table2[Dias no laborales]))</f>
        <v>5</v>
      </c>
      <c r="J912" s="6" t="str">
        <f>IF(Table1[[#This Row],[FIN]]="","Acumulado",IF(ISNUMBER(SEARCH("ASAP",C912)),"ASAP",IF(NETWORKDAYS.INTL(F912,G912,1,Table2[Dias no laborales]) &lt;= 7, "Dentro", IF(A912&gt;F912,"Programado","Fuera"))))</f>
        <v>Dentro</v>
      </c>
      <c r="K912" s="6" t="str">
        <f t="shared" si="29"/>
        <v>A tiempo</v>
      </c>
      <c r="L912" s="9">
        <v>45889</v>
      </c>
      <c r="M912" s="17">
        <f>MAX(1,NETWORKDAYS(A912,L912,Table2[Dias no laborales]))</f>
        <v>1</v>
      </c>
    </row>
    <row r="913" spans="1:13" hidden="1" x14ac:dyDescent="0.3">
      <c r="A913" s="8">
        <v>45889</v>
      </c>
      <c r="B913" s="6" t="s">
        <v>1857</v>
      </c>
      <c r="C913" s="6" t="s">
        <v>1858</v>
      </c>
      <c r="D913" s="6" t="s">
        <v>139</v>
      </c>
      <c r="E913" s="14">
        <v>45889.429861111108</v>
      </c>
      <c r="F913" s="8">
        <f>IF(HOUR(Table1[[#This Row],[CORREO]])&gt;=11,WORKDAY(Table1[[#This Row],[CORREO]],1,Table2[Dias no laborales]),E913)</f>
        <v>45889.429861111108</v>
      </c>
      <c r="G913" s="8">
        <v>45897</v>
      </c>
      <c r="H913" s="6">
        <f t="shared" si="28"/>
        <v>34</v>
      </c>
      <c r="I913" s="16">
        <f>MAX(1, NETWORKDAYS(A913, G913,Table2[Dias no laborales]))</f>
        <v>7</v>
      </c>
      <c r="J913" s="6" t="str">
        <f>IF(Table1[[#This Row],[FIN]]="","Acumulado",IF(ISNUMBER(SEARCH("ASAP",C913)),"ASAP",IF(NETWORKDAYS.INTL(F913,G913,1,Table2[Dias no laborales]) &lt;= 7, "Dentro", IF(A913&gt;F913,"Programado","Fuera"))))</f>
        <v>Dentro</v>
      </c>
      <c r="K913" s="6" t="str">
        <f t="shared" si="29"/>
        <v>A tiempo</v>
      </c>
      <c r="L913" s="9">
        <v>45890</v>
      </c>
      <c r="M913" s="17">
        <f>MAX(1,NETWORKDAYS(A913,L913,Table2[Dias no laborales]))</f>
        <v>2</v>
      </c>
    </row>
    <row r="914" spans="1:13" hidden="1" x14ac:dyDescent="0.3">
      <c r="A914" s="8">
        <v>45889</v>
      </c>
      <c r="B914" s="6" t="s">
        <v>1817</v>
      </c>
      <c r="C914" s="6" t="s">
        <v>1818</v>
      </c>
      <c r="D914" s="6" t="s">
        <v>504</v>
      </c>
      <c r="E914" s="14">
        <v>45889.444444444445</v>
      </c>
      <c r="F914" s="8">
        <f>IF(HOUR(Table1[[#This Row],[CORREO]])&gt;=11,WORKDAY(Table1[[#This Row],[CORREO]],1,Table2[Dias no laborales]),E914)</f>
        <v>45889.444444444445</v>
      </c>
      <c r="G914" s="8">
        <v>45891</v>
      </c>
      <c r="H914" s="6">
        <f t="shared" si="28"/>
        <v>34</v>
      </c>
      <c r="I914" s="16">
        <f>MAX(1, NETWORKDAYS(A914, G914,Table2[Dias no laborales]))</f>
        <v>3</v>
      </c>
      <c r="J914" s="6" t="str">
        <f>IF(Table1[[#This Row],[FIN]]="","Acumulado",IF(ISNUMBER(SEARCH("ASAP",C914)),"ASAP",IF(NETWORKDAYS.INTL(F914,G914,1,Table2[Dias no laborales]) &lt;= 7, "Dentro", IF(A914&gt;F914,"Programado","Fuera"))))</f>
        <v>Dentro</v>
      </c>
      <c r="K914" s="6" t="str">
        <f t="shared" si="29"/>
        <v>A tiempo</v>
      </c>
      <c r="L914" s="9">
        <v>45889</v>
      </c>
      <c r="M914" s="17">
        <f>MAX(1,NETWORKDAYS(A914,L914,Table2[Dias no laborales]))</f>
        <v>1</v>
      </c>
    </row>
    <row r="915" spans="1:13" hidden="1" x14ac:dyDescent="0.3">
      <c r="A915" s="8">
        <v>45890</v>
      </c>
      <c r="B915" s="6" t="s">
        <v>1834</v>
      </c>
      <c r="C915" s="6" t="s">
        <v>782</v>
      </c>
      <c r="D915" s="6" t="s">
        <v>517</v>
      </c>
      <c r="E915" s="14">
        <v>45890.435416666667</v>
      </c>
      <c r="F915" s="8">
        <f>IF(HOUR(Table1[[#This Row],[CORREO]])&gt;=11,WORKDAY(Table1[[#This Row],[CORREO]],1,Table2[Dias no laborales]),E915)</f>
        <v>45890.435416666667</v>
      </c>
      <c r="G915" s="8">
        <v>45895</v>
      </c>
      <c r="H915" s="6">
        <f t="shared" si="28"/>
        <v>34</v>
      </c>
      <c r="I915" s="16">
        <f>MAX(1, NETWORKDAYS(A915, G915,Table2[Dias no laborales]))</f>
        <v>4</v>
      </c>
      <c r="J915" s="6" t="str">
        <f>IF(Table1[[#This Row],[FIN]]="","Acumulado",IF(ISNUMBER(SEARCH("ASAP",C915)),"ASAP",IF(NETWORKDAYS.INTL(F915,G915,1,Table2[Dias no laborales]) &lt;= 7, "Dentro", IF(A915&gt;F915,"Programado","Fuera"))))</f>
        <v>Dentro</v>
      </c>
      <c r="K915" s="6" t="str">
        <f t="shared" si="29"/>
        <v>A tiempo</v>
      </c>
      <c r="L915" s="9">
        <v>45890</v>
      </c>
      <c r="M915" s="17">
        <f>MAX(1,NETWORKDAYS(A915,L915,Table2[Dias no laborales]))</f>
        <v>1</v>
      </c>
    </row>
    <row r="916" spans="1:13" hidden="1" x14ac:dyDescent="0.3">
      <c r="A916" s="8">
        <v>45890</v>
      </c>
      <c r="B916" s="6" t="s">
        <v>1806</v>
      </c>
      <c r="C916" s="10" t="s">
        <v>1807</v>
      </c>
      <c r="D916" s="6" t="s">
        <v>27</v>
      </c>
      <c r="E916" s="14">
        <v>45890.556250000001</v>
      </c>
      <c r="F916" s="8">
        <f>IF(HOUR(Table1[[#This Row],[CORREO]])&gt;=11,WORKDAY(Table1[[#This Row],[CORREO]],1,Table2[Dias no laborales]),E916)</f>
        <v>45891</v>
      </c>
      <c r="G916" s="8">
        <v>45891</v>
      </c>
      <c r="H916" s="6">
        <f t="shared" si="28"/>
        <v>34</v>
      </c>
      <c r="I916" s="16">
        <f>MAX(1, NETWORKDAYS(A916, G916,Table2[Dias no laborales]))</f>
        <v>2</v>
      </c>
      <c r="J916" s="6" t="str">
        <f>IF(Table1[[#This Row],[FIN]]="","Acumulado",IF(ISNUMBER(SEARCH("ASAP",C916)),"ASAP",IF(NETWORKDAYS.INTL(F916,G916,1,Table2[Dias no laborales]) &lt;= 7, "Dentro", IF(A916&gt;F916,"Programado","Fuera"))))</f>
        <v>Dentro</v>
      </c>
      <c r="K916" s="6" t="str">
        <f t="shared" si="29"/>
        <v>Mismo día</v>
      </c>
      <c r="L916" s="9">
        <v>45890</v>
      </c>
      <c r="M916" s="17">
        <f>MAX(1,NETWORKDAYS(A916,L916,Table2[Dias no laborales]))</f>
        <v>1</v>
      </c>
    </row>
    <row r="917" spans="1:13" hidden="1" x14ac:dyDescent="0.3">
      <c r="A917" s="8">
        <v>45891</v>
      </c>
      <c r="B917" s="6" t="s">
        <v>1892</v>
      </c>
      <c r="C917" s="6" t="s">
        <v>1893</v>
      </c>
      <c r="D917" s="6" t="s">
        <v>24</v>
      </c>
      <c r="E917" s="14"/>
      <c r="F917" s="8">
        <f>IF(HOUR(Table1[[#This Row],[CORREO]])&gt;=11,WORKDAY(Table1[[#This Row],[CORREO]],1,Table2[Dias no laborales]),E917)</f>
        <v>0</v>
      </c>
      <c r="G917" s="8">
        <v>45910</v>
      </c>
      <c r="H917" s="6">
        <f t="shared" si="28"/>
        <v>34</v>
      </c>
      <c r="I917" s="16">
        <f>MAX(1, NETWORKDAYS(A917, G917,Table2[Dias no laborales]))</f>
        <v>14</v>
      </c>
      <c r="J917" s="6" t="str">
        <f>IF(Table1[[#This Row],[FIN]]="","Acumulado",IF(ISNUMBER(SEARCH("ASAP",C917)),"ASAP",IF(NETWORKDAYS.INTL(F917,G917,1,Table2[Dias no laborales]) &lt;= 7, "Dentro", IF(A917&gt;F917,"Programado","Fuera"))))</f>
        <v>Programado</v>
      </c>
      <c r="K917" s="6" t="str">
        <f t="shared" si="29"/>
        <v>Programados</v>
      </c>
      <c r="L917" s="9">
        <v>45891</v>
      </c>
      <c r="M917" s="17">
        <f>MAX(1,NETWORKDAYS(A917,L917,Table2[Dias no laborales]))</f>
        <v>1</v>
      </c>
    </row>
    <row r="918" spans="1:13" hidden="1" x14ac:dyDescent="0.3">
      <c r="A918" s="8">
        <v>45891</v>
      </c>
      <c r="B918" s="6" t="s">
        <v>1828</v>
      </c>
      <c r="C918" s="6" t="s">
        <v>196</v>
      </c>
      <c r="D918" s="6" t="s">
        <v>27</v>
      </c>
      <c r="E918" s="14"/>
      <c r="F918" s="8">
        <f>IF(HOUR(Table1[[#This Row],[CORREO]])&gt;=11,WORKDAY(Table1[[#This Row],[CORREO]],1,Table2[Dias no laborales]),E918)</f>
        <v>0</v>
      </c>
      <c r="G918" s="8">
        <v>45894</v>
      </c>
      <c r="H918" s="6">
        <f t="shared" si="28"/>
        <v>34</v>
      </c>
      <c r="I918" s="16">
        <f>MAX(1, NETWORKDAYS(A918, G918,Table2[Dias no laborales]))</f>
        <v>2</v>
      </c>
      <c r="J918" s="6" t="str">
        <f>IF(Table1[[#This Row],[FIN]]="","Acumulado",IF(ISNUMBER(SEARCH("ASAP",C918)),"ASAP",IF(NETWORKDAYS.INTL(F918,G918,1,Table2[Dias no laborales]) &lt;= 7, "Dentro", IF(A918&gt;F918,"Programado","Fuera"))))</f>
        <v>Programado</v>
      </c>
      <c r="K918" s="6" t="str">
        <f t="shared" si="29"/>
        <v>Programados</v>
      </c>
      <c r="L918" s="9">
        <v>45891</v>
      </c>
      <c r="M918" s="17">
        <f>MAX(1,NETWORKDAYS(A918,L918,Table2[Dias no laborales]))</f>
        <v>1</v>
      </c>
    </row>
    <row r="919" spans="1:13" hidden="1" x14ac:dyDescent="0.3">
      <c r="A919" s="8">
        <v>45891</v>
      </c>
      <c r="B919" s="6" t="s">
        <v>1829</v>
      </c>
      <c r="C919" s="6" t="s">
        <v>188</v>
      </c>
      <c r="D919" s="6" t="s">
        <v>27</v>
      </c>
      <c r="E919" s="14"/>
      <c r="F919" s="8">
        <f>IF(HOUR(Table1[[#This Row],[CORREO]])&gt;=11,WORKDAY(Table1[[#This Row],[CORREO]],1,Table2[Dias no laborales]),E919)</f>
        <v>0</v>
      </c>
      <c r="G919" s="8">
        <v>45894</v>
      </c>
      <c r="H919" s="6">
        <f t="shared" si="28"/>
        <v>34</v>
      </c>
      <c r="I919" s="16">
        <f>MAX(1, NETWORKDAYS(A919, G919,Table2[Dias no laborales]))</f>
        <v>2</v>
      </c>
      <c r="J919" s="6" t="str">
        <f>IF(Table1[[#This Row],[FIN]]="","Acumulado",IF(ISNUMBER(SEARCH("ASAP",C919)),"ASAP",IF(NETWORKDAYS.INTL(F919,G919,1,Table2[Dias no laborales]) &lt;= 7, "Dentro", IF(A919&gt;F919,"Programado","Fuera"))))</f>
        <v>Programado</v>
      </c>
      <c r="K919" s="6" t="str">
        <f t="shared" si="29"/>
        <v>Programados</v>
      </c>
      <c r="L919" s="9">
        <v>45891</v>
      </c>
      <c r="M919" s="17">
        <f>MAX(1,NETWORKDAYS(A919,L919,Table2[Dias no laborales]))</f>
        <v>1</v>
      </c>
    </row>
    <row r="920" spans="1:13" hidden="1" x14ac:dyDescent="0.3">
      <c r="A920" s="8">
        <v>45891</v>
      </c>
      <c r="B920" s="6" t="s">
        <v>1814</v>
      </c>
      <c r="C920" s="6" t="s">
        <v>1793</v>
      </c>
      <c r="D920" s="6" t="s">
        <v>538</v>
      </c>
      <c r="E920" s="14">
        <v>45891.40347222222</v>
      </c>
      <c r="F920" s="8">
        <f>IF(HOUR(Table1[[#This Row],[CORREO]])&gt;=11,WORKDAY(Table1[[#This Row],[CORREO]],1,Table2[Dias no laborales]),E920)</f>
        <v>45891.40347222222</v>
      </c>
      <c r="G920" s="8">
        <v>45891</v>
      </c>
      <c r="H920" s="6">
        <f t="shared" si="28"/>
        <v>34</v>
      </c>
      <c r="I920" s="16">
        <f>MAX(1, NETWORKDAYS(A920, G920,Table2[Dias no laborales]))</f>
        <v>1</v>
      </c>
      <c r="J920" s="6" t="str">
        <f>IF(Table1[[#This Row],[FIN]]="","Acumulado",IF(ISNUMBER(SEARCH("ASAP",C920)),"ASAP",IF(NETWORKDAYS.INTL(F920,G920,1,Table2[Dias no laborales]) &lt;= 7, "Dentro", IF(A920&gt;F920,"Programado","Fuera"))))</f>
        <v>Dentro</v>
      </c>
      <c r="K920" s="6" t="str">
        <f t="shared" si="29"/>
        <v>A tiempo</v>
      </c>
      <c r="L920" s="9">
        <v>45894</v>
      </c>
      <c r="M920" s="17">
        <f>MAX(1,NETWORKDAYS(A920,L920,Table2[Dias no laborales]))</f>
        <v>2</v>
      </c>
    </row>
    <row r="921" spans="1:13" hidden="1" x14ac:dyDescent="0.3">
      <c r="A921" s="8">
        <v>45894</v>
      </c>
      <c r="B921" s="6" t="s">
        <v>1861</v>
      </c>
      <c r="C921" s="6" t="s">
        <v>1862</v>
      </c>
      <c r="D921" s="6" t="s">
        <v>24</v>
      </c>
      <c r="E921" s="14"/>
      <c r="F921" s="8">
        <f>IF(HOUR(Table1[[#This Row],[CORREO]])&gt;=11,WORKDAY(Table1[[#This Row],[CORREO]],1,Table2[Dias no laborales]),E921)</f>
        <v>0</v>
      </c>
      <c r="G921" s="8">
        <v>45898</v>
      </c>
      <c r="H921" s="6">
        <f t="shared" si="28"/>
        <v>34</v>
      </c>
      <c r="I921" s="16">
        <f>MAX(1, NETWORKDAYS(A921, G921,Table2[Dias no laborales]))</f>
        <v>5</v>
      </c>
      <c r="J921" s="6" t="str">
        <f>IF(Table1[[#This Row],[FIN]]="","Acumulado",IF(ISNUMBER(SEARCH("ASAP",C921)),"ASAP",IF(NETWORKDAYS.INTL(F921,G921,1,Table2[Dias no laborales]) &lt;= 7, "Dentro", IF(A921&gt;F921,"Programado","Fuera"))))</f>
        <v>Programado</v>
      </c>
      <c r="K921" s="6" t="str">
        <f t="shared" si="29"/>
        <v>Programados</v>
      </c>
      <c r="L921" s="9">
        <v>45894</v>
      </c>
      <c r="M921" s="17">
        <f>MAX(1,NETWORKDAYS(A921,L921,Table2[Dias no laborales]))</f>
        <v>1</v>
      </c>
    </row>
    <row r="922" spans="1:13" hidden="1" x14ac:dyDescent="0.3">
      <c r="A922" s="8">
        <v>45894</v>
      </c>
      <c r="B922" s="6" t="s">
        <v>1832</v>
      </c>
      <c r="C922" s="6" t="s">
        <v>1833</v>
      </c>
      <c r="D922" s="6" t="s">
        <v>133</v>
      </c>
      <c r="E922" s="14">
        <v>45892.499305555553</v>
      </c>
      <c r="F922" s="8">
        <f>IF(HOUR(Table1[[#This Row],[CORREO]])&gt;=11,WORKDAY(Table1[[#This Row],[CORREO]],1,Table2[Dias no laborales]),E922)</f>
        <v>45894</v>
      </c>
      <c r="G922" s="8">
        <v>45894</v>
      </c>
      <c r="H922" s="6">
        <f t="shared" si="28"/>
        <v>34</v>
      </c>
      <c r="I922" s="16">
        <f>MAX(1, NETWORKDAYS(A922, G922,Table2[Dias no laborales]))</f>
        <v>1</v>
      </c>
      <c r="J922" s="6" t="str">
        <f>IF(Table1[[#This Row],[FIN]]="","Acumulado",IF(ISNUMBER(SEARCH("ASAP",C922)),"ASAP",IF(NETWORKDAYS.INTL(F922,G922,1,Table2[Dias no laborales]) &lt;= 7, "Dentro", IF(A922&gt;F922,"Programado","Fuera"))))</f>
        <v>Dentro</v>
      </c>
      <c r="K922" s="6" t="str">
        <f t="shared" si="29"/>
        <v>A tiempo</v>
      </c>
      <c r="L922" s="9">
        <v>45894</v>
      </c>
      <c r="M922" s="17">
        <f>MAX(1,NETWORKDAYS(A922,L922,Table2[Dias no laborales]))</f>
        <v>1</v>
      </c>
    </row>
    <row r="923" spans="1:13" hidden="1" x14ac:dyDescent="0.3">
      <c r="A923" s="8">
        <v>45894</v>
      </c>
      <c r="B923" s="6" t="s">
        <v>1880</v>
      </c>
      <c r="C923" s="6" t="s">
        <v>1881</v>
      </c>
      <c r="D923" s="6" t="s">
        <v>24</v>
      </c>
      <c r="E923" s="14">
        <v>45894.324305555558</v>
      </c>
      <c r="F923" s="8">
        <f>IF(HOUR(Table1[[#This Row],[CORREO]])&gt;=11,WORKDAY(Table1[[#This Row],[CORREO]],1,Table2[Dias no laborales]),E923)</f>
        <v>45894.324305555558</v>
      </c>
      <c r="G923" s="8">
        <v>45903</v>
      </c>
      <c r="H923" s="6">
        <f t="shared" si="28"/>
        <v>34</v>
      </c>
      <c r="I923" s="16">
        <f>MAX(1, NETWORKDAYS(A923, G923,Table2[Dias no laborales]))</f>
        <v>8</v>
      </c>
      <c r="J923" s="6" t="str">
        <f>IF(Table1[[#This Row],[FIN]]="","Acumulado",IF(ISNUMBER(SEARCH("ASAP",C923)),"ASAP",IF(NETWORKDAYS.INTL(F923,G923,1,Table2[Dias no laborales]) &lt;= 7, "Dentro", IF(A923&gt;F923,"Programado","Fuera"))))</f>
        <v>Fuera</v>
      </c>
      <c r="K923" s="6" t="str">
        <f t="shared" si="29"/>
        <v>A tiempo</v>
      </c>
      <c r="L923" s="9">
        <v>45894</v>
      </c>
      <c r="M923" s="17">
        <f>MAX(1,NETWORKDAYS(A923,L923,Table2[Dias no laborales]))</f>
        <v>1</v>
      </c>
    </row>
    <row r="924" spans="1:13" hidden="1" x14ac:dyDescent="0.3">
      <c r="A924" s="8">
        <v>45894</v>
      </c>
      <c r="B924" s="6" t="s">
        <v>1882</v>
      </c>
      <c r="C924" s="6" t="s">
        <v>1883</v>
      </c>
      <c r="D924" s="6" t="s">
        <v>1562</v>
      </c>
      <c r="E924" s="14">
        <v>45894.392361111109</v>
      </c>
      <c r="F924" s="8">
        <f>IF(HOUR(Table1[[#This Row],[CORREO]])&gt;=11,WORKDAY(Table1[[#This Row],[CORREO]],1,Table2[Dias no laborales]),E924)</f>
        <v>45894.392361111109</v>
      </c>
      <c r="G924" s="8">
        <v>45904</v>
      </c>
      <c r="H924" s="6">
        <f t="shared" si="28"/>
        <v>34</v>
      </c>
      <c r="I924" s="16">
        <f>MAX(1, NETWORKDAYS(A924, G924,Table2[Dias no laborales]))</f>
        <v>9</v>
      </c>
      <c r="J924" s="6" t="str">
        <f>IF(Table1[[#This Row],[FIN]]="","Acumulado",IF(ISNUMBER(SEARCH("ASAP",C924)),"ASAP",IF(NETWORKDAYS.INTL(F924,G924,1,Table2[Dias no laborales]) &lt;= 7, "Dentro", IF(A924&gt;F924,"Programado","Fuera"))))</f>
        <v>Fuera</v>
      </c>
      <c r="K924" s="6" t="str">
        <f t="shared" si="29"/>
        <v>A tiempo</v>
      </c>
      <c r="L924" s="9">
        <v>45894</v>
      </c>
      <c r="M924" s="17">
        <f>MAX(1,NETWORKDAYS(A924,L924,Table2[Dias no laborales]))</f>
        <v>1</v>
      </c>
    </row>
    <row r="925" spans="1:13" hidden="1" x14ac:dyDescent="0.3">
      <c r="A925" s="8">
        <v>45894</v>
      </c>
      <c r="B925" s="6" t="s">
        <v>1869</v>
      </c>
      <c r="C925" s="6" t="s">
        <v>1870</v>
      </c>
      <c r="D925" s="6" t="s">
        <v>288</v>
      </c>
      <c r="E925" s="14"/>
      <c r="F925" s="8">
        <f>IF(HOUR(Table1[[#This Row],[CORREO]])&gt;=11,WORKDAY(Table1[[#This Row],[CORREO]],1,Table2[Dias no laborales]),E925)</f>
        <v>0</v>
      </c>
      <c r="G925" s="8">
        <v>45901</v>
      </c>
      <c r="H925" s="6">
        <f t="shared" si="28"/>
        <v>34</v>
      </c>
      <c r="I925" s="16">
        <f>MAX(1, NETWORKDAYS(A925, G925,Table2[Dias no laborales]))</f>
        <v>6</v>
      </c>
      <c r="J925" s="6" t="str">
        <f>IF(Table1[[#This Row],[FIN]]="","Acumulado",IF(ISNUMBER(SEARCH("ASAP",C925)),"ASAP",IF(NETWORKDAYS.INTL(F925,G925,1,Table2[Dias no laborales]) &lt;= 7, "Dentro", IF(A925&gt;F925,"Programado","Fuera"))))</f>
        <v>Programado</v>
      </c>
      <c r="K925" s="6" t="str">
        <f t="shared" si="29"/>
        <v>Programados</v>
      </c>
      <c r="L925" s="9">
        <v>45894</v>
      </c>
      <c r="M925" s="17">
        <f>MAX(1,NETWORKDAYS(A925,L925,Table2[Dias no laborales]))</f>
        <v>1</v>
      </c>
    </row>
    <row r="926" spans="1:13" hidden="1" x14ac:dyDescent="0.3">
      <c r="A926" s="8">
        <v>45895</v>
      </c>
      <c r="B926" s="6" t="s">
        <v>1847</v>
      </c>
      <c r="C926" s="6" t="s">
        <v>1848</v>
      </c>
      <c r="D926" s="6" t="s">
        <v>24</v>
      </c>
      <c r="E926" s="14">
        <v>45894.588888888888</v>
      </c>
      <c r="F926" s="8">
        <f>IF(HOUR(Table1[[#This Row],[CORREO]])&gt;=11,WORKDAY(Table1[[#This Row],[CORREO]],1,Table2[Dias no laborales]),E926)</f>
        <v>45895</v>
      </c>
      <c r="G926" s="8">
        <v>45896</v>
      </c>
      <c r="H926" s="6">
        <f t="shared" si="28"/>
        <v>34</v>
      </c>
      <c r="I926" s="16">
        <f>MAX(1, NETWORKDAYS(A926, G926,Table2[Dias no laborales]))</f>
        <v>2</v>
      </c>
      <c r="J926" s="6" t="str">
        <f>IF(Table1[[#This Row],[FIN]]="","Acumulado",IF(ISNUMBER(SEARCH("ASAP",C926)),"ASAP",IF(NETWORKDAYS.INTL(F926,G926,1,Table2[Dias no laborales]) &lt;= 7, "Dentro", IF(A926&gt;F926,"Programado","Fuera"))))</f>
        <v>ASAP</v>
      </c>
      <c r="K926" s="6" t="str">
        <f t="shared" si="29"/>
        <v>A tiempo</v>
      </c>
      <c r="L926" s="9">
        <v>45895</v>
      </c>
      <c r="M926" s="17">
        <f>MAX(1,NETWORKDAYS(A926,L926,Table2[Dias no laborales]))</f>
        <v>1</v>
      </c>
    </row>
    <row r="927" spans="1:13" hidden="1" x14ac:dyDescent="0.3">
      <c r="A927" s="8">
        <v>45895</v>
      </c>
      <c r="B927" s="6" t="s">
        <v>1837</v>
      </c>
      <c r="C927" s="6" t="s">
        <v>123</v>
      </c>
      <c r="D927" s="6" t="s">
        <v>24</v>
      </c>
      <c r="E927" s="14">
        <v>45895.412499999999</v>
      </c>
      <c r="F927" s="8">
        <f>IF(HOUR(Table1[[#This Row],[CORREO]])&gt;=11,WORKDAY(Table1[[#This Row],[CORREO]],1,Table2[Dias no laborales]),E927)</f>
        <v>45895.412499999999</v>
      </c>
      <c r="G927" s="8">
        <v>45895</v>
      </c>
      <c r="H927" s="6">
        <f t="shared" si="28"/>
        <v>34</v>
      </c>
      <c r="I927" s="16">
        <f>MAX(1, NETWORKDAYS(A927, G927,Table2[Dias no laborales]))</f>
        <v>1</v>
      </c>
      <c r="J927" s="6" t="str">
        <f>IF(Table1[[#This Row],[FIN]]="","Acumulado",IF(ISNUMBER(SEARCH("ASAP",C927)),"ASAP",IF(NETWORKDAYS.INTL(F927,G927,1,Table2[Dias no laborales]) &lt;= 7, "Dentro", IF(A927&gt;F927,"Programado","Fuera"))))</f>
        <v>Dentro</v>
      </c>
      <c r="K927" s="6" t="str">
        <f t="shared" si="29"/>
        <v>A tiempo</v>
      </c>
      <c r="L927" s="9">
        <v>45895</v>
      </c>
      <c r="M927" s="17">
        <f>MAX(1,NETWORKDAYS(A927,L927,Table2[Dias no laborales]))</f>
        <v>1</v>
      </c>
    </row>
    <row r="928" spans="1:13" hidden="1" x14ac:dyDescent="0.3">
      <c r="A928" s="8">
        <v>45895</v>
      </c>
      <c r="B928" s="6" t="s">
        <v>1841</v>
      </c>
      <c r="C928" s="6" t="s">
        <v>1842</v>
      </c>
      <c r="D928" s="6" t="s">
        <v>61</v>
      </c>
      <c r="E928" s="14">
        <v>45895.416666666664</v>
      </c>
      <c r="F928" s="8">
        <f>IF(HOUR(Table1[[#This Row],[CORREO]])&gt;=11,WORKDAY(Table1[[#This Row],[CORREO]],1,Table2[Dias no laborales]),E928)</f>
        <v>45895.416666666664</v>
      </c>
      <c r="G928" s="8">
        <v>45895</v>
      </c>
      <c r="H928" s="6">
        <f t="shared" si="28"/>
        <v>34</v>
      </c>
      <c r="I928" s="16">
        <f>MAX(1, NETWORKDAYS(A928, G928,Table2[Dias no laborales]))</f>
        <v>1</v>
      </c>
      <c r="J928" s="6" t="str">
        <f>IF(Table1[[#This Row],[FIN]]="","Acumulado",IF(ISNUMBER(SEARCH("ASAP",C928)),"ASAP",IF(NETWORKDAYS.INTL(F928,G928,1,Table2[Dias no laborales]) &lt;= 7, "Dentro", IF(A928&gt;F928,"Programado","Fuera"))))</f>
        <v>Dentro</v>
      </c>
      <c r="K928" s="6" t="str">
        <f t="shared" si="29"/>
        <v>A tiempo</v>
      </c>
      <c r="L928" s="9">
        <v>45895</v>
      </c>
      <c r="M928" s="17">
        <f>MAX(1,NETWORKDAYS(A928,L928,Table2[Dias no laborales]))</f>
        <v>1</v>
      </c>
    </row>
    <row r="929" spans="1:13" hidden="1" x14ac:dyDescent="0.3">
      <c r="A929" s="8">
        <v>45895</v>
      </c>
      <c r="B929" s="6" t="s">
        <v>1849</v>
      </c>
      <c r="C929" s="6" t="s">
        <v>1850</v>
      </c>
      <c r="D929" s="6" t="s">
        <v>42</v>
      </c>
      <c r="E929" s="14">
        <v>45895.436111111114</v>
      </c>
      <c r="F929" s="8">
        <f>IF(HOUR(Table1[[#This Row],[CORREO]])&gt;=11,WORKDAY(Table1[[#This Row],[CORREO]],1,Table2[Dias no laborales]),E929)</f>
        <v>45895.436111111114</v>
      </c>
      <c r="G929" s="8">
        <v>45896</v>
      </c>
      <c r="H929" s="6">
        <f t="shared" si="28"/>
        <v>34</v>
      </c>
      <c r="I929" s="16">
        <f>MAX(1, NETWORKDAYS(A929, G929,Table2[Dias no laborales]))</f>
        <v>2</v>
      </c>
      <c r="J929" s="6" t="str">
        <f>IF(Table1[[#This Row],[FIN]]="","Acumulado",IF(ISNUMBER(SEARCH("ASAP",C929)),"ASAP",IF(NETWORKDAYS.INTL(F929,G929,1,Table2[Dias no laborales]) &lt;= 7, "Dentro", IF(A929&gt;F929,"Programado","Fuera"))))</f>
        <v>Dentro</v>
      </c>
      <c r="K929" s="6" t="str">
        <f t="shared" si="29"/>
        <v>A tiempo</v>
      </c>
      <c r="L929" s="9">
        <v>45895</v>
      </c>
      <c r="M929" s="17">
        <f>MAX(1,NETWORKDAYS(A929,L929,Table2[Dias no laborales]))</f>
        <v>1</v>
      </c>
    </row>
    <row r="930" spans="1:13" hidden="1" x14ac:dyDescent="0.3">
      <c r="A930" s="8">
        <v>45896</v>
      </c>
      <c r="B930" s="5" t="s">
        <v>1853</v>
      </c>
      <c r="C930" s="5" t="s">
        <v>1854</v>
      </c>
      <c r="D930" s="5" t="s">
        <v>133</v>
      </c>
      <c r="E930" s="14">
        <v>45895.508333333331</v>
      </c>
      <c r="F930" s="8">
        <f>IF(HOUR(Table1[[#This Row],[CORREO]])&gt;=11,WORKDAY(Table1[[#This Row],[CORREO]],1,Table2[Dias no laborales]),E930)</f>
        <v>45896</v>
      </c>
      <c r="G930" s="8">
        <v>45897</v>
      </c>
      <c r="H930" s="6">
        <f t="shared" si="28"/>
        <v>35</v>
      </c>
      <c r="I930" s="16">
        <f>MAX(1, NETWORKDAYS(A930, G930,Table2[Dias no laborales]))</f>
        <v>2</v>
      </c>
      <c r="J930" s="6" t="str">
        <f>IF(Table1[[#This Row],[FIN]]="","Acumulado",IF(ISNUMBER(SEARCH("ASAP",C930)),"ASAP",IF(NETWORKDAYS.INTL(F930,G930,1,Table2[Dias no laborales]) &lt;= 7, "Dentro", IF(A930&gt;F930,"Programado","Fuera"))))</f>
        <v>Dentro</v>
      </c>
      <c r="K930" s="6" t="str">
        <f t="shared" si="29"/>
        <v>A tiempo</v>
      </c>
      <c r="L930" s="9">
        <v>45896</v>
      </c>
      <c r="M930" s="17">
        <f>MAX(1,NETWORKDAYS(A930,L930,Table2[Dias no laborales]))</f>
        <v>1</v>
      </c>
    </row>
    <row r="931" spans="1:13" hidden="1" x14ac:dyDescent="0.3">
      <c r="A931" s="8">
        <v>45896</v>
      </c>
      <c r="B931" s="6" t="s">
        <v>1845</v>
      </c>
      <c r="C931" s="6" t="s">
        <v>1846</v>
      </c>
      <c r="D931" s="6" t="s">
        <v>913</v>
      </c>
      <c r="E931" s="14">
        <v>45896.345138888886</v>
      </c>
      <c r="F931" s="8">
        <f>IF(HOUR(Table1[[#This Row],[CORREO]])&gt;=11,WORKDAY(Table1[[#This Row],[CORREO]],1,Table2[Dias no laborales]),E931)</f>
        <v>45896.345138888886</v>
      </c>
      <c r="G931" s="8">
        <v>45896</v>
      </c>
      <c r="H931" s="6">
        <f t="shared" si="28"/>
        <v>35</v>
      </c>
      <c r="I931" s="16">
        <f>MAX(1, NETWORKDAYS(A931, G931,Table2[Dias no laborales]))</f>
        <v>1</v>
      </c>
      <c r="J931" s="6" t="str">
        <f>IF(Table1[[#This Row],[FIN]]="","Acumulado",IF(ISNUMBER(SEARCH("ASAP",C931)),"ASAP",IF(NETWORKDAYS.INTL(F931,G931,1,Table2[Dias no laborales]) &lt;= 7, "Dentro", IF(A931&gt;F931,"Programado","Fuera"))))</f>
        <v>Dentro</v>
      </c>
      <c r="K931" s="6" t="str">
        <f t="shared" si="29"/>
        <v>A tiempo</v>
      </c>
      <c r="L931" s="9">
        <v>45896</v>
      </c>
      <c r="M931" s="17">
        <f>MAX(1,NETWORKDAYS(A931,L931,Table2[Dias no laborales]))</f>
        <v>1</v>
      </c>
    </row>
    <row r="932" spans="1:13" hidden="1" x14ac:dyDescent="0.3">
      <c r="A932" s="8">
        <v>45896</v>
      </c>
      <c r="B932" s="6" t="s">
        <v>1879</v>
      </c>
      <c r="C932" s="6" t="s">
        <v>138</v>
      </c>
      <c r="D932" s="6" t="s">
        <v>85</v>
      </c>
      <c r="E932" s="14">
        <v>45896.373611111114</v>
      </c>
      <c r="F932" s="8">
        <f>IF(HOUR(Table1[[#This Row],[CORREO]])&gt;=11,WORKDAY(Table1[[#This Row],[CORREO]],1,Table2[Dias no laborales]),E932)</f>
        <v>45896.373611111114</v>
      </c>
      <c r="G932" s="8">
        <v>45902</v>
      </c>
      <c r="H932" s="6">
        <f t="shared" si="28"/>
        <v>35</v>
      </c>
      <c r="I932" s="16">
        <f>MAX(1, NETWORKDAYS(A932, G932,Table2[Dias no laborales]))</f>
        <v>5</v>
      </c>
      <c r="J932" s="6" t="str">
        <f>IF(Table1[[#This Row],[FIN]]="","Acumulado",IF(ISNUMBER(SEARCH("ASAP",C932)),"ASAP",IF(NETWORKDAYS.INTL(F932,G932,1,Table2[Dias no laborales]) &lt;= 7, "Dentro", IF(A932&gt;F932,"Programado","Fuera"))))</f>
        <v>Dentro</v>
      </c>
      <c r="K932" s="6" t="str">
        <f t="shared" si="29"/>
        <v>A tiempo</v>
      </c>
      <c r="L932" s="9">
        <v>45896</v>
      </c>
      <c r="M932" s="17">
        <f>MAX(1,NETWORKDAYS(A932,L932,Table2[Dias no laborales]))</f>
        <v>1</v>
      </c>
    </row>
    <row r="933" spans="1:13" hidden="1" x14ac:dyDescent="0.3">
      <c r="A933" s="8">
        <v>45896</v>
      </c>
      <c r="B933" s="6" t="s">
        <v>2006</v>
      </c>
      <c r="C933" s="6" t="s">
        <v>2007</v>
      </c>
      <c r="D933" s="6" t="s">
        <v>372</v>
      </c>
      <c r="E933" s="14"/>
      <c r="F933" s="8">
        <f>IF(HOUR(Table1[[#This Row],[CORREO]])&gt;=11,WORKDAY(Table1[[#This Row],[CORREO]],1,Table2[Dias no laborales]),E933)</f>
        <v>0</v>
      </c>
      <c r="G933" s="8">
        <v>45922</v>
      </c>
      <c r="H933" s="6">
        <f t="shared" si="28"/>
        <v>35</v>
      </c>
      <c r="I933" s="16">
        <f>MAX(1, NETWORKDAYS(A933, G933,Table2[Dias no laborales]))</f>
        <v>19</v>
      </c>
      <c r="J933" s="6" t="str">
        <f>IF(Table1[[#This Row],[FIN]]="","Acumulado",IF(ISNUMBER(SEARCH("ASAP",C933)),"ASAP",IF(NETWORKDAYS.INTL(F933,G933,1,Table2[Dias no laborales]) &lt;= 7, "Dentro", IF(A933&gt;F933,"Programado","Fuera"))))</f>
        <v>Programado</v>
      </c>
      <c r="K933" s="6" t="str">
        <f t="shared" si="29"/>
        <v>Programados</v>
      </c>
      <c r="L933" s="9">
        <v>45896</v>
      </c>
      <c r="M933" s="17">
        <f>MAX(1,NETWORKDAYS(A933,L933,Table2[Dias no laborales]))</f>
        <v>1</v>
      </c>
    </row>
    <row r="934" spans="1:13" hidden="1" x14ac:dyDescent="0.3">
      <c r="A934" s="8">
        <v>45896</v>
      </c>
      <c r="B934" s="6" t="s">
        <v>1877</v>
      </c>
      <c r="C934" s="6" t="s">
        <v>1878</v>
      </c>
      <c r="D934" s="6" t="s">
        <v>85</v>
      </c>
      <c r="E934" s="14">
        <v>45896.433333333334</v>
      </c>
      <c r="F934" s="8">
        <f>IF(HOUR(Table1[[#This Row],[CORREO]])&gt;=11,WORKDAY(Table1[[#This Row],[CORREO]],1,Table2[Dias no laborales]),E934)</f>
        <v>45896.433333333334</v>
      </c>
      <c r="G934" s="8">
        <v>45902</v>
      </c>
      <c r="H934" s="6">
        <f t="shared" si="28"/>
        <v>35</v>
      </c>
      <c r="I934" s="16">
        <f>MAX(1, NETWORKDAYS(A934, G934,Table2[Dias no laborales]))</f>
        <v>5</v>
      </c>
      <c r="J934" s="6" t="str">
        <f>IF(Table1[[#This Row],[FIN]]="","Acumulado",IF(ISNUMBER(SEARCH("ASAP",C934)),"ASAP",IF(NETWORKDAYS.INTL(F934,G934,1,Table2[Dias no laborales]) &lt;= 7, "Dentro", IF(A934&gt;F934,"Programado","Fuera"))))</f>
        <v>Dentro</v>
      </c>
      <c r="K934" s="6" t="str">
        <f t="shared" si="29"/>
        <v>A tiempo</v>
      </c>
      <c r="L934" s="9">
        <v>45896</v>
      </c>
      <c r="M934" s="17">
        <f>MAX(1,NETWORKDAYS(A934,L934,Table2[Dias no laborales]))</f>
        <v>1</v>
      </c>
    </row>
    <row r="935" spans="1:13" hidden="1" x14ac:dyDescent="0.3">
      <c r="A935" s="8">
        <v>45897</v>
      </c>
      <c r="B935" s="6" t="s">
        <v>1859</v>
      </c>
      <c r="C935" s="6" t="s">
        <v>1860</v>
      </c>
      <c r="D935" s="6" t="s">
        <v>27</v>
      </c>
      <c r="E935" s="14">
        <v>45896.511111111111</v>
      </c>
      <c r="F935" s="8">
        <f>IF(HOUR(Table1[[#This Row],[CORREO]])&gt;=11,WORKDAY(Table1[[#This Row],[CORREO]],1,Table2[Dias no laborales]),E935)</f>
        <v>45897</v>
      </c>
      <c r="G935" s="8">
        <v>45898</v>
      </c>
      <c r="H935" s="6">
        <f t="shared" si="28"/>
        <v>35</v>
      </c>
      <c r="I935" s="16">
        <f>MAX(1, NETWORKDAYS(A935, G935,Table2[Dias no laborales]))</f>
        <v>2</v>
      </c>
      <c r="J935" s="6" t="str">
        <f>IF(Table1[[#This Row],[FIN]]="","Acumulado",IF(ISNUMBER(SEARCH("ASAP",C935)),"ASAP",IF(NETWORKDAYS.INTL(F935,G935,1,Table2[Dias no laborales]) &lt;= 7, "Dentro", IF(A935&gt;F935,"Programado","Fuera"))))</f>
        <v>Dentro</v>
      </c>
      <c r="K935" s="6" t="str">
        <f t="shared" si="29"/>
        <v>A tiempo</v>
      </c>
      <c r="L935" s="9">
        <v>45897</v>
      </c>
      <c r="M935" s="17">
        <f>MAX(1,NETWORKDAYS(A935,L935,Table2[Dias no laborales]))</f>
        <v>1</v>
      </c>
    </row>
    <row r="936" spans="1:13" hidden="1" x14ac:dyDescent="0.3">
      <c r="A936" s="8">
        <v>45897</v>
      </c>
      <c r="B936" s="6" t="s">
        <v>1901</v>
      </c>
      <c r="C936" s="6" t="s">
        <v>1902</v>
      </c>
      <c r="D936" s="6" t="s">
        <v>61</v>
      </c>
      <c r="E936" s="14"/>
      <c r="F936" s="8">
        <f>IF(HOUR(Table1[[#This Row],[CORREO]])&gt;=11,WORKDAY(Table1[[#This Row],[CORREO]],1,Table2[Dias no laborales]),E936)</f>
        <v>0</v>
      </c>
      <c r="G936" s="8">
        <v>46091</v>
      </c>
      <c r="H936" s="6">
        <f t="shared" si="28"/>
        <v>35</v>
      </c>
      <c r="I936" s="16">
        <f>MAX(1, NETWORKDAYS(A936, G936,Table2[Dias no laborales]))</f>
        <v>133</v>
      </c>
      <c r="J936" s="6" t="str">
        <f>IF(Table1[[#This Row],[FIN]]="","Acumulado",IF(ISNUMBER(SEARCH("ASAP",C936)),"ASAP",IF(NETWORKDAYS.INTL(F936,G936,1,Table2[Dias no laborales]) &lt;= 7, "Dentro", IF(A936&gt;F936,"Programado","Fuera"))))</f>
        <v>Programado</v>
      </c>
      <c r="K936" s="6" t="str">
        <f t="shared" si="29"/>
        <v>Programados</v>
      </c>
      <c r="L936" s="9">
        <v>45897</v>
      </c>
      <c r="M936" s="17">
        <f>MAX(1,NETWORKDAYS(A936,L936,Table2[Dias no laborales]))</f>
        <v>1</v>
      </c>
    </row>
    <row r="937" spans="1:13" hidden="1" x14ac:dyDescent="0.3">
      <c r="A937" s="8">
        <v>45897</v>
      </c>
      <c r="B937" s="6" t="s">
        <v>1875</v>
      </c>
      <c r="C937" s="6" t="s">
        <v>1876</v>
      </c>
      <c r="D937" s="6" t="s">
        <v>24</v>
      </c>
      <c r="E937" s="14">
        <v>45896.577777777777</v>
      </c>
      <c r="F937" s="8">
        <f>IF(HOUR(Table1[[#This Row],[CORREO]])&gt;=11,WORKDAY(Table1[[#This Row],[CORREO]],1,Table2[Dias no laborales]),E937)</f>
        <v>45897</v>
      </c>
      <c r="G937" s="8">
        <v>45902</v>
      </c>
      <c r="H937" s="6">
        <f t="shared" si="28"/>
        <v>35</v>
      </c>
      <c r="I937" s="16">
        <f>MAX(1, NETWORKDAYS(A937, G937,Table2[Dias no laborales]))</f>
        <v>4</v>
      </c>
      <c r="J937" s="6" t="str">
        <f>IF(Table1[[#This Row],[FIN]]="","Acumulado",IF(ISNUMBER(SEARCH("ASAP",C937)),"ASAP",IF(NETWORKDAYS.INTL(F937,G937,1,Table2[Dias no laborales]) &lt;= 7, "Dentro", IF(A937&gt;F937,"Programado","Fuera"))))</f>
        <v>Dentro</v>
      </c>
      <c r="K937" s="6" t="str">
        <f t="shared" si="29"/>
        <v>A tiempo</v>
      </c>
      <c r="L937" s="9">
        <v>45897</v>
      </c>
      <c r="M937" s="17">
        <f>MAX(1,NETWORKDAYS(A937,L937,Table2[Dias no laborales]))</f>
        <v>1</v>
      </c>
    </row>
    <row r="938" spans="1:13" hidden="1" x14ac:dyDescent="0.3">
      <c r="A938" s="8">
        <v>45897</v>
      </c>
      <c r="B938" s="6" t="s">
        <v>1886</v>
      </c>
      <c r="C938" s="6" t="s">
        <v>1887</v>
      </c>
      <c r="D938" s="6" t="s">
        <v>423</v>
      </c>
      <c r="E938" s="14">
        <v>45896.631249999999</v>
      </c>
      <c r="F938" s="8">
        <f>IF(HOUR(Table1[[#This Row],[CORREO]])&gt;=11,WORKDAY(Table1[[#This Row],[CORREO]],1,Table2[Dias no laborales]),E938)</f>
        <v>45897</v>
      </c>
      <c r="G938" s="8">
        <v>45905</v>
      </c>
      <c r="H938" s="6">
        <f t="shared" si="28"/>
        <v>35</v>
      </c>
      <c r="I938" s="16">
        <f>MAX(1, NETWORKDAYS(A938, G938,Table2[Dias no laborales]))</f>
        <v>7</v>
      </c>
      <c r="J938" s="6" t="str">
        <f>IF(Table1[[#This Row],[FIN]]="","Acumulado",IF(ISNUMBER(SEARCH("ASAP",C938)),"ASAP",IF(NETWORKDAYS.INTL(F938,G938,1,Table2[Dias no laborales]) &lt;= 7, "Dentro", IF(A938&gt;F938,"Programado","Fuera"))))</f>
        <v>Dentro</v>
      </c>
      <c r="K938" s="6" t="str">
        <f t="shared" si="29"/>
        <v>A tiempo</v>
      </c>
      <c r="L938" s="9">
        <v>45897</v>
      </c>
      <c r="M938" s="17">
        <f>MAX(1,NETWORKDAYS(A938,L938,Table2[Dias no laborales]))</f>
        <v>1</v>
      </c>
    </row>
    <row r="939" spans="1:13" hidden="1" x14ac:dyDescent="0.3">
      <c r="A939" s="8">
        <v>45897</v>
      </c>
      <c r="B939" s="5" t="s">
        <v>1851</v>
      </c>
      <c r="C939" s="5" t="s">
        <v>1852</v>
      </c>
      <c r="D939" s="5" t="s">
        <v>27</v>
      </c>
      <c r="E939" s="14">
        <v>45897.293055555558</v>
      </c>
      <c r="F939" s="8">
        <f>IF(HOUR(Table1[[#This Row],[CORREO]])&gt;=11,WORKDAY(Table1[[#This Row],[CORREO]],1,Table2[Dias no laborales]),E939)</f>
        <v>45897.293055555558</v>
      </c>
      <c r="G939" s="8">
        <v>45897</v>
      </c>
      <c r="H939" s="6">
        <f t="shared" si="28"/>
        <v>35</v>
      </c>
      <c r="I939" s="16">
        <f>MAX(1, NETWORKDAYS(A939, G939,Table2[Dias no laborales]))</f>
        <v>1</v>
      </c>
      <c r="J939" s="6" t="str">
        <f>IF(Table1[[#This Row],[FIN]]="","Acumulado",IF(ISNUMBER(SEARCH("ASAP",C939)),"ASAP",IF(NETWORKDAYS.INTL(F939,G939,1,Table2[Dias no laborales]) &lt;= 7, "Dentro", IF(A939&gt;F939,"Programado","Fuera"))))</f>
        <v>Dentro</v>
      </c>
      <c r="K939" s="6" t="str">
        <f t="shared" si="29"/>
        <v>A tiempo</v>
      </c>
      <c r="L939" s="9">
        <v>45897</v>
      </c>
      <c r="M939" s="17">
        <f>MAX(1,NETWORKDAYS(A939,L939,Table2[Dias no laborales]))</f>
        <v>1</v>
      </c>
    </row>
    <row r="940" spans="1:13" hidden="1" x14ac:dyDescent="0.3">
      <c r="A940" s="8">
        <v>45898</v>
      </c>
      <c r="B940" s="6" t="s">
        <v>1863</v>
      </c>
      <c r="C940" s="6" t="s">
        <v>1864</v>
      </c>
      <c r="D940" s="6" t="s">
        <v>139</v>
      </c>
      <c r="E940" s="14">
        <v>45897.529861111114</v>
      </c>
      <c r="F940" s="8">
        <f>IF(HOUR(Table1[[#This Row],[CORREO]])&gt;=11,WORKDAY(Table1[[#This Row],[CORREO]],1,Table2[Dias no laborales]),E940)</f>
        <v>45898</v>
      </c>
      <c r="G940" s="8">
        <v>45898</v>
      </c>
      <c r="H940" s="6">
        <f t="shared" si="28"/>
        <v>35</v>
      </c>
      <c r="I940" s="16">
        <f>MAX(1, NETWORKDAYS(A940, G940,Table2[Dias no laborales]))</f>
        <v>1</v>
      </c>
      <c r="J940" s="6" t="str">
        <f>IF(Table1[[#This Row],[FIN]]="","Acumulado",IF(ISNUMBER(SEARCH("ASAP",C940)),"ASAP",IF(NETWORKDAYS.INTL(F940,G940,1,Table2[Dias no laborales]) &lt;= 7, "Dentro", IF(A940&gt;F940,"Programado","Fuera"))))</f>
        <v>Dentro</v>
      </c>
      <c r="K940" s="6" t="str">
        <f t="shared" si="29"/>
        <v>A tiempo</v>
      </c>
      <c r="L940" s="9">
        <v>45898</v>
      </c>
      <c r="M940" s="17">
        <f>MAX(1,NETWORKDAYS(A940,L940,Table2[Dias no laborales]))</f>
        <v>1</v>
      </c>
    </row>
    <row r="941" spans="1:13" hidden="1" x14ac:dyDescent="0.3">
      <c r="A941" s="12">
        <v>45898</v>
      </c>
      <c r="B941" s="6" t="s">
        <v>1873</v>
      </c>
      <c r="C941" s="6" t="s">
        <v>1874</v>
      </c>
      <c r="D941" s="6" t="s">
        <v>1136</v>
      </c>
      <c r="E941" s="14">
        <v>45897.655555555553</v>
      </c>
      <c r="F941" s="12">
        <f>IF(HOUR(Table1[[#This Row],[CORREO]])&gt;=11,WORKDAY(Table1[[#This Row],[CORREO]],1,Table2[Dias no laborales]),E941)</f>
        <v>45898</v>
      </c>
      <c r="G941" s="8">
        <v>45902</v>
      </c>
      <c r="H941" s="16">
        <f t="shared" si="28"/>
        <v>35</v>
      </c>
      <c r="I941" s="16">
        <f>MAX(1, NETWORKDAYS(A941, G941,Table2[Dias no laborales]))</f>
        <v>3</v>
      </c>
      <c r="J941" s="6" t="str">
        <f>IF(Table1[[#This Row],[FIN]]="","Acumulado",IF(ISNUMBER(SEARCH("ASAP",C941)),"ASAP",IF(NETWORKDAYS.INTL(F941,G941,1,Table2[Dias no laborales]) &lt;= 7, "Dentro", IF(A941&gt;F941,"Programado","Fuera"))))</f>
        <v>Dentro</v>
      </c>
      <c r="K941" s="16" t="str">
        <f t="shared" si="29"/>
        <v>A tiempo</v>
      </c>
      <c r="L941" s="9">
        <v>45898</v>
      </c>
      <c r="M941" s="18">
        <f>MAX(1,NETWORKDAYS(A941,L941,Table2[Dias no laborales]))</f>
        <v>1</v>
      </c>
    </row>
    <row r="942" spans="1:13" hidden="1" x14ac:dyDescent="0.3">
      <c r="A942" s="8">
        <v>45901</v>
      </c>
      <c r="B942" s="6" t="s">
        <v>1925</v>
      </c>
      <c r="C942" s="6" t="s">
        <v>1926</v>
      </c>
      <c r="D942" s="6" t="s">
        <v>24</v>
      </c>
      <c r="E942" s="14"/>
      <c r="F942" s="8">
        <f>IF(HOUR(Table1[[#This Row],[CORREO]])&gt;=11,WORKDAY(Table1[[#This Row],[CORREO]],1,Table2[Dias no laborales]),E942)</f>
        <v>0</v>
      </c>
      <c r="G942" s="8">
        <v>45905</v>
      </c>
      <c r="H942" s="6">
        <f t="shared" si="28"/>
        <v>35</v>
      </c>
      <c r="I942" s="16">
        <f>MAX(1, NETWORKDAYS(A942, G942,Table2[Dias no laborales]))</f>
        <v>5</v>
      </c>
      <c r="J942" s="6" t="str">
        <f>IF(Table1[[#This Row],[FIN]]="","Acumulado",IF(ISNUMBER(SEARCH("ASAP",C942)),"ASAP",IF(NETWORKDAYS.INTL(F942,G942,1,Table2[Dias no laborales]) &lt;= 7, "Dentro", IF(A942&gt;F942,"Programado","Fuera"))))</f>
        <v>Programado</v>
      </c>
      <c r="K942" s="6" t="str">
        <f t="shared" si="29"/>
        <v>Programados</v>
      </c>
      <c r="L942" s="9">
        <v>45875</v>
      </c>
      <c r="M942" s="17">
        <f>MAX(1,NETWORKDAYS(A942,L942,Table2[Dias no laborales]))</f>
        <v>1</v>
      </c>
    </row>
    <row r="943" spans="1:13" hidden="1" x14ac:dyDescent="0.3">
      <c r="A943" s="8">
        <v>45901</v>
      </c>
      <c r="B943" s="6" t="s">
        <v>1903</v>
      </c>
      <c r="C943" s="6" t="s">
        <v>634</v>
      </c>
      <c r="D943" s="6" t="s">
        <v>133</v>
      </c>
      <c r="E943" s="14">
        <v>45898.800694444442</v>
      </c>
      <c r="F943" s="8">
        <f>IF(HOUR(Table1[[#This Row],[CORREO]])&gt;=11,WORKDAY(Table1[[#This Row],[CORREO]],1,Table2[Dias no laborales]),E943)</f>
        <v>45901</v>
      </c>
      <c r="G943" s="8">
        <v>45901</v>
      </c>
      <c r="H943" s="6">
        <f t="shared" si="28"/>
        <v>35</v>
      </c>
      <c r="I943" s="16">
        <f>MAX(1, NETWORKDAYS(A943, G943,Table2[Dias no laborales]))</f>
        <v>1</v>
      </c>
      <c r="J943" s="6" t="str">
        <f>IF(Table1[[#This Row],[FIN]]="","Acumulado",IF(ISNUMBER(SEARCH("ASAP",C943)),"ASAP",IF(NETWORKDAYS.INTL(F943,G943,1,Table2[Dias no laborales]) &lt;= 7, "Dentro", IF(A943&gt;F943,"Programado","Fuera"))))</f>
        <v>Dentro</v>
      </c>
      <c r="K943" s="6" t="str">
        <f t="shared" si="29"/>
        <v>A tiempo</v>
      </c>
      <c r="L943" s="9">
        <v>45901</v>
      </c>
      <c r="M943" s="17">
        <f>MAX(1,NETWORKDAYS(A943,L943,Table2[Dias no laborales]))</f>
        <v>1</v>
      </c>
    </row>
    <row r="944" spans="1:13" hidden="1" x14ac:dyDescent="0.3">
      <c r="A944" s="8">
        <v>45901</v>
      </c>
      <c r="B944" s="6" t="s">
        <v>1959</v>
      </c>
      <c r="C944" s="6" t="s">
        <v>1960</v>
      </c>
      <c r="D944" s="6" t="s">
        <v>27</v>
      </c>
      <c r="E944" s="14"/>
      <c r="F944" s="8">
        <f>IF(HOUR(Table1[[#This Row],[CORREO]])&gt;=11,WORKDAY(Table1[[#This Row],[CORREO]],1,Table2[Dias no laborales]),E944)</f>
        <v>0</v>
      </c>
      <c r="G944" s="8">
        <v>45911</v>
      </c>
      <c r="H944" s="6">
        <f t="shared" si="28"/>
        <v>35</v>
      </c>
      <c r="I944" s="16">
        <f>MAX(1, NETWORKDAYS(A944, G944,Table2[Dias no laborales]))</f>
        <v>9</v>
      </c>
      <c r="J944" s="6" t="str">
        <f>IF(Table1[[#This Row],[FIN]]="","Acumulado",IF(ISNUMBER(SEARCH("ASAP",C944)),"ASAP",IF(NETWORKDAYS.INTL(F944,G944,1,Table2[Dias no laborales]) &lt;= 7, "Dentro", IF(A944&gt;F944,"Programado","Fuera"))))</f>
        <v>Programado</v>
      </c>
      <c r="K944" s="6" t="str">
        <f t="shared" si="29"/>
        <v>Programados</v>
      </c>
      <c r="L944" s="9">
        <v>45901</v>
      </c>
      <c r="M944" s="17">
        <f>MAX(1,NETWORKDAYS(A944,L944,Table2[Dias no laborales]))</f>
        <v>1</v>
      </c>
    </row>
    <row r="945" spans="1:13" hidden="1" x14ac:dyDescent="0.3">
      <c r="A945" s="8">
        <v>45901</v>
      </c>
      <c r="B945" s="6" t="s">
        <v>2002</v>
      </c>
      <c r="C945" s="6" t="s">
        <v>2003</v>
      </c>
      <c r="D945" s="6" t="s">
        <v>24</v>
      </c>
      <c r="E945" s="14"/>
      <c r="F945" s="8">
        <f>IF(HOUR(Table1[[#This Row],[CORREO]])&gt;=11,WORKDAY(Table1[[#This Row],[CORREO]],1,Table2[Dias no laborales]),E945)</f>
        <v>0</v>
      </c>
      <c r="G945" s="8">
        <v>45918</v>
      </c>
      <c r="H945" s="6">
        <f t="shared" si="28"/>
        <v>35</v>
      </c>
      <c r="I945" s="16">
        <f>MAX(1, NETWORKDAYS(A945, G945,Table2[Dias no laborales]))</f>
        <v>14</v>
      </c>
      <c r="J945" s="6" t="str">
        <f>IF(Table1[[#This Row],[FIN]]="","Acumulado",IF(ISNUMBER(SEARCH("ASAP",C945)),"ASAP",IF(NETWORKDAYS.INTL(F945,G945,1,Table2[Dias no laborales]) &lt;= 7, "Dentro", IF(A945&gt;F945,"Programado","Fuera"))))</f>
        <v>Programado</v>
      </c>
      <c r="K945" s="6" t="str">
        <f t="shared" si="29"/>
        <v>Programados</v>
      </c>
      <c r="L945" s="9">
        <v>45901</v>
      </c>
      <c r="M945" s="17">
        <f>MAX(1,NETWORKDAYS(A945,L945,Table2[Dias no laborales]))</f>
        <v>1</v>
      </c>
    </row>
    <row r="946" spans="1:13" hidden="1" x14ac:dyDescent="0.3">
      <c r="A946" s="8">
        <v>45901</v>
      </c>
      <c r="B946" s="6" t="s">
        <v>1904</v>
      </c>
      <c r="C946" s="6" t="s">
        <v>1905</v>
      </c>
      <c r="D946" s="6" t="s">
        <v>1906</v>
      </c>
      <c r="E946" s="14">
        <v>45901.506249999999</v>
      </c>
      <c r="F946" s="8">
        <f>IF(HOUR(Table1[[#This Row],[CORREO]])&gt;=11,WORKDAY(Table1[[#This Row],[CORREO]],1,Table2[Dias no laborales]),E946)</f>
        <v>45902</v>
      </c>
      <c r="G946" s="8">
        <v>45902</v>
      </c>
      <c r="H946" s="6">
        <f t="shared" si="28"/>
        <v>35</v>
      </c>
      <c r="I946" s="16">
        <f>MAX(1, NETWORKDAYS(A946, G946,Table2[Dias no laborales]))</f>
        <v>2</v>
      </c>
      <c r="J946" s="6" t="str">
        <f>IF(Table1[[#This Row],[FIN]]="","Acumulado",IF(ISNUMBER(SEARCH("ASAP",C946)),"ASAP",IF(NETWORKDAYS.INTL(F946,G946,1,Table2[Dias no laborales]) &lt;= 7, "Dentro", IF(A946&gt;F946,"Programado","Fuera"))))</f>
        <v>Dentro</v>
      </c>
      <c r="K946" s="6" t="str">
        <f t="shared" si="29"/>
        <v>Mismo día</v>
      </c>
      <c r="L946" s="9">
        <v>45901</v>
      </c>
      <c r="M946" s="17">
        <f>MAX(1,NETWORKDAYS(A946,L946,Table2[Dias no laborales]))</f>
        <v>1</v>
      </c>
    </row>
    <row r="947" spans="1:13" hidden="1" x14ac:dyDescent="0.3">
      <c r="A947" s="8">
        <v>45902</v>
      </c>
      <c r="B947" s="6" t="s">
        <v>1911</v>
      </c>
      <c r="C947" s="6" t="s">
        <v>1912</v>
      </c>
      <c r="D947" s="6" t="s">
        <v>119</v>
      </c>
      <c r="E947" s="14">
        <v>45902.365972222222</v>
      </c>
      <c r="F947" s="8">
        <f>IF(HOUR(Table1[[#This Row],[CORREO]])&gt;=11,WORKDAY(Table1[[#This Row],[CORREO]],1,Table2[Dias no laborales]),E947)</f>
        <v>45902.365972222222</v>
      </c>
      <c r="G947" s="8">
        <v>45903</v>
      </c>
      <c r="H947" s="6">
        <f t="shared" si="28"/>
        <v>35</v>
      </c>
      <c r="I947" s="16">
        <f>MAX(1, NETWORKDAYS(A947, G947,Table2[Dias no laborales]))</f>
        <v>2</v>
      </c>
      <c r="J947" s="6" t="str">
        <f>IF(Table1[[#This Row],[FIN]]="","Acumulado",IF(ISNUMBER(SEARCH("ASAP",C947)),"ASAP",IF(NETWORKDAYS.INTL(F947,G947,1,Table2[Dias no laborales]) &lt;= 7, "Dentro", IF(A947&gt;F947,"Programado","Fuera"))))</f>
        <v>Dentro</v>
      </c>
      <c r="K947" s="6" t="str">
        <f t="shared" si="29"/>
        <v>A tiempo</v>
      </c>
      <c r="L947" s="9">
        <v>45902</v>
      </c>
      <c r="M947" s="17">
        <f>MAX(1,NETWORKDAYS(A947,L947,Table2[Dias no laborales]))</f>
        <v>1</v>
      </c>
    </row>
    <row r="948" spans="1:13" hidden="1" x14ac:dyDescent="0.3">
      <c r="A948" s="8">
        <v>45902</v>
      </c>
      <c r="B948" s="6" t="s">
        <v>1951</v>
      </c>
      <c r="C948" s="6" t="s">
        <v>1952</v>
      </c>
      <c r="D948" s="6" t="s">
        <v>27</v>
      </c>
      <c r="E948" s="14"/>
      <c r="F948" s="8">
        <f>IF(HOUR(Table1[[#This Row],[CORREO]])&gt;=11,WORKDAY(Table1[[#This Row],[CORREO]],1,Table2[Dias no laborales]),E948)</f>
        <v>0</v>
      </c>
      <c r="G948" s="8">
        <v>45910</v>
      </c>
      <c r="H948" s="6">
        <f t="shared" si="28"/>
        <v>35</v>
      </c>
      <c r="I948" s="16">
        <f>MAX(1, NETWORKDAYS(A948, G948,Table2[Dias no laborales]))</f>
        <v>7</v>
      </c>
      <c r="J948" s="6" t="str">
        <f>IF(Table1[[#This Row],[FIN]]="","Acumulado",IF(ISNUMBER(SEARCH("ASAP",C948)),"ASAP",IF(NETWORKDAYS.INTL(F948,G948,1,Table2[Dias no laborales]) &lt;= 7, "Dentro", IF(A948&gt;F948,"Programado","Fuera"))))</f>
        <v>Programado</v>
      </c>
      <c r="K948" s="6" t="str">
        <f t="shared" si="29"/>
        <v>Programados</v>
      </c>
      <c r="L948" s="9">
        <v>45902</v>
      </c>
      <c r="M948" s="17">
        <f>MAX(1,NETWORKDAYS(A948,L948,Table2[Dias no laborales]))</f>
        <v>1</v>
      </c>
    </row>
    <row r="949" spans="1:13" hidden="1" x14ac:dyDescent="0.3">
      <c r="A949" s="8">
        <v>45902</v>
      </c>
      <c r="B949" s="6" t="s">
        <v>2026</v>
      </c>
      <c r="C949" s="6" t="s">
        <v>2027</v>
      </c>
      <c r="D949" s="6" t="s">
        <v>27</v>
      </c>
      <c r="E949" s="14"/>
      <c r="F949" s="8">
        <f>IF(HOUR(Table1[[#This Row],[CORREO]])&gt;=11,WORKDAY(Table1[[#This Row],[CORREO]],1,Table2[Dias no laborales]),E949)</f>
        <v>0</v>
      </c>
      <c r="G949" s="8">
        <v>45922</v>
      </c>
      <c r="H949" s="6">
        <f t="shared" si="28"/>
        <v>35</v>
      </c>
      <c r="I949" s="16">
        <f>MAX(1, NETWORKDAYS(A949, G949,Table2[Dias no laborales]))</f>
        <v>15</v>
      </c>
      <c r="J949" s="6" t="str">
        <f>IF(Table1[[#This Row],[FIN]]="","Acumulado",IF(ISNUMBER(SEARCH("ASAP",C949)),"ASAP",IF(NETWORKDAYS.INTL(F949,G949,1,Table2[Dias no laborales]) &lt;= 7, "Dentro", IF(A949&gt;F949,"Programado","Fuera"))))</f>
        <v>Programado</v>
      </c>
      <c r="K949" s="6" t="str">
        <f t="shared" si="29"/>
        <v>Programados</v>
      </c>
      <c r="L949" s="9">
        <v>45902</v>
      </c>
      <c r="M949" s="17">
        <f>MAX(1,NETWORKDAYS(A949,L949,Table2[Dias no laborales]))</f>
        <v>1</v>
      </c>
    </row>
    <row r="950" spans="1:13" hidden="1" x14ac:dyDescent="0.3">
      <c r="A950" s="8">
        <v>45902</v>
      </c>
      <c r="B950" s="6" t="s">
        <v>1949</v>
      </c>
      <c r="C950" s="6" t="s">
        <v>1950</v>
      </c>
      <c r="D950" s="6" t="s">
        <v>27</v>
      </c>
      <c r="E950" s="14"/>
      <c r="F950" s="8">
        <f>IF(HOUR(Table1[[#This Row],[CORREO]])&gt;=11,WORKDAY(Table1[[#This Row],[CORREO]],1,Table2[Dias no laborales]),E950)</f>
        <v>0</v>
      </c>
      <c r="G950" s="8">
        <v>45910</v>
      </c>
      <c r="H950" s="6">
        <f t="shared" si="28"/>
        <v>35</v>
      </c>
      <c r="I950" s="16">
        <f>MAX(1, NETWORKDAYS(A950, G950,Table2[Dias no laborales]))</f>
        <v>7</v>
      </c>
      <c r="J950" s="6" t="str">
        <f>IF(Table1[[#This Row],[FIN]]="","Acumulado",IF(ISNUMBER(SEARCH("ASAP",C950)),"ASAP",IF(NETWORKDAYS.INTL(F950,G950,1,Table2[Dias no laborales]) &lt;= 7, "Dentro", IF(A950&gt;F950,"Programado","Fuera"))))</f>
        <v>Programado</v>
      </c>
      <c r="K950" s="6" t="str">
        <f t="shared" si="29"/>
        <v>Programados</v>
      </c>
      <c r="L950" s="9">
        <v>45902</v>
      </c>
      <c r="M950" s="17">
        <f>MAX(1,NETWORKDAYS(A950,L950,Table2[Dias no laborales]))</f>
        <v>1</v>
      </c>
    </row>
    <row r="951" spans="1:13" hidden="1" x14ac:dyDescent="0.3">
      <c r="A951" s="8">
        <v>45902</v>
      </c>
      <c r="B951" s="6" t="s">
        <v>1953</v>
      </c>
      <c r="C951" s="6" t="s">
        <v>1954</v>
      </c>
      <c r="D951" s="6" t="s">
        <v>27</v>
      </c>
      <c r="E951" s="14"/>
      <c r="F951" s="8">
        <f>IF(HOUR(Table1[[#This Row],[CORREO]])&gt;=11,WORKDAY(Table1[[#This Row],[CORREO]],1,Table2[Dias no laborales]),E951)</f>
        <v>0</v>
      </c>
      <c r="G951" s="8">
        <v>45910</v>
      </c>
      <c r="H951" s="6">
        <f t="shared" si="28"/>
        <v>35</v>
      </c>
      <c r="I951" s="16">
        <f>MAX(1, NETWORKDAYS(A951, G951,Table2[Dias no laborales]))</f>
        <v>7</v>
      </c>
      <c r="J951" s="6" t="str">
        <f>IF(Table1[[#This Row],[FIN]]="","Acumulado",IF(ISNUMBER(SEARCH("ASAP",C951)),"ASAP",IF(NETWORKDAYS.INTL(F951,G951,1,Table2[Dias no laborales]) &lt;= 7, "Dentro", IF(A951&gt;F951,"Programado","Fuera"))))</f>
        <v>Programado</v>
      </c>
      <c r="K951" s="6" t="str">
        <f t="shared" si="29"/>
        <v>Programados</v>
      </c>
      <c r="L951" s="9">
        <v>45902</v>
      </c>
      <c r="M951" s="17">
        <f>MAX(1,NETWORKDAYS(A951,L951,Table2[Dias no laborales]))</f>
        <v>1</v>
      </c>
    </row>
    <row r="952" spans="1:13" hidden="1" x14ac:dyDescent="0.3">
      <c r="A952" s="8">
        <v>45902</v>
      </c>
      <c r="B952" s="6" t="s">
        <v>1939</v>
      </c>
      <c r="C952" s="6" t="s">
        <v>1940</v>
      </c>
      <c r="D952" s="6" t="s">
        <v>27</v>
      </c>
      <c r="E952" s="14"/>
      <c r="F952" s="8">
        <f>IF(HOUR(Table1[[#This Row],[CORREO]])&gt;=11,WORKDAY(Table1[[#This Row],[CORREO]],1,Table2[Dias no laborales]),E952)</f>
        <v>0</v>
      </c>
      <c r="G952" s="8">
        <v>45910</v>
      </c>
      <c r="H952" s="6">
        <f t="shared" si="28"/>
        <v>35</v>
      </c>
      <c r="I952" s="16">
        <f>MAX(1, NETWORKDAYS(A952, G952,Table2[Dias no laborales]))</f>
        <v>7</v>
      </c>
      <c r="J952" s="6" t="str">
        <f>IF(Table1[[#This Row],[FIN]]="","Acumulado",IF(ISNUMBER(SEARCH("ASAP",C952)),"ASAP",IF(NETWORKDAYS.INTL(F952,G952,1,Table2[Dias no laborales]) &lt;= 7, "Dentro", IF(A952&gt;F952,"Programado","Fuera"))))</f>
        <v>Programado</v>
      </c>
      <c r="K952" s="6" t="str">
        <f t="shared" si="29"/>
        <v>Programados</v>
      </c>
      <c r="L952" s="9">
        <v>45902</v>
      </c>
      <c r="M952" s="17">
        <f>MAX(1,NETWORKDAYS(A952,L952,Table2[Dias no laborales]))</f>
        <v>1</v>
      </c>
    </row>
    <row r="953" spans="1:13" hidden="1" x14ac:dyDescent="0.3">
      <c r="A953" s="8">
        <v>45902</v>
      </c>
      <c r="B953" s="6" t="s">
        <v>1907</v>
      </c>
      <c r="C953" s="6" t="s">
        <v>1908</v>
      </c>
      <c r="D953" s="6" t="s">
        <v>24</v>
      </c>
      <c r="E953" s="14"/>
      <c r="F953" s="8">
        <f>IF(HOUR(Table1[[#This Row],[CORREO]])&gt;=11,WORKDAY(Table1[[#This Row],[CORREO]],1,Table2[Dias no laborales]),E953)</f>
        <v>0</v>
      </c>
      <c r="G953" s="8">
        <v>45902</v>
      </c>
      <c r="H953" s="6">
        <f t="shared" si="28"/>
        <v>35</v>
      </c>
      <c r="I953" s="16">
        <f>MAX(1, NETWORKDAYS(A953, G953,Table2[Dias no laborales]))</f>
        <v>1</v>
      </c>
      <c r="J953" s="6" t="str">
        <f>IF(Table1[[#This Row],[FIN]]="","Acumulado",IF(ISNUMBER(SEARCH("ASAP",C953)),"ASAP",IF(NETWORKDAYS.INTL(F953,G953,1,Table2[Dias no laborales]) &lt;= 7, "Dentro", IF(A953&gt;F953,"Programado","Fuera"))))</f>
        <v>ASAP</v>
      </c>
      <c r="K953" s="6" t="str">
        <f t="shared" si="29"/>
        <v>Programados</v>
      </c>
      <c r="L953" s="9">
        <v>45902</v>
      </c>
      <c r="M953" s="17">
        <f>MAX(1,NETWORKDAYS(A953,L953,Table2[Dias no laborales]))</f>
        <v>1</v>
      </c>
    </row>
    <row r="954" spans="1:13" hidden="1" x14ac:dyDescent="0.3">
      <c r="A954" s="8">
        <v>45903</v>
      </c>
      <c r="B954" s="6" t="s">
        <v>2078</v>
      </c>
      <c r="C954" s="6" t="s">
        <v>2079</v>
      </c>
      <c r="D954" s="6" t="s">
        <v>133</v>
      </c>
      <c r="E954" s="14">
        <v>45902.556944444441</v>
      </c>
      <c r="F954" s="8">
        <f>IF(HOUR(Table1[[#This Row],[CORREO]])&gt;=11,WORKDAY(Table1[[#This Row],[CORREO]],1,Table2[Dias no laborales]),E954)</f>
        <v>45903</v>
      </c>
      <c r="G954" s="8">
        <v>45950</v>
      </c>
      <c r="H954" s="6">
        <f t="shared" si="28"/>
        <v>36</v>
      </c>
      <c r="I954" s="16">
        <f>MAX(1, NETWORKDAYS(A954, G954,Table2[Dias no laborales]))</f>
        <v>34</v>
      </c>
      <c r="J954" s="6" t="str">
        <f>IF(Table1[[#This Row],[FIN]]="","Acumulado",IF(ISNUMBER(SEARCH("ASAP",C954)),"ASAP",IF(NETWORKDAYS.INTL(F954,G954,1,Table2[Dias no laborales]) &lt;= 7, "Dentro", IF(A954&gt;F954,"Programado","Fuera"))))</f>
        <v>Fuera</v>
      </c>
      <c r="K954" s="6" t="str">
        <f t="shared" si="29"/>
        <v>A tiempo</v>
      </c>
      <c r="L954" s="9">
        <v>45903</v>
      </c>
      <c r="M954" s="17">
        <f>MAX(1,NETWORKDAYS(A954,L954,Table2[Dias no laborales]))</f>
        <v>1</v>
      </c>
    </row>
    <row r="955" spans="1:13" hidden="1" x14ac:dyDescent="0.3">
      <c r="A955" s="8">
        <v>45903</v>
      </c>
      <c r="B955" s="6" t="s">
        <v>1927</v>
      </c>
      <c r="C955" s="6" t="s">
        <v>1928</v>
      </c>
      <c r="D955" s="6" t="s">
        <v>27</v>
      </c>
      <c r="E955" s="14">
        <v>45902.611111111109</v>
      </c>
      <c r="F955" s="8">
        <f>IF(HOUR(Table1[[#This Row],[CORREO]])&gt;=11,WORKDAY(Table1[[#This Row],[CORREO]],1,Table2[Dias no laborales]),E955)</f>
        <v>45903</v>
      </c>
      <c r="G955" s="8">
        <v>45905</v>
      </c>
      <c r="H955" s="6">
        <f t="shared" si="28"/>
        <v>36</v>
      </c>
      <c r="I955" s="16">
        <f>MAX(1, NETWORKDAYS(A955, G955,Table2[Dias no laborales]))</f>
        <v>3</v>
      </c>
      <c r="J955" s="6" t="str">
        <f>IF(Table1[[#This Row],[FIN]]="","Acumulado",IF(ISNUMBER(SEARCH("ASAP",C955)),"ASAP",IF(NETWORKDAYS.INTL(F955,G955,1,Table2[Dias no laborales]) &lt;= 7, "Dentro", IF(A955&gt;F955,"Programado","Fuera"))))</f>
        <v>Dentro</v>
      </c>
      <c r="K955" s="6" t="str">
        <f t="shared" si="29"/>
        <v>A tiempo</v>
      </c>
      <c r="L955" s="9">
        <v>45903</v>
      </c>
      <c r="M955" s="17">
        <f>MAX(1,NETWORKDAYS(A955,L955,Table2[Dias no laborales]))</f>
        <v>1</v>
      </c>
    </row>
    <row r="956" spans="1:13" hidden="1" x14ac:dyDescent="0.3">
      <c r="A956" s="8">
        <v>45903</v>
      </c>
      <c r="B956" s="6" t="s">
        <v>1913</v>
      </c>
      <c r="C956" s="6" t="s">
        <v>1914</v>
      </c>
      <c r="D956" s="6" t="s">
        <v>61</v>
      </c>
      <c r="E956" s="14">
        <v>45903.304166666669</v>
      </c>
      <c r="F956" s="8">
        <f>IF(HOUR(Table1[[#This Row],[CORREO]])&gt;=11,WORKDAY(Table1[[#This Row],[CORREO]],1,Table2[Dias no laborales]),E956)</f>
        <v>45903.304166666669</v>
      </c>
      <c r="G956" s="8">
        <v>45903</v>
      </c>
      <c r="H956" s="6">
        <f t="shared" si="28"/>
        <v>36</v>
      </c>
      <c r="I956" s="16">
        <f>MAX(1, NETWORKDAYS(A956, G956,Table2[Dias no laborales]))</f>
        <v>1</v>
      </c>
      <c r="J956" s="6" t="str">
        <f>IF(Table1[[#This Row],[FIN]]="","Acumulado",IF(ISNUMBER(SEARCH("ASAP",C956)),"ASAP",IF(NETWORKDAYS.INTL(F956,G956,1,Table2[Dias no laborales]) &lt;= 7, "Dentro", IF(A956&gt;F956,"Programado","Fuera"))))</f>
        <v>Dentro</v>
      </c>
      <c r="K956" s="6" t="str">
        <f t="shared" si="29"/>
        <v>A tiempo</v>
      </c>
      <c r="L956" s="9">
        <v>45903</v>
      </c>
      <c r="M956" s="17">
        <f>MAX(1,NETWORKDAYS(A956,L956,Table2[Dias no laborales]))</f>
        <v>1</v>
      </c>
    </row>
    <row r="957" spans="1:13" hidden="1" x14ac:dyDescent="0.3">
      <c r="A957" s="8">
        <v>45903</v>
      </c>
      <c r="B957" s="6" t="s">
        <v>1909</v>
      </c>
      <c r="C957" s="6" t="s">
        <v>1910</v>
      </c>
      <c r="D957" s="6" t="s">
        <v>24</v>
      </c>
      <c r="E957" s="14">
        <v>45903.509027777778</v>
      </c>
      <c r="F957" s="8">
        <f>IF(HOUR(Table1[[#This Row],[CORREO]])&gt;=11,WORKDAY(Table1[[#This Row],[CORREO]],1,Table2[Dias no laborales]),E957)</f>
        <v>45904</v>
      </c>
      <c r="G957" s="8">
        <v>45903</v>
      </c>
      <c r="H957" s="6">
        <f t="shared" si="28"/>
        <v>36</v>
      </c>
      <c r="I957" s="16">
        <f>MAX(1, NETWORKDAYS(A957, G957,Table2[Dias no laborales]))</f>
        <v>1</v>
      </c>
      <c r="J957" s="6" t="str">
        <f>IF(Table1[[#This Row],[FIN]]="","Acumulado",IF(ISNUMBER(SEARCH("ASAP",C957)),"ASAP",IF(NETWORKDAYS.INTL(F957,G957,1,Table2[Dias no laborales]) &lt;= 7, "Dentro", IF(A957&gt;F957,"Programado","Fuera"))))</f>
        <v>Dentro</v>
      </c>
      <c r="K957" s="6" t="str">
        <f t="shared" si="29"/>
        <v>Mismo día</v>
      </c>
      <c r="L957" s="9">
        <v>45903</v>
      </c>
      <c r="M957" s="17">
        <f>MAX(1,NETWORKDAYS(A957,L957,Table2[Dias no laborales]))</f>
        <v>1</v>
      </c>
    </row>
    <row r="958" spans="1:13" hidden="1" x14ac:dyDescent="0.3">
      <c r="A958" s="8">
        <v>45904</v>
      </c>
      <c r="B958" s="6" t="s">
        <v>1916</v>
      </c>
      <c r="C958" s="6" t="s">
        <v>1917</v>
      </c>
      <c r="D958" s="6" t="s">
        <v>1562</v>
      </c>
      <c r="E958" s="14">
        <v>45903.568055555559</v>
      </c>
      <c r="F958" s="8">
        <f>IF(HOUR(Table1[[#This Row],[CORREO]])&gt;=11,WORKDAY(Table1[[#This Row],[CORREO]],1,Table2[Dias no laborales]),E958)</f>
        <v>45904</v>
      </c>
      <c r="G958" s="8">
        <v>45904</v>
      </c>
      <c r="H958" s="6">
        <f t="shared" si="28"/>
        <v>36</v>
      </c>
      <c r="I958" s="16">
        <f>MAX(1, NETWORKDAYS(A958, G958,Table2[Dias no laborales]))</f>
        <v>1</v>
      </c>
      <c r="J958" s="6" t="str">
        <f>IF(Table1[[#This Row],[FIN]]="","Acumulado",IF(ISNUMBER(SEARCH("ASAP",C958)),"ASAP",IF(NETWORKDAYS.INTL(F958,G958,1,Table2[Dias no laborales]) &lt;= 7, "Dentro", IF(A958&gt;F958,"Programado","Fuera"))))</f>
        <v>Dentro</v>
      </c>
      <c r="K958" s="6" t="str">
        <f t="shared" si="29"/>
        <v>A tiempo</v>
      </c>
      <c r="L958" s="9">
        <v>45904</v>
      </c>
      <c r="M958" s="17">
        <f>MAX(1,NETWORKDAYS(A958,L958,Table2[Dias no laborales]))</f>
        <v>1</v>
      </c>
    </row>
    <row r="959" spans="1:13" hidden="1" x14ac:dyDescent="0.3">
      <c r="A959" s="8">
        <v>45904</v>
      </c>
      <c r="B959" s="6" t="s">
        <v>1918</v>
      </c>
      <c r="C959" s="6" t="s">
        <v>1919</v>
      </c>
      <c r="D959" s="6" t="s">
        <v>308</v>
      </c>
      <c r="E959" s="14">
        <v>45903.688888888886</v>
      </c>
      <c r="F959" s="8">
        <f>IF(HOUR(Table1[[#This Row],[CORREO]])&gt;=11,WORKDAY(Table1[[#This Row],[CORREO]],1,Table2[Dias no laborales]),E959)</f>
        <v>45904</v>
      </c>
      <c r="G959" s="8">
        <v>45904</v>
      </c>
      <c r="H959" s="6">
        <f t="shared" si="28"/>
        <v>36</v>
      </c>
      <c r="I959" s="16">
        <f>MAX(1, NETWORKDAYS(A959, G959,Table2[Dias no laborales]))</f>
        <v>1</v>
      </c>
      <c r="J959" s="6" t="str">
        <f>IF(Table1[[#This Row],[FIN]]="","Acumulado",IF(ISNUMBER(SEARCH("ASAP",C959)),"ASAP",IF(NETWORKDAYS.INTL(F959,G959,1,Table2[Dias no laborales]) &lt;= 7, "Dentro", IF(A959&gt;F959,"Programado","Fuera"))))</f>
        <v>Dentro</v>
      </c>
      <c r="K959" s="6" t="str">
        <f t="shared" si="29"/>
        <v>A tiempo</v>
      </c>
      <c r="L959" s="9">
        <v>45904</v>
      </c>
      <c r="M959" s="17">
        <f>MAX(1,NETWORKDAYS(A959,L959,Table2[Dias no laborales]))</f>
        <v>1</v>
      </c>
    </row>
    <row r="960" spans="1:13" hidden="1" x14ac:dyDescent="0.3">
      <c r="A960" s="8">
        <v>45904</v>
      </c>
      <c r="B960" s="6" t="s">
        <v>1920</v>
      </c>
      <c r="C960" s="6" t="s">
        <v>305</v>
      </c>
      <c r="D960" s="6" t="s">
        <v>151</v>
      </c>
      <c r="E960" s="14">
        <v>45904.363194444442</v>
      </c>
      <c r="F960" s="8">
        <f>IF(HOUR(Table1[[#This Row],[CORREO]])&gt;=11,WORKDAY(Table1[[#This Row],[CORREO]],1,Table2[Dias no laborales]),E960)</f>
        <v>45904.363194444442</v>
      </c>
      <c r="G960" s="8">
        <v>45904</v>
      </c>
      <c r="H960" s="6">
        <f t="shared" si="28"/>
        <v>36</v>
      </c>
      <c r="I960" s="16">
        <f>MAX(1, NETWORKDAYS(A960, G960,Table2[Dias no laborales]))</f>
        <v>1</v>
      </c>
      <c r="J960" s="6" t="str">
        <f>IF(Table1[[#This Row],[FIN]]="","Acumulado",IF(ISNUMBER(SEARCH("ASAP",C960)),"ASAP",IF(NETWORKDAYS.INTL(F960,G960,1,Table2[Dias no laborales]) &lt;= 7, "Dentro", IF(A960&gt;F960,"Programado","Fuera"))))</f>
        <v>Dentro</v>
      </c>
      <c r="K960" s="6" t="str">
        <f t="shared" si="29"/>
        <v>A tiempo</v>
      </c>
      <c r="L960" s="9">
        <v>45904</v>
      </c>
      <c r="M960" s="17">
        <f>MAX(1,NETWORKDAYS(A960,L960,Table2[Dias no laborales]))</f>
        <v>1</v>
      </c>
    </row>
    <row r="961" spans="1:13" hidden="1" x14ac:dyDescent="0.3">
      <c r="A961" s="8">
        <v>45905</v>
      </c>
      <c r="B961" s="6" t="s">
        <v>1929</v>
      </c>
      <c r="C961" s="6" t="s">
        <v>1930</v>
      </c>
      <c r="D961" s="6" t="s">
        <v>119</v>
      </c>
      <c r="E961" s="14">
        <v>45904.515972222223</v>
      </c>
      <c r="F961" s="8">
        <f>IF(HOUR(Table1[[#This Row],[CORREO]])&gt;=11,WORKDAY(Table1[[#This Row],[CORREO]],1,Table2[Dias no laborales]),E961)</f>
        <v>45905</v>
      </c>
      <c r="G961" s="8">
        <v>45908</v>
      </c>
      <c r="H961" s="6">
        <f t="shared" si="28"/>
        <v>36</v>
      </c>
      <c r="I961" s="16">
        <f>MAX(1, NETWORKDAYS(A961, G961,Table2[Dias no laborales]))</f>
        <v>2</v>
      </c>
      <c r="J961" s="6" t="str">
        <f>IF(Table1[[#This Row],[FIN]]="","Acumulado",IF(ISNUMBER(SEARCH("ASAP",C961)),"ASAP",IF(NETWORKDAYS.INTL(F961,G961,1,Table2[Dias no laborales]) &lt;= 7, "Dentro", IF(A961&gt;F961,"Programado","Fuera"))))</f>
        <v>Dentro</v>
      </c>
      <c r="K961" s="6" t="str">
        <f t="shared" si="29"/>
        <v>A tiempo</v>
      </c>
      <c r="L961" s="9">
        <v>45905</v>
      </c>
      <c r="M961" s="17">
        <f>MAX(1,NETWORKDAYS(A961,L961,Table2[Dias no laborales]))</f>
        <v>1</v>
      </c>
    </row>
    <row r="962" spans="1:13" hidden="1" x14ac:dyDescent="0.3">
      <c r="A962" s="8">
        <v>45905</v>
      </c>
      <c r="B962" s="6" t="s">
        <v>1921</v>
      </c>
      <c r="C962" s="6" t="s">
        <v>305</v>
      </c>
      <c r="D962" s="6" t="s">
        <v>151</v>
      </c>
      <c r="E962" s="14">
        <v>45904.706250000003</v>
      </c>
      <c r="F962" s="8">
        <f>IF(HOUR(Table1[[#This Row],[CORREO]])&gt;=11,WORKDAY(Table1[[#This Row],[CORREO]],1,Table2[Dias no laborales]),E962)</f>
        <v>45905</v>
      </c>
      <c r="G962" s="8">
        <v>45905</v>
      </c>
      <c r="H962" s="6">
        <f t="shared" ref="H962:H1025" si="30">INT((A962-DATE(YEAR(A962),1,1))/7) + 1</f>
        <v>36</v>
      </c>
      <c r="I962" s="16">
        <f>MAX(1, NETWORKDAYS(A962, G962,Table2[Dias no laborales]))</f>
        <v>1</v>
      </c>
      <c r="J962" s="6" t="str">
        <f>IF(Table1[[#This Row],[FIN]]="","Acumulado",IF(ISNUMBER(SEARCH("ASAP",C962)),"ASAP",IF(NETWORKDAYS.INTL(F962,G962,1,Table2[Dias no laborales]) &lt;= 7, "Dentro", IF(A962&gt;F962,"Programado","Fuera"))))</f>
        <v>Dentro</v>
      </c>
      <c r="K962" s="6" t="str">
        <f t="shared" ref="K962:K1025" si="31">IF(INT(A962)=INT(F962),"A tiempo", IF(A962&lt;F962,"Mismo día","Programados"))</f>
        <v>A tiempo</v>
      </c>
      <c r="L962" s="9">
        <v>45905</v>
      </c>
      <c r="M962" s="17">
        <f>MAX(1,NETWORKDAYS(A962,L962,Table2[Dias no laborales]))</f>
        <v>1</v>
      </c>
    </row>
    <row r="963" spans="1:13" hidden="1" x14ac:dyDescent="0.3">
      <c r="A963" s="8">
        <v>45905</v>
      </c>
      <c r="B963" s="6" t="s">
        <v>1922</v>
      </c>
      <c r="C963" s="6" t="s">
        <v>391</v>
      </c>
      <c r="D963" s="6" t="s">
        <v>392</v>
      </c>
      <c r="E963" s="14">
        <v>45905.306944444441</v>
      </c>
      <c r="F963" s="8">
        <f>IF(HOUR(Table1[[#This Row],[CORREO]])&gt;=11,WORKDAY(Table1[[#This Row],[CORREO]],1,Table2[Dias no laborales]),E963)</f>
        <v>45905.306944444441</v>
      </c>
      <c r="G963" s="8">
        <v>45905</v>
      </c>
      <c r="H963" s="6">
        <f t="shared" si="30"/>
        <v>36</v>
      </c>
      <c r="I963" s="16">
        <f>MAX(1, NETWORKDAYS(A963, G963,Table2[Dias no laborales]))</f>
        <v>1</v>
      </c>
      <c r="J963" s="6" t="str">
        <f>IF(Table1[[#This Row],[FIN]]="","Acumulado",IF(ISNUMBER(SEARCH("ASAP",C963)),"ASAP",IF(NETWORKDAYS.INTL(F963,G963,1,Table2[Dias no laborales]) &lt;= 7, "Dentro", IF(A963&gt;F963,"Programado","Fuera"))))</f>
        <v>Dentro</v>
      </c>
      <c r="K963" s="6" t="str">
        <f t="shared" si="31"/>
        <v>A tiempo</v>
      </c>
      <c r="L963" s="9">
        <v>45905</v>
      </c>
      <c r="M963" s="17">
        <f>MAX(1,NETWORKDAYS(A963,L963,Table2[Dias no laborales]))</f>
        <v>1</v>
      </c>
    </row>
    <row r="964" spans="1:13" hidden="1" x14ac:dyDescent="0.3">
      <c r="A964" s="8">
        <v>45905</v>
      </c>
      <c r="B964" s="6" t="s">
        <v>1971</v>
      </c>
      <c r="C964" s="6" t="s">
        <v>1972</v>
      </c>
      <c r="D964" s="6" t="s">
        <v>199</v>
      </c>
      <c r="E964" s="14"/>
      <c r="F964" s="8">
        <f>IF(HOUR(Table1[[#This Row],[CORREO]])&gt;=11,WORKDAY(Table1[[#This Row],[CORREO]],1,Table2[Dias no laborales]),E964)</f>
        <v>0</v>
      </c>
      <c r="G964" s="8">
        <v>45912</v>
      </c>
      <c r="H964" s="6">
        <f t="shared" si="30"/>
        <v>36</v>
      </c>
      <c r="I964" s="16">
        <f>MAX(1, NETWORKDAYS(A964, G964,Table2[Dias no laborales]))</f>
        <v>6</v>
      </c>
      <c r="J964" s="6" t="str">
        <f>IF(Table1[[#This Row],[FIN]]="","Acumulado",IF(ISNUMBER(SEARCH("ASAP",C964)),"ASAP",IF(NETWORKDAYS.INTL(F964,G964,1,Table2[Dias no laborales]) &lt;= 7, "Dentro", IF(A964&gt;F964,"Programado","Fuera"))))</f>
        <v>Programado</v>
      </c>
      <c r="K964" s="6" t="str">
        <f t="shared" si="31"/>
        <v>Programados</v>
      </c>
      <c r="L964" s="9">
        <v>45905</v>
      </c>
      <c r="M964" s="17">
        <f>MAX(1,NETWORKDAYS(A964,L964,Table2[Dias no laborales]))</f>
        <v>1</v>
      </c>
    </row>
    <row r="965" spans="1:13" hidden="1" x14ac:dyDescent="0.3">
      <c r="A965" s="8">
        <v>45905</v>
      </c>
      <c r="B965" s="6" t="s">
        <v>1936</v>
      </c>
      <c r="C965" s="6" t="s">
        <v>1937</v>
      </c>
      <c r="D965" s="6" t="s">
        <v>139</v>
      </c>
      <c r="E965" s="14">
        <v>45905.368055555555</v>
      </c>
      <c r="F965" s="8">
        <f>IF(HOUR(Table1[[#This Row],[CORREO]])&gt;=11,WORKDAY(Table1[[#This Row],[CORREO]],1,Table2[Dias no laborales]),E965)</f>
        <v>45905.368055555555</v>
      </c>
      <c r="G965" s="8">
        <v>45910</v>
      </c>
      <c r="H965" s="6">
        <f t="shared" si="30"/>
        <v>36</v>
      </c>
      <c r="I965" s="16">
        <f>MAX(1, NETWORKDAYS(A965, G965,Table2[Dias no laborales]))</f>
        <v>4</v>
      </c>
      <c r="J965" s="6" t="str">
        <f>IF(Table1[[#This Row],[FIN]]="","Acumulado",IF(ISNUMBER(SEARCH("ASAP",C965)),"ASAP",IF(NETWORKDAYS.INTL(F965,G965,1,Table2[Dias no laborales]) &lt;= 7, "Dentro", IF(A965&gt;F965,"Programado","Fuera"))))</f>
        <v>Dentro</v>
      </c>
      <c r="K965" s="6" t="str">
        <f t="shared" si="31"/>
        <v>A tiempo</v>
      </c>
      <c r="L965" s="9">
        <v>45908</v>
      </c>
      <c r="M965" s="17">
        <f>MAX(1,NETWORKDAYS(A965,L965,Table2[Dias no laborales]))</f>
        <v>2</v>
      </c>
    </row>
    <row r="966" spans="1:13" hidden="1" x14ac:dyDescent="0.3">
      <c r="A966" s="8">
        <v>45908</v>
      </c>
      <c r="B966" s="6" t="s">
        <v>2098</v>
      </c>
      <c r="C966" s="6" t="s">
        <v>2099</v>
      </c>
      <c r="D966" s="6" t="s">
        <v>27</v>
      </c>
      <c r="E966" s="14"/>
      <c r="F966" s="8">
        <f>IF(HOUR(Table1[[#This Row],[CORREO]])&gt;=11,WORKDAY(Table1[[#This Row],[CORREO]],1,Table2[Dias no laborales]),E966)</f>
        <v>0</v>
      </c>
      <c r="G966" s="8">
        <v>45931</v>
      </c>
      <c r="H966" s="6">
        <f t="shared" si="30"/>
        <v>36</v>
      </c>
      <c r="I966" s="16">
        <f>MAX(1, NETWORKDAYS(A966, G966,Table2[Dias no laborales]))</f>
        <v>18</v>
      </c>
      <c r="J966" s="6" t="str">
        <f>IF(Table1[[#This Row],[FIN]]="","Acumulado",IF(ISNUMBER(SEARCH("ASAP",C966)),"ASAP",IF(NETWORKDAYS.INTL(F966,G966,1,Table2[Dias no laborales]) &lt;= 7, "Dentro", IF(A966&gt;F966,"Programado","Fuera"))))</f>
        <v>Programado</v>
      </c>
      <c r="K966" s="6" t="str">
        <f t="shared" si="31"/>
        <v>Programados</v>
      </c>
      <c r="L966" s="9">
        <v>45908</v>
      </c>
      <c r="M966" s="17">
        <f>MAX(1,NETWORKDAYS(A966,L966,Table2[Dias no laborales]))</f>
        <v>1</v>
      </c>
    </row>
    <row r="967" spans="1:13" hidden="1" x14ac:dyDescent="0.3">
      <c r="A967" s="8">
        <v>45908</v>
      </c>
      <c r="B967" s="6" t="s">
        <v>1932</v>
      </c>
      <c r="C967" s="6" t="s">
        <v>1933</v>
      </c>
      <c r="D967" s="6" t="s">
        <v>119</v>
      </c>
      <c r="E967" s="14">
        <v>45905.536805555559</v>
      </c>
      <c r="F967" s="8">
        <f>IF(HOUR(Table1[[#This Row],[CORREO]])&gt;=11,WORKDAY(Table1[[#This Row],[CORREO]],1,Table2[Dias no laborales]),E967)</f>
        <v>45908</v>
      </c>
      <c r="G967" s="8">
        <v>45909</v>
      </c>
      <c r="H967" s="6">
        <f t="shared" si="30"/>
        <v>36</v>
      </c>
      <c r="I967" s="16">
        <f>MAX(1, NETWORKDAYS(A967, G967,Table2[Dias no laborales]))</f>
        <v>2</v>
      </c>
      <c r="J967" s="6" t="str">
        <f>IF(Table1[[#This Row],[FIN]]="","Acumulado",IF(ISNUMBER(SEARCH("ASAP",C967)),"ASAP",IF(NETWORKDAYS.INTL(F967,G967,1,Table2[Dias no laborales]) &lt;= 7, "Dentro", IF(A967&gt;F967,"Programado","Fuera"))))</f>
        <v>Dentro</v>
      </c>
      <c r="K967" s="6" t="str">
        <f t="shared" si="31"/>
        <v>A tiempo</v>
      </c>
      <c r="L967" s="9">
        <v>45908</v>
      </c>
      <c r="M967" s="17">
        <f>MAX(1,NETWORKDAYS(A967,L967,Table2[Dias no laborales]))</f>
        <v>1</v>
      </c>
    </row>
    <row r="968" spans="1:13" hidden="1" x14ac:dyDescent="0.3">
      <c r="A968" s="8">
        <v>45908</v>
      </c>
      <c r="B968" s="6" t="s">
        <v>1938</v>
      </c>
      <c r="C968" s="6" t="s">
        <v>634</v>
      </c>
      <c r="D968" s="6" t="s">
        <v>133</v>
      </c>
      <c r="E968" s="14">
        <v>45905.56527777778</v>
      </c>
      <c r="F968" s="8">
        <f>IF(HOUR(Table1[[#This Row],[CORREO]])&gt;=11,WORKDAY(Table1[[#This Row],[CORREO]],1,Table2[Dias no laborales]),E968)</f>
        <v>45908</v>
      </c>
      <c r="G968" s="8">
        <v>45910</v>
      </c>
      <c r="H968" s="6">
        <f t="shared" si="30"/>
        <v>36</v>
      </c>
      <c r="I968" s="16">
        <f>MAX(1, NETWORKDAYS(A968, G968,Table2[Dias no laborales]))</f>
        <v>3</v>
      </c>
      <c r="J968" s="6" t="str">
        <f>IF(Table1[[#This Row],[FIN]]="","Acumulado",IF(ISNUMBER(SEARCH("ASAP",C968)),"ASAP",IF(NETWORKDAYS.INTL(F968,G968,1,Table2[Dias no laborales]) &lt;= 7, "Dentro", IF(A968&gt;F968,"Programado","Fuera"))))</f>
        <v>Dentro</v>
      </c>
      <c r="K968" s="6" t="str">
        <f t="shared" si="31"/>
        <v>A tiempo</v>
      </c>
      <c r="L968" s="9">
        <v>45908</v>
      </c>
      <c r="M968" s="17">
        <f>MAX(1,NETWORKDAYS(A968,L968,Table2[Dias no laborales]))</f>
        <v>1</v>
      </c>
    </row>
    <row r="969" spans="1:13" hidden="1" x14ac:dyDescent="0.3">
      <c r="A969" s="8">
        <v>45908</v>
      </c>
      <c r="B969" s="6" t="s">
        <v>1973</v>
      </c>
      <c r="C969" s="6" t="s">
        <v>1974</v>
      </c>
      <c r="D969" s="6" t="s">
        <v>24</v>
      </c>
      <c r="E969" s="14"/>
      <c r="F969" s="8">
        <f>IF(HOUR(Table1[[#This Row],[CORREO]])&gt;=11,WORKDAY(Table1[[#This Row],[CORREO]],1,Table2[Dias no laborales]),E969)</f>
        <v>0</v>
      </c>
      <c r="G969" s="8">
        <v>45912</v>
      </c>
      <c r="H969" s="6">
        <f t="shared" si="30"/>
        <v>36</v>
      </c>
      <c r="I969" s="16">
        <f>MAX(1, NETWORKDAYS(A969, G969,Table2[Dias no laborales]))</f>
        <v>5</v>
      </c>
      <c r="J969" s="6" t="str">
        <f>IF(Table1[[#This Row],[FIN]]="","Acumulado",IF(ISNUMBER(SEARCH("ASAP",C969)),"ASAP",IF(NETWORKDAYS.INTL(F969,G969,1,Table2[Dias no laborales]) &lt;= 7, "Dentro", IF(A969&gt;F969,"Programado","Fuera"))))</f>
        <v>Programado</v>
      </c>
      <c r="K969" s="6" t="str">
        <f t="shared" si="31"/>
        <v>Programados</v>
      </c>
      <c r="L969" s="9">
        <v>45908</v>
      </c>
      <c r="M969" s="17">
        <f>MAX(1,NETWORKDAYS(A969,L969,Table2[Dias no laborales]))</f>
        <v>1</v>
      </c>
    </row>
    <row r="970" spans="1:13" hidden="1" x14ac:dyDescent="0.3">
      <c r="A970" s="8">
        <v>45908</v>
      </c>
      <c r="B970" s="6" t="s">
        <v>1934</v>
      </c>
      <c r="C970" s="6" t="s">
        <v>1935</v>
      </c>
      <c r="D970" s="6" t="s">
        <v>119</v>
      </c>
      <c r="E970" s="14">
        <v>45905.647916666669</v>
      </c>
      <c r="F970" s="8">
        <f>IF(HOUR(Table1[[#This Row],[CORREO]])&gt;=11,WORKDAY(Table1[[#This Row],[CORREO]],1,Table2[Dias no laborales]),E970)</f>
        <v>45908</v>
      </c>
      <c r="G970" s="8">
        <v>45909</v>
      </c>
      <c r="H970" s="6">
        <f t="shared" si="30"/>
        <v>36</v>
      </c>
      <c r="I970" s="16">
        <f>MAX(1, NETWORKDAYS(A970, G970,Table2[Dias no laborales]))</f>
        <v>2</v>
      </c>
      <c r="J970" s="6" t="str">
        <f>IF(Table1[[#This Row],[FIN]]="","Acumulado",IF(ISNUMBER(SEARCH("ASAP",C970)),"ASAP",IF(NETWORKDAYS.INTL(F970,G970,1,Table2[Dias no laborales]) &lt;= 7, "Dentro", IF(A970&gt;F970,"Programado","Fuera"))))</f>
        <v>Dentro</v>
      </c>
      <c r="K970" s="6" t="str">
        <f t="shared" si="31"/>
        <v>A tiempo</v>
      </c>
      <c r="L970" s="9">
        <v>45908</v>
      </c>
      <c r="M970" s="17">
        <f>MAX(1,NETWORKDAYS(A970,L970,Table2[Dias no laborales]))</f>
        <v>1</v>
      </c>
    </row>
    <row r="971" spans="1:13" hidden="1" x14ac:dyDescent="0.3">
      <c r="A971" s="8">
        <v>45908</v>
      </c>
      <c r="B971" s="6" t="s">
        <v>2000</v>
      </c>
      <c r="C971" s="6" t="s">
        <v>2001</v>
      </c>
      <c r="D971" s="6" t="s">
        <v>24</v>
      </c>
      <c r="E971" s="14">
        <v>45905.658333333333</v>
      </c>
      <c r="F971" s="8">
        <f>IF(HOUR(Table1[[#This Row],[CORREO]])&gt;=11,WORKDAY(Table1[[#This Row],[CORREO]],1,Table2[Dias no laborales]),E971)</f>
        <v>45908</v>
      </c>
      <c r="G971" s="8">
        <v>45918</v>
      </c>
      <c r="H971" s="6">
        <f t="shared" si="30"/>
        <v>36</v>
      </c>
      <c r="I971" s="16">
        <f>MAX(1, NETWORKDAYS(A971, G971,Table2[Dias no laborales]))</f>
        <v>9</v>
      </c>
      <c r="J971" s="6" t="str">
        <f>IF(Table1[[#This Row],[FIN]]="","Acumulado",IF(ISNUMBER(SEARCH("ASAP",C971)),"ASAP",IF(NETWORKDAYS.INTL(F971,G971,1,Table2[Dias no laborales]) &lt;= 7, "Dentro", IF(A971&gt;F971,"Programado","Fuera"))))</f>
        <v>Fuera</v>
      </c>
      <c r="K971" s="6" t="str">
        <f t="shared" si="31"/>
        <v>A tiempo</v>
      </c>
      <c r="L971" s="9">
        <v>45908</v>
      </c>
      <c r="M971" s="17">
        <f>MAX(1,NETWORKDAYS(A971,L971,Table2[Dias no laborales]))</f>
        <v>1</v>
      </c>
    </row>
    <row r="972" spans="1:13" hidden="1" x14ac:dyDescent="0.3">
      <c r="A972" s="8">
        <v>45908</v>
      </c>
      <c r="B972" s="6" t="s">
        <v>1975</v>
      </c>
      <c r="C972" s="6" t="s">
        <v>1976</v>
      </c>
      <c r="D972" s="6" t="s">
        <v>24</v>
      </c>
      <c r="E972" s="14">
        <v>45908.34375</v>
      </c>
      <c r="F972" s="8">
        <f>IF(HOUR(Table1[[#This Row],[CORREO]])&gt;=11,WORKDAY(Table1[[#This Row],[CORREO]],1,Table2[Dias no laborales]),E972)</f>
        <v>45908.34375</v>
      </c>
      <c r="G972" s="8">
        <v>45912</v>
      </c>
      <c r="H972" s="6">
        <f t="shared" si="30"/>
        <v>36</v>
      </c>
      <c r="I972" s="16">
        <f>MAX(1, NETWORKDAYS(A972, G972,Table2[Dias no laborales]))</f>
        <v>5</v>
      </c>
      <c r="J972" s="6" t="str">
        <f>IF(Table1[[#This Row],[FIN]]="","Acumulado",IF(ISNUMBER(SEARCH("ASAP",C972)),"ASAP",IF(NETWORKDAYS.INTL(F972,G972,1,Table2[Dias no laborales]) &lt;= 7, "Dentro", IF(A972&gt;F972,"Programado","Fuera"))))</f>
        <v>Dentro</v>
      </c>
      <c r="K972" s="6" t="str">
        <f t="shared" si="31"/>
        <v>A tiempo</v>
      </c>
      <c r="L972" s="9">
        <v>45909</v>
      </c>
      <c r="M972" s="17">
        <f>MAX(1,NETWORKDAYS(A972,L972,Table2[Dias no laborales]))</f>
        <v>2</v>
      </c>
    </row>
    <row r="973" spans="1:13" hidden="1" x14ac:dyDescent="0.3">
      <c r="A973" s="8">
        <v>45908</v>
      </c>
      <c r="B973" s="6" t="s">
        <v>1931</v>
      </c>
      <c r="C973" s="6" t="s">
        <v>599</v>
      </c>
      <c r="D973" s="6" t="s">
        <v>571</v>
      </c>
      <c r="E973" s="14">
        <v>45908.35833333333</v>
      </c>
      <c r="F973" s="8">
        <f>IF(HOUR(Table1[[#This Row],[CORREO]])&gt;=11,WORKDAY(Table1[[#This Row],[CORREO]],1,Table2[Dias no laborales]),E973)</f>
        <v>45908.35833333333</v>
      </c>
      <c r="G973" s="8">
        <v>45909</v>
      </c>
      <c r="H973" s="6">
        <f t="shared" si="30"/>
        <v>36</v>
      </c>
      <c r="I973" s="16">
        <f>MAX(1, NETWORKDAYS(A973, G973,Table2[Dias no laborales]))</f>
        <v>2</v>
      </c>
      <c r="J973" s="6" t="str">
        <f>IF(Table1[[#This Row],[FIN]]="","Acumulado",IF(ISNUMBER(SEARCH("ASAP",C973)),"ASAP",IF(NETWORKDAYS.INTL(F973,G973,1,Table2[Dias no laborales]) &lt;= 7, "Dentro", IF(A973&gt;F973,"Programado","Fuera"))))</f>
        <v>Dentro</v>
      </c>
      <c r="K973" s="6" t="str">
        <f t="shared" si="31"/>
        <v>A tiempo</v>
      </c>
      <c r="L973" s="9">
        <v>45908</v>
      </c>
      <c r="M973" s="17">
        <f>MAX(1,NETWORKDAYS(A973,L973,Table2[Dias no laborales]))</f>
        <v>1</v>
      </c>
    </row>
    <row r="974" spans="1:13" hidden="1" x14ac:dyDescent="0.3">
      <c r="A974" s="8">
        <v>45908</v>
      </c>
      <c r="B974" s="6" t="s">
        <v>1965</v>
      </c>
      <c r="C974" s="6" t="s">
        <v>1966</v>
      </c>
      <c r="D974" s="6" t="s">
        <v>37</v>
      </c>
      <c r="E974" s="14">
        <v>45908.359027777777</v>
      </c>
      <c r="F974" s="8">
        <f>IF(HOUR(Table1[[#This Row],[CORREO]])&gt;=11,WORKDAY(Table1[[#This Row],[CORREO]],1,Table2[Dias no laborales]),E974)</f>
        <v>45908.359027777777</v>
      </c>
      <c r="G974" s="8">
        <v>45911</v>
      </c>
      <c r="H974" s="6">
        <f t="shared" si="30"/>
        <v>36</v>
      </c>
      <c r="I974" s="16">
        <f>MAX(1, NETWORKDAYS(A974, G974,Table2[Dias no laborales]))</f>
        <v>4</v>
      </c>
      <c r="J974" s="6" t="str">
        <f>IF(Table1[[#This Row],[FIN]]="","Acumulado",IF(ISNUMBER(SEARCH("ASAP",C974)),"ASAP",IF(NETWORKDAYS.INTL(F974,G974,1,Table2[Dias no laborales]) &lt;= 7, "Dentro", IF(A974&gt;F974,"Programado","Fuera"))))</f>
        <v>Dentro</v>
      </c>
      <c r="K974" s="6" t="str">
        <f t="shared" si="31"/>
        <v>A tiempo</v>
      </c>
      <c r="L974" s="9">
        <v>45908</v>
      </c>
      <c r="M974" s="17">
        <f>MAX(1,NETWORKDAYS(A974,L974,Table2[Dias no laborales]))</f>
        <v>1</v>
      </c>
    </row>
    <row r="975" spans="1:13" hidden="1" x14ac:dyDescent="0.3">
      <c r="A975" s="8">
        <v>45908</v>
      </c>
      <c r="B975" s="6" t="s">
        <v>1945</v>
      </c>
      <c r="C975" s="6" t="s">
        <v>1946</v>
      </c>
      <c r="D975" s="6" t="s">
        <v>119</v>
      </c>
      <c r="E975" s="14">
        <v>45908.445138888892</v>
      </c>
      <c r="F975" s="8">
        <f>IF(HOUR(Table1[[#This Row],[CORREO]])&gt;=11,WORKDAY(Table1[[#This Row],[CORREO]],1,Table2[Dias no laborales]),E975)</f>
        <v>45908.445138888892</v>
      </c>
      <c r="G975" s="8">
        <v>45910</v>
      </c>
      <c r="H975" s="6">
        <f t="shared" si="30"/>
        <v>36</v>
      </c>
      <c r="I975" s="16">
        <f>MAX(1, NETWORKDAYS(A975, G975,Table2[Dias no laborales]))</f>
        <v>3</v>
      </c>
      <c r="J975" s="6" t="str">
        <f>IF(Table1[[#This Row],[FIN]]="","Acumulado",IF(ISNUMBER(SEARCH("ASAP",C975)),"ASAP",IF(NETWORKDAYS.INTL(F975,G975,1,Table2[Dias no laborales]) &lt;= 7, "Dentro", IF(A975&gt;F975,"Programado","Fuera"))))</f>
        <v>Dentro</v>
      </c>
      <c r="K975" s="6" t="str">
        <f t="shared" si="31"/>
        <v>A tiempo</v>
      </c>
      <c r="L975" s="9">
        <v>45908</v>
      </c>
      <c r="M975" s="17">
        <f>MAX(1,NETWORKDAYS(A975,L975,Table2[Dias no laborales]))</f>
        <v>1</v>
      </c>
    </row>
    <row r="976" spans="1:13" hidden="1" x14ac:dyDescent="0.3">
      <c r="A976" s="8">
        <v>45909</v>
      </c>
      <c r="B976" s="6" t="s">
        <v>1994</v>
      </c>
      <c r="C976" s="6" t="s">
        <v>1995</v>
      </c>
      <c r="D976" s="6" t="s">
        <v>1360</v>
      </c>
      <c r="E976" s="14"/>
      <c r="F976" s="8">
        <f>IF(HOUR(Table1[[#This Row],[CORREO]])&gt;=11,WORKDAY(Table1[[#This Row],[CORREO]],1,Table2[Dias no laborales]),E976)</f>
        <v>0</v>
      </c>
      <c r="G976" s="8">
        <v>45918</v>
      </c>
      <c r="H976" s="6">
        <f t="shared" si="30"/>
        <v>36</v>
      </c>
      <c r="I976" s="16">
        <f>MAX(1, NETWORKDAYS(A976, G976,Table2[Dias no laborales]))</f>
        <v>8</v>
      </c>
      <c r="J976" s="6" t="str">
        <f>IF(Table1[[#This Row],[FIN]]="","Acumulado",IF(ISNUMBER(SEARCH("ASAP",C976)),"ASAP",IF(NETWORKDAYS.INTL(F976,G976,1,Table2[Dias no laborales]) &lt;= 7, "Dentro", IF(A976&gt;F976,"Programado","Fuera"))))</f>
        <v>Programado</v>
      </c>
      <c r="K976" s="6" t="str">
        <f t="shared" si="31"/>
        <v>Programados</v>
      </c>
      <c r="L976" s="9">
        <v>45910</v>
      </c>
      <c r="M976" s="17">
        <f>MAX(1,NETWORKDAYS(A976,L976,Table2[Dias no laborales]))</f>
        <v>2</v>
      </c>
    </row>
    <row r="977" spans="1:13" hidden="1" x14ac:dyDescent="0.3">
      <c r="A977" s="8">
        <v>45909</v>
      </c>
      <c r="B977" s="6" t="s">
        <v>1996</v>
      </c>
      <c r="C977" s="6" t="s">
        <v>1997</v>
      </c>
      <c r="D977" s="6" t="s">
        <v>1360</v>
      </c>
      <c r="E977" s="14"/>
      <c r="F977" s="8">
        <f>IF(HOUR(Table1[[#This Row],[CORREO]])&gt;=11,WORKDAY(Table1[[#This Row],[CORREO]],1,Table2[Dias no laborales]),E977)</f>
        <v>0</v>
      </c>
      <c r="G977" s="8">
        <v>45918</v>
      </c>
      <c r="H977" s="6">
        <f t="shared" si="30"/>
        <v>36</v>
      </c>
      <c r="I977" s="16">
        <f>MAX(1, NETWORKDAYS(A977, G977,Table2[Dias no laborales]))</f>
        <v>8</v>
      </c>
      <c r="J977" s="6" t="str">
        <f>IF(Table1[[#This Row],[FIN]]="","Acumulado",IF(ISNUMBER(SEARCH("ASAP",C977)),"ASAP",IF(NETWORKDAYS.INTL(F977,G977,1,Table2[Dias no laborales]) &lt;= 7, "Dentro", IF(A977&gt;F977,"Programado","Fuera"))))</f>
        <v>Programado</v>
      </c>
      <c r="K977" s="6" t="str">
        <f t="shared" si="31"/>
        <v>Programados</v>
      </c>
      <c r="L977" s="9">
        <v>45864</v>
      </c>
      <c r="M977" s="17">
        <f>MAX(1,NETWORKDAYS(A977,L977,Table2[Dias no laborales]))</f>
        <v>1</v>
      </c>
    </row>
    <row r="978" spans="1:13" hidden="1" x14ac:dyDescent="0.3">
      <c r="A978" s="8">
        <v>45909</v>
      </c>
      <c r="B978" s="6" t="s">
        <v>1957</v>
      </c>
      <c r="C978" s="6" t="s">
        <v>1958</v>
      </c>
      <c r="D978" s="6" t="s">
        <v>372</v>
      </c>
      <c r="E978" s="14">
        <v>45909.320833333331</v>
      </c>
      <c r="F978" s="8">
        <f>IF(HOUR(Table1[[#This Row],[CORREO]])&gt;=11,WORKDAY(Table1[[#This Row],[CORREO]],1,Table2[Dias no laborales]),E978)</f>
        <v>45909.320833333331</v>
      </c>
      <c r="G978" s="8">
        <v>45910</v>
      </c>
      <c r="H978" s="6">
        <f t="shared" si="30"/>
        <v>36</v>
      </c>
      <c r="I978" s="16">
        <f>MAX(1, NETWORKDAYS(A978, G978,Table2[Dias no laborales]))</f>
        <v>2</v>
      </c>
      <c r="J978" s="6" t="str">
        <f>IF(Table1[[#This Row],[FIN]]="","Acumulado",IF(ISNUMBER(SEARCH("ASAP",C978)),"ASAP",IF(NETWORKDAYS.INTL(F978,G978,1,Table2[Dias no laborales]) &lt;= 7, "Dentro", IF(A978&gt;F978,"Programado","Fuera"))))</f>
        <v>Dentro</v>
      </c>
      <c r="K978" s="6" t="str">
        <f t="shared" si="31"/>
        <v>A tiempo</v>
      </c>
      <c r="L978" s="9">
        <v>45909</v>
      </c>
      <c r="M978" s="17">
        <f>MAX(1,NETWORKDAYS(A978,L978,Table2[Dias no laborales]))</f>
        <v>1</v>
      </c>
    </row>
    <row r="979" spans="1:13" hidden="1" x14ac:dyDescent="0.3">
      <c r="A979" s="8">
        <v>45909</v>
      </c>
      <c r="B979" s="6" t="s">
        <v>1992</v>
      </c>
      <c r="C979" s="6" t="s">
        <v>1993</v>
      </c>
      <c r="D979" s="6" t="s">
        <v>27</v>
      </c>
      <c r="E979" s="14"/>
      <c r="F979" s="8">
        <f>IF(HOUR(Table1[[#This Row],[CORREO]])&gt;=11,WORKDAY(Table1[[#This Row],[CORREO]],1,Table2[Dias no laborales]),E979)</f>
        <v>0</v>
      </c>
      <c r="G979" s="8">
        <v>45918</v>
      </c>
      <c r="H979" s="6">
        <f t="shared" si="30"/>
        <v>36</v>
      </c>
      <c r="I979" s="16">
        <f>MAX(1, NETWORKDAYS(A979, G979,Table2[Dias no laborales]))</f>
        <v>8</v>
      </c>
      <c r="J979" s="6" t="str">
        <f>IF(Table1[[#This Row],[FIN]]="","Acumulado",IF(ISNUMBER(SEARCH("ASAP",C979)),"ASAP",IF(NETWORKDAYS.INTL(F979,G979,1,Table2[Dias no laborales]) &lt;= 7, "Dentro", IF(A979&gt;F979,"Programado","Fuera"))))</f>
        <v>Programado</v>
      </c>
      <c r="K979" s="6" t="str">
        <f t="shared" si="31"/>
        <v>Programados</v>
      </c>
      <c r="L979" s="9">
        <v>45910</v>
      </c>
      <c r="M979" s="17">
        <f>MAX(1,NETWORKDAYS(A979,L979,Table2[Dias no laborales]))</f>
        <v>2</v>
      </c>
    </row>
    <row r="980" spans="1:13" hidden="1" x14ac:dyDescent="0.3">
      <c r="A980" s="8">
        <v>45909</v>
      </c>
      <c r="B980" s="6" t="s">
        <v>1941</v>
      </c>
      <c r="C980" s="6" t="s">
        <v>1942</v>
      </c>
      <c r="D980" s="6" t="s">
        <v>171</v>
      </c>
      <c r="E980" s="14">
        <v>45853.342361111114</v>
      </c>
      <c r="F980" s="8">
        <f>IF(HOUR(Table1[[#This Row],[CORREO]])&gt;=11,WORKDAY(Table1[[#This Row],[CORREO]],1,Table2[Dias no laborales]),E980)</f>
        <v>45853.342361111114</v>
      </c>
      <c r="G980" s="8">
        <v>45910</v>
      </c>
      <c r="H980" s="6">
        <f t="shared" si="30"/>
        <v>36</v>
      </c>
      <c r="I980" s="16">
        <f>MAX(1, NETWORKDAYS(A980, G980,Table2[Dias no laborales]))</f>
        <v>2</v>
      </c>
      <c r="J980" s="6" t="str">
        <f>IF(Table1[[#This Row],[FIN]]="","Acumulado",IF(ISNUMBER(SEARCH("ASAP",C980)),"ASAP",IF(NETWORKDAYS.INTL(F980,G980,1,Table2[Dias no laborales]) &lt;= 7, "Dentro", IF(A980&gt;F980,"Programado","Fuera"))))</f>
        <v>ASAP</v>
      </c>
      <c r="K980" s="6" t="str">
        <f t="shared" si="31"/>
        <v>Programados</v>
      </c>
      <c r="L980" s="9">
        <v>45910</v>
      </c>
      <c r="M980" s="17">
        <f>MAX(1,NETWORKDAYS(A980,L980,Table2[Dias no laborales]))</f>
        <v>2</v>
      </c>
    </row>
    <row r="981" spans="1:13" hidden="1" x14ac:dyDescent="0.3">
      <c r="A981" s="8">
        <v>45910</v>
      </c>
      <c r="B981" s="6" t="s">
        <v>1943</v>
      </c>
      <c r="C981" s="6" t="s">
        <v>1944</v>
      </c>
      <c r="D981" s="6" t="s">
        <v>586</v>
      </c>
      <c r="E981" s="14">
        <v>45909.49722222222</v>
      </c>
      <c r="F981" s="8">
        <f>IF(HOUR(Table1[[#This Row],[CORREO]])&gt;=11,WORKDAY(Table1[[#This Row],[CORREO]],1,Table2[Dias no laborales]),E981)</f>
        <v>45910</v>
      </c>
      <c r="G981" s="8">
        <v>45910</v>
      </c>
      <c r="H981" s="6">
        <f t="shared" si="30"/>
        <v>37</v>
      </c>
      <c r="I981" s="16">
        <f>MAX(1, NETWORKDAYS(A981, G981,Table2[Dias no laborales]))</f>
        <v>1</v>
      </c>
      <c r="J981" s="6" t="str">
        <f>IF(Table1[[#This Row],[FIN]]="","Acumulado",IF(ISNUMBER(SEARCH("ASAP",C981)),"ASAP",IF(NETWORKDAYS.INTL(F981,G981,1,Table2[Dias no laborales]) &lt;= 7, "Dentro", IF(A981&gt;F981,"Programado","Fuera"))))</f>
        <v>Dentro</v>
      </c>
      <c r="K981" s="6" t="str">
        <f t="shared" si="31"/>
        <v>A tiempo</v>
      </c>
      <c r="L981" s="9">
        <v>45910</v>
      </c>
      <c r="M981" s="17">
        <f>MAX(1,NETWORKDAYS(A981,L981,Table2[Dias no laborales]))</f>
        <v>1</v>
      </c>
    </row>
    <row r="982" spans="1:13" hidden="1" x14ac:dyDescent="0.3">
      <c r="A982" s="8">
        <v>45910</v>
      </c>
      <c r="B982" s="6" t="s">
        <v>1961</v>
      </c>
      <c r="C982" s="6" t="s">
        <v>1962</v>
      </c>
      <c r="D982" s="6" t="s">
        <v>191</v>
      </c>
      <c r="E982" s="14">
        <v>45909.682638888888</v>
      </c>
      <c r="F982" s="8">
        <f>IF(HOUR(Table1[[#This Row],[CORREO]])&gt;=11,WORKDAY(Table1[[#This Row],[CORREO]],1,Table2[Dias no laborales]),E982)</f>
        <v>45910</v>
      </c>
      <c r="G982" s="8">
        <v>45911</v>
      </c>
      <c r="H982" s="6">
        <f t="shared" si="30"/>
        <v>37</v>
      </c>
      <c r="I982" s="16">
        <f>MAX(1, NETWORKDAYS(A982, G982,Table2[Dias no laborales]))</f>
        <v>2</v>
      </c>
      <c r="J982" s="6" t="str">
        <f>IF(Table1[[#This Row],[FIN]]="","Acumulado",IF(ISNUMBER(SEARCH("ASAP",C982)),"ASAP",IF(NETWORKDAYS.INTL(F982,G982,1,Table2[Dias no laborales]) &lt;= 7, "Dentro", IF(A982&gt;F982,"Programado","Fuera"))))</f>
        <v>Dentro</v>
      </c>
      <c r="K982" s="6" t="str">
        <f t="shared" si="31"/>
        <v>A tiempo</v>
      </c>
      <c r="L982" s="9">
        <v>45910</v>
      </c>
      <c r="M982" s="17">
        <f>MAX(1,NETWORKDAYS(A982,L982,Table2[Dias no laborales]))</f>
        <v>1</v>
      </c>
    </row>
    <row r="983" spans="1:13" hidden="1" x14ac:dyDescent="0.3">
      <c r="A983" s="8">
        <v>45910</v>
      </c>
      <c r="B983" s="6" t="s">
        <v>1947</v>
      </c>
      <c r="C983" s="6" t="s">
        <v>1948</v>
      </c>
      <c r="D983" s="6" t="s">
        <v>27</v>
      </c>
      <c r="E983" s="14">
        <v>45909.742361111108</v>
      </c>
      <c r="F983" s="8">
        <f>IF(HOUR(Table1[[#This Row],[CORREO]])&gt;=11,WORKDAY(Table1[[#This Row],[CORREO]],1,Table2[Dias no laborales]),E983)</f>
        <v>45910</v>
      </c>
      <c r="G983" s="8">
        <v>45910</v>
      </c>
      <c r="H983" s="6">
        <f t="shared" si="30"/>
        <v>37</v>
      </c>
      <c r="I983" s="16">
        <f>MAX(1, NETWORKDAYS(A983, G983,Table2[Dias no laborales]))</f>
        <v>1</v>
      </c>
      <c r="J983" s="6" t="str">
        <f>IF(Table1[[#This Row],[FIN]]="","Acumulado",IF(ISNUMBER(SEARCH("ASAP",C983)),"ASAP",IF(NETWORKDAYS.INTL(F983,G983,1,Table2[Dias no laborales]) &lt;= 7, "Dentro", IF(A983&gt;F983,"Programado","Fuera"))))</f>
        <v>Dentro</v>
      </c>
      <c r="K983" s="6" t="str">
        <f t="shared" si="31"/>
        <v>A tiempo</v>
      </c>
      <c r="L983" s="9">
        <v>45910</v>
      </c>
      <c r="M983" s="17">
        <f>MAX(1,NETWORKDAYS(A983,L983,Table2[Dias no laborales]))</f>
        <v>1</v>
      </c>
    </row>
    <row r="984" spans="1:13" hidden="1" x14ac:dyDescent="0.3">
      <c r="A984" s="8">
        <v>45910</v>
      </c>
      <c r="B984" s="6" t="s">
        <v>1969</v>
      </c>
      <c r="C984" s="6" t="s">
        <v>1970</v>
      </c>
      <c r="D984" s="6" t="s">
        <v>308</v>
      </c>
      <c r="E984" s="14">
        <v>45910.345138888886</v>
      </c>
      <c r="F984" s="8">
        <f>IF(HOUR(Table1[[#This Row],[CORREO]])&gt;=11,WORKDAY(Table1[[#This Row],[CORREO]],1,Table2[Dias no laborales]),E984)</f>
        <v>45910.345138888886</v>
      </c>
      <c r="G984" s="8">
        <v>45912</v>
      </c>
      <c r="H984" s="6">
        <f t="shared" si="30"/>
        <v>37</v>
      </c>
      <c r="I984" s="16">
        <f>MAX(1, NETWORKDAYS(A984, G984,Table2[Dias no laborales]))</f>
        <v>3</v>
      </c>
      <c r="J984" s="6" t="str">
        <f>IF(Table1[[#This Row],[FIN]]="","Acumulado",IF(ISNUMBER(SEARCH("ASAP",C984)),"ASAP",IF(NETWORKDAYS.INTL(F984,G984,1,Table2[Dias no laborales]) &lt;= 7, "Dentro", IF(A984&gt;F984,"Programado","Fuera"))))</f>
        <v>Dentro</v>
      </c>
      <c r="K984" s="6" t="str">
        <f t="shared" si="31"/>
        <v>A tiempo</v>
      </c>
      <c r="L984" s="9">
        <v>45910</v>
      </c>
      <c r="M984" s="17">
        <f>MAX(1,NETWORKDAYS(A984,L984,Table2[Dias no laborales]))</f>
        <v>1</v>
      </c>
    </row>
    <row r="985" spans="1:13" hidden="1" x14ac:dyDescent="0.3">
      <c r="A985" s="8">
        <v>45910</v>
      </c>
      <c r="B985" s="6" t="s">
        <v>1955</v>
      </c>
      <c r="C985" s="6" t="s">
        <v>1956</v>
      </c>
      <c r="D985" s="6" t="s">
        <v>586</v>
      </c>
      <c r="E985" s="14">
        <v>45910.418749999997</v>
      </c>
      <c r="F985" s="8">
        <f>IF(HOUR(Table1[[#This Row],[CORREO]])&gt;=11,WORKDAY(Table1[[#This Row],[CORREO]],1,Table2[Dias no laborales]),E985)</f>
        <v>45910.418749999997</v>
      </c>
      <c r="G985" s="8">
        <v>45910</v>
      </c>
      <c r="H985" s="6">
        <f t="shared" si="30"/>
        <v>37</v>
      </c>
      <c r="I985" s="16">
        <f>MAX(1, NETWORKDAYS(A985, G985,Table2[Dias no laborales]))</f>
        <v>1</v>
      </c>
      <c r="J985" s="6" t="str">
        <f>IF(Table1[[#This Row],[FIN]]="","Acumulado",IF(ISNUMBER(SEARCH("ASAP",C985)),"ASAP",IF(NETWORKDAYS.INTL(F985,G985,1,Table2[Dias no laborales]) &lt;= 7, "Dentro", IF(A985&gt;F985,"Programado","Fuera"))))</f>
        <v>Dentro</v>
      </c>
      <c r="K985" s="6" t="str">
        <f t="shared" si="31"/>
        <v>A tiempo</v>
      </c>
      <c r="L985" s="9">
        <v>45910</v>
      </c>
      <c r="M985" s="17">
        <f>MAX(1,NETWORKDAYS(A985,L985,Table2[Dias no laborales]))</f>
        <v>1</v>
      </c>
    </row>
    <row r="986" spans="1:13" hidden="1" x14ac:dyDescent="0.3">
      <c r="A986" s="8">
        <v>45910</v>
      </c>
      <c r="B986" s="6" t="s">
        <v>1963</v>
      </c>
      <c r="C986" s="6" t="s">
        <v>1964</v>
      </c>
      <c r="D986" s="6" t="s">
        <v>571</v>
      </c>
      <c r="E986" s="14">
        <v>45910.465277777781</v>
      </c>
      <c r="F986" s="8">
        <f>IF(HOUR(Table1[[#This Row],[CORREO]])&gt;=11,WORKDAY(Table1[[#This Row],[CORREO]],1,Table2[Dias no laborales]),E986)</f>
        <v>45911</v>
      </c>
      <c r="G986" s="8">
        <v>45911</v>
      </c>
      <c r="H986" s="6">
        <f t="shared" si="30"/>
        <v>37</v>
      </c>
      <c r="I986" s="16">
        <f>MAX(1, NETWORKDAYS(A986, G986,Table2[Dias no laborales]))</f>
        <v>2</v>
      </c>
      <c r="J986" s="6" t="str">
        <f>IF(Table1[[#This Row],[FIN]]="","Acumulado",IF(ISNUMBER(SEARCH("ASAP",C986)),"ASAP",IF(NETWORKDAYS.INTL(F986,G986,1,Table2[Dias no laborales]) &lt;= 7, "Dentro", IF(A986&gt;F986,"Programado","Fuera"))))</f>
        <v>Dentro</v>
      </c>
      <c r="K986" s="6" t="str">
        <f t="shared" si="31"/>
        <v>Mismo día</v>
      </c>
      <c r="L986" s="9">
        <v>45910</v>
      </c>
      <c r="M986" s="17">
        <f>MAX(1,NETWORKDAYS(A986,L986,Table2[Dias no laborales]))</f>
        <v>1</v>
      </c>
    </row>
    <row r="987" spans="1:13" hidden="1" x14ac:dyDescent="0.3">
      <c r="A987" s="8">
        <v>45911</v>
      </c>
      <c r="B987" s="6" t="s">
        <v>2061</v>
      </c>
      <c r="C987" s="6" t="s">
        <v>2062</v>
      </c>
      <c r="D987" s="6" t="s">
        <v>586</v>
      </c>
      <c r="E987" s="14"/>
      <c r="F987" s="8">
        <f>IF(HOUR(Table1[[#This Row],[CORREO]])&gt;=11,WORKDAY(Table1[[#This Row],[CORREO]],1,Table2[Dias no laborales]),E987)</f>
        <v>0</v>
      </c>
      <c r="G987" s="8">
        <v>45926</v>
      </c>
      <c r="H987" s="6">
        <f t="shared" si="30"/>
        <v>37</v>
      </c>
      <c r="I987" s="16">
        <f>MAX(1, NETWORKDAYS(A987, G987,Table2[Dias no laborales]))</f>
        <v>12</v>
      </c>
      <c r="J987" s="6" t="str">
        <f>IF(Table1[[#This Row],[FIN]]="","Acumulado",IF(ISNUMBER(SEARCH("ASAP",C987)),"ASAP",IF(NETWORKDAYS.INTL(F987,G987,1,Table2[Dias no laborales]) &lt;= 7, "Dentro", IF(A987&gt;F987,"Programado","Fuera"))))</f>
        <v>Programado</v>
      </c>
      <c r="K987" s="6" t="str">
        <f t="shared" si="31"/>
        <v>Programados</v>
      </c>
      <c r="L987" s="9">
        <v>45911</v>
      </c>
      <c r="M987" s="17">
        <f>MAX(1,NETWORKDAYS(A987,L987,Table2[Dias no laborales]))</f>
        <v>1</v>
      </c>
    </row>
    <row r="988" spans="1:13" hidden="1" x14ac:dyDescent="0.3">
      <c r="A988" s="8">
        <v>45911</v>
      </c>
      <c r="B988" s="6" t="s">
        <v>1967</v>
      </c>
      <c r="C988" s="6" t="s">
        <v>1968</v>
      </c>
      <c r="D988" s="6" t="s">
        <v>151</v>
      </c>
      <c r="E988" s="14">
        <v>45911.458333333336</v>
      </c>
      <c r="F988" s="8">
        <f>IF(HOUR(Table1[[#This Row],[CORREO]])&gt;=11,WORKDAY(Table1[[#This Row],[CORREO]],1,Table2[Dias no laborales]),E988)</f>
        <v>45912</v>
      </c>
      <c r="G988" s="8">
        <v>45911</v>
      </c>
      <c r="H988" s="6">
        <f t="shared" si="30"/>
        <v>37</v>
      </c>
      <c r="I988" s="16">
        <f>MAX(1, NETWORKDAYS(A988, G988,Table2[Dias no laborales]))</f>
        <v>1</v>
      </c>
      <c r="J988" s="6" t="str">
        <f>IF(Table1[[#This Row],[FIN]]="","Acumulado",IF(ISNUMBER(SEARCH("ASAP",C988)),"ASAP",IF(NETWORKDAYS.INTL(F988,G988,1,Table2[Dias no laborales]) &lt;= 7, "Dentro", IF(A988&gt;F988,"Programado","Fuera"))))</f>
        <v>Dentro</v>
      </c>
      <c r="K988" s="6" t="str">
        <f t="shared" si="31"/>
        <v>Mismo día</v>
      </c>
      <c r="L988" s="9">
        <v>45911</v>
      </c>
      <c r="M988" s="17">
        <f>MAX(1,NETWORKDAYS(A988,L988,Table2[Dias no laborales]))</f>
        <v>1</v>
      </c>
    </row>
    <row r="989" spans="1:13" hidden="1" x14ac:dyDescent="0.3">
      <c r="A989" s="8">
        <v>45912</v>
      </c>
      <c r="B989" s="6" t="s">
        <v>1979</v>
      </c>
      <c r="C989" s="6" t="s">
        <v>1980</v>
      </c>
      <c r="D989" s="6" t="s">
        <v>154</v>
      </c>
      <c r="E989" s="14">
        <v>45911.527777777781</v>
      </c>
      <c r="F989" s="8">
        <f>IF(HOUR(Table1[[#This Row],[CORREO]])&gt;=11,WORKDAY(Table1[[#This Row],[CORREO]],1,Table2[Dias no laborales]),E989)</f>
        <v>45912</v>
      </c>
      <c r="G989" s="8">
        <v>45917</v>
      </c>
      <c r="H989" s="6">
        <f t="shared" si="30"/>
        <v>37</v>
      </c>
      <c r="I989" s="16">
        <f>MAX(1, NETWORKDAYS(A989, G989,Table2[Dias no laborales]))</f>
        <v>4</v>
      </c>
      <c r="J989" s="6" t="str">
        <f>IF(Table1[[#This Row],[FIN]]="","Acumulado",IF(ISNUMBER(SEARCH("ASAP",C989)),"ASAP",IF(NETWORKDAYS.INTL(F989,G989,1,Table2[Dias no laborales]) &lt;= 7, "Dentro", IF(A989&gt;F989,"Programado","Fuera"))))</f>
        <v>Dentro</v>
      </c>
      <c r="K989" s="6" t="str">
        <f t="shared" si="31"/>
        <v>A tiempo</v>
      </c>
      <c r="L989" s="9">
        <v>45912</v>
      </c>
      <c r="M989" s="17">
        <f>MAX(1,NETWORKDAYS(A989,L989,Table2[Dias no laborales]))</f>
        <v>1</v>
      </c>
    </row>
    <row r="990" spans="1:13" hidden="1" x14ac:dyDescent="0.3">
      <c r="A990" s="8">
        <v>45912</v>
      </c>
      <c r="B990" s="6" t="s">
        <v>2112</v>
      </c>
      <c r="C990" s="6" t="s">
        <v>2113</v>
      </c>
      <c r="D990" s="6" t="s">
        <v>308</v>
      </c>
      <c r="E990" s="14">
        <v>45911.531944444447</v>
      </c>
      <c r="F990" s="8">
        <f>IF(HOUR(Table1[[#This Row],[CORREO]])&gt;=11,WORKDAY(Table1[[#This Row],[CORREO]],1,Table2[Dias no laborales]),E990)</f>
        <v>45912</v>
      </c>
      <c r="G990" s="8">
        <v>45933</v>
      </c>
      <c r="H990" s="6">
        <f t="shared" si="30"/>
        <v>37</v>
      </c>
      <c r="I990" s="16">
        <f>MAX(1, NETWORKDAYS(A990, G990,Table2[Dias no laborales]))</f>
        <v>16</v>
      </c>
      <c r="J990" s="6" t="str">
        <f>IF(Table1[[#This Row],[FIN]]="","Acumulado",IF(ISNUMBER(SEARCH("ASAP",C990)),"ASAP",IF(NETWORKDAYS.INTL(F990,G990,1,Table2[Dias no laborales]) &lt;= 7, "Dentro", IF(A990&gt;F990,"Programado","Fuera"))))</f>
        <v>Fuera</v>
      </c>
      <c r="K990" s="6" t="str">
        <f t="shared" si="31"/>
        <v>A tiempo</v>
      </c>
      <c r="L990" s="9">
        <v>45912</v>
      </c>
      <c r="M990" s="17">
        <f>MAX(1,NETWORKDAYS(A990,L990,Table2[Dias no laborales]))</f>
        <v>1</v>
      </c>
    </row>
    <row r="991" spans="1:13" hidden="1" x14ac:dyDescent="0.3">
      <c r="A991" s="8">
        <v>45912</v>
      </c>
      <c r="B991" s="6" t="s">
        <v>2040</v>
      </c>
      <c r="C991" s="6" t="s">
        <v>2041</v>
      </c>
      <c r="D991" s="6" t="s">
        <v>186</v>
      </c>
      <c r="E991" s="14">
        <v>45911.7</v>
      </c>
      <c r="F991" s="8">
        <f>IF(HOUR(Table1[[#This Row],[CORREO]])&gt;=11,WORKDAY(Table1[[#This Row],[CORREO]],1,Table2[Dias no laborales]),E991)</f>
        <v>45912</v>
      </c>
      <c r="G991" s="8">
        <v>45923</v>
      </c>
      <c r="H991" s="6">
        <f t="shared" si="30"/>
        <v>37</v>
      </c>
      <c r="I991" s="16">
        <f>MAX(1, NETWORKDAYS(A991, G991,Table2[Dias no laborales]))</f>
        <v>8</v>
      </c>
      <c r="J991" s="6" t="str">
        <f>IF(Table1[[#This Row],[FIN]]="","Acumulado",IF(ISNUMBER(SEARCH("ASAP",C991)),"ASAP",IF(NETWORKDAYS.INTL(F991,G991,1,Table2[Dias no laborales]) &lt;= 7, "Dentro", IF(A991&gt;F991,"Programado","Fuera"))))</f>
        <v>Fuera</v>
      </c>
      <c r="K991" s="6" t="str">
        <f t="shared" si="31"/>
        <v>A tiempo</v>
      </c>
      <c r="L991" s="9">
        <v>45912</v>
      </c>
      <c r="M991" s="17">
        <f>MAX(1,NETWORKDAYS(A991,L991,Table2[Dias no laborales]))</f>
        <v>1</v>
      </c>
    </row>
    <row r="992" spans="1:13" hidden="1" x14ac:dyDescent="0.3">
      <c r="A992" s="8">
        <v>45912</v>
      </c>
      <c r="B992" s="6" t="s">
        <v>1985</v>
      </c>
      <c r="C992" s="6" t="s">
        <v>1986</v>
      </c>
      <c r="D992" s="6" t="s">
        <v>24</v>
      </c>
      <c r="E992" s="14">
        <v>45911.706250000003</v>
      </c>
      <c r="F992" s="8">
        <f>IF(HOUR(Table1[[#This Row],[CORREO]])&gt;=11,WORKDAY(Table1[[#This Row],[CORREO]],1,Table2[Dias no laborales]),E992)</f>
        <v>45912</v>
      </c>
      <c r="G992" s="8">
        <v>45917</v>
      </c>
      <c r="H992" s="6">
        <f t="shared" si="30"/>
        <v>37</v>
      </c>
      <c r="I992" s="16">
        <f>MAX(1, NETWORKDAYS(A992, G992,Table2[Dias no laborales]))</f>
        <v>4</v>
      </c>
      <c r="J992" s="6" t="str">
        <f>IF(Table1[[#This Row],[FIN]]="","Acumulado",IF(ISNUMBER(SEARCH("ASAP",C992)),"ASAP",IF(NETWORKDAYS.INTL(F992,G992,1,Table2[Dias no laborales]) &lt;= 7, "Dentro", IF(A992&gt;F992,"Programado","Fuera"))))</f>
        <v>Dentro</v>
      </c>
      <c r="K992" s="6" t="str">
        <f t="shared" si="31"/>
        <v>A tiempo</v>
      </c>
      <c r="L992" s="9">
        <v>45912</v>
      </c>
      <c r="M992" s="17">
        <f>MAX(1,NETWORKDAYS(A992,L992,Table2[Dias no laborales]))</f>
        <v>1</v>
      </c>
    </row>
    <row r="993" spans="1:13" hidden="1" x14ac:dyDescent="0.3">
      <c r="A993" s="8">
        <v>45912</v>
      </c>
      <c r="B993" s="6" t="s">
        <v>1977</v>
      </c>
      <c r="C993" s="6" t="s">
        <v>1978</v>
      </c>
      <c r="D993" s="6" t="s">
        <v>103</v>
      </c>
      <c r="E993" s="14">
        <v>45911.731944444444</v>
      </c>
      <c r="F993" s="8">
        <f>IF(HOUR(Table1[[#This Row],[CORREO]])&gt;=11,WORKDAY(Table1[[#This Row],[CORREO]],1,Table2[Dias no laborales]),E993)</f>
        <v>45912</v>
      </c>
      <c r="G993" s="8">
        <v>45912</v>
      </c>
      <c r="H993" s="6">
        <f t="shared" si="30"/>
        <v>37</v>
      </c>
      <c r="I993" s="16">
        <f>MAX(1, NETWORKDAYS(A993, G993,Table2[Dias no laborales]))</f>
        <v>1</v>
      </c>
      <c r="J993" s="6" t="str">
        <f>IF(Table1[[#This Row],[FIN]]="","Acumulado",IF(ISNUMBER(SEARCH("ASAP",C993)),"ASAP",IF(NETWORKDAYS.INTL(F993,G993,1,Table2[Dias no laborales]) &lt;= 7, "Dentro", IF(A993&gt;F993,"Programado","Fuera"))))</f>
        <v>Dentro</v>
      </c>
      <c r="K993" s="6" t="str">
        <f t="shared" si="31"/>
        <v>A tiempo</v>
      </c>
      <c r="L993" s="9">
        <v>45912</v>
      </c>
      <c r="M993" s="17">
        <f>MAX(1,NETWORKDAYS(A993,L993,Table2[Dias no laborales]))</f>
        <v>1</v>
      </c>
    </row>
    <row r="994" spans="1:13" hidden="1" x14ac:dyDescent="0.3">
      <c r="A994" s="8">
        <v>45912</v>
      </c>
      <c r="B994" s="6" t="s">
        <v>1998</v>
      </c>
      <c r="C994" s="6" t="s">
        <v>1999</v>
      </c>
      <c r="D994" s="6" t="s">
        <v>372</v>
      </c>
      <c r="E994" s="14">
        <v>45909.338888888888</v>
      </c>
      <c r="F994" s="8">
        <f>IF(HOUR(Table1[[#This Row],[CORREO]])&gt;=11,WORKDAY(Table1[[#This Row],[CORREO]],1,Table2[Dias no laborales]),E994)</f>
        <v>45909.338888888888</v>
      </c>
      <c r="G994" s="8">
        <v>45918</v>
      </c>
      <c r="H994" s="6">
        <f t="shared" si="30"/>
        <v>37</v>
      </c>
      <c r="I994" s="16">
        <f>MAX(1, NETWORKDAYS(A994, G994,Table2[Dias no laborales]))</f>
        <v>5</v>
      </c>
      <c r="J994" s="6" t="str">
        <f>IF(Table1[[#This Row],[FIN]]="","Acumulado",IF(ISNUMBER(SEARCH("ASAP",C994)),"ASAP",IF(NETWORKDAYS.INTL(F994,G994,1,Table2[Dias no laborales]) &lt;= 7, "Dentro", IF(A994&gt;F994,"Programado","Fuera"))))</f>
        <v>Programado</v>
      </c>
      <c r="K994" s="6" t="str">
        <f t="shared" si="31"/>
        <v>Programados</v>
      </c>
      <c r="L994" s="9">
        <v>45909</v>
      </c>
      <c r="M994" s="17">
        <f>MAX(1,NETWORKDAYS(A994,L994,Table2[Dias no laborales]))</f>
        <v>1</v>
      </c>
    </row>
    <row r="995" spans="1:13" hidden="1" x14ac:dyDescent="0.3">
      <c r="A995" s="8">
        <v>45915</v>
      </c>
      <c r="B995" s="6" t="s">
        <v>2004</v>
      </c>
      <c r="C995" s="6" t="s">
        <v>2005</v>
      </c>
      <c r="D995" s="6" t="s">
        <v>24</v>
      </c>
      <c r="E995" s="14"/>
      <c r="F995" s="8">
        <f>IF(HOUR(Table1[[#This Row],[CORREO]])&gt;=11,WORKDAY(Table1[[#This Row],[CORREO]],1,Table2[Dias no laborales]),E995)</f>
        <v>0</v>
      </c>
      <c r="G995" s="8">
        <v>45919</v>
      </c>
      <c r="H995" s="6">
        <f t="shared" si="30"/>
        <v>37</v>
      </c>
      <c r="I995" s="16">
        <f>MAX(1, NETWORKDAYS(A995, G995,Table2[Dias no laborales]))</f>
        <v>5</v>
      </c>
      <c r="J995" s="6" t="str">
        <f>IF(Table1[[#This Row],[FIN]]="","Acumulado",IF(ISNUMBER(SEARCH("ASAP",C995)),"ASAP",IF(NETWORKDAYS.INTL(F995,G995,1,Table2[Dias no laborales]) &lt;= 7, "Dentro", IF(A995&gt;F995,"Programado","Fuera"))))</f>
        <v>Programado</v>
      </c>
      <c r="K995" s="6" t="str">
        <f t="shared" si="31"/>
        <v>Programados</v>
      </c>
      <c r="L995" s="9">
        <v>45915</v>
      </c>
      <c r="M995" s="17">
        <f>MAX(1,NETWORKDAYS(A995,L995,Table2[Dias no laborales]))</f>
        <v>1</v>
      </c>
    </row>
    <row r="996" spans="1:13" hidden="1" x14ac:dyDescent="0.3">
      <c r="A996" s="8">
        <v>45915</v>
      </c>
      <c r="B996" s="6" t="s">
        <v>1987</v>
      </c>
      <c r="C996" s="6" t="s">
        <v>1988</v>
      </c>
      <c r="D996" s="6" t="s">
        <v>372</v>
      </c>
      <c r="E996" s="14">
        <v>45912.568749999999</v>
      </c>
      <c r="F996" s="8">
        <f>IF(HOUR(Table1[[#This Row],[CORREO]])&gt;=11,WORKDAY(Table1[[#This Row],[CORREO]],1,Table2[Dias no laborales]),E996)</f>
        <v>45915</v>
      </c>
      <c r="G996" s="8">
        <v>45917</v>
      </c>
      <c r="H996" s="6">
        <f t="shared" si="30"/>
        <v>37</v>
      </c>
      <c r="I996" s="16">
        <f>MAX(1, NETWORKDAYS(A996, G996,Table2[Dias no laborales]))</f>
        <v>3</v>
      </c>
      <c r="J996" s="6" t="str">
        <f>IF(Table1[[#This Row],[FIN]]="","Acumulado",IF(ISNUMBER(SEARCH("ASAP",C996)),"ASAP",IF(NETWORKDAYS.INTL(F996,G996,1,Table2[Dias no laborales]) &lt;= 7, "Dentro", IF(A996&gt;F996,"Programado","Fuera"))))</f>
        <v>Dentro</v>
      </c>
      <c r="K996" s="6" t="str">
        <f t="shared" si="31"/>
        <v>A tiempo</v>
      </c>
      <c r="L996" s="9">
        <v>45915</v>
      </c>
      <c r="M996" s="17">
        <f>MAX(1,NETWORKDAYS(A996,L996,Table2[Dias no laborales]))</f>
        <v>1</v>
      </c>
    </row>
    <row r="997" spans="1:13" hidden="1" x14ac:dyDescent="0.3">
      <c r="A997" s="8">
        <v>45917</v>
      </c>
      <c r="B997" s="6" t="s">
        <v>1989</v>
      </c>
      <c r="C997" s="6" t="s">
        <v>1990</v>
      </c>
      <c r="D997" s="6" t="s">
        <v>372</v>
      </c>
      <c r="E997" s="14">
        <v>45915.674305555556</v>
      </c>
      <c r="F997" s="8">
        <f>IF(HOUR(Table1[[#This Row],[CORREO]])&gt;=11,WORKDAY(Table1[[#This Row],[CORREO]],1,Table2[Dias no laborales]),E997)</f>
        <v>45916</v>
      </c>
      <c r="G997" s="8">
        <v>45917</v>
      </c>
      <c r="H997" s="6">
        <f t="shared" si="30"/>
        <v>38</v>
      </c>
      <c r="I997" s="16">
        <f>MAX(1, NETWORKDAYS(A997, G997,Table2[Dias no laborales]))</f>
        <v>1</v>
      </c>
      <c r="J997" s="6" t="str">
        <f>IF(Table1[[#This Row],[FIN]]="","Acumulado",IF(ISNUMBER(SEARCH("ASAP",C997)),"ASAP",IF(NETWORKDAYS.INTL(F997,G997,1,Table2[Dias no laborales]) &lt;= 7, "Dentro", IF(A997&gt;F997,"Programado","Fuera"))))</f>
        <v>Dentro</v>
      </c>
      <c r="K997" s="6" t="str">
        <f t="shared" si="31"/>
        <v>Programados</v>
      </c>
      <c r="L997" s="9">
        <v>45917</v>
      </c>
      <c r="M997" s="17">
        <f>MAX(1,NETWORKDAYS(A997,L997,Table2[Dias no laborales]))</f>
        <v>1</v>
      </c>
    </row>
    <row r="998" spans="1:13" hidden="1" x14ac:dyDescent="0.3">
      <c r="A998" s="8">
        <v>45917</v>
      </c>
      <c r="B998" s="6" t="s">
        <v>1981</v>
      </c>
      <c r="C998" s="6" t="s">
        <v>1982</v>
      </c>
      <c r="D998" s="6" t="s">
        <v>27</v>
      </c>
      <c r="E998" s="14">
        <v>45917.357638888891</v>
      </c>
      <c r="F998" s="8">
        <f>IF(HOUR(Table1[[#This Row],[CORREO]])&gt;=11,WORKDAY(Table1[[#This Row],[CORREO]],1,Table2[Dias no laborales]),E998)</f>
        <v>45917.357638888891</v>
      </c>
      <c r="G998" s="8">
        <v>45917</v>
      </c>
      <c r="H998" s="6">
        <f t="shared" si="30"/>
        <v>38</v>
      </c>
      <c r="I998" s="16">
        <f>MAX(1, NETWORKDAYS(A998, G998,Table2[Dias no laborales]))</f>
        <v>1</v>
      </c>
      <c r="J998" s="6" t="str">
        <f>IF(Table1[[#This Row],[FIN]]="","Acumulado",IF(ISNUMBER(SEARCH("ASAP",C998)),"ASAP",IF(NETWORKDAYS.INTL(F998,G998,1,Table2[Dias no laborales]) &lt;= 7, "Dentro", IF(A998&gt;F998,"Programado","Fuera"))))</f>
        <v>Dentro</v>
      </c>
      <c r="K998" s="6" t="str">
        <f t="shared" si="31"/>
        <v>A tiempo</v>
      </c>
      <c r="L998" s="9">
        <v>45917</v>
      </c>
      <c r="M998" s="17">
        <f>MAX(1,NETWORKDAYS(A998,L998,Table2[Dias no laborales]))</f>
        <v>1</v>
      </c>
    </row>
    <row r="999" spans="1:13" hidden="1" x14ac:dyDescent="0.3">
      <c r="A999" s="8">
        <v>45917</v>
      </c>
      <c r="B999" s="6" t="s">
        <v>1991</v>
      </c>
      <c r="C999" s="6" t="s">
        <v>634</v>
      </c>
      <c r="D999" s="6" t="s">
        <v>133</v>
      </c>
      <c r="E999" s="14">
        <v>45917.506944444445</v>
      </c>
      <c r="F999" s="8">
        <f>IF(HOUR(Table1[[#This Row],[CORREO]])&gt;=11,WORKDAY(Table1[[#This Row],[CORREO]],1,Table2[Dias no laborales]),E999)</f>
        <v>45918</v>
      </c>
      <c r="G999" s="8">
        <v>45917</v>
      </c>
      <c r="H999" s="6">
        <f t="shared" si="30"/>
        <v>38</v>
      </c>
      <c r="I999" s="16">
        <f>MAX(1, NETWORKDAYS(A999, G999,Table2[Dias no laborales]))</f>
        <v>1</v>
      </c>
      <c r="J999" s="6" t="str">
        <f>IF(Table1[[#This Row],[FIN]]="","Acumulado",IF(ISNUMBER(SEARCH("ASAP",C999)),"ASAP",IF(NETWORKDAYS.INTL(F999,G999,1,Table2[Dias no laborales]) &lt;= 7, "Dentro", IF(A999&gt;F999,"Programado","Fuera"))))</f>
        <v>Dentro</v>
      </c>
      <c r="K999" s="6" t="str">
        <f t="shared" si="31"/>
        <v>Mismo día</v>
      </c>
      <c r="L999" s="9">
        <v>45917</v>
      </c>
      <c r="M999" s="17">
        <f>MAX(1,NETWORKDAYS(A999,L999,Table2[Dias no laborales]))</f>
        <v>1</v>
      </c>
    </row>
    <row r="1000" spans="1:13" hidden="1" x14ac:dyDescent="0.3">
      <c r="A1000" s="8">
        <v>45918</v>
      </c>
      <c r="B1000" s="6" t="s">
        <v>2080</v>
      </c>
      <c r="C1000" s="6" t="s">
        <v>2081</v>
      </c>
      <c r="D1000" s="6" t="s">
        <v>24</v>
      </c>
      <c r="E1000" s="14">
        <v>45917.75</v>
      </c>
      <c r="F1000" s="8">
        <f>IF(HOUR(Table1[[#This Row],[CORREO]])&gt;=11,WORKDAY(Table1[[#This Row],[CORREO]],1,Table2[Dias no laborales]),E1000)</f>
        <v>45918</v>
      </c>
      <c r="G1000" s="8">
        <v>45950</v>
      </c>
      <c r="H1000" s="6">
        <f t="shared" si="30"/>
        <v>38</v>
      </c>
      <c r="I1000" s="16">
        <f>MAX(1, NETWORKDAYS(A1000, G1000,Table2[Dias no laborales]))</f>
        <v>23</v>
      </c>
      <c r="J1000" s="6" t="str">
        <f>IF(Table1[[#This Row],[FIN]]="","Acumulado",IF(ISNUMBER(SEARCH("ASAP",C1000)),"ASAP",IF(NETWORKDAYS.INTL(F1000,G1000,1,Table2[Dias no laborales]) &lt;= 7, "Dentro", IF(A1000&gt;F1000,"Programado","Fuera"))))</f>
        <v>Fuera</v>
      </c>
      <c r="K1000" s="6" t="str">
        <f t="shared" si="31"/>
        <v>A tiempo</v>
      </c>
      <c r="L1000" s="9">
        <v>45919</v>
      </c>
      <c r="M1000" s="17">
        <f>MAX(1,NETWORKDAYS(A1000,L1000,Table2[Dias no laborales]))</f>
        <v>2</v>
      </c>
    </row>
    <row r="1001" spans="1:13" hidden="1" x14ac:dyDescent="0.3">
      <c r="A1001" s="8">
        <v>45919</v>
      </c>
      <c r="B1001" s="6" t="s">
        <v>2016</v>
      </c>
      <c r="C1001" s="6" t="s">
        <v>2017</v>
      </c>
      <c r="D1001" s="6" t="s">
        <v>119</v>
      </c>
      <c r="E1001" s="14">
        <v>45918.580555555556</v>
      </c>
      <c r="F1001" s="8">
        <f>IF(HOUR(Table1[[#This Row],[CORREO]])&gt;=11,WORKDAY(Table1[[#This Row],[CORREO]],1,Table2[Dias no laborales]),E1001)</f>
        <v>45919</v>
      </c>
      <c r="G1001" s="8">
        <v>45922</v>
      </c>
      <c r="H1001" s="6">
        <f t="shared" si="30"/>
        <v>38</v>
      </c>
      <c r="I1001" s="16">
        <f>MAX(1, NETWORKDAYS(A1001, G1001,Table2[Dias no laborales]))</f>
        <v>2</v>
      </c>
      <c r="J1001" s="6" t="str">
        <f>IF(Table1[[#This Row],[FIN]]="","Acumulado",IF(ISNUMBER(SEARCH("ASAP",C1001)),"ASAP",IF(NETWORKDAYS.INTL(F1001,G1001,1,Table2[Dias no laborales]) &lt;= 7, "Dentro", IF(A1001&gt;F1001,"Programado","Fuera"))))</f>
        <v>Dentro</v>
      </c>
      <c r="K1001" s="6" t="str">
        <f t="shared" si="31"/>
        <v>A tiempo</v>
      </c>
      <c r="L1001" s="9">
        <v>45919</v>
      </c>
      <c r="M1001" s="17">
        <f>MAX(1,NETWORKDAYS(A1001,L1001,Table2[Dias no laborales]))</f>
        <v>1</v>
      </c>
    </row>
    <row r="1002" spans="1:13" hidden="1" x14ac:dyDescent="0.3">
      <c r="A1002" s="8">
        <v>45919</v>
      </c>
      <c r="B1002" s="6" t="s">
        <v>2020</v>
      </c>
      <c r="C1002" s="6" t="s">
        <v>1962</v>
      </c>
      <c r="D1002" s="6" t="s">
        <v>191</v>
      </c>
      <c r="E1002" s="14">
        <v>45918.62777777778</v>
      </c>
      <c r="F1002" s="8">
        <f>IF(HOUR(Table1[[#This Row],[CORREO]])&gt;=11,WORKDAY(Table1[[#This Row],[CORREO]],1,Table2[Dias no laborales]),E1002)</f>
        <v>45919</v>
      </c>
      <c r="G1002" s="8">
        <v>45922</v>
      </c>
      <c r="H1002" s="6">
        <f t="shared" si="30"/>
        <v>38</v>
      </c>
      <c r="I1002" s="16">
        <f>MAX(1, NETWORKDAYS(A1002, G1002,Table2[Dias no laborales]))</f>
        <v>2</v>
      </c>
      <c r="J1002" s="6" t="str">
        <f>IF(Table1[[#This Row],[FIN]]="","Acumulado",IF(ISNUMBER(SEARCH("ASAP",C1002)),"ASAP",IF(NETWORKDAYS.INTL(F1002,G1002,1,Table2[Dias no laborales]) &lt;= 7, "Dentro", IF(A1002&gt;F1002,"Programado","Fuera"))))</f>
        <v>Dentro</v>
      </c>
      <c r="K1002" s="6" t="str">
        <f t="shared" si="31"/>
        <v>A tiempo</v>
      </c>
      <c r="L1002" s="9">
        <v>45919</v>
      </c>
      <c r="M1002" s="17">
        <f>MAX(1,NETWORKDAYS(A1002,L1002,Table2[Dias no laborales]))</f>
        <v>1</v>
      </c>
    </row>
    <row r="1003" spans="1:13" hidden="1" x14ac:dyDescent="0.3">
      <c r="A1003" s="8">
        <v>45919</v>
      </c>
      <c r="B1003" s="6" t="s">
        <v>2010</v>
      </c>
      <c r="C1003" s="6" t="s">
        <v>2011</v>
      </c>
      <c r="D1003" s="6" t="s">
        <v>916</v>
      </c>
      <c r="E1003" s="14">
        <v>45919.265972222223</v>
      </c>
      <c r="F1003" s="8">
        <f>IF(HOUR(Table1[[#This Row],[CORREO]])&gt;=11,WORKDAY(Table1[[#This Row],[CORREO]],1,Table2[Dias no laborales]),E1003)</f>
        <v>45919.265972222223</v>
      </c>
      <c r="G1003" s="8">
        <v>45922</v>
      </c>
      <c r="H1003" s="6">
        <f t="shared" si="30"/>
        <v>38</v>
      </c>
      <c r="I1003" s="16">
        <f>MAX(1, NETWORKDAYS(A1003, G1003,Table2[Dias no laborales]))</f>
        <v>2</v>
      </c>
      <c r="J1003" s="6" t="str">
        <f>IF(Table1[[#This Row],[FIN]]="","Acumulado",IF(ISNUMBER(SEARCH("ASAP",C1003)),"ASAP",IF(NETWORKDAYS.INTL(F1003,G1003,1,Table2[Dias no laborales]) &lt;= 7, "Dentro", IF(A1003&gt;F1003,"Programado","Fuera"))))</f>
        <v>Dentro</v>
      </c>
      <c r="K1003" s="6" t="str">
        <f t="shared" si="31"/>
        <v>A tiempo</v>
      </c>
      <c r="L1003" s="9">
        <v>45919</v>
      </c>
      <c r="M1003" s="17">
        <f>MAX(1,NETWORKDAYS(A1003,L1003,Table2[Dias no laborales]))</f>
        <v>1</v>
      </c>
    </row>
    <row r="1004" spans="1:13" hidden="1" x14ac:dyDescent="0.3">
      <c r="A1004" s="8">
        <v>45919</v>
      </c>
      <c r="B1004" s="6" t="s">
        <v>2082</v>
      </c>
      <c r="C1004" s="6" t="s">
        <v>2083</v>
      </c>
      <c r="D1004" s="6" t="s">
        <v>24</v>
      </c>
      <c r="E1004" s="14">
        <v>45919.35</v>
      </c>
      <c r="F1004" s="8">
        <f>IF(HOUR(Table1[[#This Row],[CORREO]])&gt;=11,WORKDAY(Table1[[#This Row],[CORREO]],1,Table2[Dias no laborales]),E1004)</f>
        <v>45919.35</v>
      </c>
      <c r="G1004" s="8">
        <v>45959</v>
      </c>
      <c r="H1004" s="6">
        <f t="shared" si="30"/>
        <v>38</v>
      </c>
      <c r="I1004" s="16">
        <f>MAX(1, NETWORKDAYS(A1004, G1004,Table2[Dias no laborales]))</f>
        <v>29</v>
      </c>
      <c r="J1004" s="6" t="str">
        <f>IF(Table1[[#This Row],[FIN]]="","Acumulado",IF(ISNUMBER(SEARCH("ASAP",C1004)),"ASAP",IF(NETWORKDAYS.INTL(F1004,G1004,1,Table2[Dias no laborales]) &lt;= 7, "Dentro", IF(A1004&gt;F1004,"Programado","Fuera"))))</f>
        <v>Fuera</v>
      </c>
      <c r="K1004" s="6" t="str">
        <f t="shared" si="31"/>
        <v>A tiempo</v>
      </c>
      <c r="L1004" s="9">
        <v>45922</v>
      </c>
      <c r="M1004" s="17">
        <f>MAX(1,NETWORKDAYS(A1004,L1004,Table2[Dias no laborales]))</f>
        <v>2</v>
      </c>
    </row>
    <row r="1005" spans="1:13" hidden="1" x14ac:dyDescent="0.3">
      <c r="A1005" s="8">
        <v>45919</v>
      </c>
      <c r="B1005" s="6" t="s">
        <v>2008</v>
      </c>
      <c r="C1005" s="6" t="s">
        <v>2009</v>
      </c>
      <c r="D1005" s="6" t="s">
        <v>24</v>
      </c>
      <c r="E1005" s="14">
        <v>45919.351388888892</v>
      </c>
      <c r="F1005" s="8">
        <f>IF(HOUR(Table1[[#This Row],[CORREO]])&gt;=11,WORKDAY(Table1[[#This Row],[CORREO]],1,Table2[Dias no laborales]),E1005)</f>
        <v>45919.351388888892</v>
      </c>
      <c r="G1005" s="8">
        <v>45922</v>
      </c>
      <c r="H1005" s="6">
        <f t="shared" si="30"/>
        <v>38</v>
      </c>
      <c r="I1005" s="16">
        <f>MAX(1, NETWORKDAYS(A1005, G1005,Table2[Dias no laborales]))</f>
        <v>2</v>
      </c>
      <c r="J1005" s="6" t="str">
        <f>IF(Table1[[#This Row],[FIN]]="","Acumulado",IF(ISNUMBER(SEARCH("ASAP",C1005)),"ASAP",IF(NETWORKDAYS.INTL(F1005,G1005,1,Table2[Dias no laborales]) &lt;= 7, "Dentro", IF(A1005&gt;F1005,"Programado","Fuera"))))</f>
        <v>Dentro</v>
      </c>
      <c r="K1005" s="6" t="str">
        <f t="shared" si="31"/>
        <v>A tiempo</v>
      </c>
      <c r="L1005" s="9">
        <v>45922</v>
      </c>
      <c r="M1005" s="17">
        <f>MAX(1,NETWORKDAYS(A1005,L1005,Table2[Dias no laborales]))</f>
        <v>2</v>
      </c>
    </row>
    <row r="1006" spans="1:13" hidden="1" x14ac:dyDescent="0.3">
      <c r="A1006" s="8">
        <v>45919</v>
      </c>
      <c r="B1006" s="6" t="s">
        <v>2084</v>
      </c>
      <c r="C1006" s="6" t="s">
        <v>2085</v>
      </c>
      <c r="D1006" s="6" t="s">
        <v>24</v>
      </c>
      <c r="E1006" s="14">
        <v>45919.352777777778</v>
      </c>
      <c r="F1006" s="8">
        <f>IF(HOUR(Table1[[#This Row],[CORREO]])&gt;=11,WORKDAY(Table1[[#This Row],[CORREO]],1,Table2[Dias no laborales]),E1006)</f>
        <v>45919.352777777778</v>
      </c>
      <c r="G1006" s="8">
        <v>45987</v>
      </c>
      <c r="H1006" s="6">
        <f t="shared" si="30"/>
        <v>38</v>
      </c>
      <c r="I1006" s="16">
        <f>MAX(1, NETWORKDAYS(A1006, G1006,Table2[Dias no laborales]))</f>
        <v>48</v>
      </c>
      <c r="J1006" s="6" t="str">
        <f>IF(Table1[[#This Row],[FIN]]="","Acumulado",IF(ISNUMBER(SEARCH("ASAP",C1006)),"ASAP",IF(NETWORKDAYS.INTL(F1006,G1006,1,Table2[Dias no laborales]) &lt;= 7, "Dentro", IF(A1006&gt;F1006,"Programado","Fuera"))))</f>
        <v>Fuera</v>
      </c>
      <c r="K1006" s="6" t="str">
        <f t="shared" si="31"/>
        <v>A tiempo</v>
      </c>
      <c r="L1006" s="9">
        <v>45922</v>
      </c>
      <c r="M1006" s="17">
        <f>MAX(1,NETWORKDAYS(A1006,L1006,Table2[Dias no laborales]))</f>
        <v>2</v>
      </c>
    </row>
    <row r="1007" spans="1:13" hidden="1" x14ac:dyDescent="0.3">
      <c r="A1007" s="8">
        <v>45919</v>
      </c>
      <c r="B1007" s="6" t="s">
        <v>2018</v>
      </c>
      <c r="C1007" s="6" t="s">
        <v>2019</v>
      </c>
      <c r="D1007" s="6" t="s">
        <v>1726</v>
      </c>
      <c r="E1007" s="14">
        <v>45919.365972222222</v>
      </c>
      <c r="F1007" s="8">
        <f>IF(HOUR(Table1[[#This Row],[CORREO]])&gt;=11,WORKDAY(Table1[[#This Row],[CORREO]],1,Table2[Dias no laborales]),E1007)</f>
        <v>45919.365972222222</v>
      </c>
      <c r="G1007" s="8">
        <v>45922</v>
      </c>
      <c r="H1007" s="6">
        <f t="shared" si="30"/>
        <v>38</v>
      </c>
      <c r="I1007" s="16">
        <f>MAX(1, NETWORKDAYS(A1007, G1007,Table2[Dias no laborales]))</f>
        <v>2</v>
      </c>
      <c r="J1007" s="6" t="str">
        <f>IF(Table1[[#This Row],[FIN]]="","Acumulado",IF(ISNUMBER(SEARCH("ASAP",C1007)),"ASAP",IF(NETWORKDAYS.INTL(F1007,G1007,1,Table2[Dias no laborales]) &lt;= 7, "Dentro", IF(A1007&gt;F1007,"Programado","Fuera"))))</f>
        <v>Dentro</v>
      </c>
      <c r="K1007" s="6" t="str">
        <f t="shared" si="31"/>
        <v>A tiempo</v>
      </c>
      <c r="L1007" s="9">
        <v>45919</v>
      </c>
      <c r="M1007" s="17">
        <f>MAX(1,NETWORKDAYS(A1007,L1007,Table2[Dias no laborales]))</f>
        <v>1</v>
      </c>
    </row>
    <row r="1008" spans="1:13" hidden="1" x14ac:dyDescent="0.3">
      <c r="A1008" s="8">
        <v>45919</v>
      </c>
      <c r="B1008" s="6" t="s">
        <v>2014</v>
      </c>
      <c r="C1008" s="6" t="s">
        <v>2015</v>
      </c>
      <c r="D1008" s="6" t="s">
        <v>562</v>
      </c>
      <c r="E1008" s="14">
        <v>45919.442361111112</v>
      </c>
      <c r="F1008" s="8">
        <f>IF(HOUR(Table1[[#This Row],[CORREO]])&gt;=11,WORKDAY(Table1[[#This Row],[CORREO]],1,Table2[Dias no laborales]),E1008)</f>
        <v>45919.442361111112</v>
      </c>
      <c r="G1008" s="8">
        <v>45922</v>
      </c>
      <c r="H1008" s="6">
        <f t="shared" si="30"/>
        <v>38</v>
      </c>
      <c r="I1008" s="16">
        <f>MAX(1, NETWORKDAYS(A1008, G1008,Table2[Dias no laborales]))</f>
        <v>2</v>
      </c>
      <c r="J1008" s="6" t="str">
        <f>IF(Table1[[#This Row],[FIN]]="","Acumulado",IF(ISNUMBER(SEARCH("ASAP",C1008)),"ASAP",IF(NETWORKDAYS.INTL(F1008,G1008,1,Table2[Dias no laborales]) &lt;= 7, "Dentro", IF(A1008&gt;F1008,"Programado","Fuera"))))</f>
        <v>Dentro</v>
      </c>
      <c r="K1008" s="6" t="str">
        <f t="shared" si="31"/>
        <v>A tiempo</v>
      </c>
      <c r="L1008" s="9">
        <v>45919</v>
      </c>
      <c r="M1008" s="17">
        <f>MAX(1,NETWORKDAYS(A1008,L1008,Table2[Dias no laborales]))</f>
        <v>1</v>
      </c>
    </row>
    <row r="1009" spans="1:13" hidden="1" x14ac:dyDescent="0.3">
      <c r="A1009" s="8">
        <v>45919</v>
      </c>
      <c r="B1009" s="6" t="s">
        <v>2012</v>
      </c>
      <c r="C1009" s="6" t="s">
        <v>2013</v>
      </c>
      <c r="D1009" s="6" t="s">
        <v>24</v>
      </c>
      <c r="E1009" s="14"/>
      <c r="F1009" s="8">
        <f>IF(HOUR(Table1[[#This Row],[CORREO]])&gt;=11,WORKDAY(Table1[[#This Row],[CORREO]],1,Table2[Dias no laborales]),E1009)</f>
        <v>0</v>
      </c>
      <c r="G1009" s="8">
        <v>45922</v>
      </c>
      <c r="H1009" s="6">
        <f t="shared" si="30"/>
        <v>38</v>
      </c>
      <c r="I1009" s="16">
        <f>MAX(1, NETWORKDAYS(A1009, G1009,Table2[Dias no laborales]))</f>
        <v>2</v>
      </c>
      <c r="J1009" s="6" t="str">
        <f>IF(Table1[[#This Row],[FIN]]="","Acumulado",IF(ISNUMBER(SEARCH("ASAP",C1009)),"ASAP",IF(NETWORKDAYS.INTL(F1009,G1009,1,Table2[Dias no laborales]) &lt;= 7, "Dentro", IF(A1009&gt;F1009,"Programado","Fuera"))))</f>
        <v>Programado</v>
      </c>
      <c r="K1009" s="6" t="str">
        <f t="shared" si="31"/>
        <v>Programados</v>
      </c>
      <c r="L1009" s="9">
        <v>45919</v>
      </c>
      <c r="M1009" s="17">
        <f>MAX(1,NETWORKDAYS(A1009,L1009,Table2[Dias no laborales]))</f>
        <v>1</v>
      </c>
    </row>
    <row r="1010" spans="1:13" hidden="1" x14ac:dyDescent="0.3">
      <c r="A1010" s="8">
        <v>45919</v>
      </c>
      <c r="B1010" s="6" t="s">
        <v>2104</v>
      </c>
      <c r="C1010" s="6" t="s">
        <v>2105</v>
      </c>
      <c r="D1010" s="6" t="s">
        <v>24</v>
      </c>
      <c r="E1010" s="14"/>
      <c r="F1010" s="8">
        <f>IF(HOUR(Table1[[#This Row],[CORREO]])&gt;=11,WORKDAY(Table1[[#This Row],[CORREO]],1,Table2[Dias no laborales]),E1010)</f>
        <v>0</v>
      </c>
      <c r="G1010" s="8">
        <v>45932</v>
      </c>
      <c r="H1010" s="6">
        <f t="shared" si="30"/>
        <v>38</v>
      </c>
      <c r="I1010" s="16">
        <f>MAX(1, NETWORKDAYS(A1010, G1010,Table2[Dias no laborales]))</f>
        <v>10</v>
      </c>
      <c r="J1010" s="6" t="str">
        <f>IF(Table1[[#This Row],[FIN]]="","Acumulado",IF(ISNUMBER(SEARCH("ASAP",C1010)),"ASAP",IF(NETWORKDAYS.INTL(F1010,G1010,1,Table2[Dias no laborales]) &lt;= 7, "Dentro", IF(A1010&gt;F1010,"Programado","Fuera"))))</f>
        <v>Programado</v>
      </c>
      <c r="K1010" s="6" t="str">
        <f t="shared" si="31"/>
        <v>Programados</v>
      </c>
      <c r="L1010" s="9">
        <v>45919</v>
      </c>
      <c r="M1010" s="17">
        <f>MAX(1,NETWORKDAYS(A1010,L1010,Table2[Dias no laborales]))</f>
        <v>1</v>
      </c>
    </row>
    <row r="1011" spans="1:13" hidden="1" x14ac:dyDescent="0.3">
      <c r="A1011" s="8">
        <v>45922</v>
      </c>
      <c r="B1011" s="6" t="s">
        <v>2023</v>
      </c>
      <c r="C1011" s="6" t="s">
        <v>196</v>
      </c>
      <c r="D1011" s="6" t="s">
        <v>27</v>
      </c>
      <c r="E1011" s="14"/>
      <c r="F1011" s="8">
        <f>IF(HOUR(Table1[[#This Row],[CORREO]])&gt;=11,WORKDAY(Table1[[#This Row],[CORREO]],1,Table2[Dias no laborales]),E1011)</f>
        <v>0</v>
      </c>
      <c r="G1011" s="8">
        <v>45922</v>
      </c>
      <c r="H1011" s="6">
        <f t="shared" si="30"/>
        <v>38</v>
      </c>
      <c r="I1011" s="16">
        <f>MAX(1, NETWORKDAYS(A1011, G1011,Table2[Dias no laborales]))</f>
        <v>1</v>
      </c>
      <c r="J1011" s="6" t="str">
        <f>IF(Table1[[#This Row],[FIN]]="","Acumulado",IF(ISNUMBER(SEARCH("ASAP",C1011)),"ASAP",IF(NETWORKDAYS.INTL(F1011,G1011,1,Table2[Dias no laborales]) &lt;= 7, "Dentro", IF(A1011&gt;F1011,"Programado","Fuera"))))</f>
        <v>Programado</v>
      </c>
      <c r="K1011" s="6" t="str">
        <f t="shared" si="31"/>
        <v>Programados</v>
      </c>
      <c r="L1011" s="9">
        <v>45922</v>
      </c>
      <c r="M1011" s="17">
        <f>MAX(1,NETWORKDAYS(A1011,L1011,Table2[Dias no laborales]))</f>
        <v>1</v>
      </c>
    </row>
    <row r="1012" spans="1:13" hidden="1" x14ac:dyDescent="0.3">
      <c r="A1012" s="8">
        <v>45922</v>
      </c>
      <c r="B1012" s="6" t="s">
        <v>2024</v>
      </c>
      <c r="C1012" s="6" t="s">
        <v>2025</v>
      </c>
      <c r="D1012" s="6" t="s">
        <v>27</v>
      </c>
      <c r="E1012" s="14"/>
      <c r="F1012" s="8">
        <f>IF(HOUR(Table1[[#This Row],[CORREO]])&gt;=11,WORKDAY(Table1[[#This Row],[CORREO]],1,Table2[Dias no laborales]),E1012)</f>
        <v>0</v>
      </c>
      <c r="G1012" s="8">
        <v>45922</v>
      </c>
      <c r="H1012" s="6">
        <f t="shared" si="30"/>
        <v>38</v>
      </c>
      <c r="I1012" s="16">
        <f>MAX(1, NETWORKDAYS(A1012, G1012,Table2[Dias no laborales]))</f>
        <v>1</v>
      </c>
      <c r="J1012" s="6" t="str">
        <f>IF(Table1[[#This Row],[FIN]]="","Acumulado",IF(ISNUMBER(SEARCH("ASAP",C1012)),"ASAP",IF(NETWORKDAYS.INTL(F1012,G1012,1,Table2[Dias no laborales]) &lt;= 7, "Dentro", IF(A1012&gt;F1012,"Programado","Fuera"))))</f>
        <v>Programado</v>
      </c>
      <c r="K1012" s="6" t="str">
        <f t="shared" si="31"/>
        <v>Programados</v>
      </c>
      <c r="L1012" s="9">
        <v>45922</v>
      </c>
      <c r="M1012" s="17">
        <f>MAX(1,NETWORKDAYS(A1012,L1012,Table2[Dias no laborales]))</f>
        <v>1</v>
      </c>
    </row>
    <row r="1013" spans="1:13" hidden="1" x14ac:dyDescent="0.3">
      <c r="A1013" s="8">
        <v>45922</v>
      </c>
      <c r="B1013" s="6" t="s">
        <v>2063</v>
      </c>
      <c r="C1013" s="6" t="s">
        <v>2064</v>
      </c>
      <c r="D1013" s="6" t="s">
        <v>24</v>
      </c>
      <c r="E1013" s="14"/>
      <c r="F1013" s="8">
        <f>IF(HOUR(Table1[[#This Row],[CORREO]])&gt;=11,WORKDAY(Table1[[#This Row],[CORREO]],1,Table2[Dias no laborales]),E1013)</f>
        <v>0</v>
      </c>
      <c r="G1013" s="8">
        <v>45926</v>
      </c>
      <c r="H1013" s="6">
        <f t="shared" si="30"/>
        <v>38</v>
      </c>
      <c r="I1013" s="16">
        <f>MAX(1, NETWORKDAYS(A1013, G1013,Table2[Dias no laborales]))</f>
        <v>5</v>
      </c>
      <c r="J1013" s="6" t="str">
        <f>IF(Table1[[#This Row],[FIN]]="","Acumulado",IF(ISNUMBER(SEARCH("ASAP",C1013)),"ASAP",IF(NETWORKDAYS.INTL(F1013,G1013,1,Table2[Dias no laborales]) &lt;= 7, "Dentro", IF(A1013&gt;F1013,"Programado","Fuera"))))</f>
        <v>Programado</v>
      </c>
      <c r="K1013" s="6" t="str">
        <f t="shared" si="31"/>
        <v>Programados</v>
      </c>
      <c r="L1013" s="9">
        <v>45922</v>
      </c>
      <c r="M1013" s="17">
        <f>MAX(1,NETWORKDAYS(A1013,L1013,Table2[Dias no laborales]))</f>
        <v>1</v>
      </c>
    </row>
    <row r="1014" spans="1:13" hidden="1" x14ac:dyDescent="0.3">
      <c r="A1014" s="8">
        <v>45922</v>
      </c>
      <c r="B1014" s="6" t="s">
        <v>2028</v>
      </c>
      <c r="C1014" s="6" t="s">
        <v>2029</v>
      </c>
      <c r="D1014" s="6" t="s">
        <v>133</v>
      </c>
      <c r="E1014" s="14">
        <v>45919.604861111111</v>
      </c>
      <c r="F1014" s="8">
        <f>IF(HOUR(Table1[[#This Row],[CORREO]])&gt;=11,WORKDAY(Table1[[#This Row],[CORREO]],1,Table2[Dias no laborales]),E1014)</f>
        <v>45922</v>
      </c>
      <c r="G1014" s="8">
        <v>45922</v>
      </c>
      <c r="H1014" s="6">
        <f t="shared" si="30"/>
        <v>38</v>
      </c>
      <c r="I1014" s="16">
        <f>MAX(1, NETWORKDAYS(A1014, G1014,Table2[Dias no laborales]))</f>
        <v>1</v>
      </c>
      <c r="J1014" s="6" t="str">
        <f>IF(Table1[[#This Row],[FIN]]="","Acumulado",IF(ISNUMBER(SEARCH("ASAP",C1014)),"ASAP",IF(NETWORKDAYS.INTL(F1014,G1014,1,Table2[Dias no laborales]) &lt;= 7, "Dentro", IF(A1014&gt;F1014,"Programado","Fuera"))))</f>
        <v>Dentro</v>
      </c>
      <c r="K1014" s="6" t="str">
        <f t="shared" si="31"/>
        <v>A tiempo</v>
      </c>
      <c r="L1014" s="9">
        <v>45922</v>
      </c>
      <c r="M1014" s="17">
        <f>MAX(1,NETWORKDAYS(A1014,L1014,Table2[Dias no laborales]))</f>
        <v>1</v>
      </c>
    </row>
    <row r="1015" spans="1:13" hidden="1" x14ac:dyDescent="0.3">
      <c r="A1015" s="8">
        <v>45922</v>
      </c>
      <c r="B1015" s="6" t="s">
        <v>2055</v>
      </c>
      <c r="C1015" s="6" t="s">
        <v>2056</v>
      </c>
      <c r="D1015" s="6" t="s">
        <v>1675</v>
      </c>
      <c r="E1015" s="14">
        <v>45919.791666666664</v>
      </c>
      <c r="F1015" s="8">
        <f>IF(HOUR(Table1[[#This Row],[CORREO]])&gt;=11,WORKDAY(Table1[[#This Row],[CORREO]],1,Table2[Dias no laborales]),E1015)</f>
        <v>45922</v>
      </c>
      <c r="G1015" s="8">
        <v>45925</v>
      </c>
      <c r="H1015" s="6">
        <f t="shared" si="30"/>
        <v>38</v>
      </c>
      <c r="I1015" s="16">
        <f>MAX(1, NETWORKDAYS(A1015, G1015,Table2[Dias no laborales]))</f>
        <v>4</v>
      </c>
      <c r="J1015" s="6" t="str">
        <f>IF(Table1[[#This Row],[FIN]]="","Acumulado",IF(ISNUMBER(SEARCH("ASAP",C1015)),"ASAP",IF(NETWORKDAYS.INTL(F1015,G1015,1,Table2[Dias no laborales]) &lt;= 7, "Dentro", IF(A1015&gt;F1015,"Programado","Fuera"))))</f>
        <v>Dentro</v>
      </c>
      <c r="K1015" s="6" t="str">
        <f t="shared" si="31"/>
        <v>A tiempo</v>
      </c>
      <c r="L1015" s="9">
        <v>45922</v>
      </c>
      <c r="M1015" s="17">
        <f>MAX(1,NETWORKDAYS(A1015,L1015,Table2[Dias no laborales]))</f>
        <v>1</v>
      </c>
    </row>
    <row r="1016" spans="1:13" hidden="1" x14ac:dyDescent="0.3">
      <c r="A1016" s="8">
        <v>45922</v>
      </c>
      <c r="B1016" s="6" t="s">
        <v>2021</v>
      </c>
      <c r="C1016" s="6" t="s">
        <v>2022</v>
      </c>
      <c r="D1016" s="6" t="s">
        <v>56</v>
      </c>
      <c r="E1016" s="14">
        <v>45922.37222222222</v>
      </c>
      <c r="F1016" s="8">
        <f>IF(HOUR(Table1[[#This Row],[CORREO]])&gt;=11,WORKDAY(Table1[[#This Row],[CORREO]],1,Table2[Dias no laborales]),E1016)</f>
        <v>45922.37222222222</v>
      </c>
      <c r="G1016" s="8">
        <v>45922</v>
      </c>
      <c r="H1016" s="6">
        <f t="shared" si="30"/>
        <v>38</v>
      </c>
      <c r="I1016" s="16">
        <f>MAX(1, NETWORKDAYS(A1016, G1016,Table2[Dias no laborales]))</f>
        <v>1</v>
      </c>
      <c r="J1016" s="6" t="str">
        <f>IF(Table1[[#This Row],[FIN]]="","Acumulado",IF(ISNUMBER(SEARCH("ASAP",C1016)),"ASAP",IF(NETWORKDAYS.INTL(F1016,G1016,1,Table2[Dias no laborales]) &lt;= 7, "Dentro", IF(A1016&gt;F1016,"Programado","Fuera"))))</f>
        <v>Dentro</v>
      </c>
      <c r="K1016" s="6" t="str">
        <f t="shared" si="31"/>
        <v>A tiempo</v>
      </c>
      <c r="L1016" s="9">
        <v>45922</v>
      </c>
      <c r="M1016" s="17">
        <f>MAX(1,NETWORKDAYS(A1016,L1016,Table2[Dias no laborales]))</f>
        <v>1</v>
      </c>
    </row>
    <row r="1017" spans="1:13" hidden="1" x14ac:dyDescent="0.3">
      <c r="A1017" s="8">
        <v>45922</v>
      </c>
      <c r="B1017" s="6" t="s">
        <v>2030</v>
      </c>
      <c r="C1017" s="6" t="s">
        <v>2031</v>
      </c>
      <c r="D1017" s="6" t="s">
        <v>133</v>
      </c>
      <c r="E1017" s="14">
        <v>45922.419444444444</v>
      </c>
      <c r="F1017" s="8">
        <f>IF(HOUR(Table1[[#This Row],[CORREO]])&gt;=11,WORKDAY(Table1[[#This Row],[CORREO]],1,Table2[Dias no laborales]),E1017)</f>
        <v>45922.419444444444</v>
      </c>
      <c r="G1017" s="8">
        <v>45922</v>
      </c>
      <c r="H1017" s="6">
        <f t="shared" si="30"/>
        <v>38</v>
      </c>
      <c r="I1017" s="16">
        <f>MAX(1, NETWORKDAYS(A1017, G1017,Table2[Dias no laborales]))</f>
        <v>1</v>
      </c>
      <c r="J1017" s="6" t="str">
        <f>IF(Table1[[#This Row],[FIN]]="","Acumulado",IF(ISNUMBER(SEARCH("ASAP",C1017)),"ASAP",IF(NETWORKDAYS.INTL(F1017,G1017,1,Table2[Dias no laborales]) &lt;= 7, "Dentro", IF(A1017&gt;F1017,"Programado","Fuera"))))</f>
        <v>Dentro</v>
      </c>
      <c r="K1017" s="6" t="str">
        <f t="shared" si="31"/>
        <v>A tiempo</v>
      </c>
      <c r="L1017" s="9">
        <v>45922</v>
      </c>
      <c r="M1017" s="17">
        <f>MAX(1,NETWORKDAYS(A1017,L1017,Table2[Dias no laborales]))</f>
        <v>1</v>
      </c>
    </row>
    <row r="1018" spans="1:13" hidden="1" x14ac:dyDescent="0.3">
      <c r="A1018" s="8">
        <v>45922</v>
      </c>
      <c r="B1018" s="6" t="s">
        <v>2032</v>
      </c>
      <c r="C1018" s="6" t="s">
        <v>2033</v>
      </c>
      <c r="D1018" s="6" t="s">
        <v>61</v>
      </c>
      <c r="E1018" s="14">
        <v>45922.434027777781</v>
      </c>
      <c r="F1018" s="8">
        <f>IF(HOUR(Table1[[#This Row],[CORREO]])&gt;=11,WORKDAY(Table1[[#This Row],[CORREO]],1,Table2[Dias no laborales]),E1018)</f>
        <v>45922.434027777781</v>
      </c>
      <c r="G1018" s="8">
        <v>45922</v>
      </c>
      <c r="H1018" s="6">
        <f t="shared" si="30"/>
        <v>38</v>
      </c>
      <c r="I1018" s="16">
        <f>MAX(1, NETWORKDAYS(A1018, G1018,Table2[Dias no laborales]))</f>
        <v>1</v>
      </c>
      <c r="J1018" s="6" t="str">
        <f>IF(Table1[[#This Row],[FIN]]="","Acumulado",IF(ISNUMBER(SEARCH("ASAP",C1018)),"ASAP",IF(NETWORKDAYS.INTL(F1018,G1018,1,Table2[Dias no laborales]) &lt;= 7, "Dentro", IF(A1018&gt;F1018,"Programado","Fuera"))))</f>
        <v>Dentro</v>
      </c>
      <c r="K1018" s="6" t="str">
        <f t="shared" si="31"/>
        <v>A tiempo</v>
      </c>
      <c r="L1018" s="9">
        <v>45922</v>
      </c>
      <c r="M1018" s="17">
        <f>MAX(1,NETWORKDAYS(A1018,L1018,Table2[Dias no laborales]))</f>
        <v>1</v>
      </c>
    </row>
    <row r="1019" spans="1:13" hidden="1" x14ac:dyDescent="0.3">
      <c r="A1019" s="8">
        <v>45922</v>
      </c>
      <c r="B1019" s="6" t="s">
        <v>2034</v>
      </c>
      <c r="C1019" s="6" t="s">
        <v>2035</v>
      </c>
      <c r="D1019" s="6" t="s">
        <v>24</v>
      </c>
      <c r="E1019" s="14"/>
      <c r="F1019" s="8">
        <f>IF(HOUR(Table1[[#This Row],[CORREO]])&gt;=11,WORKDAY(Table1[[#This Row],[CORREO]],1,Table2[Dias no laborales]),E1019)</f>
        <v>0</v>
      </c>
      <c r="G1019" s="8">
        <v>45923</v>
      </c>
      <c r="H1019" s="6">
        <f t="shared" si="30"/>
        <v>38</v>
      </c>
      <c r="I1019" s="16">
        <f>MAX(1, NETWORKDAYS(A1019, G1019,Table2[Dias no laborales]))</f>
        <v>2</v>
      </c>
      <c r="J1019" s="6" t="str">
        <f>IF(Table1[[#This Row],[FIN]]="","Acumulado",IF(ISNUMBER(SEARCH("ASAP",C1019)),"ASAP",IF(NETWORKDAYS.INTL(F1019,G1019,1,Table2[Dias no laborales]) &lt;= 7, "Dentro", IF(A1019&gt;F1019,"Programado","Fuera"))))</f>
        <v>Programado</v>
      </c>
      <c r="K1019" s="6" t="str">
        <f t="shared" si="31"/>
        <v>Programados</v>
      </c>
      <c r="L1019" s="9">
        <v>45922</v>
      </c>
      <c r="M1019" s="17">
        <f>MAX(1,NETWORKDAYS(A1019,L1019,Table2[Dias no laborales]))</f>
        <v>1</v>
      </c>
    </row>
    <row r="1020" spans="1:13" hidden="1" x14ac:dyDescent="0.3">
      <c r="A1020" s="8">
        <v>45923</v>
      </c>
      <c r="B1020" s="6" t="s">
        <v>2115</v>
      </c>
      <c r="C1020" s="6" t="s">
        <v>2116</v>
      </c>
      <c r="D1020" s="6" t="s">
        <v>628</v>
      </c>
      <c r="E1020" s="14">
        <v>45922</v>
      </c>
      <c r="F1020" s="8">
        <f>IF(HOUR(Table1[[#This Row],[CORREO]])&gt;=11,WORKDAY(Table1[[#This Row],[CORREO]],1,Table2[Dias no laborales]),E1020)</f>
        <v>45922</v>
      </c>
      <c r="G1020" s="8">
        <v>45933</v>
      </c>
      <c r="H1020" s="6">
        <f t="shared" si="30"/>
        <v>38</v>
      </c>
      <c r="I1020" s="16">
        <f>MAX(1, NETWORKDAYS(A1020, G1020,Table2[Dias no laborales]))</f>
        <v>9</v>
      </c>
      <c r="J1020" s="6" t="str">
        <f>IF(Table1[[#This Row],[FIN]]="","Acumulado",IF(ISNUMBER(SEARCH("ASAP",C1020)),"ASAP",IF(NETWORKDAYS.INTL(F1020,G1020,1,Table2[Dias no laborales]) &lt;= 7, "Dentro", IF(A1020&gt;F1020,"Programado","Fuera"))))</f>
        <v>Programado</v>
      </c>
      <c r="K1020" s="6" t="str">
        <f t="shared" si="31"/>
        <v>Programados</v>
      </c>
      <c r="L1020" s="9">
        <v>45923</v>
      </c>
      <c r="M1020" s="17">
        <f>MAX(1,NETWORKDAYS(A1020,L1020,Table2[Dias no laborales]))</f>
        <v>1</v>
      </c>
    </row>
    <row r="1021" spans="1:13" hidden="1" x14ac:dyDescent="0.3">
      <c r="A1021" s="8">
        <v>45923</v>
      </c>
      <c r="B1021" s="6" t="s">
        <v>2036</v>
      </c>
      <c r="C1021" s="6" t="s">
        <v>2037</v>
      </c>
      <c r="D1021" s="6" t="s">
        <v>139</v>
      </c>
      <c r="E1021" s="14">
        <v>45922.570138888892</v>
      </c>
      <c r="F1021" s="8">
        <f>IF(HOUR(Table1[[#This Row],[CORREO]])&gt;=11,WORKDAY(Table1[[#This Row],[CORREO]],1,Table2[Dias no laborales]),E1021)</f>
        <v>45923</v>
      </c>
      <c r="G1021" s="8">
        <v>45923</v>
      </c>
      <c r="H1021" s="6">
        <f t="shared" si="30"/>
        <v>38</v>
      </c>
      <c r="I1021" s="16">
        <f>MAX(1, NETWORKDAYS(A1021, G1021,Table2[Dias no laborales]))</f>
        <v>1</v>
      </c>
      <c r="J1021" s="6" t="str">
        <f>IF(Table1[[#This Row],[FIN]]="","Acumulado",IF(ISNUMBER(SEARCH("ASAP",C1021)),"ASAP",IF(NETWORKDAYS.INTL(F1021,G1021,1,Table2[Dias no laborales]) &lt;= 7, "Dentro", IF(A1021&gt;F1021,"Programado","Fuera"))))</f>
        <v>Dentro</v>
      </c>
      <c r="K1021" s="6" t="str">
        <f t="shared" si="31"/>
        <v>A tiempo</v>
      </c>
      <c r="L1021" s="9">
        <v>45923</v>
      </c>
      <c r="M1021" s="17">
        <f>MAX(1,NETWORKDAYS(A1021,L1021,Table2[Dias no laborales]))</f>
        <v>1</v>
      </c>
    </row>
    <row r="1022" spans="1:13" hidden="1" x14ac:dyDescent="0.3">
      <c r="A1022" s="8">
        <v>45923</v>
      </c>
      <c r="B1022" s="6" t="s">
        <v>2117</v>
      </c>
      <c r="C1022" s="6" t="s">
        <v>2118</v>
      </c>
      <c r="D1022" s="6" t="s">
        <v>139</v>
      </c>
      <c r="E1022" s="14">
        <v>45922.675000000003</v>
      </c>
      <c r="F1022" s="8">
        <f>IF(HOUR(Table1[[#This Row],[CORREO]])&gt;=11,WORKDAY(Table1[[#This Row],[CORREO]],1,Table2[Dias no laborales]),E1022)</f>
        <v>45923</v>
      </c>
      <c r="G1022" s="8">
        <v>45933</v>
      </c>
      <c r="H1022" s="6">
        <f t="shared" si="30"/>
        <v>38</v>
      </c>
      <c r="I1022" s="16">
        <f>MAX(1, NETWORKDAYS(A1022, G1022,Table2[Dias no laborales]))</f>
        <v>9</v>
      </c>
      <c r="J1022" s="6" t="str">
        <f>IF(Table1[[#This Row],[FIN]]="","Acumulado",IF(ISNUMBER(SEARCH("ASAP",C1022)),"ASAP",IF(NETWORKDAYS.INTL(F1022,G1022,1,Table2[Dias no laborales]) &lt;= 7, "Dentro", IF(A1022&gt;F1022,"Programado","Fuera"))))</f>
        <v>Fuera</v>
      </c>
      <c r="K1022" s="6" t="str">
        <f t="shared" si="31"/>
        <v>A tiempo</v>
      </c>
      <c r="L1022" s="9">
        <v>45923</v>
      </c>
      <c r="M1022" s="17">
        <f>MAX(1,NETWORKDAYS(A1022,L1022,Table2[Dias no laborales]))</f>
        <v>1</v>
      </c>
    </row>
    <row r="1023" spans="1:13" hidden="1" x14ac:dyDescent="0.3">
      <c r="A1023" s="8">
        <v>45923</v>
      </c>
      <c r="B1023" s="6" t="s">
        <v>2059</v>
      </c>
      <c r="C1023" s="6" t="s">
        <v>2060</v>
      </c>
      <c r="D1023" s="6" t="s">
        <v>24</v>
      </c>
      <c r="E1023" s="14">
        <v>45922.72152777778</v>
      </c>
      <c r="F1023" s="8">
        <f>IF(HOUR(Table1[[#This Row],[CORREO]])&gt;=11,WORKDAY(Table1[[#This Row],[CORREO]],1,Table2[Dias no laborales]),E1023)</f>
        <v>45923</v>
      </c>
      <c r="G1023" s="8">
        <v>45926</v>
      </c>
      <c r="H1023" s="6">
        <f t="shared" si="30"/>
        <v>38</v>
      </c>
      <c r="I1023" s="16">
        <f>MAX(1, NETWORKDAYS(A1023, G1023,Table2[Dias no laborales]))</f>
        <v>4</v>
      </c>
      <c r="J1023" s="6" t="str">
        <f>IF(Table1[[#This Row],[FIN]]="","Acumulado",IF(ISNUMBER(SEARCH("ASAP",C1023)),"ASAP",IF(NETWORKDAYS.INTL(F1023,G1023,1,Table2[Dias no laborales]) &lt;= 7, "Dentro", IF(A1023&gt;F1023,"Programado","Fuera"))))</f>
        <v>ASAP</v>
      </c>
      <c r="K1023" s="6" t="str">
        <f t="shared" si="31"/>
        <v>A tiempo</v>
      </c>
      <c r="L1023" s="9">
        <v>45923</v>
      </c>
      <c r="M1023" s="17">
        <f>MAX(1,NETWORKDAYS(A1023,L1023,Table2[Dias no laborales]))</f>
        <v>1</v>
      </c>
    </row>
    <row r="1024" spans="1:13" hidden="1" x14ac:dyDescent="0.3">
      <c r="A1024" s="8">
        <v>45923</v>
      </c>
      <c r="B1024" s="6" t="s">
        <v>2042</v>
      </c>
      <c r="C1024" s="6" t="s">
        <v>2043</v>
      </c>
      <c r="D1024" s="6" t="s">
        <v>42</v>
      </c>
      <c r="E1024" s="14">
        <v>45923.404166666667</v>
      </c>
      <c r="F1024" s="8">
        <f>IF(HOUR(Table1[[#This Row],[CORREO]])&gt;=11,WORKDAY(Table1[[#This Row],[CORREO]],1,Table2[Dias no laborales]),E1024)</f>
        <v>45923.404166666667</v>
      </c>
      <c r="G1024" s="8">
        <v>45923</v>
      </c>
      <c r="H1024" s="6">
        <f t="shared" si="30"/>
        <v>38</v>
      </c>
      <c r="I1024" s="16">
        <f>MAX(1, NETWORKDAYS(A1024, G1024,Table2[Dias no laborales]))</f>
        <v>1</v>
      </c>
      <c r="J1024" s="6" t="str">
        <f>IF(Table1[[#This Row],[FIN]]="","Acumulado",IF(ISNUMBER(SEARCH("ASAP",C1024)),"ASAP",IF(NETWORKDAYS.INTL(F1024,G1024,1,Table2[Dias no laborales]) &lt;= 7, "Dentro", IF(A1024&gt;F1024,"Programado","Fuera"))))</f>
        <v>Dentro</v>
      </c>
      <c r="K1024" s="6" t="str">
        <f t="shared" si="31"/>
        <v>A tiempo</v>
      </c>
      <c r="L1024" s="9">
        <v>45923</v>
      </c>
      <c r="M1024" s="17">
        <f>MAX(1,NETWORKDAYS(A1024,L1024,Table2[Dias no laborales]))</f>
        <v>1</v>
      </c>
    </row>
    <row r="1025" spans="1:13" hidden="1" x14ac:dyDescent="0.3">
      <c r="A1025" s="8">
        <v>45923</v>
      </c>
      <c r="B1025" s="6" t="s">
        <v>2044</v>
      </c>
      <c r="C1025" s="6" t="s">
        <v>2045</v>
      </c>
      <c r="D1025" s="6" t="s">
        <v>24</v>
      </c>
      <c r="E1025" s="14"/>
      <c r="F1025" s="8">
        <f>IF(HOUR(Table1[[#This Row],[CORREO]])&gt;=11,WORKDAY(Table1[[#This Row],[CORREO]],1,Table2[Dias no laborales]),E1025)</f>
        <v>0</v>
      </c>
      <c r="G1025" s="8">
        <v>45923</v>
      </c>
      <c r="H1025" s="6">
        <f t="shared" si="30"/>
        <v>38</v>
      </c>
      <c r="I1025" s="16">
        <f>MAX(1, NETWORKDAYS(A1025, G1025,Table2[Dias no laborales]))</f>
        <v>1</v>
      </c>
      <c r="J1025" s="6" t="str">
        <f>IF(Table1[[#This Row],[FIN]]="","Acumulado",IF(ISNUMBER(SEARCH("ASAP",C1025)),"ASAP",IF(NETWORKDAYS.INTL(F1025,G1025,1,Table2[Dias no laborales]) &lt;= 7, "Dentro", IF(A1025&gt;F1025,"Programado","Fuera"))))</f>
        <v>Programado</v>
      </c>
      <c r="K1025" s="6" t="str">
        <f t="shared" si="31"/>
        <v>Programados</v>
      </c>
      <c r="L1025" s="9">
        <v>45923</v>
      </c>
      <c r="M1025" s="17">
        <f>MAX(1,NETWORKDAYS(A1025,L1025,Table2[Dias no laborales]))</f>
        <v>1</v>
      </c>
    </row>
    <row r="1026" spans="1:13" hidden="1" x14ac:dyDescent="0.3">
      <c r="A1026" s="8">
        <v>45923</v>
      </c>
      <c r="B1026" s="6" t="s">
        <v>2038</v>
      </c>
      <c r="C1026" s="6" t="s">
        <v>2039</v>
      </c>
      <c r="D1026" s="6" t="s">
        <v>53</v>
      </c>
      <c r="E1026" s="14">
        <v>45923.42083333333</v>
      </c>
      <c r="F1026" s="8">
        <f>IF(HOUR(Table1[[#This Row],[CORREO]])&gt;=11,WORKDAY(Table1[[#This Row],[CORREO]],1,Table2[Dias no laborales]),E1026)</f>
        <v>45923.42083333333</v>
      </c>
      <c r="G1026" s="8">
        <v>45923</v>
      </c>
      <c r="H1026" s="6">
        <f t="shared" ref="H1026:H1089" si="32">INT((A1026-DATE(YEAR(A1026),1,1))/7) + 1</f>
        <v>38</v>
      </c>
      <c r="I1026" s="16">
        <f>MAX(1, NETWORKDAYS(A1026, G1026,Table2[Dias no laborales]))</f>
        <v>1</v>
      </c>
      <c r="J1026" s="6" t="str">
        <f>IF(Table1[[#This Row],[FIN]]="","Acumulado",IF(ISNUMBER(SEARCH("ASAP",C1026)),"ASAP",IF(NETWORKDAYS.INTL(F1026,G1026,1,Table2[Dias no laborales]) &lt;= 7, "Dentro", IF(A1026&gt;F1026,"Programado","Fuera"))))</f>
        <v>Dentro</v>
      </c>
      <c r="K1026" s="6" t="str">
        <f t="shared" ref="K1026:K1089" si="33">IF(INT(A1026)=INT(F1026),"A tiempo", IF(A1026&lt;F1026,"Mismo día","Programados"))</f>
        <v>A tiempo</v>
      </c>
      <c r="L1026" s="9">
        <v>45923</v>
      </c>
      <c r="M1026" s="17">
        <f>MAX(1,NETWORKDAYS(A1026,L1026,Table2[Dias no laborales]))</f>
        <v>1</v>
      </c>
    </row>
    <row r="1027" spans="1:13" hidden="1" x14ac:dyDescent="0.3">
      <c r="A1027" s="8">
        <v>45924</v>
      </c>
      <c r="B1027" s="6" t="s">
        <v>2048</v>
      </c>
      <c r="C1027" s="6" t="s">
        <v>634</v>
      </c>
      <c r="D1027" s="6" t="s">
        <v>634</v>
      </c>
      <c r="E1027" s="14">
        <v>45923.744444444441</v>
      </c>
      <c r="F1027" s="8">
        <f>IF(HOUR(Table1[[#This Row],[CORREO]])&gt;=11,WORKDAY(Table1[[#This Row],[CORREO]],1,Table2[Dias no laborales]),E1027)</f>
        <v>45924</v>
      </c>
      <c r="G1027" s="8">
        <v>45924</v>
      </c>
      <c r="H1027" s="6">
        <f t="shared" si="32"/>
        <v>39</v>
      </c>
      <c r="I1027" s="16">
        <f>MAX(1, NETWORKDAYS(A1027, G1027,Table2[Dias no laborales]))</f>
        <v>1</v>
      </c>
      <c r="J1027" s="6" t="str">
        <f>IF(Table1[[#This Row],[FIN]]="","Acumulado",IF(ISNUMBER(SEARCH("ASAP",C1027)),"ASAP",IF(NETWORKDAYS.INTL(F1027,G1027,1,Table2[Dias no laborales]) &lt;= 7, "Dentro", IF(A1027&gt;F1027,"Programado","Fuera"))))</f>
        <v>Dentro</v>
      </c>
      <c r="K1027" s="6" t="str">
        <f t="shared" si="33"/>
        <v>A tiempo</v>
      </c>
      <c r="L1027" s="9">
        <v>45924</v>
      </c>
      <c r="M1027" s="17">
        <f>MAX(1,NETWORKDAYS(A1027,L1027,Table2[Dias no laborales]))</f>
        <v>1</v>
      </c>
    </row>
    <row r="1028" spans="1:13" hidden="1" x14ac:dyDescent="0.3">
      <c r="A1028" s="8">
        <v>45924</v>
      </c>
      <c r="B1028" s="6" t="s">
        <v>2065</v>
      </c>
      <c r="C1028" s="6" t="s">
        <v>2066</v>
      </c>
      <c r="D1028" s="6" t="s">
        <v>238</v>
      </c>
      <c r="E1028" s="14">
        <v>45924.373611111114</v>
      </c>
      <c r="F1028" s="8">
        <f>IF(HOUR(Table1[[#This Row],[CORREO]])&gt;=11,WORKDAY(Table1[[#This Row],[CORREO]],1,Table2[Dias no laborales]),E1028)</f>
        <v>45924.373611111114</v>
      </c>
      <c r="G1028" s="8">
        <v>45926</v>
      </c>
      <c r="H1028" s="6">
        <f t="shared" si="32"/>
        <v>39</v>
      </c>
      <c r="I1028" s="16">
        <f>MAX(1, NETWORKDAYS(A1028, G1028,Table2[Dias no laborales]))</f>
        <v>3</v>
      </c>
      <c r="J1028" s="6" t="str">
        <f>IF(Table1[[#This Row],[FIN]]="","Acumulado",IF(ISNUMBER(SEARCH("ASAP",C1028)),"ASAP",IF(NETWORKDAYS.INTL(F1028,G1028,1,Table2[Dias no laborales]) &lt;= 7, "Dentro", IF(A1028&gt;F1028,"Programado","Fuera"))))</f>
        <v>Dentro</v>
      </c>
      <c r="K1028" s="6" t="str">
        <f t="shared" si="33"/>
        <v>A tiempo</v>
      </c>
      <c r="L1028" s="9">
        <v>45924</v>
      </c>
      <c r="M1028" s="17">
        <f>MAX(1,NETWORKDAYS(A1028,L1028,Table2[Dias no laborales]))</f>
        <v>1</v>
      </c>
    </row>
    <row r="1029" spans="1:13" hidden="1" x14ac:dyDescent="0.3">
      <c r="A1029" s="8">
        <v>45924</v>
      </c>
      <c r="B1029" s="6" t="s">
        <v>2051</v>
      </c>
      <c r="C1029" s="6" t="s">
        <v>2052</v>
      </c>
      <c r="D1029" s="6" t="s">
        <v>61</v>
      </c>
      <c r="E1029" s="14">
        <v>45924.449305555558</v>
      </c>
      <c r="F1029" s="8">
        <f>IF(HOUR(Table1[[#This Row],[CORREO]])&gt;=11,WORKDAY(Table1[[#This Row],[CORREO]],1,Table2[Dias no laborales]),E1029)</f>
        <v>45924.449305555558</v>
      </c>
      <c r="G1029" s="8">
        <v>45925</v>
      </c>
      <c r="H1029" s="6">
        <f t="shared" si="32"/>
        <v>39</v>
      </c>
      <c r="I1029" s="16">
        <f>MAX(1, NETWORKDAYS(A1029, G1029,Table2[Dias no laborales]))</f>
        <v>2</v>
      </c>
      <c r="J1029" s="6" t="str">
        <f>IF(Table1[[#This Row],[FIN]]="","Acumulado",IF(ISNUMBER(SEARCH("ASAP",C1029)),"ASAP",IF(NETWORKDAYS.INTL(F1029,G1029,1,Table2[Dias no laborales]) &lt;= 7, "Dentro", IF(A1029&gt;F1029,"Programado","Fuera"))))</f>
        <v>Dentro</v>
      </c>
      <c r="K1029" s="6" t="str">
        <f t="shared" si="33"/>
        <v>A tiempo</v>
      </c>
      <c r="L1029" s="9">
        <v>45924</v>
      </c>
      <c r="M1029" s="17">
        <f>MAX(1,NETWORKDAYS(A1029,L1029,Table2[Dias no laborales]))</f>
        <v>1</v>
      </c>
    </row>
    <row r="1030" spans="1:13" hidden="1" x14ac:dyDescent="0.3">
      <c r="A1030" s="8">
        <v>45924</v>
      </c>
      <c r="B1030" s="6" t="s">
        <v>2086</v>
      </c>
      <c r="C1030" s="6" t="s">
        <v>2087</v>
      </c>
      <c r="D1030" s="6" t="s">
        <v>151</v>
      </c>
      <c r="E1030" s="14">
        <v>45924.458333333336</v>
      </c>
      <c r="F1030" s="8">
        <f>IF(HOUR(Table1[[#This Row],[CORREO]])&gt;=11,WORKDAY(Table1[[#This Row],[CORREO]],1,Table2[Dias no laborales]),E1030)</f>
        <v>45925</v>
      </c>
      <c r="G1030" s="8">
        <v>45953</v>
      </c>
      <c r="H1030" s="6">
        <f t="shared" si="32"/>
        <v>39</v>
      </c>
      <c r="I1030" s="16">
        <f>MAX(1, NETWORKDAYS(A1030, G1030,Table2[Dias no laborales]))</f>
        <v>22</v>
      </c>
      <c r="J1030" s="6" t="str">
        <f>IF(Table1[[#This Row],[FIN]]="","Acumulado",IF(ISNUMBER(SEARCH("ASAP",C1030)),"ASAP",IF(NETWORKDAYS.INTL(F1030,G1030,1,Table2[Dias no laborales]) &lt;= 7, "Dentro", IF(A1030&gt;F1030,"Programado","Fuera"))))</f>
        <v>Fuera</v>
      </c>
      <c r="K1030" s="6" t="str">
        <f t="shared" si="33"/>
        <v>Mismo día</v>
      </c>
      <c r="L1030" s="9">
        <v>45924</v>
      </c>
      <c r="M1030" s="17">
        <f>MAX(1,NETWORKDAYS(A1030,L1030,Table2[Dias no laborales]))</f>
        <v>1</v>
      </c>
    </row>
    <row r="1031" spans="1:13" hidden="1" x14ac:dyDescent="0.3">
      <c r="A1031" s="8">
        <v>45925</v>
      </c>
      <c r="B1031" s="6" t="s">
        <v>2053</v>
      </c>
      <c r="C1031" s="6" t="s">
        <v>2054</v>
      </c>
      <c r="D1031" s="6" t="s">
        <v>449</v>
      </c>
      <c r="E1031" s="14">
        <v>45924.530555555553</v>
      </c>
      <c r="F1031" s="8">
        <f>IF(HOUR(Table1[[#This Row],[CORREO]])&gt;=11,WORKDAY(Table1[[#This Row],[CORREO]],1,Table2[Dias no laborales]),E1031)</f>
        <v>45925</v>
      </c>
      <c r="G1031" s="8">
        <v>45925</v>
      </c>
      <c r="H1031" s="6">
        <f t="shared" si="32"/>
        <v>39</v>
      </c>
      <c r="I1031" s="16">
        <f>MAX(1, NETWORKDAYS(A1031, G1031,Table2[Dias no laborales]))</f>
        <v>1</v>
      </c>
      <c r="J1031" s="6" t="str">
        <f>IF(Table1[[#This Row],[FIN]]="","Acumulado",IF(ISNUMBER(SEARCH("ASAP",C1031)),"ASAP",IF(NETWORKDAYS.INTL(F1031,G1031,1,Table2[Dias no laborales]) &lt;= 7, "Dentro", IF(A1031&gt;F1031,"Programado","Fuera"))))</f>
        <v>Dentro</v>
      </c>
      <c r="K1031" s="6" t="str">
        <f t="shared" si="33"/>
        <v>A tiempo</v>
      </c>
      <c r="L1031" s="9">
        <v>45925</v>
      </c>
      <c r="M1031" s="17">
        <f>MAX(1,NETWORKDAYS(A1031,L1031,Table2[Dias no laborales]))</f>
        <v>1</v>
      </c>
    </row>
    <row r="1032" spans="1:13" hidden="1" x14ac:dyDescent="0.3">
      <c r="A1032" s="8">
        <v>45925</v>
      </c>
      <c r="B1032" s="6" t="s">
        <v>2049</v>
      </c>
      <c r="C1032" s="6" t="s">
        <v>2050</v>
      </c>
      <c r="D1032" s="6" t="s">
        <v>27</v>
      </c>
      <c r="E1032" s="14">
        <v>45924.736111111109</v>
      </c>
      <c r="F1032" s="8">
        <f>IF(HOUR(Table1[[#This Row],[CORREO]])&gt;=11,WORKDAY(Table1[[#This Row],[CORREO]],1,Table2[Dias no laborales]),E1032)</f>
        <v>45925</v>
      </c>
      <c r="G1032" s="8">
        <v>45925</v>
      </c>
      <c r="H1032" s="6">
        <f t="shared" si="32"/>
        <v>39</v>
      </c>
      <c r="I1032" s="16">
        <f>MAX(1, NETWORKDAYS(A1032, G1032,Table2[Dias no laborales]))</f>
        <v>1</v>
      </c>
      <c r="J1032" s="6" t="str">
        <f>IF(Table1[[#This Row],[FIN]]="","Acumulado",IF(ISNUMBER(SEARCH("ASAP",C1032)),"ASAP",IF(NETWORKDAYS.INTL(F1032,G1032,1,Table2[Dias no laborales]) &lt;= 7, "Dentro", IF(A1032&gt;F1032,"Programado","Fuera"))))</f>
        <v>ASAP</v>
      </c>
      <c r="K1032" s="6" t="str">
        <f t="shared" si="33"/>
        <v>A tiempo</v>
      </c>
      <c r="L1032" s="9">
        <v>45925</v>
      </c>
      <c r="M1032" s="17">
        <f>MAX(1,NETWORKDAYS(A1032,L1032,Table2[Dias no laborales]))</f>
        <v>1</v>
      </c>
    </row>
    <row r="1033" spans="1:13" hidden="1" x14ac:dyDescent="0.3">
      <c r="A1033" s="8">
        <v>45925</v>
      </c>
      <c r="B1033" s="6" t="s">
        <v>2071</v>
      </c>
      <c r="C1033" s="6" t="s">
        <v>2072</v>
      </c>
      <c r="D1033" s="6" t="s">
        <v>154</v>
      </c>
      <c r="E1033" s="14">
        <v>45925.306944444441</v>
      </c>
      <c r="F1033" s="8">
        <f>IF(HOUR(Table1[[#This Row],[CORREO]])&gt;=11,WORKDAY(Table1[[#This Row],[CORREO]],1,Table2[Dias no laborales]),E1033)</f>
        <v>45925.306944444441</v>
      </c>
      <c r="G1033" s="8">
        <v>45929</v>
      </c>
      <c r="H1033" s="6">
        <f t="shared" si="32"/>
        <v>39</v>
      </c>
      <c r="I1033" s="16">
        <f>MAX(1, NETWORKDAYS(A1033, G1033,Table2[Dias no laborales]))</f>
        <v>3</v>
      </c>
      <c r="J1033" s="6" t="str">
        <f>IF(Table1[[#This Row],[FIN]]="","Acumulado",IF(ISNUMBER(SEARCH("ASAP",C1033)),"ASAP",IF(NETWORKDAYS.INTL(F1033,G1033,1,Table2[Dias no laborales]) &lt;= 7, "Dentro", IF(A1033&gt;F1033,"Programado","Fuera"))))</f>
        <v>Dentro</v>
      </c>
      <c r="K1033" s="6" t="str">
        <f t="shared" si="33"/>
        <v>A tiempo</v>
      </c>
      <c r="L1033" s="9">
        <v>45925</v>
      </c>
      <c r="M1033" s="17">
        <f>MAX(1,NETWORKDAYS(A1033,L1033,Table2[Dias no laborales]))</f>
        <v>1</v>
      </c>
    </row>
    <row r="1034" spans="1:13" hidden="1" x14ac:dyDescent="0.3">
      <c r="A1034" s="8">
        <v>45925</v>
      </c>
      <c r="B1034" s="6" t="s">
        <v>2088</v>
      </c>
      <c r="C1034" s="6" t="s">
        <v>2089</v>
      </c>
      <c r="D1034" s="6" t="s">
        <v>372</v>
      </c>
      <c r="E1034" s="14">
        <v>45925.339583333334</v>
      </c>
      <c r="F1034" s="8">
        <f>IF(HOUR(Table1[[#This Row],[CORREO]])&gt;=11,WORKDAY(Table1[[#This Row],[CORREO]],1,Table2[Dias no laborales]),E1034)</f>
        <v>45925.339583333334</v>
      </c>
      <c r="G1034" s="8">
        <v>46009</v>
      </c>
      <c r="H1034" s="6">
        <f t="shared" si="32"/>
        <v>39</v>
      </c>
      <c r="I1034" s="16">
        <f>MAX(1, NETWORKDAYS(A1034, G1034,Table2[Dias no laborales]))</f>
        <v>60</v>
      </c>
      <c r="J1034" s="6" t="str">
        <f>IF(Table1[[#This Row],[FIN]]="","Acumulado",IF(ISNUMBER(SEARCH("ASAP",C1034)),"ASAP",IF(NETWORKDAYS.INTL(F1034,G1034,1,Table2[Dias no laborales]) &lt;= 7, "Dentro", IF(A1034&gt;F1034,"Programado","Fuera"))))</f>
        <v>Fuera</v>
      </c>
      <c r="K1034" s="6" t="str">
        <f t="shared" si="33"/>
        <v>A tiempo</v>
      </c>
      <c r="L1034" s="9">
        <v>45925</v>
      </c>
      <c r="M1034" s="17">
        <f>MAX(1,NETWORKDAYS(A1034,L1034,Table2[Dias no laborales]))</f>
        <v>1</v>
      </c>
    </row>
    <row r="1035" spans="1:13" hidden="1" x14ac:dyDescent="0.3">
      <c r="A1035" s="8">
        <v>45925</v>
      </c>
      <c r="B1035" s="6" t="s">
        <v>2074</v>
      </c>
      <c r="C1035" s="6" t="s">
        <v>2075</v>
      </c>
      <c r="D1035" s="6" t="s">
        <v>27</v>
      </c>
      <c r="E1035" s="14">
        <v>45925.366666666669</v>
      </c>
      <c r="F1035" s="8">
        <f>IF(HOUR(Table1[[#This Row],[CORREO]])&gt;=11,WORKDAY(Table1[[#This Row],[CORREO]],1,Table2[Dias no laborales]),E1035)</f>
        <v>45925.366666666669</v>
      </c>
      <c r="G1035" s="8">
        <v>45930</v>
      </c>
      <c r="H1035" s="6">
        <f t="shared" si="32"/>
        <v>39</v>
      </c>
      <c r="I1035" s="16">
        <f>MAX(1, NETWORKDAYS(A1035, G1035,Table2[Dias no laborales]))</f>
        <v>4</v>
      </c>
      <c r="J1035" s="6" t="str">
        <f>IF(Table1[[#This Row],[FIN]]="","Acumulado",IF(ISNUMBER(SEARCH("ASAP",C1035)),"ASAP",IF(NETWORKDAYS.INTL(F1035,G1035,1,Table2[Dias no laborales]) &lt;= 7, "Dentro", IF(A1035&gt;F1035,"Programado","Fuera"))))</f>
        <v>ASAP</v>
      </c>
      <c r="K1035" s="6" t="str">
        <f t="shared" si="33"/>
        <v>A tiempo</v>
      </c>
      <c r="L1035" s="9">
        <v>45925</v>
      </c>
      <c r="M1035" s="17">
        <f>MAX(1,NETWORKDAYS(A1035,L1035,Table2[Dias no laborales]))</f>
        <v>1</v>
      </c>
    </row>
    <row r="1036" spans="1:13" hidden="1" x14ac:dyDescent="0.3">
      <c r="A1036" s="8">
        <v>45925</v>
      </c>
      <c r="B1036" s="6" t="s">
        <v>2057</v>
      </c>
      <c r="C1036" s="6" t="s">
        <v>2058</v>
      </c>
      <c r="D1036" s="6" t="s">
        <v>538</v>
      </c>
      <c r="E1036" s="14">
        <v>45925.447222222225</v>
      </c>
      <c r="F1036" s="8">
        <f>IF(HOUR(Table1[[#This Row],[CORREO]])&gt;=11,WORKDAY(Table1[[#This Row],[CORREO]],1,Table2[Dias no laborales]),E1036)</f>
        <v>45925.447222222225</v>
      </c>
      <c r="G1036" s="8">
        <v>45926</v>
      </c>
      <c r="H1036" s="6">
        <f t="shared" si="32"/>
        <v>39</v>
      </c>
      <c r="I1036" s="16">
        <f>MAX(1, NETWORKDAYS(A1036, G1036,Table2[Dias no laborales]))</f>
        <v>2</v>
      </c>
      <c r="J1036" s="6" t="str">
        <f>IF(Table1[[#This Row],[FIN]]="","Acumulado",IF(ISNUMBER(SEARCH("ASAP",C1036)),"ASAP",IF(NETWORKDAYS.INTL(F1036,G1036,1,Table2[Dias no laborales]) &lt;= 7, "Dentro", IF(A1036&gt;F1036,"Programado","Fuera"))))</f>
        <v>Dentro</v>
      </c>
      <c r="K1036" s="6" t="str">
        <f t="shared" si="33"/>
        <v>A tiempo</v>
      </c>
      <c r="L1036" s="9">
        <v>45925</v>
      </c>
      <c r="M1036" s="17">
        <f>MAX(1,NETWORKDAYS(A1036,L1036,Table2[Dias no laborales]))</f>
        <v>1</v>
      </c>
    </row>
    <row r="1037" spans="1:13" hidden="1" x14ac:dyDescent="0.3">
      <c r="A1037" s="8">
        <v>45925</v>
      </c>
      <c r="B1037" s="6" t="s">
        <v>2069</v>
      </c>
      <c r="C1037" s="6" t="s">
        <v>2070</v>
      </c>
      <c r="D1037" s="6" t="s">
        <v>27</v>
      </c>
      <c r="E1037" s="14">
        <v>45925.479166666664</v>
      </c>
      <c r="F1037" s="8">
        <f>IF(HOUR(Table1[[#This Row],[CORREO]])&gt;=11,WORKDAY(Table1[[#This Row],[CORREO]],1,Table2[Dias no laborales]),E1037)</f>
        <v>45926</v>
      </c>
      <c r="G1037" s="8">
        <v>45929</v>
      </c>
      <c r="H1037" s="6">
        <f t="shared" si="32"/>
        <v>39</v>
      </c>
      <c r="I1037" s="16">
        <f>MAX(1, NETWORKDAYS(A1037, G1037,Table2[Dias no laborales]))</f>
        <v>3</v>
      </c>
      <c r="J1037" s="6" t="str">
        <f>IF(Table1[[#This Row],[FIN]]="","Acumulado",IF(ISNUMBER(SEARCH("ASAP",C1037)),"ASAP",IF(NETWORKDAYS.INTL(F1037,G1037,1,Table2[Dias no laborales]) &lt;= 7, "Dentro", IF(A1037&gt;F1037,"Programado","Fuera"))))</f>
        <v>Dentro</v>
      </c>
      <c r="K1037" s="6" t="str">
        <f t="shared" si="33"/>
        <v>Mismo día</v>
      </c>
      <c r="L1037" s="9">
        <v>45925</v>
      </c>
      <c r="M1037" s="17">
        <f>MAX(1,NETWORKDAYS(A1037,L1037,Table2[Dias no laborales]))</f>
        <v>1</v>
      </c>
    </row>
    <row r="1038" spans="1:13" hidden="1" x14ac:dyDescent="0.3">
      <c r="A1038" s="8">
        <v>45926</v>
      </c>
      <c r="B1038" s="6" t="s">
        <v>2100</v>
      </c>
      <c r="C1038" s="6" t="s">
        <v>2101</v>
      </c>
      <c r="D1038" s="6" t="s">
        <v>1644</v>
      </c>
      <c r="E1038" s="14">
        <v>45926.35</v>
      </c>
      <c r="F1038" s="8">
        <f>IF(HOUR(Table1[[#This Row],[CORREO]])&gt;=11,WORKDAY(Table1[[#This Row],[CORREO]],1,Table2[Dias no laborales]),E1038)</f>
        <v>45926.35</v>
      </c>
      <c r="G1038" s="8">
        <v>45932</v>
      </c>
      <c r="H1038" s="6">
        <f t="shared" si="32"/>
        <v>39</v>
      </c>
      <c r="I1038" s="16">
        <f>MAX(1, NETWORKDAYS(A1038, G1038,Table2[Dias no laborales]))</f>
        <v>5</v>
      </c>
      <c r="J1038" s="6" t="str">
        <f>IF(Table1[[#This Row],[FIN]]="","Acumulado",IF(ISNUMBER(SEARCH("ASAP",C1038)),"ASAP",IF(NETWORKDAYS.INTL(F1038,G1038,1,Table2[Dias no laborales]) &lt;= 7, "Dentro", IF(A1038&gt;F1038,"Programado","Fuera"))))</f>
        <v>Dentro</v>
      </c>
      <c r="K1038" s="6" t="str">
        <f t="shared" si="33"/>
        <v>A tiempo</v>
      </c>
      <c r="L1038" s="9">
        <v>45926</v>
      </c>
      <c r="M1038" s="17">
        <f>MAX(1,NETWORKDAYS(A1038,L1038,Table2[Dias no laborales]))</f>
        <v>1</v>
      </c>
    </row>
    <row r="1039" spans="1:13" hidden="1" x14ac:dyDescent="0.3">
      <c r="A1039" s="8">
        <v>45929</v>
      </c>
      <c r="B1039" s="6" t="s">
        <v>2110</v>
      </c>
      <c r="C1039" s="6" t="s">
        <v>2111</v>
      </c>
      <c r="D1039" s="6" t="s">
        <v>24</v>
      </c>
      <c r="E1039" s="14"/>
      <c r="F1039" s="8">
        <f>IF(HOUR(Table1[[#This Row],[CORREO]])&gt;=11,WORKDAY(Table1[[#This Row],[CORREO]],1,Table2[Dias no laborales]),E1039)</f>
        <v>0</v>
      </c>
      <c r="G1039" s="8">
        <v>45933</v>
      </c>
      <c r="H1039" s="6">
        <f t="shared" si="32"/>
        <v>39</v>
      </c>
      <c r="I1039" s="16">
        <f>MAX(1, NETWORKDAYS(A1039, G1039,Table2[Dias no laborales]))</f>
        <v>5</v>
      </c>
      <c r="J1039" s="6" t="str">
        <f>IF(Table1[[#This Row],[FIN]]="","Acumulado",IF(ISNUMBER(SEARCH("ASAP",C1039)),"ASAP",IF(NETWORKDAYS.INTL(F1039,G1039,1,Table2[Dias no laborales]) &lt;= 7, "Dentro", IF(A1039&gt;F1039,"Programado","Fuera"))))</f>
        <v>Programado</v>
      </c>
      <c r="K1039" s="6" t="str">
        <f t="shared" si="33"/>
        <v>Programados</v>
      </c>
      <c r="L1039" s="9">
        <v>45929</v>
      </c>
      <c r="M1039" s="17">
        <f>MAX(1,NETWORKDAYS(A1039,L1039,Table2[Dias no laborales]))</f>
        <v>1</v>
      </c>
    </row>
    <row r="1040" spans="1:13" hidden="1" x14ac:dyDescent="0.3">
      <c r="A1040" s="8">
        <v>45929</v>
      </c>
      <c r="B1040" s="6" t="s">
        <v>2185</v>
      </c>
      <c r="C1040" s="6" t="s">
        <v>2186</v>
      </c>
      <c r="D1040" s="6" t="s">
        <v>139</v>
      </c>
      <c r="E1040" s="14"/>
      <c r="F1040" s="8">
        <f>IF(HOUR(Table1[[#This Row],[CORREO]])&gt;=11,WORKDAY(Table1[[#This Row],[CORREO]],1,Table2[Dias no laborales]),E1040)</f>
        <v>0</v>
      </c>
      <c r="G1040" s="8">
        <v>45943</v>
      </c>
      <c r="H1040" s="6">
        <f t="shared" si="32"/>
        <v>39</v>
      </c>
      <c r="I1040" s="16">
        <f>MAX(1, NETWORKDAYS(A1040, G1040,Table2[Dias no laborales]))</f>
        <v>11</v>
      </c>
      <c r="J1040" s="6" t="str">
        <f>IF(Table1[[#This Row],[FIN]]="","Acumulado",IF(ISNUMBER(SEARCH("ASAP",C1040)),"ASAP",IF(NETWORKDAYS.INTL(F1040,G1040,1,Table2[Dias no laborales]) &lt;= 7, "Dentro", IF(A1040&gt;F1040,"Programado","Fuera"))))</f>
        <v>Programado</v>
      </c>
      <c r="K1040" s="6" t="str">
        <f t="shared" si="33"/>
        <v>Programados</v>
      </c>
      <c r="L1040" s="9">
        <v>45929</v>
      </c>
      <c r="M1040" s="17">
        <f>MAX(1,NETWORKDAYS(A1040,L1040,Table2[Dias no laborales]))</f>
        <v>1</v>
      </c>
    </row>
    <row r="1041" spans="1:13" hidden="1" x14ac:dyDescent="0.3">
      <c r="A1041" s="8">
        <v>45929</v>
      </c>
      <c r="B1041" s="6" t="s">
        <v>2076</v>
      </c>
      <c r="C1041" s="6" t="s">
        <v>2077</v>
      </c>
      <c r="D1041" s="6" t="s">
        <v>1360</v>
      </c>
      <c r="E1041" s="14">
        <v>45929.359722222223</v>
      </c>
      <c r="F1041" s="8">
        <f>IF(HOUR(Table1[[#This Row],[CORREO]])&gt;=11,WORKDAY(Table1[[#This Row],[CORREO]],1,Table2[Dias no laborales]),E1041)</f>
        <v>45929.359722222223</v>
      </c>
      <c r="G1041" s="8">
        <v>45930</v>
      </c>
      <c r="H1041" s="6">
        <f t="shared" si="32"/>
        <v>39</v>
      </c>
      <c r="I1041" s="16">
        <f>MAX(1, NETWORKDAYS(A1041, G1041,Table2[Dias no laborales]))</f>
        <v>2</v>
      </c>
      <c r="J1041" s="6" t="str">
        <f>IF(Table1[[#This Row],[FIN]]="","Acumulado",IF(ISNUMBER(SEARCH("ASAP",C1041)),"ASAP",IF(NETWORKDAYS.INTL(F1041,G1041,1,Table2[Dias no laborales]) &lt;= 7, "Dentro", IF(A1041&gt;F1041,"Programado","Fuera"))))</f>
        <v>Dentro</v>
      </c>
      <c r="K1041" s="6" t="str">
        <f t="shared" si="33"/>
        <v>A tiempo</v>
      </c>
      <c r="L1041" s="9">
        <v>45929</v>
      </c>
      <c r="M1041" s="17">
        <f>MAX(1,NETWORKDAYS(A1041,L1041,Table2[Dias no laborales]))</f>
        <v>1</v>
      </c>
    </row>
    <row r="1042" spans="1:13" hidden="1" x14ac:dyDescent="0.3">
      <c r="A1042" s="8">
        <v>45929</v>
      </c>
      <c r="B1042" s="6" t="s">
        <v>2090</v>
      </c>
      <c r="C1042" s="6" t="s">
        <v>2091</v>
      </c>
      <c r="D1042" s="6" t="s">
        <v>517</v>
      </c>
      <c r="E1042" s="14"/>
      <c r="F1042" s="8">
        <f>IF(HOUR(Table1[[#This Row],[CORREO]])&gt;=11,WORKDAY(Table1[[#This Row],[CORREO]],1,Table2[Dias no laborales]),E1042)</f>
        <v>0</v>
      </c>
      <c r="G1042" s="8">
        <v>46078</v>
      </c>
      <c r="H1042" s="6">
        <f t="shared" si="32"/>
        <v>39</v>
      </c>
      <c r="I1042" s="16">
        <f>MAX(1, NETWORKDAYS(A1042, G1042,Table2[Dias no laborales]))</f>
        <v>102</v>
      </c>
      <c r="J1042" s="6" t="str">
        <f>IF(Table1[[#This Row],[FIN]]="","Acumulado",IF(ISNUMBER(SEARCH("ASAP",C1042)),"ASAP",IF(NETWORKDAYS.INTL(F1042,G1042,1,Table2[Dias no laborales]) &lt;= 7, "Dentro", IF(A1042&gt;F1042,"Programado","Fuera"))))</f>
        <v>Programado</v>
      </c>
      <c r="K1042" s="6" t="str">
        <f t="shared" si="33"/>
        <v>Programados</v>
      </c>
      <c r="L1042" s="9">
        <v>45929</v>
      </c>
      <c r="M1042" s="17">
        <f>MAX(1,NETWORKDAYS(A1042,L1042,Table2[Dias no laborales]))</f>
        <v>1</v>
      </c>
    </row>
    <row r="1043" spans="1:13" hidden="1" x14ac:dyDescent="0.3">
      <c r="A1043" s="8">
        <v>45929</v>
      </c>
      <c r="B1043" s="6" t="s">
        <v>2092</v>
      </c>
      <c r="C1043" s="6" t="s">
        <v>2093</v>
      </c>
      <c r="D1043" s="6" t="s">
        <v>1360</v>
      </c>
      <c r="E1043" s="14">
        <v>45929.428472222222</v>
      </c>
      <c r="F1043" s="8">
        <f>IF(HOUR(Table1[[#This Row],[CORREO]])&gt;=11,WORKDAY(Table1[[#This Row],[CORREO]],1,Table2[Dias no laborales]),E1043)</f>
        <v>45929.428472222222</v>
      </c>
      <c r="G1043" s="8">
        <v>45968</v>
      </c>
      <c r="H1043" s="6">
        <f t="shared" si="32"/>
        <v>39</v>
      </c>
      <c r="I1043" s="16">
        <f>MAX(1, NETWORKDAYS(A1043, G1043,Table2[Dias no laborales]))</f>
        <v>30</v>
      </c>
      <c r="J1043" s="6" t="str">
        <f>IF(Table1[[#This Row],[FIN]]="","Acumulado",IF(ISNUMBER(SEARCH("ASAP",C1043)),"ASAP",IF(NETWORKDAYS.INTL(F1043,G1043,1,Table2[Dias no laborales]) &lt;= 7, "Dentro", IF(A1043&gt;F1043,"Programado","Fuera"))))</f>
        <v>Fuera</v>
      </c>
      <c r="K1043" s="6" t="str">
        <f t="shared" si="33"/>
        <v>A tiempo</v>
      </c>
      <c r="L1043" s="9">
        <v>45929</v>
      </c>
      <c r="M1043" s="17">
        <f>MAX(1,NETWORKDAYS(A1043,L1043,Table2[Dias no laborales]))</f>
        <v>1</v>
      </c>
    </row>
    <row r="1044" spans="1:13" hidden="1" x14ac:dyDescent="0.3">
      <c r="A1044" s="12">
        <v>45929</v>
      </c>
      <c r="B1044" s="6" t="s">
        <v>2073</v>
      </c>
      <c r="C1044" s="6" t="s">
        <v>634</v>
      </c>
      <c r="D1044" s="6" t="s">
        <v>133</v>
      </c>
      <c r="E1044" s="14">
        <v>45929.46875</v>
      </c>
      <c r="F1044" s="12">
        <f>IF(HOUR(Table1[[#This Row],[CORREO]])&gt;=11,WORKDAY(Table1[[#This Row],[CORREO]],1,Table2[Dias no laborales]),E1044)</f>
        <v>45930</v>
      </c>
      <c r="G1044" s="8">
        <v>45929</v>
      </c>
      <c r="H1044" s="16">
        <f t="shared" si="32"/>
        <v>39</v>
      </c>
      <c r="I1044" s="16">
        <f>MAX(1, NETWORKDAYS(A1044, G1044,Table2[Dias no laborales]))</f>
        <v>1</v>
      </c>
      <c r="J1044" s="6" t="str">
        <f>IF(Table1[[#This Row],[FIN]]="","Acumulado",IF(ISNUMBER(SEARCH("ASAP",C1044)),"ASAP",IF(NETWORKDAYS.INTL(F1044,G1044,1,Table2[Dias no laborales]) &lt;= 7, "Dentro", IF(A1044&gt;F1044,"Programado","Fuera"))))</f>
        <v>Dentro</v>
      </c>
      <c r="K1044" s="16" t="str">
        <f t="shared" si="33"/>
        <v>Mismo día</v>
      </c>
      <c r="L1044" s="9">
        <v>45929</v>
      </c>
      <c r="M1044" s="18">
        <f>MAX(1,NETWORKDAYS(A1044,L1044,Table2[Dias no laborales]))</f>
        <v>1</v>
      </c>
    </row>
    <row r="1045" spans="1:13" hidden="1" x14ac:dyDescent="0.3">
      <c r="A1045" s="8">
        <v>45929</v>
      </c>
      <c r="B1045" s="6" t="s">
        <v>2067</v>
      </c>
      <c r="C1045" s="6" t="s">
        <v>2068</v>
      </c>
      <c r="D1045" s="6" t="s">
        <v>15</v>
      </c>
      <c r="E1045" s="14"/>
      <c r="F1045" s="8">
        <f>IF(HOUR(Table1[[#This Row],[CORREO]])&gt;=11,WORKDAY(Table1[[#This Row],[CORREO]],1,Table2[Dias no laborales]),E1045)</f>
        <v>0</v>
      </c>
      <c r="G1045" s="11">
        <v>45929</v>
      </c>
      <c r="H1045" s="6">
        <f t="shared" si="32"/>
        <v>39</v>
      </c>
      <c r="I1045" s="16">
        <f>MAX(1, NETWORKDAYS(A1045, G1045,Table2[Dias no laborales]))</f>
        <v>1</v>
      </c>
      <c r="J1045" s="6" t="str">
        <f>IF(Table1[[#This Row],[FIN]]="","Acumulado",IF(ISNUMBER(SEARCH("ASAP",C1045)),"ASAP",IF(NETWORKDAYS.INTL(F1045,G1045,1,Table2[Dias no laborales]) &lt;= 7, "Dentro", IF(A1045&gt;F1045,"Programado","Fuera"))))</f>
        <v>ASAP</v>
      </c>
      <c r="K1045" s="6" t="str">
        <f t="shared" si="33"/>
        <v>Programados</v>
      </c>
      <c r="L1045" s="9">
        <v>45929</v>
      </c>
      <c r="M1045" s="17">
        <f>MAX(1,NETWORKDAYS(A1045,L1045,Table2[Dias no laborales]))</f>
        <v>1</v>
      </c>
    </row>
    <row r="1046" spans="1:13" hidden="1" x14ac:dyDescent="0.3">
      <c r="A1046" s="8">
        <v>45930</v>
      </c>
      <c r="B1046" s="6" t="s">
        <v>2094</v>
      </c>
      <c r="C1046" s="6" t="s">
        <v>2095</v>
      </c>
      <c r="D1046" s="6" t="s">
        <v>1291</v>
      </c>
      <c r="E1046" s="14">
        <v>45967</v>
      </c>
      <c r="F1046" s="8">
        <f>IF(HOUR(Table1[[#This Row],[CORREO]])&gt;=11,WORKDAY(Table1[[#This Row],[CORREO]],1,Table2[Dias no laborales]),E1046)</f>
        <v>45967</v>
      </c>
      <c r="G1046" s="11">
        <v>45967</v>
      </c>
      <c r="H1046" s="6">
        <f t="shared" si="32"/>
        <v>39</v>
      </c>
      <c r="I1046" s="16">
        <f>MAX(1, NETWORKDAYS(A1046, G1046,Table2[Dias no laborales]))</f>
        <v>28</v>
      </c>
      <c r="J1046" s="6" t="str">
        <f>IF(Table1[[#This Row],[FIN]]="","Acumulado",IF(ISNUMBER(SEARCH("ASAP",C1046)),"ASAP",IF(NETWORKDAYS.INTL(F1046,G1046,1,Table2[Dias no laborales]) &lt;= 7, "Dentro", IF(A1046&gt;F1046,"Programado","Fuera"))))</f>
        <v>Dentro</v>
      </c>
      <c r="K1046" s="6" t="str">
        <f t="shared" si="33"/>
        <v>Mismo día</v>
      </c>
      <c r="L1046" s="9">
        <v>45930</v>
      </c>
      <c r="M1046" s="17">
        <f>MAX(1,NETWORKDAYS(A1046,L1046,Table2[Dias no laborales]))</f>
        <v>1</v>
      </c>
    </row>
    <row r="1047" spans="1:13" hidden="1" x14ac:dyDescent="0.3">
      <c r="A1047" s="8">
        <v>45930</v>
      </c>
      <c r="B1047" s="6" t="s">
        <v>2193</v>
      </c>
      <c r="C1047" s="6" t="s">
        <v>2194</v>
      </c>
      <c r="D1047" s="6" t="s">
        <v>24</v>
      </c>
      <c r="E1047" s="14"/>
      <c r="F1047" s="8">
        <f>IF(HOUR(Table1[[#This Row],[CORREO]])&gt;=11,WORKDAY(Table1[[#This Row],[CORREO]],1,Table2[Dias no laborales]),E1047)</f>
        <v>0</v>
      </c>
      <c r="G1047" s="11">
        <v>45944</v>
      </c>
      <c r="H1047" s="6">
        <f t="shared" si="32"/>
        <v>39</v>
      </c>
      <c r="I1047" s="16">
        <f>MAX(1, NETWORKDAYS(A1047, G1047,Table2[Dias no laborales]))</f>
        <v>11</v>
      </c>
      <c r="J1047" s="6" t="str">
        <f>IF(Table1[[#This Row],[FIN]]="","Acumulado",IF(ISNUMBER(SEARCH("ASAP",C1047)),"ASAP",IF(NETWORKDAYS.INTL(F1047,G1047,1,Table2[Dias no laborales]) &lt;= 7, "Dentro", IF(A1047&gt;F1047,"Programado","Fuera"))))</f>
        <v>Programado</v>
      </c>
      <c r="K1047" s="6" t="str">
        <f t="shared" si="33"/>
        <v>Programados</v>
      </c>
      <c r="L1047" s="9">
        <v>45930</v>
      </c>
      <c r="M1047" s="17">
        <f>MAX(1,NETWORKDAYS(A1047,L1047,Table2[Dias no laborales]))</f>
        <v>1</v>
      </c>
    </row>
    <row r="1048" spans="1:13" hidden="1" x14ac:dyDescent="0.3">
      <c r="A1048" s="8">
        <v>45931</v>
      </c>
      <c r="B1048" s="6" t="s">
        <v>2096</v>
      </c>
      <c r="C1048" s="6" t="s">
        <v>2097</v>
      </c>
      <c r="D1048" s="6" t="s">
        <v>269</v>
      </c>
      <c r="E1048" s="14">
        <v>45931.381944444445</v>
      </c>
      <c r="F1048" s="8">
        <f>IF(HOUR(Table1[[#This Row],[CORREO]])&gt;=11,WORKDAY(Table1[[#This Row],[CORREO]],1,Table2[Dias no laborales]),E1048)</f>
        <v>45931.381944444445</v>
      </c>
      <c r="G1048" s="11">
        <v>45931</v>
      </c>
      <c r="H1048" s="6">
        <f t="shared" si="32"/>
        <v>40</v>
      </c>
      <c r="I1048" s="16">
        <f>MAX(1, NETWORKDAYS(A1048, G1048,Table2[Dias no laborales]))</f>
        <v>1</v>
      </c>
      <c r="J1048" s="6" t="str">
        <f>IF(Table1[[#This Row],[FIN]]="","Acumulado",IF(ISNUMBER(SEARCH("ASAP",C1048)),"ASAP",IF(NETWORKDAYS.INTL(F1048,G1048,1,Table2[Dias no laborales]) &lt;= 7, "Dentro", IF(A1048&gt;F1048,"Programado","Fuera"))))</f>
        <v>Dentro</v>
      </c>
      <c r="K1048" s="6" t="str">
        <f t="shared" si="33"/>
        <v>A tiempo</v>
      </c>
      <c r="L1048" s="9">
        <v>45931</v>
      </c>
      <c r="M1048" s="17">
        <f>MAX(1,NETWORKDAYS(A1048,L1048,Table2[Dias no laborales]))</f>
        <v>1</v>
      </c>
    </row>
    <row r="1049" spans="1:13" hidden="1" x14ac:dyDescent="0.3">
      <c r="A1049" s="8">
        <v>45931</v>
      </c>
      <c r="B1049" s="6" t="s">
        <v>2246</v>
      </c>
      <c r="C1049" s="6" t="s">
        <v>2247</v>
      </c>
      <c r="D1049" s="6" t="s">
        <v>27</v>
      </c>
      <c r="E1049" s="14"/>
      <c r="F1049" s="8">
        <f>IF(HOUR(Table1[[#This Row],[CORREO]])&gt;=11,WORKDAY(Table1[[#This Row],[CORREO]],1,Table2[Dias no laborales]),E1049)</f>
        <v>0</v>
      </c>
      <c r="G1049" s="11">
        <v>45953</v>
      </c>
      <c r="H1049" s="6">
        <f t="shared" si="32"/>
        <v>40</v>
      </c>
      <c r="I1049" s="16">
        <f>MAX(1, NETWORKDAYS(A1049, G1049,Table2[Dias no laborales]))</f>
        <v>17</v>
      </c>
      <c r="J1049" s="6" t="str">
        <f>IF(Table1[[#This Row],[FIN]]="","Acumulado",IF(ISNUMBER(SEARCH("ASAP",C1049)),"ASAP",IF(NETWORKDAYS.INTL(F1049,G1049,1,Table2[Dias no laborales]) &lt;= 7, "Dentro", IF(A1049&gt;F1049,"Programado","Fuera"))))</f>
        <v>Programado</v>
      </c>
      <c r="K1049" s="6" t="str">
        <f t="shared" si="33"/>
        <v>Programados</v>
      </c>
      <c r="L1049" s="9">
        <v>45931</v>
      </c>
      <c r="M1049" s="17">
        <f>MAX(1,NETWORKDAYS(A1049,L1049,Table2[Dias no laborales]))</f>
        <v>1</v>
      </c>
    </row>
    <row r="1050" spans="1:13" hidden="1" x14ac:dyDescent="0.3">
      <c r="A1050" s="8">
        <v>45931</v>
      </c>
      <c r="B1050" s="6" t="s">
        <v>2134</v>
      </c>
      <c r="C1050" s="6" t="s">
        <v>2135</v>
      </c>
      <c r="D1050" s="6" t="s">
        <v>24</v>
      </c>
      <c r="E1050" s="14">
        <v>45931.417361111111</v>
      </c>
      <c r="F1050" s="8">
        <f>IF(HOUR(Table1[[#This Row],[CORREO]])&gt;=11,WORKDAY(Table1[[#This Row],[CORREO]],1,Table2[Dias no laborales]),E1050)</f>
        <v>45931.417361111111</v>
      </c>
      <c r="G1050" s="11">
        <v>45938</v>
      </c>
      <c r="H1050" s="6">
        <f t="shared" si="32"/>
        <v>40</v>
      </c>
      <c r="I1050" s="16">
        <f>MAX(1, NETWORKDAYS(A1050, G1050,Table2[Dias no laborales]))</f>
        <v>6</v>
      </c>
      <c r="J1050" s="6" t="str">
        <f>IF(Table1[[#This Row],[FIN]]="","Acumulado",IF(ISNUMBER(SEARCH("ASAP",C1050)),"ASAP",IF(NETWORKDAYS.INTL(F1050,G1050,1,Table2[Dias no laborales]) &lt;= 7, "Dentro", IF(A1050&gt;F1050,"Programado","Fuera"))))</f>
        <v>Dentro</v>
      </c>
      <c r="K1050" s="6" t="str">
        <f t="shared" si="33"/>
        <v>A tiempo</v>
      </c>
      <c r="L1050" s="9">
        <v>45931</v>
      </c>
      <c r="M1050" s="17">
        <f>MAX(1,NETWORKDAYS(A1050,L1050,Table2[Dias no laborales]))</f>
        <v>1</v>
      </c>
    </row>
    <row r="1051" spans="1:13" hidden="1" x14ac:dyDescent="0.3">
      <c r="A1051" s="8">
        <v>45931</v>
      </c>
      <c r="B1051" s="6" t="s">
        <v>2106</v>
      </c>
      <c r="C1051" s="6" t="s">
        <v>2107</v>
      </c>
      <c r="D1051" s="6" t="s">
        <v>61</v>
      </c>
      <c r="E1051" s="14">
        <v>45931.436805555553</v>
      </c>
      <c r="F1051" s="8">
        <f>IF(HOUR(Table1[[#This Row],[CORREO]])&gt;=11,WORKDAY(Table1[[#This Row],[CORREO]],1,Table2[Dias no laborales]),E1051)</f>
        <v>45931.436805555553</v>
      </c>
      <c r="G1051" s="11">
        <v>45932</v>
      </c>
      <c r="H1051" s="6">
        <f t="shared" si="32"/>
        <v>40</v>
      </c>
      <c r="I1051" s="16">
        <f>MAX(1, NETWORKDAYS(A1051, G1051,Table2[Dias no laborales]))</f>
        <v>2</v>
      </c>
      <c r="J1051" s="6" t="str">
        <f>IF(Table1[[#This Row],[FIN]]="","Acumulado",IF(ISNUMBER(SEARCH("ASAP",C1051)),"ASAP",IF(NETWORKDAYS.INTL(F1051,G1051,1,Table2[Dias no laborales]) &lt;= 7, "Dentro", IF(A1051&gt;F1051,"Programado","Fuera"))))</f>
        <v>Dentro</v>
      </c>
      <c r="K1051" s="6" t="str">
        <f t="shared" si="33"/>
        <v>A tiempo</v>
      </c>
      <c r="L1051" s="9">
        <v>45931</v>
      </c>
      <c r="M1051" s="17">
        <f>MAX(1,NETWORKDAYS(A1051,L1051,Table2[Dias no laborales]))</f>
        <v>1</v>
      </c>
    </row>
    <row r="1052" spans="1:13" hidden="1" x14ac:dyDescent="0.3">
      <c r="A1052" s="8">
        <v>45932</v>
      </c>
      <c r="B1052" s="6" t="s">
        <v>2114</v>
      </c>
      <c r="C1052" s="6" t="s">
        <v>807</v>
      </c>
      <c r="D1052" s="6" t="s">
        <v>119</v>
      </c>
      <c r="E1052" s="14">
        <v>45931.459027777775</v>
      </c>
      <c r="F1052" s="8">
        <f>IF(HOUR(Table1[[#This Row],[CORREO]])&gt;=11,WORKDAY(Table1[[#This Row],[CORREO]],1,Table2[Dias no laborales]),E1052)</f>
        <v>45932</v>
      </c>
      <c r="G1052" s="11">
        <v>45933</v>
      </c>
      <c r="H1052" s="6">
        <f t="shared" si="32"/>
        <v>40</v>
      </c>
      <c r="I1052" s="16">
        <f>MAX(1, NETWORKDAYS(A1052, G1052,Table2[Dias no laborales]))</f>
        <v>2</v>
      </c>
      <c r="J1052" s="6" t="str">
        <f>IF(Table1[[#This Row],[FIN]]="","Acumulado",IF(ISNUMBER(SEARCH("ASAP",C1052)),"ASAP",IF(NETWORKDAYS.INTL(F1052,G1052,1,Table2[Dias no laborales]) &lt;= 7, "Dentro", IF(A1052&gt;F1052,"Programado","Fuera"))))</f>
        <v>Dentro</v>
      </c>
      <c r="K1052" s="6" t="str">
        <f t="shared" si="33"/>
        <v>A tiempo</v>
      </c>
      <c r="L1052" s="9">
        <v>45932</v>
      </c>
      <c r="M1052" s="17">
        <f>MAX(1,NETWORKDAYS(A1052,L1052,Table2[Dias no laborales]))</f>
        <v>1</v>
      </c>
    </row>
    <row r="1053" spans="1:13" hidden="1" x14ac:dyDescent="0.3">
      <c r="A1053" s="8">
        <v>45932</v>
      </c>
      <c r="B1053" s="6" t="s">
        <v>2233</v>
      </c>
      <c r="C1053" s="6" t="s">
        <v>2234</v>
      </c>
      <c r="D1053" s="6" t="s">
        <v>24</v>
      </c>
      <c r="E1053" s="14"/>
      <c r="F1053" s="8">
        <f>IF(HOUR(Table1[[#This Row],[CORREO]])&gt;=11,WORKDAY(Table1[[#This Row],[CORREO]],1,Table2[Dias no laborales]),E1053)</f>
        <v>0</v>
      </c>
      <c r="G1053" s="11">
        <v>45950</v>
      </c>
      <c r="H1053" s="6">
        <f t="shared" si="32"/>
        <v>40</v>
      </c>
      <c r="I1053" s="16">
        <f>MAX(1, NETWORKDAYS(A1053, G1053,Table2[Dias no laborales]))</f>
        <v>13</v>
      </c>
      <c r="J1053" s="6" t="str">
        <f>IF(Table1[[#This Row],[FIN]]="","Acumulado",IF(ISNUMBER(SEARCH("ASAP",C1053)),"ASAP",IF(NETWORKDAYS.INTL(F1053,G1053,1,Table2[Dias no laborales]) &lt;= 7, "Dentro", IF(A1053&gt;F1053,"Programado","Fuera"))))</f>
        <v>Programado</v>
      </c>
      <c r="K1053" s="6" t="str">
        <f t="shared" si="33"/>
        <v>Programados</v>
      </c>
      <c r="L1053" s="9">
        <v>45932</v>
      </c>
      <c r="M1053" s="17">
        <f>MAX(1,NETWORKDAYS(A1053,L1053,Table2[Dias no laborales]))</f>
        <v>1</v>
      </c>
    </row>
    <row r="1054" spans="1:13" hidden="1" x14ac:dyDescent="0.3">
      <c r="A1054" s="8">
        <v>45932</v>
      </c>
      <c r="B1054" s="6" t="s">
        <v>2102</v>
      </c>
      <c r="C1054" s="6" t="s">
        <v>2103</v>
      </c>
      <c r="D1054" s="6" t="s">
        <v>1675</v>
      </c>
      <c r="E1054" s="14">
        <v>45932.365972222222</v>
      </c>
      <c r="F1054" s="8">
        <f>IF(HOUR(Table1[[#This Row],[CORREO]])&gt;=11,WORKDAY(Table1[[#This Row],[CORREO]],1,Table2[Dias no laborales]),E1054)</f>
        <v>45932.365972222222</v>
      </c>
      <c r="G1054" s="11">
        <v>45932</v>
      </c>
      <c r="H1054" s="6">
        <f t="shared" si="32"/>
        <v>40</v>
      </c>
      <c r="I1054" s="16">
        <f>MAX(1, NETWORKDAYS(A1054, G1054,Table2[Dias no laborales]))</f>
        <v>1</v>
      </c>
      <c r="J1054" s="6" t="str">
        <f>IF(Table1[[#This Row],[FIN]]="","Acumulado",IF(ISNUMBER(SEARCH("ASAP",C1054)),"ASAP",IF(NETWORKDAYS.INTL(F1054,G1054,1,Table2[Dias no laborales]) &lt;= 7, "Dentro", IF(A1054&gt;F1054,"Programado","Fuera"))))</f>
        <v>Dentro</v>
      </c>
      <c r="K1054" s="6" t="str">
        <f t="shared" si="33"/>
        <v>A tiempo</v>
      </c>
      <c r="L1054" s="9">
        <v>45932</v>
      </c>
      <c r="M1054" s="17">
        <f>MAX(1,NETWORKDAYS(A1054,L1054,Table2[Dias no laborales]))</f>
        <v>1</v>
      </c>
    </row>
    <row r="1055" spans="1:13" hidden="1" x14ac:dyDescent="0.3">
      <c r="A1055" s="8">
        <v>45938</v>
      </c>
      <c r="B1055" s="6" t="s">
        <v>2397</v>
      </c>
      <c r="C1055" s="6" t="s">
        <v>2398</v>
      </c>
      <c r="D1055" s="6" t="s">
        <v>139</v>
      </c>
      <c r="E1055" s="14"/>
      <c r="F1055" s="8">
        <f>IF(HOUR(Table1[[#This Row],[CORREO]])&gt;=11,WORKDAY(Table1[[#This Row],[CORREO]],1,Table2[Dias no laborales]),E1055)</f>
        <v>0</v>
      </c>
      <c r="G1055" s="11">
        <v>45972</v>
      </c>
      <c r="H1055" s="6">
        <f t="shared" si="32"/>
        <v>41</v>
      </c>
      <c r="I1055" s="16">
        <f>MAX(1, NETWORKDAYS(A1055, G1055,Table2[Dias no laborales]))</f>
        <v>25</v>
      </c>
      <c r="J1055" s="6" t="str">
        <f>IF(Table1[[#This Row],[FIN]]="","Acumulado",IF(ISNUMBER(SEARCH("ASAP",C1055)),"ASAP",IF(NETWORKDAYS.INTL(F1055,G1055,1,Table2[Dias no laborales]) &lt;= 7, "Dentro", IF(A1055&gt;F1055,"Programado","Fuera"))))</f>
        <v>Programado</v>
      </c>
      <c r="K1055" s="6" t="str">
        <f t="shared" si="33"/>
        <v>Programados</v>
      </c>
      <c r="L1055" s="9">
        <v>45938</v>
      </c>
      <c r="M1055" s="17">
        <f>MAX(1,NETWORKDAYS(A1055,L1055,Table2[Dias no laborales]))</f>
        <v>1</v>
      </c>
    </row>
    <row r="1056" spans="1:13" hidden="1" x14ac:dyDescent="0.3">
      <c r="A1056" s="8">
        <v>45933</v>
      </c>
      <c r="B1056" s="6" t="s">
        <v>2108</v>
      </c>
      <c r="C1056" s="6" t="s">
        <v>2109</v>
      </c>
      <c r="D1056" s="6" t="s">
        <v>24</v>
      </c>
      <c r="E1056" s="14"/>
      <c r="F1056" s="8">
        <f>IF(HOUR(Table1[[#This Row],[CORREO]])&gt;=11,WORKDAY(Table1[[#This Row],[CORREO]],1,Table2[Dias no laborales]),E1056)</f>
        <v>0</v>
      </c>
      <c r="G1056" s="11">
        <v>45933</v>
      </c>
      <c r="H1056" s="6">
        <f t="shared" si="32"/>
        <v>40</v>
      </c>
      <c r="I1056" s="16">
        <f>MAX(1, NETWORKDAYS(A1056, G1056,Table2[Dias no laborales]))</f>
        <v>1</v>
      </c>
      <c r="J1056" s="6" t="str">
        <f>IF(Table1[[#This Row],[FIN]]="","Acumulado",IF(ISNUMBER(SEARCH("ASAP",C1056)),"ASAP",IF(NETWORKDAYS.INTL(F1056,G1056,1,Table2[Dias no laborales]) &lt;= 7, "Dentro", IF(A1056&gt;F1056,"Programado","Fuera"))))</f>
        <v>Programado</v>
      </c>
      <c r="K1056" s="6" t="str">
        <f t="shared" si="33"/>
        <v>Programados</v>
      </c>
      <c r="L1056" s="9">
        <v>45933</v>
      </c>
      <c r="M1056" s="17">
        <f>MAX(1,NETWORKDAYS(A1056,L1056,Table2[Dias no laborales]))</f>
        <v>1</v>
      </c>
    </row>
    <row r="1057" spans="1:13" hidden="1" x14ac:dyDescent="0.3">
      <c r="A1057" s="8">
        <v>45933</v>
      </c>
      <c r="B1057" s="6" t="s">
        <v>2216</v>
      </c>
      <c r="C1057" s="6" t="s">
        <v>2217</v>
      </c>
      <c r="D1057" s="6" t="s">
        <v>27</v>
      </c>
      <c r="E1057" s="14"/>
      <c r="F1057" s="8">
        <f>IF(HOUR(Table1[[#This Row],[CORREO]])&gt;=11,WORKDAY(Table1[[#This Row],[CORREO]],1,Table2[Dias no laborales]),E1057)</f>
        <v>0</v>
      </c>
      <c r="G1057" s="11">
        <v>45946</v>
      </c>
      <c r="H1057" s="6">
        <f t="shared" si="32"/>
        <v>40</v>
      </c>
      <c r="I1057" s="16">
        <f>MAX(1, NETWORKDAYS(A1057, G1057,Table2[Dias no laborales]))</f>
        <v>10</v>
      </c>
      <c r="J1057" s="6" t="str">
        <f>IF(Table1[[#This Row],[FIN]]="","Acumulado",IF(ISNUMBER(SEARCH("ASAP",C1057)),"ASAP",IF(NETWORKDAYS.INTL(F1057,G1057,1,Table2[Dias no laborales]) &lt;= 7, "Dentro", IF(A1057&gt;F1057,"Programado","Fuera"))))</f>
        <v>Programado</v>
      </c>
      <c r="K1057" s="6" t="str">
        <f t="shared" si="33"/>
        <v>Programados</v>
      </c>
      <c r="L1057" s="9">
        <v>45933</v>
      </c>
      <c r="M1057" s="17">
        <f>MAX(1,NETWORKDAYS(A1057,L1057,Table2[Dias no laborales]))</f>
        <v>1</v>
      </c>
    </row>
    <row r="1058" spans="1:13" hidden="1" x14ac:dyDescent="0.3">
      <c r="A1058" s="8">
        <v>45933</v>
      </c>
      <c r="B1058" s="6" t="s">
        <v>2175</v>
      </c>
      <c r="C1058" s="6" t="s">
        <v>2176</v>
      </c>
      <c r="D1058" s="6" t="s">
        <v>27</v>
      </c>
      <c r="E1058" s="14"/>
      <c r="F1058" s="8">
        <f>IF(HOUR(Table1[[#This Row],[CORREO]])&gt;=11,WORKDAY(Table1[[#This Row],[CORREO]],1,Table2[Dias no laborales]),E1058)</f>
        <v>0</v>
      </c>
      <c r="G1058" s="11">
        <v>45943</v>
      </c>
      <c r="H1058" s="6">
        <f t="shared" si="32"/>
        <v>40</v>
      </c>
      <c r="I1058" s="16">
        <f>MAX(1, NETWORKDAYS(A1058, G1058,Table2[Dias no laborales]))</f>
        <v>7</v>
      </c>
      <c r="J1058" s="6" t="str">
        <f>IF(Table1[[#This Row],[FIN]]="","Acumulado",IF(ISNUMBER(SEARCH("ASAP",C1058)),"ASAP",IF(NETWORKDAYS.INTL(F1058,G1058,1,Table2[Dias no laborales]) &lt;= 7, "Dentro", IF(A1058&gt;F1058,"Programado","Fuera"))))</f>
        <v>Programado</v>
      </c>
      <c r="K1058" s="6" t="str">
        <f t="shared" si="33"/>
        <v>Programados</v>
      </c>
      <c r="L1058" s="9">
        <v>45933</v>
      </c>
      <c r="M1058" s="17">
        <f>MAX(1,NETWORKDAYS(A1058,L1058,Table2[Dias no laborales]))</f>
        <v>1</v>
      </c>
    </row>
    <row r="1059" spans="1:13" hidden="1" x14ac:dyDescent="0.3">
      <c r="A1059" s="8">
        <v>45933</v>
      </c>
      <c r="B1059" s="6" t="s">
        <v>2177</v>
      </c>
      <c r="C1059" s="6" t="s">
        <v>2178</v>
      </c>
      <c r="D1059" s="6" t="s">
        <v>27</v>
      </c>
      <c r="E1059" s="14"/>
      <c r="F1059" s="8">
        <f>IF(HOUR(Table1[[#This Row],[CORREO]])&gt;=11,WORKDAY(Table1[[#This Row],[CORREO]],1,Table2[Dias no laborales]),E1059)</f>
        <v>0</v>
      </c>
      <c r="G1059" s="11">
        <v>45943</v>
      </c>
      <c r="H1059" s="6">
        <f t="shared" si="32"/>
        <v>40</v>
      </c>
      <c r="I1059" s="16">
        <f>MAX(1, NETWORKDAYS(A1059, G1059,Table2[Dias no laborales]))</f>
        <v>7</v>
      </c>
      <c r="J1059" s="6" t="str">
        <f>IF(Table1[[#This Row],[FIN]]="","Acumulado",IF(ISNUMBER(SEARCH("ASAP",C1059)),"ASAP",IF(NETWORKDAYS.INTL(F1059,G1059,1,Table2[Dias no laborales]) &lt;= 7, "Dentro", IF(A1059&gt;F1059,"Programado","Fuera"))))</f>
        <v>Programado</v>
      </c>
      <c r="K1059" s="6" t="str">
        <f t="shared" si="33"/>
        <v>Programados</v>
      </c>
      <c r="L1059" s="9">
        <v>45933</v>
      </c>
      <c r="M1059" s="17">
        <f>MAX(1,NETWORKDAYS(A1059,L1059,Table2[Dias no laborales]))</f>
        <v>1</v>
      </c>
    </row>
    <row r="1060" spans="1:13" hidden="1" x14ac:dyDescent="0.3">
      <c r="A1060" s="8">
        <v>45933</v>
      </c>
      <c r="B1060" s="6" t="s">
        <v>2179</v>
      </c>
      <c r="C1060" s="6" t="s">
        <v>2180</v>
      </c>
      <c r="D1060" s="6" t="s">
        <v>27</v>
      </c>
      <c r="E1060" s="14"/>
      <c r="F1060" s="8">
        <f>IF(HOUR(Table1[[#This Row],[CORREO]])&gt;=11,WORKDAY(Table1[[#This Row],[CORREO]],1,Table2[Dias no laborales]),E1060)</f>
        <v>0</v>
      </c>
      <c r="G1060" s="11">
        <v>45943</v>
      </c>
      <c r="H1060" s="6">
        <f t="shared" si="32"/>
        <v>40</v>
      </c>
      <c r="I1060" s="16">
        <f>MAX(1, NETWORKDAYS(A1060, G1060,Table2[Dias no laborales]))</f>
        <v>7</v>
      </c>
      <c r="J1060" s="6" t="str">
        <f>IF(Table1[[#This Row],[FIN]]="","Acumulado",IF(ISNUMBER(SEARCH("ASAP",C1060)),"ASAP",IF(NETWORKDAYS.INTL(F1060,G1060,1,Table2[Dias no laborales]) &lt;= 7, "Dentro", IF(A1060&gt;F1060,"Programado","Fuera"))))</f>
        <v>Programado</v>
      </c>
      <c r="K1060" s="6" t="str">
        <f t="shared" si="33"/>
        <v>Programados</v>
      </c>
      <c r="L1060" s="9">
        <v>45933</v>
      </c>
      <c r="M1060" s="17">
        <f>MAX(1,NETWORKDAYS(A1060,L1060,Table2[Dias no laborales]))</f>
        <v>1</v>
      </c>
    </row>
    <row r="1061" spans="1:13" hidden="1" x14ac:dyDescent="0.3">
      <c r="A1061" s="8">
        <v>45933</v>
      </c>
      <c r="B1061" s="6" t="s">
        <v>2181</v>
      </c>
      <c r="C1061" s="6" t="s">
        <v>2182</v>
      </c>
      <c r="D1061" s="6" t="s">
        <v>27</v>
      </c>
      <c r="E1061" s="14"/>
      <c r="F1061" s="8">
        <f>IF(HOUR(Table1[[#This Row],[CORREO]])&gt;=11,WORKDAY(Table1[[#This Row],[CORREO]],1,Table2[Dias no laborales]),E1061)</f>
        <v>0</v>
      </c>
      <c r="G1061" s="11">
        <v>45943</v>
      </c>
      <c r="H1061" s="6">
        <f t="shared" si="32"/>
        <v>40</v>
      </c>
      <c r="I1061" s="16">
        <f>MAX(1, NETWORKDAYS(A1061, G1061,Table2[Dias no laborales]))</f>
        <v>7</v>
      </c>
      <c r="J1061" s="6" t="str">
        <f>IF(Table1[[#This Row],[FIN]]="","Acumulado",IF(ISNUMBER(SEARCH("ASAP",C1061)),"ASAP",IF(NETWORKDAYS.INTL(F1061,G1061,1,Table2[Dias no laborales]) &lt;= 7, "Dentro", IF(A1061&gt;F1061,"Programado","Fuera"))))</f>
        <v>Programado</v>
      </c>
      <c r="K1061" s="6" t="str">
        <f t="shared" si="33"/>
        <v>Programados</v>
      </c>
      <c r="L1061" s="9">
        <v>45933</v>
      </c>
      <c r="M1061" s="17">
        <f>MAX(1,NETWORKDAYS(A1061,L1061,Table2[Dias no laborales]))</f>
        <v>1</v>
      </c>
    </row>
    <row r="1062" spans="1:13" hidden="1" x14ac:dyDescent="0.3">
      <c r="A1062" s="8">
        <v>45936</v>
      </c>
      <c r="B1062" s="6" t="s">
        <v>2158</v>
      </c>
      <c r="C1062" s="6" t="s">
        <v>2159</v>
      </c>
      <c r="D1062" s="6" t="s">
        <v>24</v>
      </c>
      <c r="E1062" s="14"/>
      <c r="F1062" s="8">
        <f>IF(HOUR(Table1[[#This Row],[CORREO]])&gt;=11,WORKDAY(Table1[[#This Row],[CORREO]],1,Table2[Dias no laborales]),E1062)</f>
        <v>0</v>
      </c>
      <c r="G1062" s="11">
        <v>45940</v>
      </c>
      <c r="H1062" s="6">
        <f t="shared" si="32"/>
        <v>40</v>
      </c>
      <c r="I1062" s="16">
        <f>MAX(1, NETWORKDAYS(A1062, G1062,Table2[Dias no laborales]))</f>
        <v>5</v>
      </c>
      <c r="J1062" s="6" t="str">
        <f>IF(Table1[[#This Row],[FIN]]="","Acumulado",IF(ISNUMBER(SEARCH("ASAP",C1062)),"ASAP",IF(NETWORKDAYS.INTL(F1062,G1062,1,Table2[Dias no laborales]) &lt;= 7, "Dentro", IF(A1062&gt;F1062,"Programado","Fuera"))))</f>
        <v>Programado</v>
      </c>
      <c r="K1062" s="6" t="str">
        <f t="shared" si="33"/>
        <v>Programados</v>
      </c>
      <c r="L1062" s="9">
        <v>45936</v>
      </c>
      <c r="M1062" s="17">
        <f>MAX(1,NETWORKDAYS(A1062,L1062,Table2[Dias no laborales]))</f>
        <v>1</v>
      </c>
    </row>
    <row r="1063" spans="1:13" hidden="1" x14ac:dyDescent="0.3">
      <c r="A1063" s="8">
        <v>45936</v>
      </c>
      <c r="B1063" s="6" t="s">
        <v>2127</v>
      </c>
      <c r="C1063" s="6" t="s">
        <v>2128</v>
      </c>
      <c r="D1063" s="6" t="s">
        <v>1726</v>
      </c>
      <c r="E1063" s="14">
        <v>45936.34097222222</v>
      </c>
      <c r="F1063" s="8">
        <f>IF(HOUR(Table1[[#This Row],[CORREO]])&gt;=11,WORKDAY(Table1[[#This Row],[CORREO]],1,Table2[Dias no laborales]),E1063)</f>
        <v>45936.34097222222</v>
      </c>
      <c r="G1063" s="11">
        <v>45937</v>
      </c>
      <c r="H1063" s="6">
        <f t="shared" si="32"/>
        <v>40</v>
      </c>
      <c r="I1063" s="16">
        <f>MAX(1, NETWORKDAYS(A1063, G1063,Table2[Dias no laborales]))</f>
        <v>2</v>
      </c>
      <c r="J1063" s="6" t="str">
        <f>IF(Table1[[#This Row],[FIN]]="","Acumulado",IF(ISNUMBER(SEARCH("ASAP",C1063)),"ASAP",IF(NETWORKDAYS.INTL(F1063,G1063,1,Table2[Dias no laborales]) &lt;= 7, "Dentro", IF(A1063&gt;F1063,"Programado","Fuera"))))</f>
        <v>Dentro</v>
      </c>
      <c r="K1063" s="6" t="str">
        <f t="shared" si="33"/>
        <v>A tiempo</v>
      </c>
      <c r="L1063" s="9">
        <v>45936</v>
      </c>
      <c r="M1063" s="17">
        <f>MAX(1,NETWORKDAYS(A1063,L1063,Table2[Dias no laborales]))</f>
        <v>1</v>
      </c>
    </row>
    <row r="1064" spans="1:13" hidden="1" x14ac:dyDescent="0.3">
      <c r="A1064" s="8">
        <v>45936</v>
      </c>
      <c r="B1064" s="6" t="s">
        <v>2168</v>
      </c>
      <c r="C1064" s="6" t="s">
        <v>2169</v>
      </c>
      <c r="D1064" s="6" t="s">
        <v>27</v>
      </c>
      <c r="E1064" s="14">
        <v>45936.356249999997</v>
      </c>
      <c r="F1064" s="8">
        <f>IF(HOUR(Table1[[#This Row],[CORREO]])&gt;=11,WORKDAY(Table1[[#This Row],[CORREO]],1,Table2[Dias no laborales]),E1064)</f>
        <v>45936.356249999997</v>
      </c>
      <c r="G1064" s="11">
        <v>45940</v>
      </c>
      <c r="H1064" s="6">
        <f t="shared" si="32"/>
        <v>40</v>
      </c>
      <c r="I1064" s="16">
        <f>MAX(1, NETWORKDAYS(A1064, G1064,Table2[Dias no laborales]))</f>
        <v>5</v>
      </c>
      <c r="J1064" s="6" t="str">
        <f>IF(Table1[[#This Row],[FIN]]="","Acumulado",IF(ISNUMBER(SEARCH("ASAP",C1064)),"ASAP",IF(NETWORKDAYS.INTL(F1064,G1064,1,Table2[Dias no laborales]) &lt;= 7, "Dentro", IF(A1064&gt;F1064,"Programado","Fuera"))))</f>
        <v>Dentro</v>
      </c>
      <c r="K1064" s="6" t="str">
        <f t="shared" si="33"/>
        <v>A tiempo</v>
      </c>
      <c r="L1064" s="9">
        <v>45936</v>
      </c>
      <c r="M1064" s="17">
        <f>MAX(1,NETWORKDAYS(A1064,L1064,Table2[Dias no laborales]))</f>
        <v>1</v>
      </c>
    </row>
    <row r="1065" spans="1:13" hidden="1" x14ac:dyDescent="0.3">
      <c r="A1065" s="8">
        <v>45936</v>
      </c>
      <c r="B1065" s="6" t="s">
        <v>2212</v>
      </c>
      <c r="C1065" s="6" t="s">
        <v>2213</v>
      </c>
      <c r="D1065" s="6" t="s">
        <v>24</v>
      </c>
      <c r="E1065" s="14"/>
      <c r="F1065" s="8">
        <f>IF(HOUR(Table1[[#This Row],[CORREO]])&gt;=11,WORKDAY(Table1[[#This Row],[CORREO]],1,Table2[Dias no laborales]),E1065)</f>
        <v>0</v>
      </c>
      <c r="G1065" s="11">
        <v>45945</v>
      </c>
      <c r="H1065" s="6">
        <f t="shared" si="32"/>
        <v>40</v>
      </c>
      <c r="I1065" s="16">
        <f>MAX(1, NETWORKDAYS(A1065, G1065,Table2[Dias no laborales]))</f>
        <v>8</v>
      </c>
      <c r="J1065" s="6" t="str">
        <f>IF(Table1[[#This Row],[FIN]]="","Acumulado",IF(ISNUMBER(SEARCH("ASAP",C1065)),"ASAP",IF(NETWORKDAYS.INTL(F1065,G1065,1,Table2[Dias no laborales]) &lt;= 7, "Dentro", IF(A1065&gt;F1065,"Programado","Fuera"))))</f>
        <v>Programado</v>
      </c>
      <c r="K1065" s="6" t="str">
        <f t="shared" si="33"/>
        <v>Programados</v>
      </c>
      <c r="L1065" s="9">
        <v>45936</v>
      </c>
      <c r="M1065" s="17">
        <f>MAX(1,NETWORKDAYS(A1065,L1065,Table2[Dias no laborales]))</f>
        <v>1</v>
      </c>
    </row>
    <row r="1066" spans="1:13" hidden="1" x14ac:dyDescent="0.3">
      <c r="A1066" s="8">
        <v>45936</v>
      </c>
      <c r="B1066" s="6" t="s">
        <v>2121</v>
      </c>
      <c r="C1066" s="6" t="s">
        <v>2122</v>
      </c>
      <c r="D1066" s="6" t="s">
        <v>24</v>
      </c>
      <c r="E1066" s="14">
        <v>45936.400694444441</v>
      </c>
      <c r="F1066" s="8">
        <f>IF(HOUR(Table1[[#This Row],[CORREO]])&gt;=11,WORKDAY(Table1[[#This Row],[CORREO]],1,Table2[Dias no laborales]),E1066)</f>
        <v>45936.400694444441</v>
      </c>
      <c r="G1066" s="11">
        <v>45937</v>
      </c>
      <c r="H1066" s="6">
        <f t="shared" si="32"/>
        <v>40</v>
      </c>
      <c r="I1066" s="16">
        <f>MAX(1, NETWORKDAYS(A1066, G1066,Table2[Dias no laborales]))</f>
        <v>2</v>
      </c>
      <c r="J1066" s="6" t="str">
        <f>IF(Table1[[#This Row],[FIN]]="","Acumulado",IF(ISNUMBER(SEARCH("ASAP",C1066)),"ASAP",IF(NETWORKDAYS.INTL(F1066,G1066,1,Table2[Dias no laborales]) &lt;= 7, "Dentro", IF(A1066&gt;F1066,"Programado","Fuera"))))</f>
        <v>ASAP</v>
      </c>
      <c r="K1066" s="6" t="str">
        <f t="shared" si="33"/>
        <v>A tiempo</v>
      </c>
      <c r="L1066" s="9">
        <v>45936</v>
      </c>
      <c r="M1066" s="17">
        <f>MAX(1,NETWORKDAYS(A1066,L1066,Table2[Dias no laborales]))</f>
        <v>1</v>
      </c>
    </row>
    <row r="1067" spans="1:13" hidden="1" x14ac:dyDescent="0.3">
      <c r="A1067" s="8">
        <v>45936</v>
      </c>
      <c r="B1067" s="6" t="s">
        <v>2119</v>
      </c>
      <c r="C1067" s="6" t="s">
        <v>2120</v>
      </c>
      <c r="D1067" s="6" t="s">
        <v>42</v>
      </c>
      <c r="E1067" s="14">
        <v>45936.395138888889</v>
      </c>
      <c r="F1067" s="8">
        <f>IF(HOUR(Table1[[#This Row],[CORREO]])&gt;=11,WORKDAY(Table1[[#This Row],[CORREO]],1,Table2[Dias no laborales]),E1067)</f>
        <v>45936.395138888889</v>
      </c>
      <c r="G1067" s="11">
        <v>45937</v>
      </c>
      <c r="H1067" s="6">
        <f t="shared" si="32"/>
        <v>40</v>
      </c>
      <c r="I1067" s="16">
        <f>MAX(1, NETWORKDAYS(A1067, G1067,Table2[Dias no laborales]))</f>
        <v>2</v>
      </c>
      <c r="J1067" s="6" t="str">
        <f>IF(Table1[[#This Row],[FIN]]="","Acumulado",IF(ISNUMBER(SEARCH("ASAP",C1067)),"ASAP",IF(NETWORKDAYS.INTL(F1067,G1067,1,Table2[Dias no laborales]) &lt;= 7, "Dentro", IF(A1067&gt;F1067,"Programado","Fuera"))))</f>
        <v>Dentro</v>
      </c>
      <c r="K1067" s="6" t="str">
        <f t="shared" si="33"/>
        <v>A tiempo</v>
      </c>
      <c r="L1067" s="9">
        <v>45936</v>
      </c>
      <c r="M1067" s="17">
        <f>MAX(1,NETWORKDAYS(A1067,L1067,Table2[Dias no laborales]))</f>
        <v>1</v>
      </c>
    </row>
    <row r="1068" spans="1:13" hidden="1" x14ac:dyDescent="0.3">
      <c r="A1068" s="8">
        <v>45936</v>
      </c>
      <c r="B1068" s="6" t="s">
        <v>2341</v>
      </c>
      <c r="C1068" s="6" t="s">
        <v>2342</v>
      </c>
      <c r="D1068" s="6" t="s">
        <v>586</v>
      </c>
      <c r="E1068" s="14"/>
      <c r="F1068" s="8">
        <f>IF(HOUR(Table1[[#This Row],[CORREO]])&gt;=11,WORKDAY(Table1[[#This Row],[CORREO]],1,Table2[Dias no laborales]),E1068)</f>
        <v>0</v>
      </c>
      <c r="G1068" s="11">
        <v>45964</v>
      </c>
      <c r="H1068" s="6">
        <f t="shared" si="32"/>
        <v>40</v>
      </c>
      <c r="I1068" s="16">
        <f>MAX(1, NETWORKDAYS(A1068, G1068,Table2[Dias no laborales]))</f>
        <v>21</v>
      </c>
      <c r="J1068" s="6" t="str">
        <f>IF(Table1[[#This Row],[FIN]]="","Acumulado",IF(ISNUMBER(SEARCH("ASAP",C1068)),"ASAP",IF(NETWORKDAYS.INTL(F1068,G1068,1,Table2[Dias no laborales]) &lt;= 7, "Dentro", IF(A1068&gt;F1068,"Programado","Fuera"))))</f>
        <v>Programado</v>
      </c>
      <c r="K1068" s="6" t="str">
        <f t="shared" si="33"/>
        <v>Programados</v>
      </c>
      <c r="L1068" s="9">
        <v>45937</v>
      </c>
      <c r="M1068" s="17">
        <f>MAX(1,NETWORKDAYS(A1068,L1068,Table2[Dias no laborales]))</f>
        <v>2</v>
      </c>
    </row>
    <row r="1069" spans="1:13" hidden="1" x14ac:dyDescent="0.3">
      <c r="A1069" s="8">
        <v>45936</v>
      </c>
      <c r="B1069" s="6" t="s">
        <v>2132</v>
      </c>
      <c r="C1069" s="6" t="s">
        <v>2133</v>
      </c>
      <c r="D1069" s="6" t="s">
        <v>27</v>
      </c>
      <c r="E1069" s="14">
        <v>45936.413194444445</v>
      </c>
      <c r="F1069" s="8">
        <f>IF(HOUR(Table1[[#This Row],[CORREO]])&gt;=11,WORKDAY(Table1[[#This Row],[CORREO]],1,Table2[Dias no laborales]),E1069)</f>
        <v>45936.413194444445</v>
      </c>
      <c r="G1069" s="11">
        <v>45938</v>
      </c>
      <c r="H1069" s="6">
        <f t="shared" si="32"/>
        <v>40</v>
      </c>
      <c r="I1069" s="16">
        <f>MAX(1, NETWORKDAYS(A1069, G1069,Table2[Dias no laborales]))</f>
        <v>3</v>
      </c>
      <c r="J1069" s="6" t="str">
        <f>IF(Table1[[#This Row],[FIN]]="","Acumulado",IF(ISNUMBER(SEARCH("ASAP",C1069)),"ASAP",IF(NETWORKDAYS.INTL(F1069,G1069,1,Table2[Dias no laborales]) &lt;= 7, "Dentro", IF(A1069&gt;F1069,"Programado","Fuera"))))</f>
        <v>Dentro</v>
      </c>
      <c r="K1069" s="6" t="str">
        <f t="shared" si="33"/>
        <v>A tiempo</v>
      </c>
      <c r="L1069" s="9">
        <v>45938</v>
      </c>
      <c r="M1069" s="17">
        <f>MAX(1,NETWORKDAYS(A1069,L1069,Table2[Dias no laborales]))</f>
        <v>3</v>
      </c>
    </row>
    <row r="1070" spans="1:13" hidden="1" x14ac:dyDescent="0.3">
      <c r="A1070" s="8">
        <v>45936</v>
      </c>
      <c r="B1070" s="6" t="s">
        <v>2125</v>
      </c>
      <c r="C1070" s="6" t="s">
        <v>2126</v>
      </c>
      <c r="D1070" s="6" t="s">
        <v>89</v>
      </c>
      <c r="E1070" s="14">
        <v>45936.42083333333</v>
      </c>
      <c r="F1070" s="8">
        <f>IF(HOUR(Table1[[#This Row],[CORREO]])&gt;=11,WORKDAY(Table1[[#This Row],[CORREO]],1,Table2[Dias no laborales]),E1070)</f>
        <v>45936.42083333333</v>
      </c>
      <c r="G1070" s="11">
        <v>45937</v>
      </c>
      <c r="H1070" s="6">
        <f t="shared" si="32"/>
        <v>40</v>
      </c>
      <c r="I1070" s="16">
        <f>MAX(1, NETWORKDAYS(A1070, G1070,Table2[Dias no laborales]))</f>
        <v>2</v>
      </c>
      <c r="J1070" s="6" t="str">
        <f>IF(Table1[[#This Row],[FIN]]="","Acumulado",IF(ISNUMBER(SEARCH("ASAP",C1070)),"ASAP",IF(NETWORKDAYS.INTL(F1070,G1070,1,Table2[Dias no laborales]) &lt;= 7, "Dentro", IF(A1070&gt;F1070,"Programado","Fuera"))))</f>
        <v>Dentro</v>
      </c>
      <c r="K1070" s="6" t="str">
        <f t="shared" si="33"/>
        <v>A tiempo</v>
      </c>
      <c r="L1070" s="9">
        <v>45936</v>
      </c>
      <c r="M1070" s="17">
        <f>MAX(1,NETWORKDAYS(A1070,L1070,Table2[Dias no laborales]))</f>
        <v>1</v>
      </c>
    </row>
    <row r="1071" spans="1:13" hidden="1" x14ac:dyDescent="0.3">
      <c r="A1071" s="8">
        <v>45936</v>
      </c>
      <c r="B1071" s="6" t="s">
        <v>2142</v>
      </c>
      <c r="C1071" s="6" t="s">
        <v>2143</v>
      </c>
      <c r="D1071" s="6" t="s">
        <v>839</v>
      </c>
      <c r="E1071" s="14">
        <v>45936.429861111108</v>
      </c>
      <c r="F1071" s="8">
        <f>IF(HOUR(Table1[[#This Row],[CORREO]])&gt;=11,WORKDAY(Table1[[#This Row],[CORREO]],1,Table2[Dias no laborales]),E1071)</f>
        <v>45936.429861111108</v>
      </c>
      <c r="G1071" s="11">
        <v>45938</v>
      </c>
      <c r="H1071" s="6">
        <f t="shared" si="32"/>
        <v>40</v>
      </c>
      <c r="I1071" s="16">
        <f>MAX(1, NETWORKDAYS(A1071, G1071,Table2[Dias no laborales]))</f>
        <v>3</v>
      </c>
      <c r="J1071" s="6" t="str">
        <f>IF(Table1[[#This Row],[FIN]]="","Acumulado",IF(ISNUMBER(SEARCH("ASAP",C1071)),"ASAP",IF(NETWORKDAYS.INTL(F1071,G1071,1,Table2[Dias no laborales]) &lt;= 7, "Dentro", IF(A1071&gt;F1071,"Programado","Fuera"))))</f>
        <v>Dentro</v>
      </c>
      <c r="K1071" s="6" t="str">
        <f t="shared" si="33"/>
        <v>A tiempo</v>
      </c>
      <c r="L1071" s="9">
        <v>45936</v>
      </c>
      <c r="M1071" s="17">
        <f>MAX(1,NETWORKDAYS(A1071,L1071,Table2[Dias no laborales]))</f>
        <v>1</v>
      </c>
    </row>
    <row r="1072" spans="1:13" hidden="1" x14ac:dyDescent="0.3">
      <c r="A1072" s="8">
        <v>45936</v>
      </c>
      <c r="B1072" s="6" t="s">
        <v>2129</v>
      </c>
      <c r="C1072" s="6" t="s">
        <v>2130</v>
      </c>
      <c r="D1072" s="6" t="s">
        <v>1136</v>
      </c>
      <c r="E1072" s="14">
        <v>45936.461111111108</v>
      </c>
      <c r="F1072" s="8">
        <f>IF(HOUR(Table1[[#This Row],[CORREO]])&gt;=11,WORKDAY(Table1[[#This Row],[CORREO]],1,Table2[Dias no laborales]),E1072)</f>
        <v>45937</v>
      </c>
      <c r="G1072" s="11">
        <v>45937</v>
      </c>
      <c r="H1072" s="6">
        <f t="shared" si="32"/>
        <v>40</v>
      </c>
      <c r="I1072" s="16">
        <f>MAX(1, NETWORKDAYS(A1072, G1072,Table2[Dias no laborales]))</f>
        <v>2</v>
      </c>
      <c r="J1072" s="6" t="str">
        <f>IF(Table1[[#This Row],[FIN]]="","Acumulado",IF(ISNUMBER(SEARCH("ASAP",C1072)),"ASAP",IF(NETWORKDAYS.INTL(F1072,G1072,1,Table2[Dias no laborales]) &lt;= 7, "Dentro", IF(A1072&gt;F1072,"Programado","Fuera"))))</f>
        <v>Dentro</v>
      </c>
      <c r="K1072" s="6" t="str">
        <f t="shared" si="33"/>
        <v>Mismo día</v>
      </c>
      <c r="L1072" s="9">
        <v>45936</v>
      </c>
      <c r="M1072" s="17">
        <f>MAX(1,NETWORKDAYS(A1072,L1072,Table2[Dias no laborales]))</f>
        <v>1</v>
      </c>
    </row>
    <row r="1073" spans="1:13" hidden="1" x14ac:dyDescent="0.3">
      <c r="A1073" s="8">
        <v>45936</v>
      </c>
      <c r="B1073" s="6" t="s">
        <v>2140</v>
      </c>
      <c r="C1073" s="6" t="s">
        <v>2141</v>
      </c>
      <c r="D1073" s="6" t="s">
        <v>139</v>
      </c>
      <c r="E1073" s="14">
        <v>45936.439583333333</v>
      </c>
      <c r="F1073" s="8">
        <f>IF(HOUR(Table1[[#This Row],[CORREO]])&gt;=11,WORKDAY(Table1[[#This Row],[CORREO]],1,Table2[Dias no laborales]),E1073)</f>
        <v>45936.439583333333</v>
      </c>
      <c r="G1073" s="11">
        <v>45938</v>
      </c>
      <c r="H1073" s="6">
        <f t="shared" si="32"/>
        <v>40</v>
      </c>
      <c r="I1073" s="16">
        <f>MAX(1, NETWORKDAYS(A1073, G1073,Table2[Dias no laborales]))</f>
        <v>3</v>
      </c>
      <c r="J1073" s="6" t="str">
        <f>IF(Table1[[#This Row],[FIN]]="","Acumulado",IF(ISNUMBER(SEARCH("ASAP",C1073)),"ASAP",IF(NETWORKDAYS.INTL(F1073,G1073,1,Table2[Dias no laborales]) &lt;= 7, "Dentro", IF(A1073&gt;F1073,"Programado","Fuera"))))</f>
        <v>Dentro</v>
      </c>
      <c r="K1073" s="6" t="str">
        <f t="shared" si="33"/>
        <v>A tiempo</v>
      </c>
      <c r="L1073" s="9">
        <v>45936</v>
      </c>
      <c r="M1073" s="17">
        <f>MAX(1,NETWORKDAYS(A1073,L1073,Table2[Dias no laborales]))</f>
        <v>1</v>
      </c>
    </row>
    <row r="1074" spans="1:13" hidden="1" x14ac:dyDescent="0.3">
      <c r="A1074" s="8">
        <v>45936</v>
      </c>
      <c r="B1074" s="6" t="s">
        <v>2123</v>
      </c>
      <c r="C1074" s="6" t="s">
        <v>2124</v>
      </c>
      <c r="D1074" s="6" t="s">
        <v>504</v>
      </c>
      <c r="E1074" s="14">
        <v>45936.442361111112</v>
      </c>
      <c r="F1074" s="8">
        <f>IF(HOUR(Table1[[#This Row],[CORREO]])&gt;=11,WORKDAY(Table1[[#This Row],[CORREO]],1,Table2[Dias no laborales]),E1074)</f>
        <v>45936.442361111112</v>
      </c>
      <c r="G1074" s="11">
        <v>45937</v>
      </c>
      <c r="H1074" s="6">
        <f t="shared" si="32"/>
        <v>40</v>
      </c>
      <c r="I1074" s="16">
        <f>MAX(1, NETWORKDAYS(A1074, G1074,Table2[Dias no laborales]))</f>
        <v>2</v>
      </c>
      <c r="J1074" s="6" t="str">
        <f>IF(Table1[[#This Row],[FIN]]="","Acumulado",IF(ISNUMBER(SEARCH("ASAP",C1074)),"ASAP",IF(NETWORKDAYS.INTL(F1074,G1074,1,Table2[Dias no laborales]) &lt;= 7, "Dentro", IF(A1074&gt;F1074,"Programado","Fuera"))))</f>
        <v>Dentro</v>
      </c>
      <c r="K1074" s="6" t="str">
        <f t="shared" si="33"/>
        <v>A tiempo</v>
      </c>
      <c r="L1074" s="9">
        <v>45936</v>
      </c>
      <c r="M1074" s="17">
        <f>MAX(1,NETWORKDAYS(A1074,L1074,Table2[Dias no laborales]))</f>
        <v>1</v>
      </c>
    </row>
    <row r="1075" spans="1:13" hidden="1" x14ac:dyDescent="0.3">
      <c r="A1075" s="8">
        <v>45937</v>
      </c>
      <c r="B1075" s="6" t="s">
        <v>2138</v>
      </c>
      <c r="C1075" s="6" t="s">
        <v>2139</v>
      </c>
      <c r="D1075" s="6" t="s">
        <v>89</v>
      </c>
      <c r="E1075" s="14">
        <v>45936.522916666669</v>
      </c>
      <c r="F1075" s="8">
        <f>IF(HOUR(Table1[[#This Row],[CORREO]])&gt;=11,WORKDAY(Table1[[#This Row],[CORREO]],1,Table2[Dias no laborales]),E1075)</f>
        <v>45937</v>
      </c>
      <c r="G1075" s="11">
        <v>45938</v>
      </c>
      <c r="H1075" s="6">
        <f t="shared" si="32"/>
        <v>40</v>
      </c>
      <c r="I1075" s="16">
        <f>MAX(1, NETWORKDAYS(A1075, G1075,Table2[Dias no laborales]))</f>
        <v>2</v>
      </c>
      <c r="J1075" s="6" t="str">
        <f>IF(Table1[[#This Row],[FIN]]="","Acumulado",IF(ISNUMBER(SEARCH("ASAP",C1075)),"ASAP",IF(NETWORKDAYS.INTL(F1075,G1075,1,Table2[Dias no laborales]) &lt;= 7, "Dentro", IF(A1075&gt;F1075,"Programado","Fuera"))))</f>
        <v>Dentro</v>
      </c>
      <c r="K1075" s="6" t="str">
        <f t="shared" si="33"/>
        <v>A tiempo</v>
      </c>
      <c r="L1075" s="9">
        <v>45937</v>
      </c>
      <c r="M1075" s="17">
        <f>MAX(1,NETWORKDAYS(A1075,L1075,Table2[Dias no laborales]))</f>
        <v>1</v>
      </c>
    </row>
    <row r="1076" spans="1:13" hidden="1" x14ac:dyDescent="0.3">
      <c r="A1076" s="8">
        <v>45937</v>
      </c>
      <c r="B1076" s="6" t="s">
        <v>2183</v>
      </c>
      <c r="C1076" s="6" t="s">
        <v>2184</v>
      </c>
      <c r="D1076" s="6" t="s">
        <v>89</v>
      </c>
      <c r="E1076" s="14">
        <v>45936.523611111108</v>
      </c>
      <c r="F1076" s="8">
        <f>IF(HOUR(Table1[[#This Row],[CORREO]])&gt;=11,WORKDAY(Table1[[#This Row],[CORREO]],1,Table2[Dias no laborales]),E1076)</f>
        <v>45937</v>
      </c>
      <c r="G1076" s="11">
        <v>45943</v>
      </c>
      <c r="H1076" s="6">
        <f t="shared" si="32"/>
        <v>40</v>
      </c>
      <c r="I1076" s="16">
        <f>MAX(1, NETWORKDAYS(A1076, G1076,Table2[Dias no laborales]))</f>
        <v>5</v>
      </c>
      <c r="J1076" s="6" t="str">
        <f>IF(Table1[[#This Row],[FIN]]="","Acumulado",IF(ISNUMBER(SEARCH("ASAP",C1076)),"ASAP",IF(NETWORKDAYS.INTL(F1076,G1076,1,Table2[Dias no laborales]) &lt;= 7, "Dentro", IF(A1076&gt;F1076,"Programado","Fuera"))))</f>
        <v>Dentro</v>
      </c>
      <c r="K1076" s="6" t="str">
        <f t="shared" si="33"/>
        <v>A tiempo</v>
      </c>
      <c r="L1076" s="9">
        <v>45937</v>
      </c>
      <c r="M1076" s="17">
        <f>MAX(1,NETWORKDAYS(A1076,L1076,Table2[Dias no laborales]))</f>
        <v>1</v>
      </c>
    </row>
    <row r="1077" spans="1:13" hidden="1" x14ac:dyDescent="0.3">
      <c r="A1077" s="8">
        <v>45937</v>
      </c>
      <c r="B1077" s="6" t="s">
        <v>2131</v>
      </c>
      <c r="C1077" s="6" t="s">
        <v>634</v>
      </c>
      <c r="D1077" s="6" t="s">
        <v>133</v>
      </c>
      <c r="E1077" s="14">
        <v>45936.543055555558</v>
      </c>
      <c r="F1077" s="8">
        <f>IF(HOUR(Table1[[#This Row],[CORREO]])&gt;=11,WORKDAY(Table1[[#This Row],[CORREO]],1,Table2[Dias no laborales]),E1077)</f>
        <v>45937</v>
      </c>
      <c r="G1077" s="11">
        <v>45937</v>
      </c>
      <c r="H1077" s="6">
        <f t="shared" si="32"/>
        <v>40</v>
      </c>
      <c r="I1077" s="16">
        <f>MAX(1, NETWORKDAYS(A1077, G1077,Table2[Dias no laborales]))</f>
        <v>1</v>
      </c>
      <c r="J1077" s="6" t="str">
        <f>IF(Table1[[#This Row],[FIN]]="","Acumulado",IF(ISNUMBER(SEARCH("ASAP",C1077)),"ASAP",IF(NETWORKDAYS.INTL(F1077,G1077,1,Table2[Dias no laborales]) &lt;= 7, "Dentro", IF(A1077&gt;F1077,"Programado","Fuera"))))</f>
        <v>Dentro</v>
      </c>
      <c r="K1077" s="6" t="str">
        <f t="shared" si="33"/>
        <v>A tiempo</v>
      </c>
      <c r="L1077" s="9">
        <v>45937</v>
      </c>
      <c r="M1077" s="17">
        <f>MAX(1,NETWORKDAYS(A1077,L1077,Table2[Dias no laborales]))</f>
        <v>1</v>
      </c>
    </row>
    <row r="1078" spans="1:13" hidden="1" x14ac:dyDescent="0.3">
      <c r="A1078" s="8">
        <v>45937</v>
      </c>
      <c r="B1078" s="6" t="s">
        <v>2457</v>
      </c>
      <c r="C1078" s="6" t="s">
        <v>2458</v>
      </c>
      <c r="D1078" s="6" t="s">
        <v>372</v>
      </c>
      <c r="E1078" s="14">
        <v>45936.548611111109</v>
      </c>
      <c r="F1078" s="8">
        <f>IF(HOUR(Table1[[#This Row],[CORREO]])&gt;=11,WORKDAY(Table1[[#This Row],[CORREO]],1,Table2[Dias no laborales]),E1078)</f>
        <v>45937</v>
      </c>
      <c r="G1078" s="11">
        <v>45975</v>
      </c>
      <c r="H1078" s="6">
        <f t="shared" si="32"/>
        <v>40</v>
      </c>
      <c r="I1078" s="16">
        <f>MAX(1, NETWORKDAYS(A1078, G1078,Table2[Dias no laborales]))</f>
        <v>29</v>
      </c>
      <c r="J1078" s="6" t="str">
        <f>IF(Table1[[#This Row],[FIN]]="","Acumulado",IF(ISNUMBER(SEARCH("ASAP",C1078)),"ASAP",IF(NETWORKDAYS.INTL(F1078,G1078,1,Table2[Dias no laborales]) &lt;= 7, "Dentro", IF(A1078&gt;F1078,"Programado","Fuera"))))</f>
        <v>Fuera</v>
      </c>
      <c r="K1078" s="6" t="str">
        <f t="shared" si="33"/>
        <v>A tiempo</v>
      </c>
      <c r="L1078" s="9">
        <v>45938</v>
      </c>
      <c r="M1078" s="17">
        <f>MAX(1,NETWORKDAYS(A1078,L1078,Table2[Dias no laborales]))</f>
        <v>2</v>
      </c>
    </row>
    <row r="1079" spans="1:13" hidden="1" x14ac:dyDescent="0.3">
      <c r="A1079" s="8">
        <v>45937</v>
      </c>
      <c r="B1079" s="6" t="s">
        <v>2349</v>
      </c>
      <c r="C1079" s="6" t="s">
        <v>676</v>
      </c>
      <c r="D1079" s="6" t="s">
        <v>2167</v>
      </c>
      <c r="E1079" s="14">
        <v>45936.588194444441</v>
      </c>
      <c r="F1079" s="8">
        <f>IF(HOUR(Table1[[#This Row],[CORREO]])&gt;=11,WORKDAY(Table1[[#This Row],[CORREO]],1,Table2[Dias no laborales]),E1079)</f>
        <v>45937</v>
      </c>
      <c r="G1079" s="11">
        <v>45965</v>
      </c>
      <c r="H1079" s="6">
        <f t="shared" si="32"/>
        <v>40</v>
      </c>
      <c r="I1079" s="16">
        <f>MAX(1, NETWORKDAYS(A1079, G1079,Table2[Dias no laborales]))</f>
        <v>21</v>
      </c>
      <c r="J1079" s="6" t="str">
        <f>IF(Table1[[#This Row],[FIN]]="","Acumulado",IF(ISNUMBER(SEARCH("ASAP",C1079)),"ASAP",IF(NETWORKDAYS.INTL(F1079,G1079,1,Table2[Dias no laborales]) &lt;= 7, "Dentro", IF(A1079&gt;F1079,"Programado","Fuera"))))</f>
        <v>Fuera</v>
      </c>
      <c r="K1079" s="6" t="str">
        <f t="shared" si="33"/>
        <v>A tiempo</v>
      </c>
      <c r="L1079" s="9">
        <v>45937</v>
      </c>
      <c r="M1079" s="17">
        <f>MAX(1,NETWORKDAYS(A1079,L1079,Table2[Dias no laborales]))</f>
        <v>1</v>
      </c>
    </row>
    <row r="1080" spans="1:13" hidden="1" x14ac:dyDescent="0.3">
      <c r="A1080" s="8">
        <v>45937</v>
      </c>
      <c r="B1080" s="6" t="s">
        <v>2220</v>
      </c>
      <c r="C1080" s="6" t="s">
        <v>2221</v>
      </c>
      <c r="D1080" s="6" t="s">
        <v>108</v>
      </c>
      <c r="E1080" s="14">
        <v>45936.604166666664</v>
      </c>
      <c r="F1080" s="8">
        <f>IF(HOUR(Table1[[#This Row],[CORREO]])&gt;=11,WORKDAY(Table1[[#This Row],[CORREO]],1,Table2[Dias no laborales]),E1080)</f>
        <v>45937</v>
      </c>
      <c r="G1080" s="11">
        <v>45946</v>
      </c>
      <c r="H1080" s="6">
        <f t="shared" si="32"/>
        <v>40</v>
      </c>
      <c r="I1080" s="16">
        <f>MAX(1, NETWORKDAYS(A1080, G1080,Table2[Dias no laborales]))</f>
        <v>8</v>
      </c>
      <c r="J1080" s="6" t="str">
        <f>IF(Table1[[#This Row],[FIN]]="","Acumulado",IF(ISNUMBER(SEARCH("ASAP",C1080)),"ASAP",IF(NETWORKDAYS.INTL(F1080,G1080,1,Table2[Dias no laborales]) &lt;= 7, "Dentro", IF(A1080&gt;F1080,"Programado","Fuera"))))</f>
        <v>Fuera</v>
      </c>
      <c r="K1080" s="6" t="str">
        <f t="shared" si="33"/>
        <v>A tiempo</v>
      </c>
      <c r="L1080" s="9">
        <v>45937</v>
      </c>
      <c r="M1080" s="17">
        <f>MAX(1,NETWORKDAYS(A1080,L1080,Table2[Dias no laborales]))</f>
        <v>1</v>
      </c>
    </row>
    <row r="1081" spans="1:13" hidden="1" x14ac:dyDescent="0.3">
      <c r="A1081" s="8">
        <v>45937</v>
      </c>
      <c r="B1081" s="6" t="s">
        <v>2197</v>
      </c>
      <c r="C1081" s="6" t="s">
        <v>2198</v>
      </c>
      <c r="D1081" s="6" t="s">
        <v>24</v>
      </c>
      <c r="E1081" s="14">
        <v>45936.645833333336</v>
      </c>
      <c r="F1081" s="8">
        <f>IF(HOUR(Table1[[#This Row],[CORREO]])&gt;=11,WORKDAY(Table1[[#This Row],[CORREO]],1,Table2[Dias no laborales]),E1081)</f>
        <v>45937</v>
      </c>
      <c r="G1081" s="11">
        <v>45944</v>
      </c>
      <c r="H1081" s="6">
        <f t="shared" si="32"/>
        <v>40</v>
      </c>
      <c r="I1081" s="16">
        <f>MAX(1, NETWORKDAYS(A1081, G1081,Table2[Dias no laborales]))</f>
        <v>6</v>
      </c>
      <c r="J1081" s="6" t="str">
        <f>IF(Table1[[#This Row],[FIN]]="","Acumulado",IF(ISNUMBER(SEARCH("ASAP",C1081)),"ASAP",IF(NETWORKDAYS.INTL(F1081,G1081,1,Table2[Dias no laborales]) &lt;= 7, "Dentro", IF(A1081&gt;F1081,"Programado","Fuera"))))</f>
        <v>Dentro</v>
      </c>
      <c r="K1081" s="6" t="str">
        <f t="shared" si="33"/>
        <v>A tiempo</v>
      </c>
      <c r="L1081" s="9">
        <v>45937</v>
      </c>
      <c r="M1081" s="17">
        <f>MAX(1,NETWORKDAYS(A1081,L1081,Table2[Dias no laborales]))</f>
        <v>1</v>
      </c>
    </row>
    <row r="1082" spans="1:13" hidden="1" x14ac:dyDescent="0.3">
      <c r="A1082" s="8">
        <v>45937</v>
      </c>
      <c r="B1082" s="6" t="s">
        <v>2152</v>
      </c>
      <c r="C1082" s="6" t="s">
        <v>2153</v>
      </c>
      <c r="D1082" s="6" t="s">
        <v>53</v>
      </c>
      <c r="E1082" s="14">
        <v>45936.714583333334</v>
      </c>
      <c r="F1082" s="8">
        <f>IF(HOUR(Table1[[#This Row],[CORREO]])&gt;=11,WORKDAY(Table1[[#This Row],[CORREO]],1,Table2[Dias no laborales]),E1082)</f>
        <v>45937</v>
      </c>
      <c r="G1082" s="11">
        <v>45939</v>
      </c>
      <c r="H1082" s="6">
        <f t="shared" si="32"/>
        <v>40</v>
      </c>
      <c r="I1082" s="16">
        <f>MAX(1, NETWORKDAYS(A1082, G1082,Table2[Dias no laborales]))</f>
        <v>3</v>
      </c>
      <c r="J1082" s="6" t="str">
        <f>IF(Table1[[#This Row],[FIN]]="","Acumulado",IF(ISNUMBER(SEARCH("ASAP",C1082)),"ASAP",IF(NETWORKDAYS.INTL(F1082,G1082,1,Table2[Dias no laborales]) &lt;= 7, "Dentro", IF(A1082&gt;F1082,"Programado","Fuera"))))</f>
        <v>Dentro</v>
      </c>
      <c r="K1082" s="6" t="str">
        <f t="shared" si="33"/>
        <v>A tiempo</v>
      </c>
      <c r="L1082" s="9">
        <v>45937</v>
      </c>
      <c r="M1082" s="17">
        <f>MAX(1,NETWORKDAYS(A1082,L1082,Table2[Dias no laborales]))</f>
        <v>1</v>
      </c>
    </row>
    <row r="1083" spans="1:13" hidden="1" x14ac:dyDescent="0.3">
      <c r="A1083" s="8">
        <v>45937</v>
      </c>
      <c r="B1083" s="6" t="s">
        <v>2136</v>
      </c>
      <c r="C1083" s="6" t="s">
        <v>2137</v>
      </c>
      <c r="D1083" s="6" t="s">
        <v>191</v>
      </c>
      <c r="E1083" s="14">
        <v>45937.298611111109</v>
      </c>
      <c r="F1083" s="8">
        <f>IF(HOUR(Table1[[#This Row],[CORREO]])&gt;=11,WORKDAY(Table1[[#This Row],[CORREO]],1,Table2[Dias no laborales]),E1083)</f>
        <v>45937.298611111109</v>
      </c>
      <c r="G1083" s="11">
        <v>45938</v>
      </c>
      <c r="H1083" s="6">
        <f t="shared" si="32"/>
        <v>40</v>
      </c>
      <c r="I1083" s="16">
        <f>MAX(1, NETWORKDAYS(A1083, G1083,Table2[Dias no laborales]))</f>
        <v>2</v>
      </c>
      <c r="J1083" s="6" t="str">
        <f>IF(Table1[[#This Row],[FIN]]="","Acumulado",IF(ISNUMBER(SEARCH("ASAP",C1083)),"ASAP",IF(NETWORKDAYS.INTL(F1083,G1083,1,Table2[Dias no laborales]) &lt;= 7, "Dentro", IF(A1083&gt;F1083,"Programado","Fuera"))))</f>
        <v>Dentro</v>
      </c>
      <c r="K1083" s="6" t="str">
        <f t="shared" si="33"/>
        <v>A tiempo</v>
      </c>
      <c r="L1083" s="9">
        <v>45937</v>
      </c>
      <c r="M1083" s="17">
        <f>MAX(1,NETWORKDAYS(A1083,L1083,Table2[Dias no laborales]))</f>
        <v>1</v>
      </c>
    </row>
    <row r="1084" spans="1:13" hidden="1" x14ac:dyDescent="0.3">
      <c r="A1084" s="8">
        <v>45938</v>
      </c>
      <c r="B1084" s="6" t="s">
        <v>2150</v>
      </c>
      <c r="C1084" s="6" t="s">
        <v>2151</v>
      </c>
      <c r="D1084" s="6" t="s">
        <v>623</v>
      </c>
      <c r="E1084" s="14">
        <v>45937.547222222223</v>
      </c>
      <c r="F1084" s="8">
        <f>IF(HOUR(Table1[[#This Row],[CORREO]])&gt;=11,WORKDAY(Table1[[#This Row],[CORREO]],1,Table2[Dias no laborales]),E1084)</f>
        <v>45938</v>
      </c>
      <c r="G1084" s="11">
        <v>45939</v>
      </c>
      <c r="H1084" s="6">
        <f t="shared" si="32"/>
        <v>41</v>
      </c>
      <c r="I1084" s="16">
        <f>MAX(1, NETWORKDAYS(A1084, G1084,Table2[Dias no laborales]))</f>
        <v>2</v>
      </c>
      <c r="J1084" s="6" t="str">
        <f>IF(Table1[[#This Row],[FIN]]="","Acumulado",IF(ISNUMBER(SEARCH("ASAP",C1084)),"ASAP",IF(NETWORKDAYS.INTL(F1084,G1084,1,Table2[Dias no laborales]) &lt;= 7, "Dentro", IF(A1084&gt;F1084,"Programado","Fuera"))))</f>
        <v>Dentro</v>
      </c>
      <c r="K1084" s="6" t="str">
        <f t="shared" si="33"/>
        <v>A tiempo</v>
      </c>
      <c r="L1084" s="9">
        <v>45938</v>
      </c>
      <c r="M1084" s="17">
        <f>MAX(1,NETWORKDAYS(A1084,L1084,Table2[Dias no laborales]))</f>
        <v>1</v>
      </c>
    </row>
    <row r="1085" spans="1:13" hidden="1" x14ac:dyDescent="0.3">
      <c r="A1085" s="8">
        <v>45938</v>
      </c>
      <c r="B1085" s="6" t="s">
        <v>2144</v>
      </c>
      <c r="C1085" s="6" t="s">
        <v>2145</v>
      </c>
      <c r="D1085" s="6" t="s">
        <v>1333</v>
      </c>
      <c r="E1085" s="14">
        <v>45937.683333333334</v>
      </c>
      <c r="F1085" s="8">
        <f>IF(HOUR(Table1[[#This Row],[CORREO]])&gt;=11,WORKDAY(Table1[[#This Row],[CORREO]],1,Table2[Dias no laborales]),E1085)</f>
        <v>45938</v>
      </c>
      <c r="G1085" s="11">
        <v>45938</v>
      </c>
      <c r="H1085" s="6">
        <f t="shared" si="32"/>
        <v>41</v>
      </c>
      <c r="I1085" s="16">
        <f>MAX(1, NETWORKDAYS(A1085, G1085,Table2[Dias no laborales]))</f>
        <v>1</v>
      </c>
      <c r="J1085" s="6" t="str">
        <f>IF(Table1[[#This Row],[FIN]]="","Acumulado",IF(ISNUMBER(SEARCH("ASAP",C1085)),"ASAP",IF(NETWORKDAYS.INTL(F1085,G1085,1,Table2[Dias no laborales]) &lt;= 7, "Dentro", IF(A1085&gt;F1085,"Programado","Fuera"))))</f>
        <v>Dentro</v>
      </c>
      <c r="K1085" s="6" t="str">
        <f t="shared" si="33"/>
        <v>A tiempo</v>
      </c>
      <c r="L1085" s="9">
        <v>45938</v>
      </c>
      <c r="M1085" s="17">
        <f>MAX(1,NETWORKDAYS(A1085,L1085,Table2[Dias no laborales]))</f>
        <v>1</v>
      </c>
    </row>
    <row r="1086" spans="1:13" hidden="1" x14ac:dyDescent="0.3">
      <c r="A1086" s="8">
        <v>45938</v>
      </c>
      <c r="B1086" s="6" t="s">
        <v>2218</v>
      </c>
      <c r="C1086" s="6" t="s">
        <v>2219</v>
      </c>
      <c r="D1086" s="6" t="s">
        <v>27</v>
      </c>
      <c r="E1086" s="14"/>
      <c r="F1086" s="8">
        <f>IF(HOUR(Table1[[#This Row],[CORREO]])&gt;=11,WORKDAY(Table1[[#This Row],[CORREO]],1,Table2[Dias no laborales]),E1086)</f>
        <v>0</v>
      </c>
      <c r="G1086" s="11">
        <v>45946</v>
      </c>
      <c r="H1086" s="6">
        <f t="shared" si="32"/>
        <v>41</v>
      </c>
      <c r="I1086" s="16">
        <f>MAX(1, NETWORKDAYS(A1086, G1086,Table2[Dias no laborales]))</f>
        <v>7</v>
      </c>
      <c r="J1086" s="6" t="str">
        <f>IF(Table1[[#This Row],[FIN]]="","Acumulado",IF(ISNUMBER(SEARCH("ASAP",C1086)),"ASAP",IF(NETWORKDAYS.INTL(F1086,G1086,1,Table2[Dias no laborales]) &lt;= 7, "Dentro", IF(A1086&gt;F1086,"Programado","Fuera"))))</f>
        <v>Programado</v>
      </c>
      <c r="K1086" s="6" t="str">
        <f t="shared" si="33"/>
        <v>Programados</v>
      </c>
      <c r="L1086" s="9">
        <v>45938</v>
      </c>
      <c r="M1086" s="17">
        <f>MAX(1,NETWORKDAYS(A1086,L1086,Table2[Dias no laborales]))</f>
        <v>1</v>
      </c>
    </row>
    <row r="1087" spans="1:13" hidden="1" x14ac:dyDescent="0.3">
      <c r="A1087" s="8">
        <v>45938</v>
      </c>
      <c r="B1087" s="6" t="s">
        <v>2148</v>
      </c>
      <c r="C1087" s="6" t="s">
        <v>2149</v>
      </c>
      <c r="D1087" s="6" t="s">
        <v>119</v>
      </c>
      <c r="E1087" s="14"/>
      <c r="F1087" s="8">
        <f>IF(HOUR(Table1[[#This Row],[CORREO]])&gt;=11,WORKDAY(Table1[[#This Row],[CORREO]],1,Table2[Dias no laborales]),E1087)</f>
        <v>0</v>
      </c>
      <c r="G1087" s="11">
        <v>45939</v>
      </c>
      <c r="H1087" s="6">
        <f t="shared" si="32"/>
        <v>41</v>
      </c>
      <c r="I1087" s="16">
        <f>MAX(1, NETWORKDAYS(A1087, G1087,Table2[Dias no laborales]))</f>
        <v>2</v>
      </c>
      <c r="J1087" s="6" t="str">
        <f>IF(Table1[[#This Row],[FIN]]="","Acumulado",IF(ISNUMBER(SEARCH("ASAP",C1087)),"ASAP",IF(NETWORKDAYS.INTL(F1087,G1087,1,Table2[Dias no laborales]) &lt;= 7, "Dentro", IF(A1087&gt;F1087,"Programado","Fuera"))))</f>
        <v>Programado</v>
      </c>
      <c r="K1087" s="6" t="str">
        <f t="shared" si="33"/>
        <v>Programados</v>
      </c>
      <c r="L1087" s="9">
        <v>45938</v>
      </c>
      <c r="M1087" s="17">
        <f>MAX(1,NETWORKDAYS(A1087,L1087,Table2[Dias no laborales]))</f>
        <v>1</v>
      </c>
    </row>
    <row r="1088" spans="1:13" hidden="1" x14ac:dyDescent="0.3">
      <c r="A1088" s="8">
        <v>45938</v>
      </c>
      <c r="B1088" s="6" t="s">
        <v>2171</v>
      </c>
      <c r="C1088" s="6" t="s">
        <v>2172</v>
      </c>
      <c r="D1088" s="6" t="s">
        <v>133</v>
      </c>
      <c r="E1088" s="14">
        <v>45938.422222222223</v>
      </c>
      <c r="F1088" s="8">
        <f>IF(HOUR(Table1[[#This Row],[CORREO]])&gt;=11,WORKDAY(Table1[[#This Row],[CORREO]],1,Table2[Dias no laborales]),E1088)</f>
        <v>45938.422222222223</v>
      </c>
      <c r="G1088" s="11">
        <v>45943</v>
      </c>
      <c r="H1088" s="6">
        <f t="shared" si="32"/>
        <v>41</v>
      </c>
      <c r="I1088" s="16">
        <f>MAX(1, NETWORKDAYS(A1088, G1088,Table2[Dias no laborales]))</f>
        <v>4</v>
      </c>
      <c r="J1088" s="6" t="str">
        <f>IF(Table1[[#This Row],[FIN]]="","Acumulado",IF(ISNUMBER(SEARCH("ASAP",C1088)),"ASAP",IF(NETWORKDAYS.INTL(F1088,G1088,1,Table2[Dias no laborales]) &lt;= 7, "Dentro", IF(A1088&gt;F1088,"Programado","Fuera"))))</f>
        <v>Dentro</v>
      </c>
      <c r="K1088" s="6" t="str">
        <f t="shared" si="33"/>
        <v>A tiempo</v>
      </c>
      <c r="L1088" s="9">
        <v>45939</v>
      </c>
      <c r="M1088" s="17">
        <f>MAX(1,NETWORKDAYS(A1088,L1088,Table2[Dias no laborales]))</f>
        <v>2</v>
      </c>
    </row>
    <row r="1089" spans="1:13" hidden="1" x14ac:dyDescent="0.3">
      <c r="A1089" s="8">
        <v>45939</v>
      </c>
      <c r="B1089" s="6" t="s">
        <v>2207</v>
      </c>
      <c r="C1089" s="6" t="s">
        <v>2208</v>
      </c>
      <c r="D1089" s="6" t="s">
        <v>2209</v>
      </c>
      <c r="E1089" s="14"/>
      <c r="F1089" s="8">
        <f>IF(HOUR(Table1[[#This Row],[CORREO]])&gt;=11,WORKDAY(Table1[[#This Row],[CORREO]],1,Table2[Dias no laborales]),E1089)</f>
        <v>0</v>
      </c>
      <c r="G1089" s="11">
        <v>45945</v>
      </c>
      <c r="H1089" s="6">
        <f t="shared" si="32"/>
        <v>41</v>
      </c>
      <c r="I1089" s="16">
        <f>MAX(1, NETWORKDAYS(A1089, G1089,Table2[Dias no laborales]))</f>
        <v>5</v>
      </c>
      <c r="J1089" s="6" t="str">
        <f>IF(Table1[[#This Row],[FIN]]="","Acumulado",IF(ISNUMBER(SEARCH("ASAP",C1089)),"ASAP",IF(NETWORKDAYS.INTL(F1089,G1089,1,Table2[Dias no laborales]) &lt;= 7, "Dentro", IF(A1089&gt;F1089,"Programado","Fuera"))))</f>
        <v>Programado</v>
      </c>
      <c r="K1089" s="6" t="str">
        <f t="shared" si="33"/>
        <v>Programados</v>
      </c>
      <c r="L1089" s="9">
        <v>45939</v>
      </c>
      <c r="M1089" s="17">
        <f>MAX(1,NETWORKDAYS(A1089,L1089,Table2[Dias no laborales]))</f>
        <v>1</v>
      </c>
    </row>
    <row r="1090" spans="1:13" hidden="1" x14ac:dyDescent="0.3">
      <c r="A1090" s="8">
        <v>45939</v>
      </c>
      <c r="B1090" s="6" t="s">
        <v>2154</v>
      </c>
      <c r="C1090" s="6" t="s">
        <v>2155</v>
      </c>
      <c r="D1090" s="6" t="s">
        <v>230</v>
      </c>
      <c r="E1090" s="14">
        <v>45938.478472222225</v>
      </c>
      <c r="F1090" s="8">
        <f>IF(HOUR(Table1[[#This Row],[CORREO]])&gt;=11,WORKDAY(Table1[[#This Row],[CORREO]],1,Table2[Dias no laborales]),E1090)</f>
        <v>45939</v>
      </c>
      <c r="G1090" s="11">
        <v>45939</v>
      </c>
      <c r="H1090" s="6">
        <f t="shared" ref="H1090:H1153" si="34">INT((A1090-DATE(YEAR(A1090),1,1))/7) + 1</f>
        <v>41</v>
      </c>
      <c r="I1090" s="16">
        <f>MAX(1, NETWORKDAYS(A1090, G1090,Table2[Dias no laborales]))</f>
        <v>1</v>
      </c>
      <c r="J1090" s="6" t="str">
        <f>IF(Table1[[#This Row],[FIN]]="","Acumulado",IF(ISNUMBER(SEARCH("ASAP",C1090)),"ASAP",IF(NETWORKDAYS.INTL(F1090,G1090,1,Table2[Dias no laborales]) &lt;= 7, "Dentro", IF(A1090&gt;F1090,"Programado","Fuera"))))</f>
        <v>Dentro</v>
      </c>
      <c r="K1090" s="6" t="str">
        <f t="shared" ref="K1090:K1156" si="35">IF(INT(A1090)=INT(F1090),"A tiempo", IF(A1090&lt;F1090,"Mismo día","Programados"))</f>
        <v>A tiempo</v>
      </c>
      <c r="L1090" s="9">
        <v>45939</v>
      </c>
      <c r="M1090" s="17">
        <f>MAX(1,NETWORKDAYS(A1090,L1090,Table2[Dias no laborales]))</f>
        <v>1</v>
      </c>
    </row>
    <row r="1091" spans="1:13" hidden="1" x14ac:dyDescent="0.3">
      <c r="A1091" s="8">
        <v>45939</v>
      </c>
      <c r="B1091" s="6" t="s">
        <v>2156</v>
      </c>
      <c r="C1091" s="6" t="s">
        <v>2157</v>
      </c>
      <c r="D1091" s="6" t="s">
        <v>586</v>
      </c>
      <c r="E1091" s="14">
        <v>45938.564583333333</v>
      </c>
      <c r="F1091" s="8">
        <f>IF(HOUR(Table1[[#This Row],[CORREO]])&gt;=11,WORKDAY(Table1[[#This Row],[CORREO]],1,Table2[Dias no laborales]),E1091)</f>
        <v>45939</v>
      </c>
      <c r="G1091" s="11">
        <v>45939</v>
      </c>
      <c r="H1091" s="6">
        <f t="shared" si="34"/>
        <v>41</v>
      </c>
      <c r="I1091" s="16">
        <f>MAX(1, NETWORKDAYS(A1091, G1091,Table2[Dias no laborales]))</f>
        <v>1</v>
      </c>
      <c r="J1091" s="6" t="str">
        <f>IF(Table1[[#This Row],[FIN]]="","Acumulado",IF(ISNUMBER(SEARCH("ASAP",C1091)),"ASAP",IF(NETWORKDAYS.INTL(F1091,G1091,1,Table2[Dias no laborales]) &lt;= 7, "Dentro", IF(A1091&gt;F1091,"Programado","Fuera"))))</f>
        <v>Dentro</v>
      </c>
      <c r="K1091" s="6" t="str">
        <f t="shared" si="35"/>
        <v>A tiempo</v>
      </c>
      <c r="L1091" s="9">
        <v>45939</v>
      </c>
      <c r="M1091" s="17">
        <f>MAX(1,NETWORKDAYS(A1091,L1091,Table2[Dias no laborales]))</f>
        <v>1</v>
      </c>
    </row>
    <row r="1092" spans="1:13" hidden="1" x14ac:dyDescent="0.3">
      <c r="A1092" s="8">
        <v>45939</v>
      </c>
      <c r="B1092" s="6" t="s">
        <v>2146</v>
      </c>
      <c r="C1092" s="6" t="s">
        <v>2147</v>
      </c>
      <c r="D1092" s="6" t="s">
        <v>15</v>
      </c>
      <c r="E1092" s="14">
        <v>45939.340277777781</v>
      </c>
      <c r="F1092" s="8">
        <f>IF(HOUR(Table1[[#This Row],[CORREO]])&gt;=11,WORKDAY(Table1[[#This Row],[CORREO]],1,Table2[Dias no laborales]),E1092)</f>
        <v>45939.340277777781</v>
      </c>
      <c r="G1092" s="11">
        <v>45939</v>
      </c>
      <c r="H1092" s="6">
        <f t="shared" si="34"/>
        <v>41</v>
      </c>
      <c r="I1092" s="16">
        <f>MAX(1, NETWORKDAYS(A1092, G1092,Table2[Dias no laborales]))</f>
        <v>1</v>
      </c>
      <c r="J1092" s="6" t="str">
        <f>IF(Table1[[#This Row],[FIN]]="","Acumulado",IF(ISNUMBER(SEARCH("ASAP",C1092)),"ASAP",IF(NETWORKDAYS.INTL(F1092,G1092,1,Table2[Dias no laborales]) &lt;= 7, "Dentro", IF(A1092&gt;F1092,"Programado","Fuera"))))</f>
        <v>ASAP</v>
      </c>
      <c r="K1092" s="6" t="str">
        <f t="shared" si="35"/>
        <v>A tiempo</v>
      </c>
      <c r="L1092" s="9">
        <v>45939</v>
      </c>
      <c r="M1092" s="17">
        <f>MAX(1,NETWORKDAYS(A1092,L1092,Table2[Dias no laborales]))</f>
        <v>1</v>
      </c>
    </row>
    <row r="1093" spans="1:13" hidden="1" x14ac:dyDescent="0.3">
      <c r="A1093" s="8">
        <v>45939</v>
      </c>
      <c r="B1093" s="6" t="s">
        <v>2163</v>
      </c>
      <c r="C1093" s="6" t="s">
        <v>2164</v>
      </c>
      <c r="D1093" s="6" t="s">
        <v>133</v>
      </c>
      <c r="E1093" s="14">
        <v>45939.413194444445</v>
      </c>
      <c r="F1093" s="8">
        <f>IF(HOUR(Table1[[#This Row],[CORREO]])&gt;=11,WORKDAY(Table1[[#This Row],[CORREO]],1,Table2[Dias no laborales]),E1093)</f>
        <v>45939.413194444445</v>
      </c>
      <c r="G1093" s="11">
        <v>45940</v>
      </c>
      <c r="H1093" s="6">
        <f t="shared" si="34"/>
        <v>41</v>
      </c>
      <c r="I1093" s="16">
        <f>MAX(1, NETWORKDAYS(A1093, G1093,Table2[Dias no laborales]))</f>
        <v>2</v>
      </c>
      <c r="J1093" s="6" t="str">
        <f>IF(Table1[[#This Row],[FIN]]="","Acumulado",IF(ISNUMBER(SEARCH("ASAP",C1093)),"ASAP",IF(NETWORKDAYS.INTL(F1093,G1093,1,Table2[Dias no laborales]) &lt;= 7, "Dentro", IF(A1093&gt;F1093,"Programado","Fuera"))))</f>
        <v>Dentro</v>
      </c>
      <c r="K1093" s="6" t="str">
        <f t="shared" si="35"/>
        <v>A tiempo</v>
      </c>
      <c r="L1093" s="9">
        <v>45939</v>
      </c>
      <c r="M1093" s="17">
        <f>MAX(1,NETWORKDAYS(A1093,L1093,Table2[Dias no laborales]))</f>
        <v>1</v>
      </c>
    </row>
    <row r="1094" spans="1:13" hidden="1" x14ac:dyDescent="0.3">
      <c r="A1094" s="8">
        <v>45939</v>
      </c>
      <c r="B1094" s="6" t="s">
        <v>2160</v>
      </c>
      <c r="C1094" s="6" t="s">
        <v>2161</v>
      </c>
      <c r="D1094" s="6" t="s">
        <v>2162</v>
      </c>
      <c r="E1094" s="14">
        <v>45939.453472222223</v>
      </c>
      <c r="F1094" s="8">
        <f>IF(HOUR(Table1[[#This Row],[CORREO]])&gt;=11,WORKDAY(Table1[[#This Row],[CORREO]],1,Table2[Dias no laborales]),E1094)</f>
        <v>45939.453472222223</v>
      </c>
      <c r="G1094" s="11">
        <v>45940</v>
      </c>
      <c r="H1094" s="6">
        <f t="shared" si="34"/>
        <v>41</v>
      </c>
      <c r="I1094" s="16">
        <f>MAX(1, NETWORKDAYS(A1094, G1094,Table2[Dias no laborales]))</f>
        <v>2</v>
      </c>
      <c r="J1094" s="6" t="str">
        <f>IF(Table1[[#This Row],[FIN]]="","Acumulado",IF(ISNUMBER(SEARCH("ASAP",C1094)),"ASAP",IF(NETWORKDAYS.INTL(F1094,G1094,1,Table2[Dias no laborales]) &lt;= 7, "Dentro", IF(A1094&gt;F1094,"Programado","Fuera"))))</f>
        <v>Dentro</v>
      </c>
      <c r="K1094" s="6" t="str">
        <f t="shared" si="35"/>
        <v>A tiempo</v>
      </c>
      <c r="L1094" s="9">
        <v>45939</v>
      </c>
      <c r="M1094" s="17">
        <f>MAX(1,NETWORKDAYS(A1094,L1094,Table2[Dias no laborales]))</f>
        <v>1</v>
      </c>
    </row>
    <row r="1095" spans="1:13" hidden="1" x14ac:dyDescent="0.3">
      <c r="A1095" s="8">
        <v>45940</v>
      </c>
      <c r="B1095" s="6" t="s">
        <v>2165</v>
      </c>
      <c r="C1095" s="6" t="s">
        <v>2166</v>
      </c>
      <c r="D1095" s="6" t="s">
        <v>2167</v>
      </c>
      <c r="E1095" s="14">
        <v>45940.499305555553</v>
      </c>
      <c r="F1095" s="8">
        <f>IF(HOUR(Table1[[#This Row],[CORREO]])&gt;=11,WORKDAY(Table1[[#This Row],[CORREO]],1,Table2[Dias no laborales]),E1095)</f>
        <v>45943</v>
      </c>
      <c r="G1095" s="11">
        <v>45940</v>
      </c>
      <c r="H1095" s="6">
        <f t="shared" si="34"/>
        <v>41</v>
      </c>
      <c r="I1095" s="16">
        <f>MAX(1, NETWORKDAYS(A1095, G1095,Table2[Dias no laborales]))</f>
        <v>1</v>
      </c>
      <c r="J1095" s="6" t="str">
        <f>IF(Table1[[#This Row],[FIN]]="","Acumulado",IF(ISNUMBER(SEARCH("ASAP",C1095)),"ASAP",IF(NETWORKDAYS.INTL(F1095,G1095,1,Table2[Dias no laborales]) &lt;= 7, "Dentro", IF(A1095&gt;F1095,"Programado","Fuera"))))</f>
        <v>ASAP</v>
      </c>
      <c r="K1095" s="6" t="str">
        <f t="shared" si="35"/>
        <v>Mismo día</v>
      </c>
      <c r="L1095" s="9">
        <v>45940</v>
      </c>
      <c r="M1095" s="17">
        <f>MAX(1,NETWORKDAYS(A1095,L1095,Table2[Dias no laborales]))</f>
        <v>1</v>
      </c>
    </row>
    <row r="1096" spans="1:13" hidden="1" x14ac:dyDescent="0.3">
      <c r="A1096" s="8">
        <v>45940</v>
      </c>
      <c r="B1096" s="6" t="s">
        <v>2170</v>
      </c>
      <c r="C1096" s="6" t="s">
        <v>2164</v>
      </c>
      <c r="D1096" s="6" t="s">
        <v>133</v>
      </c>
      <c r="E1096" s="14">
        <v>45940.507638888892</v>
      </c>
      <c r="F1096" s="8">
        <f>IF(HOUR(Table1[[#This Row],[CORREO]])&gt;=11,WORKDAY(Table1[[#This Row],[CORREO]],1,Table2[Dias no laborales]),E1096)</f>
        <v>45943</v>
      </c>
      <c r="G1096" s="11">
        <v>45943</v>
      </c>
      <c r="H1096" s="6">
        <f t="shared" si="34"/>
        <v>41</v>
      </c>
      <c r="I1096" s="16">
        <f>MAX(1, NETWORKDAYS(A1096, G1096,Table2[Dias no laborales]))</f>
        <v>2</v>
      </c>
      <c r="J1096" s="6" t="str">
        <f>IF(Table1[[#This Row],[FIN]]="","Acumulado",IF(ISNUMBER(SEARCH("ASAP",C1096)),"ASAP",IF(NETWORKDAYS.INTL(F1096,G1096,1,Table2[Dias no laborales]) &lt;= 7, "Dentro", IF(A1096&gt;F1096,"Programado","Fuera"))))</f>
        <v>Dentro</v>
      </c>
      <c r="K1096" s="6" t="str">
        <f t="shared" si="35"/>
        <v>Mismo día</v>
      </c>
      <c r="L1096" s="9">
        <v>45943</v>
      </c>
      <c r="M1096" s="17">
        <f>MAX(1,NETWORKDAYS(A1096,L1096,Table2[Dias no laborales]))</f>
        <v>2</v>
      </c>
    </row>
    <row r="1097" spans="1:13" hidden="1" x14ac:dyDescent="0.3">
      <c r="A1097" s="8">
        <v>45943</v>
      </c>
      <c r="B1097" s="6" t="s">
        <v>2224</v>
      </c>
      <c r="C1097" s="6" t="s">
        <v>2225</v>
      </c>
      <c r="D1097" s="6" t="s">
        <v>24</v>
      </c>
      <c r="E1097" s="14"/>
      <c r="F1097" s="8">
        <f>IF(HOUR(Table1[[#This Row],[CORREO]])&gt;=11,WORKDAY(Table1[[#This Row],[CORREO]],1,Table2[Dias no laborales]),E1097)</f>
        <v>0</v>
      </c>
      <c r="G1097" s="11">
        <v>45947</v>
      </c>
      <c r="H1097" s="6">
        <f t="shared" si="34"/>
        <v>41</v>
      </c>
      <c r="I1097" s="16">
        <f>MAX(1, NETWORKDAYS(A1097, G1097,Table2[Dias no laborales]))</f>
        <v>5</v>
      </c>
      <c r="J1097" s="6" t="str">
        <f>IF(Table1[[#This Row],[FIN]]="","Acumulado",IF(ISNUMBER(SEARCH("ASAP",C1097)),"ASAP",IF(NETWORKDAYS.INTL(F1097,G1097,1,Table2[Dias no laborales]) &lt;= 7, "Dentro", IF(A1097&gt;F1097,"Programado","Fuera"))))</f>
        <v>Programado</v>
      </c>
      <c r="K1097" s="6" t="str">
        <f t="shared" si="35"/>
        <v>Programados</v>
      </c>
      <c r="L1097" s="9">
        <v>45943</v>
      </c>
      <c r="M1097" s="17">
        <f>MAX(1,NETWORKDAYS(A1097,L1097,Table2[Dias no laborales]))</f>
        <v>1</v>
      </c>
    </row>
    <row r="1098" spans="1:13" hidden="1" x14ac:dyDescent="0.3">
      <c r="A1098" s="8">
        <v>45943</v>
      </c>
      <c r="B1098" s="6" t="s">
        <v>2191</v>
      </c>
      <c r="C1098" s="6" t="s">
        <v>2192</v>
      </c>
      <c r="D1098" s="6" t="s">
        <v>53</v>
      </c>
      <c r="E1098" s="14">
        <v>45940.519444444442</v>
      </c>
      <c r="F1098" s="8">
        <f>IF(HOUR(Table1[[#This Row],[CORREO]])&gt;=11,WORKDAY(Table1[[#This Row],[CORREO]],1,Table2[Dias no laborales]),E1098)</f>
        <v>45943</v>
      </c>
      <c r="G1098" s="11">
        <v>45943</v>
      </c>
      <c r="H1098" s="6">
        <f t="shared" si="34"/>
        <v>41</v>
      </c>
      <c r="I1098" s="16">
        <f>MAX(1, NETWORKDAYS(A1098, G1098,Table2[Dias no laborales]))</f>
        <v>1</v>
      </c>
      <c r="J1098" s="6" t="str">
        <f>IF(Table1[[#This Row],[FIN]]="","Acumulado",IF(ISNUMBER(SEARCH("ASAP",C1098)),"ASAP",IF(NETWORKDAYS.INTL(F1098,G1098,1,Table2[Dias no laborales]) &lt;= 7, "Dentro", IF(A1098&gt;F1098,"Programado","Fuera"))))</f>
        <v>Dentro</v>
      </c>
      <c r="K1098" s="6" t="str">
        <f t="shared" si="35"/>
        <v>A tiempo</v>
      </c>
      <c r="L1098" s="9">
        <v>45943</v>
      </c>
      <c r="M1098" s="17">
        <f>MAX(1,NETWORKDAYS(A1098,L1098,Table2[Dias no laborales]))</f>
        <v>1</v>
      </c>
    </row>
    <row r="1099" spans="1:13" hidden="1" x14ac:dyDescent="0.3">
      <c r="A1099" s="8">
        <v>45943</v>
      </c>
      <c r="B1099" s="6" t="s">
        <v>2254</v>
      </c>
      <c r="C1099" s="6" t="s">
        <v>1467</v>
      </c>
      <c r="D1099" s="6" t="s">
        <v>133</v>
      </c>
      <c r="E1099" s="14">
        <v>45940.629861111112</v>
      </c>
      <c r="F1099" s="8">
        <f>IF(HOUR(Table1[[#This Row],[CORREO]])&gt;=11,WORKDAY(Table1[[#This Row],[CORREO]],1,Table2[Dias no laborales]),E1099)</f>
        <v>45943</v>
      </c>
      <c r="G1099" s="11">
        <v>45953</v>
      </c>
      <c r="H1099" s="6">
        <f t="shared" si="34"/>
        <v>41</v>
      </c>
      <c r="I1099" s="16">
        <f>MAX(1, NETWORKDAYS(A1099, G1099,Table2[Dias no laborales]))</f>
        <v>9</v>
      </c>
      <c r="J1099" s="6" t="str">
        <f>IF(Table1[[#This Row],[FIN]]="","Acumulado",IF(ISNUMBER(SEARCH("ASAP",C1099)),"ASAP",IF(NETWORKDAYS.INTL(F1099,G1099,1,Table2[Dias no laborales]) &lt;= 7, "Dentro", IF(A1099&gt;F1099,"Programado","Fuera"))))</f>
        <v>Fuera</v>
      </c>
      <c r="K1099" s="6" t="str">
        <f t="shared" si="35"/>
        <v>A tiempo</v>
      </c>
      <c r="L1099" s="9">
        <v>45943</v>
      </c>
      <c r="M1099" s="17">
        <f>MAX(1,NETWORKDAYS(A1099,L1099,Table2[Dias no laborales]))</f>
        <v>1</v>
      </c>
    </row>
    <row r="1100" spans="1:13" hidden="1" x14ac:dyDescent="0.3">
      <c r="A1100" s="8">
        <v>45943</v>
      </c>
      <c r="B1100" s="6" t="s">
        <v>2187</v>
      </c>
      <c r="C1100" s="6" t="s">
        <v>2188</v>
      </c>
      <c r="D1100" s="6" t="s">
        <v>372</v>
      </c>
      <c r="E1100" s="14">
        <v>45942.440972222219</v>
      </c>
      <c r="F1100" s="8">
        <f>IF(HOUR(Table1[[#This Row],[CORREO]])&gt;=11,WORKDAY(Table1[[#This Row],[CORREO]],1,Table2[Dias no laborales]),E1100)</f>
        <v>45942.440972222219</v>
      </c>
      <c r="G1100" s="11">
        <v>45943</v>
      </c>
      <c r="H1100" s="6">
        <f t="shared" si="34"/>
        <v>41</v>
      </c>
      <c r="I1100" s="16">
        <f>MAX(1, NETWORKDAYS(A1100, G1100,Table2[Dias no laborales]))</f>
        <v>1</v>
      </c>
      <c r="J1100" s="6" t="str">
        <f>IF(Table1[[#This Row],[FIN]]="","Acumulado",IF(ISNUMBER(SEARCH("ASAP",C1100)),"ASAP",IF(NETWORKDAYS.INTL(F1100,G1100,1,Table2[Dias no laborales]) &lt;= 7, "Dentro", IF(A1100&gt;F1100,"Programado","Fuera"))))</f>
        <v>Dentro</v>
      </c>
      <c r="K1100" s="6" t="str">
        <f t="shared" si="35"/>
        <v>Programados</v>
      </c>
      <c r="L1100" s="9">
        <v>45943</v>
      </c>
      <c r="M1100" s="17">
        <f>MAX(1,NETWORKDAYS(A1100,L1100,Table2[Dias no laborales]))</f>
        <v>1</v>
      </c>
    </row>
    <row r="1101" spans="1:13" hidden="1" x14ac:dyDescent="0.3">
      <c r="A1101" s="8">
        <v>45943</v>
      </c>
      <c r="B1101" s="6" t="s">
        <v>2350</v>
      </c>
      <c r="C1101" s="6" t="s">
        <v>2351</v>
      </c>
      <c r="D1101" s="6" t="s">
        <v>24</v>
      </c>
      <c r="E1101" s="14">
        <v>45943.35</v>
      </c>
      <c r="F1101" s="8">
        <f>IF(HOUR(Table1[[#This Row],[CORREO]])&gt;=11,WORKDAY(Table1[[#This Row],[CORREO]],1,Table2[Dias no laborales]),E1101)</f>
        <v>45943.35</v>
      </c>
      <c r="G1101" s="11">
        <v>45965</v>
      </c>
      <c r="H1101" s="6">
        <f t="shared" si="34"/>
        <v>41</v>
      </c>
      <c r="I1101" s="16">
        <f>MAX(1, NETWORKDAYS(A1101, G1101,Table2[Dias no laborales]))</f>
        <v>17</v>
      </c>
      <c r="J1101" s="6" t="str">
        <f>IF(Table1[[#This Row],[FIN]]="","Acumulado",IF(ISNUMBER(SEARCH("ASAP",C1101)),"ASAP",IF(NETWORKDAYS.INTL(F1101,G1101,1,Table2[Dias no laborales]) &lt;= 7, "Dentro", IF(A1101&gt;F1101,"Programado","Fuera"))))</f>
        <v>ASAP</v>
      </c>
      <c r="K1101" s="6" t="str">
        <f t="shared" si="35"/>
        <v>A tiempo</v>
      </c>
      <c r="L1101" s="9">
        <v>45943</v>
      </c>
      <c r="M1101" s="17">
        <f>MAX(1,NETWORKDAYS(A1101,L1101,Table2[Dias no laborales]))</f>
        <v>1</v>
      </c>
    </row>
    <row r="1102" spans="1:13" hidden="1" x14ac:dyDescent="0.3">
      <c r="A1102" s="8">
        <v>45943</v>
      </c>
      <c r="B1102" s="6" t="s">
        <v>2173</v>
      </c>
      <c r="C1102" s="6" t="s">
        <v>2174</v>
      </c>
      <c r="D1102" s="6" t="s">
        <v>2174</v>
      </c>
      <c r="E1102" s="14">
        <v>45943.429166666669</v>
      </c>
      <c r="F1102" s="8">
        <f>IF(HOUR(Table1[[#This Row],[CORREO]])&gt;=11,WORKDAY(Table1[[#This Row],[CORREO]],1,Table2[Dias no laborales]),E1102)</f>
        <v>45943.429166666669</v>
      </c>
      <c r="G1102" s="11">
        <v>45943</v>
      </c>
      <c r="H1102" s="6">
        <f t="shared" si="34"/>
        <v>41</v>
      </c>
      <c r="I1102" s="16">
        <f>MAX(1, NETWORKDAYS(A1102, G1102,Table2[Dias no laborales]))</f>
        <v>1</v>
      </c>
      <c r="J1102" s="6" t="str">
        <f>IF(Table1[[#This Row],[FIN]]="","Acumulado",IF(ISNUMBER(SEARCH("ASAP",C1102)),"ASAP",IF(NETWORKDAYS.INTL(F1102,G1102,1,Table2[Dias no laborales]) &lt;= 7, "Dentro", IF(A1102&gt;F1102,"Programado","Fuera"))))</f>
        <v>Dentro</v>
      </c>
      <c r="K1102" s="6" t="str">
        <f t="shared" si="35"/>
        <v>A tiempo</v>
      </c>
      <c r="L1102" s="9">
        <v>45943</v>
      </c>
      <c r="M1102" s="17">
        <f>MAX(1,NETWORKDAYS(A1102,L1102,Table2[Dias no laborales]))</f>
        <v>1</v>
      </c>
    </row>
    <row r="1103" spans="1:13" hidden="1" x14ac:dyDescent="0.3">
      <c r="A1103" s="8">
        <v>45943</v>
      </c>
      <c r="B1103" s="6" t="s">
        <v>2195</v>
      </c>
      <c r="C1103" s="6" t="s">
        <v>2196</v>
      </c>
      <c r="D1103" s="6" t="s">
        <v>15</v>
      </c>
      <c r="E1103" s="14">
        <v>45943.447222222225</v>
      </c>
      <c r="F1103" s="8">
        <f>IF(HOUR(Table1[[#This Row],[CORREO]])&gt;=11,WORKDAY(Table1[[#This Row],[CORREO]],1,Table2[Dias no laborales]),E1103)</f>
        <v>45943.447222222225</v>
      </c>
      <c r="G1103" s="11">
        <v>45944</v>
      </c>
      <c r="H1103" s="6">
        <f t="shared" si="34"/>
        <v>41</v>
      </c>
      <c r="I1103" s="16">
        <f>MAX(1, NETWORKDAYS(A1103, G1103,Table2[Dias no laborales]))</f>
        <v>2</v>
      </c>
      <c r="J1103" s="6" t="str">
        <f>IF(Table1[[#This Row],[FIN]]="","Acumulado",IF(ISNUMBER(SEARCH("ASAP",C1103)),"ASAP",IF(NETWORKDAYS.INTL(F1103,G1103,1,Table2[Dias no laborales]) &lt;= 7, "Dentro", IF(A1103&gt;F1103,"Programado","Fuera"))))</f>
        <v>Dentro</v>
      </c>
      <c r="K1103" s="6" t="str">
        <f t="shared" si="35"/>
        <v>A tiempo</v>
      </c>
      <c r="L1103" s="9">
        <v>45943</v>
      </c>
      <c r="M1103" s="17">
        <f>MAX(1,NETWORKDAYS(A1103,L1103,Table2[Dias no laborales]))</f>
        <v>1</v>
      </c>
    </row>
    <row r="1104" spans="1:13" hidden="1" x14ac:dyDescent="0.3">
      <c r="A1104" s="8">
        <v>45944</v>
      </c>
      <c r="B1104" s="6" t="s">
        <v>2199</v>
      </c>
      <c r="C1104" s="6" t="s">
        <v>2200</v>
      </c>
      <c r="D1104" s="6" t="s">
        <v>133</v>
      </c>
      <c r="E1104" s="14">
        <v>45943.661111111112</v>
      </c>
      <c r="F1104" s="8">
        <f>IF(HOUR(Table1[[#This Row],[CORREO]])&gt;=11,WORKDAY(Table1[[#This Row],[CORREO]],1,Table2[Dias no laborales]),E1104)</f>
        <v>45944</v>
      </c>
      <c r="G1104" s="13">
        <v>45944</v>
      </c>
      <c r="H1104" s="6">
        <f t="shared" si="34"/>
        <v>41</v>
      </c>
      <c r="I1104" s="16">
        <f>MAX(1, NETWORKDAYS(A1104, G1104,Table2[Dias no laborales]))</f>
        <v>1</v>
      </c>
      <c r="J1104" s="6" t="str">
        <f>IF(Table1[[#This Row],[FIN]]="","Acumulado",IF(ISNUMBER(SEARCH("ASAP",C1104)),"ASAP",IF(NETWORKDAYS.INTL(F1104,G1104,1,Table2[Dias no laborales]) &lt;= 7, "Dentro", IF(A1104&gt;F1104,"Programado","Fuera"))))</f>
        <v>Dentro</v>
      </c>
      <c r="K1104" s="6" t="str">
        <f t="shared" si="35"/>
        <v>A tiempo</v>
      </c>
      <c r="L1104" s="9">
        <v>45944</v>
      </c>
      <c r="M1104" s="17">
        <f>MAX(1,NETWORKDAYS(A1104,L1104,Table2[Dias no laborales]))</f>
        <v>1</v>
      </c>
    </row>
    <row r="1105" spans="1:13" hidden="1" x14ac:dyDescent="0.3">
      <c r="A1105" s="8">
        <v>45944</v>
      </c>
      <c r="B1105" s="6" t="s">
        <v>2320</v>
      </c>
      <c r="C1105" s="6" t="s">
        <v>2321</v>
      </c>
      <c r="D1105" s="6" t="s">
        <v>24</v>
      </c>
      <c r="E1105" s="14"/>
      <c r="F1105" s="8">
        <f>IF(HOUR(Table1[[#This Row],[CORREO]])&gt;=11,WORKDAY(Table1[[#This Row],[CORREO]],1,Table2[Dias no laborales]),E1105)</f>
        <v>0</v>
      </c>
      <c r="G1105" s="13">
        <v>45975</v>
      </c>
      <c r="H1105" s="6">
        <f t="shared" si="34"/>
        <v>41</v>
      </c>
      <c r="I1105" s="16">
        <f>MAX(1, NETWORKDAYS(A1105, G1105,Table2[Dias no laborales]))</f>
        <v>24</v>
      </c>
      <c r="J1105" s="6" t="str">
        <f>IF(Table1[[#This Row],[FIN]]="","Acumulado",IF(ISNUMBER(SEARCH("ASAP",C1105)),"ASAP",IF(NETWORKDAYS.INTL(F1105,G1105,1,Table2[Dias no laborales]) &lt;= 7, "Dentro", IF(A1105&gt;F1105,"Programado","Fuera"))))</f>
        <v>Programado</v>
      </c>
      <c r="K1105" s="6" t="str">
        <f t="shared" si="35"/>
        <v>Programados</v>
      </c>
      <c r="L1105" s="9">
        <v>45944</v>
      </c>
      <c r="M1105" s="17">
        <f>MAX(1,NETWORKDAYS(A1105,L1105,Table2[Dias no laborales]))</f>
        <v>1</v>
      </c>
    </row>
    <row r="1106" spans="1:13" hidden="1" x14ac:dyDescent="0.3">
      <c r="A1106" s="8">
        <v>45944</v>
      </c>
      <c r="B1106" s="6" t="s">
        <v>2259</v>
      </c>
      <c r="C1106" s="6" t="s">
        <v>2260</v>
      </c>
      <c r="D1106" s="6" t="s">
        <v>18</v>
      </c>
      <c r="E1106" s="14">
        <v>45944.298611111109</v>
      </c>
      <c r="F1106" s="8">
        <f>IF(HOUR(Table1[[#This Row],[CORREO]])&gt;=11,WORKDAY(Table1[[#This Row],[CORREO]],1,Table2[Dias no laborales]),E1106)</f>
        <v>45944.298611111109</v>
      </c>
      <c r="G1106" s="13">
        <v>45953</v>
      </c>
      <c r="H1106" s="6">
        <f t="shared" si="34"/>
        <v>41</v>
      </c>
      <c r="I1106" s="16">
        <f>MAX(1, NETWORKDAYS(A1106, G1106,Table2[Dias no laborales]))</f>
        <v>8</v>
      </c>
      <c r="J1106" s="6" t="str">
        <f>IF(Table1[[#This Row],[FIN]]="","Acumulado",IF(ISNUMBER(SEARCH("ASAP",C1106)),"ASAP",IF(NETWORKDAYS.INTL(F1106,G1106,1,Table2[Dias no laborales]) &lt;= 7, "Dentro", IF(A1106&gt;F1106,"Programado","Fuera"))))</f>
        <v>Fuera</v>
      </c>
      <c r="K1106" s="6" t="str">
        <f t="shared" si="35"/>
        <v>A tiempo</v>
      </c>
      <c r="L1106" s="9">
        <v>45944</v>
      </c>
      <c r="M1106" s="17">
        <f>MAX(1,NETWORKDAYS(A1106,L1106,Table2[Dias no laborales]))</f>
        <v>1</v>
      </c>
    </row>
    <row r="1107" spans="1:13" hidden="1" x14ac:dyDescent="0.3">
      <c r="A1107" s="8">
        <v>45944</v>
      </c>
      <c r="B1107" s="6" t="s">
        <v>2307</v>
      </c>
      <c r="C1107" s="6" t="s">
        <v>2308</v>
      </c>
      <c r="D1107" s="6" t="s">
        <v>24</v>
      </c>
      <c r="E1107" s="14"/>
      <c r="F1107" s="8">
        <f>IF(HOUR(Table1[[#This Row],[CORREO]])&gt;=11,WORKDAY(Table1[[#This Row],[CORREO]],1,Table2[Dias no laborales]),E1107)</f>
        <v>0</v>
      </c>
      <c r="G1107" s="13">
        <v>45961</v>
      </c>
      <c r="H1107" s="6">
        <f t="shared" si="34"/>
        <v>41</v>
      </c>
      <c r="I1107" s="16">
        <f>MAX(1, NETWORKDAYS(A1107, G1107,Table2[Dias no laborales]))</f>
        <v>14</v>
      </c>
      <c r="J1107" s="6" t="str">
        <f>IF(Table1[[#This Row],[FIN]]="","Acumulado",IF(ISNUMBER(SEARCH("ASAP",C1107)),"ASAP",IF(NETWORKDAYS.INTL(F1107,G1107,1,Table2[Dias no laborales]) &lt;= 7, "Dentro", IF(A1107&gt;F1107,"Programado","Fuera"))))</f>
        <v>Programado</v>
      </c>
      <c r="K1107" s="6" t="str">
        <f t="shared" si="35"/>
        <v>Programados</v>
      </c>
      <c r="L1107" s="9">
        <v>45944</v>
      </c>
      <c r="M1107" s="17">
        <f>MAX(1,NETWORKDAYS(A1107,L1107,Table2[Dias no laborales]))</f>
        <v>1</v>
      </c>
    </row>
    <row r="1108" spans="1:13" hidden="1" x14ac:dyDescent="0.3">
      <c r="A1108" s="8">
        <v>45944</v>
      </c>
      <c r="B1108" s="6" t="s">
        <v>2203</v>
      </c>
      <c r="C1108" s="6" t="s">
        <v>2204</v>
      </c>
      <c r="D1108" s="6" t="s">
        <v>15</v>
      </c>
      <c r="E1108" s="14">
        <v>45944.525000000001</v>
      </c>
      <c r="F1108" s="8">
        <f>IF(HOUR(Table1[[#This Row],[CORREO]])&gt;=11,WORKDAY(Table1[[#This Row],[CORREO]],1,Table2[Dias no laborales]),E1108)</f>
        <v>45945</v>
      </c>
      <c r="G1108" s="13">
        <v>45944</v>
      </c>
      <c r="H1108" s="6">
        <f t="shared" si="34"/>
        <v>41</v>
      </c>
      <c r="I1108" s="16">
        <f>MAX(1, NETWORKDAYS(A1108, G1108,Table2[Dias no laborales]))</f>
        <v>1</v>
      </c>
      <c r="J1108" s="6" t="str">
        <f>IF(Table1[[#This Row],[FIN]]="","Acumulado",IF(ISNUMBER(SEARCH("ASAP",C1108)),"ASAP",IF(NETWORKDAYS.INTL(F1108,G1108,1,Table2[Dias no laborales]) &lt;= 7, "Dentro", IF(A1108&gt;F1108,"Programado","Fuera"))))</f>
        <v>Dentro</v>
      </c>
      <c r="K1108" s="6" t="str">
        <f t="shared" si="35"/>
        <v>Mismo día</v>
      </c>
      <c r="L1108" s="9">
        <v>45944</v>
      </c>
      <c r="M1108" s="17">
        <f>MAX(1,NETWORKDAYS(A1108,L1108,Table2[Dias no laborales]))</f>
        <v>1</v>
      </c>
    </row>
    <row r="1109" spans="1:13" hidden="1" x14ac:dyDescent="0.3">
      <c r="A1109" s="8">
        <v>45944</v>
      </c>
      <c r="B1109" s="6" t="s">
        <v>2201</v>
      </c>
      <c r="C1109" s="6" t="s">
        <v>2202</v>
      </c>
      <c r="D1109" s="6" t="s">
        <v>423</v>
      </c>
      <c r="E1109" s="14">
        <v>45944.616666666669</v>
      </c>
      <c r="F1109" s="8">
        <f>IF(HOUR(Table1[[#This Row],[CORREO]])&gt;=11,WORKDAY(Table1[[#This Row],[CORREO]],1,Table2[Dias no laborales]),E1109)</f>
        <v>45945</v>
      </c>
      <c r="G1109" s="13">
        <v>45944</v>
      </c>
      <c r="H1109" s="6">
        <f t="shared" si="34"/>
        <v>41</v>
      </c>
      <c r="I1109" s="16">
        <f>MAX(1, NETWORKDAYS(A1109, G1109,Table2[Dias no laborales]))</f>
        <v>1</v>
      </c>
      <c r="J1109" s="6" t="str">
        <f>IF(Table1[[#This Row],[FIN]]="","Acumulado",IF(ISNUMBER(SEARCH("ASAP",C1109)),"ASAP",IF(NETWORKDAYS.INTL(F1109,G1109,1,Table2[Dias no laborales]) &lt;= 7, "Dentro", IF(A1109&gt;F1109,"Programado","Fuera"))))</f>
        <v>Dentro</v>
      </c>
      <c r="K1109" s="6" t="str">
        <f t="shared" si="35"/>
        <v>Mismo día</v>
      </c>
      <c r="L1109" s="9">
        <v>45944</v>
      </c>
      <c r="M1109" s="17">
        <f>MAX(1,NETWORKDAYS(A1109,L1109,Table2[Dias no laborales]))</f>
        <v>1</v>
      </c>
    </row>
    <row r="1110" spans="1:13" hidden="1" x14ac:dyDescent="0.3">
      <c r="A1110" s="8">
        <v>45945</v>
      </c>
      <c r="B1110" s="6" t="s">
        <v>2214</v>
      </c>
      <c r="C1110" s="6" t="s">
        <v>2215</v>
      </c>
      <c r="D1110" s="6" t="s">
        <v>623</v>
      </c>
      <c r="E1110" s="14">
        <v>45944.560416666667</v>
      </c>
      <c r="F1110" s="8">
        <f>IF(HOUR(Table1[[#This Row],[CORREO]])&gt;=11,WORKDAY(Table1[[#This Row],[CORREO]],1,Table2[Dias no laborales]),E1110)</f>
        <v>45945</v>
      </c>
      <c r="G1110" s="13">
        <v>45946</v>
      </c>
      <c r="H1110" s="6">
        <f t="shared" si="34"/>
        <v>42</v>
      </c>
      <c r="I1110" s="16">
        <f>MAX(1, NETWORKDAYS(A1110, G1110,Table2[Dias no laborales]))</f>
        <v>2</v>
      </c>
      <c r="J1110" s="6" t="str">
        <f>IF(Table1[[#This Row],[FIN]]="","Acumulado",IF(ISNUMBER(SEARCH("ASAP",C1110)),"ASAP",IF(NETWORKDAYS.INTL(F1110,G1110,1,Table2[Dias no laborales]) &lt;= 7, "Dentro", IF(A1110&gt;F1110,"Programado","Fuera"))))</f>
        <v>Dentro</v>
      </c>
      <c r="K1110" s="6" t="str">
        <f t="shared" si="35"/>
        <v>A tiempo</v>
      </c>
      <c r="L1110" s="9">
        <v>45945</v>
      </c>
      <c r="M1110" s="17">
        <f>MAX(1,NETWORKDAYS(A1110,L1110,Table2[Dias no laborales]))</f>
        <v>1</v>
      </c>
    </row>
    <row r="1111" spans="1:13" hidden="1" x14ac:dyDescent="0.3">
      <c r="A1111" s="8">
        <v>45945</v>
      </c>
      <c r="B1111" s="6" t="s">
        <v>2205</v>
      </c>
      <c r="C1111" s="6" t="s">
        <v>2206</v>
      </c>
      <c r="D1111" s="6" t="s">
        <v>916</v>
      </c>
      <c r="E1111" s="14">
        <v>45944.573611111111</v>
      </c>
      <c r="F1111" s="8">
        <f>IF(HOUR(Table1[[#This Row],[CORREO]])&gt;=11,WORKDAY(Table1[[#This Row],[CORREO]],1,Table2[Dias no laborales]),E1111)</f>
        <v>45945</v>
      </c>
      <c r="G1111" s="13">
        <v>45945</v>
      </c>
      <c r="H1111" s="6">
        <f t="shared" si="34"/>
        <v>42</v>
      </c>
      <c r="I1111" s="16">
        <f>MAX(1, NETWORKDAYS(A1111, G1111,Table2[Dias no laborales]))</f>
        <v>1</v>
      </c>
      <c r="J1111" s="6" t="str">
        <f>IF(Table1[[#This Row],[FIN]]="","Acumulado",IF(ISNUMBER(SEARCH("ASAP",C1111)),"ASAP",IF(NETWORKDAYS.INTL(F1111,G1111,1,Table2[Dias no laborales]) &lt;= 7, "Dentro", IF(A1111&gt;F1111,"Programado","Fuera"))))</f>
        <v>Dentro</v>
      </c>
      <c r="K1111" s="6" t="str">
        <f t="shared" si="35"/>
        <v>A tiempo</v>
      </c>
      <c r="L1111" s="9">
        <v>45945</v>
      </c>
      <c r="M1111" s="17">
        <f>MAX(1,NETWORKDAYS(A1111,L1111,Table2[Dias no laborales]))</f>
        <v>1</v>
      </c>
    </row>
    <row r="1112" spans="1:13" hidden="1" x14ac:dyDescent="0.3">
      <c r="A1112" s="8">
        <v>45945</v>
      </c>
      <c r="B1112" s="6" t="s">
        <v>2322</v>
      </c>
      <c r="C1112" s="6" t="s">
        <v>2323</v>
      </c>
      <c r="D1112" s="6" t="s">
        <v>24</v>
      </c>
      <c r="E1112" s="14"/>
      <c r="F1112" s="8">
        <f>IF(HOUR(Table1[[#This Row],[CORREO]])&gt;=11,WORKDAY(Table1[[#This Row],[CORREO]],1,Table2[Dias no laborales]),E1112)</f>
        <v>0</v>
      </c>
      <c r="G1112" s="13">
        <v>46135</v>
      </c>
      <c r="H1112" s="6">
        <f t="shared" si="34"/>
        <v>42</v>
      </c>
      <c r="I1112" s="16">
        <f>MAX(1, NETWORKDAYS(A1112, G1112,Table2[Dias no laborales]))</f>
        <v>128</v>
      </c>
      <c r="J1112" s="6" t="str">
        <f>IF(Table1[[#This Row],[FIN]]="","Acumulado",IF(ISNUMBER(SEARCH("ASAP",C1112)),"ASAP",IF(NETWORKDAYS.INTL(F1112,G1112,1,Table2[Dias no laborales]) &lt;= 7, "Dentro", IF(A1112&gt;F1112,"Programado","Fuera"))))</f>
        <v>Programado</v>
      </c>
      <c r="K1112" s="6" t="str">
        <f t="shared" si="35"/>
        <v>Programados</v>
      </c>
      <c r="L1112" s="9">
        <v>45945</v>
      </c>
      <c r="M1112" s="17">
        <f>MAX(1,NETWORKDAYS(A1112,L1112,Table2[Dias no laborales]))</f>
        <v>1</v>
      </c>
    </row>
    <row r="1113" spans="1:13" hidden="1" x14ac:dyDescent="0.3">
      <c r="A1113" s="8">
        <v>45945</v>
      </c>
      <c r="B1113" s="6" t="s">
        <v>2289</v>
      </c>
      <c r="C1113" s="6" t="s">
        <v>2290</v>
      </c>
      <c r="D1113" s="6" t="s">
        <v>24</v>
      </c>
      <c r="E1113" s="14"/>
      <c r="F1113" s="8">
        <f>IF(HOUR(Table1[[#This Row],[CORREO]])&gt;=11,WORKDAY(Table1[[#This Row],[CORREO]],1,Table2[Dias no laborales]),E1113)</f>
        <v>0</v>
      </c>
      <c r="G1113" s="13">
        <v>45957</v>
      </c>
      <c r="H1113" s="6">
        <f t="shared" si="34"/>
        <v>42</v>
      </c>
      <c r="I1113" s="16">
        <f>MAX(1, NETWORKDAYS(A1113, G1113,Table2[Dias no laborales]))</f>
        <v>9</v>
      </c>
      <c r="J1113" s="6" t="str">
        <f>IF(Table1[[#This Row],[FIN]]="","Acumulado",IF(ISNUMBER(SEARCH("ASAP",C1113)),"ASAP",IF(NETWORKDAYS.INTL(F1113,G1113,1,Table2[Dias no laborales]) &lt;= 7, "Dentro", IF(A1113&gt;F1113,"Programado","Fuera"))))</f>
        <v>Programado</v>
      </c>
      <c r="K1113" s="6" t="str">
        <f t="shared" si="35"/>
        <v>Programados</v>
      </c>
      <c r="L1113" s="9">
        <v>45945</v>
      </c>
      <c r="M1113" s="17">
        <f>MAX(1,NETWORKDAYS(A1113,L1113,Table2[Dias no laborales]))</f>
        <v>1</v>
      </c>
    </row>
    <row r="1114" spans="1:13" hidden="1" x14ac:dyDescent="0.3">
      <c r="A1114" s="8">
        <v>45945</v>
      </c>
      <c r="B1114" s="6" t="s">
        <v>2255</v>
      </c>
      <c r="C1114" s="6" t="s">
        <v>2256</v>
      </c>
      <c r="D1114" s="6" t="s">
        <v>27</v>
      </c>
      <c r="E1114" s="14"/>
      <c r="F1114" s="8">
        <f>IF(HOUR(Table1[[#This Row],[CORREO]])&gt;=11,WORKDAY(Table1[[#This Row],[CORREO]],1,Table2[Dias no laborales]),E1114)</f>
        <v>0</v>
      </c>
      <c r="G1114" s="13">
        <v>45953</v>
      </c>
      <c r="H1114" s="6">
        <f t="shared" si="34"/>
        <v>42</v>
      </c>
      <c r="I1114" s="16">
        <f>MAX(1, NETWORKDAYS(A1114, G1114,Table2[Dias no laborales]))</f>
        <v>7</v>
      </c>
      <c r="J1114" s="6" t="str">
        <f>IF(Table1[[#This Row],[FIN]]="","Acumulado",IF(ISNUMBER(SEARCH("ASAP",C1114)),"ASAP",IF(NETWORKDAYS.INTL(F1114,G1114,1,Table2[Dias no laborales]) &lt;= 7, "Dentro", IF(A1114&gt;F1114,"Programado","Fuera"))))</f>
        <v>Programado</v>
      </c>
      <c r="K1114" s="6" t="str">
        <f t="shared" si="35"/>
        <v>Programados</v>
      </c>
      <c r="L1114" s="9">
        <v>45945</v>
      </c>
      <c r="M1114" s="17">
        <f>MAX(1,NETWORKDAYS(A1114,L1114,Table2[Dias no laborales]))</f>
        <v>1</v>
      </c>
    </row>
    <row r="1115" spans="1:13" hidden="1" x14ac:dyDescent="0.3">
      <c r="A1115" s="8">
        <v>45945</v>
      </c>
      <c r="B1115" s="6" t="s">
        <v>2222</v>
      </c>
      <c r="C1115" s="6" t="s">
        <v>2223</v>
      </c>
      <c r="D1115" s="6" t="s">
        <v>53</v>
      </c>
      <c r="E1115" s="14">
        <v>45945.332638888889</v>
      </c>
      <c r="F1115" s="8">
        <f>IF(HOUR(Table1[[#This Row],[CORREO]])&gt;=11,WORKDAY(Table1[[#This Row],[CORREO]],1,Table2[Dias no laborales]),E1115)</f>
        <v>45945.332638888889</v>
      </c>
      <c r="G1115" s="13">
        <v>45946</v>
      </c>
      <c r="H1115" s="6">
        <f t="shared" si="34"/>
        <v>42</v>
      </c>
      <c r="I1115" s="16">
        <f>MAX(1, NETWORKDAYS(A1115, G1115,Table2[Dias no laborales]))</f>
        <v>2</v>
      </c>
      <c r="J1115" s="6" t="str">
        <f>IF(Table1[[#This Row],[FIN]]="","Acumulado",IF(ISNUMBER(SEARCH("ASAP",C1115)),"ASAP",IF(NETWORKDAYS.INTL(F1115,G1115,1,Table2[Dias no laborales]) &lt;= 7, "Dentro", IF(A1115&gt;F1115,"Programado","Fuera"))))</f>
        <v>Dentro</v>
      </c>
      <c r="K1115" s="6" t="str">
        <f t="shared" si="35"/>
        <v>A tiempo</v>
      </c>
      <c r="L1115" s="9">
        <v>45946</v>
      </c>
      <c r="M1115" s="17">
        <f>MAX(1,NETWORKDAYS(A1115,L1115,Table2[Dias no laborales]))</f>
        <v>2</v>
      </c>
    </row>
    <row r="1116" spans="1:13" hidden="1" x14ac:dyDescent="0.3">
      <c r="A1116" s="8">
        <v>45945</v>
      </c>
      <c r="B1116" s="6" t="s">
        <v>2269</v>
      </c>
      <c r="C1116" s="6" t="s">
        <v>2270</v>
      </c>
      <c r="D1116" s="6" t="s">
        <v>623</v>
      </c>
      <c r="E1116" s="14">
        <v>45945.38958333333</v>
      </c>
      <c r="F1116" s="8">
        <f>IF(HOUR(Table1[[#This Row],[CORREO]])&gt;=11,WORKDAY(Table1[[#This Row],[CORREO]],1,Table2[Dias no laborales]),E1116)</f>
        <v>45945.38958333333</v>
      </c>
      <c r="G1116" s="11">
        <v>45953</v>
      </c>
      <c r="H1116" s="6">
        <f t="shared" si="34"/>
        <v>42</v>
      </c>
      <c r="I1116" s="16">
        <f>MAX(1, NETWORKDAYS(A1116, G1116,Table2[Dias no laborales]))</f>
        <v>7</v>
      </c>
      <c r="J1116" s="6" t="str">
        <f>IF(Table1[[#This Row],[FIN]]="","Acumulado",IF(ISNUMBER(SEARCH("ASAP",C1116)),"ASAP",IF(NETWORKDAYS.INTL(F1116,G1116,1,Table2[Dias no laborales]) &lt;= 7, "Dentro", IF(A1116&gt;F1116,"Programado","Fuera"))))</f>
        <v>Dentro</v>
      </c>
      <c r="K1116" s="6" t="str">
        <f t="shared" si="35"/>
        <v>A tiempo</v>
      </c>
      <c r="L1116" s="9">
        <v>45945</v>
      </c>
      <c r="M1116" s="17">
        <f>MAX(1,NETWORKDAYS(A1116,L1116,Table2[Dias no laborales]))</f>
        <v>1</v>
      </c>
    </row>
    <row r="1117" spans="1:13" hidden="1" x14ac:dyDescent="0.3">
      <c r="A1117" s="8">
        <v>45945</v>
      </c>
      <c r="B1117" s="6" t="s">
        <v>2210</v>
      </c>
      <c r="C1117" s="6" t="s">
        <v>2211</v>
      </c>
      <c r="D1117" s="6" t="s">
        <v>171</v>
      </c>
      <c r="E1117" s="14">
        <v>45945.442361111112</v>
      </c>
      <c r="F1117" s="8">
        <f>IF(HOUR(Table1[[#This Row],[CORREO]])&gt;=11,WORKDAY(Table1[[#This Row],[CORREO]],1,Table2[Dias no laborales]),E1117)</f>
        <v>45945.442361111112</v>
      </c>
      <c r="G1117" s="11">
        <v>45945</v>
      </c>
      <c r="H1117" s="6">
        <f t="shared" si="34"/>
        <v>42</v>
      </c>
      <c r="I1117" s="16">
        <f>MAX(1, NETWORKDAYS(A1117, G1117,Table2[Dias no laborales]))</f>
        <v>1</v>
      </c>
      <c r="J1117" s="6" t="str">
        <f>IF(Table1[[#This Row],[FIN]]="","Acumulado",IF(ISNUMBER(SEARCH("ASAP",C1117)),"ASAP",IF(NETWORKDAYS.INTL(F1117,G1117,1,Table2[Dias no laborales]) &lt;= 7, "Dentro", IF(A1117&gt;F1117,"Programado","Fuera"))))</f>
        <v>Dentro</v>
      </c>
      <c r="K1117" s="6" t="str">
        <f t="shared" si="35"/>
        <v>A tiempo</v>
      </c>
      <c r="L1117" s="9">
        <v>45945</v>
      </c>
      <c r="M1117" s="17">
        <f>MAX(1,NETWORKDAYS(A1117,L1117,Table2[Dias no laborales]))</f>
        <v>1</v>
      </c>
    </row>
    <row r="1118" spans="1:13" hidden="1" x14ac:dyDescent="0.3">
      <c r="A1118" s="8">
        <v>45945</v>
      </c>
      <c r="B1118" s="6" t="s">
        <v>2235</v>
      </c>
      <c r="C1118" s="6" t="s">
        <v>2236</v>
      </c>
      <c r="D1118" s="6" t="s">
        <v>27</v>
      </c>
      <c r="E1118" s="14">
        <v>45945.484027777777</v>
      </c>
      <c r="F1118" s="8">
        <f>IF(HOUR(Table1[[#This Row],[CORREO]])&gt;=11,WORKDAY(Table1[[#This Row],[CORREO]],1,Table2[Dias no laborales]),E1118)</f>
        <v>45946</v>
      </c>
      <c r="G1118" s="11">
        <v>45950</v>
      </c>
      <c r="H1118" s="6">
        <f t="shared" si="34"/>
        <v>42</v>
      </c>
      <c r="I1118" s="16">
        <f>MAX(1, NETWORKDAYS(A1118, G1118,Table2[Dias no laborales]))</f>
        <v>4</v>
      </c>
      <c r="J1118" s="6" t="str">
        <f>IF(Table1[[#This Row],[FIN]]="","Acumulado",IF(ISNUMBER(SEARCH("ASAP",C1118)),"ASAP",IF(NETWORKDAYS.INTL(F1118,G1118,1,Table2[Dias no laborales]) &lt;= 7, "Dentro", IF(A1118&gt;F1118,"Programado","Fuera"))))</f>
        <v>ASAP</v>
      </c>
      <c r="K1118" s="6" t="str">
        <f t="shared" si="35"/>
        <v>Mismo día</v>
      </c>
      <c r="L1118" s="9">
        <v>45945</v>
      </c>
      <c r="M1118" s="17">
        <f>MAX(1,NETWORKDAYS(A1118,L1118,Table2[Dias no laborales]))</f>
        <v>1</v>
      </c>
    </row>
    <row r="1119" spans="1:13" hidden="1" x14ac:dyDescent="0.3">
      <c r="A1119" s="8">
        <v>45945</v>
      </c>
      <c r="B1119" s="6" t="s">
        <v>2324</v>
      </c>
      <c r="C1119" s="6" t="s">
        <v>2325</v>
      </c>
      <c r="D1119" s="6" t="s">
        <v>24</v>
      </c>
      <c r="E1119" s="14"/>
      <c r="F1119" s="8">
        <f>IF(HOUR(Table1[[#This Row],[CORREO]])&gt;=11,WORKDAY(Table1[[#This Row],[CORREO]],1,Table2[Dias no laborales]),E1119)</f>
        <v>0</v>
      </c>
      <c r="G1119" s="11">
        <v>46099</v>
      </c>
      <c r="H1119" s="6">
        <f t="shared" si="34"/>
        <v>42</v>
      </c>
      <c r="I1119" s="16">
        <f>MAX(1, NETWORKDAYS(A1119, G1119,Table2[Dias no laborales]))</f>
        <v>104</v>
      </c>
      <c r="J1119" s="6" t="str">
        <f>IF(Table1[[#This Row],[FIN]]="","Acumulado",IF(ISNUMBER(SEARCH("ASAP",C1119)),"ASAP",IF(NETWORKDAYS.INTL(F1119,G1119,1,Table2[Dias no laborales]) &lt;= 7, "Dentro", IF(A1119&gt;F1119,"Programado","Fuera"))))</f>
        <v>Programado</v>
      </c>
      <c r="K1119" s="6" t="str">
        <f t="shared" si="35"/>
        <v>Programados</v>
      </c>
      <c r="L1119" s="9">
        <v>45945</v>
      </c>
      <c r="M1119" s="17">
        <f>MAX(1,NETWORKDAYS(A1119,L1119,Table2[Dias no laborales]))</f>
        <v>1</v>
      </c>
    </row>
    <row r="1120" spans="1:13" hidden="1" x14ac:dyDescent="0.3">
      <c r="A1120" s="8">
        <v>45946</v>
      </c>
      <c r="B1120" s="6" t="s">
        <v>2244</v>
      </c>
      <c r="C1120" s="6" t="s">
        <v>2245</v>
      </c>
      <c r="D1120" s="6" t="s">
        <v>24</v>
      </c>
      <c r="E1120" s="14">
        <v>45945.685416666667</v>
      </c>
      <c r="F1120" s="8">
        <f>IF(HOUR(Table1[[#This Row],[CORREO]])&gt;=11,WORKDAY(Table1[[#This Row],[CORREO]],1,Table2[Dias no laborales]),E1120)</f>
        <v>45946</v>
      </c>
      <c r="G1120" s="11">
        <v>45952</v>
      </c>
      <c r="H1120" s="6">
        <f t="shared" si="34"/>
        <v>42</v>
      </c>
      <c r="I1120" s="16">
        <f>MAX(1, NETWORKDAYS(A1120, G1120,Table2[Dias no laborales]))</f>
        <v>5</v>
      </c>
      <c r="J1120" s="6" t="str">
        <f>IF(Table1[[#This Row],[FIN]]="","Acumulado",IF(ISNUMBER(SEARCH("ASAP",C1120)),"ASAP",IF(NETWORKDAYS.INTL(F1120,G1120,1,Table2[Dias no laborales]) &lt;= 7, "Dentro", IF(A1120&gt;F1120,"Programado","Fuera"))))</f>
        <v>Dentro</v>
      </c>
      <c r="K1120" s="6" t="str">
        <f t="shared" si="35"/>
        <v>A tiempo</v>
      </c>
      <c r="L1120" s="9">
        <v>45946</v>
      </c>
      <c r="M1120" s="17">
        <f>MAX(1,NETWORKDAYS(A1120,L1120,Table2[Dias no laborales]))</f>
        <v>1</v>
      </c>
    </row>
    <row r="1121" spans="1:13" hidden="1" x14ac:dyDescent="0.3">
      <c r="A1121" s="8">
        <v>45946</v>
      </c>
      <c r="B1121" s="6" t="s">
        <v>2237</v>
      </c>
      <c r="C1121" s="6" t="s">
        <v>2238</v>
      </c>
      <c r="D1121" s="6" t="s">
        <v>194</v>
      </c>
      <c r="E1121" s="14">
        <v>45946.282638888886</v>
      </c>
      <c r="F1121" s="8">
        <f>IF(HOUR(Table1[[#This Row],[CORREO]])&gt;=11,WORKDAY(Table1[[#This Row],[CORREO]],1,Table2[Dias no laborales]),E1121)</f>
        <v>45946.282638888886</v>
      </c>
      <c r="G1121" s="11">
        <v>45951</v>
      </c>
      <c r="H1121" s="6">
        <f t="shared" si="34"/>
        <v>42</v>
      </c>
      <c r="I1121" s="16">
        <f>MAX(1, NETWORKDAYS(A1121, G1121,Table2[Dias no laborales]))</f>
        <v>4</v>
      </c>
      <c r="J1121" s="6" t="str">
        <f>IF(Table1[[#This Row],[FIN]]="","Acumulado",IF(ISNUMBER(SEARCH("ASAP",C1121)),"ASAP",IF(NETWORKDAYS.INTL(F1121,G1121,1,Table2[Dias no laborales]) &lt;= 7, "Dentro", IF(A1121&gt;F1121,"Programado","Fuera"))))</f>
        <v>Dentro</v>
      </c>
      <c r="K1121" s="6" t="str">
        <f t="shared" si="35"/>
        <v>A tiempo</v>
      </c>
      <c r="L1121" s="9">
        <v>45946</v>
      </c>
      <c r="M1121" s="17">
        <f>MAX(1,NETWORKDAYS(A1121,L1121,Table2[Dias no laborales]))</f>
        <v>1</v>
      </c>
    </row>
    <row r="1122" spans="1:13" hidden="1" x14ac:dyDescent="0.3">
      <c r="A1122" s="8">
        <v>45947</v>
      </c>
      <c r="B1122" s="6" t="s">
        <v>2226</v>
      </c>
      <c r="C1122" s="6" t="s">
        <v>2200</v>
      </c>
      <c r="D1122" s="6" t="s">
        <v>133</v>
      </c>
      <c r="E1122" s="14">
        <v>45946.786111111112</v>
      </c>
      <c r="F1122" s="8">
        <f>IF(HOUR(Table1[[#This Row],[CORREO]])&gt;=11,WORKDAY(Table1[[#This Row],[CORREO]],1,Table2[Dias no laborales]),E1122)</f>
        <v>45947</v>
      </c>
      <c r="G1122" s="11">
        <v>45947</v>
      </c>
      <c r="H1122" s="6">
        <f t="shared" si="34"/>
        <v>42</v>
      </c>
      <c r="I1122" s="16">
        <f>MAX(1, NETWORKDAYS(A1122, G1122,Table2[Dias no laborales]))</f>
        <v>1</v>
      </c>
      <c r="J1122" s="6" t="str">
        <f>IF(Table1[[#This Row],[FIN]]="","Acumulado",IF(ISNUMBER(SEARCH("ASAP",C1122)),"ASAP",IF(NETWORKDAYS.INTL(F1122,G1122,1,Table2[Dias no laborales]) &lt;= 7, "Dentro", IF(A1122&gt;F1122,"Programado","Fuera"))))</f>
        <v>Dentro</v>
      </c>
      <c r="K1122" s="6" t="str">
        <f t="shared" si="35"/>
        <v>A tiempo</v>
      </c>
      <c r="L1122" s="9">
        <v>45947</v>
      </c>
      <c r="M1122" s="17">
        <f>MAX(1,NETWORKDAYS(A1122,L1122,Table2[Dias no laborales]))</f>
        <v>1</v>
      </c>
    </row>
    <row r="1123" spans="1:13" hidden="1" x14ac:dyDescent="0.3">
      <c r="A1123" s="8">
        <v>45947</v>
      </c>
      <c r="B1123" s="6" t="s">
        <v>2229</v>
      </c>
      <c r="C1123" s="6" t="s">
        <v>2230</v>
      </c>
      <c r="D1123" s="6" t="s">
        <v>538</v>
      </c>
      <c r="E1123" s="14">
        <v>45946.787499999999</v>
      </c>
      <c r="F1123" s="8">
        <f>IF(HOUR(Table1[[#This Row],[CORREO]])&gt;=11,WORKDAY(Table1[[#This Row],[CORREO]],1,Table2[Dias no laborales]),E1123)</f>
        <v>45947</v>
      </c>
      <c r="G1123" s="11">
        <v>45947</v>
      </c>
      <c r="H1123" s="6">
        <f t="shared" si="34"/>
        <v>42</v>
      </c>
      <c r="I1123" s="16">
        <f>MAX(1, NETWORKDAYS(A1123, G1123,Table2[Dias no laborales]))</f>
        <v>1</v>
      </c>
      <c r="J1123" s="6" t="str">
        <f>IF(Table1[[#This Row],[FIN]]="","Acumulado",IF(ISNUMBER(SEARCH("ASAP",C1123)),"ASAP",IF(NETWORKDAYS.INTL(F1123,G1123,1,Table2[Dias no laborales]) &lt;= 7, "Dentro", IF(A1123&gt;F1123,"Programado","Fuera"))))</f>
        <v>Dentro</v>
      </c>
      <c r="K1123" s="6" t="str">
        <f t="shared" si="35"/>
        <v>A tiempo</v>
      </c>
      <c r="L1123" s="9">
        <v>45947</v>
      </c>
      <c r="M1123" s="17">
        <f>MAX(1,NETWORKDAYS(A1123,L1123,Table2[Dias no laborales]))</f>
        <v>1</v>
      </c>
    </row>
    <row r="1124" spans="1:13" hidden="1" x14ac:dyDescent="0.3">
      <c r="A1124" s="8">
        <v>45947</v>
      </c>
      <c r="B1124" s="6" t="s">
        <v>2227</v>
      </c>
      <c r="C1124" s="6" t="s">
        <v>2228</v>
      </c>
      <c r="D1124" s="6" t="s">
        <v>24</v>
      </c>
      <c r="E1124" s="14"/>
      <c r="F1124" s="8">
        <f>IF(HOUR(Table1[[#This Row],[CORREO]])&gt;=11,WORKDAY(Table1[[#This Row],[CORREO]],1,Table2[Dias no laborales]),E1124)</f>
        <v>0</v>
      </c>
      <c r="G1124" s="11">
        <v>45947</v>
      </c>
      <c r="H1124" s="6">
        <f t="shared" si="34"/>
        <v>42</v>
      </c>
      <c r="I1124" s="16">
        <f>MAX(1, NETWORKDAYS(A1124, G1124,Table2[Dias no laborales]))</f>
        <v>1</v>
      </c>
      <c r="J1124" s="6" t="str">
        <f>IF(Table1[[#This Row],[FIN]]="","Acumulado",IF(ISNUMBER(SEARCH("ASAP",C1124)),"ASAP",IF(NETWORKDAYS.INTL(F1124,G1124,1,Table2[Dias no laborales]) &lt;= 7, "Dentro", IF(A1124&gt;F1124,"Programado","Fuera"))))</f>
        <v>Programado</v>
      </c>
      <c r="K1124" s="6" t="str">
        <f t="shared" si="35"/>
        <v>Programados</v>
      </c>
      <c r="L1124" s="9">
        <v>45947</v>
      </c>
      <c r="M1124" s="17">
        <f>MAX(1,NETWORKDAYS(A1124,L1124,Table2[Dias no laborales]))</f>
        <v>1</v>
      </c>
    </row>
    <row r="1125" spans="1:13" hidden="1" x14ac:dyDescent="0.3">
      <c r="A1125" s="8">
        <v>45950</v>
      </c>
      <c r="B1125" s="6" t="s">
        <v>2239</v>
      </c>
      <c r="C1125" s="6" t="s">
        <v>997</v>
      </c>
      <c r="D1125" s="6" t="s">
        <v>108</v>
      </c>
      <c r="E1125" s="14">
        <v>45947.706250000003</v>
      </c>
      <c r="F1125" s="8">
        <f>IF(HOUR(Table1[[#This Row],[CORREO]])&gt;=11,WORKDAY(Table1[[#This Row],[CORREO]],1,Table2[Dias no laborales]),E1125)</f>
        <v>45950</v>
      </c>
      <c r="G1125" s="11">
        <v>45951</v>
      </c>
      <c r="H1125" s="6">
        <f t="shared" si="34"/>
        <v>42</v>
      </c>
      <c r="I1125" s="16">
        <f>MAX(1, NETWORKDAYS(A1125, G1125,Table2[Dias no laborales]))</f>
        <v>2</v>
      </c>
      <c r="J1125" s="6" t="str">
        <f>IF(Table1[[#This Row],[FIN]]="","Acumulado",IF(ISNUMBER(SEARCH("ASAP",C1125)),"ASAP",IF(NETWORKDAYS.INTL(F1125,G1125,1,Table2[Dias no laborales]) &lt;= 7, "Dentro", IF(A1125&gt;F1125,"Programado","Fuera"))))</f>
        <v>Dentro</v>
      </c>
      <c r="K1125" s="6" t="str">
        <f t="shared" si="35"/>
        <v>A tiempo</v>
      </c>
      <c r="L1125" s="9">
        <v>45950</v>
      </c>
      <c r="M1125" s="17">
        <f>MAX(1,NETWORKDAYS(A1125,L1125,Table2[Dias no laborales]))</f>
        <v>1</v>
      </c>
    </row>
    <row r="1126" spans="1:13" hidden="1" x14ac:dyDescent="0.3">
      <c r="A1126" s="8">
        <v>45950</v>
      </c>
      <c r="B1126" s="6" t="s">
        <v>2257</v>
      </c>
      <c r="C1126" s="6" t="s">
        <v>2258</v>
      </c>
      <c r="D1126" s="6" t="s">
        <v>53</v>
      </c>
      <c r="E1126" s="14">
        <v>45950.322916666664</v>
      </c>
      <c r="F1126" s="8">
        <f>IF(HOUR(Table1[[#This Row],[CORREO]])&gt;=11,WORKDAY(Table1[[#This Row],[CORREO]],1,Table2[Dias no laborales]),E1126)</f>
        <v>45950.322916666664</v>
      </c>
      <c r="G1126" s="11">
        <v>45953</v>
      </c>
      <c r="H1126" s="6">
        <f t="shared" si="34"/>
        <v>42</v>
      </c>
      <c r="I1126" s="16">
        <f>MAX(1, NETWORKDAYS(A1126, G1126,Table2[Dias no laborales]))</f>
        <v>4</v>
      </c>
      <c r="J1126" s="6" t="str">
        <f>IF(Table1[[#This Row],[FIN]]="","Acumulado",IF(ISNUMBER(SEARCH("ASAP",C1126)),"ASAP",IF(NETWORKDAYS.INTL(F1126,G1126,1,Table2[Dias no laborales]) &lt;= 7, "Dentro", IF(A1126&gt;F1126,"Programado","Fuera"))))</f>
        <v>Dentro</v>
      </c>
      <c r="K1126" s="6" t="str">
        <f t="shared" si="35"/>
        <v>A tiempo</v>
      </c>
      <c r="L1126" s="9">
        <v>45950</v>
      </c>
      <c r="M1126" s="17">
        <f>MAX(1,NETWORKDAYS(A1126,L1126,Table2[Dias no laborales]))</f>
        <v>1</v>
      </c>
    </row>
    <row r="1127" spans="1:13" hidden="1" x14ac:dyDescent="0.3">
      <c r="A1127" s="8">
        <v>45950</v>
      </c>
      <c r="B1127" s="6" t="s">
        <v>2231</v>
      </c>
      <c r="C1127" s="6" t="s">
        <v>2232</v>
      </c>
      <c r="D1127" s="6" t="s">
        <v>53</v>
      </c>
      <c r="E1127" s="14">
        <v>45950.333333333336</v>
      </c>
      <c r="F1127" s="8">
        <f>IF(HOUR(Table1[[#This Row],[CORREO]])&gt;=11,WORKDAY(Table1[[#This Row],[CORREO]],1,Table2[Dias no laborales]),E1127)</f>
        <v>45950.333333333336</v>
      </c>
      <c r="G1127" s="11">
        <v>45950</v>
      </c>
      <c r="H1127" s="6">
        <f t="shared" si="34"/>
        <v>42</v>
      </c>
      <c r="I1127" s="16">
        <f>MAX(1, NETWORKDAYS(A1127, G1127,Table2[Dias no laborales]))</f>
        <v>1</v>
      </c>
      <c r="J1127" s="6" t="str">
        <f>IF(Table1[[#This Row],[FIN]]="","Acumulado",IF(ISNUMBER(SEARCH("ASAP",C1127)),"ASAP",IF(NETWORKDAYS.INTL(F1127,G1127,1,Table2[Dias no laborales]) &lt;= 7, "Dentro", IF(A1127&gt;F1127,"Programado","Fuera"))))</f>
        <v>Dentro</v>
      </c>
      <c r="K1127" s="6" t="str">
        <f t="shared" si="35"/>
        <v>A tiempo</v>
      </c>
      <c r="L1127" s="9">
        <v>45950</v>
      </c>
      <c r="M1127" s="17">
        <f>MAX(1,NETWORKDAYS(A1127,L1127,Table2[Dias no laborales]))</f>
        <v>1</v>
      </c>
    </row>
    <row r="1128" spans="1:13" hidden="1" x14ac:dyDescent="0.3">
      <c r="A1128" s="8">
        <v>45950</v>
      </c>
      <c r="B1128" s="6" t="s">
        <v>2362</v>
      </c>
      <c r="C1128" s="6" t="s">
        <v>2363</v>
      </c>
      <c r="D1128" s="6" t="s">
        <v>151</v>
      </c>
      <c r="E1128" s="14"/>
      <c r="F1128" s="8">
        <f>IF(HOUR(Table1[[#This Row],[CORREO]])&gt;=11,WORKDAY(Table1[[#This Row],[CORREO]],1,Table2[Dias no laborales]),E1128)</f>
        <v>0</v>
      </c>
      <c r="G1128" s="11">
        <v>45967</v>
      </c>
      <c r="H1128" s="6">
        <f t="shared" si="34"/>
        <v>42</v>
      </c>
      <c r="I1128" s="16">
        <f>MAX(1, NETWORKDAYS(A1128, G1128,Table2[Dias no laborales]))</f>
        <v>14</v>
      </c>
      <c r="J1128" s="6" t="str">
        <f>IF(Table1[[#This Row],[FIN]]="","Acumulado",IF(ISNUMBER(SEARCH("ASAP",C1128)),"ASAP",IF(NETWORKDAYS.INTL(F1128,G1128,1,Table2[Dias no laborales]) &lt;= 7, "Dentro", IF(A1128&gt;F1128,"Programado","Fuera"))))</f>
        <v>Programado</v>
      </c>
      <c r="K1128" s="6" t="str">
        <f t="shared" si="35"/>
        <v>Programados</v>
      </c>
      <c r="L1128" s="9">
        <v>45951</v>
      </c>
      <c r="M1128" s="17">
        <f>MAX(1,NETWORKDAYS(A1128,L1128,Table2[Dias no laborales]))</f>
        <v>2</v>
      </c>
    </row>
    <row r="1129" spans="1:13" hidden="1" x14ac:dyDescent="0.3">
      <c r="A1129" s="8">
        <v>45950</v>
      </c>
      <c r="B1129" s="6" t="s">
        <v>2271</v>
      </c>
      <c r="C1129" s="6" t="s">
        <v>2272</v>
      </c>
      <c r="D1129" s="6" t="s">
        <v>24</v>
      </c>
      <c r="E1129" s="14"/>
      <c r="F1129" s="8">
        <f>IF(HOUR(Table1[[#This Row],[CORREO]])&gt;=11,WORKDAY(Table1[[#This Row],[CORREO]],1,Table2[Dias no laborales]),E1129)</f>
        <v>0</v>
      </c>
      <c r="G1129" s="11">
        <v>45954</v>
      </c>
      <c r="H1129" s="6">
        <f t="shared" si="34"/>
        <v>42</v>
      </c>
      <c r="I1129" s="16">
        <f>MAX(1, NETWORKDAYS(A1129, G1129,Table2[Dias no laborales]))</f>
        <v>5</v>
      </c>
      <c r="J1129" s="6" t="str">
        <f>IF(Table1[[#This Row],[FIN]]="","Acumulado",IF(ISNUMBER(SEARCH("ASAP",C1129)),"ASAP",IF(NETWORKDAYS.INTL(F1129,G1129,1,Table2[Dias no laborales]) &lt;= 7, "Dentro", IF(A1129&gt;F1129,"Programado","Fuera"))))</f>
        <v>Programado</v>
      </c>
      <c r="K1129" s="6" t="str">
        <f t="shared" si="35"/>
        <v>Programados</v>
      </c>
      <c r="L1129" s="9">
        <v>45950</v>
      </c>
      <c r="M1129" s="17">
        <f>MAX(1,NETWORKDAYS(A1129,L1129,Table2[Dias no laborales]))</f>
        <v>1</v>
      </c>
    </row>
    <row r="1130" spans="1:13" hidden="1" x14ac:dyDescent="0.3">
      <c r="A1130" s="8">
        <v>45951</v>
      </c>
      <c r="B1130" s="6" t="s">
        <v>2240</v>
      </c>
      <c r="C1130" s="6" t="s">
        <v>2241</v>
      </c>
      <c r="D1130" s="6" t="s">
        <v>623</v>
      </c>
      <c r="E1130" s="14">
        <v>45950.566666666666</v>
      </c>
      <c r="F1130" s="8">
        <f>IF(HOUR(Table1[[#This Row],[CORREO]])&gt;=11,WORKDAY(Table1[[#This Row],[CORREO]],1,Table2[Dias no laborales]),E1130)</f>
        <v>45951</v>
      </c>
      <c r="G1130" s="11">
        <v>45951</v>
      </c>
      <c r="H1130" s="6">
        <f t="shared" si="34"/>
        <v>42</v>
      </c>
      <c r="I1130" s="16">
        <f>MAX(1, NETWORKDAYS(A1130, G1130,Table2[Dias no laborales]))</f>
        <v>1</v>
      </c>
      <c r="J1130" s="6" t="str">
        <f>IF(Table1[[#This Row],[FIN]]="","Acumulado",IF(ISNUMBER(SEARCH("ASAP",C1130)),"ASAP",IF(NETWORKDAYS.INTL(F1130,G1130,1,Table2[Dias no laborales]) &lt;= 7, "Dentro", IF(A1130&gt;F1130,"Programado","Fuera"))))</f>
        <v>Dentro</v>
      </c>
      <c r="K1130" s="6" t="str">
        <f t="shared" si="35"/>
        <v>A tiempo</v>
      </c>
      <c r="L1130" s="9">
        <v>45951</v>
      </c>
      <c r="M1130" s="17">
        <f>MAX(1,NETWORKDAYS(A1130,L1130,Table2[Dias no laborales]))</f>
        <v>1</v>
      </c>
    </row>
    <row r="1131" spans="1:13" hidden="1" x14ac:dyDescent="0.3">
      <c r="A1131" s="8">
        <v>45951</v>
      </c>
      <c r="B1131" s="6" t="s">
        <v>2250</v>
      </c>
      <c r="C1131" s="6" t="s">
        <v>2251</v>
      </c>
      <c r="D1131" s="6" t="s">
        <v>89</v>
      </c>
      <c r="E1131" s="14">
        <v>45950.675694444442</v>
      </c>
      <c r="F1131" s="8">
        <f>IF(HOUR(Table1[[#This Row],[CORREO]])&gt;=11,WORKDAY(Table1[[#This Row],[CORREO]],1,Table2[Dias no laborales]),E1131)</f>
        <v>45951</v>
      </c>
      <c r="G1131" s="11">
        <v>45953</v>
      </c>
      <c r="H1131" s="6">
        <f t="shared" si="34"/>
        <v>42</v>
      </c>
      <c r="I1131" s="16">
        <f>MAX(1, NETWORKDAYS(A1131, G1131,Table2[Dias no laborales]))</f>
        <v>3</v>
      </c>
      <c r="J1131" s="6" t="str">
        <f>IF(Table1[[#This Row],[FIN]]="","Acumulado",IF(ISNUMBER(SEARCH("ASAP",C1131)),"ASAP",IF(NETWORKDAYS.INTL(F1131,G1131,1,Table2[Dias no laborales]) &lt;= 7, "Dentro", IF(A1131&gt;F1131,"Programado","Fuera"))))</f>
        <v>Dentro</v>
      </c>
      <c r="K1131" s="6" t="str">
        <f t="shared" si="35"/>
        <v>A tiempo</v>
      </c>
      <c r="L1131" s="9">
        <v>45951</v>
      </c>
      <c r="M1131" s="17">
        <f>MAX(1,NETWORKDAYS(A1131,L1131,Table2[Dias no laborales]))</f>
        <v>1</v>
      </c>
    </row>
    <row r="1132" spans="1:13" hidden="1" x14ac:dyDescent="0.3">
      <c r="A1132" s="8">
        <v>45951</v>
      </c>
      <c r="B1132" s="6" t="s">
        <v>2261</v>
      </c>
      <c r="C1132" s="6" t="s">
        <v>2262</v>
      </c>
      <c r="D1132" s="6" t="s">
        <v>154</v>
      </c>
      <c r="E1132" s="14">
        <v>45950.679166666669</v>
      </c>
      <c r="F1132" s="8">
        <f>IF(HOUR(Table1[[#This Row],[CORREO]])&gt;=11,WORKDAY(Table1[[#This Row],[CORREO]],1,Table2[Dias no laborales]),E1132)</f>
        <v>45951</v>
      </c>
      <c r="G1132" s="11">
        <v>45953</v>
      </c>
      <c r="H1132" s="6">
        <f t="shared" si="34"/>
        <v>42</v>
      </c>
      <c r="I1132" s="16">
        <f>MAX(1, NETWORKDAYS(A1132, G1132,Table2[Dias no laborales]))</f>
        <v>3</v>
      </c>
      <c r="J1132" s="6" t="str">
        <f>IF(Table1[[#This Row],[FIN]]="","Acumulado",IF(ISNUMBER(SEARCH("ASAP",C1132)),"ASAP",IF(NETWORKDAYS.INTL(F1132,G1132,1,Table2[Dias no laborales]) &lt;= 7, "Dentro", IF(A1132&gt;F1132,"Programado","Fuera"))))</f>
        <v>Dentro</v>
      </c>
      <c r="K1132" s="6" t="str">
        <f t="shared" si="35"/>
        <v>A tiempo</v>
      </c>
      <c r="L1132" s="9">
        <v>45951</v>
      </c>
      <c r="M1132" s="17">
        <f>MAX(1,NETWORKDAYS(A1132,L1132,Table2[Dias no laborales]))</f>
        <v>1</v>
      </c>
    </row>
    <row r="1133" spans="1:13" hidden="1" x14ac:dyDescent="0.3">
      <c r="A1133" s="8">
        <v>45951</v>
      </c>
      <c r="B1133" s="6" t="s">
        <v>2252</v>
      </c>
      <c r="C1133" s="6" t="s">
        <v>2253</v>
      </c>
      <c r="D1133" s="6" t="s">
        <v>89</v>
      </c>
      <c r="E1133" s="14">
        <v>45950.686111111114</v>
      </c>
      <c r="F1133" s="8">
        <f>IF(HOUR(Table1[[#This Row],[CORREO]])&gt;=11,WORKDAY(Table1[[#This Row],[CORREO]],1,Table2[Dias no laborales]),E1133)</f>
        <v>45951</v>
      </c>
      <c r="G1133" s="11">
        <v>45953</v>
      </c>
      <c r="H1133" s="6">
        <f t="shared" si="34"/>
        <v>42</v>
      </c>
      <c r="I1133" s="16">
        <f>MAX(1, NETWORKDAYS(A1133, G1133,Table2[Dias no laborales]))</f>
        <v>3</v>
      </c>
      <c r="J1133" s="6" t="str">
        <f>IF(Table1[[#This Row],[FIN]]="","Acumulado",IF(ISNUMBER(SEARCH("ASAP",C1133)),"ASAP",IF(NETWORKDAYS.INTL(F1133,G1133,1,Table2[Dias no laborales]) &lt;= 7, "Dentro", IF(A1133&gt;F1133,"Programado","Fuera"))))</f>
        <v>Dentro</v>
      </c>
      <c r="K1133" s="6" t="str">
        <f t="shared" si="35"/>
        <v>A tiempo</v>
      </c>
      <c r="L1133" s="9">
        <v>45952</v>
      </c>
      <c r="M1133" s="17">
        <f>MAX(1,NETWORKDAYS(A1133,L1133,Table2[Dias no laborales]))</f>
        <v>2</v>
      </c>
    </row>
    <row r="1134" spans="1:13" hidden="1" x14ac:dyDescent="0.3">
      <c r="A1134" s="8">
        <v>45951</v>
      </c>
      <c r="B1134" s="6" t="s">
        <v>2285</v>
      </c>
      <c r="C1134" s="6" t="s">
        <v>807</v>
      </c>
      <c r="D1134" s="6" t="s">
        <v>119</v>
      </c>
      <c r="E1134" s="14">
        <v>45950.924305555556</v>
      </c>
      <c r="F1134" s="8">
        <f>IF(HOUR(Table1[[#This Row],[CORREO]])&gt;=11,WORKDAY(Table1[[#This Row],[CORREO]],1,Table2[Dias no laborales]),E1134)</f>
        <v>45951</v>
      </c>
      <c r="G1134" s="11">
        <v>45957</v>
      </c>
      <c r="H1134" s="6">
        <f t="shared" si="34"/>
        <v>42</v>
      </c>
      <c r="I1134" s="16">
        <f>MAX(1, NETWORKDAYS(A1134, G1134,Table2[Dias no laborales]))</f>
        <v>5</v>
      </c>
      <c r="J1134" s="6" t="str">
        <f>IF(Table1[[#This Row],[FIN]]="","Acumulado",IF(ISNUMBER(SEARCH("ASAP",C1134)),"ASAP",IF(NETWORKDAYS.INTL(F1134,G1134,1,Table2[Dias no laborales]) &lt;= 7, "Dentro", IF(A1134&gt;F1134,"Programado","Fuera"))))</f>
        <v>Dentro</v>
      </c>
      <c r="K1134" s="6" t="str">
        <f t="shared" si="35"/>
        <v>A tiempo</v>
      </c>
      <c r="L1134" s="9">
        <v>45953</v>
      </c>
      <c r="M1134" s="17">
        <f>MAX(1,NETWORKDAYS(A1134,L1134,Table2[Dias no laborales]))</f>
        <v>3</v>
      </c>
    </row>
    <row r="1135" spans="1:13" hidden="1" x14ac:dyDescent="0.3">
      <c r="A1135" s="8">
        <v>45951</v>
      </c>
      <c r="B1135" s="6" t="s">
        <v>2242</v>
      </c>
      <c r="C1135" s="6" t="s">
        <v>2243</v>
      </c>
      <c r="D1135" s="6" t="s">
        <v>85</v>
      </c>
      <c r="E1135" s="14">
        <v>45950.496527777781</v>
      </c>
      <c r="F1135" s="8">
        <f>IF(HOUR(Table1[[#This Row],[CORREO]])&gt;=11,WORKDAY(Table1[[#This Row],[CORREO]],1,Table2[Dias no laborales]),E1135)</f>
        <v>45951</v>
      </c>
      <c r="G1135" s="11">
        <v>45951</v>
      </c>
      <c r="H1135" s="6">
        <f t="shared" si="34"/>
        <v>42</v>
      </c>
      <c r="I1135" s="16">
        <f>MAX(1, NETWORKDAYS(A1135, G1135,Table2[Dias no laborales]))</f>
        <v>1</v>
      </c>
      <c r="J1135" s="6" t="str">
        <f>IF(Table1[[#This Row],[FIN]]="","Acumulado",IF(ISNUMBER(SEARCH("ASAP",C1135)),"ASAP",IF(NETWORKDAYS.INTL(F1135,G1135,1,Table2[Dias no laborales]) &lt;= 7, "Dentro", IF(A1135&gt;F1135,"Programado","Fuera"))))</f>
        <v>Dentro</v>
      </c>
      <c r="K1135" s="6" t="str">
        <f t="shared" si="35"/>
        <v>A tiempo</v>
      </c>
      <c r="L1135" s="9">
        <v>45951</v>
      </c>
      <c r="M1135" s="17">
        <f>MAX(1,NETWORKDAYS(A1135,L1135,Table2[Dias no laborales]))</f>
        <v>1</v>
      </c>
    </row>
    <row r="1136" spans="1:13" hidden="1" x14ac:dyDescent="0.3">
      <c r="A1136" s="8">
        <v>45951</v>
      </c>
      <c r="B1136" s="6" t="s">
        <v>2266</v>
      </c>
      <c r="C1136" s="6" t="s">
        <v>2267</v>
      </c>
      <c r="D1136" s="6" t="s">
        <v>24</v>
      </c>
      <c r="E1136" s="14">
        <v>45951.363888888889</v>
      </c>
      <c r="F1136" s="8">
        <f>IF(HOUR(Table1[[#This Row],[CORREO]])&gt;=11,WORKDAY(Table1[[#This Row],[CORREO]],1,Table2[Dias no laborales]),E1136)</f>
        <v>45951.363888888889</v>
      </c>
      <c r="G1136" s="11">
        <v>45953</v>
      </c>
      <c r="H1136" s="6">
        <f t="shared" si="34"/>
        <v>42</v>
      </c>
      <c r="I1136" s="16">
        <f>MAX(1, NETWORKDAYS(A1136, G1136,Table2[Dias no laborales]))</f>
        <v>3</v>
      </c>
      <c r="J1136" s="6" t="str">
        <f>IF(Table1[[#This Row],[FIN]]="","Acumulado",IF(ISNUMBER(SEARCH("ASAP",C1136)),"ASAP",IF(NETWORKDAYS.INTL(F1136,G1136,1,Table2[Dias no laborales]) &lt;= 7, "Dentro", IF(A1136&gt;F1136,"Programado","Fuera"))))</f>
        <v>Dentro</v>
      </c>
      <c r="K1136" s="6" t="str">
        <f t="shared" si="35"/>
        <v>A tiempo</v>
      </c>
      <c r="L1136" s="9">
        <v>45952</v>
      </c>
      <c r="M1136" s="17">
        <f>MAX(1,NETWORKDAYS(A1136,L1136,Table2[Dias no laborales]))</f>
        <v>2</v>
      </c>
    </row>
    <row r="1137" spans="1:13" hidden="1" x14ac:dyDescent="0.3">
      <c r="A1137" s="8">
        <v>45951</v>
      </c>
      <c r="B1137" s="6" t="s">
        <v>2326</v>
      </c>
      <c r="C1137" s="6" t="s">
        <v>2327</v>
      </c>
      <c r="D1137" s="6" t="s">
        <v>1291</v>
      </c>
      <c r="E1137" s="14"/>
      <c r="F1137" s="8">
        <f>IF(HOUR(Table1[[#This Row],[CORREO]])&gt;=11,WORKDAY(Table1[[#This Row],[CORREO]],1,Table2[Dias no laborales]),E1137)</f>
        <v>0</v>
      </c>
      <c r="G1137" s="11">
        <v>45974</v>
      </c>
      <c r="H1137" s="6">
        <f t="shared" si="34"/>
        <v>42</v>
      </c>
      <c r="I1137" s="16">
        <f>MAX(1, NETWORKDAYS(A1137, G1137,Table2[Dias no laborales]))</f>
        <v>18</v>
      </c>
      <c r="J1137" s="6" t="str">
        <f>IF(Table1[[#This Row],[FIN]]="","Acumulado",IF(ISNUMBER(SEARCH("ASAP",C1137)),"ASAP",IF(NETWORKDAYS.INTL(F1137,G1137,1,Table2[Dias no laborales]) &lt;= 7, "Dentro", IF(A1137&gt;F1137,"Programado","Fuera"))))</f>
        <v>Programado</v>
      </c>
      <c r="K1137" s="6" t="str">
        <f t="shared" si="35"/>
        <v>Programados</v>
      </c>
      <c r="L1137" s="9">
        <v>45951</v>
      </c>
      <c r="M1137" s="17">
        <f>MAX(1,NETWORKDAYS(A1137,L1137,Table2[Dias no laborales]))</f>
        <v>1</v>
      </c>
    </row>
    <row r="1138" spans="1:13" hidden="1" x14ac:dyDescent="0.3">
      <c r="A1138" s="8">
        <v>45951</v>
      </c>
      <c r="B1138" s="6" t="s">
        <v>2425</v>
      </c>
      <c r="C1138" s="6" t="s">
        <v>2327</v>
      </c>
      <c r="D1138" s="6" t="s">
        <v>24</v>
      </c>
      <c r="E1138" s="14"/>
      <c r="F1138" s="8">
        <f>IF(HOUR(Table1[[#This Row],[CORREO]])&gt;=11,WORKDAY(Table1[[#This Row],[CORREO]],1,Table2[Dias no laborales]),E1138)</f>
        <v>0</v>
      </c>
      <c r="G1138" s="11">
        <v>45974</v>
      </c>
      <c r="H1138" s="6">
        <f t="shared" si="34"/>
        <v>42</v>
      </c>
      <c r="I1138" s="16">
        <f>MAX(1, NETWORKDAYS(A1138, G1138,Table2[Dias no laborales]))</f>
        <v>18</v>
      </c>
      <c r="J1138" s="6" t="str">
        <f>IF(Table1[[#This Row],[FIN]]="","Acumulado",IF(ISNUMBER(SEARCH("ASAP",C1138)),"ASAP",IF(NETWORKDAYS.INTL(F1138,G1138,1,Table2[Dias no laborales]) &lt;= 7, "Dentro", IF(A1138&gt;F1138,"Programado","Fuera"))))</f>
        <v>Programado</v>
      </c>
      <c r="K1138" s="6" t="str">
        <f t="shared" si="35"/>
        <v>Programados</v>
      </c>
      <c r="L1138" s="9">
        <v>45951</v>
      </c>
      <c r="M1138" s="17">
        <f>MAX(1,NETWORKDAYS(A1138,L1138,Table2[Dias no laborales]))</f>
        <v>1</v>
      </c>
    </row>
    <row r="1139" spans="1:13" hidden="1" x14ac:dyDescent="0.3">
      <c r="A1139" s="8">
        <v>45952</v>
      </c>
      <c r="B1139" s="6" t="s">
        <v>2347</v>
      </c>
      <c r="C1139" s="6" t="s">
        <v>2348</v>
      </c>
      <c r="D1139" s="6" t="s">
        <v>194</v>
      </c>
      <c r="E1139" s="14">
        <v>45951.730555555558</v>
      </c>
      <c r="F1139" s="8">
        <f>IF(HOUR(Table1[[#This Row],[CORREO]])&gt;=11,WORKDAY(Table1[[#This Row],[CORREO]],1,Table2[Dias no laborales]),E1139)</f>
        <v>45952</v>
      </c>
      <c r="G1139" s="11">
        <v>45965</v>
      </c>
      <c r="H1139" s="6">
        <f t="shared" si="34"/>
        <v>43</v>
      </c>
      <c r="I1139" s="16">
        <f>MAX(1, NETWORKDAYS(A1139, G1139,Table2[Dias no laborales]))</f>
        <v>10</v>
      </c>
      <c r="J1139" s="6" t="str">
        <f>IF(Table1[[#This Row],[FIN]]="","Acumulado",IF(ISNUMBER(SEARCH("ASAP",C1139)),"ASAP",IF(NETWORKDAYS.INTL(F1139,G1139,1,Table2[Dias no laborales]) &lt;= 7, "Dentro", IF(A1139&gt;F1139,"Programado","Fuera"))))</f>
        <v>Fuera</v>
      </c>
      <c r="K1139" s="6" t="str">
        <f t="shared" si="35"/>
        <v>A tiempo</v>
      </c>
      <c r="L1139" s="9">
        <v>45952</v>
      </c>
      <c r="M1139" s="17">
        <f>MAX(1,NETWORKDAYS(A1139,L1139,Table2[Dias no laborales]))</f>
        <v>1</v>
      </c>
    </row>
    <row r="1140" spans="1:13" hidden="1" x14ac:dyDescent="0.3">
      <c r="A1140" s="8">
        <v>45952</v>
      </c>
      <c r="B1140" s="6" t="s">
        <v>2274</v>
      </c>
      <c r="C1140" s="6" t="s">
        <v>2275</v>
      </c>
      <c r="D1140" s="6" t="s">
        <v>37</v>
      </c>
      <c r="E1140" s="14">
        <v>45952.334722222222</v>
      </c>
      <c r="F1140" s="8">
        <f>IF(HOUR(Table1[[#This Row],[CORREO]])&gt;=11,WORKDAY(Table1[[#This Row],[CORREO]],1,Table2[Dias no laborales]),E1140)</f>
        <v>45952.334722222222</v>
      </c>
      <c r="G1140" s="11">
        <v>45954</v>
      </c>
      <c r="H1140" s="6">
        <f t="shared" si="34"/>
        <v>43</v>
      </c>
      <c r="I1140" s="16">
        <f>MAX(1, NETWORKDAYS(A1140, G1140,Table2[Dias no laborales]))</f>
        <v>3</v>
      </c>
      <c r="J1140" s="6" t="str">
        <f>IF(Table1[[#This Row],[FIN]]="","Acumulado",IF(ISNUMBER(SEARCH("ASAP",C1140)),"ASAP",IF(NETWORKDAYS.INTL(F1140,G1140,1,Table2[Dias no laborales]) &lt;= 7, "Dentro", IF(A1140&gt;F1140,"Programado","Fuera"))))</f>
        <v>Dentro</v>
      </c>
      <c r="K1140" s="6" t="str">
        <f t="shared" si="35"/>
        <v>A tiempo</v>
      </c>
      <c r="L1140" s="9">
        <v>45952</v>
      </c>
      <c r="M1140" s="17">
        <f>MAX(1,NETWORKDAYS(A1140,L1140,Table2[Dias no laborales]))</f>
        <v>1</v>
      </c>
    </row>
    <row r="1141" spans="1:13" hidden="1" x14ac:dyDescent="0.3">
      <c r="A1141" s="8">
        <v>45952</v>
      </c>
      <c r="B1141" s="6" t="s">
        <v>2365</v>
      </c>
      <c r="C1141" s="6" t="s">
        <v>2366</v>
      </c>
      <c r="D1141" s="6" t="s">
        <v>238</v>
      </c>
      <c r="E1141" s="14">
        <v>45952.36041666667</v>
      </c>
      <c r="F1141" s="8">
        <f>IF(HOUR(Table1[[#This Row],[CORREO]])&gt;=11,WORKDAY(Table1[[#This Row],[CORREO]],1,Table2[Dias no laborales]),E1141)</f>
        <v>45952.36041666667</v>
      </c>
      <c r="G1141" s="11">
        <v>45967</v>
      </c>
      <c r="H1141" s="6">
        <f t="shared" si="34"/>
        <v>43</v>
      </c>
      <c r="I1141" s="16">
        <f>MAX(1, NETWORKDAYS(A1141, G1141,Table2[Dias no laborales]))</f>
        <v>12</v>
      </c>
      <c r="J1141" s="6" t="str">
        <f>IF(Table1[[#This Row],[FIN]]="","Acumulado",IF(ISNUMBER(SEARCH("ASAP",C1141)),"ASAP",IF(NETWORKDAYS.INTL(F1141,G1141,1,Table2[Dias no laborales]) &lt;= 7, "Dentro", IF(A1141&gt;F1141,"Programado","Fuera"))))</f>
        <v>Fuera</v>
      </c>
      <c r="K1141" s="6" t="str">
        <f t="shared" si="35"/>
        <v>A tiempo</v>
      </c>
      <c r="L1141" s="9">
        <v>45952</v>
      </c>
      <c r="M1141" s="17">
        <f>MAX(1,NETWORKDAYS(A1141,L1141,Table2[Dias no laborales]))</f>
        <v>1</v>
      </c>
    </row>
    <row r="1142" spans="1:13" hidden="1" x14ac:dyDescent="0.3">
      <c r="A1142" s="8">
        <v>45952</v>
      </c>
      <c r="B1142" s="6" t="s">
        <v>2265</v>
      </c>
      <c r="C1142" s="6" t="s">
        <v>382</v>
      </c>
      <c r="D1142" s="6" t="s">
        <v>351</v>
      </c>
      <c r="E1142" s="14">
        <v>45952.438194444447</v>
      </c>
      <c r="F1142" s="8">
        <f>IF(HOUR(Table1[[#This Row],[CORREO]])&gt;=11,WORKDAY(Table1[[#This Row],[CORREO]],1,Table2[Dias no laborales]),E1142)</f>
        <v>45952.438194444447</v>
      </c>
      <c r="G1142" s="11">
        <v>45953</v>
      </c>
      <c r="H1142" s="6">
        <f t="shared" si="34"/>
        <v>43</v>
      </c>
      <c r="I1142" s="16">
        <f>MAX(1, NETWORKDAYS(A1142, G1142,Table2[Dias no laborales]))</f>
        <v>2</v>
      </c>
      <c r="J1142" s="6" t="str">
        <f>IF(Table1[[#This Row],[FIN]]="","Acumulado",IF(ISNUMBER(SEARCH("ASAP",C1142)),"ASAP",IF(NETWORKDAYS.INTL(F1142,G1142,1,Table2[Dias no laborales]) &lt;= 7, "Dentro", IF(A1142&gt;F1142,"Programado","Fuera"))))</f>
        <v>Dentro</v>
      </c>
      <c r="K1142" s="6" t="str">
        <f t="shared" si="35"/>
        <v>A tiempo</v>
      </c>
      <c r="L1142" s="9">
        <v>45952</v>
      </c>
      <c r="M1142" s="17">
        <f>MAX(1,NETWORKDAYS(A1142,L1142,Table2[Dias no laborales]))</f>
        <v>1</v>
      </c>
    </row>
    <row r="1143" spans="1:13" hidden="1" x14ac:dyDescent="0.3">
      <c r="A1143" s="8">
        <v>45953</v>
      </c>
      <c r="B1143" s="6" t="s">
        <v>2263</v>
      </c>
      <c r="C1143" s="6" t="s">
        <v>2264</v>
      </c>
      <c r="D1143" s="6" t="s">
        <v>517</v>
      </c>
      <c r="E1143" s="14">
        <v>45952.590277777781</v>
      </c>
      <c r="F1143" s="8">
        <f>IF(HOUR(Table1[[#This Row],[CORREO]])&gt;=11,WORKDAY(Table1[[#This Row],[CORREO]],1,Table2[Dias no laborales]),E1143)</f>
        <v>45953</v>
      </c>
      <c r="G1143" s="11">
        <v>45953</v>
      </c>
      <c r="H1143" s="6">
        <f t="shared" si="34"/>
        <v>43</v>
      </c>
      <c r="I1143" s="16">
        <f>MAX(1, NETWORKDAYS(A1143, G1143,Table2[Dias no laborales]))</f>
        <v>1</v>
      </c>
      <c r="J1143" s="6" t="str">
        <f>IF(Table1[[#This Row],[FIN]]="","Acumulado",IF(ISNUMBER(SEARCH("ASAP",C1143)),"ASAP",IF(NETWORKDAYS.INTL(F1143,G1143,1,Table2[Dias no laborales]) &lt;= 7, "Dentro", IF(A1143&gt;F1143,"Programado","Fuera"))))</f>
        <v>Dentro</v>
      </c>
      <c r="K1143" s="6" t="str">
        <f t="shared" si="35"/>
        <v>A tiempo</v>
      </c>
      <c r="L1143" s="9">
        <v>45953</v>
      </c>
      <c r="M1143" s="17">
        <f>MAX(1,NETWORKDAYS(A1143,L1143,Table2[Dias no laborales]))</f>
        <v>1</v>
      </c>
    </row>
    <row r="1144" spans="1:13" hidden="1" x14ac:dyDescent="0.3">
      <c r="A1144" s="8">
        <v>45953</v>
      </c>
      <c r="B1144" s="6" t="s">
        <v>2371</v>
      </c>
      <c r="C1144" s="6" t="s">
        <v>2372</v>
      </c>
      <c r="D1144" s="6" t="s">
        <v>154</v>
      </c>
      <c r="E1144" s="14"/>
      <c r="F1144" s="8">
        <f>IF(HOUR(Table1[[#This Row],[CORREO]])&gt;=11,WORKDAY(Table1[[#This Row],[CORREO]],1,Table2[Dias no laborales]),E1144)</f>
        <v>0</v>
      </c>
      <c r="G1144" s="11">
        <v>45967</v>
      </c>
      <c r="H1144" s="6">
        <f t="shared" si="34"/>
        <v>43</v>
      </c>
      <c r="I1144" s="16">
        <f>MAX(1, NETWORKDAYS(A1144, G1144,Table2[Dias no laborales]))</f>
        <v>11</v>
      </c>
      <c r="J1144" s="6" t="str">
        <f>IF(Table1[[#This Row],[FIN]]="","Acumulado",IF(ISNUMBER(SEARCH("ASAP",C1144)),"ASAP",IF(NETWORKDAYS.INTL(F1144,G1144,1,Table2[Dias no laborales]) &lt;= 7, "Dentro", IF(A1144&gt;F1144,"Programado","Fuera"))))</f>
        <v>Programado</v>
      </c>
      <c r="K1144" s="6" t="str">
        <f t="shared" si="35"/>
        <v>Programados</v>
      </c>
      <c r="L1144" s="9">
        <v>45953</v>
      </c>
      <c r="M1144" s="17">
        <f>MAX(1,NETWORKDAYS(A1144,L1144,Table2[Dias no laborales]))</f>
        <v>1</v>
      </c>
    </row>
    <row r="1145" spans="1:13" hidden="1" x14ac:dyDescent="0.3">
      <c r="A1145" s="8">
        <v>45953</v>
      </c>
      <c r="B1145" s="6" t="s">
        <v>2268</v>
      </c>
      <c r="C1145" s="6" t="s">
        <v>2200</v>
      </c>
      <c r="D1145" s="6" t="s">
        <v>133</v>
      </c>
      <c r="E1145" s="14">
        <v>45952.71597222222</v>
      </c>
      <c r="F1145" s="8">
        <f>IF(HOUR(Table1[[#This Row],[CORREO]])&gt;=11,WORKDAY(Table1[[#This Row],[CORREO]],1,Table2[Dias no laborales]),E1145)</f>
        <v>45953</v>
      </c>
      <c r="G1145" s="11">
        <v>45953</v>
      </c>
      <c r="H1145" s="6">
        <f t="shared" si="34"/>
        <v>43</v>
      </c>
      <c r="I1145" s="16">
        <f>MAX(1, NETWORKDAYS(A1145, G1145,Table2[Dias no laborales]))</f>
        <v>1</v>
      </c>
      <c r="J1145" s="6" t="str">
        <f>IF(Table1[[#This Row],[FIN]]="","Acumulado",IF(ISNUMBER(SEARCH("ASAP",C1145)),"ASAP",IF(NETWORKDAYS.INTL(F1145,G1145,1,Table2[Dias no laborales]) &lt;= 7, "Dentro", IF(A1145&gt;F1145,"Programado","Fuera"))))</f>
        <v>Dentro</v>
      </c>
      <c r="K1145" s="6" t="str">
        <f t="shared" si="35"/>
        <v>A tiempo</v>
      </c>
      <c r="L1145" s="9">
        <v>45953</v>
      </c>
      <c r="M1145" s="17">
        <f>MAX(1,NETWORKDAYS(A1145,L1145,Table2[Dias no laborales]))</f>
        <v>1</v>
      </c>
    </row>
    <row r="1146" spans="1:13" hidden="1" x14ac:dyDescent="0.3">
      <c r="A1146" s="8">
        <v>45953</v>
      </c>
      <c r="B1146" s="6" t="s">
        <v>2248</v>
      </c>
      <c r="C1146" s="6" t="s">
        <v>2249</v>
      </c>
      <c r="D1146" s="6" t="s">
        <v>27</v>
      </c>
      <c r="E1146" s="14">
        <v>45953.370138888888</v>
      </c>
      <c r="F1146" s="8">
        <f>IF(HOUR(Table1[[#This Row],[CORREO]])&gt;=11,WORKDAY(Table1[[#This Row],[CORREO]],1,Table2[Dias no laborales]),E1146)</f>
        <v>45953.370138888888</v>
      </c>
      <c r="G1146" s="11">
        <v>45953</v>
      </c>
      <c r="H1146" s="6">
        <f t="shared" si="34"/>
        <v>43</v>
      </c>
      <c r="I1146" s="16">
        <f>MAX(1, NETWORKDAYS(A1146, G1146,Table2[Dias no laborales]))</f>
        <v>1</v>
      </c>
      <c r="J1146" s="6" t="str">
        <f>IF(Table1[[#This Row],[FIN]]="","Acumulado",IF(ISNUMBER(SEARCH("ASAP",C1146)),"ASAP",IF(NETWORKDAYS.INTL(F1146,G1146,1,Table2[Dias no laborales]) &lt;= 7, "Dentro", IF(A1146&gt;F1146,"Programado","Fuera"))))</f>
        <v>ASAP</v>
      </c>
      <c r="K1146" s="6" t="str">
        <f t="shared" si="35"/>
        <v>A tiempo</v>
      </c>
      <c r="L1146" s="9">
        <v>45953</v>
      </c>
      <c r="M1146" s="17">
        <f>MAX(1,NETWORKDAYS(A1146,L1146,Table2[Dias no laborales]))</f>
        <v>1</v>
      </c>
    </row>
    <row r="1147" spans="1:13" hidden="1" x14ac:dyDescent="0.3">
      <c r="A1147" s="8">
        <v>45954</v>
      </c>
      <c r="B1147" s="6" t="s">
        <v>2287</v>
      </c>
      <c r="C1147" s="6" t="s">
        <v>2288</v>
      </c>
      <c r="D1147" s="6" t="s">
        <v>53</v>
      </c>
      <c r="E1147" s="14">
        <v>45953.469444444447</v>
      </c>
      <c r="F1147" s="8">
        <f>IF(HOUR(Table1[[#This Row],[CORREO]])&gt;=11,WORKDAY(Table1[[#This Row],[CORREO]],1,Table2[Dias no laborales]),E1147)</f>
        <v>45954</v>
      </c>
      <c r="G1147" s="11">
        <v>45957</v>
      </c>
      <c r="H1147" s="6">
        <f t="shared" si="34"/>
        <v>43</v>
      </c>
      <c r="I1147" s="16">
        <f>MAX(1, NETWORKDAYS(A1147, G1147,Table2[Dias no laborales]))</f>
        <v>2</v>
      </c>
      <c r="J1147" s="6" t="str">
        <f>IF(Table1[[#This Row],[FIN]]="","Acumulado",IF(ISNUMBER(SEARCH("ASAP",C1147)),"ASAP",IF(NETWORKDAYS.INTL(F1147,G1147,1,Table2[Dias no laborales]) &lt;= 7, "Dentro", IF(A1147&gt;F1147,"Programado","Fuera"))))</f>
        <v>Dentro</v>
      </c>
      <c r="K1147" s="6" t="str">
        <f t="shared" si="35"/>
        <v>A tiempo</v>
      </c>
      <c r="L1147" s="9">
        <v>45954</v>
      </c>
      <c r="M1147" s="17">
        <f>MAX(1,NETWORKDAYS(A1147,L1147,Table2[Dias no laborales]))</f>
        <v>1</v>
      </c>
    </row>
    <row r="1148" spans="1:13" hidden="1" x14ac:dyDescent="0.3">
      <c r="A1148" s="8">
        <v>45954</v>
      </c>
      <c r="B1148" s="6" t="s">
        <v>2282</v>
      </c>
      <c r="C1148" s="6" t="s">
        <v>2283</v>
      </c>
      <c r="D1148" s="6" t="s">
        <v>199</v>
      </c>
      <c r="E1148" s="14">
        <v>45954.350694444445</v>
      </c>
      <c r="F1148" s="8">
        <f>IF(HOUR(Table1[[#This Row],[CORREO]])&gt;=11,WORKDAY(Table1[[#This Row],[CORREO]],1,Table2[Dias no laborales]),E1148)</f>
        <v>45954.350694444445</v>
      </c>
      <c r="G1148" s="11">
        <v>45957</v>
      </c>
      <c r="H1148" s="6">
        <f t="shared" si="34"/>
        <v>43</v>
      </c>
      <c r="I1148" s="16">
        <f>MAX(1, NETWORKDAYS(A1148, G1148,Table2[Dias no laborales]))</f>
        <v>2</v>
      </c>
      <c r="J1148" s="6" t="str">
        <f>IF(Table1[[#This Row],[FIN]]="","Acumulado",IF(ISNUMBER(SEARCH("ASAP",C1148)),"ASAP",IF(NETWORKDAYS.INTL(F1148,G1148,1,Table2[Dias no laborales]) &lt;= 7, "Dentro", IF(A1148&gt;F1148,"Programado","Fuera"))))</f>
        <v>Dentro</v>
      </c>
      <c r="K1148" s="6" t="str">
        <f t="shared" si="35"/>
        <v>A tiempo</v>
      </c>
      <c r="L1148" s="9">
        <v>45954</v>
      </c>
      <c r="M1148" s="17">
        <f>MAX(1,NETWORKDAYS(A1148,L1148,Table2[Dias no laborales]))</f>
        <v>1</v>
      </c>
    </row>
    <row r="1149" spans="1:13" hidden="1" x14ac:dyDescent="0.3">
      <c r="A1149" s="8">
        <v>45954</v>
      </c>
      <c r="B1149" s="6" t="s">
        <v>2273</v>
      </c>
      <c r="C1149" s="6" t="s">
        <v>1532</v>
      </c>
      <c r="D1149" s="6" t="s">
        <v>571</v>
      </c>
      <c r="E1149" s="14">
        <v>45954.334027777775</v>
      </c>
      <c r="F1149" s="8">
        <f>IF(HOUR(Table1[[#This Row],[CORREO]])&gt;=11,WORKDAY(Table1[[#This Row],[CORREO]],1,Table2[Dias no laborales]),E1149)</f>
        <v>45954.334027777775</v>
      </c>
      <c r="G1149" s="11">
        <v>45954</v>
      </c>
      <c r="H1149" s="6">
        <f t="shared" si="34"/>
        <v>43</v>
      </c>
      <c r="I1149" s="16">
        <f>MAX(1, NETWORKDAYS(A1149, G1149,Table2[Dias no laborales]))</f>
        <v>1</v>
      </c>
      <c r="J1149" s="6" t="str">
        <f>IF(Table1[[#This Row],[FIN]]="","Acumulado",IF(ISNUMBER(SEARCH("ASAP",C1149)),"ASAP",IF(NETWORKDAYS.INTL(F1149,G1149,1,Table2[Dias no laborales]) &lt;= 7, "Dentro", IF(A1149&gt;F1149,"Programado","Fuera"))))</f>
        <v>Dentro</v>
      </c>
      <c r="K1149" s="6" t="str">
        <f t="shared" si="35"/>
        <v>A tiempo</v>
      </c>
      <c r="L1149" s="9">
        <v>45954</v>
      </c>
      <c r="M1149" s="17">
        <f>MAX(1,NETWORKDAYS(A1149,L1149,Table2[Dias no laborales]))</f>
        <v>1</v>
      </c>
    </row>
    <row r="1150" spans="1:13" hidden="1" x14ac:dyDescent="0.3">
      <c r="A1150" s="8">
        <v>45954</v>
      </c>
      <c r="B1150" s="6" t="s">
        <v>2280</v>
      </c>
      <c r="C1150" s="6" t="s">
        <v>2281</v>
      </c>
      <c r="D1150" s="6" t="s">
        <v>423</v>
      </c>
      <c r="E1150" s="14">
        <v>45954.350694444445</v>
      </c>
      <c r="F1150" s="8">
        <f>IF(HOUR(Table1[[#This Row],[CORREO]])&gt;=11,WORKDAY(Table1[[#This Row],[CORREO]],1,Table2[Dias no laborales]),E1150)</f>
        <v>45954.350694444445</v>
      </c>
      <c r="G1150" s="11">
        <v>45957</v>
      </c>
      <c r="H1150" s="6">
        <f t="shared" si="34"/>
        <v>43</v>
      </c>
      <c r="I1150" s="16">
        <f>MAX(1, NETWORKDAYS(A1150, G1150,Table2[Dias no laborales]))</f>
        <v>2</v>
      </c>
      <c r="J1150" s="6" t="str">
        <f>IF(Table1[[#This Row],[FIN]]="","Acumulado",IF(ISNUMBER(SEARCH("ASAP",C1150)),"ASAP",IF(NETWORKDAYS.INTL(F1150,G1150,1,Table2[Dias no laborales]) &lt;= 7, "Dentro", IF(A1150&gt;F1150,"Programado","Fuera"))))</f>
        <v>Dentro</v>
      </c>
      <c r="K1150" s="6" t="str">
        <f t="shared" si="35"/>
        <v>A tiempo</v>
      </c>
      <c r="L1150" s="9">
        <v>45954</v>
      </c>
      <c r="M1150" s="17">
        <f>MAX(1,NETWORKDAYS(A1150,L1150,Table2[Dias no laborales]))</f>
        <v>1</v>
      </c>
    </row>
    <row r="1151" spans="1:13" hidden="1" x14ac:dyDescent="0.3">
      <c r="A1151" s="8">
        <v>45954</v>
      </c>
      <c r="B1151" s="6" t="s">
        <v>2299</v>
      </c>
      <c r="C1151" s="6" t="s">
        <v>2300</v>
      </c>
      <c r="D1151" s="6" t="s">
        <v>186</v>
      </c>
      <c r="E1151" s="14">
        <v>45954.393750000003</v>
      </c>
      <c r="F1151" s="8">
        <f>IF(HOUR(Table1[[#This Row],[CORREO]])&gt;=11,WORKDAY(Table1[[#This Row],[CORREO]],1,Table2[Dias no laborales]),E1151)</f>
        <v>45954.393750000003</v>
      </c>
      <c r="G1151" s="11">
        <v>45959</v>
      </c>
      <c r="H1151" s="6">
        <f t="shared" si="34"/>
        <v>43</v>
      </c>
      <c r="I1151" s="16">
        <f>MAX(1, NETWORKDAYS(A1151, G1151,Table2[Dias no laborales]))</f>
        <v>4</v>
      </c>
      <c r="J1151" s="6" t="str">
        <f>IF(Table1[[#This Row],[FIN]]="","Acumulado",IF(ISNUMBER(SEARCH("ASAP",C1151)),"ASAP",IF(NETWORKDAYS.INTL(F1151,G1151,1,Table2[Dias no laborales]) &lt;= 7, "Dentro", IF(A1151&gt;F1151,"Programado","Fuera"))))</f>
        <v>Dentro</v>
      </c>
      <c r="K1151" s="6" t="str">
        <f t="shared" si="35"/>
        <v>A tiempo</v>
      </c>
      <c r="L1151" s="9">
        <v>45954</v>
      </c>
      <c r="M1151" s="17">
        <f>MAX(1,NETWORKDAYS(A1151,L1151,Table2[Dias no laborales]))</f>
        <v>1</v>
      </c>
    </row>
    <row r="1152" spans="1:13" hidden="1" x14ac:dyDescent="0.3">
      <c r="A1152" s="8">
        <v>45954</v>
      </c>
      <c r="B1152" s="6" t="s">
        <v>2276</v>
      </c>
      <c r="C1152" s="6" t="s">
        <v>2277</v>
      </c>
      <c r="D1152" s="6" t="s">
        <v>194</v>
      </c>
      <c r="E1152" s="14">
        <v>45954.412499999999</v>
      </c>
      <c r="F1152" s="8">
        <f>IF(HOUR(Table1[[#This Row],[CORREO]])&gt;=11,WORKDAY(Table1[[#This Row],[CORREO]],1,Table2[Dias no laborales]),E1152)</f>
        <v>45954.412499999999</v>
      </c>
      <c r="G1152" s="11">
        <v>45954</v>
      </c>
      <c r="H1152" s="6">
        <f t="shared" si="34"/>
        <v>43</v>
      </c>
      <c r="I1152" s="16">
        <f>MAX(1, NETWORKDAYS(A1152, G1152,Table2[Dias no laborales]))</f>
        <v>1</v>
      </c>
      <c r="J1152" s="6" t="str">
        <f>IF(Table1[[#This Row],[FIN]]="","Acumulado",IF(ISNUMBER(SEARCH("ASAP",C1152)),"ASAP",IF(NETWORKDAYS.INTL(F1152,G1152,1,Table2[Dias no laborales]) &lt;= 7, "Dentro", IF(A1152&gt;F1152,"Programado","Fuera"))))</f>
        <v>Dentro</v>
      </c>
      <c r="K1152" s="6" t="str">
        <f t="shared" si="35"/>
        <v>A tiempo</v>
      </c>
      <c r="L1152" s="9">
        <v>45954</v>
      </c>
      <c r="M1152" s="17">
        <f>MAX(1,NETWORKDAYS(A1152,L1152,Table2[Dias no laborales]))</f>
        <v>1</v>
      </c>
    </row>
    <row r="1153" spans="1:13" hidden="1" x14ac:dyDescent="0.3">
      <c r="A1153" s="8">
        <v>45954</v>
      </c>
      <c r="B1153" s="6" t="s">
        <v>2345</v>
      </c>
      <c r="C1153" s="6" t="s">
        <v>2346</v>
      </c>
      <c r="D1153" s="6" t="s">
        <v>1333</v>
      </c>
      <c r="E1153" s="14"/>
      <c r="F1153" s="8">
        <f>IF(HOUR(Table1[[#This Row],[CORREO]])&gt;=11,WORKDAY(Table1[[#This Row],[CORREO]],1,Table2[Dias no laborales]),E1153)</f>
        <v>0</v>
      </c>
      <c r="G1153" s="11">
        <v>45964</v>
      </c>
      <c r="H1153" s="6">
        <f t="shared" si="34"/>
        <v>43</v>
      </c>
      <c r="I1153" s="16">
        <f>MAX(1, NETWORKDAYS(A1153, G1153,Table2[Dias no laborales]))</f>
        <v>7</v>
      </c>
      <c r="J1153" s="6" t="str">
        <f>IF(Table1[[#This Row],[FIN]]="","Acumulado",IF(ISNUMBER(SEARCH("ASAP",C1153)),"ASAP",IF(NETWORKDAYS.INTL(F1153,G1153,1,Table2[Dias no laborales]) &lt;= 7, "Dentro", IF(A1153&gt;F1153,"Programado","Fuera"))))</f>
        <v>Programado</v>
      </c>
      <c r="K1153" s="6" t="str">
        <f t="shared" si="35"/>
        <v>Programados</v>
      </c>
      <c r="L1153" s="9">
        <v>45954</v>
      </c>
      <c r="M1153" s="17">
        <f>MAX(1,NETWORKDAYS(A1153,L1153,Table2[Dias no laborales]))</f>
        <v>1</v>
      </c>
    </row>
    <row r="1154" spans="1:13" hidden="1" x14ac:dyDescent="0.3">
      <c r="A1154" s="8">
        <v>45954</v>
      </c>
      <c r="B1154" s="6" t="s">
        <v>2284</v>
      </c>
      <c r="C1154" s="6" t="s">
        <v>196</v>
      </c>
      <c r="D1154" s="6" t="s">
        <v>27</v>
      </c>
      <c r="E1154" s="14"/>
      <c r="F1154" s="8">
        <f>IF(HOUR(Table1[[#This Row],[CORREO]])&gt;=11,WORKDAY(Table1[[#This Row],[CORREO]],1,Table2[Dias no laborales]),E1154)</f>
        <v>0</v>
      </c>
      <c r="G1154" s="11">
        <v>45957</v>
      </c>
      <c r="H1154" s="6">
        <f t="shared" ref="H1154:H1217" si="36">INT((A1154-DATE(YEAR(A1154),1,1))/7) + 1</f>
        <v>43</v>
      </c>
      <c r="I1154" s="16">
        <f>MAX(1, NETWORKDAYS(A1154, G1154,Table2[Dias no laborales]))</f>
        <v>2</v>
      </c>
      <c r="J1154" s="6" t="str">
        <f>IF(Table1[[#This Row],[FIN]]="","Acumulado",IF(ISNUMBER(SEARCH("ASAP",C1154)),"ASAP",IF(NETWORKDAYS.INTL(F1154,G1154,1,Table2[Dias no laborales]) &lt;= 7, "Dentro", IF(A1154&gt;F1154,"Programado","Fuera"))))</f>
        <v>Programado</v>
      </c>
      <c r="K1154" s="6" t="str">
        <f t="shared" si="35"/>
        <v>Programados</v>
      </c>
      <c r="L1154" s="9">
        <v>45954</v>
      </c>
      <c r="M1154" s="17">
        <f>MAX(1,NETWORKDAYS(A1154,L1154,Table2[Dias no laborales]))</f>
        <v>1</v>
      </c>
    </row>
    <row r="1155" spans="1:13" hidden="1" x14ac:dyDescent="0.3">
      <c r="A1155" s="8">
        <v>45954</v>
      </c>
      <c r="B1155" s="6" t="s">
        <v>2286</v>
      </c>
      <c r="C1155" s="6" t="s">
        <v>188</v>
      </c>
      <c r="D1155" s="6" t="s">
        <v>27</v>
      </c>
      <c r="E1155" s="14"/>
      <c r="F1155" s="8">
        <f>IF(HOUR(Table1[[#This Row],[CORREO]])&gt;=11,WORKDAY(Table1[[#This Row],[CORREO]],1,Table2[Dias no laborales]),E1155)</f>
        <v>0</v>
      </c>
      <c r="G1155" s="11">
        <v>45957</v>
      </c>
      <c r="H1155" s="6">
        <f t="shared" si="36"/>
        <v>43</v>
      </c>
      <c r="I1155" s="16">
        <f>MAX(1, NETWORKDAYS(A1155, G1155,Table2[Dias no laborales]))</f>
        <v>2</v>
      </c>
      <c r="J1155" s="6" t="str">
        <f>IF(Table1[[#This Row],[FIN]]="","Acumulado",IF(ISNUMBER(SEARCH("ASAP",C1155)),"ASAP",IF(NETWORKDAYS.INTL(F1155,G1155,1,Table2[Dias no laborales]) &lt;= 7, "Dentro", IF(A1155&gt;F1155,"Programado","Fuera"))))</f>
        <v>Programado</v>
      </c>
      <c r="K1155" s="6" t="str">
        <f t="shared" si="35"/>
        <v>Programados</v>
      </c>
      <c r="L1155" s="9">
        <v>45954</v>
      </c>
      <c r="M1155" s="17">
        <f>MAX(1,NETWORKDAYS(A1155,L1155,Table2[Dias no laborales]))</f>
        <v>1</v>
      </c>
    </row>
    <row r="1156" spans="1:13" hidden="1" x14ac:dyDescent="0.3">
      <c r="A1156" s="8">
        <v>45954</v>
      </c>
      <c r="B1156" s="6" t="s">
        <v>2278</v>
      </c>
      <c r="C1156" s="6" t="s">
        <v>2279</v>
      </c>
      <c r="D1156" s="6" t="s">
        <v>119</v>
      </c>
      <c r="E1156" s="14">
        <v>45951.429166666669</v>
      </c>
      <c r="F1156" s="8">
        <f>IF(HOUR(Table1[[#This Row],[CORREO]])&gt;=11,WORKDAY(Table1[[#This Row],[CORREO]],1,Table2[Dias no laborales]),E1156)</f>
        <v>45951.429166666669</v>
      </c>
      <c r="G1156" s="11">
        <v>45954</v>
      </c>
      <c r="H1156" s="6">
        <f t="shared" si="36"/>
        <v>43</v>
      </c>
      <c r="I1156" s="16">
        <f>MAX(1, NETWORKDAYS(A1156, G1156,Table2[Dias no laborales]))</f>
        <v>1</v>
      </c>
      <c r="J1156" s="6" t="str">
        <f>IF(Table1[[#This Row],[FIN]]="","Acumulado",IF(ISNUMBER(SEARCH("ASAP",C1156)),"ASAP",IF(NETWORKDAYS.INTL(F1156,G1156,1,Table2[Dias no laborales]) &lt;= 7, "Dentro", IF(A1156&gt;F1156,"Programado","Fuera"))))</f>
        <v>Dentro</v>
      </c>
      <c r="K1156" s="6" t="str">
        <f t="shared" si="35"/>
        <v>Programados</v>
      </c>
      <c r="L1156" s="9">
        <v>45954</v>
      </c>
      <c r="M1156" s="17">
        <f>MAX(1,NETWORKDAYS(A1156,L1156,Table2[Dias no laborales]))</f>
        <v>1</v>
      </c>
    </row>
    <row r="1157" spans="1:13" hidden="1" x14ac:dyDescent="0.3">
      <c r="A1157" s="8">
        <v>45954</v>
      </c>
      <c r="B1157" s="6" t="s">
        <v>2393</v>
      </c>
      <c r="C1157" s="6" t="s">
        <v>2394</v>
      </c>
      <c r="D1157" s="6" t="s">
        <v>24</v>
      </c>
      <c r="E1157" s="14">
        <v>45954.481944444444</v>
      </c>
      <c r="F1157" s="8">
        <f>IF(HOUR(Table1[[#This Row],[CORREO]])&gt;=11,WORKDAY(Table1[[#This Row],[CORREO]],1,Table2[Dias no laborales]),E1157)</f>
        <v>45957</v>
      </c>
      <c r="G1157" s="11">
        <v>45971</v>
      </c>
      <c r="H1157" s="6">
        <f t="shared" si="36"/>
        <v>43</v>
      </c>
      <c r="I1157" s="16">
        <f>MAX(1, NETWORKDAYS(A1157, G1157,Table2[Dias no laborales]))</f>
        <v>12</v>
      </c>
      <c r="J1157" s="6" t="str">
        <f>IF(Table1[[#This Row],[FIN]]="","Acumulado",IF(ISNUMBER(SEARCH("ASAP",C1157)),"ASAP",IF(NETWORKDAYS.INTL(F1157,G1157,1,Table2[Dias no laborales]) &lt;= 7, "Dentro", IF(A1157&gt;F1157,"Programado","Fuera"))))</f>
        <v>Fuera</v>
      </c>
      <c r="K1157" s="6" t="s">
        <v>2658</v>
      </c>
      <c r="L1157" s="9">
        <v>45954</v>
      </c>
      <c r="M1157" s="17">
        <f>MAX(1,NETWORKDAYS(A1157,L1157,Table2[Dias no laborales]))</f>
        <v>1</v>
      </c>
    </row>
    <row r="1158" spans="1:13" hidden="1" x14ac:dyDescent="0.3">
      <c r="A1158" s="8">
        <v>45957</v>
      </c>
      <c r="B1158" s="6" t="s">
        <v>2309</v>
      </c>
      <c r="C1158" s="6" t="s">
        <v>2310</v>
      </c>
      <c r="D1158" s="6" t="s">
        <v>24</v>
      </c>
      <c r="E1158" s="14"/>
      <c r="F1158" s="8">
        <f>IF(HOUR(Table1[[#This Row],[CORREO]])&gt;=11,WORKDAY(Table1[[#This Row],[CORREO]],1,Table2[Dias no laborales]),E1158)</f>
        <v>0</v>
      </c>
      <c r="G1158" s="11">
        <v>45961</v>
      </c>
      <c r="H1158" s="6">
        <f t="shared" si="36"/>
        <v>43</v>
      </c>
      <c r="I1158" s="16">
        <f>MAX(1, NETWORKDAYS(A1158, G1158,Table2[Dias no laborales]))</f>
        <v>5</v>
      </c>
      <c r="J1158" s="6" t="str">
        <f>IF(Table1[[#This Row],[FIN]]="","Acumulado",IF(ISNUMBER(SEARCH("ASAP",C1158)),"ASAP",IF(NETWORKDAYS.INTL(F1158,G1158,1,Table2[Dias no laborales]) &lt;= 7, "Dentro", IF(A1158&gt;F1158,"Programado","Fuera"))))</f>
        <v>Programado</v>
      </c>
      <c r="K1158" s="6" t="str">
        <f t="shared" ref="K1158:K1189" si="37">IF(INT(A1158)=INT(F1158),"A tiempo", IF(A1158&lt;F1158,"Mismo día","Programados"))</f>
        <v>Programados</v>
      </c>
      <c r="L1158" s="9">
        <v>45957</v>
      </c>
      <c r="M1158" s="17">
        <f>MAX(1,NETWORKDAYS(A1158,L1158,Table2[Dias no laborales]))</f>
        <v>1</v>
      </c>
    </row>
    <row r="1159" spans="1:13" hidden="1" x14ac:dyDescent="0.3">
      <c r="A1159" s="8">
        <v>45957</v>
      </c>
      <c r="B1159" s="6" t="s">
        <v>2407</v>
      </c>
      <c r="C1159" s="6" t="s">
        <v>2408</v>
      </c>
      <c r="D1159" s="6" t="s">
        <v>27</v>
      </c>
      <c r="E1159" s="14">
        <v>45954.53402777778</v>
      </c>
      <c r="F1159" s="8">
        <f>IF(HOUR(Table1[[#This Row],[CORREO]])&gt;=11,WORKDAY(Table1[[#This Row],[CORREO]],1,Table2[Dias no laborales]),E1159)</f>
        <v>45957</v>
      </c>
      <c r="G1159" s="11">
        <v>45972</v>
      </c>
      <c r="H1159" s="6">
        <f t="shared" si="36"/>
        <v>43</v>
      </c>
      <c r="I1159" s="16">
        <f>MAX(1, NETWORKDAYS(A1159, G1159,Table2[Dias no laborales]))</f>
        <v>12</v>
      </c>
      <c r="J1159" s="6" t="str">
        <f>IF(Table1[[#This Row],[FIN]]="","Acumulado",IF(ISNUMBER(SEARCH("ASAP",C1159)),"ASAP",IF(NETWORKDAYS.INTL(F1159,G1159,1,Table2[Dias no laborales]) &lt;= 7, "Dentro", IF(A1159&gt;F1159,"Programado","Fuera"))))</f>
        <v>Fuera</v>
      </c>
      <c r="K1159" s="6" t="str">
        <f t="shared" si="37"/>
        <v>A tiempo</v>
      </c>
      <c r="L1159" s="9">
        <v>45959</v>
      </c>
      <c r="M1159" s="17">
        <f>MAX(1,NETWORKDAYS(A1159,L1159,Table2[Dias no laborales]))</f>
        <v>3</v>
      </c>
    </row>
    <row r="1160" spans="1:13" hidden="1" x14ac:dyDescent="0.3">
      <c r="A1160" s="8">
        <v>45957</v>
      </c>
      <c r="B1160" s="6" t="s">
        <v>2295</v>
      </c>
      <c r="C1160" s="6" t="s">
        <v>2296</v>
      </c>
      <c r="D1160" s="6" t="s">
        <v>191</v>
      </c>
      <c r="E1160" s="14">
        <v>45955.81527777778</v>
      </c>
      <c r="F1160" s="8">
        <f>IF(HOUR(Table1[[#This Row],[CORREO]])&gt;=11,WORKDAY(Table1[[#This Row],[CORREO]],1,Table2[Dias no laborales]),E1160)</f>
        <v>45957</v>
      </c>
      <c r="G1160" s="11">
        <v>45959</v>
      </c>
      <c r="H1160" s="6">
        <f t="shared" si="36"/>
        <v>43</v>
      </c>
      <c r="I1160" s="16">
        <f>MAX(1, NETWORKDAYS(A1160, G1160,Table2[Dias no laborales]))</f>
        <v>3</v>
      </c>
      <c r="J1160" s="6" t="str">
        <f>IF(Table1[[#This Row],[FIN]]="","Acumulado",IF(ISNUMBER(SEARCH("ASAP",C1160)),"ASAP",IF(NETWORKDAYS.INTL(F1160,G1160,1,Table2[Dias no laborales]) &lt;= 7, "Dentro", IF(A1160&gt;F1160,"Programado","Fuera"))))</f>
        <v>Dentro</v>
      </c>
      <c r="K1160" s="6" t="str">
        <f t="shared" si="37"/>
        <v>A tiempo</v>
      </c>
      <c r="L1160" s="9">
        <v>45958</v>
      </c>
      <c r="M1160" s="17">
        <f>MAX(1,NETWORKDAYS(A1160,L1160,Table2[Dias no laborales]))</f>
        <v>2</v>
      </c>
    </row>
    <row r="1161" spans="1:13" hidden="1" x14ac:dyDescent="0.3">
      <c r="A1161" s="8">
        <v>45957</v>
      </c>
      <c r="B1161" s="6" t="s">
        <v>2316</v>
      </c>
      <c r="C1161" s="6" t="s">
        <v>2317</v>
      </c>
      <c r="D1161" s="6" t="s">
        <v>148</v>
      </c>
      <c r="E1161" s="14">
        <v>45957.384027777778</v>
      </c>
      <c r="F1161" s="8">
        <f>IF(HOUR(Table1[[#This Row],[CORREO]])&gt;=11,WORKDAY(Table1[[#This Row],[CORREO]],1,Table2[Dias no laborales]),E1161)</f>
        <v>45957.384027777778</v>
      </c>
      <c r="G1161" s="11">
        <v>45961</v>
      </c>
      <c r="H1161" s="6">
        <f t="shared" si="36"/>
        <v>43</v>
      </c>
      <c r="I1161" s="16">
        <f>MAX(1, NETWORKDAYS(A1161, G1161,Table2[Dias no laborales]))</f>
        <v>5</v>
      </c>
      <c r="J1161" s="6" t="str">
        <f>IF(Table1[[#This Row],[FIN]]="","Acumulado",IF(ISNUMBER(SEARCH("ASAP",C1161)),"ASAP",IF(NETWORKDAYS.INTL(F1161,G1161,1,Table2[Dias no laborales]) &lt;= 7, "Dentro", IF(A1161&gt;F1161,"Programado","Fuera"))))</f>
        <v>Dentro</v>
      </c>
      <c r="K1161" s="6" t="str">
        <f t="shared" si="37"/>
        <v>A tiempo</v>
      </c>
      <c r="L1161" s="9">
        <v>45957</v>
      </c>
      <c r="M1161" s="17">
        <f>MAX(1,NETWORKDAYS(A1161,L1161,Table2[Dias no laborales]))</f>
        <v>1</v>
      </c>
    </row>
    <row r="1162" spans="1:13" hidden="1" x14ac:dyDescent="0.3">
      <c r="A1162" s="8">
        <v>45957</v>
      </c>
      <c r="B1162" s="6" t="s">
        <v>2291</v>
      </c>
      <c r="C1162" s="6" t="s">
        <v>2292</v>
      </c>
      <c r="D1162" s="6" t="s">
        <v>151</v>
      </c>
      <c r="E1162" s="14">
        <v>45957.426388888889</v>
      </c>
      <c r="F1162" s="8">
        <f>IF(HOUR(Table1[[#This Row],[CORREO]])&gt;=11,WORKDAY(Table1[[#This Row],[CORREO]],1,Table2[Dias no laborales]),E1162)</f>
        <v>45957.426388888889</v>
      </c>
      <c r="G1162" s="11">
        <v>45958</v>
      </c>
      <c r="H1162" s="6">
        <f t="shared" si="36"/>
        <v>43</v>
      </c>
      <c r="I1162" s="16">
        <f>MAX(1, NETWORKDAYS(A1162, G1162,Table2[Dias no laborales]))</f>
        <v>2</v>
      </c>
      <c r="J1162" s="6" t="str">
        <f>IF(Table1[[#This Row],[FIN]]="","Acumulado",IF(ISNUMBER(SEARCH("ASAP",C1162)),"ASAP",IF(NETWORKDAYS.INTL(F1162,G1162,1,Table2[Dias no laborales]) &lt;= 7, "Dentro", IF(A1162&gt;F1162,"Programado","Fuera"))))</f>
        <v>Dentro</v>
      </c>
      <c r="K1162" s="6" t="str">
        <f t="shared" si="37"/>
        <v>A tiempo</v>
      </c>
      <c r="L1162" s="9">
        <v>45957</v>
      </c>
      <c r="M1162" s="17">
        <f>MAX(1,NETWORKDAYS(A1162,L1162,Table2[Dias no laborales]))</f>
        <v>1</v>
      </c>
    </row>
    <row r="1163" spans="1:13" hidden="1" x14ac:dyDescent="0.3">
      <c r="A1163" s="8">
        <v>45958</v>
      </c>
      <c r="B1163" s="6" t="s">
        <v>2337</v>
      </c>
      <c r="C1163" s="6" t="s">
        <v>2338</v>
      </c>
      <c r="D1163" s="6" t="s">
        <v>586</v>
      </c>
      <c r="E1163" s="14"/>
      <c r="F1163" s="8">
        <f>IF(HOUR(Table1[[#This Row],[CORREO]])&gt;=11,WORKDAY(Table1[[#This Row],[CORREO]],1,Table2[Dias no laborales]),E1163)</f>
        <v>0</v>
      </c>
      <c r="G1163" s="11">
        <v>45964</v>
      </c>
      <c r="H1163" s="6">
        <f t="shared" si="36"/>
        <v>43</v>
      </c>
      <c r="I1163" s="16">
        <f>MAX(1, NETWORKDAYS(A1163, G1163,Table2[Dias no laborales]))</f>
        <v>5</v>
      </c>
      <c r="J1163" s="6" t="str">
        <f>IF(Table1[[#This Row],[FIN]]="","Acumulado",IF(ISNUMBER(SEARCH("ASAP",C1163)),"ASAP",IF(NETWORKDAYS.INTL(F1163,G1163,1,Table2[Dias no laborales]) &lt;= 7, "Dentro", IF(A1163&gt;F1163,"Programado","Fuera"))))</f>
        <v>Programado</v>
      </c>
      <c r="K1163" s="6" t="str">
        <f t="shared" si="37"/>
        <v>Programados</v>
      </c>
      <c r="L1163" s="9">
        <v>45959</v>
      </c>
      <c r="M1163" s="17">
        <f>MAX(1,NETWORKDAYS(A1163,L1163,Table2[Dias no laborales]))</f>
        <v>2</v>
      </c>
    </row>
    <row r="1164" spans="1:13" hidden="1" x14ac:dyDescent="0.3">
      <c r="A1164" s="8">
        <v>45958</v>
      </c>
      <c r="B1164" s="6" t="s">
        <v>2364</v>
      </c>
      <c r="C1164" s="6" t="s">
        <v>1262</v>
      </c>
      <c r="D1164" s="6" t="s">
        <v>53</v>
      </c>
      <c r="E1164" s="14">
        <v>45957.786805555559</v>
      </c>
      <c r="F1164" s="8">
        <f>IF(HOUR(Table1[[#This Row],[CORREO]])&gt;=11,WORKDAY(Table1[[#This Row],[CORREO]],1,Table2[Dias no laborales]),E1164)</f>
        <v>45958</v>
      </c>
      <c r="G1164" s="11">
        <v>45967</v>
      </c>
      <c r="H1164" s="6">
        <f t="shared" si="36"/>
        <v>43</v>
      </c>
      <c r="I1164" s="16">
        <f>MAX(1, NETWORKDAYS(A1164, G1164,Table2[Dias no laborales]))</f>
        <v>8</v>
      </c>
      <c r="J1164" s="6" t="str">
        <f>IF(Table1[[#This Row],[FIN]]="","Acumulado",IF(ISNUMBER(SEARCH("ASAP",C1164)),"ASAP",IF(NETWORKDAYS.INTL(F1164,G1164,1,Table2[Dias no laborales]) &lt;= 7, "Dentro", IF(A1164&gt;F1164,"Programado","Fuera"))))</f>
        <v>Fuera</v>
      </c>
      <c r="K1164" s="6" t="str">
        <f t="shared" si="37"/>
        <v>A tiempo</v>
      </c>
      <c r="L1164" s="9">
        <v>45958</v>
      </c>
      <c r="M1164" s="17">
        <f>MAX(1,NETWORKDAYS(A1164,L1164,Table2[Dias no laborales]))</f>
        <v>1</v>
      </c>
    </row>
    <row r="1165" spans="1:13" hidden="1" x14ac:dyDescent="0.3">
      <c r="A1165" s="8">
        <v>45958</v>
      </c>
      <c r="B1165" s="6" t="s">
        <v>2293</v>
      </c>
      <c r="C1165" s="6" t="s">
        <v>2294</v>
      </c>
      <c r="D1165" s="6" t="s">
        <v>2162</v>
      </c>
      <c r="E1165" s="14">
        <v>45957.886805555558</v>
      </c>
      <c r="F1165" s="8">
        <f>IF(HOUR(Table1[[#This Row],[CORREO]])&gt;=11,WORKDAY(Table1[[#This Row],[CORREO]],1,Table2[Dias no laborales]),E1165)</f>
        <v>45958</v>
      </c>
      <c r="G1165" s="11">
        <v>45959</v>
      </c>
      <c r="H1165" s="6">
        <f t="shared" si="36"/>
        <v>43</v>
      </c>
      <c r="I1165" s="16">
        <f>MAX(1, NETWORKDAYS(A1165, G1165,Table2[Dias no laborales]))</f>
        <v>2</v>
      </c>
      <c r="J1165" s="6" t="str">
        <f>IF(Table1[[#This Row],[FIN]]="","Acumulado",IF(ISNUMBER(SEARCH("ASAP",C1165)),"ASAP",IF(NETWORKDAYS.INTL(F1165,G1165,1,Table2[Dias no laborales]) &lt;= 7, "Dentro", IF(A1165&gt;F1165,"Programado","Fuera"))))</f>
        <v>Dentro</v>
      </c>
      <c r="K1165" s="6" t="str">
        <f t="shared" si="37"/>
        <v>A tiempo</v>
      </c>
      <c r="L1165" s="9">
        <v>45958</v>
      </c>
      <c r="M1165" s="17">
        <f>MAX(1,NETWORKDAYS(A1165,L1165,Table2[Dias no laborales]))</f>
        <v>1</v>
      </c>
    </row>
    <row r="1166" spans="1:13" hidden="1" x14ac:dyDescent="0.3">
      <c r="A1166" s="8">
        <v>45958</v>
      </c>
      <c r="B1166" s="6" t="s">
        <v>2343</v>
      </c>
      <c r="C1166" s="6" t="s">
        <v>2344</v>
      </c>
      <c r="D1166" s="6" t="s">
        <v>504</v>
      </c>
      <c r="E1166" s="14">
        <v>45958.444444444445</v>
      </c>
      <c r="F1166" s="8">
        <f>IF(HOUR(Table1[[#This Row],[CORREO]])&gt;=11,WORKDAY(Table1[[#This Row],[CORREO]],1,Table2[Dias no laborales]),E1166)</f>
        <v>45958.444444444445</v>
      </c>
      <c r="G1166" s="11">
        <v>45964</v>
      </c>
      <c r="H1166" s="6">
        <f t="shared" si="36"/>
        <v>43</v>
      </c>
      <c r="I1166" s="16">
        <f>MAX(1, NETWORKDAYS(A1166, G1166,Table2[Dias no laborales]))</f>
        <v>5</v>
      </c>
      <c r="J1166" s="6" t="str">
        <f>IF(Table1[[#This Row],[FIN]]="","Acumulado",IF(ISNUMBER(SEARCH("ASAP",C1166)),"ASAP",IF(NETWORKDAYS.INTL(F1166,G1166,1,Table2[Dias no laborales]) &lt;= 7, "Dentro", IF(A1166&gt;F1166,"Programado","Fuera"))))</f>
        <v>Dentro</v>
      </c>
      <c r="K1166" s="6" t="str">
        <f t="shared" si="37"/>
        <v>A tiempo</v>
      </c>
      <c r="L1166" s="9">
        <v>45958</v>
      </c>
      <c r="M1166" s="17">
        <f>MAX(1,NETWORKDAYS(A1166,L1166,Table2[Dias no laborales]))</f>
        <v>1</v>
      </c>
    </row>
    <row r="1167" spans="1:13" hidden="1" x14ac:dyDescent="0.3">
      <c r="A1167" s="8">
        <v>45958</v>
      </c>
      <c r="B1167" s="6" t="s">
        <v>2297</v>
      </c>
      <c r="C1167" s="6" t="s">
        <v>2298</v>
      </c>
      <c r="D1167" s="6" t="s">
        <v>27</v>
      </c>
      <c r="E1167" s="14">
        <v>45958.458333333336</v>
      </c>
      <c r="F1167" s="8">
        <f>IF(HOUR(Table1[[#This Row],[CORREO]])&gt;=11,WORKDAY(Table1[[#This Row],[CORREO]],1,Table2[Dias no laborales]),E1167)</f>
        <v>45959</v>
      </c>
      <c r="G1167" s="11">
        <v>45959</v>
      </c>
      <c r="H1167" s="6">
        <f t="shared" si="36"/>
        <v>43</v>
      </c>
      <c r="I1167" s="16">
        <f>MAX(1, NETWORKDAYS(A1167, G1167,Table2[Dias no laborales]))</f>
        <v>2</v>
      </c>
      <c r="J1167" s="6" t="str">
        <f>IF(Table1[[#This Row],[FIN]]="","Acumulado",IF(ISNUMBER(SEARCH("ASAP",C1167)),"ASAP",IF(NETWORKDAYS.INTL(F1167,G1167,1,Table2[Dias no laborales]) &lt;= 7, "Dentro", IF(A1167&gt;F1167,"Programado","Fuera"))))</f>
        <v>ASAP</v>
      </c>
      <c r="K1167" s="6" t="str">
        <f t="shared" si="37"/>
        <v>Mismo día</v>
      </c>
      <c r="L1167" s="9">
        <v>45958</v>
      </c>
      <c r="M1167" s="17">
        <f>MAX(1,NETWORKDAYS(A1167,L1167,Table2[Dias no laborales]))</f>
        <v>1</v>
      </c>
    </row>
    <row r="1168" spans="1:13" hidden="1" x14ac:dyDescent="0.3">
      <c r="A1168" s="8">
        <v>45958</v>
      </c>
      <c r="B1168" s="6" t="s">
        <v>2303</v>
      </c>
      <c r="C1168" s="6" t="s">
        <v>2304</v>
      </c>
      <c r="D1168" s="6" t="s">
        <v>24</v>
      </c>
      <c r="E1168" s="14"/>
      <c r="F1168" s="8">
        <f>IF(HOUR(Table1[[#This Row],[CORREO]])&gt;=11,WORKDAY(Table1[[#This Row],[CORREO]],1,Table2[Dias no laborales]),E1168)</f>
        <v>0</v>
      </c>
      <c r="G1168" s="11">
        <v>45960</v>
      </c>
      <c r="H1168" s="6">
        <f t="shared" si="36"/>
        <v>43</v>
      </c>
      <c r="I1168" s="16">
        <f>MAX(1, NETWORKDAYS(A1168, G1168,Table2[Dias no laborales]))</f>
        <v>3</v>
      </c>
      <c r="J1168" s="6" t="str">
        <f>IF(Table1[[#This Row],[FIN]]="","Acumulado",IF(ISNUMBER(SEARCH("ASAP",C1168)),"ASAP",IF(NETWORKDAYS.INTL(F1168,G1168,1,Table2[Dias no laborales]) &lt;= 7, "Dentro", IF(A1168&gt;F1168,"Programado","Fuera"))))</f>
        <v>ASAP</v>
      </c>
      <c r="K1168" s="6" t="str">
        <f t="shared" si="37"/>
        <v>Programados</v>
      </c>
      <c r="L1168" s="9">
        <v>45960</v>
      </c>
      <c r="M1168" s="17">
        <f>MAX(1,NETWORKDAYS(A1168,L1168,Table2[Dias no laborales]))</f>
        <v>3</v>
      </c>
    </row>
    <row r="1169" spans="1:13" hidden="1" x14ac:dyDescent="0.3">
      <c r="A1169" s="8">
        <v>45959</v>
      </c>
      <c r="B1169" s="6" t="s">
        <v>2305</v>
      </c>
      <c r="C1169" s="6" t="s">
        <v>2306</v>
      </c>
      <c r="D1169" s="6" t="s">
        <v>18</v>
      </c>
      <c r="E1169" s="14">
        <v>45958.714583333334</v>
      </c>
      <c r="F1169" s="8">
        <f>IF(HOUR(Table1[[#This Row],[CORREO]])&gt;=11,WORKDAY(Table1[[#This Row],[CORREO]],1,Table2[Dias no laborales]),E1169)</f>
        <v>45959</v>
      </c>
      <c r="G1169" s="11">
        <v>45960</v>
      </c>
      <c r="H1169" s="6">
        <f t="shared" si="36"/>
        <v>44</v>
      </c>
      <c r="I1169" s="16">
        <f>MAX(1, NETWORKDAYS(A1169, G1169,Table2[Dias no laborales]))</f>
        <v>2</v>
      </c>
      <c r="J1169" s="6" t="str">
        <f>IF(Table1[[#This Row],[FIN]]="","Acumulado",IF(ISNUMBER(SEARCH("ASAP",C1169)),"ASAP",IF(NETWORKDAYS.INTL(F1169,G1169,1,Table2[Dias no laborales]) &lt;= 7, "Dentro", IF(A1169&gt;F1169,"Programado","Fuera"))))</f>
        <v>Dentro</v>
      </c>
      <c r="K1169" s="6" t="str">
        <f t="shared" si="37"/>
        <v>A tiempo</v>
      </c>
      <c r="L1169" s="9">
        <v>45960</v>
      </c>
      <c r="M1169" s="17">
        <f>MAX(1,NETWORKDAYS(A1169,L1169,Table2[Dias no laborales]))</f>
        <v>2</v>
      </c>
    </row>
    <row r="1170" spans="1:13" hidden="1" x14ac:dyDescent="0.3">
      <c r="A1170" s="12">
        <v>45959</v>
      </c>
      <c r="B1170" s="16" t="s">
        <v>2301</v>
      </c>
      <c r="C1170" s="16" t="s">
        <v>2302</v>
      </c>
      <c r="D1170" s="16" t="s">
        <v>504</v>
      </c>
      <c r="E1170" s="14">
        <v>45958.675694444442</v>
      </c>
      <c r="F1170" s="12">
        <f>IF(HOUR(Table1[[#This Row],[CORREO]])&gt;=11,WORKDAY(Table1[[#This Row],[CORREO]],1,Table2[Dias no laborales]),E1170)</f>
        <v>45959</v>
      </c>
      <c r="G1170" s="11">
        <v>45959</v>
      </c>
      <c r="H1170" s="16">
        <f t="shared" si="36"/>
        <v>44</v>
      </c>
      <c r="I1170" s="16">
        <f>MAX(1, NETWORKDAYS(A1170, G1170,Table2[Dias no laborales]))</f>
        <v>1</v>
      </c>
      <c r="J1170" s="6" t="str">
        <f>IF(Table1[[#This Row],[FIN]]="","Acumulado",IF(ISNUMBER(SEARCH("ASAP",C1170)),"ASAP",IF(NETWORKDAYS.INTL(F1170,G1170,1,Table2[Dias no laborales]) &lt;= 7, "Dentro", IF(A1170&gt;F1170,"Programado","Fuera"))))</f>
        <v>Dentro</v>
      </c>
      <c r="K1170" s="16" t="str">
        <f t="shared" si="37"/>
        <v>A tiempo</v>
      </c>
      <c r="L1170" s="9">
        <v>45959</v>
      </c>
      <c r="M1170" s="18">
        <f>MAX(1,NETWORKDAYS(A1170,L1170,Table2[Dias no laborales]))</f>
        <v>1</v>
      </c>
    </row>
    <row r="1171" spans="1:13" hidden="1" x14ac:dyDescent="0.3">
      <c r="A1171" s="8">
        <v>45959</v>
      </c>
      <c r="B1171" s="6" t="s">
        <v>2314</v>
      </c>
      <c r="C1171" s="6" t="s">
        <v>2315</v>
      </c>
      <c r="D1171" s="6" t="s">
        <v>53</v>
      </c>
      <c r="E1171" s="14">
        <v>45958.793749999997</v>
      </c>
      <c r="F1171" s="8">
        <f>IF(HOUR(Table1[[#This Row],[CORREO]])&gt;=11,WORKDAY(Table1[[#This Row],[CORREO]],1,Table2[Dias no laborales]),E1171)</f>
        <v>45959</v>
      </c>
      <c r="G1171" s="13">
        <v>45961</v>
      </c>
      <c r="H1171" s="6">
        <f t="shared" si="36"/>
        <v>44</v>
      </c>
      <c r="I1171" s="16">
        <f>MAX(1, NETWORKDAYS(A1171, G1171,Table2[Dias no laborales]))</f>
        <v>3</v>
      </c>
      <c r="J1171" s="6" t="str">
        <f>IF(Table1[[#This Row],[FIN]]="","Acumulado",IF(ISNUMBER(SEARCH("ASAP",C1171)),"ASAP",IF(NETWORKDAYS.INTL(F1171,G1171,1,Table2[Dias no laborales]) &lt;= 7, "Dentro", IF(A1171&gt;F1171,"Programado","Fuera"))))</f>
        <v>Dentro</v>
      </c>
      <c r="K1171" s="6" t="str">
        <f t="shared" si="37"/>
        <v>A tiempo</v>
      </c>
      <c r="L1171" s="9">
        <v>45959</v>
      </c>
      <c r="M1171" s="17">
        <f>MAX(1,NETWORKDAYS(A1171,L1171,Table2[Dias no laborales]))</f>
        <v>1</v>
      </c>
    </row>
    <row r="1172" spans="1:13" hidden="1" x14ac:dyDescent="0.3">
      <c r="A1172" s="8">
        <v>45960</v>
      </c>
      <c r="B1172" s="6" t="s">
        <v>2328</v>
      </c>
      <c r="C1172" s="6" t="s">
        <v>2329</v>
      </c>
      <c r="D1172" s="6" t="s">
        <v>2330</v>
      </c>
      <c r="E1172" s="14"/>
      <c r="F1172" s="8">
        <f>IF(HOUR(Table1[[#This Row],[CORREO]])&gt;=11,WORKDAY(Table1[[#This Row],[CORREO]],1,Table2[Dias no laborales]),E1172)</f>
        <v>0</v>
      </c>
      <c r="G1172" s="13">
        <v>45974</v>
      </c>
      <c r="H1172" s="6">
        <f t="shared" si="36"/>
        <v>44</v>
      </c>
      <c r="I1172" s="16">
        <f>MAX(1, NETWORKDAYS(A1172, G1172,Table2[Dias no laborales]))</f>
        <v>11</v>
      </c>
      <c r="J1172" s="6" t="str">
        <f>IF(Table1[[#This Row],[FIN]]="","Acumulado",IF(ISNUMBER(SEARCH("ASAP",C1172)),"ASAP",IF(NETWORKDAYS.INTL(F1172,G1172,1,Table2[Dias no laborales]) &lt;= 7, "Dentro", IF(A1172&gt;F1172,"Programado","Fuera"))))</f>
        <v>Programado</v>
      </c>
      <c r="K1172" s="6" t="str">
        <f t="shared" si="37"/>
        <v>Programados</v>
      </c>
      <c r="L1172" s="9">
        <v>45960</v>
      </c>
      <c r="M1172" s="17">
        <f>MAX(1,NETWORKDAYS(A1172,L1172,Table2[Dias no laborales]))</f>
        <v>1</v>
      </c>
    </row>
    <row r="1173" spans="1:13" hidden="1" x14ac:dyDescent="0.3">
      <c r="A1173" s="8">
        <v>45960</v>
      </c>
      <c r="B1173" s="6" t="s">
        <v>2358</v>
      </c>
      <c r="C1173" s="6" t="s">
        <v>2359</v>
      </c>
      <c r="D1173" s="6" t="s">
        <v>308</v>
      </c>
      <c r="E1173" s="14">
        <v>45959.681250000001</v>
      </c>
      <c r="F1173" s="8">
        <f>IF(HOUR(Table1[[#This Row],[CORREO]])&gt;=11,WORKDAY(Table1[[#This Row],[CORREO]],1,Table2[Dias no laborales]),E1173)</f>
        <v>45960</v>
      </c>
      <c r="G1173" s="13">
        <v>45966</v>
      </c>
      <c r="H1173" s="6">
        <f t="shared" si="36"/>
        <v>44</v>
      </c>
      <c r="I1173" s="16">
        <f>MAX(1, NETWORKDAYS(A1173, G1173,Table2[Dias no laborales]))</f>
        <v>5</v>
      </c>
      <c r="J1173" s="6" t="str">
        <f>IF(Table1[[#This Row],[FIN]]="","Acumulado",IF(ISNUMBER(SEARCH("ASAP",C1173)),"ASAP",IF(NETWORKDAYS.INTL(F1173,G1173,1,Table2[Dias no laborales]) &lt;= 7, "Dentro", IF(A1173&gt;F1173,"Programado","Fuera"))))</f>
        <v>Dentro</v>
      </c>
      <c r="K1173" s="6" t="str">
        <f t="shared" si="37"/>
        <v>A tiempo</v>
      </c>
      <c r="L1173" s="9">
        <v>45960</v>
      </c>
      <c r="M1173" s="17">
        <f>MAX(1,NETWORKDAYS(A1173,L1173,Table2[Dias no laborales]))</f>
        <v>1</v>
      </c>
    </row>
    <row r="1174" spans="1:13" hidden="1" x14ac:dyDescent="0.3">
      <c r="A1174" s="8">
        <v>45960</v>
      </c>
      <c r="B1174" s="6" t="s">
        <v>2339</v>
      </c>
      <c r="C1174" s="6" t="s">
        <v>2340</v>
      </c>
      <c r="D1174" s="6" t="s">
        <v>103</v>
      </c>
      <c r="E1174" s="14">
        <v>45959.729861111111</v>
      </c>
      <c r="F1174" s="8">
        <f>IF(HOUR(Table1[[#This Row],[CORREO]])&gt;=11,WORKDAY(Table1[[#This Row],[CORREO]],1,Table2[Dias no laborales]),E1174)</f>
        <v>45960</v>
      </c>
      <c r="G1174" s="13">
        <v>45964</v>
      </c>
      <c r="H1174" s="6">
        <f t="shared" si="36"/>
        <v>44</v>
      </c>
      <c r="I1174" s="16">
        <f>MAX(1, NETWORKDAYS(A1174, G1174,Table2[Dias no laborales]))</f>
        <v>3</v>
      </c>
      <c r="J1174" s="6" t="str">
        <f>IF(Table1[[#This Row],[FIN]]="","Acumulado",IF(ISNUMBER(SEARCH("ASAP",C1174)),"ASAP",IF(NETWORKDAYS.INTL(F1174,G1174,1,Table2[Dias no laborales]) &lt;= 7, "Dentro", IF(A1174&gt;F1174,"Programado","Fuera"))))</f>
        <v>Dentro</v>
      </c>
      <c r="K1174" s="6" t="str">
        <f t="shared" si="37"/>
        <v>A tiempo</v>
      </c>
      <c r="L1174" s="9">
        <v>45961</v>
      </c>
      <c r="M1174" s="17">
        <f>MAX(1,NETWORKDAYS(A1174,L1174,Table2[Dias no laborales]))</f>
        <v>2</v>
      </c>
    </row>
    <row r="1175" spans="1:13" hidden="1" x14ac:dyDescent="0.3">
      <c r="A1175" s="8">
        <v>45960</v>
      </c>
      <c r="B1175" s="6" t="s">
        <v>2311</v>
      </c>
      <c r="C1175" s="6" t="s">
        <v>2294</v>
      </c>
      <c r="D1175" s="6" t="s">
        <v>2162</v>
      </c>
      <c r="E1175" s="14">
        <v>45959.866666666669</v>
      </c>
      <c r="F1175" s="8">
        <f>IF(HOUR(Table1[[#This Row],[CORREO]])&gt;=11,WORKDAY(Table1[[#This Row],[CORREO]],1,Table2[Dias no laborales]),E1175)</f>
        <v>45960</v>
      </c>
      <c r="G1175" s="13">
        <v>45961</v>
      </c>
      <c r="H1175" s="6">
        <f t="shared" si="36"/>
        <v>44</v>
      </c>
      <c r="I1175" s="16">
        <f>MAX(1, NETWORKDAYS(A1175, G1175,Table2[Dias no laborales]))</f>
        <v>2</v>
      </c>
      <c r="J1175" s="6" t="str">
        <f>IF(Table1[[#This Row],[FIN]]="","Acumulado",IF(ISNUMBER(SEARCH("ASAP",C1175)),"ASAP",IF(NETWORKDAYS.INTL(F1175,G1175,1,Table2[Dias no laborales]) &lt;= 7, "Dentro", IF(A1175&gt;F1175,"Programado","Fuera"))))</f>
        <v>Dentro</v>
      </c>
      <c r="K1175" s="6" t="str">
        <f t="shared" si="37"/>
        <v>A tiempo</v>
      </c>
      <c r="L1175" s="9">
        <v>45960</v>
      </c>
      <c r="M1175" s="17">
        <f>MAX(1,NETWORKDAYS(A1175,L1175,Table2[Dias no laborales]))</f>
        <v>1</v>
      </c>
    </row>
    <row r="1176" spans="1:13" hidden="1" x14ac:dyDescent="0.3">
      <c r="A1176" s="8">
        <v>45960</v>
      </c>
      <c r="B1176" s="6" t="s">
        <v>2333</v>
      </c>
      <c r="C1176" s="6" t="s">
        <v>2334</v>
      </c>
      <c r="D1176" s="6" t="s">
        <v>2334</v>
      </c>
      <c r="E1176" s="14">
        <v>45960.386805555558</v>
      </c>
      <c r="F1176" s="8">
        <f>IF(HOUR(Table1[[#This Row],[CORREO]])&gt;=11,WORKDAY(Table1[[#This Row],[CORREO]],1,Table2[Dias no laborales]),E1176)</f>
        <v>45960.386805555558</v>
      </c>
      <c r="G1176" s="13">
        <v>45964</v>
      </c>
      <c r="H1176" s="6">
        <f t="shared" si="36"/>
        <v>44</v>
      </c>
      <c r="I1176" s="16">
        <f>MAX(1, NETWORKDAYS(A1176, G1176,Table2[Dias no laborales]))</f>
        <v>3</v>
      </c>
      <c r="J1176" s="6" t="str">
        <f>IF(Table1[[#This Row],[FIN]]="","Acumulado",IF(ISNUMBER(SEARCH("ASAP",C1176)),"ASAP",IF(NETWORKDAYS.INTL(F1176,G1176,1,Table2[Dias no laborales]) &lt;= 7, "Dentro", IF(A1176&gt;F1176,"Programado","Fuera"))))</f>
        <v>Dentro</v>
      </c>
      <c r="K1176" s="6" t="str">
        <f t="shared" si="37"/>
        <v>A tiempo</v>
      </c>
      <c r="L1176" s="9">
        <v>45960</v>
      </c>
      <c r="M1176" s="17">
        <f>MAX(1,NETWORKDAYS(A1176,L1176,Table2[Dias no laborales]))</f>
        <v>1</v>
      </c>
    </row>
    <row r="1177" spans="1:13" hidden="1" x14ac:dyDescent="0.3">
      <c r="A1177" s="8">
        <v>45960</v>
      </c>
      <c r="B1177" s="6" t="s">
        <v>2335</v>
      </c>
      <c r="C1177" s="6" t="s">
        <v>2336</v>
      </c>
      <c r="D1177" s="6" t="s">
        <v>24</v>
      </c>
      <c r="E1177" s="14">
        <v>45960.666666666664</v>
      </c>
      <c r="F1177" s="8">
        <f>IF(HOUR(Table1[[#This Row],[CORREO]])&gt;=11,WORKDAY(Table1[[#This Row],[CORREO]],1,Table2[Dias no laborales]),E1177)</f>
        <v>45961</v>
      </c>
      <c r="G1177" s="13">
        <v>45964</v>
      </c>
      <c r="H1177" s="6">
        <f t="shared" si="36"/>
        <v>44</v>
      </c>
      <c r="I1177" s="16">
        <f>MAX(1, NETWORKDAYS(A1177, G1177,Table2[Dias no laborales]))</f>
        <v>3</v>
      </c>
      <c r="J1177" s="6" t="str">
        <f>IF(Table1[[#This Row],[FIN]]="","Acumulado",IF(ISNUMBER(SEARCH("ASAP",C1177)),"ASAP",IF(NETWORKDAYS.INTL(F1177,G1177,1,Table2[Dias no laborales]) &lt;= 7, "Dentro", IF(A1177&gt;F1177,"Programado","Fuera"))))</f>
        <v>Dentro</v>
      </c>
      <c r="K1177" s="6" t="str">
        <f t="shared" si="37"/>
        <v>Mismo día</v>
      </c>
      <c r="L1177" s="9">
        <v>45961</v>
      </c>
      <c r="M1177" s="17">
        <f>MAX(1,NETWORKDAYS(A1177,L1177,Table2[Dias no laborales]))</f>
        <v>2</v>
      </c>
    </row>
    <row r="1178" spans="1:13" hidden="1" x14ac:dyDescent="0.3">
      <c r="A1178" s="8">
        <v>45961</v>
      </c>
      <c r="B1178" s="6" t="s">
        <v>2318</v>
      </c>
      <c r="C1178" s="6" t="s">
        <v>2319</v>
      </c>
      <c r="D1178" s="6" t="s">
        <v>119</v>
      </c>
      <c r="E1178" s="14">
        <v>45960.467361111114</v>
      </c>
      <c r="F1178" s="8">
        <f>IF(HOUR(Table1[[#This Row],[CORREO]])&gt;=11,WORKDAY(Table1[[#This Row],[CORREO]],1,Table2[Dias no laborales]),E1178)</f>
        <v>45961</v>
      </c>
      <c r="G1178" s="13">
        <v>45964</v>
      </c>
      <c r="H1178" s="6">
        <f t="shared" si="36"/>
        <v>44</v>
      </c>
      <c r="I1178" s="16">
        <f>MAX(1, NETWORKDAYS(A1178, G1178,Table2[Dias no laborales]))</f>
        <v>2</v>
      </c>
      <c r="J1178" s="6" t="str">
        <f>IF(Table1[[#This Row],[FIN]]="","Acumulado",IF(ISNUMBER(SEARCH("ASAP",C1178)),"ASAP",IF(NETWORKDAYS.INTL(F1178,G1178,1,Table2[Dias no laborales]) &lt;= 7, "Dentro", IF(A1178&gt;F1178,"Programado","Fuera"))))</f>
        <v>Dentro</v>
      </c>
      <c r="K1178" s="6" t="str">
        <f t="shared" si="37"/>
        <v>A tiempo</v>
      </c>
      <c r="L1178" s="9">
        <v>45961</v>
      </c>
      <c r="M1178" s="17">
        <f>MAX(1,NETWORKDAYS(A1178,L1178,Table2[Dias no laborales]))</f>
        <v>1</v>
      </c>
    </row>
    <row r="1179" spans="1:13" hidden="1" x14ac:dyDescent="0.3">
      <c r="A1179" s="8">
        <v>45961</v>
      </c>
      <c r="B1179" s="6" t="s">
        <v>2369</v>
      </c>
      <c r="C1179" s="6" t="s">
        <v>2370</v>
      </c>
      <c r="D1179" s="6" t="s">
        <v>119</v>
      </c>
      <c r="E1179" s="14">
        <v>45960.467361111114</v>
      </c>
      <c r="F1179" s="8">
        <f>IF(HOUR(Table1[[#This Row],[CORREO]])&gt;=11,WORKDAY(Table1[[#This Row],[CORREO]],1,Table2[Dias no laborales]),E1179)</f>
        <v>45961</v>
      </c>
      <c r="G1179" s="13">
        <v>45967</v>
      </c>
      <c r="H1179" s="6">
        <f t="shared" si="36"/>
        <v>44</v>
      </c>
      <c r="I1179" s="16">
        <f>MAX(1, NETWORKDAYS(A1179, G1179,Table2[Dias no laborales]))</f>
        <v>5</v>
      </c>
      <c r="J1179" s="6" t="str">
        <f>IF(Table1[[#This Row],[FIN]]="","Acumulado",IF(ISNUMBER(SEARCH("ASAP",C1179)),"ASAP",IF(NETWORKDAYS.INTL(F1179,G1179,1,Table2[Dias no laborales]) &lt;= 7, "Dentro", IF(A1179&gt;F1179,"Programado","Fuera"))))</f>
        <v>Dentro</v>
      </c>
      <c r="K1179" s="6" t="str">
        <f t="shared" si="37"/>
        <v>A tiempo</v>
      </c>
      <c r="L1179" s="9">
        <v>45964</v>
      </c>
      <c r="M1179" s="17">
        <f>MAX(1,NETWORKDAYS(A1179,L1179,Table2[Dias no laborales]))</f>
        <v>2</v>
      </c>
    </row>
    <row r="1180" spans="1:13" hidden="1" x14ac:dyDescent="0.3">
      <c r="A1180" s="8">
        <v>45961</v>
      </c>
      <c r="B1180" s="6" t="s">
        <v>2331</v>
      </c>
      <c r="C1180" s="6" t="s">
        <v>2332</v>
      </c>
      <c r="D1180" s="6" t="s">
        <v>194</v>
      </c>
      <c r="E1180" s="14"/>
      <c r="F1180" s="8">
        <f>IF(HOUR(Table1[[#This Row],[CORREO]])&gt;=11,WORKDAY(Table1[[#This Row],[CORREO]],1,Table2[Dias no laborales]),E1180)</f>
        <v>0</v>
      </c>
      <c r="G1180" s="13">
        <v>46002</v>
      </c>
      <c r="H1180" s="6">
        <f t="shared" si="36"/>
        <v>44</v>
      </c>
      <c r="I1180" s="16">
        <f>MAX(1, NETWORKDAYS(A1180, G1180,Table2[Dias no laborales]))</f>
        <v>29</v>
      </c>
      <c r="J1180" s="6" t="str">
        <f>IF(Table1[[#This Row],[FIN]]="","Acumulado",IF(ISNUMBER(SEARCH("ASAP",C1180)),"ASAP",IF(NETWORKDAYS.INTL(F1180,G1180,1,Table2[Dias no laborales]) &lt;= 7, "Dentro", IF(A1180&gt;F1180,"Programado","Fuera"))))</f>
        <v>Programado</v>
      </c>
      <c r="K1180" s="6" t="str">
        <f t="shared" si="37"/>
        <v>Programados</v>
      </c>
      <c r="L1180" s="9">
        <v>45961</v>
      </c>
      <c r="M1180" s="17">
        <f>MAX(1,NETWORKDAYS(A1180,L1180,Table2[Dias no laborales]))</f>
        <v>1</v>
      </c>
    </row>
    <row r="1181" spans="1:13" hidden="1" x14ac:dyDescent="0.3">
      <c r="A1181" s="8">
        <v>45961</v>
      </c>
      <c r="B1181" s="6" t="s">
        <v>2312</v>
      </c>
      <c r="C1181" s="6" t="s">
        <v>2313</v>
      </c>
      <c r="D1181" s="6" t="s">
        <v>133</v>
      </c>
      <c r="E1181" s="14">
        <v>45960.8125</v>
      </c>
      <c r="F1181" s="8">
        <f>IF(HOUR(Table1[[#This Row],[CORREO]])&gt;=11,WORKDAY(Table1[[#This Row],[CORREO]],1,Table2[Dias no laborales]),E1181)</f>
        <v>45961</v>
      </c>
      <c r="G1181" s="13">
        <v>45961</v>
      </c>
      <c r="H1181" s="6">
        <f t="shared" si="36"/>
        <v>44</v>
      </c>
      <c r="I1181" s="16">
        <f>MAX(1, NETWORKDAYS(A1181, G1181,Table2[Dias no laborales]))</f>
        <v>1</v>
      </c>
      <c r="J1181" s="6" t="str">
        <f>IF(Table1[[#This Row],[FIN]]="","Acumulado",IF(ISNUMBER(SEARCH("ASAP",C1181)),"ASAP",IF(NETWORKDAYS.INTL(F1181,G1181,1,Table2[Dias no laborales]) &lt;= 7, "Dentro", IF(A1181&gt;F1181,"Programado","Fuera"))))</f>
        <v>Dentro</v>
      </c>
      <c r="K1181" s="6" t="str">
        <f t="shared" si="37"/>
        <v>A tiempo</v>
      </c>
      <c r="L1181" s="9">
        <v>45961</v>
      </c>
      <c r="M1181" s="17">
        <f>MAX(1,NETWORKDAYS(A1181,L1181,Table2[Dias no laborales]))</f>
        <v>1</v>
      </c>
    </row>
    <row r="1182" spans="1:13" hidden="1" x14ac:dyDescent="0.3">
      <c r="A1182" s="8">
        <v>45964</v>
      </c>
      <c r="B1182" s="6" t="s">
        <v>2377</v>
      </c>
      <c r="C1182" s="6" t="s">
        <v>2378</v>
      </c>
      <c r="D1182" s="6" t="s">
        <v>24</v>
      </c>
      <c r="E1182" s="14"/>
      <c r="F1182" s="8">
        <f>IF(HOUR(Table1[[#This Row],[CORREO]])&gt;=11,WORKDAY(Table1[[#This Row],[CORREO]],1,Table2[Dias no laborales]),E1182)</f>
        <v>0</v>
      </c>
      <c r="G1182" s="13">
        <v>45968</v>
      </c>
      <c r="H1182" s="6">
        <f t="shared" si="36"/>
        <v>44</v>
      </c>
      <c r="I1182" s="16">
        <f>MAX(1, NETWORKDAYS(A1182, G1182,Table2[Dias no laborales]))</f>
        <v>5</v>
      </c>
      <c r="J1182" s="6" t="str">
        <f>IF(Table1[[#This Row],[FIN]]="","Acumulado",IF(ISNUMBER(SEARCH("ASAP",C1182)),"ASAP",IF(NETWORKDAYS.INTL(F1182,G1182,1,Table2[Dias no laborales]) &lt;= 7, "Dentro", IF(A1182&gt;F1182,"Programado","Fuera"))))</f>
        <v>Programado</v>
      </c>
      <c r="K1182" s="6" t="str">
        <f t="shared" si="37"/>
        <v>Programados</v>
      </c>
      <c r="L1182" s="9">
        <v>45964</v>
      </c>
      <c r="M1182" s="17">
        <f>MAX(1,NETWORKDAYS(A1182,L1182,Table2[Dias no laborales]))</f>
        <v>1</v>
      </c>
    </row>
    <row r="1183" spans="1:13" hidden="1" x14ac:dyDescent="0.3">
      <c r="A1183" s="8">
        <v>45965</v>
      </c>
      <c r="B1183" s="6" t="s">
        <v>2379</v>
      </c>
      <c r="C1183" s="6" t="s">
        <v>2380</v>
      </c>
      <c r="D1183" s="6" t="s">
        <v>2381</v>
      </c>
      <c r="E1183" s="14"/>
      <c r="F1183" s="8">
        <f>IF(HOUR(Table1[[#This Row],[CORREO]])&gt;=11,WORKDAY(Table1[[#This Row],[CORREO]],1,Table2[Dias no laborales]),E1183)</f>
        <v>0</v>
      </c>
      <c r="G1183" s="13">
        <v>45968</v>
      </c>
      <c r="H1183" s="6">
        <f t="shared" si="36"/>
        <v>44</v>
      </c>
      <c r="I1183" s="16">
        <f>MAX(1, NETWORKDAYS(A1183, G1183,Table2[Dias no laborales]))</f>
        <v>4</v>
      </c>
      <c r="J1183" s="6" t="str">
        <f>IF(Table1[[#This Row],[FIN]]="","Acumulado",IF(ISNUMBER(SEARCH("ASAP",C1183)),"ASAP",IF(NETWORKDAYS.INTL(F1183,G1183,1,Table2[Dias no laborales]) &lt;= 7, "Dentro", IF(A1183&gt;F1183,"Programado","Fuera"))))</f>
        <v>Programado</v>
      </c>
      <c r="K1183" s="6" t="str">
        <f t="shared" si="37"/>
        <v>Programados</v>
      </c>
      <c r="L1183" s="9">
        <v>45965</v>
      </c>
      <c r="M1183" s="17">
        <f>MAX(1,NETWORKDAYS(A1183,L1183,Table2[Dias no laborales]))</f>
        <v>1</v>
      </c>
    </row>
    <row r="1184" spans="1:13" hidden="1" x14ac:dyDescent="0.3">
      <c r="A1184" s="8">
        <v>45965</v>
      </c>
      <c r="B1184" s="6" t="s">
        <v>2383</v>
      </c>
      <c r="C1184" s="6" t="s">
        <v>2384</v>
      </c>
      <c r="D1184" s="6" t="s">
        <v>517</v>
      </c>
      <c r="E1184" s="14">
        <v>45964.702777777777</v>
      </c>
      <c r="F1184" s="8">
        <f>IF(HOUR(Table1[[#This Row],[CORREO]])&gt;=11,WORKDAY(Table1[[#This Row],[CORREO]],1,Table2[Dias no laborales]),E1184)</f>
        <v>45965</v>
      </c>
      <c r="G1184" s="13">
        <v>45968</v>
      </c>
      <c r="H1184" s="6">
        <f t="shared" si="36"/>
        <v>44</v>
      </c>
      <c r="I1184" s="16">
        <f>MAX(1, NETWORKDAYS(A1184, G1184,Table2[Dias no laborales]))</f>
        <v>4</v>
      </c>
      <c r="J1184" s="6" t="str">
        <f>IF(Table1[[#This Row],[FIN]]="","Acumulado",IF(ISNUMBER(SEARCH("ASAP",C1184)),"ASAP",IF(NETWORKDAYS.INTL(F1184,G1184,1,Table2[Dias no laborales]) &lt;= 7, "Dentro", IF(A1184&gt;F1184,"Programado","Fuera"))))</f>
        <v>Dentro</v>
      </c>
      <c r="K1184" s="6" t="str">
        <f t="shared" si="37"/>
        <v>A tiempo</v>
      </c>
      <c r="L1184" s="9">
        <v>45965</v>
      </c>
      <c r="M1184" s="17">
        <f>MAX(1,NETWORKDAYS(A1184,L1184,Table2[Dias no laborales]))</f>
        <v>1</v>
      </c>
    </row>
    <row r="1185" spans="1:13" hidden="1" x14ac:dyDescent="0.3">
      <c r="A1185" s="8">
        <v>45965</v>
      </c>
      <c r="B1185" s="6" t="s">
        <v>2360</v>
      </c>
      <c r="C1185" s="6" t="s">
        <v>2361</v>
      </c>
      <c r="D1185" s="6" t="s">
        <v>27</v>
      </c>
      <c r="E1185" s="14"/>
      <c r="F1185" s="8">
        <f>IF(HOUR(Table1[[#This Row],[CORREO]])&gt;=11,WORKDAY(Table1[[#This Row],[CORREO]],1,Table2[Dias no laborales]),E1185)</f>
        <v>0</v>
      </c>
      <c r="G1185" s="13">
        <v>45967</v>
      </c>
      <c r="H1185" s="6">
        <f t="shared" si="36"/>
        <v>44</v>
      </c>
      <c r="I1185" s="16">
        <f>MAX(1, NETWORKDAYS(A1185, G1185,Table2[Dias no laborales]))</f>
        <v>3</v>
      </c>
      <c r="J1185" s="6" t="str">
        <f>IF(Table1[[#This Row],[FIN]]="","Acumulado",IF(ISNUMBER(SEARCH("ASAP",C1185)),"ASAP",IF(NETWORKDAYS.INTL(F1185,G1185,1,Table2[Dias no laborales]) &lt;= 7, "Dentro", IF(A1185&gt;F1185,"Programado","Fuera"))))</f>
        <v>Programado</v>
      </c>
      <c r="K1185" s="6" t="str">
        <f t="shared" si="37"/>
        <v>Programados</v>
      </c>
      <c r="L1185" s="9">
        <v>45966</v>
      </c>
      <c r="M1185" s="17">
        <f>MAX(1,NETWORKDAYS(A1185,L1185,Table2[Dias no laborales]))</f>
        <v>2</v>
      </c>
    </row>
    <row r="1186" spans="1:13" hidden="1" x14ac:dyDescent="0.3">
      <c r="A1186" s="8">
        <v>45965</v>
      </c>
      <c r="B1186" s="6" t="s">
        <v>2428</v>
      </c>
      <c r="C1186" s="6" t="s">
        <v>2429</v>
      </c>
      <c r="D1186" s="6" t="s">
        <v>27</v>
      </c>
      <c r="E1186" s="14"/>
      <c r="F1186" s="8">
        <f>IF(HOUR(Table1[[#This Row],[CORREO]])&gt;=11,WORKDAY(Table1[[#This Row],[CORREO]],1,Table2[Dias no laborales]),E1186)</f>
        <v>0</v>
      </c>
      <c r="G1186" s="13">
        <v>45975</v>
      </c>
      <c r="H1186" s="6">
        <f t="shared" si="36"/>
        <v>44</v>
      </c>
      <c r="I1186" s="16">
        <f>MAX(1, NETWORKDAYS(A1186, G1186,Table2[Dias no laborales]))</f>
        <v>9</v>
      </c>
      <c r="J1186" s="6" t="str">
        <f>IF(Table1[[#This Row],[FIN]]="","Acumulado",IF(ISNUMBER(SEARCH("ASAP",C1186)),"ASAP",IF(NETWORKDAYS.INTL(F1186,G1186,1,Table2[Dias no laborales]) &lt;= 7, "Dentro", IF(A1186&gt;F1186,"Programado","Fuera"))))</f>
        <v>Programado</v>
      </c>
      <c r="K1186" s="6" t="str">
        <f t="shared" si="37"/>
        <v>Programados</v>
      </c>
      <c r="L1186" s="9">
        <v>45965</v>
      </c>
      <c r="M1186" s="17">
        <f>MAX(1,NETWORKDAYS(A1186,L1186,Table2[Dias no laborales]))</f>
        <v>1</v>
      </c>
    </row>
    <row r="1187" spans="1:13" hidden="1" x14ac:dyDescent="0.3">
      <c r="A1187" s="8">
        <v>45965</v>
      </c>
      <c r="B1187" s="6" t="s">
        <v>2401</v>
      </c>
      <c r="C1187" s="6" t="s">
        <v>2402</v>
      </c>
      <c r="D1187" s="6" t="s">
        <v>27</v>
      </c>
      <c r="E1187" s="14"/>
      <c r="F1187" s="8">
        <f>IF(HOUR(Table1[[#This Row],[CORREO]])&gt;=11,WORKDAY(Table1[[#This Row],[CORREO]],1,Table2[Dias no laborales]),E1187)</f>
        <v>0</v>
      </c>
      <c r="G1187" s="13">
        <v>45972</v>
      </c>
      <c r="H1187" s="6">
        <f t="shared" si="36"/>
        <v>44</v>
      </c>
      <c r="I1187" s="16">
        <f>MAX(1, NETWORKDAYS(A1187, G1187,Table2[Dias no laborales]))</f>
        <v>6</v>
      </c>
      <c r="J1187" s="6" t="str">
        <f>IF(Table1[[#This Row],[FIN]]="","Acumulado",IF(ISNUMBER(SEARCH("ASAP",C1187)),"ASAP",IF(NETWORKDAYS.INTL(F1187,G1187,1,Table2[Dias no laborales]) &lt;= 7, "Dentro", IF(A1187&gt;F1187,"Programado","Fuera"))))</f>
        <v>Programado</v>
      </c>
      <c r="K1187" s="6" t="str">
        <f t="shared" si="37"/>
        <v>Programados</v>
      </c>
      <c r="L1187" s="9">
        <v>45965</v>
      </c>
      <c r="M1187" s="17">
        <f>MAX(1,NETWORKDAYS(A1187,L1187,Table2[Dias no laborales]))</f>
        <v>1</v>
      </c>
    </row>
    <row r="1188" spans="1:13" hidden="1" x14ac:dyDescent="0.3">
      <c r="A1188" s="8">
        <v>45965</v>
      </c>
      <c r="B1188" s="6" t="s">
        <v>2405</v>
      </c>
      <c r="C1188" s="6" t="s">
        <v>2406</v>
      </c>
      <c r="D1188" s="6" t="s">
        <v>27</v>
      </c>
      <c r="E1188" s="14"/>
      <c r="F1188" s="8">
        <f>IF(HOUR(Table1[[#This Row],[CORREO]])&gt;=11,WORKDAY(Table1[[#This Row],[CORREO]],1,Table2[Dias no laborales]),E1188)</f>
        <v>0</v>
      </c>
      <c r="G1188" s="13">
        <v>45972</v>
      </c>
      <c r="H1188" s="6">
        <f t="shared" si="36"/>
        <v>44</v>
      </c>
      <c r="I1188" s="16">
        <f>MAX(1, NETWORKDAYS(A1188, G1188,Table2[Dias no laborales]))</f>
        <v>6</v>
      </c>
      <c r="J1188" s="6" t="str">
        <f>IF(Table1[[#This Row],[FIN]]="","Acumulado",IF(ISNUMBER(SEARCH("ASAP",C1188)),"ASAP",IF(NETWORKDAYS.INTL(F1188,G1188,1,Table2[Dias no laborales]) &lt;= 7, "Dentro", IF(A1188&gt;F1188,"Programado","Fuera"))))</f>
        <v>Programado</v>
      </c>
      <c r="K1188" s="6" t="str">
        <f t="shared" si="37"/>
        <v>Programados</v>
      </c>
      <c r="L1188" s="9">
        <v>45965</v>
      </c>
      <c r="M1188" s="17">
        <f>MAX(1,NETWORKDAYS(A1188,L1188,Table2[Dias no laborales]))</f>
        <v>1</v>
      </c>
    </row>
    <row r="1189" spans="1:13" hidden="1" x14ac:dyDescent="0.3">
      <c r="A1189" s="8">
        <v>45965</v>
      </c>
      <c r="B1189" s="6" t="s">
        <v>2403</v>
      </c>
      <c r="C1189" s="6" t="s">
        <v>2404</v>
      </c>
      <c r="D1189" s="6" t="s">
        <v>27</v>
      </c>
      <c r="E1189" s="14"/>
      <c r="F1189" s="8">
        <f>IF(HOUR(Table1[[#This Row],[CORREO]])&gt;=11,WORKDAY(Table1[[#This Row],[CORREO]],1,Table2[Dias no laborales]),E1189)</f>
        <v>0</v>
      </c>
      <c r="G1189" s="13">
        <v>45972</v>
      </c>
      <c r="H1189" s="6">
        <f t="shared" si="36"/>
        <v>44</v>
      </c>
      <c r="I1189" s="16">
        <f>MAX(1, NETWORKDAYS(A1189, G1189,Table2[Dias no laborales]))</f>
        <v>6</v>
      </c>
      <c r="J1189" s="6" t="str">
        <f>IF(Table1[[#This Row],[FIN]]="","Acumulado",IF(ISNUMBER(SEARCH("ASAP",C1189)),"ASAP",IF(NETWORKDAYS.INTL(F1189,G1189,1,Table2[Dias no laborales]) &lt;= 7, "Dentro", IF(A1189&gt;F1189,"Programado","Fuera"))))</f>
        <v>Programado</v>
      </c>
      <c r="K1189" s="6" t="str">
        <f t="shared" si="37"/>
        <v>Programados</v>
      </c>
      <c r="L1189" s="9">
        <v>45965</v>
      </c>
      <c r="M1189" s="17">
        <f>MAX(1,NETWORKDAYS(A1189,L1189,Table2[Dias no laborales]))</f>
        <v>1</v>
      </c>
    </row>
    <row r="1190" spans="1:13" hidden="1" x14ac:dyDescent="0.3">
      <c r="A1190" s="8">
        <v>45965</v>
      </c>
      <c r="B1190" s="6" t="s">
        <v>2399</v>
      </c>
      <c r="C1190" s="6" t="s">
        <v>2400</v>
      </c>
      <c r="D1190" s="6" t="s">
        <v>27</v>
      </c>
      <c r="E1190" s="14"/>
      <c r="F1190" s="8">
        <f>IF(HOUR(Table1[[#This Row],[CORREO]])&gt;=11,WORKDAY(Table1[[#This Row],[CORREO]],1,Table2[Dias no laborales]),E1190)</f>
        <v>0</v>
      </c>
      <c r="G1190" s="13">
        <v>45972</v>
      </c>
      <c r="H1190" s="6">
        <f t="shared" si="36"/>
        <v>44</v>
      </c>
      <c r="I1190" s="16">
        <f>MAX(1, NETWORKDAYS(A1190, G1190,Table2[Dias no laborales]))</f>
        <v>6</v>
      </c>
      <c r="J1190" s="6" t="str">
        <f>IF(Table1[[#This Row],[FIN]]="","Acumulado",IF(ISNUMBER(SEARCH("ASAP",C1190)),"ASAP",IF(NETWORKDAYS.INTL(F1190,G1190,1,Table2[Dias no laborales]) &lt;= 7, "Dentro", IF(A1190&gt;F1190,"Programado","Fuera"))))</f>
        <v>Programado</v>
      </c>
      <c r="K1190" s="6" t="str">
        <f t="shared" ref="K1190:K1217" si="38">IF(INT(A1190)=INT(F1190),"A tiempo", IF(A1190&lt;F1190,"Mismo día","Programados"))</f>
        <v>Programados</v>
      </c>
      <c r="L1190" s="9">
        <v>45965</v>
      </c>
      <c r="M1190" s="17">
        <f>MAX(1,NETWORKDAYS(A1190,L1190,Table2[Dias no laborales]))</f>
        <v>1</v>
      </c>
    </row>
    <row r="1191" spans="1:13" hidden="1" x14ac:dyDescent="0.3">
      <c r="A1191" s="8">
        <v>45966</v>
      </c>
      <c r="B1191" s="6" t="s">
        <v>2356</v>
      </c>
      <c r="C1191" s="6" t="s">
        <v>2357</v>
      </c>
      <c r="D1191" s="6" t="s">
        <v>1827</v>
      </c>
      <c r="E1191" s="14">
        <v>45966.359027777777</v>
      </c>
      <c r="F1191" s="8">
        <f>IF(HOUR(Table1[[#This Row],[CORREO]])&gt;=11,WORKDAY(Table1[[#This Row],[CORREO]],1,Table2[Dias no laborales]),E1191)</f>
        <v>45966.359027777777</v>
      </c>
      <c r="G1191" s="13">
        <v>45966</v>
      </c>
      <c r="H1191" s="6">
        <f t="shared" si="36"/>
        <v>45</v>
      </c>
      <c r="I1191" s="16">
        <f>MAX(1, NETWORKDAYS(A1191, G1191,Table2[Dias no laborales]))</f>
        <v>1</v>
      </c>
      <c r="J1191" s="6" t="str">
        <f>IF(Table1[[#This Row],[FIN]]="","Acumulado",IF(ISNUMBER(SEARCH("ASAP",C1191)),"ASAP",IF(NETWORKDAYS.INTL(F1191,G1191,1,Table2[Dias no laborales]) &lt;= 7, "Dentro", IF(A1191&gt;F1191,"Programado","Fuera"))))</f>
        <v>Dentro</v>
      </c>
      <c r="K1191" s="6" t="str">
        <f t="shared" si="38"/>
        <v>A tiempo</v>
      </c>
      <c r="L1191" s="9">
        <v>45966</v>
      </c>
      <c r="M1191" s="17">
        <f>MAX(1,NETWORKDAYS(A1191,L1191,Table2[Dias no laborales]))</f>
        <v>1</v>
      </c>
    </row>
    <row r="1192" spans="1:13" hidden="1" x14ac:dyDescent="0.3">
      <c r="A1192" s="8">
        <v>45966</v>
      </c>
      <c r="B1192" s="6" t="s">
        <v>2354</v>
      </c>
      <c r="C1192" s="6" t="s">
        <v>2355</v>
      </c>
      <c r="D1192" s="6" t="s">
        <v>89</v>
      </c>
      <c r="E1192" s="14">
        <v>45965.479166666664</v>
      </c>
      <c r="F1192" s="8">
        <f>IF(HOUR(Table1[[#This Row],[CORREO]])&gt;=11,WORKDAY(Table1[[#This Row],[CORREO]],1,Table2[Dias no laborales]),E1192)</f>
        <v>45966</v>
      </c>
      <c r="G1192" s="13">
        <v>45966</v>
      </c>
      <c r="H1192" s="6">
        <f t="shared" si="36"/>
        <v>45</v>
      </c>
      <c r="I1192" s="16">
        <f>MAX(1, NETWORKDAYS(A1192, G1192,Table2[Dias no laborales]))</f>
        <v>1</v>
      </c>
      <c r="J1192" s="6" t="str">
        <f>IF(Table1[[#This Row],[FIN]]="","Acumulado",IF(ISNUMBER(SEARCH("ASAP",C1192)),"ASAP",IF(NETWORKDAYS.INTL(F1192,G1192,1,Table2[Dias no laborales]) &lt;= 7, "Dentro", IF(A1192&gt;F1192,"Programado","Fuera"))))</f>
        <v>Dentro</v>
      </c>
      <c r="K1192" s="6" t="str">
        <f t="shared" si="38"/>
        <v>A tiempo</v>
      </c>
      <c r="L1192" s="9">
        <v>45966</v>
      </c>
      <c r="M1192" s="17">
        <f>MAX(1,NETWORKDAYS(A1192,L1192,Table2[Dias no laborales]))</f>
        <v>1</v>
      </c>
    </row>
    <row r="1193" spans="1:13" hidden="1" x14ac:dyDescent="0.3">
      <c r="A1193" s="8">
        <v>45966</v>
      </c>
      <c r="B1193" s="6" t="s">
        <v>2430</v>
      </c>
      <c r="C1193" s="6" t="s">
        <v>2431</v>
      </c>
      <c r="D1193" s="6" t="s">
        <v>392</v>
      </c>
      <c r="E1193" s="14"/>
      <c r="F1193" s="8">
        <f>IF(HOUR(Table1[[#This Row],[CORREO]])&gt;=11,WORKDAY(Table1[[#This Row],[CORREO]],1,Table2[Dias no laborales]),E1193)</f>
        <v>0</v>
      </c>
      <c r="G1193" s="13">
        <v>45980</v>
      </c>
      <c r="H1193" s="6">
        <f t="shared" si="36"/>
        <v>45</v>
      </c>
      <c r="I1193" s="16">
        <f>MAX(1, NETWORKDAYS(A1193, G1193,Table2[Dias no laborales]))</f>
        <v>10</v>
      </c>
      <c r="J1193" s="6" t="str">
        <f>IF(Table1[[#This Row],[FIN]]="","Acumulado",IF(ISNUMBER(SEARCH("ASAP",C1193)),"ASAP",IF(NETWORKDAYS.INTL(F1193,G1193,1,Table2[Dias no laborales]) &lt;= 7, "Dentro", IF(A1193&gt;F1193,"Programado","Fuera"))))</f>
        <v>Programado</v>
      </c>
      <c r="K1193" s="6" t="str">
        <f t="shared" si="38"/>
        <v>Programados</v>
      </c>
      <c r="L1193" s="9">
        <v>45966</v>
      </c>
      <c r="M1193" s="17">
        <f>MAX(1,NETWORKDAYS(A1193,L1193,Table2[Dias no laborales]))</f>
        <v>1</v>
      </c>
    </row>
    <row r="1194" spans="1:13" hidden="1" x14ac:dyDescent="0.3">
      <c r="A1194" s="8">
        <v>45966</v>
      </c>
      <c r="B1194" s="6" t="s">
        <v>2373</v>
      </c>
      <c r="C1194" s="6" t="s">
        <v>2374</v>
      </c>
      <c r="D1194" s="6" t="s">
        <v>61</v>
      </c>
      <c r="E1194" s="14">
        <v>45965.661111111112</v>
      </c>
      <c r="F1194" s="8">
        <f>IF(HOUR(Table1[[#This Row],[CORREO]])&gt;=11,WORKDAY(Table1[[#This Row],[CORREO]],1,Table2[Dias no laborales]),E1194)</f>
        <v>45966</v>
      </c>
      <c r="G1194" s="13">
        <v>45967</v>
      </c>
      <c r="H1194" s="6">
        <f t="shared" si="36"/>
        <v>45</v>
      </c>
      <c r="I1194" s="16">
        <f>MAX(1, NETWORKDAYS(A1194, G1194,Table2[Dias no laborales]))</f>
        <v>2</v>
      </c>
      <c r="J1194" s="6" t="str">
        <f>IF(Table1[[#This Row],[FIN]]="","Acumulado",IF(ISNUMBER(SEARCH("ASAP",C1194)),"ASAP",IF(NETWORKDAYS.INTL(F1194,G1194,1,Table2[Dias no laborales]) &lt;= 7, "Dentro", IF(A1194&gt;F1194,"Programado","Fuera"))))</f>
        <v>Dentro</v>
      </c>
      <c r="K1194" s="6" t="str">
        <f t="shared" si="38"/>
        <v>A tiempo</v>
      </c>
      <c r="L1194" s="9">
        <v>45966</v>
      </c>
      <c r="M1194" s="17">
        <f>MAX(1,NETWORKDAYS(A1194,L1194,Table2[Dias no laborales]))</f>
        <v>1</v>
      </c>
    </row>
    <row r="1195" spans="1:13" hidden="1" x14ac:dyDescent="0.3">
      <c r="A1195" s="8">
        <v>45966</v>
      </c>
      <c r="B1195" s="6" t="s">
        <v>2352</v>
      </c>
      <c r="C1195" s="6" t="s">
        <v>2353</v>
      </c>
      <c r="D1195" s="6" t="s">
        <v>372</v>
      </c>
      <c r="E1195" s="14">
        <v>45965.709722222222</v>
      </c>
      <c r="F1195" s="8">
        <f>IF(HOUR(Table1[[#This Row],[CORREO]])&gt;=11,WORKDAY(Table1[[#This Row],[CORREO]],1,Table2[Dias no laborales]),E1195)</f>
        <v>45966</v>
      </c>
      <c r="G1195" s="13">
        <v>45966</v>
      </c>
      <c r="H1195" s="6">
        <f t="shared" si="36"/>
        <v>45</v>
      </c>
      <c r="I1195" s="16">
        <f>MAX(1, NETWORKDAYS(A1195, G1195,Table2[Dias no laborales]))</f>
        <v>1</v>
      </c>
      <c r="J1195" s="6" t="str">
        <f>IF(Table1[[#This Row],[FIN]]="","Acumulado",IF(ISNUMBER(SEARCH("ASAP",C1195)),"ASAP",IF(NETWORKDAYS.INTL(F1195,G1195,1,Table2[Dias no laborales]) &lt;= 7, "Dentro", IF(A1195&gt;F1195,"Programado","Fuera"))))</f>
        <v>Dentro</v>
      </c>
      <c r="K1195" s="6" t="str">
        <f t="shared" si="38"/>
        <v>A tiempo</v>
      </c>
      <c r="L1195" s="9">
        <v>45966</v>
      </c>
      <c r="M1195" s="17">
        <f>MAX(1,NETWORKDAYS(A1195,L1195,Table2[Dias no laborales]))</f>
        <v>1</v>
      </c>
    </row>
    <row r="1196" spans="1:13" hidden="1" x14ac:dyDescent="0.3">
      <c r="A1196" s="8">
        <v>45966</v>
      </c>
      <c r="B1196" s="6" t="s">
        <v>2367</v>
      </c>
      <c r="C1196" s="6" t="s">
        <v>2368</v>
      </c>
      <c r="D1196" s="6" t="s">
        <v>504</v>
      </c>
      <c r="E1196" s="14">
        <v>45966.34097222222</v>
      </c>
      <c r="F1196" s="8">
        <f>IF(HOUR(Table1[[#This Row],[CORREO]])&gt;=11,WORKDAY(Table1[[#This Row],[CORREO]],1,Table2[Dias no laborales]),E1196)</f>
        <v>45966.34097222222</v>
      </c>
      <c r="G1196" s="13">
        <v>45967</v>
      </c>
      <c r="H1196" s="6">
        <f t="shared" si="36"/>
        <v>45</v>
      </c>
      <c r="I1196" s="16">
        <f>MAX(1, NETWORKDAYS(A1196, G1196,Table2[Dias no laborales]))</f>
        <v>2</v>
      </c>
      <c r="J1196" s="6" t="str">
        <f>IF(Table1[[#This Row],[FIN]]="","Acumulado",IF(ISNUMBER(SEARCH("ASAP",C1196)),"ASAP",IF(NETWORKDAYS.INTL(F1196,G1196,1,Table2[Dias no laborales]) &lt;= 7, "Dentro", IF(A1196&gt;F1196,"Programado","Fuera"))))</f>
        <v>Dentro</v>
      </c>
      <c r="K1196" s="6" t="str">
        <f t="shared" si="38"/>
        <v>A tiempo</v>
      </c>
      <c r="L1196" s="9">
        <v>45966</v>
      </c>
      <c r="M1196" s="17">
        <f>MAX(1,NETWORKDAYS(A1196,L1196,Table2[Dias no laborales]))</f>
        <v>1</v>
      </c>
    </row>
    <row r="1197" spans="1:13" hidden="1" x14ac:dyDescent="0.3">
      <c r="A1197" s="8">
        <v>45966</v>
      </c>
      <c r="B1197" s="6" t="s">
        <v>2432</v>
      </c>
      <c r="C1197" s="6" t="s">
        <v>2433</v>
      </c>
      <c r="D1197" s="6" t="s">
        <v>517</v>
      </c>
      <c r="E1197" s="14">
        <v>45966.423611111109</v>
      </c>
      <c r="F1197" s="8">
        <f>IF(HOUR(Table1[[#This Row],[CORREO]])&gt;=11,WORKDAY(Table1[[#This Row],[CORREO]],1,Table2[Dias no laborales]),E1197)</f>
        <v>45966.423611111109</v>
      </c>
      <c r="G1197" s="13">
        <v>46010</v>
      </c>
      <c r="H1197" s="6">
        <f t="shared" si="36"/>
        <v>45</v>
      </c>
      <c r="I1197" s="16">
        <f>MAX(1, NETWORKDAYS(A1197, G1197,Table2[Dias no laborales]))</f>
        <v>32</v>
      </c>
      <c r="J1197" s="6" t="str">
        <f>IF(Table1[[#This Row],[FIN]]="","Acumulado",IF(ISNUMBER(SEARCH("ASAP",C1197)),"ASAP",IF(NETWORKDAYS.INTL(F1197,G1197,1,Table2[Dias no laborales]) &lt;= 7, "Dentro", IF(A1197&gt;F1197,"Programado","Fuera"))))</f>
        <v>Fuera</v>
      </c>
      <c r="K1197" s="6" t="str">
        <f t="shared" si="38"/>
        <v>A tiempo</v>
      </c>
      <c r="L1197" s="9">
        <v>45966</v>
      </c>
      <c r="M1197" s="17">
        <f>MAX(1,NETWORKDAYS(A1197,L1197,Table2[Dias no laborales]))</f>
        <v>1</v>
      </c>
    </row>
    <row r="1198" spans="1:13" hidden="1" x14ac:dyDescent="0.3">
      <c r="A1198" s="8">
        <v>45967</v>
      </c>
      <c r="B1198" s="6" t="s">
        <v>2434</v>
      </c>
      <c r="C1198" s="6" t="s">
        <v>2435</v>
      </c>
      <c r="D1198" s="6" t="s">
        <v>119</v>
      </c>
      <c r="E1198" s="14">
        <v>45967.347222222219</v>
      </c>
      <c r="F1198" s="8">
        <f>IF(HOUR(Table1[[#This Row],[CORREO]])&gt;=11,WORKDAY(Table1[[#This Row],[CORREO]],1,Table2[Dias no laborales]),E1198)</f>
        <v>45967.347222222219</v>
      </c>
      <c r="G1198" s="13">
        <v>45982</v>
      </c>
      <c r="H1198" s="6">
        <f t="shared" si="36"/>
        <v>45</v>
      </c>
      <c r="I1198" s="16">
        <f>MAX(1, NETWORKDAYS(A1198, G1198,Table2[Dias no laborales]))</f>
        <v>11</v>
      </c>
      <c r="J1198" s="6" t="str">
        <f>IF(Table1[[#This Row],[FIN]]="","Acumulado",IF(ISNUMBER(SEARCH("ASAP",C1198)),"ASAP",IF(NETWORKDAYS.INTL(F1198,G1198,1,Table2[Dias no laborales]) &lt;= 7, "Dentro", IF(A1198&gt;F1198,"Programado","Fuera"))))</f>
        <v>Fuera</v>
      </c>
      <c r="K1198" s="6" t="str">
        <f t="shared" si="38"/>
        <v>A tiempo</v>
      </c>
      <c r="L1198" s="9">
        <v>45967</v>
      </c>
      <c r="M1198" s="17">
        <f>MAX(1,NETWORKDAYS(A1198,L1198,Table2[Dias no laborales]))</f>
        <v>1</v>
      </c>
    </row>
    <row r="1199" spans="1:13" hidden="1" x14ac:dyDescent="0.3">
      <c r="A1199" s="8">
        <v>45967</v>
      </c>
      <c r="B1199" s="6" t="s">
        <v>2438</v>
      </c>
      <c r="C1199" s="6" t="s">
        <v>2439</v>
      </c>
      <c r="D1199" s="6" t="s">
        <v>24</v>
      </c>
      <c r="E1199" s="14"/>
      <c r="F1199" s="8">
        <f>IF(HOUR(Table1[[#This Row],[CORREO]])&gt;=11,WORKDAY(Table1[[#This Row],[CORREO]],1,Table2[Dias no laborales]),E1199)</f>
        <v>0</v>
      </c>
      <c r="G1199" s="13">
        <v>45980</v>
      </c>
      <c r="H1199" s="6">
        <f t="shared" si="36"/>
        <v>45</v>
      </c>
      <c r="I1199" s="16">
        <f>MAX(1, NETWORKDAYS(A1199, G1199,Table2[Dias no laborales]))</f>
        <v>9</v>
      </c>
      <c r="J1199" s="6" t="str">
        <f>IF(Table1[[#This Row],[FIN]]="","Acumulado",IF(ISNUMBER(SEARCH("ASAP",C1199)),"ASAP",IF(NETWORKDAYS.INTL(F1199,G1199,1,Table2[Dias no laborales]) &lt;= 7, "Dentro", IF(A1199&gt;F1199,"Programado","Fuera"))))</f>
        <v>ASAP</v>
      </c>
      <c r="K1199" s="6" t="str">
        <f t="shared" si="38"/>
        <v>Programados</v>
      </c>
      <c r="L1199" s="9">
        <v>45968</v>
      </c>
      <c r="M1199" s="17">
        <f>MAX(1,NETWORKDAYS(A1199,L1199,Table2[Dias no laborales]))</f>
        <v>2</v>
      </c>
    </row>
    <row r="1200" spans="1:13" hidden="1" x14ac:dyDescent="0.3">
      <c r="A1200" s="8">
        <v>45967</v>
      </c>
      <c r="B1200" s="6" t="s">
        <v>2417</v>
      </c>
      <c r="C1200" s="6" t="s">
        <v>2418</v>
      </c>
      <c r="D1200" s="6" t="s">
        <v>342</v>
      </c>
      <c r="E1200" s="14">
        <v>45967.386805555558</v>
      </c>
      <c r="F1200" s="8">
        <f>IF(HOUR(Table1[[#This Row],[CORREO]])&gt;=11,WORKDAY(Table1[[#This Row],[CORREO]],1,Table2[Dias no laborales]),E1200)</f>
        <v>45967.386805555558</v>
      </c>
      <c r="G1200" s="13">
        <v>45973</v>
      </c>
      <c r="H1200" s="6">
        <f t="shared" si="36"/>
        <v>45</v>
      </c>
      <c r="I1200" s="16">
        <f>MAX(1, NETWORKDAYS(A1200, G1200,Table2[Dias no laborales]))</f>
        <v>5</v>
      </c>
      <c r="J1200" s="6" t="str">
        <f>IF(Table1[[#This Row],[FIN]]="","Acumulado",IF(ISNUMBER(SEARCH("ASAP",C1200)),"ASAP",IF(NETWORKDAYS.INTL(F1200,G1200,1,Table2[Dias no laborales]) &lt;= 7, "Dentro", IF(A1200&gt;F1200,"Programado","Fuera"))))</f>
        <v>Dentro</v>
      </c>
      <c r="K1200" s="6" t="str">
        <f t="shared" si="38"/>
        <v>A tiempo</v>
      </c>
      <c r="L1200" s="9">
        <v>45971</v>
      </c>
      <c r="M1200" s="17">
        <f>MAX(1,NETWORKDAYS(A1200,L1200,Table2[Dias no laborales]))</f>
        <v>3</v>
      </c>
    </row>
    <row r="1201" spans="1:13" hidden="1" x14ac:dyDescent="0.3">
      <c r="A1201" s="8">
        <v>45967</v>
      </c>
      <c r="B1201" s="6" t="s">
        <v>2375</v>
      </c>
      <c r="C1201" s="6" t="s">
        <v>2376</v>
      </c>
      <c r="D1201" s="6" t="s">
        <v>1099</v>
      </c>
      <c r="E1201" s="14">
        <v>45967.458333333336</v>
      </c>
      <c r="F1201" s="8">
        <f>IF(HOUR(Table1[[#This Row],[CORREO]])&gt;=11,WORKDAY(Table1[[#This Row],[CORREO]],1,Table2[Dias no laborales]),E1201)</f>
        <v>45968</v>
      </c>
      <c r="G1201" s="13">
        <v>45967</v>
      </c>
      <c r="H1201" s="6">
        <f t="shared" si="36"/>
        <v>45</v>
      </c>
      <c r="I1201" s="16">
        <f>MAX(1, NETWORKDAYS(A1201, G1201,Table2[Dias no laborales]))</f>
        <v>1</v>
      </c>
      <c r="J1201" s="6" t="str">
        <f>IF(Table1[[#This Row],[FIN]]="","Acumulado",IF(ISNUMBER(SEARCH("ASAP",C1201)),"ASAP",IF(NETWORKDAYS.INTL(F1201,G1201,1,Table2[Dias no laborales]) &lt;= 7, "Dentro", IF(A1201&gt;F1201,"Programado","Fuera"))))</f>
        <v>Dentro</v>
      </c>
      <c r="K1201" s="6" t="str">
        <f t="shared" si="38"/>
        <v>Mismo día</v>
      </c>
      <c r="L1201" s="9">
        <v>45967</v>
      </c>
      <c r="M1201" s="17">
        <f>MAX(1,NETWORKDAYS(A1201,L1201,Table2[Dias no laborales]))</f>
        <v>1</v>
      </c>
    </row>
    <row r="1202" spans="1:13" hidden="1" x14ac:dyDescent="0.3">
      <c r="A1202" s="8">
        <v>45967</v>
      </c>
      <c r="B1202" s="6" t="s">
        <v>2436</v>
      </c>
      <c r="C1202" s="6" t="s">
        <v>2437</v>
      </c>
      <c r="D1202" s="6" t="s">
        <v>24</v>
      </c>
      <c r="E1202" s="14">
        <v>45965.543749999997</v>
      </c>
      <c r="F1202" s="8">
        <f>IF(HOUR(Table1[[#This Row],[CORREO]])&gt;=11,WORKDAY(Table1[[#This Row],[CORREO]],1,Table2[Dias no laborales]),E1202)</f>
        <v>45966</v>
      </c>
      <c r="G1202" s="13">
        <v>45980</v>
      </c>
      <c r="H1202" s="6">
        <f t="shared" si="36"/>
        <v>45</v>
      </c>
      <c r="I1202" s="16">
        <f>MAX(1, NETWORKDAYS(A1202, G1202,Table2[Dias no laborales]))</f>
        <v>9</v>
      </c>
      <c r="J1202" s="6" t="str">
        <f>IF(Table1[[#This Row],[FIN]]="","Acumulado",IF(ISNUMBER(SEARCH("ASAP",C1202)),"ASAP",IF(NETWORKDAYS.INTL(F1202,G1202,1,Table2[Dias no laborales]) &lt;= 7, "Dentro", IF(A1202&gt;F1202,"Programado","Fuera"))))</f>
        <v>Programado</v>
      </c>
      <c r="K1202" s="6" t="str">
        <f t="shared" si="38"/>
        <v>Programados</v>
      </c>
      <c r="L1202" s="9">
        <v>45967</v>
      </c>
      <c r="M1202" s="17">
        <f>MAX(1,NETWORKDAYS(A1202,L1202,Table2[Dias no laborales]))</f>
        <v>1</v>
      </c>
    </row>
    <row r="1203" spans="1:13" hidden="1" x14ac:dyDescent="0.3">
      <c r="A1203" s="8">
        <v>45968</v>
      </c>
      <c r="B1203" s="6" t="s">
        <v>2440</v>
      </c>
      <c r="C1203" s="6" t="s">
        <v>2441</v>
      </c>
      <c r="D1203" s="6" t="s">
        <v>24</v>
      </c>
      <c r="E1203" s="14"/>
      <c r="F1203" s="8">
        <f>IF(HOUR(Table1[[#This Row],[CORREO]])&gt;=11,WORKDAY(Table1[[#This Row],[CORREO]],1,Table2[Dias no laborales]),E1203)</f>
        <v>0</v>
      </c>
      <c r="G1203" s="13">
        <v>45989</v>
      </c>
      <c r="H1203" s="6">
        <f t="shared" si="36"/>
        <v>45</v>
      </c>
      <c r="I1203" s="16">
        <f>MAX(1, NETWORKDAYS(A1203, G1203,Table2[Dias no laborales]))</f>
        <v>15</v>
      </c>
      <c r="J1203" s="6" t="str">
        <f>IF(Table1[[#This Row],[FIN]]="","Acumulado",IF(ISNUMBER(SEARCH("ASAP",C1203)),"ASAP",IF(NETWORKDAYS.INTL(F1203,G1203,1,Table2[Dias no laborales]) &lt;= 7, "Dentro", IF(A1203&gt;F1203,"Programado","Fuera"))))</f>
        <v>Programado</v>
      </c>
      <c r="K1203" s="6" t="str">
        <f t="shared" si="38"/>
        <v>Programados</v>
      </c>
      <c r="L1203" s="9">
        <v>45968</v>
      </c>
      <c r="M1203" s="17">
        <f>MAX(1,NETWORKDAYS(A1203,L1203,Table2[Dias no laborales]))</f>
        <v>1</v>
      </c>
    </row>
    <row r="1204" spans="1:13" hidden="1" x14ac:dyDescent="0.3">
      <c r="A1204" s="8">
        <v>45968</v>
      </c>
      <c r="B1204" s="6" t="s">
        <v>2382</v>
      </c>
      <c r="C1204" s="6" t="s">
        <v>2200</v>
      </c>
      <c r="D1204" s="6" t="s">
        <v>133</v>
      </c>
      <c r="E1204" s="14">
        <v>45967.604166666664</v>
      </c>
      <c r="F1204" s="8">
        <f>IF(HOUR(Table1[[#This Row],[CORREO]])&gt;=11,WORKDAY(Table1[[#This Row],[CORREO]],1,Table2[Dias no laborales]),E1204)</f>
        <v>45968</v>
      </c>
      <c r="G1204" s="13">
        <v>45968</v>
      </c>
      <c r="H1204" s="6">
        <f t="shared" si="36"/>
        <v>45</v>
      </c>
      <c r="I1204" s="16">
        <f>MAX(1, NETWORKDAYS(A1204, G1204,Table2[Dias no laborales]))</f>
        <v>1</v>
      </c>
      <c r="J1204" s="6" t="str">
        <f>IF(Table1[[#This Row],[FIN]]="","Acumulado",IF(ISNUMBER(SEARCH("ASAP",C1204)),"ASAP",IF(NETWORKDAYS.INTL(F1204,G1204,1,Table2[Dias no laborales]) &lt;= 7, "Dentro", IF(A1204&gt;F1204,"Programado","Fuera"))))</f>
        <v>Dentro</v>
      </c>
      <c r="K1204" s="6" t="str">
        <f t="shared" si="38"/>
        <v>A tiempo</v>
      </c>
      <c r="L1204" s="9">
        <v>45968</v>
      </c>
      <c r="M1204" s="17">
        <f>MAX(1,NETWORKDAYS(A1204,L1204,Table2[Dias no laborales]))</f>
        <v>1</v>
      </c>
    </row>
    <row r="1205" spans="1:13" hidden="1" x14ac:dyDescent="0.3">
      <c r="A1205" s="8">
        <v>45968</v>
      </c>
      <c r="B1205" s="6" t="s">
        <v>2385</v>
      </c>
      <c r="C1205" s="6" t="s">
        <v>2386</v>
      </c>
      <c r="D1205" s="6" t="s">
        <v>85</v>
      </c>
      <c r="E1205" s="14">
        <v>45968.429861111108</v>
      </c>
      <c r="F1205" s="8">
        <f>IF(HOUR(Table1[[#This Row],[CORREO]])&gt;=11,WORKDAY(Table1[[#This Row],[CORREO]],1,Table2[Dias no laborales]),E1205)</f>
        <v>45968.429861111108</v>
      </c>
      <c r="G1205" s="13">
        <v>45968</v>
      </c>
      <c r="H1205" s="6">
        <f t="shared" si="36"/>
        <v>45</v>
      </c>
      <c r="I1205" s="16">
        <f>MAX(1, NETWORKDAYS(A1205, G1205,Table2[Dias no laborales]))</f>
        <v>1</v>
      </c>
      <c r="J1205" s="6" t="str">
        <f>IF(Table1[[#This Row],[FIN]]="","Acumulado",IF(ISNUMBER(SEARCH("ASAP",C1205)),"ASAP",IF(NETWORKDAYS.INTL(F1205,G1205,1,Table2[Dias no laborales]) &lt;= 7, "Dentro", IF(A1205&gt;F1205,"Programado","Fuera"))))</f>
        <v>Dentro</v>
      </c>
      <c r="K1205" s="6" t="str">
        <f t="shared" si="38"/>
        <v>A tiempo</v>
      </c>
      <c r="L1205" s="9">
        <v>45968</v>
      </c>
      <c r="M1205" s="17">
        <f>MAX(1,NETWORKDAYS(A1205,L1205,Table2[Dias no laborales]))</f>
        <v>1</v>
      </c>
    </row>
    <row r="1206" spans="1:13" hidden="1" x14ac:dyDescent="0.3">
      <c r="A1206" s="8">
        <v>45971</v>
      </c>
      <c r="B1206" s="6" t="s">
        <v>2426</v>
      </c>
      <c r="C1206" s="6" t="s">
        <v>2427</v>
      </c>
      <c r="D1206" s="6" t="s">
        <v>24</v>
      </c>
      <c r="E1206" s="14"/>
      <c r="F1206" s="8">
        <f>IF(HOUR(Table1[[#This Row],[CORREO]])&gt;=11,WORKDAY(Table1[[#This Row],[CORREO]],1,Table2[Dias no laborales]),E1206)</f>
        <v>0</v>
      </c>
      <c r="G1206" s="13">
        <v>45975</v>
      </c>
      <c r="H1206" s="6">
        <f t="shared" si="36"/>
        <v>45</v>
      </c>
      <c r="I1206" s="16">
        <f>MAX(1, NETWORKDAYS(A1206, G1206,Table2[Dias no laborales]))</f>
        <v>5</v>
      </c>
      <c r="J1206" s="6" t="str">
        <f>IF(Table1[[#This Row],[FIN]]="","Acumulado",IF(ISNUMBER(SEARCH("ASAP",C1206)),"ASAP",IF(NETWORKDAYS.INTL(F1206,G1206,1,Table2[Dias no laborales]) &lt;= 7, "Dentro", IF(A1206&gt;F1206,"Programado","Fuera"))))</f>
        <v>Programado</v>
      </c>
      <c r="K1206" s="6" t="str">
        <f t="shared" si="38"/>
        <v>Programados</v>
      </c>
      <c r="L1206" s="9">
        <v>45972</v>
      </c>
      <c r="M1206" s="17">
        <f>MAX(1,NETWORKDAYS(A1206,L1206,Table2[Dias no laborales]))</f>
        <v>2</v>
      </c>
    </row>
    <row r="1207" spans="1:13" hidden="1" x14ac:dyDescent="0.3">
      <c r="A1207" s="8">
        <v>45971</v>
      </c>
      <c r="B1207" s="6" t="s">
        <v>2444</v>
      </c>
      <c r="C1207" s="6" t="s">
        <v>2445</v>
      </c>
      <c r="D1207" s="6" t="s">
        <v>154</v>
      </c>
      <c r="E1207" s="14">
        <v>45968.600694444445</v>
      </c>
      <c r="F1207" s="8">
        <f>IF(HOUR(Table1[[#This Row],[CORREO]])&gt;=11,WORKDAY(Table1[[#This Row],[CORREO]],1,Table2[Dias no laborales]),E1207)</f>
        <v>45971</v>
      </c>
      <c r="G1207" s="13">
        <v>45975</v>
      </c>
      <c r="H1207" s="6">
        <f t="shared" si="36"/>
        <v>45</v>
      </c>
      <c r="I1207" s="16">
        <f>MAX(1, NETWORKDAYS(A1207, G1207,Table2[Dias no laborales]))</f>
        <v>5</v>
      </c>
      <c r="J1207" s="6" t="str">
        <f>IF(Table1[[#This Row],[FIN]]="","Acumulado",IF(ISNUMBER(SEARCH("ASAP",C1207)),"ASAP",IF(NETWORKDAYS.INTL(F1207,G1207,1,Table2[Dias no laborales]) &lt;= 7, "Dentro", IF(A1207&gt;F1207,"Programado","Fuera"))))</f>
        <v>Dentro</v>
      </c>
      <c r="K1207" s="6" t="str">
        <f t="shared" si="38"/>
        <v>A tiempo</v>
      </c>
      <c r="L1207" s="9">
        <v>45971</v>
      </c>
      <c r="M1207" s="17">
        <f>MAX(1,NETWORKDAYS(A1207,L1207,Table2[Dias no laborales]))</f>
        <v>1</v>
      </c>
    </row>
    <row r="1208" spans="1:13" hidden="1" x14ac:dyDescent="0.3">
      <c r="A1208" s="8">
        <v>45971</v>
      </c>
      <c r="B1208" s="6" t="s">
        <v>2389</v>
      </c>
      <c r="C1208" s="6" t="s">
        <v>2390</v>
      </c>
      <c r="D1208" s="6" t="s">
        <v>171</v>
      </c>
      <c r="E1208" s="14">
        <v>45969.345833333333</v>
      </c>
      <c r="F1208" s="8">
        <f>IF(HOUR(Table1[[#This Row],[CORREO]])&gt;=11,WORKDAY(Table1[[#This Row],[CORREO]],1,Table2[Dias no laborales]),E1208)</f>
        <v>45969.345833333333</v>
      </c>
      <c r="G1208" s="13">
        <v>45971</v>
      </c>
      <c r="H1208" s="6">
        <f t="shared" si="36"/>
        <v>45</v>
      </c>
      <c r="I1208" s="16">
        <f>MAX(1, NETWORKDAYS(A1208, G1208,Table2[Dias no laborales]))</f>
        <v>1</v>
      </c>
      <c r="J1208" s="6" t="str">
        <f>IF(Table1[[#This Row],[FIN]]="","Acumulado",IF(ISNUMBER(SEARCH("ASAP",C1208)),"ASAP",IF(NETWORKDAYS.INTL(F1208,G1208,1,Table2[Dias no laborales]) &lt;= 7, "Dentro", IF(A1208&gt;F1208,"Programado","Fuera"))))</f>
        <v>Dentro</v>
      </c>
      <c r="K1208" s="6" t="str">
        <f t="shared" si="38"/>
        <v>Programados</v>
      </c>
      <c r="L1208" s="9">
        <v>45971</v>
      </c>
      <c r="M1208" s="17">
        <f>MAX(1,NETWORKDAYS(A1208,L1208,Table2[Dias no laborales]))</f>
        <v>1</v>
      </c>
    </row>
    <row r="1209" spans="1:13" hidden="1" x14ac:dyDescent="0.3">
      <c r="A1209" s="8">
        <v>45971</v>
      </c>
      <c r="B1209" s="6" t="s">
        <v>2391</v>
      </c>
      <c r="C1209" s="6" t="s">
        <v>2392</v>
      </c>
      <c r="D1209" s="6" t="s">
        <v>916</v>
      </c>
      <c r="E1209" s="14">
        <v>45969.698611111111</v>
      </c>
      <c r="F1209" s="8">
        <f>IF(HOUR(Table1[[#This Row],[CORREO]])&gt;=11,WORKDAY(Table1[[#This Row],[CORREO]],1,Table2[Dias no laborales]),E1209)</f>
        <v>45971</v>
      </c>
      <c r="G1209" s="13">
        <v>45971</v>
      </c>
      <c r="H1209" s="6">
        <f t="shared" si="36"/>
        <v>45</v>
      </c>
      <c r="I1209" s="16">
        <f>MAX(1, NETWORKDAYS(A1209, G1209,Table2[Dias no laborales]))</f>
        <v>1</v>
      </c>
      <c r="J1209" s="6" t="str">
        <f>IF(Table1[[#This Row],[FIN]]="","Acumulado",IF(ISNUMBER(SEARCH("ASAP",C1209)),"ASAP",IF(NETWORKDAYS.INTL(F1209,G1209,1,Table2[Dias no laborales]) &lt;= 7, "Dentro", IF(A1209&gt;F1209,"Programado","Fuera"))))</f>
        <v>Dentro</v>
      </c>
      <c r="K1209" s="6" t="str">
        <f t="shared" si="38"/>
        <v>A tiempo</v>
      </c>
      <c r="L1209" s="9">
        <v>45971</v>
      </c>
      <c r="M1209" s="17">
        <f>MAX(1,NETWORKDAYS(A1209,L1209,Table2[Dias no laborales]))</f>
        <v>1</v>
      </c>
    </row>
    <row r="1210" spans="1:13" hidden="1" x14ac:dyDescent="0.3">
      <c r="A1210" s="8">
        <v>45971</v>
      </c>
      <c r="B1210" s="6" t="s">
        <v>2387</v>
      </c>
      <c r="C1210" s="6" t="s">
        <v>2388</v>
      </c>
      <c r="D1210" s="6" t="s">
        <v>186</v>
      </c>
      <c r="E1210" s="14">
        <v>45970.623611111114</v>
      </c>
      <c r="F1210" s="8">
        <f>IF(HOUR(Table1[[#This Row],[CORREO]])&gt;=11,WORKDAY(Table1[[#This Row],[CORREO]],1,Table2[Dias no laborales]),E1210)</f>
        <v>45971</v>
      </c>
      <c r="G1210" s="13">
        <v>45971</v>
      </c>
      <c r="H1210" s="6">
        <f t="shared" si="36"/>
        <v>45</v>
      </c>
      <c r="I1210" s="16">
        <f>MAX(1, NETWORKDAYS(A1210, G1210,Table2[Dias no laborales]))</f>
        <v>1</v>
      </c>
      <c r="J1210" s="6" t="str">
        <f>IF(Table1[[#This Row],[FIN]]="","Acumulado",IF(ISNUMBER(SEARCH("ASAP",C1210)),"ASAP",IF(NETWORKDAYS.INTL(F1210,G1210,1,Table2[Dias no laborales]) &lt;= 7, "Dentro", IF(A1210&gt;F1210,"Programado","Fuera"))))</f>
        <v>Dentro</v>
      </c>
      <c r="K1210" s="6" t="str">
        <f t="shared" si="38"/>
        <v>A tiempo</v>
      </c>
      <c r="L1210" s="9">
        <v>45971</v>
      </c>
      <c r="M1210" s="17">
        <f>MAX(1,NETWORKDAYS(A1210,L1210,Table2[Dias no laborales]))</f>
        <v>1</v>
      </c>
    </row>
    <row r="1211" spans="1:13" hidden="1" x14ac:dyDescent="0.3">
      <c r="A1211" s="8">
        <v>45971</v>
      </c>
      <c r="B1211" s="6" t="s">
        <v>2423</v>
      </c>
      <c r="C1211" s="6" t="s">
        <v>2424</v>
      </c>
      <c r="D1211" s="6" t="s">
        <v>24</v>
      </c>
      <c r="E1211" s="14"/>
      <c r="F1211" s="8">
        <f>IF(HOUR(Table1[[#This Row],[CORREO]])&gt;=11,WORKDAY(Table1[[#This Row],[CORREO]],1,Table2[Dias no laborales]),E1211)</f>
        <v>0</v>
      </c>
      <c r="G1211" s="13">
        <v>45974</v>
      </c>
      <c r="H1211" s="6">
        <f t="shared" si="36"/>
        <v>45</v>
      </c>
      <c r="I1211" s="16">
        <f>MAX(1, NETWORKDAYS(A1211, G1211,Table2[Dias no laborales]))</f>
        <v>4</v>
      </c>
      <c r="J1211" s="6" t="str">
        <f>IF(Table1[[#This Row],[FIN]]="","Acumulado",IF(ISNUMBER(SEARCH("ASAP",C1211)),"ASAP",IF(NETWORKDAYS.INTL(F1211,G1211,1,Table2[Dias no laborales]) &lt;= 7, "Dentro", IF(A1211&gt;F1211,"Programado","Fuera"))))</f>
        <v>ASAP</v>
      </c>
      <c r="K1211" s="6" t="str">
        <f t="shared" si="38"/>
        <v>Programados</v>
      </c>
      <c r="L1211" s="9">
        <v>45973</v>
      </c>
      <c r="M1211" s="17">
        <f>MAX(1,NETWORKDAYS(A1211,L1211,Table2[Dias no laborales]))</f>
        <v>3</v>
      </c>
    </row>
    <row r="1212" spans="1:13" hidden="1" x14ac:dyDescent="0.3">
      <c r="A1212" s="8">
        <v>45971</v>
      </c>
      <c r="B1212" s="6" t="s">
        <v>2395</v>
      </c>
      <c r="C1212" s="6" t="s">
        <v>2396</v>
      </c>
      <c r="D1212" s="6" t="s">
        <v>342</v>
      </c>
      <c r="E1212" s="14"/>
      <c r="F1212" s="8">
        <f>IF(HOUR(Table1[[#This Row],[CORREO]])&gt;=11,WORKDAY(Table1[[#This Row],[CORREO]],1,Table2[Dias no laborales]),E1212)</f>
        <v>0</v>
      </c>
      <c r="G1212" s="13">
        <v>45972</v>
      </c>
      <c r="H1212" s="6">
        <f t="shared" si="36"/>
        <v>45</v>
      </c>
      <c r="I1212" s="16">
        <f>MAX(1, NETWORKDAYS(A1212, G1212,Table2[Dias no laborales]))</f>
        <v>2</v>
      </c>
      <c r="J1212" s="6" t="str">
        <f>IF(Table1[[#This Row],[FIN]]="","Acumulado",IF(ISNUMBER(SEARCH("ASAP",C1212)),"ASAP",IF(NETWORKDAYS.INTL(F1212,G1212,1,Table2[Dias no laborales]) &lt;= 7, "Dentro", IF(A1212&gt;F1212,"Programado","Fuera"))))</f>
        <v>Programado</v>
      </c>
      <c r="K1212" s="6" t="str">
        <f t="shared" si="38"/>
        <v>Programados</v>
      </c>
      <c r="L1212" s="9">
        <v>45972</v>
      </c>
      <c r="M1212" s="17">
        <f>MAX(1,NETWORKDAYS(A1212,L1212,Table2[Dias no laborales]))</f>
        <v>2</v>
      </c>
    </row>
    <row r="1213" spans="1:13" hidden="1" x14ac:dyDescent="0.3">
      <c r="A1213" s="8">
        <v>45971</v>
      </c>
      <c r="B1213" s="6" t="s">
        <v>2411</v>
      </c>
      <c r="C1213" s="6" t="s">
        <v>2412</v>
      </c>
      <c r="D1213" s="6" t="s">
        <v>27</v>
      </c>
      <c r="E1213" s="14">
        <v>45971.484027777777</v>
      </c>
      <c r="F1213" s="8">
        <f>IF(HOUR(Table1[[#This Row],[CORREO]])&gt;=11,WORKDAY(Table1[[#This Row],[CORREO]],1,Table2[Dias no laborales]),E1213)</f>
        <v>45972</v>
      </c>
      <c r="G1213" s="13">
        <v>45972</v>
      </c>
      <c r="H1213" s="6">
        <f t="shared" si="36"/>
        <v>45</v>
      </c>
      <c r="I1213" s="16">
        <f>MAX(1, NETWORKDAYS(A1213, G1213,Table2[Dias no laborales]))</f>
        <v>2</v>
      </c>
      <c r="J1213" s="6" t="str">
        <f>IF(Table1[[#This Row],[FIN]]="","Acumulado",IF(ISNUMBER(SEARCH("ASAP",C1213)),"ASAP",IF(NETWORKDAYS.INTL(F1213,G1213,1,Table2[Dias no laborales]) &lt;= 7, "Dentro", IF(A1213&gt;F1213,"Programado","Fuera"))))</f>
        <v>ASAP</v>
      </c>
      <c r="K1213" s="6" t="str">
        <f t="shared" si="38"/>
        <v>Mismo día</v>
      </c>
      <c r="L1213" s="9">
        <v>45972</v>
      </c>
      <c r="M1213" s="17">
        <f>MAX(1,NETWORKDAYS(A1213,L1213,Table2[Dias no laborales]))</f>
        <v>2</v>
      </c>
    </row>
    <row r="1214" spans="1:13" hidden="1" x14ac:dyDescent="0.3">
      <c r="A1214" s="8">
        <v>45971</v>
      </c>
      <c r="B1214" s="6" t="s">
        <v>2442</v>
      </c>
      <c r="C1214" s="6" t="s">
        <v>2443</v>
      </c>
      <c r="D1214" s="6" t="s">
        <v>53</v>
      </c>
      <c r="E1214" s="14"/>
      <c r="F1214" s="8">
        <f>IF(HOUR(Table1[[#This Row],[CORREO]])&gt;=11,WORKDAY(Table1[[#This Row],[CORREO]],1,Table2[Dias no laborales]),E1214)</f>
        <v>0</v>
      </c>
      <c r="G1214" s="13">
        <v>46064</v>
      </c>
      <c r="H1214" s="6">
        <f t="shared" si="36"/>
        <v>45</v>
      </c>
      <c r="I1214" s="16">
        <f>MAX(1, NETWORKDAYS(A1214, G1214,Table2[Dias no laborales]))</f>
        <v>62</v>
      </c>
      <c r="J1214" s="6" t="str">
        <f>IF(Table1[[#This Row],[FIN]]="","Acumulado",IF(ISNUMBER(SEARCH("ASAP",C1214)),"ASAP",IF(NETWORKDAYS.INTL(F1214,G1214,1,Table2[Dias no laborales]) &lt;= 7, "Dentro", IF(A1214&gt;F1214,"Programado","Fuera"))))</f>
        <v>Programado</v>
      </c>
      <c r="K1214" s="6" t="str">
        <f t="shared" si="38"/>
        <v>Programados</v>
      </c>
      <c r="L1214" s="9">
        <v>45971</v>
      </c>
      <c r="M1214" s="17">
        <f>MAX(1,NETWORKDAYS(A1214,L1214,Table2[Dias no laborales]))</f>
        <v>1</v>
      </c>
    </row>
    <row r="1215" spans="1:13" hidden="1" x14ac:dyDescent="0.3">
      <c r="A1215" s="8">
        <v>45971</v>
      </c>
      <c r="B1215" s="6" t="s">
        <v>2446</v>
      </c>
      <c r="C1215" s="6" t="s">
        <v>2447</v>
      </c>
      <c r="D1215" s="6" t="s">
        <v>913</v>
      </c>
      <c r="E1215" s="14">
        <v>45971.311805555553</v>
      </c>
      <c r="F1215" s="8">
        <f>IF(HOUR(Table1[[#This Row],[CORREO]])&gt;=11,WORKDAY(Table1[[#This Row],[CORREO]],1,Table2[Dias no laborales]),E1215)</f>
        <v>45971.311805555553</v>
      </c>
      <c r="G1215" s="13">
        <v>45979</v>
      </c>
      <c r="H1215" s="6">
        <f t="shared" si="36"/>
        <v>45</v>
      </c>
      <c r="I1215" s="16">
        <f>MAX(1, NETWORKDAYS(A1215, G1215,Table2[Dias no laborales]))</f>
        <v>6</v>
      </c>
      <c r="J1215" s="6" t="str">
        <f>IF(Table1[[#This Row],[FIN]]="","Acumulado",IF(ISNUMBER(SEARCH("ASAP",C1215)),"ASAP",IF(NETWORKDAYS.INTL(F1215,G1215,1,Table2[Dias no laborales]) &lt;= 7, "Dentro", IF(A1215&gt;F1215,"Programado","Fuera"))))</f>
        <v>Dentro</v>
      </c>
      <c r="K1215" s="6" t="str">
        <f t="shared" si="38"/>
        <v>A tiempo</v>
      </c>
      <c r="L1215" s="9">
        <v>45971</v>
      </c>
      <c r="M1215" s="17">
        <f>MAX(1,NETWORKDAYS(A1215,L1215,Table2[Dias no laborales]))</f>
        <v>1</v>
      </c>
    </row>
    <row r="1216" spans="1:13" hidden="1" x14ac:dyDescent="0.3">
      <c r="A1216" s="8">
        <v>45971</v>
      </c>
      <c r="B1216" s="6" t="s">
        <v>2448</v>
      </c>
      <c r="C1216" s="6" t="s">
        <v>2386</v>
      </c>
      <c r="D1216" s="6" t="s">
        <v>85</v>
      </c>
      <c r="E1216" s="14">
        <v>45968.589583333334</v>
      </c>
      <c r="F1216" s="8">
        <f>IF(HOUR(Table1[[#This Row],[CORREO]])&gt;=11,WORKDAY(Table1[[#This Row],[CORREO]],1,Table2[Dias no laborales]),E1216)</f>
        <v>45971</v>
      </c>
      <c r="G1216" s="13">
        <v>45979</v>
      </c>
      <c r="H1216" s="6">
        <f t="shared" si="36"/>
        <v>45</v>
      </c>
      <c r="I1216" s="16">
        <f>MAX(1, NETWORKDAYS(A1216, G1216,Table2[Dias no laborales]))</f>
        <v>6</v>
      </c>
      <c r="J1216" s="6" t="str">
        <f>IF(Table1[[#This Row],[FIN]]="","Acumulado",IF(ISNUMBER(SEARCH("ASAP",C1216)),"ASAP",IF(NETWORKDAYS.INTL(F1216,G1216,1,Table2[Dias no laborales]) &lt;= 7, "Dentro", IF(A1216&gt;F1216,"Programado","Fuera"))))</f>
        <v>Dentro</v>
      </c>
      <c r="K1216" s="6" t="str">
        <f t="shared" si="38"/>
        <v>A tiempo</v>
      </c>
      <c r="L1216" s="9">
        <v>45971</v>
      </c>
      <c r="M1216" s="17">
        <f>MAX(1,NETWORKDAYS(A1216,L1216,Table2[Dias no laborales]))</f>
        <v>1</v>
      </c>
    </row>
    <row r="1217" spans="1:13" hidden="1" x14ac:dyDescent="0.3">
      <c r="A1217" s="8">
        <v>45971</v>
      </c>
      <c r="B1217" s="6" t="s">
        <v>2449</v>
      </c>
      <c r="C1217" s="6" t="s">
        <v>2450</v>
      </c>
      <c r="D1217" s="6" t="s">
        <v>24</v>
      </c>
      <c r="E1217" s="14"/>
      <c r="F1217" s="8">
        <f>IF(HOUR(Table1[[#This Row],[CORREO]])&gt;=11,WORKDAY(Table1[[#This Row],[CORREO]],1,Table2[Dias no laborales]),E1217)</f>
        <v>0</v>
      </c>
      <c r="G1217" s="13">
        <v>46050</v>
      </c>
      <c r="H1217" s="6">
        <f t="shared" si="36"/>
        <v>45</v>
      </c>
      <c r="I1217" s="16">
        <f>MAX(1, NETWORKDAYS(A1217, G1217,Table2[Dias no laborales]))</f>
        <v>53</v>
      </c>
      <c r="J1217" s="6" t="str">
        <f>IF(Table1[[#This Row],[FIN]]="","Acumulado",IF(ISNUMBER(SEARCH("ASAP",C1217)),"ASAP",IF(NETWORKDAYS.INTL(F1217,G1217,1,Table2[Dias no laborales]) &lt;= 7, "Dentro", IF(A1217&gt;F1217,"Programado","Fuera"))))</f>
        <v>Programado</v>
      </c>
      <c r="K1217" s="6" t="str">
        <f t="shared" si="38"/>
        <v>Programados</v>
      </c>
      <c r="L1217" s="9">
        <v>45971</v>
      </c>
      <c r="M1217" s="17">
        <f>MAX(1,NETWORKDAYS(A1217,L1217,Table2[Dias no laborales]))</f>
        <v>1</v>
      </c>
    </row>
    <row r="1218" spans="1:13" hidden="1" x14ac:dyDescent="0.3">
      <c r="A1218" s="8">
        <v>45972</v>
      </c>
      <c r="B1218" s="6" t="s">
        <v>2413</v>
      </c>
      <c r="C1218" s="6" t="s">
        <v>2414</v>
      </c>
      <c r="D1218" s="6" t="s">
        <v>53</v>
      </c>
      <c r="E1218" s="14">
        <v>45972.365277777775</v>
      </c>
      <c r="F1218" s="8">
        <f>IF(HOUR(Table1[[#This Row],[CORREO]])&gt;=11,WORKDAY(Table1[[#This Row],[CORREO]],1,Table2[Dias no laborales]),E1218)</f>
        <v>45972.365277777775</v>
      </c>
      <c r="G1218" s="13">
        <v>45972</v>
      </c>
      <c r="H1218" s="6">
        <f t="shared" ref="H1218:H1281" si="39">INT((A1218-DATE(YEAR(A1218),1,1))/7) + 1</f>
        <v>45</v>
      </c>
      <c r="I1218" s="16">
        <f>MAX(1, NETWORKDAYS(A1218, G1218,Table2[Dias no laborales]))</f>
        <v>1</v>
      </c>
      <c r="J1218" s="6" t="str">
        <f>IF(Table1[[#This Row],[FIN]]="","Acumulado",IF(ISNUMBER(SEARCH("ASAP",C1218)),"ASAP",IF(NETWORKDAYS.INTL(F1218,G1218,1,Table2[Dias no laborales]) &lt;= 7, "Dentro", IF(A1218&gt;F1218,"Programado","Fuera"))))</f>
        <v>Dentro</v>
      </c>
      <c r="K1218" s="6" t="str">
        <f t="shared" ref="K1218:K1281" si="40">IF(INT(A1218)=INT(F1218),"A tiempo", IF(A1218&lt;F1218,"Mismo día","Programados"))</f>
        <v>A tiempo</v>
      </c>
      <c r="L1218" s="9">
        <v>45972</v>
      </c>
      <c r="M1218" s="17">
        <f>MAX(1,NETWORKDAYS(A1218,L1218,Table2[Dias no laborales]))</f>
        <v>1</v>
      </c>
    </row>
    <row r="1219" spans="1:13" hidden="1" x14ac:dyDescent="0.3">
      <c r="A1219" s="8">
        <v>45972</v>
      </c>
      <c r="B1219" s="6" t="s">
        <v>2409</v>
      </c>
      <c r="C1219" s="6" t="s">
        <v>2410</v>
      </c>
      <c r="D1219" s="6" t="s">
        <v>1136</v>
      </c>
      <c r="E1219" s="14">
        <v>45972.388194444444</v>
      </c>
      <c r="F1219" s="8">
        <f>IF(HOUR(Table1[[#This Row],[CORREO]])&gt;=11,WORKDAY(Table1[[#This Row],[CORREO]],1,Table2[Dias no laborales]),E1219)</f>
        <v>45972.388194444444</v>
      </c>
      <c r="G1219" s="13">
        <v>45972</v>
      </c>
      <c r="H1219" s="6">
        <f t="shared" si="39"/>
        <v>45</v>
      </c>
      <c r="I1219" s="16">
        <f>MAX(1, NETWORKDAYS(A1219, G1219,Table2[Dias no laborales]))</f>
        <v>1</v>
      </c>
      <c r="J1219" s="6" t="str">
        <f>IF(Table1[[#This Row],[FIN]]="","Acumulado",IF(ISNUMBER(SEARCH("ASAP",C1219)),"ASAP",IF(NETWORKDAYS.INTL(F1219,G1219,1,Table2[Dias no laborales]) &lt;= 7, "Dentro", IF(A1219&gt;F1219,"Programado","Fuera"))))</f>
        <v>Dentro</v>
      </c>
      <c r="K1219" s="6" t="str">
        <f t="shared" si="40"/>
        <v>A tiempo</v>
      </c>
      <c r="L1219" s="9">
        <v>45972</v>
      </c>
      <c r="M1219" s="17">
        <f>MAX(1,NETWORKDAYS(A1219,L1219,Table2[Dias no laborales]))</f>
        <v>1</v>
      </c>
    </row>
    <row r="1220" spans="1:13" hidden="1" x14ac:dyDescent="0.3">
      <c r="A1220" s="8">
        <v>45972</v>
      </c>
      <c r="B1220" s="6" t="s">
        <v>2453</v>
      </c>
      <c r="C1220" s="6" t="s">
        <v>2454</v>
      </c>
      <c r="D1220" s="6" t="s">
        <v>24</v>
      </c>
      <c r="E1220" s="14"/>
      <c r="F1220" s="8">
        <f>IF(HOUR(Table1[[#This Row],[CORREO]])&gt;=11,WORKDAY(Table1[[#This Row],[CORREO]],1,Table2[Dias no laborales]),E1220)</f>
        <v>0</v>
      </c>
      <c r="G1220" s="13">
        <v>45979</v>
      </c>
      <c r="H1220" s="6">
        <f t="shared" si="39"/>
        <v>45</v>
      </c>
      <c r="I1220" s="16">
        <f>MAX(1, NETWORKDAYS(A1220, G1220,Table2[Dias no laborales]))</f>
        <v>5</v>
      </c>
      <c r="J1220" s="6" t="str">
        <f>IF(Table1[[#This Row],[FIN]]="","Acumulado",IF(ISNUMBER(SEARCH("ASAP",C1220)),"ASAP",IF(NETWORKDAYS.INTL(F1220,G1220,1,Table2[Dias no laborales]) &lt;= 7, "Dentro", IF(A1220&gt;F1220,"Programado","Fuera"))))</f>
        <v>Programado</v>
      </c>
      <c r="K1220" s="6" t="str">
        <f t="shared" si="40"/>
        <v>Programados</v>
      </c>
      <c r="L1220" s="9">
        <v>45972</v>
      </c>
      <c r="M1220" s="17">
        <f>MAX(1,NETWORKDAYS(A1220,L1220,Table2[Dias no laborales]))</f>
        <v>1</v>
      </c>
    </row>
    <row r="1221" spans="1:13" hidden="1" x14ac:dyDescent="0.3">
      <c r="A1221" s="8">
        <v>45972</v>
      </c>
      <c r="B1221" s="6" t="s">
        <v>2415</v>
      </c>
      <c r="C1221" s="6" t="s">
        <v>2416</v>
      </c>
      <c r="D1221" s="6" t="s">
        <v>171</v>
      </c>
      <c r="E1221" s="14">
        <v>45972.682638888888</v>
      </c>
      <c r="F1221" s="8">
        <f>IF(HOUR(Table1[[#This Row],[CORREO]])&gt;=11,WORKDAY(Table1[[#This Row],[CORREO]],1,Table2[Dias no laborales]),E1221)</f>
        <v>45973</v>
      </c>
      <c r="G1221" s="13">
        <v>45973</v>
      </c>
      <c r="H1221" s="6">
        <f t="shared" si="39"/>
        <v>45</v>
      </c>
      <c r="I1221" s="16">
        <f>MAX(1, NETWORKDAYS(A1221, G1221,Table2[Dias no laborales]))</f>
        <v>2</v>
      </c>
      <c r="J1221" s="6" t="str">
        <f>IF(Table1[[#This Row],[FIN]]="","Acumulado",IF(ISNUMBER(SEARCH("ASAP",C1221)),"ASAP",IF(NETWORKDAYS.INTL(F1221,G1221,1,Table2[Dias no laborales]) &lt;= 7, "Dentro", IF(A1221&gt;F1221,"Programado","Fuera"))))</f>
        <v>ASAP</v>
      </c>
      <c r="K1221" s="6" t="str">
        <f t="shared" si="40"/>
        <v>Mismo día</v>
      </c>
      <c r="L1221" s="9">
        <v>45973</v>
      </c>
      <c r="M1221" s="17">
        <f>MAX(1,NETWORKDAYS(A1221,L1221,Table2[Dias no laborales]))</f>
        <v>2</v>
      </c>
    </row>
    <row r="1222" spans="1:13" hidden="1" x14ac:dyDescent="0.3">
      <c r="A1222" s="8">
        <v>45972</v>
      </c>
      <c r="B1222" s="6" t="s">
        <v>2451</v>
      </c>
      <c r="C1222" s="6" t="s">
        <v>2452</v>
      </c>
      <c r="D1222" s="6" t="s">
        <v>24</v>
      </c>
      <c r="E1222" s="14">
        <v>45972.736111111109</v>
      </c>
      <c r="F1222" s="8">
        <f>IF(HOUR(Table1[[#This Row],[CORREO]])&gt;=11,WORKDAY(Table1[[#This Row],[CORREO]],1,Table2[Dias no laborales]),E1222)</f>
        <v>45973</v>
      </c>
      <c r="G1222" s="13">
        <v>46001</v>
      </c>
      <c r="H1222" s="6">
        <f t="shared" si="39"/>
        <v>45</v>
      </c>
      <c r="I1222" s="16">
        <f>MAX(1, NETWORKDAYS(A1222, G1222,Table2[Dias no laborales]))</f>
        <v>21</v>
      </c>
      <c r="J1222" s="6" t="str">
        <f>IF(Table1[[#This Row],[FIN]]="","Acumulado",IF(ISNUMBER(SEARCH("ASAP",C1222)),"ASAP",IF(NETWORKDAYS.INTL(F1222,G1222,1,Table2[Dias no laborales]) &lt;= 7, "Dentro", IF(A1222&gt;F1222,"Programado","Fuera"))))</f>
        <v>ASAP</v>
      </c>
      <c r="K1222" s="6" t="str">
        <f t="shared" si="40"/>
        <v>Mismo día</v>
      </c>
      <c r="L1222" s="9">
        <v>45972</v>
      </c>
      <c r="M1222" s="17">
        <f>MAX(1,NETWORKDAYS(A1222,L1222,Table2[Dias no laborales]))</f>
        <v>1</v>
      </c>
    </row>
    <row r="1223" spans="1:13" hidden="1" x14ac:dyDescent="0.3">
      <c r="A1223" s="8">
        <v>45973</v>
      </c>
      <c r="B1223" s="6" t="s">
        <v>2421</v>
      </c>
      <c r="C1223" s="6" t="s">
        <v>2422</v>
      </c>
      <c r="D1223" s="6" t="s">
        <v>24</v>
      </c>
      <c r="E1223" s="14">
        <v>45973.2</v>
      </c>
      <c r="F1223" s="8">
        <f>IF(HOUR(Table1[[#This Row],[CORREO]])&gt;=11,WORKDAY(Table1[[#This Row],[CORREO]],1,Table2[Dias no laborales]),E1223)</f>
        <v>45973.2</v>
      </c>
      <c r="G1223" s="13">
        <v>45974</v>
      </c>
      <c r="H1223" s="6">
        <f t="shared" si="39"/>
        <v>46</v>
      </c>
      <c r="I1223" s="16">
        <f>MAX(1, NETWORKDAYS(A1223, G1223,Table2[Dias no laborales]))</f>
        <v>2</v>
      </c>
      <c r="J1223" s="6" t="str">
        <f>IF(Table1[[#This Row],[FIN]]="","Acumulado",IF(ISNUMBER(SEARCH("ASAP",C1223)),"ASAP",IF(NETWORKDAYS.INTL(F1223,G1223,1,Table2[Dias no laborales]) &lt;= 7, "Dentro", IF(A1223&gt;F1223,"Programado","Fuera"))))</f>
        <v>Dentro</v>
      </c>
      <c r="K1223" s="6" t="str">
        <f t="shared" si="40"/>
        <v>A tiempo</v>
      </c>
      <c r="L1223" s="9">
        <v>45974</v>
      </c>
      <c r="M1223" s="17">
        <f>MAX(1,NETWORKDAYS(A1223,L1223,Table2[Dias no laborales]))</f>
        <v>2</v>
      </c>
    </row>
    <row r="1224" spans="1:13" hidden="1" x14ac:dyDescent="0.3">
      <c r="A1224" s="8">
        <v>45973</v>
      </c>
      <c r="B1224" s="6" t="s">
        <v>2419</v>
      </c>
      <c r="C1224" s="6" t="s">
        <v>2420</v>
      </c>
      <c r="D1224" s="6" t="s">
        <v>61</v>
      </c>
      <c r="E1224" s="14">
        <v>45972.651388888888</v>
      </c>
      <c r="F1224" s="8">
        <f>IF(HOUR(Table1[[#This Row],[CORREO]])&gt;=11,WORKDAY(Table1[[#This Row],[CORREO]],1,Table2[Dias no laborales]),E1224)</f>
        <v>45973</v>
      </c>
      <c r="G1224" s="13">
        <v>45973</v>
      </c>
      <c r="H1224" s="6">
        <f t="shared" si="39"/>
        <v>46</v>
      </c>
      <c r="I1224" s="16">
        <f>MAX(1, NETWORKDAYS(A1224, G1224,Table2[Dias no laborales]))</f>
        <v>1</v>
      </c>
      <c r="J1224" s="6" t="str">
        <f>IF(Table1[[#This Row],[FIN]]="","Acumulado",IF(ISNUMBER(SEARCH("ASAP",C1224)),"ASAP",IF(NETWORKDAYS.INTL(F1224,G1224,1,Table2[Dias no laborales]) &lt;= 7, "Dentro", IF(A1224&gt;F1224,"Programado","Fuera"))))</f>
        <v>Dentro</v>
      </c>
      <c r="K1224" s="6" t="str">
        <f t="shared" si="40"/>
        <v>A tiempo</v>
      </c>
      <c r="L1224" s="9">
        <v>45973</v>
      </c>
      <c r="M1224" s="17">
        <f>MAX(1,NETWORKDAYS(A1224,L1224,Table2[Dias no laborales]))</f>
        <v>1</v>
      </c>
    </row>
    <row r="1225" spans="1:13" hidden="1" x14ac:dyDescent="0.3">
      <c r="A1225" s="8">
        <v>45974</v>
      </c>
      <c r="B1225" s="6" t="s">
        <v>2486</v>
      </c>
      <c r="C1225" s="6" t="s">
        <v>2487</v>
      </c>
      <c r="D1225" s="6" t="s">
        <v>186</v>
      </c>
      <c r="E1225" s="14"/>
      <c r="F1225" s="8">
        <f>IF(HOUR(Table1[[#This Row],[CORREO]])&gt;=11,WORKDAY(Table1[[#This Row],[CORREO]],1,Table2[Dias no laborales]),E1225)</f>
        <v>0</v>
      </c>
      <c r="G1225" s="13">
        <v>45982</v>
      </c>
      <c r="H1225" s="6">
        <f t="shared" si="39"/>
        <v>46</v>
      </c>
      <c r="I1225" s="16">
        <f>MAX(1, NETWORKDAYS(A1225, G1225,Table2[Dias no laborales]))</f>
        <v>6</v>
      </c>
      <c r="J1225" s="6" t="str">
        <f>IF(Table1[[#This Row],[FIN]]="","Acumulado",IF(ISNUMBER(SEARCH("ASAP",C1225)),"ASAP",IF(NETWORKDAYS.INTL(F1225,G1225,1,Table2[Dias no laborales]) &lt;= 7, "Dentro", IF(A1225&gt;F1225,"Programado","Fuera"))))</f>
        <v>Programado</v>
      </c>
      <c r="K1225" s="6" t="str">
        <f t="shared" si="40"/>
        <v>Programados</v>
      </c>
      <c r="L1225" s="9">
        <v>45974</v>
      </c>
      <c r="M1225" s="17">
        <f>MAX(1,NETWORKDAYS(A1225,L1225,Table2[Dias no laborales]))</f>
        <v>1</v>
      </c>
    </row>
    <row r="1226" spans="1:13" hidden="1" x14ac:dyDescent="0.3">
      <c r="A1226" s="8">
        <v>45974</v>
      </c>
      <c r="B1226" s="6" t="s">
        <v>2455</v>
      </c>
      <c r="C1226" s="6" t="s">
        <v>2456</v>
      </c>
      <c r="D1226" s="6" t="s">
        <v>27</v>
      </c>
      <c r="E1226" s="14">
        <v>45973.697916666664</v>
      </c>
      <c r="F1226" s="8">
        <f>IF(HOUR(Table1[[#This Row],[CORREO]])&gt;=11,WORKDAY(Table1[[#This Row],[CORREO]],1,Table2[Dias no laborales]),E1226)</f>
        <v>45974</v>
      </c>
      <c r="G1226" s="13">
        <v>45987</v>
      </c>
      <c r="H1226" s="6">
        <f t="shared" si="39"/>
        <v>46</v>
      </c>
      <c r="I1226" s="16">
        <f>MAX(1, NETWORKDAYS(A1226, G1226,Table2[Dias no laborales]))</f>
        <v>9</v>
      </c>
      <c r="J1226" s="6" t="str">
        <f>IF(Table1[[#This Row],[FIN]]="","Acumulado",IF(ISNUMBER(SEARCH("ASAP",C1226)),"ASAP",IF(NETWORKDAYS.INTL(F1226,G1226,1,Table2[Dias no laborales]) &lt;= 7, "Dentro", IF(A1226&gt;F1226,"Programado","Fuera"))))</f>
        <v>Fuera</v>
      </c>
      <c r="K1226" s="6" t="str">
        <f t="shared" si="40"/>
        <v>A tiempo</v>
      </c>
      <c r="L1226" s="9">
        <v>45975</v>
      </c>
      <c r="M1226" s="17">
        <f>MAX(1,NETWORKDAYS(A1226,L1226,Table2[Dias no laborales]))</f>
        <v>2</v>
      </c>
    </row>
    <row r="1227" spans="1:13" hidden="1" x14ac:dyDescent="0.3">
      <c r="A1227" s="8">
        <v>45975</v>
      </c>
      <c r="B1227" s="6" t="s">
        <v>2552</v>
      </c>
      <c r="C1227" s="6" t="s">
        <v>489</v>
      </c>
      <c r="D1227" s="6" t="s">
        <v>27</v>
      </c>
      <c r="E1227" s="14">
        <v>45974.545138888891</v>
      </c>
      <c r="F1227" s="8">
        <f>IF(HOUR(Table1[[#This Row],[CORREO]])&gt;=11,WORKDAY(Table1[[#This Row],[CORREO]],1,Table2[Dias no laborales]),E1227)</f>
        <v>45975</v>
      </c>
      <c r="G1227" s="13">
        <v>46001</v>
      </c>
      <c r="H1227" s="6">
        <f t="shared" si="39"/>
        <v>46</v>
      </c>
      <c r="I1227" s="16">
        <f>MAX(1, NETWORKDAYS(A1227, G1227,Table2[Dias no laborales]))</f>
        <v>18</v>
      </c>
      <c r="J1227" s="6" t="str">
        <f>IF(Table1[[#This Row],[FIN]]="","Acumulado",IF(ISNUMBER(SEARCH("ASAP",C1227)),"ASAP",IF(NETWORKDAYS.INTL(F1227,G1227,1,Table2[Dias no laborales]) &lt;= 7, "Dentro", IF(A1227&gt;F1227,"Programado","Fuera"))))</f>
        <v>Fuera</v>
      </c>
      <c r="K1227" s="6" t="str">
        <f t="shared" si="40"/>
        <v>A tiempo</v>
      </c>
      <c r="L1227" s="9">
        <v>45979</v>
      </c>
      <c r="M1227" s="17">
        <f>MAX(1,NETWORKDAYS(A1227,L1227,Table2[Dias no laborales]))</f>
        <v>2</v>
      </c>
    </row>
    <row r="1228" spans="1:13" hidden="1" x14ac:dyDescent="0.3">
      <c r="A1228" s="8">
        <v>45975</v>
      </c>
      <c r="B1228" s="6" t="s">
        <v>2553</v>
      </c>
      <c r="C1228" s="6" t="s">
        <v>2554</v>
      </c>
      <c r="D1228" s="6" t="s">
        <v>24</v>
      </c>
      <c r="E1228" s="14">
        <v>45974.720833333333</v>
      </c>
      <c r="F1228" s="8">
        <f>IF(HOUR(Table1[[#This Row],[CORREO]])&gt;=11,WORKDAY(Table1[[#This Row],[CORREO]],1,Table2[Dias no laborales]),E1228)</f>
        <v>45975</v>
      </c>
      <c r="G1228" s="13">
        <v>46001</v>
      </c>
      <c r="H1228" s="6">
        <f t="shared" si="39"/>
        <v>46</v>
      </c>
      <c r="I1228" s="16">
        <f>MAX(1, NETWORKDAYS(A1228, G1228,Table2[Dias no laborales]))</f>
        <v>18</v>
      </c>
      <c r="J1228" s="6" t="str">
        <f>IF(Table1[[#This Row],[FIN]]="","Acumulado",IF(ISNUMBER(SEARCH("ASAP",C1228)),"ASAP",IF(NETWORKDAYS.INTL(F1228,G1228,1,Table2[Dias no laborales]) &lt;= 7, "Dentro", IF(A1228&gt;F1228,"Programado","Fuera"))))</f>
        <v>Fuera</v>
      </c>
      <c r="K1228" s="6" t="str">
        <f t="shared" si="40"/>
        <v>A tiempo</v>
      </c>
      <c r="L1228" s="9">
        <v>45975</v>
      </c>
      <c r="M1228" s="17">
        <f>MAX(1,NETWORKDAYS(A1228,L1228,Table2[Dias no laborales]))</f>
        <v>1</v>
      </c>
    </row>
    <row r="1229" spans="1:13" hidden="1" x14ac:dyDescent="0.3">
      <c r="A1229" s="8">
        <v>45975</v>
      </c>
      <c r="B1229" s="6" t="s">
        <v>2459</v>
      </c>
      <c r="C1229" s="6" t="s">
        <v>2460</v>
      </c>
      <c r="D1229" s="6" t="s">
        <v>24</v>
      </c>
      <c r="E1229" s="14">
        <v>45974.738888888889</v>
      </c>
      <c r="F1229" s="8">
        <f>IF(HOUR(Table1[[#This Row],[CORREO]])&gt;=11,WORKDAY(Table1[[#This Row],[CORREO]],1,Table2[Dias no laborales]),E1229)</f>
        <v>45975</v>
      </c>
      <c r="G1229" s="13">
        <v>45979</v>
      </c>
      <c r="H1229" s="6">
        <f t="shared" si="39"/>
        <v>46</v>
      </c>
      <c r="I1229" s="16">
        <f>MAX(1, NETWORKDAYS(A1229, G1229,Table2[Dias no laborales]))</f>
        <v>2</v>
      </c>
      <c r="J1229" s="6" t="str">
        <f>IF(Table1[[#This Row],[FIN]]="","Acumulado",IF(ISNUMBER(SEARCH("ASAP",C1229)),"ASAP",IF(NETWORKDAYS.INTL(F1229,G1229,1,Table2[Dias no laborales]) &lt;= 7, "Dentro", IF(A1229&gt;F1229,"Programado","Fuera"))))</f>
        <v>Dentro</v>
      </c>
      <c r="K1229" s="6" t="str">
        <f t="shared" si="40"/>
        <v>A tiempo</v>
      </c>
      <c r="L1229" s="9">
        <v>45975</v>
      </c>
      <c r="M1229" s="17">
        <f>MAX(1,NETWORKDAYS(A1229,L1229,Table2[Dias no laborales]))</f>
        <v>1</v>
      </c>
    </row>
    <row r="1230" spans="1:13" hidden="1" x14ac:dyDescent="0.3">
      <c r="A1230" s="8">
        <v>45975</v>
      </c>
      <c r="B1230" s="6" t="s">
        <v>2555</v>
      </c>
      <c r="C1230" s="6" t="s">
        <v>2556</v>
      </c>
      <c r="D1230" s="6" t="s">
        <v>194</v>
      </c>
      <c r="E1230" s="14"/>
      <c r="F1230" s="8">
        <f>IF(HOUR(Table1[[#This Row],[CORREO]])&gt;=11,WORKDAY(Table1[[#This Row],[CORREO]],1,Table2[Dias no laborales]),E1230)</f>
        <v>0</v>
      </c>
      <c r="G1230" s="13">
        <v>45995</v>
      </c>
      <c r="H1230" s="6">
        <f t="shared" si="39"/>
        <v>46</v>
      </c>
      <c r="I1230" s="16">
        <f>MAX(1, NETWORKDAYS(A1230, G1230,Table2[Dias no laborales]))</f>
        <v>14</v>
      </c>
      <c r="J1230" s="6" t="str">
        <f>IF(Table1[[#This Row],[FIN]]="","Acumulado",IF(ISNUMBER(SEARCH("ASAP",C1230)),"ASAP",IF(NETWORKDAYS.INTL(F1230,G1230,1,Table2[Dias no laborales]) &lt;= 7, "Dentro", IF(A1230&gt;F1230,"Programado","Fuera"))))</f>
        <v>Programado</v>
      </c>
      <c r="K1230" s="6" t="str">
        <f t="shared" si="40"/>
        <v>Programados</v>
      </c>
      <c r="L1230" s="9">
        <v>45979</v>
      </c>
      <c r="M1230" s="17">
        <f>MAX(1,NETWORKDAYS(A1230,L1230,Table2[Dias no laborales]))</f>
        <v>2</v>
      </c>
    </row>
    <row r="1231" spans="1:13" hidden="1" x14ac:dyDescent="0.3">
      <c r="A1231" s="8">
        <v>45975</v>
      </c>
      <c r="B1231" s="6" t="s">
        <v>2480</v>
      </c>
      <c r="C1231" s="6" t="s">
        <v>2481</v>
      </c>
      <c r="D1231" s="6" t="s">
        <v>139</v>
      </c>
      <c r="E1231" s="14">
        <v>45975.371527777781</v>
      </c>
      <c r="F1231" s="8">
        <f>IF(HOUR(Table1[[#This Row],[CORREO]])&gt;=11,WORKDAY(Table1[[#This Row],[CORREO]],1,Table2[Dias no laborales]),E1231)</f>
        <v>45975.371527777781</v>
      </c>
      <c r="G1231" s="13">
        <v>45981</v>
      </c>
      <c r="H1231" s="6">
        <f t="shared" si="39"/>
        <v>46</v>
      </c>
      <c r="I1231" s="16">
        <f>MAX(1, NETWORKDAYS(A1231, G1231,Table2[Dias no laborales]))</f>
        <v>4</v>
      </c>
      <c r="J1231" s="6" t="str">
        <f>IF(Table1[[#This Row],[FIN]]="","Acumulado",IF(ISNUMBER(SEARCH("ASAP",C1231)),"ASAP",IF(NETWORKDAYS.INTL(F1231,G1231,1,Table2[Dias no laborales]) &lt;= 7, "Dentro", IF(A1231&gt;F1231,"Programado","Fuera"))))</f>
        <v>Dentro</v>
      </c>
      <c r="K1231" s="6" t="str">
        <f t="shared" si="40"/>
        <v>A tiempo</v>
      </c>
      <c r="L1231" s="9">
        <v>45975</v>
      </c>
      <c r="M1231" s="17">
        <f>MAX(1,NETWORKDAYS(A1231,L1231,Table2[Dias no laborales]))</f>
        <v>1</v>
      </c>
    </row>
    <row r="1232" spans="1:13" hidden="1" x14ac:dyDescent="0.3">
      <c r="A1232" s="8">
        <v>45975</v>
      </c>
      <c r="B1232" s="6" t="s">
        <v>2510</v>
      </c>
      <c r="C1232" s="6" t="s">
        <v>2511</v>
      </c>
      <c r="D1232" s="6" t="s">
        <v>1840</v>
      </c>
      <c r="E1232" s="14"/>
      <c r="F1232" s="8">
        <f>IF(HOUR(Table1[[#This Row],[CORREO]])&gt;=11,WORKDAY(Table1[[#This Row],[CORREO]],1,Table2[Dias no laborales]),E1232)</f>
        <v>0</v>
      </c>
      <c r="G1232" s="13">
        <v>45987</v>
      </c>
      <c r="H1232" s="6">
        <f t="shared" si="39"/>
        <v>46</v>
      </c>
      <c r="I1232" s="16">
        <f>MAX(1, NETWORKDAYS(A1232, G1232,Table2[Dias no laborales]))</f>
        <v>8</v>
      </c>
      <c r="J1232" s="6" t="str">
        <f>IF(Table1[[#This Row],[FIN]]="","Acumulado",IF(ISNUMBER(SEARCH("ASAP",C1232)),"ASAP",IF(NETWORKDAYS.INTL(F1232,G1232,1,Table2[Dias no laborales]) &lt;= 7, "Dentro", IF(A1232&gt;F1232,"Programado","Fuera"))))</f>
        <v>Programado</v>
      </c>
      <c r="K1232" s="6" t="str">
        <f t="shared" si="40"/>
        <v>Programados</v>
      </c>
      <c r="L1232" s="9">
        <v>45975</v>
      </c>
      <c r="M1232" s="17">
        <f>MAX(1,NETWORKDAYS(A1232,L1232,Table2[Dias no laborales]))</f>
        <v>1</v>
      </c>
    </row>
    <row r="1233" spans="1:13" hidden="1" x14ac:dyDescent="0.3">
      <c r="A1233" s="8">
        <v>45975</v>
      </c>
      <c r="B1233" s="6" t="s">
        <v>2557</v>
      </c>
      <c r="C1233" s="6" t="s">
        <v>2558</v>
      </c>
      <c r="D1233" s="6" t="s">
        <v>27</v>
      </c>
      <c r="E1233" s="14"/>
      <c r="F1233" s="8">
        <f>IF(HOUR(Table1[[#This Row],[CORREO]])&gt;=11,WORKDAY(Table1[[#This Row],[CORREO]],1,Table2[Dias no laborales]),E1233)</f>
        <v>0</v>
      </c>
      <c r="G1233" s="13">
        <v>46093</v>
      </c>
      <c r="H1233" s="6">
        <f t="shared" si="39"/>
        <v>46</v>
      </c>
      <c r="I1233" s="16">
        <f>MAX(1, NETWORKDAYS(A1233, G1233,Table2[Dias no laborales]))</f>
        <v>79</v>
      </c>
      <c r="J1233" s="6" t="str">
        <f>IF(Table1[[#This Row],[FIN]]="","Acumulado",IF(ISNUMBER(SEARCH("ASAP",C1233)),"ASAP",IF(NETWORKDAYS.INTL(F1233,G1233,1,Table2[Dias no laborales]) &lt;= 7, "Dentro", IF(A1233&gt;F1233,"Programado","Fuera"))))</f>
        <v>Programado</v>
      </c>
      <c r="K1233" s="6" t="str">
        <f t="shared" si="40"/>
        <v>Programados</v>
      </c>
      <c r="L1233" s="9">
        <v>45979</v>
      </c>
      <c r="M1233" s="17">
        <f>MAX(1,NETWORKDAYS(A1233,L1233,Table2[Dias no laborales]))</f>
        <v>2</v>
      </c>
    </row>
    <row r="1234" spans="1:13" hidden="1" x14ac:dyDescent="0.3">
      <c r="A1234" s="8">
        <v>45975</v>
      </c>
      <c r="B1234" s="6" t="s">
        <v>2461</v>
      </c>
      <c r="C1234" s="6" t="s">
        <v>2462</v>
      </c>
      <c r="D1234" s="6" t="s">
        <v>24</v>
      </c>
      <c r="E1234" s="14"/>
      <c r="F1234" s="8">
        <f>IF(HOUR(Table1[[#This Row],[CORREO]])&gt;=11,WORKDAY(Table1[[#This Row],[CORREO]],1,Table2[Dias no laborales]),E1234)</f>
        <v>0</v>
      </c>
      <c r="G1234" s="13">
        <v>45979</v>
      </c>
      <c r="H1234" s="6">
        <f t="shared" si="39"/>
        <v>46</v>
      </c>
      <c r="I1234" s="16">
        <f>MAX(1, NETWORKDAYS(A1234, G1234,Table2[Dias no laborales]))</f>
        <v>2</v>
      </c>
      <c r="J1234" s="6" t="str">
        <f>IF(Table1[[#This Row],[FIN]]="","Acumulado",IF(ISNUMBER(SEARCH("ASAP",C1234)),"ASAP",IF(NETWORKDAYS.INTL(F1234,G1234,1,Table2[Dias no laborales]) &lt;= 7, "Dentro", IF(A1234&gt;F1234,"Programado","Fuera"))))</f>
        <v>Programado</v>
      </c>
      <c r="K1234" s="6" t="str">
        <f t="shared" si="40"/>
        <v>Programados</v>
      </c>
      <c r="L1234" s="9">
        <v>45975</v>
      </c>
      <c r="M1234" s="17">
        <f>MAX(1,NETWORKDAYS(A1234,L1234,Table2[Dias no laborales]))</f>
        <v>1</v>
      </c>
    </row>
    <row r="1235" spans="1:13" hidden="1" x14ac:dyDescent="0.3">
      <c r="A1235" s="8">
        <v>45975</v>
      </c>
      <c r="B1235" s="6" t="s">
        <v>2463</v>
      </c>
      <c r="C1235" s="6" t="s">
        <v>2464</v>
      </c>
      <c r="D1235" s="6" t="s">
        <v>27</v>
      </c>
      <c r="E1235" s="14"/>
      <c r="F1235" s="8">
        <f>IF(HOUR(Table1[[#This Row],[CORREO]])&gt;=11,WORKDAY(Table1[[#This Row],[CORREO]],1,Table2[Dias no laborales]),E1235)</f>
        <v>0</v>
      </c>
      <c r="G1235" s="13">
        <v>45979</v>
      </c>
      <c r="H1235" s="6">
        <f t="shared" si="39"/>
        <v>46</v>
      </c>
      <c r="I1235" s="16">
        <f>MAX(1, NETWORKDAYS(A1235, G1235,Table2[Dias no laborales]))</f>
        <v>2</v>
      </c>
      <c r="J1235" s="6" t="str">
        <f>IF(Table1[[#This Row],[FIN]]="","Acumulado",IF(ISNUMBER(SEARCH("ASAP",C1235)),"ASAP",IF(NETWORKDAYS.INTL(F1235,G1235,1,Table2[Dias no laborales]) &lt;= 7, "Dentro", IF(A1235&gt;F1235,"Programado","Fuera"))))</f>
        <v>Programado</v>
      </c>
      <c r="K1235" s="6" t="str">
        <f t="shared" si="40"/>
        <v>Programados</v>
      </c>
      <c r="L1235" s="9">
        <v>45975</v>
      </c>
      <c r="M1235" s="17">
        <f>MAX(1,NETWORKDAYS(A1235,L1235,Table2[Dias no laborales]))</f>
        <v>1</v>
      </c>
    </row>
    <row r="1236" spans="1:13" hidden="1" x14ac:dyDescent="0.3">
      <c r="A1236" s="8">
        <v>45975</v>
      </c>
      <c r="B1236" s="6" t="s">
        <v>2467</v>
      </c>
      <c r="C1236" s="6" t="s">
        <v>2468</v>
      </c>
      <c r="D1236" s="6" t="s">
        <v>24</v>
      </c>
      <c r="E1236" s="14"/>
      <c r="F1236" s="8">
        <f>IF(HOUR(Table1[[#This Row],[CORREO]])&gt;=11,WORKDAY(Table1[[#This Row],[CORREO]],1,Table2[Dias no laborales]),E1236)</f>
        <v>0</v>
      </c>
      <c r="G1236" s="13">
        <v>45979</v>
      </c>
      <c r="H1236" s="6">
        <f t="shared" si="39"/>
        <v>46</v>
      </c>
      <c r="I1236" s="16">
        <f>MAX(1, NETWORKDAYS(A1236, G1236,Table2[Dias no laborales]))</f>
        <v>2</v>
      </c>
      <c r="J1236" s="6" t="str">
        <f>IF(Table1[[#This Row],[FIN]]="","Acumulado",IF(ISNUMBER(SEARCH("ASAP",C1236)),"ASAP",IF(NETWORKDAYS.INTL(F1236,G1236,1,Table2[Dias no laborales]) &lt;= 7, "Dentro", IF(A1236&gt;F1236,"Programado","Fuera"))))</f>
        <v>Programado</v>
      </c>
      <c r="K1236" s="6" t="str">
        <f t="shared" si="40"/>
        <v>Programados</v>
      </c>
      <c r="L1236" s="9">
        <v>45975</v>
      </c>
      <c r="M1236" s="17">
        <f>MAX(1,NETWORKDAYS(A1236,L1236,Table2[Dias no laborales]))</f>
        <v>1</v>
      </c>
    </row>
    <row r="1237" spans="1:13" hidden="1" x14ac:dyDescent="0.3">
      <c r="A1237" s="8">
        <v>45979</v>
      </c>
      <c r="B1237" s="6" t="s">
        <v>2488</v>
      </c>
      <c r="C1237" s="6" t="s">
        <v>2489</v>
      </c>
      <c r="D1237" s="6" t="s">
        <v>24</v>
      </c>
      <c r="E1237" s="14"/>
      <c r="F1237" s="8">
        <f>IF(HOUR(Table1[[#This Row],[CORREO]])&gt;=11,WORKDAY(Table1[[#This Row],[CORREO]],1,Table2[Dias no laborales]),E1237)</f>
        <v>0</v>
      </c>
      <c r="G1237" s="13">
        <v>45982</v>
      </c>
      <c r="H1237" s="6">
        <f t="shared" si="39"/>
        <v>46</v>
      </c>
      <c r="I1237" s="16">
        <f>MAX(1, NETWORKDAYS(A1237, G1237,Table2[Dias no laborales]))</f>
        <v>4</v>
      </c>
      <c r="J1237" s="6" t="str">
        <f>IF(Table1[[#This Row],[FIN]]="","Acumulado",IF(ISNUMBER(SEARCH("ASAP",C1237)),"ASAP",IF(NETWORKDAYS.INTL(F1237,G1237,1,Table2[Dias no laborales]) &lt;= 7, "Dentro", IF(A1237&gt;F1237,"Programado","Fuera"))))</f>
        <v>Programado</v>
      </c>
      <c r="K1237" s="6" t="str">
        <f t="shared" si="40"/>
        <v>Programados</v>
      </c>
      <c r="L1237" s="9">
        <v>45979</v>
      </c>
      <c r="M1237" s="17">
        <f>MAX(1,NETWORKDAYS(A1237,L1237,Table2[Dias no laborales]))</f>
        <v>1</v>
      </c>
    </row>
    <row r="1238" spans="1:13" hidden="1" x14ac:dyDescent="0.3">
      <c r="A1238" s="8">
        <v>45979</v>
      </c>
      <c r="B1238" s="6" t="s">
        <v>2465</v>
      </c>
      <c r="C1238" s="6" t="s">
        <v>2466</v>
      </c>
      <c r="D1238" s="6" t="s">
        <v>24</v>
      </c>
      <c r="E1238" s="14"/>
      <c r="F1238" s="8">
        <f>IF(HOUR(Table1[[#This Row],[CORREO]])&gt;=11,WORKDAY(Table1[[#This Row],[CORREO]],1,Table2[Dias no laborales]),E1238)</f>
        <v>0</v>
      </c>
      <c r="G1238" s="13">
        <v>45979</v>
      </c>
      <c r="H1238" s="6">
        <f t="shared" si="39"/>
        <v>46</v>
      </c>
      <c r="I1238" s="16">
        <f>MAX(1, NETWORKDAYS(A1238, G1238,Table2[Dias no laborales]))</f>
        <v>1</v>
      </c>
      <c r="J1238" s="6" t="str">
        <f>IF(Table1[[#This Row],[FIN]]="","Acumulado",IF(ISNUMBER(SEARCH("ASAP",C1238)),"ASAP",IF(NETWORKDAYS.INTL(F1238,G1238,1,Table2[Dias no laborales]) &lt;= 7, "Dentro", IF(A1238&gt;F1238,"Programado","Fuera"))))</f>
        <v>Programado</v>
      </c>
      <c r="K1238" s="6" t="str">
        <f t="shared" si="40"/>
        <v>Programados</v>
      </c>
      <c r="L1238" s="9">
        <v>45979</v>
      </c>
      <c r="M1238" s="17">
        <f>MAX(1,NETWORKDAYS(A1238,L1238,Table2[Dias no laborales]))</f>
        <v>1</v>
      </c>
    </row>
    <row r="1239" spans="1:13" hidden="1" x14ac:dyDescent="0.3">
      <c r="A1239" s="8">
        <v>45979</v>
      </c>
      <c r="B1239" s="6" t="s">
        <v>2512</v>
      </c>
      <c r="C1239" s="6" t="s">
        <v>2513</v>
      </c>
      <c r="D1239" s="6" t="s">
        <v>24</v>
      </c>
      <c r="E1239" s="14">
        <v>45979.347916666666</v>
      </c>
      <c r="F1239" s="8">
        <f>IF(HOUR(Table1[[#This Row],[CORREO]])&gt;=11,WORKDAY(Table1[[#This Row],[CORREO]],1,Table2[Dias no laborales]),E1239)</f>
        <v>45979.347916666666</v>
      </c>
      <c r="G1239" s="13">
        <v>45987</v>
      </c>
      <c r="H1239" s="6">
        <f t="shared" si="39"/>
        <v>46</v>
      </c>
      <c r="I1239" s="16">
        <f>MAX(1, NETWORKDAYS(A1239, G1239,Table2[Dias no laborales]))</f>
        <v>7</v>
      </c>
      <c r="J1239" s="6" t="str">
        <f>IF(Table1[[#This Row],[FIN]]="","Acumulado",IF(ISNUMBER(SEARCH("ASAP",C1239)),"ASAP",IF(NETWORKDAYS.INTL(F1239,G1239,1,Table2[Dias no laborales]) &lt;= 7, "Dentro", IF(A1239&gt;F1239,"Programado","Fuera"))))</f>
        <v>Dentro</v>
      </c>
      <c r="K1239" s="6" t="str">
        <f t="shared" si="40"/>
        <v>A tiempo</v>
      </c>
      <c r="L1239" s="9">
        <v>45979</v>
      </c>
      <c r="M1239" s="17">
        <f>MAX(1,NETWORKDAYS(A1239,L1239,Table2[Dias no laborales]))</f>
        <v>1</v>
      </c>
    </row>
    <row r="1240" spans="1:13" hidden="1" x14ac:dyDescent="0.3">
      <c r="A1240" s="8">
        <v>45979</v>
      </c>
      <c r="B1240" s="6" t="s">
        <v>2482</v>
      </c>
      <c r="C1240" s="6" t="s">
        <v>2483</v>
      </c>
      <c r="D1240" s="6" t="s">
        <v>27</v>
      </c>
      <c r="E1240" s="14">
        <v>45975.478472222225</v>
      </c>
      <c r="F1240" s="8">
        <f>IF(HOUR(Table1[[#This Row],[CORREO]])&gt;=11,WORKDAY(Table1[[#This Row],[CORREO]],1,Table2[Dias no laborales]),E1240)</f>
        <v>45979</v>
      </c>
      <c r="G1240" s="13">
        <v>45981</v>
      </c>
      <c r="H1240" s="6">
        <f t="shared" si="39"/>
        <v>46</v>
      </c>
      <c r="I1240" s="16">
        <f>MAX(1, NETWORKDAYS(A1240, G1240,Table2[Dias no laborales]))</f>
        <v>3</v>
      </c>
      <c r="J1240" s="6" t="str">
        <f>IF(Table1[[#This Row],[FIN]]="","Acumulado",IF(ISNUMBER(SEARCH("ASAP",C1240)),"ASAP",IF(NETWORKDAYS.INTL(F1240,G1240,1,Table2[Dias no laborales]) &lt;= 7, "Dentro", IF(A1240&gt;F1240,"Programado","Fuera"))))</f>
        <v>Dentro</v>
      </c>
      <c r="K1240" s="6" t="str">
        <f t="shared" si="40"/>
        <v>A tiempo</v>
      </c>
      <c r="L1240" s="9">
        <v>45979</v>
      </c>
      <c r="M1240" s="17">
        <f>MAX(1,NETWORKDAYS(A1240,L1240,Table2[Dias no laborales]))</f>
        <v>1</v>
      </c>
    </row>
    <row r="1241" spans="1:13" hidden="1" x14ac:dyDescent="0.3">
      <c r="A1241" s="8">
        <v>45979</v>
      </c>
      <c r="B1241" s="6" t="s">
        <v>2469</v>
      </c>
      <c r="C1241" s="6" t="s">
        <v>2470</v>
      </c>
      <c r="D1241" s="6" t="s">
        <v>2471</v>
      </c>
      <c r="E1241" s="14">
        <v>45975.965277777781</v>
      </c>
      <c r="F1241" s="8">
        <f>IF(HOUR(Table1[[#This Row],[CORREO]])&gt;=11,WORKDAY(Table1[[#This Row],[CORREO]],1,Table2[Dias no laborales]),E1241)</f>
        <v>45979</v>
      </c>
      <c r="G1241" s="13">
        <v>45979</v>
      </c>
      <c r="H1241" s="6">
        <f t="shared" si="39"/>
        <v>46</v>
      </c>
      <c r="I1241" s="16">
        <f>MAX(1, NETWORKDAYS(A1241, G1241,Table2[Dias no laborales]))</f>
        <v>1</v>
      </c>
      <c r="J1241" s="6" t="str">
        <f>IF(Table1[[#This Row],[FIN]]="","Acumulado",IF(ISNUMBER(SEARCH("ASAP",C1241)),"ASAP",IF(NETWORKDAYS.INTL(F1241,G1241,1,Table2[Dias no laborales]) &lt;= 7, "Dentro", IF(A1241&gt;F1241,"Programado","Fuera"))))</f>
        <v>Dentro</v>
      </c>
      <c r="K1241" s="6" t="str">
        <f t="shared" si="40"/>
        <v>A tiempo</v>
      </c>
      <c r="L1241" s="9">
        <v>45979</v>
      </c>
      <c r="M1241" s="17">
        <f>MAX(1,NETWORKDAYS(A1241,L1241,Table2[Dias no laborales]))</f>
        <v>1</v>
      </c>
    </row>
    <row r="1242" spans="1:13" hidden="1" x14ac:dyDescent="0.3">
      <c r="A1242" s="8">
        <v>45979</v>
      </c>
      <c r="B1242" s="6" t="s">
        <v>2559</v>
      </c>
      <c r="C1242" s="6" t="s">
        <v>2560</v>
      </c>
      <c r="D1242" s="6" t="s">
        <v>2561</v>
      </c>
      <c r="E1242" s="14">
        <v>45979.404861111114</v>
      </c>
      <c r="F1242" s="8">
        <f>IF(HOUR(Table1[[#This Row],[CORREO]])&gt;=11,WORKDAY(Table1[[#This Row],[CORREO]],1,Table2[Dias no laborales]),E1242)</f>
        <v>45979.404861111114</v>
      </c>
      <c r="G1242" s="13">
        <v>46132</v>
      </c>
      <c r="H1242" s="6">
        <f t="shared" si="39"/>
        <v>46</v>
      </c>
      <c r="I1242" s="16">
        <f>MAX(1, NETWORKDAYS(A1242, G1242,Table2[Dias no laborales]))</f>
        <v>102</v>
      </c>
      <c r="J1242" s="6" t="str">
        <f>IF(Table1[[#This Row],[FIN]]="","Acumulado",IF(ISNUMBER(SEARCH("ASAP",C1242)),"ASAP",IF(NETWORKDAYS.INTL(F1242,G1242,1,Table2[Dias no laborales]) &lt;= 7, "Dentro", IF(A1242&gt;F1242,"Programado","Fuera"))))</f>
        <v>Fuera</v>
      </c>
      <c r="K1242" s="6" t="str">
        <f t="shared" si="40"/>
        <v>A tiempo</v>
      </c>
      <c r="L1242" s="9">
        <v>45979</v>
      </c>
      <c r="M1242" s="17">
        <f>MAX(1,NETWORKDAYS(A1242,L1242,Table2[Dias no laborales]))</f>
        <v>1</v>
      </c>
    </row>
    <row r="1243" spans="1:13" hidden="1" x14ac:dyDescent="0.3">
      <c r="A1243" s="8">
        <v>45979</v>
      </c>
      <c r="B1243" s="6" t="s">
        <v>2562</v>
      </c>
      <c r="C1243" s="6" t="s">
        <v>2563</v>
      </c>
      <c r="D1243" s="6" t="s">
        <v>24</v>
      </c>
      <c r="E1243" s="14">
        <v>45979.46597222222</v>
      </c>
      <c r="F1243" s="8">
        <f>IF(HOUR(Table1[[#This Row],[CORREO]])&gt;=11,WORKDAY(Table1[[#This Row],[CORREO]],1,Table2[Dias no laborales]),E1243)</f>
        <v>45980</v>
      </c>
      <c r="G1243" s="13">
        <v>46086</v>
      </c>
      <c r="H1243" s="6">
        <f t="shared" si="39"/>
        <v>46</v>
      </c>
      <c r="I1243" s="16">
        <f>MAX(1, NETWORKDAYS(A1243, G1243,Table2[Dias no laborales]))</f>
        <v>73</v>
      </c>
      <c r="J1243" s="6" t="str">
        <f>IF(Table1[[#This Row],[FIN]]="","Acumulado",IF(ISNUMBER(SEARCH("ASAP",C1243)),"ASAP",IF(NETWORKDAYS.INTL(F1243,G1243,1,Table2[Dias no laborales]) &lt;= 7, "Dentro", IF(A1243&gt;F1243,"Programado","Fuera"))))</f>
        <v>Fuera</v>
      </c>
      <c r="K1243" s="6" t="str">
        <f t="shared" si="40"/>
        <v>Mismo día</v>
      </c>
      <c r="L1243" s="9">
        <v>45980</v>
      </c>
      <c r="M1243" s="17">
        <f>MAX(1,NETWORKDAYS(A1243,L1243,Table2[Dias no laborales]))</f>
        <v>2</v>
      </c>
    </row>
    <row r="1244" spans="1:13" hidden="1" x14ac:dyDescent="0.3">
      <c r="A1244" s="8">
        <v>45979</v>
      </c>
      <c r="B1244" s="6" t="s">
        <v>2619</v>
      </c>
      <c r="C1244" s="6" t="s">
        <v>2620</v>
      </c>
      <c r="D1244" s="6" t="s">
        <v>24</v>
      </c>
      <c r="E1244" s="14"/>
      <c r="F1244" s="8">
        <f>IF(HOUR(Table1[[#This Row],[CORREO]])&gt;=11,WORKDAY(Table1[[#This Row],[CORREO]],1,Table2[Dias no laborales]),E1244)</f>
        <v>0</v>
      </c>
      <c r="G1244" s="13">
        <v>45994</v>
      </c>
      <c r="H1244" s="6">
        <f t="shared" si="39"/>
        <v>46</v>
      </c>
      <c r="I1244" s="16">
        <f>MAX(1, NETWORKDAYS(A1244, G1244,Table2[Dias no laborales]))</f>
        <v>12</v>
      </c>
      <c r="J1244" s="6" t="str">
        <f>IF(Table1[[#This Row],[FIN]]="","Acumulado",IF(ISNUMBER(SEARCH("ASAP",C1244)),"ASAP",IF(NETWORKDAYS.INTL(F1244,G1244,1,Table2[Dias no laborales]) &lt;= 7, "Dentro", IF(A1244&gt;F1244,"Programado","Fuera"))))</f>
        <v>Programado</v>
      </c>
      <c r="K1244" s="6" t="str">
        <f t="shared" si="40"/>
        <v>Programados</v>
      </c>
      <c r="L1244" s="8">
        <v>45979</v>
      </c>
      <c r="M1244" s="17">
        <f>MAX(1,NETWORKDAYS(A1244,L1244,Table2[Dias no laborales]))</f>
        <v>1</v>
      </c>
    </row>
    <row r="1245" spans="1:13" hidden="1" x14ac:dyDescent="0.3">
      <c r="A1245" s="8">
        <v>45979</v>
      </c>
      <c r="B1245" s="6" t="s">
        <v>2475</v>
      </c>
      <c r="C1245" s="6" t="s">
        <v>2476</v>
      </c>
      <c r="D1245" s="6" t="s">
        <v>27</v>
      </c>
      <c r="E1245" s="14">
        <v>45979.525694444441</v>
      </c>
      <c r="F1245" s="8">
        <f>IF(HOUR(Table1[[#This Row],[CORREO]])&gt;=11,WORKDAY(Table1[[#This Row],[CORREO]],1,Table2[Dias no laborales]),E1245)</f>
        <v>45980</v>
      </c>
      <c r="G1245" s="13">
        <v>45980</v>
      </c>
      <c r="H1245" s="6">
        <f t="shared" si="39"/>
        <v>46</v>
      </c>
      <c r="I1245" s="16">
        <f>MAX(1, NETWORKDAYS(A1245, G1245,Table2[Dias no laborales]))</f>
        <v>2</v>
      </c>
      <c r="J1245" s="6" t="str">
        <f>IF(Table1[[#This Row],[FIN]]="","Acumulado",IF(ISNUMBER(SEARCH("ASAP",C1245)),"ASAP",IF(NETWORKDAYS.INTL(F1245,G1245,1,Table2[Dias no laborales]) &lt;= 7, "Dentro", IF(A1245&gt;F1245,"Programado","Fuera"))))</f>
        <v>ASAP</v>
      </c>
      <c r="K1245" s="6" t="str">
        <f t="shared" si="40"/>
        <v>Mismo día</v>
      </c>
      <c r="L1245" s="9">
        <v>45979</v>
      </c>
      <c r="M1245" s="17">
        <f>MAX(1,NETWORKDAYS(A1245,L1245,Table2[Dias no laborales]))</f>
        <v>1</v>
      </c>
    </row>
    <row r="1246" spans="1:13" hidden="1" x14ac:dyDescent="0.3">
      <c r="A1246" s="8">
        <v>45979</v>
      </c>
      <c r="B1246" s="6" t="s">
        <v>2564</v>
      </c>
      <c r="C1246" s="6" t="s">
        <v>2565</v>
      </c>
      <c r="D1246" s="6" t="s">
        <v>24</v>
      </c>
      <c r="E1246" s="14"/>
      <c r="F1246" s="8">
        <f>IF(HOUR(Table1[[#This Row],[CORREO]])&gt;=11,WORKDAY(Table1[[#This Row],[CORREO]],1,Table2[Dias no laborales]),E1246)</f>
        <v>0</v>
      </c>
      <c r="G1246" s="13">
        <v>46045</v>
      </c>
      <c r="H1246" s="6">
        <f t="shared" si="39"/>
        <v>46</v>
      </c>
      <c r="I1246" s="16">
        <f>MAX(1, NETWORKDAYS(A1246, G1246,Table2[Dias no laborales]))</f>
        <v>45</v>
      </c>
      <c r="J1246" s="6" t="str">
        <f>IF(Table1[[#This Row],[FIN]]="","Acumulado",IF(ISNUMBER(SEARCH("ASAP",C1246)),"ASAP",IF(NETWORKDAYS.INTL(F1246,G1246,1,Table2[Dias no laborales]) &lt;= 7, "Dentro", IF(A1246&gt;F1246,"Programado","Fuera"))))</f>
        <v>ASAP</v>
      </c>
      <c r="K1246" s="6" t="str">
        <f t="shared" si="40"/>
        <v>Programados</v>
      </c>
      <c r="L1246" s="9">
        <v>45979</v>
      </c>
      <c r="M1246" s="17">
        <f>MAX(1,NETWORKDAYS(A1246,L1246,Table2[Dias no laborales]))</f>
        <v>1</v>
      </c>
    </row>
    <row r="1247" spans="1:13" hidden="1" x14ac:dyDescent="0.3">
      <c r="A1247" s="8">
        <v>45980</v>
      </c>
      <c r="B1247" s="6" t="s">
        <v>2478</v>
      </c>
      <c r="C1247" s="6" t="s">
        <v>2479</v>
      </c>
      <c r="D1247" s="6" t="s">
        <v>61</v>
      </c>
      <c r="E1247" s="14">
        <v>45979.481249999997</v>
      </c>
      <c r="F1247" s="8">
        <f>IF(HOUR(Table1[[#This Row],[CORREO]])&gt;=11,WORKDAY(Table1[[#This Row],[CORREO]],1,Table2[Dias no laborales]),E1247)</f>
        <v>45980</v>
      </c>
      <c r="G1247" s="13">
        <v>45980</v>
      </c>
      <c r="H1247" s="6">
        <f t="shared" si="39"/>
        <v>47</v>
      </c>
      <c r="I1247" s="16">
        <f>MAX(1, NETWORKDAYS(A1247, G1247,Table2[Dias no laborales]))</f>
        <v>1</v>
      </c>
      <c r="J1247" s="6" t="str">
        <f>IF(Table1[[#This Row],[FIN]]="","Acumulado",IF(ISNUMBER(SEARCH("ASAP",C1247)),"ASAP",IF(NETWORKDAYS.INTL(F1247,G1247,1,Table2[Dias no laborales]) &lt;= 7, "Dentro", IF(A1247&gt;F1247,"Programado","Fuera"))))</f>
        <v>Dentro</v>
      </c>
      <c r="K1247" s="6" t="str">
        <f t="shared" si="40"/>
        <v>A tiempo</v>
      </c>
      <c r="L1247" s="9">
        <v>45980</v>
      </c>
      <c r="M1247" s="17">
        <f>MAX(1,NETWORKDAYS(A1247,L1247,Table2[Dias no laborales]))</f>
        <v>1</v>
      </c>
    </row>
    <row r="1248" spans="1:13" hidden="1" x14ac:dyDescent="0.3">
      <c r="A1248" s="8">
        <v>45980</v>
      </c>
      <c r="B1248" s="6" t="s">
        <v>2542</v>
      </c>
      <c r="C1248" s="6" t="s">
        <v>2543</v>
      </c>
      <c r="D1248" s="6" t="s">
        <v>18</v>
      </c>
      <c r="E1248" s="14">
        <v>45979.499305555553</v>
      </c>
      <c r="F1248" s="8">
        <f>IF(HOUR(Table1[[#This Row],[CORREO]])&gt;=11,WORKDAY(Table1[[#This Row],[CORREO]],1,Table2[Dias no laborales]),E1248)</f>
        <v>45980</v>
      </c>
      <c r="G1248" s="13">
        <v>45989</v>
      </c>
      <c r="H1248" s="6">
        <f t="shared" si="39"/>
        <v>47</v>
      </c>
      <c r="I1248" s="16">
        <f>MAX(1, NETWORKDAYS(A1248, G1248,Table2[Dias no laborales]))</f>
        <v>8</v>
      </c>
      <c r="J1248" s="6" t="str">
        <f>IF(Table1[[#This Row],[FIN]]="","Acumulado",IF(ISNUMBER(SEARCH("ASAP",C1248)),"ASAP",IF(NETWORKDAYS.INTL(F1248,G1248,1,Table2[Dias no laborales]) &lt;= 7, "Dentro", IF(A1248&gt;F1248,"Programado","Fuera"))))</f>
        <v>Fuera</v>
      </c>
      <c r="K1248" s="6" t="str">
        <f t="shared" si="40"/>
        <v>A tiempo</v>
      </c>
      <c r="L1248" s="9">
        <v>45980</v>
      </c>
      <c r="M1248" s="17">
        <f>MAX(1,NETWORKDAYS(A1248,L1248,Table2[Dias no laborales]))</f>
        <v>1</v>
      </c>
    </row>
    <row r="1249" spans="1:13" hidden="1" x14ac:dyDescent="0.3">
      <c r="A1249" s="8">
        <v>45980</v>
      </c>
      <c r="B1249" s="6" t="s">
        <v>2474</v>
      </c>
      <c r="C1249" s="6" t="s">
        <v>2368</v>
      </c>
      <c r="D1249" s="6" t="s">
        <v>504</v>
      </c>
      <c r="E1249" s="14">
        <v>45980.535416666666</v>
      </c>
      <c r="F1249" s="8">
        <f>IF(HOUR(Table1[[#This Row],[CORREO]])&gt;=11,WORKDAY(Table1[[#This Row],[CORREO]],1,Table2[Dias no laborales]),E1249)</f>
        <v>45981</v>
      </c>
      <c r="G1249" s="13">
        <v>45980</v>
      </c>
      <c r="H1249" s="6">
        <f t="shared" si="39"/>
        <v>47</v>
      </c>
      <c r="I1249" s="16">
        <f>MAX(1, NETWORKDAYS(A1249, G1249,Table2[Dias no laborales]))</f>
        <v>1</v>
      </c>
      <c r="J1249" s="6" t="str">
        <f>IF(Table1[[#This Row],[FIN]]="","Acumulado",IF(ISNUMBER(SEARCH("ASAP",C1249)),"ASAP",IF(NETWORKDAYS.INTL(F1249,G1249,1,Table2[Dias no laborales]) &lt;= 7, "Dentro", IF(A1249&gt;F1249,"Programado","Fuera"))))</f>
        <v>Dentro</v>
      </c>
      <c r="K1249" s="6" t="str">
        <f t="shared" si="40"/>
        <v>Mismo día</v>
      </c>
      <c r="L1249" s="9">
        <v>45980</v>
      </c>
      <c r="M1249" s="17">
        <f>MAX(1,NETWORKDAYS(A1249,L1249,Table2[Dias no laborales]))</f>
        <v>1</v>
      </c>
    </row>
    <row r="1250" spans="1:13" hidden="1" x14ac:dyDescent="0.3">
      <c r="A1250" s="8">
        <v>45980</v>
      </c>
      <c r="B1250" s="6" t="s">
        <v>2477</v>
      </c>
      <c r="C1250" s="6" t="s">
        <v>1404</v>
      </c>
      <c r="D1250" s="6" t="s">
        <v>24</v>
      </c>
      <c r="E1250" s="14">
        <v>45979.716666666667</v>
      </c>
      <c r="F1250" s="8">
        <f>IF(HOUR(Table1[[#This Row],[CORREO]])&gt;=11,WORKDAY(Table1[[#This Row],[CORREO]],1,Table2[Dias no laborales]),E1250)</f>
        <v>45980</v>
      </c>
      <c r="G1250" s="13">
        <v>45980</v>
      </c>
      <c r="H1250" s="6">
        <f t="shared" si="39"/>
        <v>47</v>
      </c>
      <c r="I1250" s="16">
        <f>MAX(1, NETWORKDAYS(A1250, G1250,Table2[Dias no laborales]))</f>
        <v>1</v>
      </c>
      <c r="J1250" s="6" t="str">
        <f>IF(Table1[[#This Row],[FIN]]="","Acumulado",IF(ISNUMBER(SEARCH("ASAP",C1250)),"ASAP",IF(NETWORKDAYS.INTL(F1250,G1250,1,Table2[Dias no laborales]) &lt;= 7, "Dentro", IF(A1250&gt;F1250,"Programado","Fuera"))))</f>
        <v>Dentro</v>
      </c>
      <c r="K1250" s="6" t="str">
        <f t="shared" si="40"/>
        <v>A tiempo</v>
      </c>
      <c r="L1250" s="9">
        <v>45980</v>
      </c>
      <c r="M1250" s="17">
        <f>MAX(1,NETWORKDAYS(A1250,L1250,Table2[Dias no laborales]))</f>
        <v>1</v>
      </c>
    </row>
    <row r="1251" spans="1:13" hidden="1" x14ac:dyDescent="0.3">
      <c r="A1251" s="8">
        <v>45980</v>
      </c>
      <c r="B1251" s="6" t="s">
        <v>2490</v>
      </c>
      <c r="C1251" s="6" t="s">
        <v>2491</v>
      </c>
      <c r="D1251" s="6" t="s">
        <v>1333</v>
      </c>
      <c r="E1251" s="14">
        <v>45980.327777777777</v>
      </c>
      <c r="F1251" s="8">
        <f>IF(HOUR(Table1[[#This Row],[CORREO]])&gt;=11,WORKDAY(Table1[[#This Row],[CORREO]],1,Table2[Dias no laborales]),E1251)</f>
        <v>45980.327777777777</v>
      </c>
      <c r="G1251" s="13">
        <v>45982</v>
      </c>
      <c r="H1251" s="6">
        <f t="shared" si="39"/>
        <v>47</v>
      </c>
      <c r="I1251" s="16">
        <f>MAX(1, NETWORKDAYS(A1251, G1251,Table2[Dias no laborales]))</f>
        <v>3</v>
      </c>
      <c r="J1251" s="6" t="str">
        <f>IF(Table1[[#This Row],[FIN]]="","Acumulado",IF(ISNUMBER(SEARCH("ASAP",C1251)),"ASAP",IF(NETWORKDAYS.INTL(F1251,G1251,1,Table2[Dias no laborales]) &lt;= 7, "Dentro", IF(A1251&gt;F1251,"Programado","Fuera"))))</f>
        <v>Dentro</v>
      </c>
      <c r="K1251" s="6" t="str">
        <f t="shared" si="40"/>
        <v>A tiempo</v>
      </c>
      <c r="L1251" s="9">
        <v>45980</v>
      </c>
      <c r="M1251" s="17">
        <f>MAX(1,NETWORKDAYS(A1251,L1251,Table2[Dias no laborales]))</f>
        <v>1</v>
      </c>
    </row>
    <row r="1252" spans="1:13" hidden="1" x14ac:dyDescent="0.3">
      <c r="A1252" s="8">
        <v>45980</v>
      </c>
      <c r="B1252" s="6" t="s">
        <v>2472</v>
      </c>
      <c r="C1252" s="6" t="s">
        <v>2473</v>
      </c>
      <c r="D1252" s="6" t="s">
        <v>24</v>
      </c>
      <c r="E1252" s="14"/>
      <c r="F1252" s="8">
        <f>IF(HOUR(Table1[[#This Row],[CORREO]])&gt;=11,WORKDAY(Table1[[#This Row],[CORREO]],1,Table2[Dias no laborales]),E1252)</f>
        <v>0</v>
      </c>
      <c r="G1252" s="13">
        <v>45980</v>
      </c>
      <c r="H1252" s="6">
        <f t="shared" si="39"/>
        <v>47</v>
      </c>
      <c r="I1252" s="16">
        <f>MAX(1, NETWORKDAYS(A1252, G1252,Table2[Dias no laborales]))</f>
        <v>1</v>
      </c>
      <c r="J1252" s="6" t="str">
        <f>IF(Table1[[#This Row],[FIN]]="","Acumulado",IF(ISNUMBER(SEARCH("ASAP",C1252)),"ASAP",IF(NETWORKDAYS.INTL(F1252,G1252,1,Table2[Dias no laborales]) &lt;= 7, "Dentro", IF(A1252&gt;F1252,"Programado","Fuera"))))</f>
        <v>Programado</v>
      </c>
      <c r="K1252" s="6" t="str">
        <f t="shared" si="40"/>
        <v>Programados</v>
      </c>
      <c r="L1252" s="9">
        <v>45980</v>
      </c>
      <c r="M1252" s="17">
        <f>MAX(1,NETWORKDAYS(A1252,L1252,Table2[Dias no laborales]))</f>
        <v>1</v>
      </c>
    </row>
    <row r="1253" spans="1:13" hidden="1" x14ac:dyDescent="0.3">
      <c r="A1253" s="8">
        <v>45980</v>
      </c>
      <c r="B1253" s="6" t="s">
        <v>2613</v>
      </c>
      <c r="C1253" s="6" t="s">
        <v>2614</v>
      </c>
      <c r="D1253" s="6" t="s">
        <v>24</v>
      </c>
      <c r="E1253" s="14"/>
      <c r="F1253" s="8">
        <f>IF(HOUR(Table1[[#This Row],[CORREO]])&gt;=11,WORKDAY(Table1[[#This Row],[CORREO]],1,Table2[Dias no laborales]),E1253)</f>
        <v>0</v>
      </c>
      <c r="G1253" s="13">
        <v>45994</v>
      </c>
      <c r="H1253" s="6">
        <f t="shared" si="39"/>
        <v>47</v>
      </c>
      <c r="I1253" s="16">
        <f>MAX(1, NETWORKDAYS(A1253, G1253,Table2[Dias no laborales]))</f>
        <v>11</v>
      </c>
      <c r="J1253" s="6" t="str">
        <f>IF(Table1[[#This Row],[FIN]]="","Acumulado",IF(ISNUMBER(SEARCH("ASAP",C1253)),"ASAP",IF(NETWORKDAYS.INTL(F1253,G1253,1,Table2[Dias no laborales]) &lt;= 7, "Dentro", IF(A1253&gt;F1253,"Programado","Fuera"))))</f>
        <v>Programado</v>
      </c>
      <c r="K1253" s="6" t="str">
        <f t="shared" si="40"/>
        <v>Programados</v>
      </c>
      <c r="L1253" s="8">
        <v>45949</v>
      </c>
      <c r="M1253" s="17">
        <f>MAX(1,NETWORKDAYS(A1253,L1253,Table2[Dias no laborales]))</f>
        <v>1</v>
      </c>
    </row>
    <row r="1254" spans="1:13" hidden="1" x14ac:dyDescent="0.3">
      <c r="A1254" s="8">
        <v>45981</v>
      </c>
      <c r="B1254" s="6" t="s">
        <v>2514</v>
      </c>
      <c r="C1254" s="6" t="s">
        <v>2515</v>
      </c>
      <c r="D1254" s="6" t="s">
        <v>1735</v>
      </c>
      <c r="E1254" s="14">
        <v>45980.574999999997</v>
      </c>
      <c r="F1254" s="8">
        <f>IF(HOUR(Table1[[#This Row],[CORREO]])&gt;=11,WORKDAY(Table1[[#This Row],[CORREO]],1,Table2[Dias no laborales]),E1254)</f>
        <v>45981</v>
      </c>
      <c r="G1254" s="13">
        <v>45987</v>
      </c>
      <c r="H1254" s="6">
        <f t="shared" si="39"/>
        <v>47</v>
      </c>
      <c r="I1254" s="16">
        <f>MAX(1, NETWORKDAYS(A1254, G1254,Table2[Dias no laborales]))</f>
        <v>5</v>
      </c>
      <c r="J1254" s="6" t="str">
        <f>IF(Table1[[#This Row],[FIN]]="","Acumulado",IF(ISNUMBER(SEARCH("ASAP",C1254)),"ASAP",IF(NETWORKDAYS.INTL(F1254,G1254,1,Table2[Dias no laborales]) &lt;= 7, "Dentro", IF(A1254&gt;F1254,"Programado","Fuera"))))</f>
        <v>Dentro</v>
      </c>
      <c r="K1254" s="6" t="str">
        <f t="shared" si="40"/>
        <v>A tiempo</v>
      </c>
      <c r="L1254" s="9">
        <v>45981</v>
      </c>
      <c r="M1254" s="17">
        <f>MAX(1,NETWORKDAYS(A1254,L1254,Table2[Dias no laborales]))</f>
        <v>1</v>
      </c>
    </row>
    <row r="1255" spans="1:13" hidden="1" x14ac:dyDescent="0.3">
      <c r="A1255" s="8">
        <v>45981</v>
      </c>
      <c r="B1255" s="6" t="s">
        <v>2484</v>
      </c>
      <c r="C1255" s="6" t="s">
        <v>2485</v>
      </c>
      <c r="D1255" s="6" t="s">
        <v>89</v>
      </c>
      <c r="E1255" s="14">
        <v>45980.647222222222</v>
      </c>
      <c r="F1255" s="8">
        <f>IF(HOUR(Table1[[#This Row],[CORREO]])&gt;=11,WORKDAY(Table1[[#This Row],[CORREO]],1,Table2[Dias no laborales]),E1255)</f>
        <v>45981</v>
      </c>
      <c r="G1255" s="13">
        <v>45981</v>
      </c>
      <c r="H1255" s="6">
        <f t="shared" si="39"/>
        <v>47</v>
      </c>
      <c r="I1255" s="16">
        <f>MAX(1, NETWORKDAYS(A1255, G1255,Table2[Dias no laborales]))</f>
        <v>1</v>
      </c>
      <c r="J1255" s="6" t="str">
        <f>IF(Table1[[#This Row],[FIN]]="","Acumulado",IF(ISNUMBER(SEARCH("ASAP",C1255)),"ASAP",IF(NETWORKDAYS.INTL(F1255,G1255,1,Table2[Dias no laborales]) &lt;= 7, "Dentro", IF(A1255&gt;F1255,"Programado","Fuera"))))</f>
        <v>Dentro</v>
      </c>
      <c r="K1255" s="6" t="str">
        <f t="shared" si="40"/>
        <v>A tiempo</v>
      </c>
      <c r="L1255" s="9">
        <v>45981</v>
      </c>
      <c r="M1255" s="17">
        <f>MAX(1,NETWORKDAYS(A1255,L1255,Table2[Dias no laborales]))</f>
        <v>1</v>
      </c>
    </row>
    <row r="1256" spans="1:13" hidden="1" x14ac:dyDescent="0.3">
      <c r="A1256" s="8">
        <v>45981</v>
      </c>
      <c r="B1256" s="6" t="s">
        <v>2566</v>
      </c>
      <c r="C1256" s="6" t="s">
        <v>2567</v>
      </c>
      <c r="D1256" s="6" t="s">
        <v>423</v>
      </c>
      <c r="E1256" s="14">
        <v>45980.652083333334</v>
      </c>
      <c r="F1256" s="8">
        <f>IF(HOUR(Table1[[#This Row],[CORREO]])&gt;=11,WORKDAY(Table1[[#This Row],[CORREO]],1,Table2[Dias no laborales]),E1256)</f>
        <v>45981</v>
      </c>
      <c r="G1256" s="13">
        <v>46029</v>
      </c>
      <c r="H1256" s="6">
        <f t="shared" si="39"/>
        <v>47</v>
      </c>
      <c r="I1256" s="16">
        <f>MAX(1, NETWORKDAYS(A1256, G1256,Table2[Dias no laborales]))</f>
        <v>31</v>
      </c>
      <c r="J1256" s="6" t="str">
        <f>IF(Table1[[#This Row],[FIN]]="","Acumulado",IF(ISNUMBER(SEARCH("ASAP",C1256)),"ASAP",IF(NETWORKDAYS.INTL(F1256,G1256,1,Table2[Dias no laborales]) &lt;= 7, "Dentro", IF(A1256&gt;F1256,"Programado","Fuera"))))</f>
        <v>Fuera</v>
      </c>
      <c r="K1256" s="6" t="str">
        <f t="shared" si="40"/>
        <v>A tiempo</v>
      </c>
      <c r="L1256" s="9">
        <v>45982</v>
      </c>
      <c r="M1256" s="17">
        <f>MAX(1,NETWORKDAYS(A1256,L1256,Table2[Dias no laborales]))</f>
        <v>2</v>
      </c>
    </row>
    <row r="1257" spans="1:13" hidden="1" x14ac:dyDescent="0.3">
      <c r="A1257" s="8">
        <v>45981</v>
      </c>
      <c r="B1257" s="6" t="s">
        <v>2504</v>
      </c>
      <c r="C1257" s="6" t="s">
        <v>2505</v>
      </c>
      <c r="D1257" s="6" t="s">
        <v>1644</v>
      </c>
      <c r="E1257" s="14">
        <v>45980.73333333333</v>
      </c>
      <c r="F1257" s="8">
        <f>IF(HOUR(Table1[[#This Row],[CORREO]])&gt;=11,WORKDAY(Table1[[#This Row],[CORREO]],1,Table2[Dias no laborales]),E1257)</f>
        <v>45981</v>
      </c>
      <c r="G1257" s="13">
        <v>45986</v>
      </c>
      <c r="H1257" s="6">
        <f t="shared" si="39"/>
        <v>47</v>
      </c>
      <c r="I1257" s="16">
        <f>MAX(1, NETWORKDAYS(A1257, G1257,Table2[Dias no laborales]))</f>
        <v>4</v>
      </c>
      <c r="J1257" s="6" t="str">
        <f>IF(Table1[[#This Row],[FIN]]="","Acumulado",IF(ISNUMBER(SEARCH("ASAP",C1257)),"ASAP",IF(NETWORKDAYS.INTL(F1257,G1257,1,Table2[Dias no laborales]) &lt;= 7, "Dentro", IF(A1257&gt;F1257,"Programado","Fuera"))))</f>
        <v>Dentro</v>
      </c>
      <c r="K1257" s="6" t="str">
        <f t="shared" si="40"/>
        <v>A tiempo</v>
      </c>
      <c r="L1257" s="9">
        <v>45981</v>
      </c>
      <c r="M1257" s="17">
        <f>MAX(1,NETWORKDAYS(A1257,L1257,Table2[Dias no laborales]))</f>
        <v>1</v>
      </c>
    </row>
    <row r="1258" spans="1:13" hidden="1" x14ac:dyDescent="0.3">
      <c r="A1258" s="8">
        <v>45981</v>
      </c>
      <c r="B1258" s="6" t="s">
        <v>2516</v>
      </c>
      <c r="C1258" s="6" t="s">
        <v>2517</v>
      </c>
      <c r="D1258" s="6" t="s">
        <v>655</v>
      </c>
      <c r="E1258" s="14">
        <v>45980.925694444442</v>
      </c>
      <c r="F1258" s="8">
        <f>IF(HOUR(Table1[[#This Row],[CORREO]])&gt;=11,WORKDAY(Table1[[#This Row],[CORREO]],1,Table2[Dias no laborales]),E1258)</f>
        <v>45981</v>
      </c>
      <c r="G1258" s="13">
        <v>45987</v>
      </c>
      <c r="H1258" s="6">
        <f t="shared" si="39"/>
        <v>47</v>
      </c>
      <c r="I1258" s="16">
        <f>MAX(1, NETWORKDAYS(A1258, G1258,Table2[Dias no laborales]))</f>
        <v>5</v>
      </c>
      <c r="J1258" s="6" t="str">
        <f>IF(Table1[[#This Row],[FIN]]="","Acumulado",IF(ISNUMBER(SEARCH("ASAP",C1258)),"ASAP",IF(NETWORKDAYS.INTL(F1258,G1258,1,Table2[Dias no laborales]) &lt;= 7, "Dentro", IF(A1258&gt;F1258,"Programado","Fuera"))))</f>
        <v>Dentro</v>
      </c>
      <c r="K1258" s="6" t="str">
        <f t="shared" si="40"/>
        <v>A tiempo</v>
      </c>
      <c r="L1258" s="9">
        <v>45981</v>
      </c>
      <c r="M1258" s="17">
        <f>MAX(1,NETWORKDAYS(A1258,L1258,Table2[Dias no laborales]))</f>
        <v>1</v>
      </c>
    </row>
    <row r="1259" spans="1:13" hidden="1" x14ac:dyDescent="0.3">
      <c r="A1259" s="8">
        <v>45981</v>
      </c>
      <c r="B1259" s="6" t="s">
        <v>2518</v>
      </c>
      <c r="C1259" s="6" t="s">
        <v>2519</v>
      </c>
      <c r="D1259" s="6" t="s">
        <v>2520</v>
      </c>
      <c r="E1259" s="14">
        <v>45981.183333333334</v>
      </c>
      <c r="F1259" s="8">
        <f>IF(HOUR(Table1[[#This Row],[CORREO]])&gt;=11,WORKDAY(Table1[[#This Row],[CORREO]],1,Table2[Dias no laborales]),E1259)</f>
        <v>45981.183333333334</v>
      </c>
      <c r="G1259" s="13">
        <v>45987</v>
      </c>
      <c r="H1259" s="6">
        <f t="shared" si="39"/>
        <v>47</v>
      </c>
      <c r="I1259" s="16">
        <f>MAX(1, NETWORKDAYS(A1259, G1259,Table2[Dias no laborales]))</f>
        <v>5</v>
      </c>
      <c r="J1259" s="6" t="str">
        <f>IF(Table1[[#This Row],[FIN]]="","Acumulado",IF(ISNUMBER(SEARCH("ASAP",C1259)),"ASAP",IF(NETWORKDAYS.INTL(F1259,G1259,1,Table2[Dias no laborales]) &lt;= 7, "Dentro", IF(A1259&gt;F1259,"Programado","Fuera"))))</f>
        <v>Dentro</v>
      </c>
      <c r="K1259" s="6" t="str">
        <f t="shared" si="40"/>
        <v>A tiempo</v>
      </c>
      <c r="L1259" s="9">
        <v>45981</v>
      </c>
      <c r="M1259" s="17">
        <f>MAX(1,NETWORKDAYS(A1259,L1259,Table2[Dias no laborales]))</f>
        <v>1</v>
      </c>
    </row>
    <row r="1260" spans="1:13" hidden="1" x14ac:dyDescent="0.3">
      <c r="A1260" s="8">
        <v>45981</v>
      </c>
      <c r="B1260" s="6" t="s">
        <v>2521</v>
      </c>
      <c r="C1260" s="6" t="s">
        <v>2522</v>
      </c>
      <c r="D1260" s="6" t="s">
        <v>89</v>
      </c>
      <c r="E1260" s="14">
        <v>45981.329861111109</v>
      </c>
      <c r="F1260" s="8">
        <f>IF(HOUR(Table1[[#This Row],[CORREO]])&gt;=11,WORKDAY(Table1[[#This Row],[CORREO]],1,Table2[Dias no laborales]),E1260)</f>
        <v>45981.329861111109</v>
      </c>
      <c r="G1260" s="13">
        <v>45987</v>
      </c>
      <c r="H1260" s="6">
        <f t="shared" si="39"/>
        <v>47</v>
      </c>
      <c r="I1260" s="16">
        <f>MAX(1, NETWORKDAYS(A1260, G1260,Table2[Dias no laborales]))</f>
        <v>5</v>
      </c>
      <c r="J1260" s="6" t="str">
        <f>IF(Table1[[#This Row],[FIN]]="","Acumulado",IF(ISNUMBER(SEARCH("ASAP",C1260)),"ASAP",IF(NETWORKDAYS.INTL(F1260,G1260,1,Table2[Dias no laborales]) &lt;= 7, "Dentro", IF(A1260&gt;F1260,"Programado","Fuera"))))</f>
        <v>Dentro</v>
      </c>
      <c r="K1260" s="6" t="str">
        <f t="shared" si="40"/>
        <v>A tiempo</v>
      </c>
      <c r="L1260" s="9">
        <v>45981</v>
      </c>
      <c r="M1260" s="17">
        <f>MAX(1,NETWORKDAYS(A1260,L1260,Table2[Dias no laborales]))</f>
        <v>1</v>
      </c>
    </row>
    <row r="1261" spans="1:13" hidden="1" x14ac:dyDescent="0.3">
      <c r="A1261" s="8">
        <v>45981</v>
      </c>
      <c r="B1261" s="6" t="s">
        <v>2568</v>
      </c>
      <c r="C1261" s="6" t="s">
        <v>2569</v>
      </c>
      <c r="D1261" s="6" t="s">
        <v>848</v>
      </c>
      <c r="E1261" s="14"/>
      <c r="F1261" s="8">
        <f>IF(HOUR(Table1[[#This Row],[CORREO]])&gt;=11,WORKDAY(Table1[[#This Row],[CORREO]],1,Table2[Dias no laborales]),E1261)</f>
        <v>0</v>
      </c>
      <c r="G1261" s="13">
        <v>46006</v>
      </c>
      <c r="H1261" s="6">
        <f t="shared" si="39"/>
        <v>47</v>
      </c>
      <c r="I1261" s="16">
        <f>MAX(1, NETWORKDAYS(A1261, G1261,Table2[Dias no laborales]))</f>
        <v>18</v>
      </c>
      <c r="J1261" s="6" t="str">
        <f>IF(Table1[[#This Row],[FIN]]="","Acumulado",IF(ISNUMBER(SEARCH("ASAP",C1261)),"ASAP",IF(NETWORKDAYS.INTL(F1261,G1261,1,Table2[Dias no laborales]) &lt;= 7, "Dentro", IF(A1261&gt;F1261,"Programado","Fuera"))))</f>
        <v>Programado</v>
      </c>
      <c r="K1261" s="6" t="str">
        <f t="shared" si="40"/>
        <v>Programados</v>
      </c>
      <c r="L1261" s="9">
        <v>45981</v>
      </c>
      <c r="M1261" s="17">
        <f>MAX(1,NETWORKDAYS(A1261,L1261,Table2[Dias no laborales]))</f>
        <v>1</v>
      </c>
    </row>
    <row r="1262" spans="1:13" hidden="1" x14ac:dyDescent="0.3">
      <c r="A1262" s="8">
        <v>45981</v>
      </c>
      <c r="B1262" s="6" t="s">
        <v>2492</v>
      </c>
      <c r="C1262" s="6" t="s">
        <v>2493</v>
      </c>
      <c r="D1262" s="6" t="s">
        <v>623</v>
      </c>
      <c r="E1262" s="14">
        <v>45981.385416666664</v>
      </c>
      <c r="F1262" s="8">
        <f>IF(HOUR(Table1[[#This Row],[CORREO]])&gt;=11,WORKDAY(Table1[[#This Row],[CORREO]],1,Table2[Dias no laborales]),E1262)</f>
        <v>45981.385416666664</v>
      </c>
      <c r="G1262" s="13">
        <v>45982</v>
      </c>
      <c r="H1262" s="6">
        <f t="shared" si="39"/>
        <v>47</v>
      </c>
      <c r="I1262" s="16">
        <f>MAX(1, NETWORKDAYS(A1262, G1262,Table2[Dias no laborales]))</f>
        <v>2</v>
      </c>
      <c r="J1262" s="6" t="str">
        <f>IF(Table1[[#This Row],[FIN]]="","Acumulado",IF(ISNUMBER(SEARCH("ASAP",C1262)),"ASAP",IF(NETWORKDAYS.INTL(F1262,G1262,1,Table2[Dias no laborales]) &lt;= 7, "Dentro", IF(A1262&gt;F1262,"Programado","Fuera"))))</f>
        <v>Dentro</v>
      </c>
      <c r="K1262" s="6" t="str">
        <f t="shared" si="40"/>
        <v>A tiempo</v>
      </c>
      <c r="L1262" s="9">
        <v>45981</v>
      </c>
      <c r="M1262" s="17">
        <f>MAX(1,NETWORKDAYS(A1262,L1262,Table2[Dias no laborales]))</f>
        <v>1</v>
      </c>
    </row>
    <row r="1263" spans="1:13" hidden="1" x14ac:dyDescent="0.3">
      <c r="A1263" s="8">
        <v>45981</v>
      </c>
      <c r="B1263" s="6" t="s">
        <v>2570</v>
      </c>
      <c r="C1263" s="6" t="s">
        <v>2571</v>
      </c>
      <c r="D1263" s="6" t="s">
        <v>24</v>
      </c>
      <c r="E1263" s="14">
        <v>45989.365972222222</v>
      </c>
      <c r="F1263" s="8">
        <f>IF(HOUR(Table1[[#This Row],[CORREO]])&gt;=11,WORKDAY(Table1[[#This Row],[CORREO]],1,Table2[Dias no laborales]),E1263)</f>
        <v>45989.365972222222</v>
      </c>
      <c r="G1263" s="13">
        <v>46006</v>
      </c>
      <c r="H1263" s="6">
        <f t="shared" si="39"/>
        <v>47</v>
      </c>
      <c r="I1263" s="16">
        <f>MAX(1, NETWORKDAYS(A1263, G1263,Table2[Dias no laborales]))</f>
        <v>18</v>
      </c>
      <c r="J1263" s="6" t="str">
        <f>IF(Table1[[#This Row],[FIN]]="","Acumulado",IF(ISNUMBER(SEARCH("ASAP",C1263)),"ASAP",IF(NETWORKDAYS.INTL(F1263,G1263,1,Table2[Dias no laborales]) &lt;= 7, "Dentro", IF(A1263&gt;F1263,"Programado","Fuera"))))</f>
        <v>Fuera</v>
      </c>
      <c r="K1263" s="6" t="str">
        <f t="shared" si="40"/>
        <v>Mismo día</v>
      </c>
      <c r="L1263" s="9">
        <v>45981</v>
      </c>
      <c r="M1263" s="17">
        <f>MAX(1,NETWORKDAYS(A1263,L1263,Table2[Dias no laborales]))</f>
        <v>1</v>
      </c>
    </row>
    <row r="1264" spans="1:13" hidden="1" x14ac:dyDescent="0.3">
      <c r="A1264" s="8">
        <v>45981</v>
      </c>
      <c r="B1264" s="6" t="s">
        <v>2536</v>
      </c>
      <c r="C1264" s="6" t="s">
        <v>2517</v>
      </c>
      <c r="D1264" s="6" t="s">
        <v>2537</v>
      </c>
      <c r="E1264" s="14">
        <v>45981.418749999997</v>
      </c>
      <c r="F1264" s="8">
        <f>IF(HOUR(Table1[[#This Row],[CORREO]])&gt;=11,WORKDAY(Table1[[#This Row],[CORREO]],1,Table2[Dias no laborales]),E1264)</f>
        <v>45981.418749999997</v>
      </c>
      <c r="G1264" s="13">
        <v>45988</v>
      </c>
      <c r="H1264" s="6">
        <f t="shared" si="39"/>
        <v>47</v>
      </c>
      <c r="I1264" s="16">
        <f>MAX(1, NETWORKDAYS(A1264, G1264,Table2[Dias no laborales]))</f>
        <v>6</v>
      </c>
      <c r="J1264" s="6" t="str">
        <f>IF(Table1[[#This Row],[FIN]]="","Acumulado",IF(ISNUMBER(SEARCH("ASAP",C1264)),"ASAP",IF(NETWORKDAYS.INTL(F1264,G1264,1,Table2[Dias no laborales]) &lt;= 7, "Dentro", IF(A1264&gt;F1264,"Programado","Fuera"))))</f>
        <v>Dentro</v>
      </c>
      <c r="K1264" s="6" t="str">
        <f t="shared" si="40"/>
        <v>A tiempo</v>
      </c>
      <c r="L1264" s="9">
        <v>45981</v>
      </c>
      <c r="M1264" s="17">
        <f>MAX(1,NETWORKDAYS(A1264,L1264,Table2[Dias no laborales]))</f>
        <v>1</v>
      </c>
    </row>
    <row r="1265" spans="1:13" hidden="1" x14ac:dyDescent="0.3">
      <c r="A1265" s="8">
        <v>45981</v>
      </c>
      <c r="B1265" s="6" t="s">
        <v>2544</v>
      </c>
      <c r="C1265" s="6" t="s">
        <v>2545</v>
      </c>
      <c r="D1265" s="6" t="s">
        <v>650</v>
      </c>
      <c r="E1265" s="14">
        <v>45981.436805555553</v>
      </c>
      <c r="F1265" s="8">
        <f>IF(HOUR(Table1[[#This Row],[CORREO]])&gt;=11,WORKDAY(Table1[[#This Row],[CORREO]],1,Table2[Dias no laborales]),E1265)</f>
        <v>45981.436805555553</v>
      </c>
      <c r="G1265" s="13">
        <v>45989</v>
      </c>
      <c r="H1265" s="6">
        <f t="shared" si="39"/>
        <v>47</v>
      </c>
      <c r="I1265" s="16">
        <f>MAX(1, NETWORKDAYS(A1265, G1265,Table2[Dias no laborales]))</f>
        <v>7</v>
      </c>
      <c r="J1265" s="6" t="str">
        <f>IF(Table1[[#This Row],[FIN]]="","Acumulado",IF(ISNUMBER(SEARCH("ASAP",C1265)),"ASAP",IF(NETWORKDAYS.INTL(F1265,G1265,1,Table2[Dias no laborales]) &lt;= 7, "Dentro", IF(A1265&gt;F1265,"Programado","Fuera"))))</f>
        <v>Dentro</v>
      </c>
      <c r="K1265" s="6" t="str">
        <f t="shared" si="40"/>
        <v>A tiempo</v>
      </c>
      <c r="L1265" s="9">
        <v>45981</v>
      </c>
      <c r="M1265" s="17">
        <f>MAX(1,NETWORKDAYS(A1265,L1265,Table2[Dias no laborales]))</f>
        <v>1</v>
      </c>
    </row>
    <row r="1266" spans="1:13" hidden="1" x14ac:dyDescent="0.3">
      <c r="A1266" s="8">
        <v>45982</v>
      </c>
      <c r="B1266" s="6" t="s">
        <v>2523</v>
      </c>
      <c r="C1266" s="6" t="s">
        <v>2524</v>
      </c>
      <c r="D1266" s="6" t="s">
        <v>27</v>
      </c>
      <c r="E1266" s="14">
        <v>45981.460416666669</v>
      </c>
      <c r="F1266" s="8">
        <f>IF(HOUR(Table1[[#This Row],[CORREO]])&gt;=11,WORKDAY(Table1[[#This Row],[CORREO]],1,Table2[Dias no laborales]),E1266)</f>
        <v>45982</v>
      </c>
      <c r="G1266" s="13">
        <v>45987</v>
      </c>
      <c r="H1266" s="6">
        <f t="shared" si="39"/>
        <v>47</v>
      </c>
      <c r="I1266" s="16">
        <f>MAX(1, NETWORKDAYS(A1266, G1266,Table2[Dias no laborales]))</f>
        <v>4</v>
      </c>
      <c r="J1266" s="6" t="str">
        <f>IF(Table1[[#This Row],[FIN]]="","Acumulado",IF(ISNUMBER(SEARCH("ASAP",C1266)),"ASAP",IF(NETWORKDAYS.INTL(F1266,G1266,1,Table2[Dias no laborales]) &lt;= 7, "Dentro", IF(A1266&gt;F1266,"Programado","Fuera"))))</f>
        <v>Dentro</v>
      </c>
      <c r="K1266" s="6" t="str">
        <f t="shared" si="40"/>
        <v>A tiempo</v>
      </c>
      <c r="L1266" s="9">
        <v>45982</v>
      </c>
      <c r="M1266" s="17">
        <f>MAX(1,NETWORKDAYS(A1266,L1266,Table2[Dias no laborales]))</f>
        <v>1</v>
      </c>
    </row>
    <row r="1267" spans="1:13" hidden="1" x14ac:dyDescent="0.3">
      <c r="A1267" s="8">
        <v>45982</v>
      </c>
      <c r="B1267" s="6" t="s">
        <v>2494</v>
      </c>
      <c r="C1267" s="6" t="s">
        <v>2495</v>
      </c>
      <c r="D1267" s="6" t="s">
        <v>27</v>
      </c>
      <c r="E1267" s="14">
        <v>45981.459722222222</v>
      </c>
      <c r="F1267" s="8">
        <f>IF(HOUR(Table1[[#This Row],[CORREO]])&gt;=11,WORKDAY(Table1[[#This Row],[CORREO]],1,Table2[Dias no laborales]),E1267)</f>
        <v>45982</v>
      </c>
      <c r="G1267" s="13">
        <v>45985</v>
      </c>
      <c r="H1267" s="6">
        <f t="shared" si="39"/>
        <v>47</v>
      </c>
      <c r="I1267" s="16">
        <f>MAX(1, NETWORKDAYS(A1267, G1267,Table2[Dias no laborales]))</f>
        <v>2</v>
      </c>
      <c r="J1267" s="6" t="str">
        <f>IF(Table1[[#This Row],[FIN]]="","Acumulado",IF(ISNUMBER(SEARCH("ASAP",C1267)),"ASAP",IF(NETWORKDAYS.INTL(F1267,G1267,1,Table2[Dias no laborales]) &lt;= 7, "Dentro", IF(A1267&gt;F1267,"Programado","Fuera"))))</f>
        <v>Dentro</v>
      </c>
      <c r="K1267" s="6" t="str">
        <f t="shared" si="40"/>
        <v>A tiempo</v>
      </c>
      <c r="L1267" s="9">
        <v>45982</v>
      </c>
      <c r="M1267" s="17">
        <f>MAX(1,NETWORKDAYS(A1267,L1267,Table2[Dias no laborales]))</f>
        <v>1</v>
      </c>
    </row>
    <row r="1268" spans="1:13" hidden="1" x14ac:dyDescent="0.3">
      <c r="A1268" s="8">
        <v>45982</v>
      </c>
      <c r="B1268" s="6" t="s">
        <v>2525</v>
      </c>
      <c r="C1268" s="6" t="s">
        <v>2526</v>
      </c>
      <c r="D1268" s="6" t="s">
        <v>913</v>
      </c>
      <c r="E1268" s="14">
        <v>45982.417361111111</v>
      </c>
      <c r="F1268" s="8">
        <f>IF(HOUR(Table1[[#This Row],[CORREO]])&gt;=11,WORKDAY(Table1[[#This Row],[CORREO]],1,Table2[Dias no laborales]),E1268)</f>
        <v>45982.417361111111</v>
      </c>
      <c r="G1268" s="13">
        <v>45987</v>
      </c>
      <c r="H1268" s="6">
        <f t="shared" si="39"/>
        <v>47</v>
      </c>
      <c r="I1268" s="16">
        <f>MAX(1, NETWORKDAYS(A1268, G1268,Table2[Dias no laborales]))</f>
        <v>4</v>
      </c>
      <c r="J1268" s="6" t="str">
        <f>IF(Table1[[#This Row],[FIN]]="","Acumulado",IF(ISNUMBER(SEARCH("ASAP",C1268)),"ASAP",IF(NETWORKDAYS.INTL(F1268,G1268,1,Table2[Dias no laborales]) &lt;= 7, "Dentro", IF(A1268&gt;F1268,"Programado","Fuera"))))</f>
        <v>Dentro</v>
      </c>
      <c r="K1268" s="6" t="str">
        <f t="shared" si="40"/>
        <v>A tiempo</v>
      </c>
      <c r="L1268" s="9">
        <v>45982</v>
      </c>
      <c r="M1268" s="17">
        <f>MAX(1,NETWORKDAYS(A1268,L1268,Table2[Dias no laborales]))</f>
        <v>1</v>
      </c>
    </row>
    <row r="1269" spans="1:13" hidden="1" x14ac:dyDescent="0.3">
      <c r="A1269" s="8">
        <v>45982</v>
      </c>
      <c r="B1269" s="6" t="s">
        <v>2496</v>
      </c>
      <c r="C1269" s="6" t="s">
        <v>196</v>
      </c>
      <c r="D1269" s="6" t="s">
        <v>27</v>
      </c>
      <c r="E1269" s="14"/>
      <c r="F1269" s="8">
        <f>IF(HOUR(Table1[[#This Row],[CORREO]])&gt;=11,WORKDAY(Table1[[#This Row],[CORREO]],1,Table2[Dias no laborales]),E1269)</f>
        <v>0</v>
      </c>
      <c r="G1269" s="13">
        <v>45985</v>
      </c>
      <c r="H1269" s="6">
        <f t="shared" si="39"/>
        <v>47</v>
      </c>
      <c r="I1269" s="16">
        <f>MAX(1, NETWORKDAYS(A1269, G1269,Table2[Dias no laborales]))</f>
        <v>2</v>
      </c>
      <c r="J1269" s="6" t="str">
        <f>IF(Table1[[#This Row],[FIN]]="","Acumulado",IF(ISNUMBER(SEARCH("ASAP",C1269)),"ASAP",IF(NETWORKDAYS.INTL(F1269,G1269,1,Table2[Dias no laborales]) &lt;= 7, "Dentro", IF(A1269&gt;F1269,"Programado","Fuera"))))</f>
        <v>Programado</v>
      </c>
      <c r="K1269" s="6" t="str">
        <f t="shared" si="40"/>
        <v>Programados</v>
      </c>
      <c r="L1269" s="9">
        <v>45982</v>
      </c>
      <c r="M1269" s="17">
        <f>MAX(1,NETWORKDAYS(A1269,L1269,Table2[Dias no laborales]))</f>
        <v>1</v>
      </c>
    </row>
    <row r="1270" spans="1:13" hidden="1" x14ac:dyDescent="0.3">
      <c r="A1270" s="8">
        <v>45982</v>
      </c>
      <c r="B1270" s="6" t="s">
        <v>2497</v>
      </c>
      <c r="C1270" s="6" t="s">
        <v>188</v>
      </c>
      <c r="D1270" s="6" t="s">
        <v>27</v>
      </c>
      <c r="E1270" s="14"/>
      <c r="F1270" s="8">
        <f>IF(HOUR(Table1[[#This Row],[CORREO]])&gt;=11,WORKDAY(Table1[[#This Row],[CORREO]],1,Table2[Dias no laborales]),E1270)</f>
        <v>0</v>
      </c>
      <c r="G1270" s="13">
        <v>45985</v>
      </c>
      <c r="H1270" s="6">
        <f t="shared" si="39"/>
        <v>47</v>
      </c>
      <c r="I1270" s="16">
        <f>MAX(1, NETWORKDAYS(A1270, G1270,Table2[Dias no laborales]))</f>
        <v>2</v>
      </c>
      <c r="J1270" s="6" t="str">
        <f>IF(Table1[[#This Row],[FIN]]="","Acumulado",IF(ISNUMBER(SEARCH("ASAP",C1270)),"ASAP",IF(NETWORKDAYS.INTL(F1270,G1270,1,Table2[Dias no laborales]) &lt;= 7, "Dentro", IF(A1270&gt;F1270,"Programado","Fuera"))))</f>
        <v>Programado</v>
      </c>
      <c r="K1270" s="6" t="str">
        <f t="shared" si="40"/>
        <v>Programados</v>
      </c>
      <c r="L1270" s="9">
        <v>45982</v>
      </c>
      <c r="M1270" s="17">
        <f>MAX(1,NETWORKDAYS(A1270,L1270,Table2[Dias no laborales]))</f>
        <v>1</v>
      </c>
    </row>
    <row r="1271" spans="1:13" hidden="1" x14ac:dyDescent="0.3">
      <c r="A1271" s="8">
        <v>45982</v>
      </c>
      <c r="B1271" s="6" t="s">
        <v>2498</v>
      </c>
      <c r="C1271" s="6" t="s">
        <v>2499</v>
      </c>
      <c r="D1271" s="6" t="s">
        <v>538</v>
      </c>
      <c r="E1271" s="14">
        <v>45982.534722222219</v>
      </c>
      <c r="F1271" s="8">
        <f>IF(HOUR(Table1[[#This Row],[CORREO]])&gt;=11,WORKDAY(Table1[[#This Row],[CORREO]],1,Table2[Dias no laborales]),E1271)</f>
        <v>45985</v>
      </c>
      <c r="G1271" s="13">
        <v>45985</v>
      </c>
      <c r="H1271" s="6">
        <f t="shared" si="39"/>
        <v>47</v>
      </c>
      <c r="I1271" s="16">
        <f>MAX(1, NETWORKDAYS(A1271, G1271,Table2[Dias no laborales]))</f>
        <v>2</v>
      </c>
      <c r="J1271" s="6" t="str">
        <f>IF(Table1[[#This Row],[FIN]]="","Acumulado",IF(ISNUMBER(SEARCH("ASAP",C1271)),"ASAP",IF(NETWORKDAYS.INTL(F1271,G1271,1,Table2[Dias no laborales]) &lt;= 7, "Dentro", IF(A1271&gt;F1271,"Programado","Fuera"))))</f>
        <v>Dentro</v>
      </c>
      <c r="K1271" s="6" t="str">
        <f t="shared" si="40"/>
        <v>Mismo día</v>
      </c>
      <c r="L1271" s="9">
        <v>45982</v>
      </c>
      <c r="M1271" s="17">
        <f>MAX(1,NETWORKDAYS(A1271,L1271,Table2[Dias no laborales]))</f>
        <v>1</v>
      </c>
    </row>
    <row r="1272" spans="1:13" hidden="1" x14ac:dyDescent="0.3">
      <c r="A1272" s="8">
        <v>45982</v>
      </c>
      <c r="B1272" s="6" t="s">
        <v>2506</v>
      </c>
      <c r="C1272" s="6" t="s">
        <v>2507</v>
      </c>
      <c r="D1272" s="6" t="s">
        <v>994</v>
      </c>
      <c r="E1272" s="14">
        <v>45982.64166666667</v>
      </c>
      <c r="F1272" s="8">
        <f>IF(HOUR(Table1[[#This Row],[CORREO]])&gt;=11,WORKDAY(Table1[[#This Row],[CORREO]],1,Table2[Dias no laborales]),E1272)</f>
        <v>45985</v>
      </c>
      <c r="G1272" s="13">
        <v>45986</v>
      </c>
      <c r="H1272" s="6">
        <f t="shared" si="39"/>
        <v>47</v>
      </c>
      <c r="I1272" s="16">
        <f>MAX(1, NETWORKDAYS(A1272, G1272,Table2[Dias no laborales]))</f>
        <v>3</v>
      </c>
      <c r="J1272" s="6" t="str">
        <f>IF(Table1[[#This Row],[FIN]]="","Acumulado",IF(ISNUMBER(SEARCH("ASAP",C1272)),"ASAP",IF(NETWORKDAYS.INTL(F1272,G1272,1,Table2[Dias no laborales]) &lt;= 7, "Dentro", IF(A1272&gt;F1272,"Programado","Fuera"))))</f>
        <v>ASAP</v>
      </c>
      <c r="K1272" s="6" t="str">
        <f t="shared" si="40"/>
        <v>Mismo día</v>
      </c>
      <c r="L1272" s="9">
        <v>45985</v>
      </c>
      <c r="M1272" s="17">
        <f>MAX(1,NETWORKDAYS(A1272,L1272,Table2[Dias no laborales]))</f>
        <v>2</v>
      </c>
    </row>
    <row r="1273" spans="1:13" hidden="1" x14ac:dyDescent="0.3">
      <c r="A1273" s="8">
        <v>45985</v>
      </c>
      <c r="B1273" s="6" t="s">
        <v>2546</v>
      </c>
      <c r="C1273" s="6" t="s">
        <v>2547</v>
      </c>
      <c r="D1273" s="6" t="s">
        <v>24</v>
      </c>
      <c r="E1273" s="14"/>
      <c r="F1273" s="8">
        <f>IF(HOUR(Table1[[#This Row],[CORREO]])&gt;=11,WORKDAY(Table1[[#This Row],[CORREO]],1,Table2[Dias no laborales]),E1273)</f>
        <v>0</v>
      </c>
      <c r="G1273" s="13">
        <v>45989</v>
      </c>
      <c r="H1273" s="6">
        <f t="shared" si="39"/>
        <v>47</v>
      </c>
      <c r="I1273" s="16">
        <f>MAX(1, NETWORKDAYS(A1273, G1273,Table2[Dias no laborales]))</f>
        <v>5</v>
      </c>
      <c r="J1273" s="6" t="str">
        <f>IF(Table1[[#This Row],[FIN]]="","Acumulado",IF(ISNUMBER(SEARCH("ASAP",C1273)),"ASAP",IF(NETWORKDAYS.INTL(F1273,G1273,1,Table2[Dias no laborales]) &lt;= 7, "Dentro", IF(A1273&gt;F1273,"Programado","Fuera"))))</f>
        <v>Programado</v>
      </c>
      <c r="K1273" s="6" t="str">
        <f t="shared" si="40"/>
        <v>Programados</v>
      </c>
      <c r="L1273" s="9">
        <v>45985</v>
      </c>
      <c r="M1273" s="17">
        <f>MAX(1,NETWORKDAYS(A1273,L1273,Table2[Dias no laborales]))</f>
        <v>1</v>
      </c>
    </row>
    <row r="1274" spans="1:13" hidden="1" x14ac:dyDescent="0.3">
      <c r="A1274" s="8">
        <v>45985</v>
      </c>
      <c r="B1274" s="6" t="s">
        <v>2500</v>
      </c>
      <c r="C1274" s="6" t="s">
        <v>2485</v>
      </c>
      <c r="D1274" s="6" t="s">
        <v>89</v>
      </c>
      <c r="E1274" s="14">
        <v>45982.592361111114</v>
      </c>
      <c r="F1274" s="8">
        <f>IF(HOUR(Table1[[#This Row],[CORREO]])&gt;=11,WORKDAY(Table1[[#This Row],[CORREO]],1,Table2[Dias no laborales]),E1274)</f>
        <v>45985</v>
      </c>
      <c r="G1274" s="13">
        <v>45985</v>
      </c>
      <c r="H1274" s="6">
        <f t="shared" si="39"/>
        <v>47</v>
      </c>
      <c r="I1274" s="16">
        <f>MAX(1, NETWORKDAYS(A1274, G1274,Table2[Dias no laborales]))</f>
        <v>1</v>
      </c>
      <c r="J1274" s="6" t="str">
        <f>IF(Table1[[#This Row],[FIN]]="","Acumulado",IF(ISNUMBER(SEARCH("ASAP",C1274)),"ASAP",IF(NETWORKDAYS.INTL(F1274,G1274,1,Table2[Dias no laborales]) &lt;= 7, "Dentro", IF(A1274&gt;F1274,"Programado","Fuera"))))</f>
        <v>Dentro</v>
      </c>
      <c r="K1274" s="6" t="str">
        <f t="shared" si="40"/>
        <v>A tiempo</v>
      </c>
      <c r="L1274" s="9">
        <v>45985</v>
      </c>
      <c r="M1274" s="17">
        <f>MAX(1,NETWORKDAYS(A1274,L1274,Table2[Dias no laborales]))</f>
        <v>1</v>
      </c>
    </row>
    <row r="1275" spans="1:13" hidden="1" x14ac:dyDescent="0.3">
      <c r="A1275" s="8">
        <v>45985</v>
      </c>
      <c r="B1275" s="6" t="s">
        <v>2527</v>
      </c>
      <c r="C1275" s="6" t="s">
        <v>2528</v>
      </c>
      <c r="D1275" s="6" t="s">
        <v>37</v>
      </c>
      <c r="E1275" s="14">
        <v>45982.625</v>
      </c>
      <c r="F1275" s="8">
        <f>IF(HOUR(Table1[[#This Row],[CORREO]])&gt;=11,WORKDAY(Table1[[#This Row],[CORREO]],1,Table2[Dias no laborales]),E1275)</f>
        <v>45985</v>
      </c>
      <c r="G1275" s="13">
        <v>45987</v>
      </c>
      <c r="H1275" s="6">
        <f t="shared" si="39"/>
        <v>47</v>
      </c>
      <c r="I1275" s="16">
        <f>MAX(1, NETWORKDAYS(A1275, G1275,Table2[Dias no laborales]))</f>
        <v>3</v>
      </c>
      <c r="J1275" s="6" t="str">
        <f>IF(Table1[[#This Row],[FIN]]="","Acumulado",IF(ISNUMBER(SEARCH("ASAP",C1275)),"ASAP",IF(NETWORKDAYS.INTL(F1275,G1275,1,Table2[Dias no laborales]) &lt;= 7, "Dentro", IF(A1275&gt;F1275,"Programado","Fuera"))))</f>
        <v>Dentro</v>
      </c>
      <c r="K1275" s="6" t="str">
        <f t="shared" si="40"/>
        <v>A tiempo</v>
      </c>
      <c r="L1275" s="9">
        <v>45985</v>
      </c>
      <c r="M1275" s="17">
        <f>MAX(1,NETWORKDAYS(A1275,L1275,Table2[Dias no laborales]))</f>
        <v>1</v>
      </c>
    </row>
    <row r="1276" spans="1:13" hidden="1" x14ac:dyDescent="0.3">
      <c r="A1276" s="8">
        <v>45985</v>
      </c>
      <c r="B1276" s="6" t="s">
        <v>2508</v>
      </c>
      <c r="C1276" s="6" t="s">
        <v>2509</v>
      </c>
      <c r="D1276" s="6" t="s">
        <v>154</v>
      </c>
      <c r="E1276" s="14">
        <v>45982.635416666664</v>
      </c>
      <c r="F1276" s="8">
        <f>IF(HOUR(Table1[[#This Row],[CORREO]])&gt;=11,WORKDAY(Table1[[#This Row],[CORREO]],1,Table2[Dias no laborales]),E1276)</f>
        <v>45985</v>
      </c>
      <c r="G1276" s="13">
        <v>45986</v>
      </c>
      <c r="H1276" s="6">
        <f t="shared" si="39"/>
        <v>47</v>
      </c>
      <c r="I1276" s="16">
        <f>MAX(1, NETWORKDAYS(A1276, G1276,Table2[Dias no laborales]))</f>
        <v>2</v>
      </c>
      <c r="J1276" s="6" t="str">
        <f>IF(Table1[[#This Row],[FIN]]="","Acumulado",IF(ISNUMBER(SEARCH("ASAP",C1276)),"ASAP",IF(NETWORKDAYS.INTL(F1276,G1276,1,Table2[Dias no laborales]) &lt;= 7, "Dentro", IF(A1276&gt;F1276,"Programado","Fuera"))))</f>
        <v>Dentro</v>
      </c>
      <c r="K1276" s="6" t="str">
        <f t="shared" si="40"/>
        <v>A tiempo</v>
      </c>
      <c r="L1276" s="9">
        <v>45985</v>
      </c>
      <c r="M1276" s="17">
        <f>MAX(1,NETWORKDAYS(A1276,L1276,Table2[Dias no laborales]))</f>
        <v>1</v>
      </c>
    </row>
    <row r="1277" spans="1:13" hidden="1" x14ac:dyDescent="0.3">
      <c r="A1277" s="8">
        <v>45985</v>
      </c>
      <c r="B1277" s="6" t="s">
        <v>2501</v>
      </c>
      <c r="C1277" s="6" t="s">
        <v>2368</v>
      </c>
      <c r="D1277" s="6" t="s">
        <v>504</v>
      </c>
      <c r="E1277" s="14">
        <v>45982.676388888889</v>
      </c>
      <c r="F1277" s="8">
        <f>IF(HOUR(Table1[[#This Row],[CORREO]])&gt;=11,WORKDAY(Table1[[#This Row],[CORREO]],1,Table2[Dias no laborales]),E1277)</f>
        <v>45985</v>
      </c>
      <c r="G1277" s="13">
        <v>45985</v>
      </c>
      <c r="H1277" s="6">
        <f t="shared" si="39"/>
        <v>47</v>
      </c>
      <c r="I1277" s="16">
        <f>MAX(1, NETWORKDAYS(A1277, G1277,Table2[Dias no laborales]))</f>
        <v>1</v>
      </c>
      <c r="J1277" s="6" t="str">
        <f>IF(Table1[[#This Row],[FIN]]="","Acumulado",IF(ISNUMBER(SEARCH("ASAP",C1277)),"ASAP",IF(NETWORKDAYS.INTL(F1277,G1277,1,Table2[Dias no laborales]) &lt;= 7, "Dentro", IF(A1277&gt;F1277,"Programado","Fuera"))))</f>
        <v>Dentro</v>
      </c>
      <c r="K1277" s="6" t="str">
        <f t="shared" si="40"/>
        <v>A tiempo</v>
      </c>
      <c r="L1277" s="9">
        <v>45985</v>
      </c>
      <c r="M1277" s="17">
        <f>MAX(1,NETWORKDAYS(A1277,L1277,Table2[Dias no laborales]))</f>
        <v>1</v>
      </c>
    </row>
    <row r="1278" spans="1:13" hidden="1" x14ac:dyDescent="0.3">
      <c r="A1278" s="8">
        <v>45985</v>
      </c>
      <c r="B1278" s="6" t="s">
        <v>2502</v>
      </c>
      <c r="C1278" s="6" t="s">
        <v>2503</v>
      </c>
      <c r="D1278" s="6" t="s">
        <v>154</v>
      </c>
      <c r="E1278" s="14">
        <v>45985.435416666667</v>
      </c>
      <c r="F1278" s="8">
        <f>IF(HOUR(Table1[[#This Row],[CORREO]])&gt;=11,WORKDAY(Table1[[#This Row],[CORREO]],1,Table2[Dias no laborales]),E1278)</f>
        <v>45985.435416666667</v>
      </c>
      <c r="G1278" s="13">
        <v>45985</v>
      </c>
      <c r="H1278" s="6">
        <f t="shared" si="39"/>
        <v>47</v>
      </c>
      <c r="I1278" s="16">
        <f>MAX(1, NETWORKDAYS(A1278, G1278,Table2[Dias no laborales]))</f>
        <v>1</v>
      </c>
      <c r="J1278" s="6" t="str">
        <f>IF(Table1[[#This Row],[FIN]]="","Acumulado",IF(ISNUMBER(SEARCH("ASAP",C1278)),"ASAP",IF(NETWORKDAYS.INTL(F1278,G1278,1,Table2[Dias no laborales]) &lt;= 7, "Dentro", IF(A1278&gt;F1278,"Programado","Fuera"))))</f>
        <v>Dentro</v>
      </c>
      <c r="K1278" s="6" t="str">
        <f t="shared" si="40"/>
        <v>A tiempo</v>
      </c>
      <c r="L1278" s="9">
        <v>45985</v>
      </c>
      <c r="M1278" s="17">
        <f>MAX(1,NETWORKDAYS(A1278,L1278,Table2[Dias no laborales]))</f>
        <v>1</v>
      </c>
    </row>
    <row r="1279" spans="1:13" hidden="1" x14ac:dyDescent="0.3">
      <c r="A1279" s="8">
        <v>45986</v>
      </c>
      <c r="B1279" s="6" t="s">
        <v>2538</v>
      </c>
      <c r="C1279" s="6" t="s">
        <v>2539</v>
      </c>
      <c r="D1279" s="6" t="s">
        <v>27</v>
      </c>
      <c r="E1279" s="14">
        <v>45985.493055555555</v>
      </c>
      <c r="F1279" s="8">
        <f>IF(HOUR(Table1[[#This Row],[CORREO]])&gt;=11,WORKDAY(Table1[[#This Row],[CORREO]],1,Table2[Dias no laborales]),E1279)</f>
        <v>45986</v>
      </c>
      <c r="G1279" s="13">
        <v>45988</v>
      </c>
      <c r="H1279" s="6">
        <f t="shared" si="39"/>
        <v>47</v>
      </c>
      <c r="I1279" s="16">
        <f>MAX(1, NETWORKDAYS(A1279, G1279,Table2[Dias no laborales]))</f>
        <v>3</v>
      </c>
      <c r="J1279" s="6" t="str">
        <f>IF(Table1[[#This Row],[FIN]]="","Acumulado",IF(ISNUMBER(SEARCH("ASAP",C1279)),"ASAP",IF(NETWORKDAYS.INTL(F1279,G1279,1,Table2[Dias no laborales]) &lt;= 7, "Dentro", IF(A1279&gt;F1279,"Programado","Fuera"))))</f>
        <v>Dentro</v>
      </c>
      <c r="K1279" s="6" t="str">
        <f t="shared" si="40"/>
        <v>A tiempo</v>
      </c>
      <c r="L1279" s="9">
        <v>45986</v>
      </c>
      <c r="M1279" s="17">
        <f>MAX(1,NETWORKDAYS(A1279,L1279,Table2[Dias no laborales]))</f>
        <v>1</v>
      </c>
    </row>
    <row r="1280" spans="1:13" hidden="1" x14ac:dyDescent="0.3">
      <c r="A1280" s="8">
        <v>45986</v>
      </c>
      <c r="B1280" s="6" t="s">
        <v>2601</v>
      </c>
      <c r="C1280" s="6" t="s">
        <v>2602</v>
      </c>
      <c r="D1280" s="6" t="s">
        <v>1360</v>
      </c>
      <c r="E1280" s="14">
        <v>45985.584722222222</v>
      </c>
      <c r="F1280" s="8">
        <f>IF(HOUR(Table1[[#This Row],[CORREO]])&gt;=11,WORKDAY(Table1[[#This Row],[CORREO]],1,Table2[Dias no laborales]),E1280)</f>
        <v>45986</v>
      </c>
      <c r="G1280" s="13">
        <v>45993</v>
      </c>
      <c r="H1280" s="6">
        <f t="shared" si="39"/>
        <v>47</v>
      </c>
      <c r="I1280" s="16">
        <f>MAX(1, NETWORKDAYS(A1280, G1280,Table2[Dias no laborales]))</f>
        <v>6</v>
      </c>
      <c r="J1280" s="6" t="str">
        <f>IF(Table1[[#This Row],[FIN]]="","Acumulado",IF(ISNUMBER(SEARCH("ASAP",C1280)),"ASAP",IF(NETWORKDAYS.INTL(F1280,G1280,1,Table2[Dias no laborales]) &lt;= 7, "Dentro", IF(A1280&gt;F1280,"Programado","Fuera"))))</f>
        <v>Dentro</v>
      </c>
      <c r="K1280" s="6" t="str">
        <f t="shared" si="40"/>
        <v>A tiempo</v>
      </c>
      <c r="L1280" s="8">
        <v>45986</v>
      </c>
      <c r="M1280" s="17">
        <f>MAX(1,NETWORKDAYS(A1280,L1280,Table2[Dias no laborales]))</f>
        <v>1</v>
      </c>
    </row>
    <row r="1281" spans="1:13" hidden="1" x14ac:dyDescent="0.3">
      <c r="A1281" s="8">
        <v>45986</v>
      </c>
      <c r="B1281" s="6" t="s">
        <v>2591</v>
      </c>
      <c r="C1281" s="6" t="s">
        <v>2592</v>
      </c>
      <c r="D1281" s="6" t="s">
        <v>504</v>
      </c>
      <c r="E1281" s="14">
        <v>45985.713194444441</v>
      </c>
      <c r="F1281" s="8">
        <f>IF(HOUR(Table1[[#This Row],[CORREO]])&gt;=11,WORKDAY(Table1[[#This Row],[CORREO]],1,Table2[Dias no laborales]),E1281)</f>
        <v>45986</v>
      </c>
      <c r="G1281" s="13">
        <v>45992</v>
      </c>
      <c r="H1281" s="6">
        <f t="shared" si="39"/>
        <v>47</v>
      </c>
      <c r="I1281" s="16">
        <f>MAX(1, NETWORKDAYS(A1281, G1281,Table2[Dias no laborales]))</f>
        <v>5</v>
      </c>
      <c r="J1281" s="6" t="str">
        <f>IF(Table1[[#This Row],[FIN]]="","Acumulado",IF(ISNUMBER(SEARCH("ASAP",C1281)),"ASAP",IF(NETWORKDAYS.INTL(F1281,G1281,1,Table2[Dias no laborales]) &lt;= 7, "Dentro", IF(A1281&gt;F1281,"Programado","Fuera"))))</f>
        <v>Dentro</v>
      </c>
      <c r="K1281" s="6" t="str">
        <f t="shared" si="40"/>
        <v>A tiempo</v>
      </c>
      <c r="L1281" s="8">
        <v>45986</v>
      </c>
      <c r="M1281" s="17">
        <f>MAX(1,NETWORKDAYS(A1281,L1281,Table2[Dias no laborales]))</f>
        <v>1</v>
      </c>
    </row>
    <row r="1282" spans="1:13" hidden="1" x14ac:dyDescent="0.3">
      <c r="A1282" s="8">
        <v>45986</v>
      </c>
      <c r="B1282" s="6" t="s">
        <v>2540</v>
      </c>
      <c r="C1282" s="6" t="s">
        <v>2541</v>
      </c>
      <c r="D1282" s="6" t="s">
        <v>18</v>
      </c>
      <c r="E1282" s="14">
        <v>45986.388194444444</v>
      </c>
      <c r="F1282" s="8">
        <f>IF(HOUR(Table1[[#This Row],[CORREO]])&gt;=11,WORKDAY(Table1[[#This Row],[CORREO]],1,Table2[Dias no laborales]),E1282)</f>
        <v>45986.388194444444</v>
      </c>
      <c r="G1282" s="13">
        <v>45988</v>
      </c>
      <c r="H1282" s="6">
        <f t="shared" ref="H1282:H1293" si="41">INT((A1282-DATE(YEAR(A1282),1,1))/7) + 1</f>
        <v>47</v>
      </c>
      <c r="I1282" s="16">
        <f>MAX(1, NETWORKDAYS(A1282, G1282,Table2[Dias no laborales]))</f>
        <v>3</v>
      </c>
      <c r="J1282" s="6" t="str">
        <f>IF(Table1[[#This Row],[FIN]]="","Acumulado",IF(ISNUMBER(SEARCH("ASAP",C1282)),"ASAP",IF(NETWORKDAYS.INTL(F1282,G1282,1,Table2[Dias no laborales]) &lt;= 7, "Dentro", IF(A1282&gt;F1282,"Programado","Fuera"))))</f>
        <v>Dentro</v>
      </c>
      <c r="K1282" s="6" t="str">
        <f t="shared" ref="K1282:K1293" si="42">IF(INT(A1282)=INT(F1282),"A tiempo", IF(A1282&lt;F1282,"Mismo día","Programados"))</f>
        <v>A tiempo</v>
      </c>
      <c r="L1282" s="9">
        <v>45986</v>
      </c>
      <c r="M1282" s="17">
        <f>MAX(1,NETWORKDAYS(A1282,L1282,Table2[Dias no laborales]))</f>
        <v>1</v>
      </c>
    </row>
    <row r="1283" spans="1:13" hidden="1" x14ac:dyDescent="0.3">
      <c r="A1283" s="8">
        <v>45986</v>
      </c>
      <c r="B1283" s="6" t="s">
        <v>2529</v>
      </c>
      <c r="C1283" s="6" t="s">
        <v>2530</v>
      </c>
      <c r="D1283" s="6" t="s">
        <v>2531</v>
      </c>
      <c r="E1283" s="14">
        <v>45986.443749999999</v>
      </c>
      <c r="F1283" s="8">
        <f>IF(HOUR(Table1[[#This Row],[CORREO]])&gt;=11,WORKDAY(Table1[[#This Row],[CORREO]],1,Table2[Dias no laborales]),E1283)</f>
        <v>45986.443749999999</v>
      </c>
      <c r="G1283" s="13">
        <v>45987</v>
      </c>
      <c r="H1283" s="6">
        <f t="shared" si="41"/>
        <v>47</v>
      </c>
      <c r="I1283" s="16">
        <f>MAX(1, NETWORKDAYS(A1283, G1283,Table2[Dias no laborales]))</f>
        <v>2</v>
      </c>
      <c r="J1283" s="6" t="str">
        <f>IF(Table1[[#This Row],[FIN]]="","Acumulado",IF(ISNUMBER(SEARCH("ASAP",C1283)),"ASAP",IF(NETWORKDAYS.INTL(F1283,G1283,1,Table2[Dias no laborales]) &lt;= 7, "Dentro", IF(A1283&gt;F1283,"Programado","Fuera"))))</f>
        <v>Dentro</v>
      </c>
      <c r="K1283" s="6" t="str">
        <f t="shared" si="42"/>
        <v>A tiempo</v>
      </c>
      <c r="L1283" s="9">
        <v>45986</v>
      </c>
      <c r="M1283" s="17">
        <f>MAX(1,NETWORKDAYS(A1283,L1283,Table2[Dias no laborales]))</f>
        <v>1</v>
      </c>
    </row>
    <row r="1284" spans="1:13" hidden="1" x14ac:dyDescent="0.3">
      <c r="A1284" s="8">
        <v>45986</v>
      </c>
      <c r="B1284" s="6" t="s">
        <v>2572</v>
      </c>
      <c r="C1284" s="6" t="s">
        <v>2573</v>
      </c>
      <c r="D1284" s="6" t="s">
        <v>24</v>
      </c>
      <c r="E1284" s="14"/>
      <c r="F1284" s="8">
        <f>IF(HOUR(Table1[[#This Row],[CORREO]])&gt;=11,WORKDAY(Table1[[#This Row],[CORREO]],1,Table2[Dias no laborales]),E1284)</f>
        <v>0</v>
      </c>
      <c r="G1284" s="13">
        <v>46002</v>
      </c>
      <c r="H1284" s="6">
        <f t="shared" si="41"/>
        <v>47</v>
      </c>
      <c r="I1284" s="16">
        <f>MAX(1, NETWORKDAYS(A1284, G1284,Table2[Dias no laborales]))</f>
        <v>13</v>
      </c>
      <c r="J1284" s="6" t="str">
        <f>IF(Table1[[#This Row],[FIN]]="","Acumulado",IF(ISNUMBER(SEARCH("ASAP",C1284)),"ASAP",IF(NETWORKDAYS.INTL(F1284,G1284,1,Table2[Dias no laborales]) &lt;= 7, "Dentro", IF(A1284&gt;F1284,"Programado","Fuera"))))</f>
        <v>ASAP</v>
      </c>
      <c r="K1284" s="6" t="str">
        <f t="shared" si="42"/>
        <v>Programados</v>
      </c>
      <c r="L1284" s="9">
        <v>45987</v>
      </c>
      <c r="M1284" s="17">
        <f>MAX(1,NETWORKDAYS(A1284,L1284,Table2[Dias no laborales]))</f>
        <v>2</v>
      </c>
    </row>
    <row r="1285" spans="1:13" hidden="1" x14ac:dyDescent="0.3">
      <c r="A1285" s="8">
        <v>45987</v>
      </c>
      <c r="B1285" s="6" t="s">
        <v>2548</v>
      </c>
      <c r="C1285" s="6" t="s">
        <v>2549</v>
      </c>
      <c r="D1285" s="6" t="s">
        <v>1906</v>
      </c>
      <c r="E1285" s="14">
        <v>45986.499305555553</v>
      </c>
      <c r="F1285" s="8">
        <f>IF(HOUR(Table1[[#This Row],[CORREO]])&gt;=11,WORKDAY(Table1[[#This Row],[CORREO]],1,Table2[Dias no laborales]),E1285)</f>
        <v>45987</v>
      </c>
      <c r="G1285" s="13">
        <v>45989</v>
      </c>
      <c r="H1285" s="6">
        <f t="shared" si="41"/>
        <v>48</v>
      </c>
      <c r="I1285" s="16">
        <f>MAX(1, NETWORKDAYS(A1285, G1285,Table2[Dias no laborales]))</f>
        <v>3</v>
      </c>
      <c r="J1285" s="6" t="str">
        <f>IF(Table1[[#This Row],[FIN]]="","Acumulado",IF(ISNUMBER(SEARCH("ASAP",C1285)),"ASAP",IF(NETWORKDAYS.INTL(F1285,G1285,1,Table2[Dias no laborales]) &lt;= 7, "Dentro", IF(A1285&gt;F1285,"Programado","Fuera"))))</f>
        <v>Dentro</v>
      </c>
      <c r="K1285" s="6" t="str">
        <f t="shared" si="42"/>
        <v>A tiempo</v>
      </c>
      <c r="L1285" s="9">
        <v>45987</v>
      </c>
      <c r="M1285" s="17">
        <f>MAX(1,NETWORKDAYS(A1285,L1285,Table2[Dias no laborales]))</f>
        <v>1</v>
      </c>
    </row>
    <row r="1286" spans="1:13" hidden="1" x14ac:dyDescent="0.3">
      <c r="A1286" s="8">
        <v>45987</v>
      </c>
      <c r="B1286" s="6" t="s">
        <v>2532</v>
      </c>
      <c r="C1286" s="6" t="s">
        <v>2533</v>
      </c>
      <c r="D1286" s="6" t="s">
        <v>53</v>
      </c>
      <c r="E1286" s="14">
        <v>45986.631249999999</v>
      </c>
      <c r="F1286" s="8">
        <f>IF(HOUR(Table1[[#This Row],[CORREO]])&gt;=11,WORKDAY(Table1[[#This Row],[CORREO]],1,Table2[Dias no laborales]),E1286)</f>
        <v>45987</v>
      </c>
      <c r="G1286" s="12">
        <v>45987</v>
      </c>
      <c r="H1286" s="6">
        <f t="shared" si="41"/>
        <v>48</v>
      </c>
      <c r="I1286" s="16">
        <f>MAX(1, NETWORKDAYS(A1286, G1286,Table2[Dias no laborales]))</f>
        <v>1</v>
      </c>
      <c r="J1286" s="6" t="str">
        <f>IF(Table1[[#This Row],[FIN]]="","Acumulado",IF(ISNUMBER(SEARCH("ASAP",C1286)),"ASAP",IF(NETWORKDAYS.INTL(F1286,G1286,1,Table2[Dias no laborales]) &lt;= 7, "Dentro", IF(A1286&gt;F1286,"Programado","Fuera"))))</f>
        <v>Dentro</v>
      </c>
      <c r="K1286" s="6" t="str">
        <f t="shared" si="42"/>
        <v>A tiempo</v>
      </c>
      <c r="L1286" s="9">
        <v>45987</v>
      </c>
      <c r="M1286" s="17">
        <f>MAX(1,NETWORKDAYS(A1286,L1286,Table2[Dias no laborales]))</f>
        <v>1</v>
      </c>
    </row>
    <row r="1287" spans="1:13" hidden="1" x14ac:dyDescent="0.3">
      <c r="A1287" s="8">
        <v>45987</v>
      </c>
      <c r="B1287" s="6" t="s">
        <v>2534</v>
      </c>
      <c r="C1287" s="6" t="s">
        <v>2535</v>
      </c>
      <c r="D1287" s="6" t="s">
        <v>53</v>
      </c>
      <c r="E1287" s="14">
        <v>45986.648611111108</v>
      </c>
      <c r="F1287" s="8">
        <f>IF(HOUR(Table1[[#This Row],[CORREO]])&gt;=11,WORKDAY(Table1[[#This Row],[CORREO]],1,Table2[Dias no laborales]),E1287)</f>
        <v>45987</v>
      </c>
      <c r="G1287" s="12">
        <v>45987</v>
      </c>
      <c r="H1287" s="6">
        <f t="shared" si="41"/>
        <v>48</v>
      </c>
      <c r="I1287" s="16">
        <f>MAX(1, NETWORKDAYS(A1287, G1287,Table2[Dias no laborales]))</f>
        <v>1</v>
      </c>
      <c r="J1287" s="6" t="str">
        <f>IF(Table1[[#This Row],[FIN]]="","Acumulado",IF(ISNUMBER(SEARCH("ASAP",C1287)),"ASAP",IF(NETWORKDAYS.INTL(F1287,G1287,1,Table2[Dias no laborales]) &lt;= 7, "Dentro", IF(A1287&gt;F1287,"Programado","Fuera"))))</f>
        <v>Dentro</v>
      </c>
      <c r="K1287" s="6" t="str">
        <f t="shared" si="42"/>
        <v>A tiempo</v>
      </c>
      <c r="L1287" s="9">
        <v>45987</v>
      </c>
      <c r="M1287" s="17">
        <f>MAX(1,NETWORKDAYS(A1287,L1287,Table2[Dias no laborales]))</f>
        <v>1</v>
      </c>
    </row>
    <row r="1288" spans="1:13" hidden="1" x14ac:dyDescent="0.3">
      <c r="A1288" s="8">
        <v>45987</v>
      </c>
      <c r="B1288" s="6" t="s">
        <v>2574</v>
      </c>
      <c r="C1288" s="6" t="s">
        <v>2575</v>
      </c>
      <c r="D1288" s="6" t="s">
        <v>139</v>
      </c>
      <c r="E1288" s="14"/>
      <c r="F1288" s="8">
        <f>IF(HOUR(Table1[[#This Row],[CORREO]])&gt;=11,WORKDAY(Table1[[#This Row],[CORREO]],1,Table2[Dias no laborales]),E1288)</f>
        <v>0</v>
      </c>
      <c r="G1288" s="12">
        <v>46035</v>
      </c>
      <c r="H1288" s="6">
        <f t="shared" si="41"/>
        <v>48</v>
      </c>
      <c r="I1288" s="16">
        <f>MAX(1, NETWORKDAYS(A1288, G1288,Table2[Dias no laborales]))</f>
        <v>31</v>
      </c>
      <c r="J1288" s="6" t="str">
        <f>IF(Table1[[#This Row],[FIN]]="","Acumulado",IF(ISNUMBER(SEARCH("ASAP",C1288)),"ASAP",IF(NETWORKDAYS.INTL(F1288,G1288,1,Table2[Dias no laborales]) &lt;= 7, "Dentro", IF(A1288&gt;F1288,"Programado","Fuera"))))</f>
        <v>Programado</v>
      </c>
      <c r="K1288" s="6" t="str">
        <f t="shared" si="42"/>
        <v>Programados</v>
      </c>
      <c r="L1288" s="9">
        <v>45987</v>
      </c>
      <c r="M1288" s="17">
        <f>MAX(1,NETWORKDAYS(A1288,L1288,Table2[Dias no laborales]))</f>
        <v>1</v>
      </c>
    </row>
    <row r="1289" spans="1:13" hidden="1" x14ac:dyDescent="0.3">
      <c r="A1289" s="8">
        <v>45988</v>
      </c>
      <c r="B1289" s="6" t="s">
        <v>2550</v>
      </c>
      <c r="C1289" s="6" t="s">
        <v>2551</v>
      </c>
      <c r="D1289" s="6" t="s">
        <v>24</v>
      </c>
      <c r="E1289" s="14">
        <v>45987.719444444447</v>
      </c>
      <c r="F1289" s="8">
        <f>IF(HOUR(Table1[[#This Row],[CORREO]])&gt;=11,WORKDAY(Table1[[#This Row],[CORREO]],1,Table2[Dias no laborales]),E1289)</f>
        <v>45988</v>
      </c>
      <c r="G1289" s="8">
        <v>45989</v>
      </c>
      <c r="H1289" s="6">
        <f t="shared" si="41"/>
        <v>48</v>
      </c>
      <c r="I1289" s="16">
        <f>MAX(1, NETWORKDAYS(A1289, G1289,Table2[Dias no laborales]))</f>
        <v>2</v>
      </c>
      <c r="J1289" s="6" t="str">
        <f>IF(Table1[[#This Row],[FIN]]="","Acumulado",IF(ISNUMBER(SEARCH("ASAP",C1289)),"ASAP",IF(NETWORKDAYS.INTL(F1289,G1289,1,Table2[Dias no laborales]) &lt;= 7, "Dentro", IF(A1289&gt;F1289,"Programado","Fuera"))))</f>
        <v>Dentro</v>
      </c>
      <c r="K1289" s="6" t="str">
        <f t="shared" si="42"/>
        <v>A tiempo</v>
      </c>
      <c r="L1289" s="9">
        <v>45988</v>
      </c>
      <c r="M1289" s="17">
        <f>MAX(1,NETWORKDAYS(A1289,L1289,Table2[Dias no laborales]))</f>
        <v>1</v>
      </c>
    </row>
    <row r="1290" spans="1:13" hidden="1" x14ac:dyDescent="0.3">
      <c r="A1290" s="8">
        <v>45988</v>
      </c>
      <c r="B1290" s="6" t="s">
        <v>2617</v>
      </c>
      <c r="C1290" s="6" t="s">
        <v>2618</v>
      </c>
      <c r="D1290" s="6" t="s">
        <v>538</v>
      </c>
      <c r="E1290" s="14"/>
      <c r="F1290" s="8">
        <f>IF(HOUR(Table1[[#This Row],[CORREO]])&gt;=11,WORKDAY(Table1[[#This Row],[CORREO]],1,Table2[Dias no laborales]),E1290)</f>
        <v>0</v>
      </c>
      <c r="G1290" s="8">
        <v>45994</v>
      </c>
      <c r="H1290" s="6">
        <f t="shared" si="41"/>
        <v>48</v>
      </c>
      <c r="I1290" s="16">
        <f>MAX(1, NETWORKDAYS(A1290, G1290,Table2[Dias no laborales]))</f>
        <v>5</v>
      </c>
      <c r="J1290" s="6" t="str">
        <f>IF(Table1[[#This Row],[FIN]]="","Acumulado",IF(ISNUMBER(SEARCH("ASAP",C1290)),"ASAP",IF(NETWORKDAYS.INTL(F1290,G1290,1,Table2[Dias no laborales]) &lt;= 7, "Dentro", IF(A1290&gt;F1290,"Programado","Fuera"))))</f>
        <v>Programado</v>
      </c>
      <c r="K1290" s="6" t="str">
        <f t="shared" si="42"/>
        <v>Programados</v>
      </c>
      <c r="L1290" s="8">
        <v>45988</v>
      </c>
      <c r="M1290" s="17">
        <f>MAX(1,NETWORKDAYS(A1290,L1290,Table2[Dias no laborales]))</f>
        <v>1</v>
      </c>
    </row>
    <row r="1291" spans="1:13" hidden="1" x14ac:dyDescent="0.3">
      <c r="A1291" s="8">
        <v>45988</v>
      </c>
      <c r="B1291" s="6" t="s">
        <v>2576</v>
      </c>
      <c r="C1291" s="6" t="s">
        <v>2577</v>
      </c>
      <c r="D1291" s="6" t="s">
        <v>151</v>
      </c>
      <c r="E1291" s="14">
        <v>45988.337500000001</v>
      </c>
      <c r="F1291" s="8">
        <f>IF(HOUR(Table1[[#This Row],[CORREO]])&gt;=11,WORKDAY(Table1[[#This Row],[CORREO]],1,Table2[Dias no laborales]),E1291)</f>
        <v>45988.337500000001</v>
      </c>
      <c r="G1291" s="8">
        <v>46009</v>
      </c>
      <c r="H1291" s="6">
        <f t="shared" si="41"/>
        <v>48</v>
      </c>
      <c r="I1291" s="16">
        <f>MAX(1, NETWORKDAYS(A1291, G1291,Table2[Dias no laborales]))</f>
        <v>16</v>
      </c>
      <c r="J1291" s="6" t="str">
        <f>IF(Table1[[#This Row],[FIN]]="","Acumulado",IF(ISNUMBER(SEARCH("ASAP",C1291)),"ASAP",IF(NETWORKDAYS.INTL(F1291,G1291,1,Table2[Dias no laborales]) &lt;= 7, "Dentro", IF(A1291&gt;F1291,"Programado","Fuera"))))</f>
        <v>Fuera</v>
      </c>
      <c r="K1291" s="6" t="str">
        <f t="shared" si="42"/>
        <v>A tiempo</v>
      </c>
      <c r="L1291" s="9">
        <v>45988</v>
      </c>
      <c r="M1291" s="17">
        <f>MAX(1,NETWORKDAYS(A1291,L1291,Table2[Dias no laborales]))</f>
        <v>1</v>
      </c>
    </row>
    <row r="1292" spans="1:13" hidden="1" x14ac:dyDescent="0.3">
      <c r="A1292" s="8">
        <v>45988</v>
      </c>
      <c r="B1292" s="6" t="s">
        <v>2584</v>
      </c>
      <c r="C1292" s="6" t="s">
        <v>2585</v>
      </c>
      <c r="D1292" s="6" t="s">
        <v>2586</v>
      </c>
      <c r="E1292" s="14">
        <v>45988.406944444447</v>
      </c>
      <c r="F1292" s="8">
        <f>IF(HOUR(Table1[[#This Row],[CORREO]])&gt;=11,WORKDAY(Table1[[#This Row],[CORREO]],1,Table2[Dias no laborales]),E1292)</f>
        <v>45988.406944444447</v>
      </c>
      <c r="G1292" s="8">
        <v>45992</v>
      </c>
      <c r="H1292" s="6">
        <f t="shared" si="41"/>
        <v>48</v>
      </c>
      <c r="I1292" s="16">
        <f>MAX(1, NETWORKDAYS(A1292, G1292,Table2[Dias no laborales]))</f>
        <v>3</v>
      </c>
      <c r="J1292" s="6" t="str">
        <f>IF(Table1[[#This Row],[FIN]]="","Acumulado",IF(ISNUMBER(SEARCH("ASAP",C1292)),"ASAP",IF(NETWORKDAYS.INTL(F1292,G1292,1,Table2[Dias no laborales]) &lt;= 7, "Dentro", IF(A1292&gt;F1292,"Programado","Fuera"))))</f>
        <v>Dentro</v>
      </c>
      <c r="K1292" s="6" t="str">
        <f t="shared" si="42"/>
        <v>A tiempo</v>
      </c>
      <c r="L1292" s="8">
        <v>45988</v>
      </c>
      <c r="M1292" s="17">
        <f>MAX(1,NETWORKDAYS(A1292,L1292,Table2[Dias no laborales]))</f>
        <v>1</v>
      </c>
    </row>
    <row r="1293" spans="1:13" hidden="1" x14ac:dyDescent="0.3">
      <c r="A1293" s="8">
        <v>45988</v>
      </c>
      <c r="B1293" s="6" t="s">
        <v>2578</v>
      </c>
      <c r="C1293" s="6" t="s">
        <v>2579</v>
      </c>
      <c r="D1293" s="6" t="s">
        <v>517</v>
      </c>
      <c r="E1293" s="14"/>
      <c r="F1293" s="8">
        <f>IF(HOUR(Table1[[#This Row],[CORREO]])&gt;=11,WORKDAY(Table1[[#This Row],[CORREO]],1,Table2[Dias no laborales]),E1293)</f>
        <v>0</v>
      </c>
      <c r="G1293" s="8">
        <v>46073</v>
      </c>
      <c r="H1293" s="6">
        <f t="shared" si="41"/>
        <v>48</v>
      </c>
      <c r="I1293" s="16">
        <f>MAX(1, NETWORKDAYS(A1293, G1293,Table2[Dias no laborales]))</f>
        <v>57</v>
      </c>
      <c r="J1293" s="6" t="str">
        <f>IF(Table1[[#This Row],[FIN]]="","Acumulado",IF(ISNUMBER(SEARCH("ASAP",C1293)),"ASAP",IF(NETWORKDAYS.INTL(F1293,G1293,1,Table2[Dias no laborales]) &lt;= 7, "Dentro", IF(A1293&gt;F1293,"Programado","Fuera"))))</f>
        <v>Programado</v>
      </c>
      <c r="K1293" s="6" t="str">
        <f t="shared" si="42"/>
        <v>Programados</v>
      </c>
      <c r="L1293" s="9">
        <v>45989</v>
      </c>
      <c r="M1293" s="17">
        <f>MAX(1,NETWORKDAYS(A1293,L1293,Table2[Dias no laborales]))</f>
        <v>2</v>
      </c>
    </row>
    <row r="1294" spans="1:13" hidden="1" x14ac:dyDescent="0.3">
      <c r="A1294" s="8">
        <v>45989</v>
      </c>
      <c r="B1294" s="6" t="s">
        <v>2611</v>
      </c>
      <c r="C1294" s="6" t="s">
        <v>2612</v>
      </c>
      <c r="D1294" s="6" t="s">
        <v>24</v>
      </c>
      <c r="E1294" s="14"/>
      <c r="F1294" s="8">
        <f>IF(HOUR(Table1[[#This Row],[CORREO]])&gt;=11,WORKDAY(Table1[[#This Row],[CORREO]],1,Table2[Dias no laborales]),E1294)</f>
        <v>0</v>
      </c>
      <c r="G1294" s="8">
        <v>45994</v>
      </c>
      <c r="H1294" s="6">
        <f t="shared" ref="H1294:H1357" si="43">INT((A1294-DATE(YEAR(A1294),1,1))/7) + 1</f>
        <v>48</v>
      </c>
      <c r="I1294" s="16">
        <f>MAX(1, NETWORKDAYS(A1294, G1294,Table2[Dias no laborales]))</f>
        <v>4</v>
      </c>
      <c r="J1294" s="6" t="str">
        <f>IF(Table1[[#This Row],[FIN]]="","Acumulado",IF(ISNUMBER(SEARCH("ASAP",C1294)),"ASAP",IF(NETWORKDAYS.INTL(F1294,G1294,1,Table2[Dias no laborales]) &lt;= 7, "Dentro", IF(A1294&gt;F1294,"Programado","Fuera"))))</f>
        <v>Programado</v>
      </c>
      <c r="K1294" s="6" t="str">
        <f t="shared" ref="K1294:K1357" si="44">IF(INT(A1294)=INT(F1294),"A tiempo", IF(A1294&lt;F1294,"Mismo día","Programados"))</f>
        <v>Programados</v>
      </c>
      <c r="L1294" s="8">
        <v>45989</v>
      </c>
      <c r="M1294" s="17">
        <f>MAX(1,NETWORKDAYS(A1294,L1294,Table2[Dias no laborales]))</f>
        <v>1</v>
      </c>
    </row>
    <row r="1295" spans="1:13" hidden="1" x14ac:dyDescent="0.3">
      <c r="A1295" s="8">
        <v>45989</v>
      </c>
      <c r="B1295" s="6" t="s">
        <v>2580</v>
      </c>
      <c r="C1295" s="6" t="s">
        <v>2581</v>
      </c>
      <c r="D1295" s="6" t="s">
        <v>24</v>
      </c>
      <c r="E1295" s="14">
        <v>45988.520833333336</v>
      </c>
      <c r="F1295" s="8">
        <f>IF(HOUR(Table1[[#This Row],[CORREO]])&gt;=11,WORKDAY(Table1[[#This Row],[CORREO]],1,Table2[Dias no laborales]),E1295)</f>
        <v>45989</v>
      </c>
      <c r="G1295" s="8">
        <v>46050</v>
      </c>
      <c r="H1295" s="6">
        <f t="shared" si="43"/>
        <v>48</v>
      </c>
      <c r="I1295" s="16">
        <f>MAX(1, NETWORKDAYS(A1295, G1295,Table2[Dias no laborales]))</f>
        <v>40</v>
      </c>
      <c r="J1295" s="6" t="str">
        <f>IF(Table1[[#This Row],[FIN]]="","Acumulado",IF(ISNUMBER(SEARCH("ASAP",C1295)),"ASAP",IF(NETWORKDAYS.INTL(F1295,G1295,1,Table2[Dias no laborales]) &lt;= 7, "Dentro", IF(A1295&gt;F1295,"Programado","Fuera"))))</f>
        <v>Fuera</v>
      </c>
      <c r="K1295" s="6" t="str">
        <f t="shared" si="44"/>
        <v>A tiempo</v>
      </c>
      <c r="L1295" s="9">
        <v>45989</v>
      </c>
      <c r="M1295" s="17">
        <f>MAX(1,NETWORKDAYS(A1295,L1295,Table2[Dias no laborales]))</f>
        <v>1</v>
      </c>
    </row>
    <row r="1296" spans="1:13" hidden="1" x14ac:dyDescent="0.3">
      <c r="A1296" s="8">
        <v>45989</v>
      </c>
      <c r="B1296" s="6" t="s">
        <v>2607</v>
      </c>
      <c r="C1296" s="6" t="s">
        <v>2608</v>
      </c>
      <c r="D1296" s="6" t="s">
        <v>133</v>
      </c>
      <c r="E1296" s="14">
        <v>45988.676388888889</v>
      </c>
      <c r="F1296" s="8">
        <f>IF(HOUR(Table1[[#This Row],[CORREO]])&gt;=11,WORKDAY(Table1[[#This Row],[CORREO]],1,Table2[Dias no laborales]),E1296)</f>
        <v>45989</v>
      </c>
      <c r="G1296" s="8">
        <v>45994</v>
      </c>
      <c r="H1296" s="6">
        <f t="shared" si="43"/>
        <v>48</v>
      </c>
      <c r="I1296" s="16">
        <f>MAX(1, NETWORKDAYS(A1296, G1296,Table2[Dias no laborales]))</f>
        <v>4</v>
      </c>
      <c r="J1296" s="6" t="str">
        <f>IF(Table1[[#This Row],[FIN]]="","Acumulado",IF(ISNUMBER(SEARCH("ASAP",C1296)),"ASAP",IF(NETWORKDAYS.INTL(F1296,G1296,1,Table2[Dias no laborales]) &lt;= 7, "Dentro", IF(A1296&gt;F1296,"Programado","Fuera"))))</f>
        <v>Dentro</v>
      </c>
      <c r="K1296" s="6" t="str">
        <f t="shared" si="44"/>
        <v>A tiempo</v>
      </c>
      <c r="L1296" s="8">
        <v>45989</v>
      </c>
      <c r="M1296" s="17">
        <f>MAX(1,NETWORKDAYS(A1296,L1296,Table2[Dias no laborales]))</f>
        <v>1</v>
      </c>
    </row>
    <row r="1297" spans="1:13" hidden="1" x14ac:dyDescent="0.3">
      <c r="A1297" s="8">
        <v>45989</v>
      </c>
      <c r="B1297" s="6" t="s">
        <v>2587</v>
      </c>
      <c r="C1297" s="6" t="s">
        <v>2588</v>
      </c>
      <c r="D1297" s="6" t="s">
        <v>61</v>
      </c>
      <c r="E1297" s="14">
        <v>45989.328472222223</v>
      </c>
      <c r="F1297" s="8">
        <f>IF(HOUR(Table1[[#This Row],[CORREO]])&gt;=11,WORKDAY(Table1[[#This Row],[CORREO]],1,Table2[Dias no laborales]),E1297)</f>
        <v>45989.328472222223</v>
      </c>
      <c r="G1297" s="8">
        <v>45992</v>
      </c>
      <c r="H1297" s="6">
        <f t="shared" si="43"/>
        <v>48</v>
      </c>
      <c r="I1297" s="16">
        <f>MAX(1, NETWORKDAYS(A1297, G1297,Table2[Dias no laborales]))</f>
        <v>2</v>
      </c>
      <c r="J1297" s="6" t="str">
        <f>IF(Table1[[#This Row],[FIN]]="","Acumulado",IF(ISNUMBER(SEARCH("ASAP",C1297)),"ASAP",IF(NETWORKDAYS.INTL(F1297,G1297,1,Table2[Dias no laborales]) &lt;= 7, "Dentro", IF(A1297&gt;F1297,"Programado","Fuera"))))</f>
        <v>Dentro</v>
      </c>
      <c r="K1297" s="6" t="str">
        <f t="shared" si="44"/>
        <v>A tiempo</v>
      </c>
      <c r="L1297" s="8">
        <v>45989</v>
      </c>
      <c r="M1297" s="17">
        <f>MAX(1,NETWORKDAYS(A1297,L1297,Table2[Dias no laborales]))</f>
        <v>1</v>
      </c>
    </row>
    <row r="1298" spans="1:13" hidden="1" x14ac:dyDescent="0.3">
      <c r="A1298" s="8">
        <v>45989</v>
      </c>
      <c r="B1298" s="6" t="s">
        <v>2589</v>
      </c>
      <c r="C1298" s="6" t="s">
        <v>2590</v>
      </c>
      <c r="D1298" s="6" t="s">
        <v>517</v>
      </c>
      <c r="E1298" s="14">
        <v>45989.353472222225</v>
      </c>
      <c r="F1298" s="8">
        <f>IF(HOUR(Table1[[#This Row],[CORREO]])&gt;=11,WORKDAY(Table1[[#This Row],[CORREO]],1,Table2[Dias no laborales]),E1298)</f>
        <v>45989.353472222225</v>
      </c>
      <c r="G1298" s="8">
        <v>45992</v>
      </c>
      <c r="H1298" s="6">
        <f t="shared" si="43"/>
        <v>48</v>
      </c>
      <c r="I1298" s="16">
        <f>MAX(1, NETWORKDAYS(A1298, G1298,Table2[Dias no laborales]))</f>
        <v>2</v>
      </c>
      <c r="J1298" s="6" t="str">
        <f>IF(Table1[[#This Row],[FIN]]="","Acumulado",IF(ISNUMBER(SEARCH("ASAP",C1298)),"ASAP",IF(NETWORKDAYS.INTL(F1298,G1298,1,Table2[Dias no laborales]) &lt;= 7, "Dentro", IF(A1298&gt;F1298,"Programado","Fuera"))))</f>
        <v>Dentro</v>
      </c>
      <c r="K1298" s="6" t="str">
        <f t="shared" si="44"/>
        <v>A tiempo</v>
      </c>
      <c r="L1298" s="8">
        <v>45989</v>
      </c>
      <c r="M1298" s="17">
        <f>MAX(1,NETWORKDAYS(A1298,L1298,Table2[Dias no laborales]))</f>
        <v>1</v>
      </c>
    </row>
    <row r="1299" spans="1:13" hidden="1" x14ac:dyDescent="0.3">
      <c r="A1299" s="8">
        <v>45989</v>
      </c>
      <c r="B1299" s="6" t="s">
        <v>2582</v>
      </c>
      <c r="C1299" s="6" t="s">
        <v>2583</v>
      </c>
      <c r="D1299" s="6" t="s">
        <v>1333</v>
      </c>
      <c r="E1299" s="14"/>
      <c r="F1299" s="8">
        <f>IF(HOUR(Table1[[#This Row],[CORREO]])&gt;=11,WORKDAY(Table1[[#This Row],[CORREO]],1,Table2[Dias no laborales]),E1299)</f>
        <v>0</v>
      </c>
      <c r="G1299" s="8">
        <v>45996</v>
      </c>
      <c r="H1299" s="6">
        <f t="shared" si="43"/>
        <v>48</v>
      </c>
      <c r="I1299" s="16">
        <f>MAX(1, NETWORKDAYS(A1299, G1299,Table2[Dias no laborales]))</f>
        <v>6</v>
      </c>
      <c r="J1299" s="6" t="str">
        <f>IF(Table1[[#This Row],[FIN]]="","Acumulado",IF(ISNUMBER(SEARCH("ASAP",C1299)),"ASAP",IF(NETWORKDAYS.INTL(F1299,G1299,1,Table2[Dias no laborales]) &lt;= 7, "Dentro", IF(A1299&gt;F1299,"Programado","Fuera"))))</f>
        <v>Programado</v>
      </c>
      <c r="K1299" s="6" t="str">
        <f t="shared" si="44"/>
        <v>Programados</v>
      </c>
      <c r="L1299" s="9">
        <v>45989</v>
      </c>
      <c r="M1299" s="17">
        <f>MAX(1,NETWORKDAYS(A1299,L1299,Table2[Dias no laborales]))</f>
        <v>1</v>
      </c>
    </row>
    <row r="1300" spans="1:13" hidden="1" x14ac:dyDescent="0.3">
      <c r="A1300" s="8">
        <v>45992</v>
      </c>
      <c r="B1300" s="6" t="s">
        <v>2593</v>
      </c>
      <c r="C1300" s="6" t="s">
        <v>2594</v>
      </c>
      <c r="D1300" s="6" t="s">
        <v>848</v>
      </c>
      <c r="E1300" s="14">
        <v>45990.537499999999</v>
      </c>
      <c r="F1300" s="8">
        <f>IF(HOUR(Table1[[#This Row],[CORREO]])&gt;=11,WORKDAY(Table1[[#This Row],[CORREO]],1,Table2[Dias no laborales]),E1300)</f>
        <v>45992</v>
      </c>
      <c r="G1300" s="8">
        <v>45993</v>
      </c>
      <c r="H1300" s="6">
        <f t="shared" si="43"/>
        <v>48</v>
      </c>
      <c r="I1300" s="16">
        <f>MAX(1, NETWORKDAYS(A1300, G1300,Table2[Dias no laborales]))</f>
        <v>2</v>
      </c>
      <c r="J1300" s="6" t="str">
        <f>IF(Table1[[#This Row],[FIN]]="","Acumulado",IF(ISNUMBER(SEARCH("ASAP",C1300)),"ASAP",IF(NETWORKDAYS.INTL(F1300,G1300,1,Table2[Dias no laborales]) &lt;= 7, "Dentro", IF(A1300&gt;F1300,"Programado","Fuera"))))</f>
        <v>Dentro</v>
      </c>
      <c r="K1300" s="6" t="str">
        <f t="shared" si="44"/>
        <v>A tiempo</v>
      </c>
      <c r="L1300" s="8">
        <v>45992</v>
      </c>
      <c r="M1300" s="17">
        <f>MAX(1,NETWORKDAYS(A1300,L1300,Table2[Dias no laborales]))</f>
        <v>1</v>
      </c>
    </row>
    <row r="1301" spans="1:13" hidden="1" x14ac:dyDescent="0.3">
      <c r="A1301" s="8">
        <v>45992</v>
      </c>
      <c r="B1301" s="6" t="s">
        <v>2609</v>
      </c>
      <c r="C1301" s="6" t="s">
        <v>2610</v>
      </c>
      <c r="D1301" s="6" t="s">
        <v>1136</v>
      </c>
      <c r="E1301" s="14">
        <v>45992.311805555553</v>
      </c>
      <c r="F1301" s="8">
        <f>IF(HOUR(Table1[[#This Row],[CORREO]])&gt;=11,WORKDAY(Table1[[#This Row],[CORREO]],1,Table2[Dias no laborales]),E1301)</f>
        <v>45992.311805555553</v>
      </c>
      <c r="G1301" s="8">
        <v>45994</v>
      </c>
      <c r="H1301" s="6">
        <f t="shared" si="43"/>
        <v>48</v>
      </c>
      <c r="I1301" s="16">
        <f>MAX(1, NETWORKDAYS(A1301, G1301,Table2[Dias no laborales]))</f>
        <v>3</v>
      </c>
      <c r="J1301" s="6" t="str">
        <f>IF(Table1[[#This Row],[FIN]]="","Acumulado",IF(ISNUMBER(SEARCH("ASAP",C1301)),"ASAP",IF(NETWORKDAYS.INTL(F1301,G1301,1,Table2[Dias no laborales]) &lt;= 7, "Dentro", IF(A1301&gt;F1301,"Programado","Fuera"))))</f>
        <v>Dentro</v>
      </c>
      <c r="K1301" s="6" t="str">
        <f t="shared" si="44"/>
        <v>A tiempo</v>
      </c>
      <c r="L1301" s="8">
        <v>45992</v>
      </c>
      <c r="M1301" s="17">
        <f>MAX(1,NETWORKDAYS(A1301,L1301,Table2[Dias no laborales]))</f>
        <v>1</v>
      </c>
    </row>
    <row r="1302" spans="1:13" hidden="1" x14ac:dyDescent="0.3">
      <c r="A1302" s="8">
        <v>45992</v>
      </c>
      <c r="B1302" s="6" t="s">
        <v>2599</v>
      </c>
      <c r="C1302" s="6" t="s">
        <v>2600</v>
      </c>
      <c r="D1302" s="6" t="s">
        <v>449</v>
      </c>
      <c r="E1302" s="14">
        <v>45992.381249999999</v>
      </c>
      <c r="F1302" s="8">
        <f>IF(HOUR(Table1[[#This Row],[CORREO]])&gt;=11,WORKDAY(Table1[[#This Row],[CORREO]],1,Table2[Dias no laborales]),E1302)</f>
        <v>45992.381249999999</v>
      </c>
      <c r="G1302" s="8">
        <v>45993</v>
      </c>
      <c r="H1302" s="6">
        <f t="shared" si="43"/>
        <v>48</v>
      </c>
      <c r="I1302" s="16">
        <f>MAX(1, NETWORKDAYS(A1302, G1302,Table2[Dias no laborales]))</f>
        <v>2</v>
      </c>
      <c r="J1302" s="6" t="str">
        <f>IF(Table1[[#This Row],[FIN]]="","Acumulado",IF(ISNUMBER(SEARCH("ASAP",C1302)),"ASAP",IF(NETWORKDAYS.INTL(F1302,G1302,1,Table2[Dias no laborales]) &lt;= 7, "Dentro", IF(A1302&gt;F1302,"Programado","Fuera"))))</f>
        <v>Dentro</v>
      </c>
      <c r="K1302" s="6" t="str">
        <f t="shared" si="44"/>
        <v>A tiempo</v>
      </c>
      <c r="L1302" s="8">
        <v>45992</v>
      </c>
      <c r="M1302" s="17">
        <f>MAX(1,NETWORKDAYS(A1302,L1302,Table2[Dias no laborales]))</f>
        <v>1</v>
      </c>
    </row>
    <row r="1303" spans="1:13" hidden="1" x14ac:dyDescent="0.3">
      <c r="A1303" s="8">
        <v>45992</v>
      </c>
      <c r="B1303" s="6" t="s">
        <v>2638</v>
      </c>
      <c r="C1303" s="6" t="s">
        <v>2639</v>
      </c>
      <c r="D1303" s="6" t="s">
        <v>913</v>
      </c>
      <c r="E1303" s="14">
        <v>45992.398611111108</v>
      </c>
      <c r="F1303" s="8">
        <f>IF(HOUR(Table1[[#This Row],[CORREO]])&gt;=11,WORKDAY(Table1[[#This Row],[CORREO]],1,Table2[Dias no laborales]),E1303)</f>
        <v>45992.398611111108</v>
      </c>
      <c r="G1303" s="8">
        <v>45996</v>
      </c>
      <c r="H1303" s="6">
        <f t="shared" si="43"/>
        <v>48</v>
      </c>
      <c r="I1303" s="16">
        <f>MAX(1, NETWORKDAYS(A1303, G1303,Table2[Dias no laborales]))</f>
        <v>5</v>
      </c>
      <c r="J1303" s="6" t="str">
        <f>IF(Table1[[#This Row],[FIN]]="","Acumulado",IF(ISNUMBER(SEARCH("ASAP",C1303)),"ASAP",IF(NETWORKDAYS.INTL(F1303,G1303,1,Table2[Dias no laborales]) &lt;= 7, "Dentro", IF(A1303&gt;F1303,"Programado","Fuera"))))</f>
        <v>Dentro</v>
      </c>
      <c r="K1303" s="6" t="str">
        <f t="shared" si="44"/>
        <v>A tiempo</v>
      </c>
      <c r="L1303" s="8">
        <v>45992</v>
      </c>
      <c r="M1303" s="17">
        <f>MAX(1,NETWORKDAYS(A1303,L1303,Table2[Dias no laborales]))</f>
        <v>1</v>
      </c>
    </row>
    <row r="1304" spans="1:13" hidden="1" x14ac:dyDescent="0.3">
      <c r="A1304" s="8">
        <v>45992</v>
      </c>
      <c r="B1304" s="6" t="s">
        <v>2626</v>
      </c>
      <c r="C1304" s="6" t="s">
        <v>2627</v>
      </c>
      <c r="D1304" s="6" t="s">
        <v>24</v>
      </c>
      <c r="E1304" s="14">
        <v>45992.398611111108</v>
      </c>
      <c r="F1304" s="8">
        <f>IF(HOUR(Table1[[#This Row],[CORREO]])&gt;=11,WORKDAY(Table1[[#This Row],[CORREO]],1,Table2[Dias no laborales]),E1304)</f>
        <v>45992.398611111108</v>
      </c>
      <c r="G1304" s="8">
        <v>45996</v>
      </c>
      <c r="H1304" s="6">
        <f t="shared" si="43"/>
        <v>48</v>
      </c>
      <c r="I1304" s="16">
        <f>MAX(1, NETWORKDAYS(A1304, G1304,Table2[Dias no laborales]))</f>
        <v>5</v>
      </c>
      <c r="J1304" s="6" t="str">
        <f>IF(Table1[[#This Row],[FIN]]="","Acumulado",IF(ISNUMBER(SEARCH("ASAP",C1304)),"ASAP",IF(NETWORKDAYS.INTL(F1304,G1304,1,Table2[Dias no laborales]) &lt;= 7, "Dentro", IF(A1304&gt;F1304,"Programado","Fuera"))))</f>
        <v>Dentro</v>
      </c>
      <c r="K1304" s="6" t="str">
        <f t="shared" si="44"/>
        <v>A tiempo</v>
      </c>
      <c r="L1304" s="8">
        <v>45992</v>
      </c>
      <c r="M1304" s="17">
        <f>MAX(1,NETWORKDAYS(A1304,L1304,Table2[Dias no laborales]))</f>
        <v>1</v>
      </c>
    </row>
    <row r="1305" spans="1:13" hidden="1" x14ac:dyDescent="0.3">
      <c r="A1305" s="8">
        <v>45992</v>
      </c>
      <c r="B1305" s="6" t="s">
        <v>2597</v>
      </c>
      <c r="C1305" s="6" t="s">
        <v>2598</v>
      </c>
      <c r="D1305" s="6" t="s">
        <v>27</v>
      </c>
      <c r="E1305" s="14">
        <v>45992.404861111114</v>
      </c>
      <c r="F1305" s="8">
        <f>IF(HOUR(Table1[[#This Row],[CORREO]])&gt;=11,WORKDAY(Table1[[#This Row],[CORREO]],1,Table2[Dias no laborales]),E1305)</f>
        <v>45992.404861111114</v>
      </c>
      <c r="G1305" s="8">
        <v>45993</v>
      </c>
      <c r="H1305" s="6">
        <f t="shared" si="43"/>
        <v>48</v>
      </c>
      <c r="I1305" s="16">
        <f>MAX(1, NETWORKDAYS(A1305, G1305,Table2[Dias no laborales]))</f>
        <v>2</v>
      </c>
      <c r="J1305" s="6" t="str">
        <f>IF(Table1[[#This Row],[FIN]]="","Acumulado",IF(ISNUMBER(SEARCH("ASAP",C1305)),"ASAP",IF(NETWORKDAYS.INTL(F1305,G1305,1,Table2[Dias no laborales]) &lt;= 7, "Dentro", IF(A1305&gt;F1305,"Programado","Fuera"))))</f>
        <v>Dentro</v>
      </c>
      <c r="K1305" s="6" t="str">
        <f t="shared" si="44"/>
        <v>A tiempo</v>
      </c>
      <c r="L1305" s="8">
        <v>45992</v>
      </c>
      <c r="M1305" s="17">
        <f>MAX(1,NETWORKDAYS(A1305,L1305,Table2[Dias no laborales]))</f>
        <v>1</v>
      </c>
    </row>
    <row r="1306" spans="1:13" hidden="1" x14ac:dyDescent="0.3">
      <c r="A1306" s="8">
        <v>45992</v>
      </c>
      <c r="B1306" s="6" t="s">
        <v>2654</v>
      </c>
      <c r="C1306" s="6" t="s">
        <v>2655</v>
      </c>
      <c r="D1306" s="6" t="s">
        <v>24</v>
      </c>
      <c r="E1306" s="14">
        <v>45992.572222222225</v>
      </c>
      <c r="F1306" s="8">
        <f>IF(HOUR(Table1[[#This Row],[CORREO]])&gt;=11,WORKDAY(Table1[[#This Row],[CORREO]],1,Table2[Dias no laborales]),E1306)</f>
        <v>45993</v>
      </c>
      <c r="G1306" s="8">
        <v>46001</v>
      </c>
      <c r="H1306" s="6">
        <f t="shared" si="43"/>
        <v>48</v>
      </c>
      <c r="I1306" s="16">
        <f>MAX(1, NETWORKDAYS(A1306, G1306,Table2[Dias no laborales]))</f>
        <v>8</v>
      </c>
      <c r="J1306" s="6" t="str">
        <f>IF(Table1[[#This Row],[FIN]]="","Acumulado",IF(ISNUMBER(SEARCH("ASAP",C1306)),"ASAP",IF(NETWORKDAYS.INTL(F1306,G1306,1,Table2[Dias no laborales]) &lt;= 7, "Dentro", IF(A1306&gt;F1306,"Programado","Fuera"))))</f>
        <v>ASAP</v>
      </c>
      <c r="K1306" s="6" t="str">
        <f t="shared" si="44"/>
        <v>Mismo día</v>
      </c>
      <c r="L1306" s="8">
        <v>45992</v>
      </c>
      <c r="M1306" s="17">
        <f>MAX(1,NETWORKDAYS(A1306,L1306,Table2[Dias no laborales]))</f>
        <v>1</v>
      </c>
    </row>
    <row r="1307" spans="1:13" hidden="1" x14ac:dyDescent="0.3">
      <c r="A1307" s="8">
        <v>45993</v>
      </c>
      <c r="B1307" s="6" t="s">
        <v>2595</v>
      </c>
      <c r="C1307" s="6" t="s">
        <v>2596</v>
      </c>
      <c r="D1307" s="6" t="s">
        <v>61</v>
      </c>
      <c r="E1307" s="14">
        <v>45992.743750000001</v>
      </c>
      <c r="F1307" s="8">
        <f>IF(HOUR(Table1[[#This Row],[CORREO]])&gt;=11,WORKDAY(Table1[[#This Row],[CORREO]],1,Table2[Dias no laborales]),E1307)</f>
        <v>45993</v>
      </c>
      <c r="G1307" s="8">
        <v>45993</v>
      </c>
      <c r="H1307" s="6">
        <f t="shared" si="43"/>
        <v>48</v>
      </c>
      <c r="I1307" s="16">
        <f>MAX(1, NETWORKDAYS(A1307, G1307,Table2[Dias no laborales]))</f>
        <v>1</v>
      </c>
      <c r="J1307" s="6" t="str">
        <f>IF(Table1[[#This Row],[FIN]]="","Acumulado",IF(ISNUMBER(SEARCH("ASAP",C1307)),"ASAP",IF(NETWORKDAYS.INTL(F1307,G1307,1,Table2[Dias no laborales]) &lt;= 7, "Dentro", IF(A1307&gt;F1307,"Programado","Fuera"))))</f>
        <v>Dentro</v>
      </c>
      <c r="K1307" s="6" t="str">
        <f t="shared" si="44"/>
        <v>A tiempo</v>
      </c>
      <c r="L1307" s="8">
        <v>45993</v>
      </c>
      <c r="M1307" s="17">
        <f>MAX(1,NETWORKDAYS(A1307,L1307,Table2[Dias no laborales]))</f>
        <v>1</v>
      </c>
    </row>
    <row r="1308" spans="1:13" hidden="1" x14ac:dyDescent="0.3">
      <c r="A1308" s="8">
        <v>45993</v>
      </c>
      <c r="B1308" s="6" t="s">
        <v>2605</v>
      </c>
      <c r="C1308" s="6" t="s">
        <v>2606</v>
      </c>
      <c r="D1308" s="6" t="s">
        <v>186</v>
      </c>
      <c r="E1308" s="14">
        <v>45992.517361111109</v>
      </c>
      <c r="F1308" s="8">
        <f>IF(HOUR(Table1[[#This Row],[CORREO]])&gt;=11,WORKDAY(Table1[[#This Row],[CORREO]],1,Table2[Dias no laborales]),E1308)</f>
        <v>45993</v>
      </c>
      <c r="G1308" s="8">
        <v>45994</v>
      </c>
      <c r="H1308" s="6">
        <f t="shared" si="43"/>
        <v>48</v>
      </c>
      <c r="I1308" s="16">
        <f>MAX(1, NETWORKDAYS(A1308, G1308,Table2[Dias no laborales]))</f>
        <v>2</v>
      </c>
      <c r="J1308" s="6" t="str">
        <f>IF(Table1[[#This Row],[FIN]]="","Acumulado",IF(ISNUMBER(SEARCH("ASAP",C1308)),"ASAP",IF(NETWORKDAYS.INTL(F1308,G1308,1,Table2[Dias no laborales]) &lt;= 7, "Dentro", IF(A1308&gt;F1308,"Programado","Fuera"))))</f>
        <v>Dentro</v>
      </c>
      <c r="K1308" s="6" t="str">
        <f t="shared" si="44"/>
        <v>A tiempo</v>
      </c>
      <c r="L1308" s="8">
        <v>45993</v>
      </c>
      <c r="M1308" s="17">
        <f>MAX(1,NETWORKDAYS(A1308,L1308,Table2[Dias no laborales]))</f>
        <v>1</v>
      </c>
    </row>
    <row r="1309" spans="1:13" hidden="1" x14ac:dyDescent="0.3">
      <c r="A1309" s="8">
        <v>45993</v>
      </c>
      <c r="B1309" s="6" t="s">
        <v>2603</v>
      </c>
      <c r="C1309" s="6" t="s">
        <v>2604</v>
      </c>
      <c r="D1309" s="6" t="s">
        <v>53</v>
      </c>
      <c r="E1309" s="14">
        <v>45993.722222222219</v>
      </c>
      <c r="F1309" s="8">
        <f>IF(HOUR(Table1[[#This Row],[CORREO]])&gt;=11,WORKDAY(Table1[[#This Row],[CORREO]],1,Table2[Dias no laborales]),E1309)</f>
        <v>45994</v>
      </c>
      <c r="G1309" s="8">
        <v>45994</v>
      </c>
      <c r="H1309" s="6">
        <f t="shared" si="43"/>
        <v>48</v>
      </c>
      <c r="I1309" s="16">
        <f>MAX(1, NETWORKDAYS(A1309, G1309,Table2[Dias no laborales]))</f>
        <v>2</v>
      </c>
      <c r="J1309" s="6" t="str">
        <f>IF(Table1[[#This Row],[FIN]]="","Acumulado",IF(ISNUMBER(SEARCH("ASAP",C1309)),"ASAP",IF(NETWORKDAYS.INTL(F1309,G1309,1,Table2[Dias no laborales]) &lt;= 7, "Dentro", IF(A1309&gt;F1309,"Programado","Fuera"))))</f>
        <v>Dentro</v>
      </c>
      <c r="K1309" s="6" t="str">
        <f t="shared" si="44"/>
        <v>Mismo día</v>
      </c>
      <c r="L1309" s="8">
        <v>45993</v>
      </c>
      <c r="M1309" s="17">
        <f>MAX(1,NETWORKDAYS(A1309,L1309,Table2[Dias no laborales]))</f>
        <v>1</v>
      </c>
    </row>
    <row r="1310" spans="1:13" hidden="1" x14ac:dyDescent="0.3">
      <c r="A1310" s="8">
        <v>45994</v>
      </c>
      <c r="B1310" s="6" t="s">
        <v>2621</v>
      </c>
      <c r="C1310" s="6" t="s">
        <v>2622</v>
      </c>
      <c r="D1310" s="6" t="s">
        <v>2623</v>
      </c>
      <c r="E1310" s="14">
        <v>45993.473611111112</v>
      </c>
      <c r="F1310" s="8">
        <f>IF(HOUR(Table1[[#This Row],[CORREO]])&gt;=11,WORKDAY(Table1[[#This Row],[CORREO]],1,Table2[Dias no laborales]),E1310)</f>
        <v>45994</v>
      </c>
      <c r="G1310" s="8">
        <v>45995</v>
      </c>
      <c r="H1310" s="6">
        <f t="shared" si="43"/>
        <v>49</v>
      </c>
      <c r="I1310" s="16">
        <f>MAX(1, NETWORKDAYS(A1310, G1310,Table2[Dias no laborales]))</f>
        <v>2</v>
      </c>
      <c r="J1310" s="6" t="str">
        <f>IF(Table1[[#This Row],[FIN]]="","Acumulado",IF(ISNUMBER(SEARCH("ASAP",C1310)),"ASAP",IF(NETWORKDAYS.INTL(F1310,G1310,1,Table2[Dias no laborales]) &lt;= 7, "Dentro", IF(A1310&gt;F1310,"Programado","Fuera"))))</f>
        <v>Dentro</v>
      </c>
      <c r="K1310" s="6" t="str">
        <f t="shared" si="44"/>
        <v>A tiempo</v>
      </c>
      <c r="L1310" s="8">
        <v>45994</v>
      </c>
      <c r="M1310" s="17">
        <f>MAX(1,NETWORKDAYS(A1310,L1310,Table2[Dias no laborales]))</f>
        <v>1</v>
      </c>
    </row>
    <row r="1311" spans="1:13" hidden="1" x14ac:dyDescent="0.3">
      <c r="A1311" s="8">
        <v>45994</v>
      </c>
      <c r="B1311" s="6" t="s">
        <v>2615</v>
      </c>
      <c r="C1311" s="6" t="s">
        <v>2616</v>
      </c>
      <c r="D1311" s="6" t="s">
        <v>372</v>
      </c>
      <c r="E1311" s="14">
        <v>45993.680555555555</v>
      </c>
      <c r="F1311" s="8">
        <f>IF(HOUR(Table1[[#This Row],[CORREO]])&gt;=11,WORKDAY(Table1[[#This Row],[CORREO]],1,Table2[Dias no laborales]),E1311)</f>
        <v>45994</v>
      </c>
      <c r="G1311" s="8">
        <v>45994</v>
      </c>
      <c r="H1311" s="6">
        <f t="shared" si="43"/>
        <v>49</v>
      </c>
      <c r="I1311" s="16">
        <f>MAX(1, NETWORKDAYS(A1311, G1311,Table2[Dias no laborales]))</f>
        <v>1</v>
      </c>
      <c r="J1311" s="6" t="str">
        <f>IF(Table1[[#This Row],[FIN]]="","Acumulado",IF(ISNUMBER(SEARCH("ASAP",C1311)),"ASAP",IF(NETWORKDAYS.INTL(F1311,G1311,1,Table2[Dias no laborales]) &lt;= 7, "Dentro", IF(A1311&gt;F1311,"Programado","Fuera"))))</f>
        <v>Dentro</v>
      </c>
      <c r="K1311" s="6" t="str">
        <f t="shared" si="44"/>
        <v>A tiempo</v>
      </c>
      <c r="L1311" s="8">
        <v>45994</v>
      </c>
      <c r="M1311" s="17">
        <f>MAX(1,NETWORKDAYS(A1311,L1311,Table2[Dias no laborales]))</f>
        <v>1</v>
      </c>
    </row>
    <row r="1312" spans="1:13" hidden="1" x14ac:dyDescent="0.3">
      <c r="A1312" s="8">
        <v>45994</v>
      </c>
      <c r="B1312" s="6" t="s">
        <v>2632</v>
      </c>
      <c r="C1312" s="6" t="s">
        <v>2633</v>
      </c>
      <c r="D1312" s="6" t="s">
        <v>477</v>
      </c>
      <c r="E1312" s="14">
        <v>45994.287499999999</v>
      </c>
      <c r="F1312" s="8">
        <f>IF(HOUR(Table1[[#This Row],[CORREO]])&gt;=11,WORKDAY(Table1[[#This Row],[CORREO]],1,Table2[Dias no laborales]),E1312)</f>
        <v>45994.287499999999</v>
      </c>
      <c r="G1312" s="8">
        <v>45996</v>
      </c>
      <c r="H1312" s="6">
        <f t="shared" si="43"/>
        <v>49</v>
      </c>
      <c r="I1312" s="16">
        <f>MAX(1, NETWORKDAYS(A1312, G1312,Table2[Dias no laborales]))</f>
        <v>3</v>
      </c>
      <c r="J1312" s="6" t="str">
        <f>IF(Table1[[#This Row],[FIN]]="","Acumulado",IF(ISNUMBER(SEARCH("ASAP",C1312)),"ASAP",IF(NETWORKDAYS.INTL(F1312,G1312,1,Table2[Dias no laborales]) &lt;= 7, "Dentro", IF(A1312&gt;F1312,"Programado","Fuera"))))</f>
        <v>Dentro</v>
      </c>
      <c r="K1312" s="6" t="str">
        <f t="shared" si="44"/>
        <v>A tiempo</v>
      </c>
      <c r="L1312" s="8">
        <v>45994</v>
      </c>
      <c r="M1312" s="17">
        <f>MAX(1,NETWORKDAYS(A1312,L1312,Table2[Dias no laborales]))</f>
        <v>1</v>
      </c>
    </row>
    <row r="1313" spans="1:13" hidden="1" x14ac:dyDescent="0.3">
      <c r="A1313" s="8">
        <v>45994</v>
      </c>
      <c r="B1313" s="6" t="s">
        <v>2630</v>
      </c>
      <c r="C1313" s="6" t="s">
        <v>2631</v>
      </c>
      <c r="D1313" s="6" t="s">
        <v>154</v>
      </c>
      <c r="E1313" s="14">
        <v>45994.329861111109</v>
      </c>
      <c r="F1313" s="8">
        <f>IF(HOUR(Table1[[#This Row],[CORREO]])&gt;=11,WORKDAY(Table1[[#This Row],[CORREO]],1,Table2[Dias no laborales]),E1313)</f>
        <v>45994.329861111109</v>
      </c>
      <c r="G1313" s="8">
        <v>45996</v>
      </c>
      <c r="H1313" s="6">
        <f t="shared" si="43"/>
        <v>49</v>
      </c>
      <c r="I1313" s="16">
        <f>MAX(1, NETWORKDAYS(A1313, G1313,Table2[Dias no laborales]))</f>
        <v>3</v>
      </c>
      <c r="J1313" s="6" t="str">
        <f>IF(Table1[[#This Row],[FIN]]="","Acumulado",IF(ISNUMBER(SEARCH("ASAP",C1313)),"ASAP",IF(NETWORKDAYS.INTL(F1313,G1313,1,Table2[Dias no laborales]) &lt;= 7, "Dentro", IF(A1313&gt;F1313,"Programado","Fuera"))))</f>
        <v>Dentro</v>
      </c>
      <c r="K1313" s="6" t="str">
        <f t="shared" si="44"/>
        <v>A tiempo</v>
      </c>
      <c r="L1313" s="8">
        <v>45994</v>
      </c>
      <c r="M1313" s="17">
        <f>MAX(1,NETWORKDAYS(A1313,L1313,Table2[Dias no laborales]))</f>
        <v>1</v>
      </c>
    </row>
    <row r="1314" spans="1:13" hidden="1" x14ac:dyDescent="0.3">
      <c r="A1314" s="8">
        <v>45995</v>
      </c>
      <c r="B1314" s="6" t="s">
        <v>2634</v>
      </c>
      <c r="C1314" s="6" t="s">
        <v>2635</v>
      </c>
      <c r="D1314" s="6" t="s">
        <v>75</v>
      </c>
      <c r="E1314" s="14">
        <v>45994.531944444447</v>
      </c>
      <c r="F1314" s="8">
        <f>IF(HOUR(Table1[[#This Row],[CORREO]])&gt;=11,WORKDAY(Table1[[#This Row],[CORREO]],1,Table2[Dias no laborales]),E1314)</f>
        <v>45995</v>
      </c>
      <c r="G1314" s="8">
        <v>45996</v>
      </c>
      <c r="H1314" s="6">
        <f t="shared" si="43"/>
        <v>49</v>
      </c>
      <c r="I1314" s="16">
        <f>MAX(1, NETWORKDAYS(A1314, G1314,Table2[Dias no laborales]))</f>
        <v>2</v>
      </c>
      <c r="J1314" s="6" t="str">
        <f>IF(Table1[[#This Row],[FIN]]="","Acumulado",IF(ISNUMBER(SEARCH("ASAP",C1314)),"ASAP",IF(NETWORKDAYS.INTL(F1314,G1314,1,Table2[Dias no laborales]) &lt;= 7, "Dentro", IF(A1314&gt;F1314,"Programado","Fuera"))))</f>
        <v>Dentro</v>
      </c>
      <c r="K1314" s="6" t="str">
        <f t="shared" si="44"/>
        <v>A tiempo</v>
      </c>
      <c r="L1314" s="8">
        <v>45995</v>
      </c>
      <c r="M1314" s="17">
        <f>MAX(1,NETWORKDAYS(A1314,L1314,Table2[Dias no laborales]))</f>
        <v>1</v>
      </c>
    </row>
    <row r="1315" spans="1:13" hidden="1" x14ac:dyDescent="0.3">
      <c r="A1315" s="8">
        <v>45995</v>
      </c>
      <c r="B1315" s="6" t="s">
        <v>2700</v>
      </c>
      <c r="C1315" s="6" t="s">
        <v>2712</v>
      </c>
      <c r="D1315" s="6" t="s">
        <v>2167</v>
      </c>
      <c r="E1315" s="14">
        <v>45994.746527777781</v>
      </c>
      <c r="F1315" s="8">
        <f>IF(HOUR(Table1[[#This Row],[CORREO]])&gt;=11,WORKDAY(Table1[[#This Row],[CORREO]],1,Table2[Dias no laborales]),E1315)</f>
        <v>45995</v>
      </c>
      <c r="G1315" s="8">
        <v>46008</v>
      </c>
      <c r="H1315" s="6">
        <f t="shared" si="43"/>
        <v>49</v>
      </c>
      <c r="I1315" s="16">
        <f>MAX(1, NETWORKDAYS(A1315, G1315,Table2[Dias no laborales]))</f>
        <v>10</v>
      </c>
      <c r="J1315" s="6" t="str">
        <f>IF(Table1[[#This Row],[FIN]]="","Acumulado",IF(ISNUMBER(SEARCH("ASAP",C1315)),"ASAP",IF(NETWORKDAYS.INTL(F1315,G1315,1,Table2[Dias no laborales]) &lt;= 7, "Dentro", IF(A1315&gt;F1315,"Programado","Fuera"))))</f>
        <v>Fuera</v>
      </c>
      <c r="K1315" s="6" t="str">
        <f t="shared" si="44"/>
        <v>A tiempo</v>
      </c>
      <c r="L1315" s="8">
        <v>45995</v>
      </c>
      <c r="M1315" s="17">
        <f>MAX(1,NETWORKDAYS(A1315,L1315,Table2[Dias no laborales]))</f>
        <v>1</v>
      </c>
    </row>
    <row r="1316" spans="1:13" hidden="1" x14ac:dyDescent="0.3">
      <c r="A1316" s="8">
        <v>45995</v>
      </c>
      <c r="B1316" s="6" t="s">
        <v>2628</v>
      </c>
      <c r="C1316" s="6" t="s">
        <v>2629</v>
      </c>
      <c r="D1316" s="6" t="s">
        <v>100</v>
      </c>
      <c r="E1316" s="14">
        <v>45994.945138888892</v>
      </c>
      <c r="F1316" s="8">
        <f>IF(HOUR(Table1[[#This Row],[CORREO]])&gt;=11,WORKDAY(Table1[[#This Row],[CORREO]],1,Table2[Dias no laborales]),E1316)</f>
        <v>45995</v>
      </c>
      <c r="G1316" s="8">
        <v>45996</v>
      </c>
      <c r="H1316" s="6">
        <f t="shared" si="43"/>
        <v>49</v>
      </c>
      <c r="I1316" s="16">
        <f>MAX(1, NETWORKDAYS(A1316, G1316,Table2[Dias no laborales]))</f>
        <v>2</v>
      </c>
      <c r="J1316" s="6" t="str">
        <f>IF(Table1[[#This Row],[FIN]]="","Acumulado",IF(ISNUMBER(SEARCH("ASAP",C1316)),"ASAP",IF(NETWORKDAYS.INTL(F1316,G1316,1,Table2[Dias no laborales]) &lt;= 7, "Dentro", IF(A1316&gt;F1316,"Programado","Fuera"))))</f>
        <v>Dentro</v>
      </c>
      <c r="K1316" s="6" t="str">
        <f t="shared" si="44"/>
        <v>A tiempo</v>
      </c>
      <c r="L1316" s="8">
        <v>45996</v>
      </c>
      <c r="M1316" s="17">
        <f>MAX(1,NETWORKDAYS(A1316,L1316,Table2[Dias no laborales]))</f>
        <v>2</v>
      </c>
    </row>
    <row r="1317" spans="1:13" hidden="1" x14ac:dyDescent="0.3">
      <c r="A1317" s="8">
        <v>45995</v>
      </c>
      <c r="B1317" s="6" t="s">
        <v>2650</v>
      </c>
      <c r="C1317" s="6" t="s">
        <v>2651</v>
      </c>
      <c r="D1317" s="6" t="s">
        <v>2586</v>
      </c>
      <c r="E1317" s="14">
        <v>45995.357638888891</v>
      </c>
      <c r="F1317" s="8">
        <f>IF(HOUR(Table1[[#This Row],[CORREO]])&gt;=11,WORKDAY(Table1[[#This Row],[CORREO]],1,Table2[Dias no laborales]),E1317)</f>
        <v>45995.357638888891</v>
      </c>
      <c r="G1317" s="8">
        <v>46000</v>
      </c>
      <c r="H1317" s="6">
        <f t="shared" si="43"/>
        <v>49</v>
      </c>
      <c r="I1317" s="16">
        <f>MAX(1, NETWORKDAYS(A1317, G1317,Table2[Dias no laborales]))</f>
        <v>4</v>
      </c>
      <c r="J1317" s="6" t="str">
        <f>IF(Table1[[#This Row],[FIN]]="","Acumulado",IF(ISNUMBER(SEARCH("ASAP",C1317)),"ASAP",IF(NETWORKDAYS.INTL(F1317,G1317,1,Table2[Dias no laborales]) &lt;= 7, "Dentro", IF(A1317&gt;F1317,"Programado","Fuera"))))</f>
        <v>Dentro</v>
      </c>
      <c r="K1317" s="6" t="str">
        <f t="shared" si="44"/>
        <v>A tiempo</v>
      </c>
      <c r="L1317" s="8">
        <v>45995</v>
      </c>
      <c r="M1317" s="17">
        <f>MAX(1,NETWORKDAYS(A1317,L1317,Table2[Dias no laborales]))</f>
        <v>1</v>
      </c>
    </row>
    <row r="1318" spans="1:13" hidden="1" x14ac:dyDescent="0.3">
      <c r="A1318" s="8">
        <v>45995</v>
      </c>
      <c r="B1318" s="6" t="s">
        <v>2624</v>
      </c>
      <c r="C1318" s="6" t="s">
        <v>2625</v>
      </c>
      <c r="D1318" s="6" t="s">
        <v>24</v>
      </c>
      <c r="E1318" s="14">
        <v>45995.456944444442</v>
      </c>
      <c r="F1318" s="8">
        <f>IF(HOUR(Table1[[#This Row],[CORREO]])&gt;=11,WORKDAY(Table1[[#This Row],[CORREO]],1,Table2[Dias no laborales]),E1318)</f>
        <v>45995.456944444442</v>
      </c>
      <c r="G1318" s="8">
        <v>45995</v>
      </c>
      <c r="H1318" s="6">
        <f t="shared" si="43"/>
        <v>49</v>
      </c>
      <c r="I1318" s="16">
        <f>MAX(1, NETWORKDAYS(A1318, G1318,Table2[Dias no laborales]))</f>
        <v>1</v>
      </c>
      <c r="J1318" s="6" t="str">
        <f>IF(Table1[[#This Row],[FIN]]="","Acumulado",IF(ISNUMBER(SEARCH("ASAP",C1318)),"ASAP",IF(NETWORKDAYS.INTL(F1318,G1318,1,Table2[Dias no laborales]) &lt;= 7, "Dentro", IF(A1318&gt;F1318,"Programado","Fuera"))))</f>
        <v>Dentro</v>
      </c>
      <c r="K1318" s="6" t="str">
        <f t="shared" si="44"/>
        <v>A tiempo</v>
      </c>
      <c r="L1318" s="8">
        <v>45995</v>
      </c>
      <c r="M1318" s="17">
        <f>MAX(1,NETWORKDAYS(A1318,L1318,Table2[Dias no laborales]))</f>
        <v>1</v>
      </c>
    </row>
    <row r="1319" spans="1:13" hidden="1" x14ac:dyDescent="0.3">
      <c r="A1319" s="8">
        <v>45995</v>
      </c>
      <c r="B1319" s="6" t="s">
        <v>2663</v>
      </c>
      <c r="C1319" s="6" t="s">
        <v>2713</v>
      </c>
      <c r="D1319" s="6" t="s">
        <v>538</v>
      </c>
      <c r="E1319" s="14"/>
      <c r="F1319" s="8">
        <f>IF(HOUR(Table1[[#This Row],[CORREO]])&gt;=11,WORKDAY(Table1[[#This Row],[CORREO]],1,Table2[Dias no laborales]),E1319)</f>
        <v>0</v>
      </c>
      <c r="G1319" s="8">
        <v>46001</v>
      </c>
      <c r="H1319" s="6">
        <f t="shared" si="43"/>
        <v>49</v>
      </c>
      <c r="I1319" s="16">
        <f>MAX(1, NETWORKDAYS(A1319, G1319,Table2[Dias no laborales]))</f>
        <v>5</v>
      </c>
      <c r="J1319" s="6" t="str">
        <f>IF(Table1[[#This Row],[FIN]]="","Acumulado",IF(ISNUMBER(SEARCH("ASAP",C1319)),"ASAP",IF(NETWORKDAYS.INTL(F1319,G1319,1,Table2[Dias no laborales]) &lt;= 7, "Dentro", IF(A1319&gt;F1319,"Programado","Fuera"))))</f>
        <v>Programado</v>
      </c>
      <c r="K1319" s="6" t="str">
        <f t="shared" si="44"/>
        <v>Programados</v>
      </c>
      <c r="L1319" s="8">
        <v>45996</v>
      </c>
      <c r="M1319" s="17">
        <f>MAX(1,NETWORKDAYS(A1319,L1319,Table2[Dias no laborales]))</f>
        <v>2</v>
      </c>
    </row>
    <row r="1320" spans="1:13" hidden="1" x14ac:dyDescent="0.3">
      <c r="A1320" s="8">
        <v>45995</v>
      </c>
      <c r="B1320" s="6" t="s">
        <v>2664</v>
      </c>
      <c r="C1320" s="6" t="s">
        <v>2713</v>
      </c>
      <c r="D1320" s="6" t="s">
        <v>27</v>
      </c>
      <c r="E1320" s="14"/>
      <c r="F1320" s="8">
        <f>IF(HOUR(Table1[[#This Row],[CORREO]])&gt;=11,WORKDAY(Table1[[#This Row],[CORREO]],1,Table2[Dias no laborales]),E1320)</f>
        <v>0</v>
      </c>
      <c r="G1320" s="8">
        <v>46001</v>
      </c>
      <c r="H1320" s="6">
        <f t="shared" si="43"/>
        <v>49</v>
      </c>
      <c r="I1320" s="16">
        <f>MAX(1, NETWORKDAYS(A1320, G1320,Table2[Dias no laborales]))</f>
        <v>5</v>
      </c>
      <c r="J1320" s="6" t="str">
        <f>IF(Table1[[#This Row],[FIN]]="","Acumulado",IF(ISNUMBER(SEARCH("ASAP",C1320)),"ASAP",IF(NETWORKDAYS.INTL(F1320,G1320,1,Table2[Dias no laborales]) &lt;= 7, "Dentro", IF(A1320&gt;F1320,"Programado","Fuera"))))</f>
        <v>Programado</v>
      </c>
      <c r="K1320" s="6" t="str">
        <f t="shared" si="44"/>
        <v>Programados</v>
      </c>
      <c r="L1320" s="8">
        <v>45996</v>
      </c>
      <c r="M1320" s="17">
        <f>MAX(1,NETWORKDAYS(A1320,L1320,Table2[Dias no laborales]))</f>
        <v>2</v>
      </c>
    </row>
    <row r="1321" spans="1:13" hidden="1" x14ac:dyDescent="0.3">
      <c r="A1321" s="8">
        <v>45996</v>
      </c>
      <c r="B1321" s="6" t="s">
        <v>2656</v>
      </c>
      <c r="C1321" s="6" t="s">
        <v>2657</v>
      </c>
      <c r="D1321" s="6" t="s">
        <v>24</v>
      </c>
      <c r="E1321" s="14"/>
      <c r="F1321" s="8">
        <f>IF(HOUR(Table1[[#This Row],[CORREO]])&gt;=11,WORKDAY(Table1[[#This Row],[CORREO]],1,Table2[Dias no laborales]),E1321)</f>
        <v>0</v>
      </c>
      <c r="G1321" s="8">
        <v>46001</v>
      </c>
      <c r="H1321" s="6">
        <f t="shared" si="43"/>
        <v>49</v>
      </c>
      <c r="I1321" s="16">
        <f>MAX(1, NETWORKDAYS(A1321, G1321,Table2[Dias no laborales]))</f>
        <v>4</v>
      </c>
      <c r="J1321" s="6" t="str">
        <f>IF(Table1[[#This Row],[FIN]]="","Acumulado",IF(ISNUMBER(SEARCH("ASAP",C1321)),"ASAP",IF(NETWORKDAYS.INTL(F1321,G1321,1,Table2[Dias no laborales]) &lt;= 7, "Dentro", IF(A1321&gt;F1321,"Programado","Fuera"))))</f>
        <v>Programado</v>
      </c>
      <c r="K1321" s="6" t="str">
        <f t="shared" si="44"/>
        <v>Programados</v>
      </c>
      <c r="L1321" s="8">
        <v>45999</v>
      </c>
      <c r="M1321" s="17">
        <f>MAX(1,NETWORKDAYS(A1321,L1321,Table2[Dias no laborales]))</f>
        <v>2</v>
      </c>
    </row>
    <row r="1322" spans="1:13" hidden="1" x14ac:dyDescent="0.3">
      <c r="A1322" s="8">
        <v>45996</v>
      </c>
      <c r="B1322" s="6" t="s">
        <v>2660</v>
      </c>
      <c r="C1322" s="6" t="s">
        <v>2714</v>
      </c>
      <c r="D1322" s="6" t="s">
        <v>1675</v>
      </c>
      <c r="E1322" s="14">
        <v>45995.690972222219</v>
      </c>
      <c r="F1322" s="8">
        <f>IF(HOUR(Table1[[#This Row],[CORREO]])&gt;=11,WORKDAY(Table1[[#This Row],[CORREO]],1,Table2[Dias no laborales]),E1322)</f>
        <v>45996</v>
      </c>
      <c r="G1322" s="8">
        <v>46001</v>
      </c>
      <c r="H1322" s="6">
        <f t="shared" si="43"/>
        <v>49</v>
      </c>
      <c r="I1322" s="16">
        <f>MAX(1, NETWORKDAYS(A1322, G1322,Table2[Dias no laborales]))</f>
        <v>4</v>
      </c>
      <c r="J1322" s="6" t="str">
        <f>IF(Table1[[#This Row],[FIN]]="","Acumulado",IF(ISNUMBER(SEARCH("ASAP",C1322)),"ASAP",IF(NETWORKDAYS.INTL(F1322,G1322,1,Table2[Dias no laborales]) &lt;= 7, "Dentro", IF(A1322&gt;F1322,"Programado","Fuera"))))</f>
        <v>Dentro</v>
      </c>
      <c r="K1322" s="6" t="str">
        <f t="shared" si="44"/>
        <v>A tiempo</v>
      </c>
      <c r="L1322" s="8">
        <v>45996</v>
      </c>
      <c r="M1322" s="17">
        <f>MAX(1,NETWORKDAYS(A1322,L1322,Table2[Dias no laborales]))</f>
        <v>1</v>
      </c>
    </row>
    <row r="1323" spans="1:13" hidden="1" x14ac:dyDescent="0.3">
      <c r="A1323" s="8">
        <v>45996</v>
      </c>
      <c r="B1323" s="6" t="s">
        <v>2675</v>
      </c>
      <c r="C1323" s="6" t="s">
        <v>2715</v>
      </c>
      <c r="D1323" s="6" t="s">
        <v>27</v>
      </c>
      <c r="E1323" s="14"/>
      <c r="F1323" s="8">
        <f>IF(HOUR(Table1[[#This Row],[CORREO]])&gt;=11,WORKDAY(Table1[[#This Row],[CORREO]],1,Table2[Dias no laborales]),E1323)</f>
        <v>0</v>
      </c>
      <c r="G1323" s="8">
        <v>46002</v>
      </c>
      <c r="H1323" s="6">
        <f t="shared" si="43"/>
        <v>49</v>
      </c>
      <c r="I1323" s="16">
        <f>MAX(1, NETWORKDAYS(A1323, G1323,Table2[Dias no laborales]))</f>
        <v>5</v>
      </c>
      <c r="J1323" s="6" t="str">
        <f>IF(Table1[[#This Row],[FIN]]="","Acumulado",IF(ISNUMBER(SEARCH("ASAP",C1323)),"ASAP",IF(NETWORKDAYS.INTL(F1323,G1323,1,Table2[Dias no laborales]) &lt;= 7, "Dentro", IF(A1323&gt;F1323,"Programado","Fuera"))))</f>
        <v>Programado</v>
      </c>
      <c r="K1323" s="6" t="str">
        <f t="shared" si="44"/>
        <v>Programados</v>
      </c>
      <c r="L1323" s="8">
        <v>45996</v>
      </c>
      <c r="M1323" s="17">
        <f>MAX(1,NETWORKDAYS(A1323,L1323,Table2[Dias no laborales]))</f>
        <v>1</v>
      </c>
    </row>
    <row r="1324" spans="1:13" hidden="1" x14ac:dyDescent="0.3">
      <c r="A1324" s="8">
        <v>45996</v>
      </c>
      <c r="B1324" s="6" t="s">
        <v>2676</v>
      </c>
      <c r="C1324" s="6" t="s">
        <v>2716</v>
      </c>
      <c r="D1324" s="6" t="s">
        <v>27</v>
      </c>
      <c r="E1324" s="14"/>
      <c r="F1324" s="8">
        <f>IF(HOUR(Table1[[#This Row],[CORREO]])&gt;=11,WORKDAY(Table1[[#This Row],[CORREO]],1,Table2[Dias no laborales]),E1324)</f>
        <v>0</v>
      </c>
      <c r="G1324" s="8">
        <v>46002</v>
      </c>
      <c r="H1324" s="6">
        <f t="shared" si="43"/>
        <v>49</v>
      </c>
      <c r="I1324" s="16">
        <f>MAX(1, NETWORKDAYS(A1324, G1324,Table2[Dias no laborales]))</f>
        <v>5</v>
      </c>
      <c r="J1324" s="6" t="str">
        <f>IF(Table1[[#This Row],[FIN]]="","Acumulado",IF(ISNUMBER(SEARCH("ASAP",C1324)),"ASAP",IF(NETWORKDAYS.INTL(F1324,G1324,1,Table2[Dias no laborales]) &lt;= 7, "Dentro", IF(A1324&gt;F1324,"Programado","Fuera"))))</f>
        <v>Programado</v>
      </c>
      <c r="K1324" s="6" t="str">
        <f t="shared" si="44"/>
        <v>Programados</v>
      </c>
      <c r="L1324" s="8">
        <v>45996</v>
      </c>
      <c r="M1324" s="17">
        <f>MAX(1,NETWORKDAYS(A1324,L1324,Table2[Dias no laborales]))</f>
        <v>1</v>
      </c>
    </row>
    <row r="1325" spans="1:13" hidden="1" x14ac:dyDescent="0.3">
      <c r="A1325" s="8">
        <v>45996</v>
      </c>
      <c r="B1325" s="6" t="s">
        <v>2690</v>
      </c>
      <c r="C1325" s="6" t="s">
        <v>2717</v>
      </c>
      <c r="D1325" s="6" t="s">
        <v>27</v>
      </c>
      <c r="E1325" s="14"/>
      <c r="F1325" s="8">
        <f>IF(HOUR(Table1[[#This Row],[CORREO]])&gt;=11,WORKDAY(Table1[[#This Row],[CORREO]],1,Table2[Dias no laborales]),E1325)</f>
        <v>0</v>
      </c>
      <c r="G1325" s="8">
        <v>46006</v>
      </c>
      <c r="H1325" s="6">
        <f t="shared" si="43"/>
        <v>49</v>
      </c>
      <c r="I1325" s="16">
        <f>MAX(1, NETWORKDAYS(A1325, G1325,Table2[Dias no laborales]))</f>
        <v>7</v>
      </c>
      <c r="J1325" s="6" t="str">
        <f>IF(Table1[[#This Row],[FIN]]="","Acumulado",IF(ISNUMBER(SEARCH("ASAP",C1325)),"ASAP",IF(NETWORKDAYS.INTL(F1325,G1325,1,Table2[Dias no laborales]) &lt;= 7, "Dentro", IF(A1325&gt;F1325,"Programado","Fuera"))))</f>
        <v>Programado</v>
      </c>
      <c r="K1325" s="6" t="str">
        <f t="shared" si="44"/>
        <v>Programados</v>
      </c>
      <c r="L1325" s="8">
        <v>45996</v>
      </c>
      <c r="M1325" s="17">
        <f>MAX(1,NETWORKDAYS(A1325,L1325,Table2[Dias no laborales]))</f>
        <v>1</v>
      </c>
    </row>
    <row r="1326" spans="1:13" hidden="1" x14ac:dyDescent="0.3">
      <c r="A1326" s="8">
        <v>45996</v>
      </c>
      <c r="B1326" s="6" t="s">
        <v>2689</v>
      </c>
      <c r="C1326" s="6" t="s">
        <v>2718</v>
      </c>
      <c r="D1326" s="6" t="s">
        <v>27</v>
      </c>
      <c r="E1326" s="14"/>
      <c r="F1326" s="8">
        <f>IF(HOUR(Table1[[#This Row],[CORREO]])&gt;=11,WORKDAY(Table1[[#This Row],[CORREO]],1,Table2[Dias no laborales]),E1326)</f>
        <v>0</v>
      </c>
      <c r="G1326" s="8">
        <v>46006</v>
      </c>
      <c r="H1326" s="6">
        <f t="shared" si="43"/>
        <v>49</v>
      </c>
      <c r="I1326" s="16">
        <f>MAX(1, NETWORKDAYS(A1326, G1326,Table2[Dias no laborales]))</f>
        <v>7</v>
      </c>
      <c r="J1326" s="6" t="str">
        <f>IF(Table1[[#This Row],[FIN]]="","Acumulado",IF(ISNUMBER(SEARCH("ASAP",C1326)),"ASAP",IF(NETWORKDAYS.INTL(F1326,G1326,1,Table2[Dias no laborales]) &lt;= 7, "Dentro", IF(A1326&gt;F1326,"Programado","Fuera"))))</f>
        <v>Programado</v>
      </c>
      <c r="K1326" s="6" t="str">
        <f t="shared" si="44"/>
        <v>Programados</v>
      </c>
      <c r="L1326" s="8">
        <v>45996</v>
      </c>
      <c r="M1326" s="17">
        <f>MAX(1,NETWORKDAYS(A1326,L1326,Table2[Dias no laborales]))</f>
        <v>1</v>
      </c>
    </row>
    <row r="1327" spans="1:13" hidden="1" x14ac:dyDescent="0.3">
      <c r="A1327" s="8">
        <v>45996</v>
      </c>
      <c r="B1327" s="6" t="s">
        <v>2677</v>
      </c>
      <c r="C1327" s="6" t="s">
        <v>2719</v>
      </c>
      <c r="D1327" s="6" t="s">
        <v>27</v>
      </c>
      <c r="E1327" s="14"/>
      <c r="F1327" s="8">
        <f>IF(HOUR(Table1[[#This Row],[CORREO]])&gt;=11,WORKDAY(Table1[[#This Row],[CORREO]],1,Table2[Dias no laborales]),E1327)</f>
        <v>0</v>
      </c>
      <c r="G1327" s="8">
        <v>46002</v>
      </c>
      <c r="H1327" s="6">
        <f t="shared" si="43"/>
        <v>49</v>
      </c>
      <c r="I1327" s="16">
        <f>MAX(1, NETWORKDAYS(A1327, G1327,Table2[Dias no laborales]))</f>
        <v>5</v>
      </c>
      <c r="J1327" s="6" t="str">
        <f>IF(Table1[[#This Row],[FIN]]="","Acumulado",IF(ISNUMBER(SEARCH("ASAP",C1327)),"ASAP",IF(NETWORKDAYS.INTL(F1327,G1327,1,Table2[Dias no laborales]) &lt;= 7, "Dentro", IF(A1327&gt;F1327,"Programado","Fuera"))))</f>
        <v>Programado</v>
      </c>
      <c r="K1327" s="6" t="str">
        <f t="shared" si="44"/>
        <v>Programados</v>
      </c>
      <c r="L1327" s="8">
        <v>45996</v>
      </c>
      <c r="M1327" s="17">
        <f>MAX(1,NETWORKDAYS(A1327,L1327,Table2[Dias no laborales]))</f>
        <v>1</v>
      </c>
    </row>
    <row r="1328" spans="1:13" hidden="1" x14ac:dyDescent="0.3">
      <c r="A1328" s="8">
        <v>45996</v>
      </c>
      <c r="B1328" s="6" t="s">
        <v>2636</v>
      </c>
      <c r="C1328" s="6" t="s">
        <v>2637</v>
      </c>
      <c r="D1328" s="6" t="s">
        <v>504</v>
      </c>
      <c r="E1328" s="14">
        <v>45996.376388888886</v>
      </c>
      <c r="F1328" s="8">
        <f>IF(HOUR(Table1[[#This Row],[CORREO]])&gt;=11,WORKDAY(Table1[[#This Row],[CORREO]],1,Table2[Dias no laborales]),E1328)</f>
        <v>45996.376388888886</v>
      </c>
      <c r="G1328" s="8">
        <v>45996</v>
      </c>
      <c r="H1328" s="6">
        <f t="shared" si="43"/>
        <v>49</v>
      </c>
      <c r="I1328" s="16">
        <f>MAX(1, NETWORKDAYS(A1328, G1328,Table2[Dias no laborales]))</f>
        <v>1</v>
      </c>
      <c r="J1328" s="6" t="str">
        <f>IF(Table1[[#This Row],[FIN]]="","Acumulado",IF(ISNUMBER(SEARCH("ASAP",C1328)),"ASAP",IF(NETWORKDAYS.INTL(F1328,G1328,1,Table2[Dias no laborales]) &lt;= 7, "Dentro", IF(A1328&gt;F1328,"Programado","Fuera"))))</f>
        <v>Dentro</v>
      </c>
      <c r="K1328" s="6" t="str">
        <f t="shared" si="44"/>
        <v>A tiempo</v>
      </c>
      <c r="L1328" s="8">
        <v>45996</v>
      </c>
      <c r="M1328" s="17">
        <f>MAX(1,NETWORKDAYS(A1328,L1328,Table2[Dias no laborales]))</f>
        <v>1</v>
      </c>
    </row>
    <row r="1329" spans="1:13" hidden="1" x14ac:dyDescent="0.3">
      <c r="A1329" s="8">
        <v>45996</v>
      </c>
      <c r="B1329" s="6" t="s">
        <v>2671</v>
      </c>
      <c r="C1329" s="6" t="s">
        <v>2720</v>
      </c>
      <c r="D1329" s="6" t="s">
        <v>1333</v>
      </c>
      <c r="E1329" s="14"/>
      <c r="F1329" s="8">
        <f>IF(HOUR(Table1[[#This Row],[CORREO]])&gt;=11,WORKDAY(Table1[[#This Row],[CORREO]],1,Table2[Dias no laborales]),E1329)</f>
        <v>0</v>
      </c>
      <c r="G1329" s="8">
        <v>46002</v>
      </c>
      <c r="H1329" s="6">
        <f t="shared" si="43"/>
        <v>49</v>
      </c>
      <c r="I1329" s="16">
        <f>MAX(1, NETWORKDAYS(A1329, G1329,Table2[Dias no laborales]))</f>
        <v>5</v>
      </c>
      <c r="J1329" s="6" t="str">
        <f>IF(Table1[[#This Row],[FIN]]="","Acumulado",IF(ISNUMBER(SEARCH("ASAP",C1329)),"ASAP",IF(NETWORKDAYS.INTL(F1329,G1329,1,Table2[Dias no laborales]) &lt;= 7, "Dentro", IF(A1329&gt;F1329,"Programado","Fuera"))))</f>
        <v>Programado</v>
      </c>
      <c r="K1329" s="6" t="str">
        <f t="shared" si="44"/>
        <v>Programados</v>
      </c>
      <c r="L1329" s="8">
        <v>45996</v>
      </c>
      <c r="M1329" s="17">
        <f>MAX(1,NETWORKDAYS(A1329,L1329,Table2[Dias no laborales]))</f>
        <v>1</v>
      </c>
    </row>
    <row r="1330" spans="1:13" hidden="1" x14ac:dyDescent="0.3">
      <c r="A1330" s="8">
        <v>45996</v>
      </c>
      <c r="B1330" s="6" t="s">
        <v>2648</v>
      </c>
      <c r="C1330" s="6" t="s">
        <v>2649</v>
      </c>
      <c r="D1330" s="6" t="s">
        <v>27</v>
      </c>
      <c r="E1330" s="14">
        <v>45996.568055555559</v>
      </c>
      <c r="F1330" s="8">
        <f>IF(HOUR(Table1[[#This Row],[CORREO]])&gt;=11,WORKDAY(Table1[[#This Row],[CORREO]],1,Table2[Dias no laborales]),E1330)</f>
        <v>45999</v>
      </c>
      <c r="G1330" s="8">
        <v>45999</v>
      </c>
      <c r="H1330" s="6">
        <f t="shared" si="43"/>
        <v>49</v>
      </c>
      <c r="I1330" s="16">
        <f>MAX(1, NETWORKDAYS(A1330, G1330,Table2[Dias no laborales]))</f>
        <v>2</v>
      </c>
      <c r="J1330" s="6" t="str">
        <f>IF(Table1[[#This Row],[FIN]]="","Acumulado",IF(ISNUMBER(SEARCH("ASAP",C1330)),"ASAP",IF(NETWORKDAYS.INTL(F1330,G1330,1,Table2[Dias no laborales]) &lt;= 7, "Dentro", IF(A1330&gt;F1330,"Programado","Fuera"))))</f>
        <v>ASAP</v>
      </c>
      <c r="K1330" s="6" t="str">
        <f t="shared" si="44"/>
        <v>Mismo día</v>
      </c>
      <c r="L1330" s="8">
        <v>45999</v>
      </c>
      <c r="M1330" s="17">
        <f>MAX(1,NETWORKDAYS(A1330,L1330,Table2[Dias no laborales]))</f>
        <v>2</v>
      </c>
    </row>
    <row r="1331" spans="1:13" hidden="1" x14ac:dyDescent="0.3">
      <c r="A1331" s="8">
        <v>45996</v>
      </c>
      <c r="B1331" s="6" t="s">
        <v>2670</v>
      </c>
      <c r="C1331" s="6" t="s">
        <v>2721</v>
      </c>
      <c r="D1331" s="6" t="s">
        <v>27</v>
      </c>
      <c r="E1331" s="14">
        <v>45996.573611111111</v>
      </c>
      <c r="F1331" s="8">
        <f>IF(HOUR(Table1[[#This Row],[CORREO]])&gt;=11,WORKDAY(Table1[[#This Row],[CORREO]],1,Table2[Dias no laborales]),E1331)</f>
        <v>45999</v>
      </c>
      <c r="G1331" s="8">
        <v>46002</v>
      </c>
      <c r="H1331" s="6">
        <f t="shared" si="43"/>
        <v>49</v>
      </c>
      <c r="I1331" s="16">
        <f>MAX(1, NETWORKDAYS(A1331, G1331,Table2[Dias no laborales]))</f>
        <v>5</v>
      </c>
      <c r="J1331" s="6" t="str">
        <f>IF(Table1[[#This Row],[FIN]]="","Acumulado",IF(ISNUMBER(SEARCH("ASAP",C1331)),"ASAP",IF(NETWORKDAYS.INTL(F1331,G1331,1,Table2[Dias no laborales]) &lt;= 7, "Dentro", IF(A1331&gt;F1331,"Programado","Fuera"))))</f>
        <v>ASAP</v>
      </c>
      <c r="K1331" s="6" t="str">
        <f t="shared" si="44"/>
        <v>Mismo día</v>
      </c>
      <c r="L1331" s="8">
        <v>45996</v>
      </c>
      <c r="M1331" s="17">
        <f>MAX(1,NETWORKDAYS(A1331,L1331,Table2[Dias no laborales]))</f>
        <v>1</v>
      </c>
    </row>
    <row r="1332" spans="1:13" hidden="1" x14ac:dyDescent="0.3">
      <c r="A1332" s="8">
        <v>45999</v>
      </c>
      <c r="B1332" s="6" t="s">
        <v>2678</v>
      </c>
      <c r="C1332" s="6" t="s">
        <v>2722</v>
      </c>
      <c r="D1332" s="6" t="s">
        <v>24</v>
      </c>
      <c r="E1332" s="14"/>
      <c r="F1332" s="8">
        <f>IF(HOUR(Table1[[#This Row],[CORREO]])&gt;=11,WORKDAY(Table1[[#This Row],[CORREO]],1,Table2[Dias no laborales]),E1332)</f>
        <v>0</v>
      </c>
      <c r="G1332" s="8">
        <v>46003</v>
      </c>
      <c r="H1332" s="6">
        <f t="shared" si="43"/>
        <v>49</v>
      </c>
      <c r="I1332" s="16">
        <f>MAX(1, NETWORKDAYS(A1332, G1332,Table2[Dias no laborales]))</f>
        <v>5</v>
      </c>
      <c r="J1332" s="6" t="str">
        <f>IF(Table1[[#This Row],[FIN]]="","Acumulado",IF(ISNUMBER(SEARCH("ASAP",C1332)),"ASAP",IF(NETWORKDAYS.INTL(F1332,G1332,1,Table2[Dias no laborales]) &lt;= 7, "Dentro", IF(A1332&gt;F1332,"Programado","Fuera"))))</f>
        <v>Programado</v>
      </c>
      <c r="K1332" s="6" t="str">
        <f t="shared" si="44"/>
        <v>Programados</v>
      </c>
      <c r="L1332" s="8">
        <v>45999</v>
      </c>
      <c r="M1332" s="17">
        <f>MAX(1,NETWORKDAYS(A1332,L1332,Table2[Dias no laborales]))</f>
        <v>1</v>
      </c>
    </row>
    <row r="1333" spans="1:13" hidden="1" x14ac:dyDescent="0.3">
      <c r="A1333" s="8">
        <v>45999</v>
      </c>
      <c r="B1333" s="6" t="s">
        <v>2696</v>
      </c>
      <c r="C1333" s="6" t="s">
        <v>2723</v>
      </c>
      <c r="D1333" s="6" t="s">
        <v>24</v>
      </c>
      <c r="E1333" s="14">
        <v>45996.511805555558</v>
      </c>
      <c r="F1333" s="8">
        <f>IF(HOUR(Table1[[#This Row],[CORREO]])&gt;=11,WORKDAY(Table1[[#This Row],[CORREO]],1,Table2[Dias no laborales]),E1333)</f>
        <v>45999</v>
      </c>
      <c r="G1333" s="8">
        <v>46007</v>
      </c>
      <c r="H1333" s="6">
        <f t="shared" si="43"/>
        <v>49</v>
      </c>
      <c r="I1333" s="16">
        <f>MAX(1, NETWORKDAYS(A1333, G1333,Table2[Dias no laborales]))</f>
        <v>7</v>
      </c>
      <c r="J1333" s="6" t="str">
        <f>IF(Table1[[#This Row],[FIN]]="","Acumulado",IF(ISNUMBER(SEARCH("ASAP",C1333)),"ASAP",IF(NETWORKDAYS.INTL(F1333,G1333,1,Table2[Dias no laborales]) &lt;= 7, "Dentro", IF(A1333&gt;F1333,"Programado","Fuera"))))</f>
        <v>Dentro</v>
      </c>
      <c r="K1333" s="6" t="str">
        <f t="shared" si="44"/>
        <v>A tiempo</v>
      </c>
      <c r="L1333" s="8">
        <v>45999</v>
      </c>
      <c r="M1333" s="17">
        <f>MAX(1,NETWORKDAYS(A1333,L1333,Table2[Dias no laborales]))</f>
        <v>1</v>
      </c>
    </row>
    <row r="1334" spans="1:13" hidden="1" x14ac:dyDescent="0.3">
      <c r="A1334" s="8">
        <v>45999</v>
      </c>
      <c r="B1334" s="6" t="s">
        <v>2706</v>
      </c>
      <c r="C1334" s="6" t="s">
        <v>2724</v>
      </c>
      <c r="D1334" s="6" t="s">
        <v>1136</v>
      </c>
      <c r="E1334" s="14">
        <v>45996.54791666667</v>
      </c>
      <c r="F1334" s="8">
        <f>IF(HOUR(Table1[[#This Row],[CORREO]])&gt;=11,WORKDAY(Table1[[#This Row],[CORREO]],1,Table2[Dias no laborales]),E1334)</f>
        <v>45999</v>
      </c>
      <c r="G1334" s="8">
        <v>46030</v>
      </c>
      <c r="H1334" s="6">
        <f t="shared" si="43"/>
        <v>49</v>
      </c>
      <c r="I1334" s="16">
        <f>MAX(1, NETWORKDAYS(A1334, G1334,Table2[Dias no laborales]))</f>
        <v>20</v>
      </c>
      <c r="J1334" s="6" t="str">
        <f>IF(Table1[[#This Row],[FIN]]="","Acumulado",IF(ISNUMBER(SEARCH("ASAP",C1334)),"ASAP",IF(NETWORKDAYS.INTL(F1334,G1334,1,Table2[Dias no laborales]) &lt;= 7, "Dentro", IF(A1334&gt;F1334,"Programado","Fuera"))))</f>
        <v>Fuera</v>
      </c>
      <c r="K1334" s="6" t="str">
        <f t="shared" si="44"/>
        <v>A tiempo</v>
      </c>
      <c r="L1334" s="8">
        <v>45999</v>
      </c>
      <c r="M1334" s="17">
        <f>MAX(1,NETWORKDAYS(A1334,L1334,Table2[Dias no laborales]))</f>
        <v>1</v>
      </c>
    </row>
    <row r="1335" spans="1:13" hidden="1" x14ac:dyDescent="0.3">
      <c r="A1335" s="8">
        <v>45999</v>
      </c>
      <c r="B1335" s="6" t="s">
        <v>2662</v>
      </c>
      <c r="C1335" s="6" t="s">
        <v>2725</v>
      </c>
      <c r="D1335" s="6" t="s">
        <v>1136</v>
      </c>
      <c r="E1335" s="14">
        <v>45996.549305555556</v>
      </c>
      <c r="F1335" s="8">
        <f>IF(HOUR(Table1[[#This Row],[CORREO]])&gt;=11,WORKDAY(Table1[[#This Row],[CORREO]],1,Table2[Dias no laborales]),E1335)</f>
        <v>45999</v>
      </c>
      <c r="G1335" s="8">
        <v>46001</v>
      </c>
      <c r="H1335" s="6">
        <f t="shared" si="43"/>
        <v>49</v>
      </c>
      <c r="I1335" s="16">
        <f>MAX(1, NETWORKDAYS(A1335, G1335,Table2[Dias no laborales]))</f>
        <v>3</v>
      </c>
      <c r="J1335" s="6" t="str">
        <f>IF(Table1[[#This Row],[FIN]]="","Acumulado",IF(ISNUMBER(SEARCH("ASAP",C1335)),"ASAP",IF(NETWORKDAYS.INTL(F1335,G1335,1,Table2[Dias no laborales]) &lt;= 7, "Dentro", IF(A1335&gt;F1335,"Programado","Fuera"))))</f>
        <v>Dentro</v>
      </c>
      <c r="K1335" s="6" t="str">
        <f t="shared" si="44"/>
        <v>A tiempo</v>
      </c>
      <c r="L1335" s="8">
        <v>45999</v>
      </c>
      <c r="M1335" s="17">
        <f>MAX(1,NETWORKDAYS(A1335,L1335,Table2[Dias no laborales]))</f>
        <v>1</v>
      </c>
    </row>
    <row r="1336" spans="1:13" hidden="1" x14ac:dyDescent="0.3">
      <c r="A1336" s="8">
        <v>45999</v>
      </c>
      <c r="B1336" s="6" t="s">
        <v>2661</v>
      </c>
      <c r="C1336" s="14" t="s">
        <v>2726</v>
      </c>
      <c r="D1336" s="6" t="s">
        <v>1136</v>
      </c>
      <c r="E1336" s="14">
        <v>45996.551388888889</v>
      </c>
      <c r="F1336" s="8">
        <f>IF(HOUR(Table1[[#This Row],[CORREO]])&gt;=11,WORKDAY(Table1[[#This Row],[CORREO]],1,Table2[Dias no laborales]),E1336)</f>
        <v>45999</v>
      </c>
      <c r="G1336" s="8">
        <v>46001</v>
      </c>
      <c r="H1336" s="6">
        <f t="shared" si="43"/>
        <v>49</v>
      </c>
      <c r="I1336" s="16">
        <f>MAX(1, NETWORKDAYS(A1336, G1336,Table2[Dias no laborales]))</f>
        <v>3</v>
      </c>
      <c r="J1336" s="6" t="str">
        <f>IF(Table1[[#This Row],[FIN]]="","Acumulado",IF(ISNUMBER(SEARCH("ASAP",C1336)),"ASAP",IF(NETWORKDAYS.INTL(F1336,G1336,1,Table2[Dias no laborales]) &lt;= 7, "Dentro", IF(A1336&gt;F1336,"Programado","Fuera"))))</f>
        <v>Dentro</v>
      </c>
      <c r="K1336" s="6" t="str">
        <f t="shared" si="44"/>
        <v>A tiempo</v>
      </c>
      <c r="L1336" s="8">
        <v>45999</v>
      </c>
      <c r="M1336" s="17">
        <f>MAX(1,NETWORKDAYS(A1336,L1336,Table2[Dias no laborales]))</f>
        <v>1</v>
      </c>
    </row>
    <row r="1337" spans="1:13" hidden="1" x14ac:dyDescent="0.3">
      <c r="A1337" s="8">
        <v>45999</v>
      </c>
      <c r="B1337" s="6" t="s">
        <v>2644</v>
      </c>
      <c r="C1337" s="6" t="s">
        <v>2645</v>
      </c>
      <c r="D1337" s="6" t="s">
        <v>1333</v>
      </c>
      <c r="E1337" s="14">
        <v>45996.602777777778</v>
      </c>
      <c r="F1337" s="8">
        <f>IF(HOUR(Table1[[#This Row],[CORREO]])&gt;=11,WORKDAY(Table1[[#This Row],[CORREO]],1,Table2[Dias no laborales]),E1337)</f>
        <v>45999</v>
      </c>
      <c r="G1337" s="8">
        <v>45999</v>
      </c>
      <c r="H1337" s="6">
        <f t="shared" si="43"/>
        <v>49</v>
      </c>
      <c r="I1337" s="16">
        <f>MAX(1, NETWORKDAYS(A1337, G1337,Table2[Dias no laborales]))</f>
        <v>1</v>
      </c>
      <c r="J1337" s="6" t="str">
        <f>IF(Table1[[#This Row],[FIN]]="","Acumulado",IF(ISNUMBER(SEARCH("ASAP",C1337)),"ASAP",IF(NETWORKDAYS.INTL(F1337,G1337,1,Table2[Dias no laborales]) &lt;= 7, "Dentro", IF(A1337&gt;F1337,"Programado","Fuera"))))</f>
        <v>Dentro</v>
      </c>
      <c r="K1337" s="6" t="str">
        <f t="shared" si="44"/>
        <v>A tiempo</v>
      </c>
      <c r="L1337" s="8">
        <v>45999</v>
      </c>
      <c r="M1337" s="17">
        <f>MAX(1,NETWORKDAYS(A1337,L1337,Table2[Dias no laborales]))</f>
        <v>1</v>
      </c>
    </row>
    <row r="1338" spans="1:13" hidden="1" x14ac:dyDescent="0.3">
      <c r="A1338" s="8">
        <v>45999</v>
      </c>
      <c r="B1338" s="6" t="s">
        <v>2640</v>
      </c>
      <c r="C1338" s="6" t="s">
        <v>2641</v>
      </c>
      <c r="D1338" s="6" t="s">
        <v>56</v>
      </c>
      <c r="E1338" s="14">
        <v>45996.609722222223</v>
      </c>
      <c r="F1338" s="8">
        <f>IF(HOUR(Table1[[#This Row],[CORREO]])&gt;=11,WORKDAY(Table1[[#This Row],[CORREO]],1,Table2[Dias no laborales]),E1338)</f>
        <v>45999</v>
      </c>
      <c r="G1338" s="8">
        <v>45999</v>
      </c>
      <c r="H1338" s="6">
        <f t="shared" si="43"/>
        <v>49</v>
      </c>
      <c r="I1338" s="16">
        <f>MAX(1, NETWORKDAYS(A1338, G1338,Table2[Dias no laborales]))</f>
        <v>1</v>
      </c>
      <c r="J1338" s="6" t="str">
        <f>IF(Table1[[#This Row],[FIN]]="","Acumulado",IF(ISNUMBER(SEARCH("ASAP",C1338)),"ASAP",IF(NETWORKDAYS.INTL(F1338,G1338,1,Table2[Dias no laborales]) &lt;= 7, "Dentro", IF(A1338&gt;F1338,"Programado","Fuera"))))</f>
        <v>Dentro</v>
      </c>
      <c r="K1338" s="6" t="str">
        <f t="shared" si="44"/>
        <v>A tiempo</v>
      </c>
      <c r="L1338" s="8">
        <v>45999</v>
      </c>
      <c r="M1338" s="17">
        <f>MAX(1,NETWORKDAYS(A1338,L1338,Table2[Dias no laborales]))</f>
        <v>1</v>
      </c>
    </row>
    <row r="1339" spans="1:13" hidden="1" x14ac:dyDescent="0.3">
      <c r="A1339" s="8">
        <v>45999</v>
      </c>
      <c r="B1339" s="6" t="s">
        <v>2646</v>
      </c>
      <c r="C1339" s="6" t="s">
        <v>2647</v>
      </c>
      <c r="D1339" s="6" t="s">
        <v>1333</v>
      </c>
      <c r="E1339" s="14">
        <v>45996.636111111111</v>
      </c>
      <c r="F1339" s="8">
        <f>IF(HOUR(Table1[[#This Row],[CORREO]])&gt;=11,WORKDAY(Table1[[#This Row],[CORREO]],1,Table2[Dias no laborales]),E1339)</f>
        <v>45999</v>
      </c>
      <c r="G1339" s="8">
        <v>45999</v>
      </c>
      <c r="H1339" s="6">
        <f t="shared" si="43"/>
        <v>49</v>
      </c>
      <c r="I1339" s="16">
        <f>MAX(1, NETWORKDAYS(A1339, G1339,Table2[Dias no laborales]))</f>
        <v>1</v>
      </c>
      <c r="J1339" s="6" t="str">
        <f>IF(Table1[[#This Row],[FIN]]="","Acumulado",IF(ISNUMBER(SEARCH("ASAP",C1339)),"ASAP",IF(NETWORKDAYS.INTL(F1339,G1339,1,Table2[Dias no laborales]) &lt;= 7, "Dentro", IF(A1339&gt;F1339,"Programado","Fuera"))))</f>
        <v>Dentro</v>
      </c>
      <c r="K1339" s="6" t="str">
        <f t="shared" si="44"/>
        <v>A tiempo</v>
      </c>
      <c r="L1339" s="8">
        <v>45999</v>
      </c>
      <c r="M1339" s="17">
        <f>MAX(1,NETWORKDAYS(A1339,L1339,Table2[Dias no laborales]))</f>
        <v>1</v>
      </c>
    </row>
    <row r="1340" spans="1:13" hidden="1" x14ac:dyDescent="0.3">
      <c r="A1340" s="8">
        <v>45999</v>
      </c>
      <c r="B1340" s="6" t="s">
        <v>2642</v>
      </c>
      <c r="C1340" s="6" t="s">
        <v>2643</v>
      </c>
      <c r="D1340" s="6" t="s">
        <v>24</v>
      </c>
      <c r="E1340" s="14">
        <v>45999.34375</v>
      </c>
      <c r="F1340" s="8">
        <f>IF(HOUR(Table1[[#This Row],[CORREO]])&gt;=11,WORKDAY(Table1[[#This Row],[CORREO]],1,Table2[Dias no laborales]),E1340)</f>
        <v>45999.34375</v>
      </c>
      <c r="G1340" s="8">
        <v>45999</v>
      </c>
      <c r="H1340" s="6">
        <f t="shared" si="43"/>
        <v>49</v>
      </c>
      <c r="I1340" s="16">
        <f>MAX(1, NETWORKDAYS(A1340, G1340,Table2[Dias no laborales]))</f>
        <v>1</v>
      </c>
      <c r="J1340" s="6" t="str">
        <f>IF(Table1[[#This Row],[FIN]]="","Acumulado",IF(ISNUMBER(SEARCH("ASAP",C1340)),"ASAP",IF(NETWORKDAYS.INTL(F1340,G1340,1,Table2[Dias no laborales]) &lt;= 7, "Dentro", IF(A1340&gt;F1340,"Programado","Fuera"))))</f>
        <v>Dentro</v>
      </c>
      <c r="K1340" s="6" t="str">
        <f t="shared" si="44"/>
        <v>A tiempo</v>
      </c>
      <c r="L1340" s="8">
        <v>45999</v>
      </c>
      <c r="M1340" s="17">
        <f>MAX(1,NETWORKDAYS(A1340,L1340,Table2[Dias no laborales]))</f>
        <v>1</v>
      </c>
    </row>
    <row r="1341" spans="1:13" hidden="1" x14ac:dyDescent="0.3">
      <c r="A1341" s="8">
        <v>45999</v>
      </c>
      <c r="B1341" s="6" t="s">
        <v>2652</v>
      </c>
      <c r="C1341" s="6" t="s">
        <v>2653</v>
      </c>
      <c r="D1341" s="6" t="s">
        <v>449</v>
      </c>
      <c r="E1341" s="14">
        <v>45999.38958333333</v>
      </c>
      <c r="F1341" s="8">
        <f>IF(HOUR(Table1[[#This Row],[CORREO]])&gt;=11,WORKDAY(Table1[[#This Row],[CORREO]],1,Table2[Dias no laborales]),E1341)</f>
        <v>45999.38958333333</v>
      </c>
      <c r="G1341" s="8">
        <v>46000</v>
      </c>
      <c r="H1341" s="6">
        <f t="shared" si="43"/>
        <v>49</v>
      </c>
      <c r="I1341" s="16">
        <f>MAX(1, NETWORKDAYS(A1341, G1341,Table2[Dias no laborales]))</f>
        <v>2</v>
      </c>
      <c r="J1341" s="6" t="str">
        <f>IF(Table1[[#This Row],[FIN]]="","Acumulado",IF(ISNUMBER(SEARCH("ASAP",C1341)),"ASAP",IF(NETWORKDAYS.INTL(F1341,G1341,1,Table2[Dias no laborales]) &lt;= 7, "Dentro", IF(A1341&gt;F1341,"Programado","Fuera"))))</f>
        <v>Dentro</v>
      </c>
      <c r="K1341" s="6" t="str">
        <f t="shared" si="44"/>
        <v>A tiempo</v>
      </c>
      <c r="L1341" s="8">
        <v>45999</v>
      </c>
      <c r="M1341" s="17">
        <f>MAX(1,NETWORKDAYS(A1341,L1341,Table2[Dias no laborales]))</f>
        <v>1</v>
      </c>
    </row>
    <row r="1342" spans="1:13" hidden="1" x14ac:dyDescent="0.3">
      <c r="A1342" s="8">
        <v>46000</v>
      </c>
      <c r="B1342" s="6" t="s">
        <v>2708</v>
      </c>
      <c r="C1342" s="6" t="s">
        <v>2727</v>
      </c>
      <c r="D1342" s="6" t="s">
        <v>1360</v>
      </c>
      <c r="E1342" s="14"/>
      <c r="F1342" s="8">
        <f>IF(HOUR(Table1[[#This Row],[CORREO]])&gt;=11,WORKDAY(Table1[[#This Row],[CORREO]],1,Table2[Dias no laborales]),E1342)</f>
        <v>0</v>
      </c>
      <c r="G1342" s="8">
        <v>46010</v>
      </c>
      <c r="H1342" s="6">
        <f t="shared" si="43"/>
        <v>49</v>
      </c>
      <c r="I1342" s="16">
        <f>MAX(1, NETWORKDAYS(A1342, G1342,Table2[Dias no laborales]))</f>
        <v>9</v>
      </c>
      <c r="J1342" s="6" t="str">
        <f>IF(Table1[[#This Row],[FIN]]="","Acumulado",IF(ISNUMBER(SEARCH("ASAP",C1342)),"ASAP",IF(NETWORKDAYS.INTL(F1342,G1342,1,Table2[Dias no laborales]) &lt;= 7, "Dentro", IF(A1342&gt;F1342,"Programado","Fuera"))))</f>
        <v>ASAP</v>
      </c>
      <c r="K1342" s="6" t="str">
        <f t="shared" si="44"/>
        <v>Programados</v>
      </c>
      <c r="L1342" s="8">
        <v>46001</v>
      </c>
      <c r="M1342" s="17">
        <f>MAX(1,NETWORKDAYS(A1342,L1342,Table2[Dias no laborales]))</f>
        <v>2</v>
      </c>
    </row>
    <row r="1343" spans="1:13" hidden="1" x14ac:dyDescent="0.3">
      <c r="A1343" s="8">
        <v>46000</v>
      </c>
      <c r="B1343" s="6" t="s">
        <v>2709</v>
      </c>
      <c r="C1343" s="6" t="s">
        <v>2728</v>
      </c>
      <c r="D1343" s="6" t="s">
        <v>1360</v>
      </c>
      <c r="E1343" s="14"/>
      <c r="F1343" s="8">
        <f>IF(HOUR(Table1[[#This Row],[CORREO]])&gt;=11,WORKDAY(Table1[[#This Row],[CORREO]],1,Table2[Dias no laborales]),E1343)</f>
        <v>0</v>
      </c>
      <c r="G1343" s="8">
        <v>46010</v>
      </c>
      <c r="H1343" s="6">
        <f t="shared" si="43"/>
        <v>49</v>
      </c>
      <c r="I1343" s="16">
        <f>MAX(1, NETWORKDAYS(A1343, G1343,Table2[Dias no laborales]))</f>
        <v>9</v>
      </c>
      <c r="J1343" s="6" t="str">
        <f>IF(Table1[[#This Row],[FIN]]="","Acumulado",IF(ISNUMBER(SEARCH("ASAP",C1343)),"ASAP",IF(NETWORKDAYS.INTL(F1343,G1343,1,Table2[Dias no laborales]) &lt;= 7, "Dentro", IF(A1343&gt;F1343,"Programado","Fuera"))))</f>
        <v>ASAP</v>
      </c>
      <c r="K1343" s="6" t="str">
        <f t="shared" si="44"/>
        <v>Programados</v>
      </c>
      <c r="L1343" s="8">
        <v>46001</v>
      </c>
      <c r="M1343" s="17">
        <f>MAX(1,NETWORKDAYS(A1343,L1343,Table2[Dias no laborales]))</f>
        <v>2</v>
      </c>
    </row>
    <row r="1344" spans="1:13" hidden="1" x14ac:dyDescent="0.3">
      <c r="A1344" s="12">
        <v>46000</v>
      </c>
      <c r="B1344" s="16" t="s">
        <v>2672</v>
      </c>
      <c r="C1344" s="16" t="s">
        <v>2729</v>
      </c>
      <c r="D1344" s="16" t="s">
        <v>42</v>
      </c>
      <c r="E1344" s="14">
        <v>45999.61041666667</v>
      </c>
      <c r="F1344" s="12">
        <f>IF(HOUR(Table1[[#This Row],[CORREO]])&gt;=11,WORKDAY(Table1[[#This Row],[CORREO]],1,Table2[Dias no laborales]),E1344)</f>
        <v>46000</v>
      </c>
      <c r="G1344" s="12">
        <v>46002</v>
      </c>
      <c r="H1344" s="16">
        <f t="shared" si="43"/>
        <v>49</v>
      </c>
      <c r="I1344" s="16">
        <f>MAX(1, NETWORKDAYS(A1344, G1344,Table2[Dias no laborales]))</f>
        <v>3</v>
      </c>
      <c r="J1344" s="6" t="str">
        <f>IF(Table1[[#This Row],[FIN]]="","Acumulado",IF(ISNUMBER(SEARCH("ASAP",C1344)),"ASAP",IF(NETWORKDAYS.INTL(F1344,G1344,1,Table2[Dias no laborales]) &lt;= 7, "Dentro", IF(A1344&gt;F1344,"Programado","Fuera"))))</f>
        <v>Dentro</v>
      </c>
      <c r="K1344" s="16" t="str">
        <f t="shared" si="44"/>
        <v>A tiempo</v>
      </c>
      <c r="L1344" s="12">
        <v>46000</v>
      </c>
      <c r="M1344" s="18">
        <f>MAX(1,NETWORKDAYS(A1344,L1344,Table2[Dias no laborales]))</f>
        <v>1</v>
      </c>
    </row>
    <row r="1345" spans="1:13" hidden="1" x14ac:dyDescent="0.3">
      <c r="A1345" s="8">
        <v>46000</v>
      </c>
      <c r="B1345" s="6" t="s">
        <v>2707</v>
      </c>
      <c r="C1345" s="6" t="s">
        <v>2730</v>
      </c>
      <c r="D1345" s="6" t="s">
        <v>24</v>
      </c>
      <c r="E1345" s="14">
        <v>45999.654166666667</v>
      </c>
      <c r="F1345" s="8">
        <f>IF(HOUR(Table1[[#This Row],[CORREO]])&gt;=11,WORKDAY(Table1[[#This Row],[CORREO]],1,Table2[Dias no laborales]),E1345)</f>
        <v>46000</v>
      </c>
      <c r="G1345" s="8">
        <v>46094</v>
      </c>
      <c r="H1345" s="6">
        <f t="shared" si="43"/>
        <v>49</v>
      </c>
      <c r="I1345" s="16">
        <f>MAX(1, NETWORKDAYS(A1345, G1345,Table2[Dias no laborales]))</f>
        <v>64</v>
      </c>
      <c r="J1345" s="6" t="str">
        <f>IF(Table1[[#This Row],[FIN]]="","Acumulado",IF(ISNUMBER(SEARCH("ASAP",C1345)),"ASAP",IF(NETWORKDAYS.INTL(F1345,G1345,1,Table2[Dias no laborales]) &lt;= 7, "Dentro", IF(A1345&gt;F1345,"Programado","Fuera"))))</f>
        <v>Fuera</v>
      </c>
      <c r="K1345" s="6" t="str">
        <f t="shared" si="44"/>
        <v>A tiempo</v>
      </c>
      <c r="L1345" s="8">
        <v>46366</v>
      </c>
      <c r="M1345" s="17">
        <f>MAX(1,NETWORKDAYS(A1345,L1345,Table2[Dias no laborales]))</f>
        <v>252</v>
      </c>
    </row>
    <row r="1346" spans="1:13" hidden="1" x14ac:dyDescent="0.3">
      <c r="A1346" s="8">
        <v>46000</v>
      </c>
      <c r="B1346" s="6" t="s">
        <v>2667</v>
      </c>
      <c r="C1346" s="6" t="s">
        <v>2731</v>
      </c>
      <c r="D1346" s="6" t="s">
        <v>100</v>
      </c>
      <c r="E1346" s="14">
        <v>45999.82708333333</v>
      </c>
      <c r="F1346" s="8">
        <f>IF(HOUR(Table1[[#This Row],[CORREO]])&gt;=11,WORKDAY(Table1[[#This Row],[CORREO]],1,Table2[Dias no laborales]),E1346)</f>
        <v>46000</v>
      </c>
      <c r="G1346" s="8">
        <v>46001</v>
      </c>
      <c r="H1346" s="6">
        <f t="shared" si="43"/>
        <v>49</v>
      </c>
      <c r="I1346" s="16">
        <f>MAX(1, NETWORKDAYS(A1346, G1346,Table2[Dias no laborales]))</f>
        <v>2</v>
      </c>
      <c r="J1346" s="6" t="str">
        <f>IF(Table1[[#This Row],[FIN]]="","Acumulado",IF(ISNUMBER(SEARCH("ASAP",C1346)),"ASAP",IF(NETWORKDAYS.INTL(F1346,G1346,1,Table2[Dias no laborales]) &lt;= 7, "Dentro", IF(A1346&gt;F1346,"Programado","Fuera"))))</f>
        <v>Dentro</v>
      </c>
      <c r="K1346" s="6" t="str">
        <f t="shared" si="44"/>
        <v>A tiempo</v>
      </c>
      <c r="L1346" s="8">
        <v>46001</v>
      </c>
      <c r="M1346" s="17">
        <f>MAX(1,NETWORKDAYS(A1346,L1346,Table2[Dias no laborales]))</f>
        <v>2</v>
      </c>
    </row>
    <row r="1347" spans="1:13" hidden="1" x14ac:dyDescent="0.3">
      <c r="A1347" s="8">
        <v>46000</v>
      </c>
      <c r="B1347" s="6" t="s">
        <v>2666</v>
      </c>
      <c r="C1347" s="6" t="s">
        <v>2732</v>
      </c>
      <c r="D1347" s="6" t="s">
        <v>24</v>
      </c>
      <c r="E1347" s="14"/>
      <c r="F1347" s="8">
        <f>IF(HOUR(Table1[[#This Row],[CORREO]])&gt;=11,WORKDAY(Table1[[#This Row],[CORREO]],1,Table2[Dias no laborales]),E1347)</f>
        <v>0</v>
      </c>
      <c r="G1347" s="8">
        <v>46001</v>
      </c>
      <c r="H1347" s="6">
        <f t="shared" si="43"/>
        <v>49</v>
      </c>
      <c r="I1347" s="16">
        <f>MAX(1, NETWORKDAYS(A1347, G1347,Table2[Dias no laborales]))</f>
        <v>2</v>
      </c>
      <c r="J1347" s="6" t="str">
        <f>IF(Table1[[#This Row],[FIN]]="","Acumulado",IF(ISNUMBER(SEARCH("ASAP",C1347)),"ASAP",IF(NETWORKDAYS.INTL(F1347,G1347,1,Table2[Dias no laborales]) &lt;= 7, "Dentro", IF(A1347&gt;F1347,"Programado","Fuera"))))</f>
        <v>ASAP</v>
      </c>
      <c r="K1347" s="6" t="str">
        <f t="shared" si="44"/>
        <v>Programados</v>
      </c>
      <c r="L1347" s="8">
        <v>46000</v>
      </c>
      <c r="M1347" s="17">
        <f>MAX(1,NETWORKDAYS(A1347,L1347,Table2[Dias no laborales]))</f>
        <v>1</v>
      </c>
    </row>
    <row r="1348" spans="1:13" hidden="1" x14ac:dyDescent="0.3">
      <c r="A1348" s="8">
        <v>46000</v>
      </c>
      <c r="B1348" s="6" t="s">
        <v>2659</v>
      </c>
      <c r="C1348" s="6" t="s">
        <v>2733</v>
      </c>
      <c r="D1348" s="6" t="s">
        <v>27</v>
      </c>
      <c r="E1348" s="14">
        <v>46000.719444444447</v>
      </c>
      <c r="F1348" s="8">
        <f>IF(HOUR(Table1[[#This Row],[CORREO]])&gt;=11,WORKDAY(Table1[[#This Row],[CORREO]],1,Table2[Dias no laborales]),E1348)</f>
        <v>46001</v>
      </c>
      <c r="G1348" s="8">
        <v>46001</v>
      </c>
      <c r="H1348" s="6">
        <f t="shared" si="43"/>
        <v>49</v>
      </c>
      <c r="I1348" s="16">
        <f>MAX(1, NETWORKDAYS(A1348, G1348,Table2[Dias no laborales]))</f>
        <v>2</v>
      </c>
      <c r="J1348" s="6" t="str">
        <f>IF(Table1[[#This Row],[FIN]]="","Acumulado",IF(ISNUMBER(SEARCH("ASAP",C1348)),"ASAP",IF(NETWORKDAYS.INTL(F1348,G1348,1,Table2[Dias no laborales]) &lt;= 7, "Dentro", IF(A1348&gt;F1348,"Programado","Fuera"))))</f>
        <v>ASAP</v>
      </c>
      <c r="K1348" s="6" t="str">
        <f t="shared" si="44"/>
        <v>Mismo día</v>
      </c>
      <c r="L1348" s="8">
        <v>46000</v>
      </c>
      <c r="M1348" s="17">
        <f>MAX(1,NETWORKDAYS(A1348,L1348,Table2[Dias no laborales]))</f>
        <v>1</v>
      </c>
    </row>
    <row r="1349" spans="1:13" hidden="1" x14ac:dyDescent="0.3">
      <c r="A1349" s="8">
        <v>46001</v>
      </c>
      <c r="B1349" s="6" t="s">
        <v>2694</v>
      </c>
      <c r="C1349" s="6" t="s">
        <v>2734</v>
      </c>
      <c r="D1349" s="6" t="s">
        <v>571</v>
      </c>
      <c r="E1349" s="14">
        <v>46000.65902777778</v>
      </c>
      <c r="F1349" s="8">
        <f>IF(HOUR(Table1[[#This Row],[CORREO]])&gt;=11,WORKDAY(Table1[[#This Row],[CORREO]],1,Table2[Dias no laborales]),E1349)</f>
        <v>46001</v>
      </c>
      <c r="G1349" s="8">
        <v>46007</v>
      </c>
      <c r="H1349" s="6">
        <f t="shared" si="43"/>
        <v>50</v>
      </c>
      <c r="I1349" s="16">
        <f>MAX(1, NETWORKDAYS(A1349, G1349,Table2[Dias no laborales]))</f>
        <v>5</v>
      </c>
      <c r="J1349" s="6" t="str">
        <f>IF(Table1[[#This Row],[FIN]]="","Acumulado",IF(ISNUMBER(SEARCH("ASAP",C1349)),"ASAP",IF(NETWORKDAYS.INTL(F1349,G1349,1,Table2[Dias no laborales]) &lt;= 7, "Dentro", IF(A1349&gt;F1349,"Programado","Fuera"))))</f>
        <v>Dentro</v>
      </c>
      <c r="K1349" s="6" t="str">
        <f t="shared" si="44"/>
        <v>A tiempo</v>
      </c>
      <c r="L1349" s="8">
        <v>46001</v>
      </c>
      <c r="M1349" s="17">
        <f>MAX(1,NETWORKDAYS(A1349,L1349,Table2[Dias no laborales]))</f>
        <v>1</v>
      </c>
    </row>
    <row r="1350" spans="1:13" hidden="1" x14ac:dyDescent="0.3">
      <c r="A1350" s="8">
        <v>46001</v>
      </c>
      <c r="B1350" s="6" t="s">
        <v>2668</v>
      </c>
      <c r="C1350" s="6" t="s">
        <v>2734</v>
      </c>
      <c r="D1350" s="6" t="s">
        <v>571</v>
      </c>
      <c r="E1350" s="14">
        <v>46000.723611111112</v>
      </c>
      <c r="F1350" s="8">
        <f>IF(HOUR(Table1[[#This Row],[CORREO]])&gt;=11,WORKDAY(Table1[[#This Row],[CORREO]],1,Table2[Dias no laborales]),E1350)</f>
        <v>46001</v>
      </c>
      <c r="G1350" s="8">
        <v>46001</v>
      </c>
      <c r="H1350" s="6">
        <f t="shared" si="43"/>
        <v>50</v>
      </c>
      <c r="I1350" s="16">
        <f>MAX(1, NETWORKDAYS(A1350, G1350,Table2[Dias no laborales]))</f>
        <v>1</v>
      </c>
      <c r="J1350" s="6" t="str">
        <f>IF(Table1[[#This Row],[FIN]]="","Acumulado",IF(ISNUMBER(SEARCH("ASAP",C1350)),"ASAP",IF(NETWORKDAYS.INTL(F1350,G1350,1,Table2[Dias no laborales]) &lt;= 7, "Dentro", IF(A1350&gt;F1350,"Programado","Fuera"))))</f>
        <v>Dentro</v>
      </c>
      <c r="K1350" s="6" t="str">
        <f t="shared" si="44"/>
        <v>A tiempo</v>
      </c>
      <c r="L1350" s="8">
        <v>46001</v>
      </c>
      <c r="M1350" s="17">
        <f>MAX(1,NETWORKDAYS(A1350,L1350,Table2[Dias no laborales]))</f>
        <v>1</v>
      </c>
    </row>
    <row r="1351" spans="1:13" hidden="1" x14ac:dyDescent="0.3">
      <c r="A1351" s="8">
        <v>46001</v>
      </c>
      <c r="B1351" s="6" t="s">
        <v>2691</v>
      </c>
      <c r="C1351" s="6" t="s">
        <v>2735</v>
      </c>
      <c r="D1351" s="6" t="s">
        <v>24</v>
      </c>
      <c r="E1351" s="14">
        <v>46001.369444444441</v>
      </c>
      <c r="F1351" s="8">
        <f>IF(HOUR(Table1[[#This Row],[CORREO]])&gt;=11,WORKDAY(Table1[[#This Row],[CORREO]],1,Table2[Dias no laborales]),E1351)</f>
        <v>46001.369444444441</v>
      </c>
      <c r="G1351" s="8">
        <v>46006</v>
      </c>
      <c r="H1351" s="6">
        <f t="shared" si="43"/>
        <v>50</v>
      </c>
      <c r="I1351" s="16">
        <f>MAX(1, NETWORKDAYS(A1351, G1351,Table2[Dias no laborales]))</f>
        <v>4</v>
      </c>
      <c r="J1351" s="6" t="str">
        <f>IF(Table1[[#This Row],[FIN]]="","Acumulado",IF(ISNUMBER(SEARCH("ASAP",C1351)),"ASAP",IF(NETWORKDAYS.INTL(F1351,G1351,1,Table2[Dias no laborales]) &lt;= 7, "Dentro", IF(A1351&gt;F1351,"Programado","Fuera"))))</f>
        <v>Dentro</v>
      </c>
      <c r="K1351" s="6" t="str">
        <f t="shared" si="44"/>
        <v>A tiempo</v>
      </c>
      <c r="L1351" s="8">
        <v>46001</v>
      </c>
      <c r="M1351" s="17">
        <f>MAX(1,NETWORKDAYS(A1351,L1351,Table2[Dias no laborales]))</f>
        <v>1</v>
      </c>
    </row>
    <row r="1352" spans="1:13" hidden="1" x14ac:dyDescent="0.3">
      <c r="A1352" s="8">
        <v>46001</v>
      </c>
      <c r="B1352" s="6" t="s">
        <v>2669</v>
      </c>
      <c r="C1352" s="6" t="s">
        <v>2736</v>
      </c>
      <c r="D1352" s="6" t="s">
        <v>1099</v>
      </c>
      <c r="E1352" s="14">
        <v>46001.382638888892</v>
      </c>
      <c r="F1352" s="8">
        <f>IF(HOUR(Table1[[#This Row],[CORREO]])&gt;=11,WORKDAY(Table1[[#This Row],[CORREO]],1,Table2[Dias no laborales]),E1352)</f>
        <v>46001.382638888892</v>
      </c>
      <c r="G1352" s="8">
        <v>46001</v>
      </c>
      <c r="H1352" s="6">
        <f t="shared" si="43"/>
        <v>50</v>
      </c>
      <c r="I1352" s="16">
        <f>MAX(1, NETWORKDAYS(A1352, G1352,Table2[Dias no laborales]))</f>
        <v>1</v>
      </c>
      <c r="J1352" s="6" t="str">
        <f>IF(Table1[[#This Row],[FIN]]="","Acumulado",IF(ISNUMBER(SEARCH("ASAP",C1352)),"ASAP",IF(NETWORKDAYS.INTL(F1352,G1352,1,Table2[Dias no laborales]) &lt;= 7, "Dentro", IF(A1352&gt;F1352,"Programado","Fuera"))))</f>
        <v>Dentro</v>
      </c>
      <c r="K1352" s="6" t="str">
        <f t="shared" si="44"/>
        <v>A tiempo</v>
      </c>
      <c r="L1352" s="8">
        <v>46001</v>
      </c>
      <c r="M1352" s="17">
        <f>MAX(1,NETWORKDAYS(A1352,L1352,Table2[Dias no laborales]))</f>
        <v>1</v>
      </c>
    </row>
    <row r="1353" spans="1:13" hidden="1" x14ac:dyDescent="0.3">
      <c r="A1353" s="8">
        <v>46001</v>
      </c>
      <c r="B1353" s="6" t="s">
        <v>2684</v>
      </c>
      <c r="C1353" s="6" t="s">
        <v>251</v>
      </c>
      <c r="D1353" s="6" t="s">
        <v>133</v>
      </c>
      <c r="E1353" s="14">
        <v>46001.443055555559</v>
      </c>
      <c r="F1353" s="8">
        <f>IF(HOUR(Table1[[#This Row],[CORREO]])&gt;=11,WORKDAY(Table1[[#This Row],[CORREO]],1,Table2[Dias no laborales]),E1353)</f>
        <v>46001.443055555559</v>
      </c>
      <c r="G1353" s="8">
        <v>46006</v>
      </c>
      <c r="H1353" s="6">
        <f t="shared" si="43"/>
        <v>50</v>
      </c>
      <c r="I1353" s="16">
        <f>MAX(1, NETWORKDAYS(A1353, G1353,Table2[Dias no laborales]))</f>
        <v>4</v>
      </c>
      <c r="J1353" s="6" t="str">
        <f>IF(Table1[[#This Row],[FIN]]="","Acumulado",IF(ISNUMBER(SEARCH("ASAP",C1353)),"ASAP",IF(NETWORKDAYS.INTL(F1353,G1353,1,Table2[Dias no laborales]) &lt;= 7, "Dentro", IF(A1353&gt;F1353,"Programado","Fuera"))))</f>
        <v>Dentro</v>
      </c>
      <c r="K1353" s="6" t="str">
        <f t="shared" si="44"/>
        <v>A tiempo</v>
      </c>
      <c r="L1353" s="8">
        <v>46001</v>
      </c>
      <c r="M1353" s="17">
        <f>MAX(1,NETWORKDAYS(A1353,L1353,Table2[Dias no laborales]))</f>
        <v>1</v>
      </c>
    </row>
    <row r="1354" spans="1:13" hidden="1" x14ac:dyDescent="0.3">
      <c r="A1354" s="8">
        <v>46001</v>
      </c>
      <c r="B1354" s="6" t="s">
        <v>2685</v>
      </c>
      <c r="C1354" s="6" t="s">
        <v>2737</v>
      </c>
      <c r="D1354" s="6" t="s">
        <v>133</v>
      </c>
      <c r="E1354" s="14">
        <v>46001.444444444445</v>
      </c>
      <c r="F1354" s="8">
        <f>IF(HOUR(Table1[[#This Row],[CORREO]])&gt;=11,WORKDAY(Table1[[#This Row],[CORREO]],1,Table2[Dias no laborales]),E1354)</f>
        <v>46001.444444444445</v>
      </c>
      <c r="G1354" s="8">
        <v>46006</v>
      </c>
      <c r="H1354" s="6">
        <f t="shared" si="43"/>
        <v>50</v>
      </c>
      <c r="I1354" s="16">
        <f>MAX(1, NETWORKDAYS(A1354, G1354,Table2[Dias no laborales]))</f>
        <v>4</v>
      </c>
      <c r="J1354" s="6" t="str">
        <f>IF(Table1[[#This Row],[FIN]]="","Acumulado",IF(ISNUMBER(SEARCH("ASAP",C1354)),"ASAP",IF(NETWORKDAYS.INTL(F1354,G1354,1,Table2[Dias no laborales]) &lt;= 7, "Dentro", IF(A1354&gt;F1354,"Programado","Fuera"))))</f>
        <v>Dentro</v>
      </c>
      <c r="K1354" s="6" t="str">
        <f t="shared" si="44"/>
        <v>A tiempo</v>
      </c>
      <c r="L1354" s="8">
        <v>46001</v>
      </c>
      <c r="M1354" s="17">
        <f>MAX(1,NETWORKDAYS(A1354,L1354,Table2[Dias no laborales]))</f>
        <v>1</v>
      </c>
    </row>
    <row r="1355" spans="1:13" hidden="1" x14ac:dyDescent="0.3">
      <c r="A1355" s="8">
        <v>46001</v>
      </c>
      <c r="B1355" s="6" t="s">
        <v>2686</v>
      </c>
      <c r="C1355" s="6" t="s">
        <v>2739</v>
      </c>
      <c r="D1355" s="6" t="s">
        <v>133</v>
      </c>
      <c r="E1355" s="14">
        <v>46001.443749999999</v>
      </c>
      <c r="F1355" s="8">
        <f>IF(HOUR(Table1[[#This Row],[CORREO]])&gt;=11,WORKDAY(Table1[[#This Row],[CORREO]],1,Table2[Dias no laborales]),E1355)</f>
        <v>46001.443749999999</v>
      </c>
      <c r="G1355" s="8">
        <v>46006</v>
      </c>
      <c r="H1355" s="6">
        <f t="shared" si="43"/>
        <v>50</v>
      </c>
      <c r="I1355" s="16">
        <f>MAX(1, NETWORKDAYS(A1355, G1355,Table2[Dias no laborales]))</f>
        <v>4</v>
      </c>
      <c r="J1355" s="6" t="str">
        <f>IF(Table1[[#This Row],[FIN]]="","Acumulado",IF(ISNUMBER(SEARCH("ASAP",C1355)),"ASAP",IF(NETWORKDAYS.INTL(F1355,G1355,1,Table2[Dias no laborales]) &lt;= 7, "Dentro", IF(A1355&gt;F1355,"Programado","Fuera"))))</f>
        <v>Dentro</v>
      </c>
      <c r="K1355" s="6" t="str">
        <f t="shared" si="44"/>
        <v>A tiempo</v>
      </c>
      <c r="L1355" s="8">
        <v>46001</v>
      </c>
      <c r="M1355" s="17">
        <f>MAX(1,NETWORKDAYS(A1355,L1355,Table2[Dias no laborales]))</f>
        <v>1</v>
      </c>
    </row>
    <row r="1356" spans="1:13" hidden="1" x14ac:dyDescent="0.3">
      <c r="A1356" s="8">
        <v>46001</v>
      </c>
      <c r="B1356" s="6" t="s">
        <v>2665</v>
      </c>
      <c r="C1356" s="6" t="s">
        <v>2740</v>
      </c>
      <c r="D1356" s="6" t="s">
        <v>61</v>
      </c>
      <c r="E1356" s="14">
        <v>46001.54583333333</v>
      </c>
      <c r="F1356" s="8">
        <f>IF(HOUR(Table1[[#This Row],[CORREO]])&gt;=11,WORKDAY(Table1[[#This Row],[CORREO]],1,Table2[Dias no laborales]),E1356)</f>
        <v>46002</v>
      </c>
      <c r="G1356" s="8">
        <v>46001</v>
      </c>
      <c r="H1356" s="6">
        <f t="shared" si="43"/>
        <v>50</v>
      </c>
      <c r="I1356" s="16">
        <f>MAX(1, NETWORKDAYS(A1356, G1356,Table2[Dias no laborales]))</f>
        <v>1</v>
      </c>
      <c r="J1356" s="6" t="str">
        <f>IF(Table1[[#This Row],[FIN]]="","Acumulado",IF(ISNUMBER(SEARCH("ASAP",C1356)),"ASAP",IF(NETWORKDAYS.INTL(F1356,G1356,1,Table2[Dias no laborales]) &lt;= 7, "Dentro", IF(A1356&gt;F1356,"Programado","Fuera"))))</f>
        <v>Dentro</v>
      </c>
      <c r="K1356" s="6" t="str">
        <f t="shared" si="44"/>
        <v>Mismo día</v>
      </c>
      <c r="L1356" s="8">
        <v>46001</v>
      </c>
      <c r="M1356" s="17">
        <f>MAX(1,NETWORKDAYS(A1356,L1356,Table2[Dias no laborales]))</f>
        <v>1</v>
      </c>
    </row>
    <row r="1357" spans="1:13" hidden="1" x14ac:dyDescent="0.3">
      <c r="A1357" s="8">
        <v>46001</v>
      </c>
      <c r="B1357" s="6" t="s">
        <v>2674</v>
      </c>
      <c r="C1357" s="6" t="s">
        <v>2741</v>
      </c>
      <c r="D1357" s="6" t="s">
        <v>372</v>
      </c>
      <c r="E1357" s="14">
        <v>46001.609027777777</v>
      </c>
      <c r="F1357" s="8">
        <f>IF(HOUR(Table1[[#This Row],[CORREO]])&gt;=11,WORKDAY(Table1[[#This Row],[CORREO]],1,Table2[Dias no laborales]),E1357)</f>
        <v>46002</v>
      </c>
      <c r="G1357" s="8">
        <v>46002</v>
      </c>
      <c r="H1357" s="6">
        <f t="shared" si="43"/>
        <v>50</v>
      </c>
      <c r="I1357" s="16">
        <f>MAX(1, NETWORKDAYS(A1357, G1357,Table2[Dias no laborales]))</f>
        <v>2</v>
      </c>
      <c r="J1357" s="6" t="str">
        <f>IF(Table1[[#This Row],[FIN]]="","Acumulado",IF(ISNUMBER(SEARCH("ASAP",C1357)),"ASAP",IF(NETWORKDAYS.INTL(F1357,G1357,1,Table2[Dias no laborales]) &lt;= 7, "Dentro", IF(A1357&gt;F1357,"Programado","Fuera"))))</f>
        <v>Dentro</v>
      </c>
      <c r="K1357" s="6" t="str">
        <f t="shared" si="44"/>
        <v>Mismo día</v>
      </c>
      <c r="L1357" s="8">
        <v>46001</v>
      </c>
      <c r="M1357" s="17">
        <f>MAX(1,NETWORKDAYS(A1357,L1357,Table2[Dias no laborales]))</f>
        <v>1</v>
      </c>
    </row>
    <row r="1358" spans="1:13" hidden="1" x14ac:dyDescent="0.3">
      <c r="A1358" s="8">
        <v>46002</v>
      </c>
      <c r="B1358" s="6" t="s">
        <v>2822</v>
      </c>
      <c r="C1358" s="6" t="s">
        <v>2936</v>
      </c>
      <c r="D1358" s="6" t="s">
        <v>24</v>
      </c>
      <c r="E1358" s="14">
        <v>46001.576388888891</v>
      </c>
      <c r="F1358" s="8">
        <f>IF(HOUR(Table1[[#This Row],[CORREO]])&gt;=11,WORKDAY(Table1[[#This Row],[CORREO]],1,Table2[Dias no laborales]),E1358)</f>
        <v>46002</v>
      </c>
      <c r="G1358" s="8">
        <v>46036</v>
      </c>
      <c r="H1358" s="6">
        <f t="shared" ref="H1358:H1421" si="45">INT((A1358-DATE(YEAR(A1358),1,1))/7) + 1</f>
        <v>50</v>
      </c>
      <c r="I1358" s="16">
        <f>MAX(1, NETWORKDAYS(A1358, G1358,Table2[Dias no laborales]))</f>
        <v>21</v>
      </c>
      <c r="J1358" s="6" t="str">
        <f>IF(Table1[[#This Row],[FIN]]="","Acumulado",IF(ISNUMBER(SEARCH("ASAP",C1358)),"ASAP",IF(NETWORKDAYS.INTL(F1358,G1358,1,Table2[Dias no laborales]) &lt;= 7, "Dentro", IF(A1358&gt;F1358,"Programado","Fuera"))))</f>
        <v>Fuera</v>
      </c>
      <c r="K1358" s="6" t="str">
        <f t="shared" ref="K1358:K1421" si="46">IF(INT(A1358)=INT(F1358),"A tiempo", IF(A1358&lt;F1358,"Mismo día","Programados"))</f>
        <v>A tiempo</v>
      </c>
      <c r="L1358" s="8">
        <v>46368</v>
      </c>
      <c r="M1358" s="17">
        <f>MAX(1,NETWORKDAYS(A1358,L1358,Table2[Dias no laborales]))</f>
        <v>251</v>
      </c>
    </row>
    <row r="1359" spans="1:13" hidden="1" x14ac:dyDescent="0.3">
      <c r="A1359" s="8">
        <v>46002</v>
      </c>
      <c r="B1359" s="21" t="s">
        <v>2804</v>
      </c>
      <c r="C1359" s="6" t="s">
        <v>2937</v>
      </c>
      <c r="D1359" s="6" t="s">
        <v>24</v>
      </c>
      <c r="E1359" s="14"/>
      <c r="F1359" s="8">
        <f>IF(HOUR(Table1[[#This Row],[CORREO]])&gt;=11,WORKDAY(Table1[[#This Row],[CORREO]],1,Table2[Dias no laborales]),E1359)</f>
        <v>0</v>
      </c>
      <c r="G1359" s="8">
        <v>46122</v>
      </c>
      <c r="H1359" s="6">
        <f t="shared" si="45"/>
        <v>50</v>
      </c>
      <c r="I1359" s="16">
        <f>MAX(1, NETWORKDAYS(A1359, G1359,Table2[Dias no laborales]))</f>
        <v>79</v>
      </c>
      <c r="J1359" s="6" t="str">
        <f>IF(Table1[[#This Row],[FIN]]="","Acumulado",IF(ISNUMBER(SEARCH("ASAP",C1359)),"ASAP",IF(NETWORKDAYS.INTL(F1359,G1359,1,Table2[Dias no laborales]) &lt;= 7, "Dentro", IF(A1359&gt;F1359,"Programado","Fuera"))))</f>
        <v>Programado</v>
      </c>
      <c r="K1359" s="6" t="str">
        <f t="shared" si="46"/>
        <v>Programados</v>
      </c>
      <c r="L1359" s="8">
        <v>46006</v>
      </c>
      <c r="M1359" s="17">
        <f>MAX(1,NETWORKDAYS(A1359,L1359,Table2[Dias no laborales]))</f>
        <v>3</v>
      </c>
    </row>
    <row r="1360" spans="1:13" hidden="1" x14ac:dyDescent="0.3">
      <c r="A1360" s="8">
        <v>46002</v>
      </c>
      <c r="B1360" s="6" t="s">
        <v>2703</v>
      </c>
      <c r="C1360" s="14" t="s">
        <v>138</v>
      </c>
      <c r="D1360" s="6" t="s">
        <v>85</v>
      </c>
      <c r="E1360" s="14">
        <v>46001.707638888889</v>
      </c>
      <c r="F1360" s="8">
        <f>IF(HOUR(Table1[[#This Row],[CORREO]])&gt;=11,WORKDAY(Table1[[#This Row],[CORREO]],1,Table2[Dias no laborales]),E1360)</f>
        <v>46002</v>
      </c>
      <c r="G1360" s="8">
        <v>46009</v>
      </c>
      <c r="H1360" s="6">
        <f t="shared" si="45"/>
        <v>50</v>
      </c>
      <c r="I1360" s="16">
        <f>MAX(1, NETWORKDAYS(A1360, G1360,Table2[Dias no laborales]))</f>
        <v>6</v>
      </c>
      <c r="J1360" s="6" t="str">
        <f>IF(Table1[[#This Row],[FIN]]="","Acumulado",IF(ISNUMBER(SEARCH("ASAP",C1360)),"ASAP",IF(NETWORKDAYS.INTL(F1360,G1360,1,Table2[Dias no laborales]) &lt;= 7, "Dentro", IF(A1360&gt;F1360,"Programado","Fuera"))))</f>
        <v>Dentro</v>
      </c>
      <c r="K1360" s="6" t="str">
        <f t="shared" si="46"/>
        <v>A tiempo</v>
      </c>
      <c r="L1360" s="8">
        <v>46006</v>
      </c>
      <c r="M1360" s="17">
        <f>MAX(1,NETWORKDAYS(A1360,L1360,Table2[Dias no laborales]))</f>
        <v>3</v>
      </c>
    </row>
    <row r="1361" spans="1:13" hidden="1" x14ac:dyDescent="0.3">
      <c r="A1361" s="8">
        <v>46002</v>
      </c>
      <c r="B1361" s="6" t="s">
        <v>2679</v>
      </c>
      <c r="C1361" s="6" t="s">
        <v>2742</v>
      </c>
      <c r="D1361" s="6" t="s">
        <v>1360</v>
      </c>
      <c r="E1361" s="14">
        <v>46002.344444444447</v>
      </c>
      <c r="F1361" s="8">
        <f>IF(HOUR(Table1[[#This Row],[CORREO]])&gt;=11,WORKDAY(Table1[[#This Row],[CORREO]],1,Table2[Dias no laborales]),E1361)</f>
        <v>46002.344444444447</v>
      </c>
      <c r="G1361" s="8">
        <v>46003</v>
      </c>
      <c r="H1361" s="6">
        <f t="shared" si="45"/>
        <v>50</v>
      </c>
      <c r="I1361" s="16">
        <f>MAX(1, NETWORKDAYS(A1361, G1361,Table2[Dias no laborales]))</f>
        <v>2</v>
      </c>
      <c r="J1361" s="6" t="str">
        <f>IF(Table1[[#This Row],[FIN]]="","Acumulado",IF(ISNUMBER(SEARCH("ASAP",C1361)),"ASAP",IF(NETWORKDAYS.INTL(F1361,G1361,1,Table2[Dias no laborales]) &lt;= 7, "Dentro", IF(A1361&gt;F1361,"Programado","Fuera"))))</f>
        <v>Dentro</v>
      </c>
      <c r="K1361" s="6" t="str">
        <f t="shared" si="46"/>
        <v>A tiempo</v>
      </c>
      <c r="L1361" s="8">
        <v>45972</v>
      </c>
      <c r="M1361" s="17">
        <f>MAX(1,NETWORKDAYS(A1361,L1361,Table2[Dias no laborales]))</f>
        <v>1</v>
      </c>
    </row>
    <row r="1362" spans="1:13" hidden="1" x14ac:dyDescent="0.3">
      <c r="A1362" s="8">
        <v>46002</v>
      </c>
      <c r="B1362" s="6" t="s">
        <v>2698</v>
      </c>
      <c r="C1362" s="6" t="s">
        <v>2743</v>
      </c>
      <c r="D1362" s="6" t="s">
        <v>650</v>
      </c>
      <c r="E1362" s="14">
        <v>46002.359027777777</v>
      </c>
      <c r="F1362" s="8">
        <f>IF(HOUR(Table1[[#This Row],[CORREO]])&gt;=11,WORKDAY(Table1[[#This Row],[CORREO]],1,Table2[Dias no laborales]),E1362)</f>
        <v>46002.359027777777</v>
      </c>
      <c r="G1362" s="8">
        <v>46008</v>
      </c>
      <c r="H1362" s="6">
        <f t="shared" si="45"/>
        <v>50</v>
      </c>
      <c r="I1362" s="16">
        <f>MAX(1, NETWORKDAYS(A1362, G1362,Table2[Dias no laborales]))</f>
        <v>5</v>
      </c>
      <c r="J1362" s="6" t="str">
        <f>IF(Table1[[#This Row],[FIN]]="","Acumulado",IF(ISNUMBER(SEARCH("ASAP",C1362)),"ASAP",IF(NETWORKDAYS.INTL(F1362,G1362,1,Table2[Dias no laborales]) &lt;= 7, "Dentro", IF(A1362&gt;F1362,"Programado","Fuera"))))</f>
        <v>Dentro</v>
      </c>
      <c r="K1362" s="6" t="str">
        <f t="shared" si="46"/>
        <v>A tiempo</v>
      </c>
      <c r="L1362" s="8">
        <v>46002</v>
      </c>
      <c r="M1362" s="17">
        <f>MAX(1,NETWORKDAYS(A1362,L1362,Table2[Dias no laborales]))</f>
        <v>1</v>
      </c>
    </row>
    <row r="1363" spans="1:13" hidden="1" x14ac:dyDescent="0.3">
      <c r="A1363" s="8">
        <v>46002</v>
      </c>
      <c r="B1363" s="6" t="s">
        <v>2673</v>
      </c>
      <c r="C1363" s="6" t="s">
        <v>2744</v>
      </c>
      <c r="D1363" s="6" t="s">
        <v>2167</v>
      </c>
      <c r="E1363" s="14"/>
      <c r="F1363" s="8">
        <f>IF(HOUR(Table1[[#This Row],[CORREO]])&gt;=11,WORKDAY(Table1[[#This Row],[CORREO]],1,Table2[Dias no laborales]),E1363)</f>
        <v>0</v>
      </c>
      <c r="G1363" s="8">
        <v>46002</v>
      </c>
      <c r="H1363" s="6">
        <f t="shared" si="45"/>
        <v>50</v>
      </c>
      <c r="I1363" s="16">
        <f>MAX(1, NETWORKDAYS(A1363, G1363,Table2[Dias no laborales]))</f>
        <v>1</v>
      </c>
      <c r="J1363" s="6" t="str">
        <f>IF(Table1[[#This Row],[FIN]]="","Acumulado",IF(ISNUMBER(SEARCH("ASAP",C1363)),"ASAP",IF(NETWORKDAYS.INTL(F1363,G1363,1,Table2[Dias no laborales]) &lt;= 7, "Dentro", IF(A1363&gt;F1363,"Programado","Fuera"))))</f>
        <v>Programado</v>
      </c>
      <c r="K1363" s="6" t="str">
        <f t="shared" si="46"/>
        <v>Programados</v>
      </c>
      <c r="L1363" s="8">
        <v>46002</v>
      </c>
      <c r="M1363" s="17">
        <f>MAX(1,NETWORKDAYS(A1363,L1363,Table2[Dias no laborales]))</f>
        <v>1</v>
      </c>
    </row>
    <row r="1364" spans="1:13" hidden="1" x14ac:dyDescent="0.3">
      <c r="A1364" s="8">
        <v>46002</v>
      </c>
      <c r="B1364" s="6" t="s">
        <v>2680</v>
      </c>
      <c r="C1364" s="6" t="s">
        <v>2745</v>
      </c>
      <c r="D1364" s="6" t="s">
        <v>24</v>
      </c>
      <c r="E1364" s="14">
        <v>46002.706944444442</v>
      </c>
      <c r="F1364" s="8">
        <f>IF(HOUR(Table1[[#This Row],[CORREO]])&gt;=11,WORKDAY(Table1[[#This Row],[CORREO]],1,Table2[Dias no laborales]),E1364)</f>
        <v>46003</v>
      </c>
      <c r="G1364" s="8">
        <v>46003</v>
      </c>
      <c r="H1364" s="6">
        <f t="shared" si="45"/>
        <v>50</v>
      </c>
      <c r="I1364" s="16">
        <f>MAX(1, NETWORKDAYS(A1364, G1364,Table2[Dias no laborales]))</f>
        <v>2</v>
      </c>
      <c r="J1364" s="6" t="str">
        <f>IF(Table1[[#This Row],[FIN]]="","Acumulado",IF(ISNUMBER(SEARCH("ASAP",C1364)),"ASAP",IF(NETWORKDAYS.INTL(F1364,G1364,1,Table2[Dias no laborales]) &lt;= 7, "Dentro", IF(A1364&gt;F1364,"Programado","Fuera"))))</f>
        <v>ASAP</v>
      </c>
      <c r="K1364" s="6" t="str">
        <f t="shared" si="46"/>
        <v>Mismo día</v>
      </c>
      <c r="L1364" s="8">
        <v>46003</v>
      </c>
      <c r="M1364" s="17">
        <f>MAX(1,NETWORKDAYS(A1364,L1364,Table2[Dias no laborales]))</f>
        <v>2</v>
      </c>
    </row>
    <row r="1365" spans="1:13" hidden="1" x14ac:dyDescent="0.3">
      <c r="A1365" s="8">
        <v>46003</v>
      </c>
      <c r="B1365" s="6" t="s">
        <v>2681</v>
      </c>
      <c r="C1365" s="6" t="s">
        <v>2746</v>
      </c>
      <c r="D1365" s="6" t="s">
        <v>1333</v>
      </c>
      <c r="E1365" s="14"/>
      <c r="F1365" s="8">
        <f>IF(HOUR(Table1[[#This Row],[CORREO]])&gt;=11,WORKDAY(Table1[[#This Row],[CORREO]],1,Table2[Dias no laborales]),E1365)</f>
        <v>0</v>
      </c>
      <c r="G1365" s="8">
        <v>46003</v>
      </c>
      <c r="H1365" s="6">
        <f t="shared" si="45"/>
        <v>50</v>
      </c>
      <c r="I1365" s="16">
        <f>MAX(1, NETWORKDAYS(A1365, G1365,Table2[Dias no laborales]))</f>
        <v>1</v>
      </c>
      <c r="J1365" s="6" t="str">
        <f>IF(Table1[[#This Row],[FIN]]="","Acumulado",IF(ISNUMBER(SEARCH("ASAP",C1365)),"ASAP",IF(NETWORKDAYS.INTL(F1365,G1365,1,Table2[Dias no laborales]) &lt;= 7, "Dentro", IF(A1365&gt;F1365,"Programado","Fuera"))))</f>
        <v>Programado</v>
      </c>
      <c r="K1365" s="6" t="str">
        <f t="shared" si="46"/>
        <v>Programados</v>
      </c>
      <c r="L1365" s="8">
        <v>46003</v>
      </c>
      <c r="M1365" s="17">
        <f>MAX(1,NETWORKDAYS(A1365,L1365,Table2[Dias no laborales]))</f>
        <v>1</v>
      </c>
    </row>
    <row r="1366" spans="1:13" hidden="1" x14ac:dyDescent="0.3">
      <c r="A1366" s="8">
        <v>46003</v>
      </c>
      <c r="B1366" s="6" t="s">
        <v>2702</v>
      </c>
      <c r="C1366" s="6" t="s">
        <v>2747</v>
      </c>
      <c r="D1366" s="6" t="s">
        <v>154</v>
      </c>
      <c r="E1366" s="14">
        <v>46002.482638888891</v>
      </c>
      <c r="F1366" s="8">
        <f>IF(HOUR(Table1[[#This Row],[CORREO]])&gt;=11,WORKDAY(Table1[[#This Row],[CORREO]],1,Table2[Dias no laborales]),E1366)</f>
        <v>46003</v>
      </c>
      <c r="G1366" s="8">
        <v>46009</v>
      </c>
      <c r="H1366" s="6">
        <f t="shared" si="45"/>
        <v>50</v>
      </c>
      <c r="I1366" s="16">
        <f>MAX(1, NETWORKDAYS(A1366, G1366,Table2[Dias no laborales]))</f>
        <v>5</v>
      </c>
      <c r="J1366" s="6" t="str">
        <f>IF(Table1[[#This Row],[FIN]]="","Acumulado",IF(ISNUMBER(SEARCH("ASAP",C1366)),"ASAP",IF(NETWORKDAYS.INTL(F1366,G1366,1,Table2[Dias no laborales]) &lt;= 7, "Dentro", IF(A1366&gt;F1366,"Programado","Fuera"))))</f>
        <v>Dentro</v>
      </c>
      <c r="K1366" s="6" t="str">
        <f t="shared" si="46"/>
        <v>A tiempo</v>
      </c>
      <c r="L1366" s="8">
        <v>46003</v>
      </c>
      <c r="M1366" s="17">
        <f>MAX(1,NETWORKDAYS(A1366,L1366,Table2[Dias no laborales]))</f>
        <v>1</v>
      </c>
    </row>
    <row r="1367" spans="1:13" hidden="1" x14ac:dyDescent="0.3">
      <c r="A1367" s="12">
        <v>46003</v>
      </c>
      <c r="B1367" s="16" t="s">
        <v>2701</v>
      </c>
      <c r="C1367" s="16" t="s">
        <v>2748</v>
      </c>
      <c r="D1367" s="16" t="s">
        <v>1906</v>
      </c>
      <c r="E1367" s="14">
        <v>46002.628472222219</v>
      </c>
      <c r="F1367" s="12">
        <f>IF(HOUR(Table1[[#This Row],[CORREO]])&gt;=11,WORKDAY(Table1[[#This Row],[CORREO]],1,Table2[Dias no laborales]),E1367)</f>
        <v>46003</v>
      </c>
      <c r="G1367" s="12">
        <v>46008</v>
      </c>
      <c r="H1367" s="16">
        <f t="shared" si="45"/>
        <v>50</v>
      </c>
      <c r="I1367" s="16">
        <f>MAX(1, NETWORKDAYS(A1367, G1367,Table2[Dias no laborales]))</f>
        <v>4</v>
      </c>
      <c r="J1367" s="6" t="str">
        <f>IF(Table1[[#This Row],[FIN]]="","Acumulado",IF(ISNUMBER(SEARCH("ASAP",C1367)),"ASAP",IF(NETWORKDAYS.INTL(F1367,G1367,1,Table2[Dias no laborales]) &lt;= 7, "Dentro", IF(A1367&gt;F1367,"Programado","Fuera"))))</f>
        <v>Dentro</v>
      </c>
      <c r="K1367" s="16" t="str">
        <f t="shared" si="46"/>
        <v>A tiempo</v>
      </c>
      <c r="L1367" s="12">
        <v>46003</v>
      </c>
      <c r="M1367" s="18">
        <f>MAX(1,NETWORKDAYS(A1367,L1367,Table2[Dias no laborales]))</f>
        <v>1</v>
      </c>
    </row>
    <row r="1368" spans="1:13" hidden="1" x14ac:dyDescent="0.3">
      <c r="A1368" s="12">
        <v>46006</v>
      </c>
      <c r="B1368" s="16" t="s">
        <v>2682</v>
      </c>
      <c r="C1368" s="16" t="s">
        <v>2749</v>
      </c>
      <c r="D1368" s="16" t="s">
        <v>1193</v>
      </c>
      <c r="E1368" s="14">
        <v>46005.848611111112</v>
      </c>
      <c r="F1368" s="12">
        <f>IF(HOUR(Table1[[#This Row],[CORREO]])&gt;=11,WORKDAY(Table1[[#This Row],[CORREO]],1,Table2[Dias no laborales]),E1368)</f>
        <v>46006</v>
      </c>
      <c r="G1368" s="12">
        <v>46006</v>
      </c>
      <c r="H1368" s="16">
        <f t="shared" si="45"/>
        <v>50</v>
      </c>
      <c r="I1368" s="16">
        <f>MAX(1, NETWORKDAYS(A1368, G1368,Table2[Dias no laborales]))</f>
        <v>1</v>
      </c>
      <c r="J1368" s="6" t="str">
        <f>IF(Table1[[#This Row],[FIN]]="","Acumulado",IF(ISNUMBER(SEARCH("ASAP",C1368)),"ASAP",IF(NETWORKDAYS.INTL(F1368,G1368,1,Table2[Dias no laborales]) &lt;= 7, "Dentro", IF(A1368&gt;F1368,"Programado","Fuera"))))</f>
        <v>Dentro</v>
      </c>
      <c r="K1368" s="16" t="str">
        <f t="shared" si="46"/>
        <v>A tiempo</v>
      </c>
      <c r="L1368" s="12">
        <v>46006</v>
      </c>
      <c r="M1368" s="18">
        <f>MAX(1,NETWORKDAYS(A1368,L1368,Table2[Dias no laborales]))</f>
        <v>1</v>
      </c>
    </row>
    <row r="1369" spans="1:13" hidden="1" x14ac:dyDescent="0.3">
      <c r="A1369" s="12">
        <v>46006</v>
      </c>
      <c r="B1369" s="16" t="s">
        <v>2683</v>
      </c>
      <c r="C1369" s="16" t="s">
        <v>2750</v>
      </c>
      <c r="D1369" s="16" t="s">
        <v>1193</v>
      </c>
      <c r="E1369" s="14">
        <v>46006.259722222225</v>
      </c>
      <c r="F1369" s="12">
        <f>IF(HOUR(Table1[[#This Row],[CORREO]])&gt;=11,WORKDAY(Table1[[#This Row],[CORREO]],1,Table2[Dias no laborales]),E1369)</f>
        <v>46006.259722222225</v>
      </c>
      <c r="G1369" s="12">
        <v>46006</v>
      </c>
      <c r="H1369" s="16">
        <f t="shared" si="45"/>
        <v>50</v>
      </c>
      <c r="I1369" s="16">
        <f>MAX(1, NETWORKDAYS(A1369, G1369,Table2[Dias no laborales]))</f>
        <v>1</v>
      </c>
      <c r="J1369" s="6" t="str">
        <f>IF(Table1[[#This Row],[FIN]]="","Acumulado",IF(ISNUMBER(SEARCH("ASAP",C1369)),"ASAP",IF(NETWORKDAYS.INTL(F1369,G1369,1,Table2[Dias no laborales]) &lt;= 7, "Dentro", IF(A1369&gt;F1369,"Programado","Fuera"))))</f>
        <v>Dentro</v>
      </c>
      <c r="K1369" s="16" t="str">
        <f t="shared" si="46"/>
        <v>A tiempo</v>
      </c>
      <c r="L1369" s="12">
        <v>46006</v>
      </c>
      <c r="M1369" s="18">
        <f>MAX(1,NETWORKDAYS(A1369,L1369,Table2[Dias no laborales]))</f>
        <v>1</v>
      </c>
    </row>
    <row r="1370" spans="1:13" hidden="1" x14ac:dyDescent="0.3">
      <c r="A1370" s="12">
        <v>46006</v>
      </c>
      <c r="B1370" s="16" t="s">
        <v>2823</v>
      </c>
      <c r="C1370" s="16" t="s">
        <v>2938</v>
      </c>
      <c r="D1370" s="16" t="s">
        <v>154</v>
      </c>
      <c r="E1370" s="14">
        <v>46006.375694444447</v>
      </c>
      <c r="F1370" s="12">
        <f>IF(HOUR(Table1[[#This Row],[CORREO]])&gt;=11,WORKDAY(Table1[[#This Row],[CORREO]],1,Table2[Dias no laborales]),E1370)</f>
        <v>46006.375694444447</v>
      </c>
      <c r="G1370" s="12">
        <v>46027</v>
      </c>
      <c r="H1370" s="16">
        <f t="shared" si="45"/>
        <v>50</v>
      </c>
      <c r="I1370" s="16">
        <f>MAX(1, NETWORKDAYS(A1370, G1370,Table2[Dias no laborales]))</f>
        <v>12</v>
      </c>
      <c r="J1370" s="6" t="str">
        <f>IF(Table1[[#This Row],[FIN]]="","Acumulado",IF(ISNUMBER(SEARCH("ASAP",C1370)),"ASAP",IF(NETWORKDAYS.INTL(F1370,G1370,1,Table2[Dias no laborales]) &lt;= 7, "Dentro", IF(A1370&gt;F1370,"Programado","Fuera"))))</f>
        <v>Fuera</v>
      </c>
      <c r="K1370" s="16" t="str">
        <f t="shared" si="46"/>
        <v>A tiempo</v>
      </c>
      <c r="L1370" s="12">
        <v>46006</v>
      </c>
      <c r="M1370" s="18">
        <f>MAX(1,NETWORKDAYS(A1370,L1370,Table2[Dias no laborales]))</f>
        <v>1</v>
      </c>
    </row>
    <row r="1371" spans="1:13" hidden="1" x14ac:dyDescent="0.3">
      <c r="A1371" s="12">
        <v>46006</v>
      </c>
      <c r="B1371" s="16" t="s">
        <v>2688</v>
      </c>
      <c r="C1371" s="16" t="s">
        <v>1491</v>
      </c>
      <c r="D1371" s="16" t="s">
        <v>133</v>
      </c>
      <c r="E1371" s="14">
        <v>46006.402777777781</v>
      </c>
      <c r="F1371" s="12">
        <f>IF(HOUR(Table1[[#This Row],[CORREO]])&gt;=11,WORKDAY(Table1[[#This Row],[CORREO]],1,Table2[Dias no laborales]),E1371)</f>
        <v>46006.402777777781</v>
      </c>
      <c r="G1371" s="12">
        <v>46006</v>
      </c>
      <c r="H1371" s="16">
        <f t="shared" si="45"/>
        <v>50</v>
      </c>
      <c r="I1371" s="16">
        <f>MAX(1, NETWORKDAYS(A1371, G1371,Table2[Dias no laborales]))</f>
        <v>1</v>
      </c>
      <c r="J1371" s="6" t="str">
        <f>IF(Table1[[#This Row],[FIN]]="","Acumulado",IF(ISNUMBER(SEARCH("ASAP",C1371)),"ASAP",IF(NETWORKDAYS.INTL(F1371,G1371,1,Table2[Dias no laborales]) &lt;= 7, "Dentro", IF(A1371&gt;F1371,"Programado","Fuera"))))</f>
        <v>Dentro</v>
      </c>
      <c r="K1371" s="16" t="str">
        <f t="shared" si="46"/>
        <v>A tiempo</v>
      </c>
      <c r="L1371" s="12">
        <v>46006</v>
      </c>
      <c r="M1371" s="18">
        <f>MAX(1,NETWORKDAYS(A1371,L1371,Table2[Dias no laborales]))</f>
        <v>1</v>
      </c>
    </row>
    <row r="1372" spans="1:13" hidden="1" x14ac:dyDescent="0.3">
      <c r="A1372" s="12">
        <v>46006</v>
      </c>
      <c r="B1372" s="16" t="s">
        <v>2687</v>
      </c>
      <c r="C1372" s="16" t="s">
        <v>2751</v>
      </c>
      <c r="D1372" s="16" t="s">
        <v>538</v>
      </c>
      <c r="E1372" s="14"/>
      <c r="F1372" s="12">
        <f>IF(HOUR(Table1[[#This Row],[CORREO]])&gt;=11,WORKDAY(Table1[[#This Row],[CORREO]],1,Table2[Dias no laborales]),E1372)</f>
        <v>0</v>
      </c>
      <c r="G1372" s="12">
        <v>46006</v>
      </c>
      <c r="H1372" s="16">
        <f t="shared" si="45"/>
        <v>50</v>
      </c>
      <c r="I1372" s="16">
        <f>MAX(1, NETWORKDAYS(A1372, G1372,Table2[Dias no laborales]))</f>
        <v>1</v>
      </c>
      <c r="J1372" s="6" t="str">
        <f>IF(Table1[[#This Row],[FIN]]="","Acumulado",IF(ISNUMBER(SEARCH("ASAP",C1372)),"ASAP",IF(NETWORKDAYS.INTL(F1372,G1372,1,Table2[Dias no laborales]) &lt;= 7, "Dentro", IF(A1372&gt;F1372,"Programado","Fuera"))))</f>
        <v>ASAP</v>
      </c>
      <c r="K1372" s="16" t="str">
        <f t="shared" si="46"/>
        <v>Programados</v>
      </c>
      <c r="L1372" s="12">
        <v>46006</v>
      </c>
      <c r="M1372" s="18">
        <f>MAX(1,NETWORKDAYS(A1372,L1372,Table2[Dias no laborales]))</f>
        <v>1</v>
      </c>
    </row>
    <row r="1373" spans="1:13" hidden="1" x14ac:dyDescent="0.3">
      <c r="A1373" s="12">
        <v>46006</v>
      </c>
      <c r="B1373" s="16" t="s">
        <v>2692</v>
      </c>
      <c r="C1373" s="16" t="s">
        <v>2752</v>
      </c>
      <c r="D1373" s="16" t="s">
        <v>27</v>
      </c>
      <c r="E1373" s="14">
        <v>46006.683333333334</v>
      </c>
      <c r="F1373" s="12">
        <f>IF(HOUR(Table1[[#This Row],[CORREO]])&gt;=11,WORKDAY(Table1[[#This Row],[CORREO]],1,Table2[Dias no laborales]),E1373)</f>
        <v>46007</v>
      </c>
      <c r="G1373" s="12">
        <v>46006</v>
      </c>
      <c r="H1373" s="16">
        <f t="shared" si="45"/>
        <v>50</v>
      </c>
      <c r="I1373" s="16">
        <f>MAX(1, NETWORKDAYS(A1373, G1373,Table2[Dias no laborales]))</f>
        <v>1</v>
      </c>
      <c r="J1373" s="6" t="str">
        <f>IF(Table1[[#This Row],[FIN]]="","Acumulado",IF(ISNUMBER(SEARCH("ASAP",C1373)),"ASAP",IF(NETWORKDAYS.INTL(F1373,G1373,1,Table2[Dias no laborales]) &lt;= 7, "Dentro", IF(A1373&gt;F1373,"Programado","Fuera"))))</f>
        <v>ASAP</v>
      </c>
      <c r="K1373" s="16" t="str">
        <f t="shared" si="46"/>
        <v>Mismo día</v>
      </c>
      <c r="L1373" s="12">
        <v>46006</v>
      </c>
      <c r="M1373" s="18">
        <f>MAX(1,NETWORKDAYS(A1373,L1373,Table2[Dias no laborales]))</f>
        <v>1</v>
      </c>
    </row>
    <row r="1374" spans="1:13" hidden="1" x14ac:dyDescent="0.3">
      <c r="A1374" s="12">
        <v>46007</v>
      </c>
      <c r="B1374" s="16" t="s">
        <v>2693</v>
      </c>
      <c r="C1374" s="16" t="s">
        <v>2753</v>
      </c>
      <c r="D1374" s="16" t="s">
        <v>24</v>
      </c>
      <c r="E1374" s="14">
        <v>46006.827777777777</v>
      </c>
      <c r="F1374" s="12">
        <f>IF(HOUR(Table1[[#This Row],[CORREO]])&gt;=11,WORKDAY(Table1[[#This Row],[CORREO]],1,Table2[Dias no laborales]),E1374)</f>
        <v>46007</v>
      </c>
      <c r="G1374" s="12">
        <v>46007</v>
      </c>
      <c r="H1374" s="16">
        <f t="shared" si="45"/>
        <v>50</v>
      </c>
      <c r="I1374" s="16">
        <f>MAX(1, NETWORKDAYS(A1374, G1374,Table2[Dias no laborales]))</f>
        <v>1</v>
      </c>
      <c r="J1374" s="6" t="str">
        <f>IF(Table1[[#This Row],[FIN]]="","Acumulado",IF(ISNUMBER(SEARCH("ASAP",C1374)),"ASAP",IF(NETWORKDAYS.INTL(F1374,G1374,1,Table2[Dias no laborales]) &lt;= 7, "Dentro", IF(A1374&gt;F1374,"Programado","Fuera"))))</f>
        <v>ASAP</v>
      </c>
      <c r="K1374" s="16" t="str">
        <f t="shared" si="46"/>
        <v>A tiempo</v>
      </c>
      <c r="L1374" s="12">
        <v>46007</v>
      </c>
      <c r="M1374" s="18">
        <f>MAX(1,NETWORKDAYS(A1374,L1374,Table2[Dias no laborales]))</f>
        <v>1</v>
      </c>
    </row>
    <row r="1375" spans="1:13" hidden="1" x14ac:dyDescent="0.3">
      <c r="A1375" s="12">
        <v>46007</v>
      </c>
      <c r="B1375" s="16" t="s">
        <v>2824</v>
      </c>
      <c r="C1375" s="16" t="s">
        <v>2939</v>
      </c>
      <c r="D1375" s="16" t="s">
        <v>89</v>
      </c>
      <c r="E1375" s="14">
        <v>46006.526388888888</v>
      </c>
      <c r="F1375" s="12">
        <f>IF(HOUR(Table1[[#This Row],[CORREO]])&gt;=11,WORKDAY(Table1[[#This Row],[CORREO]],1,Table2[Dias no laborales]),E1375)</f>
        <v>46007</v>
      </c>
      <c r="G1375" s="12">
        <v>46028</v>
      </c>
      <c r="H1375" s="16">
        <f t="shared" si="45"/>
        <v>50</v>
      </c>
      <c r="I1375" s="16">
        <f>MAX(1, NETWORKDAYS(A1375, G1375,Table2[Dias no laborales]))</f>
        <v>12</v>
      </c>
      <c r="J1375" s="6" t="str">
        <f>IF(Table1[[#This Row],[FIN]]="","Acumulado",IF(ISNUMBER(SEARCH("ASAP",C1375)),"ASAP",IF(NETWORKDAYS.INTL(F1375,G1375,1,Table2[Dias no laborales]) &lt;= 7, "Dentro", IF(A1375&gt;F1375,"Programado","Fuera"))))</f>
        <v>Fuera</v>
      </c>
      <c r="K1375" s="16" t="str">
        <f t="shared" si="46"/>
        <v>A tiempo</v>
      </c>
      <c r="L1375" s="12">
        <v>46007</v>
      </c>
      <c r="M1375" s="18">
        <f>MAX(1,NETWORKDAYS(A1375,L1375,Table2[Dias no laborales]))</f>
        <v>1</v>
      </c>
    </row>
    <row r="1376" spans="1:13" hidden="1" x14ac:dyDescent="0.3">
      <c r="A1376" s="12">
        <v>46007</v>
      </c>
      <c r="B1376" s="16" t="s">
        <v>2695</v>
      </c>
      <c r="C1376" s="16" t="s">
        <v>2754</v>
      </c>
      <c r="D1376" s="16" t="s">
        <v>351</v>
      </c>
      <c r="E1376" s="14">
        <v>46006.580555555556</v>
      </c>
      <c r="F1376" s="12">
        <f>IF(HOUR(Table1[[#This Row],[CORREO]])&gt;=11,WORKDAY(Table1[[#This Row],[CORREO]],1,Table2[Dias no laborales]),E1376)</f>
        <v>46007</v>
      </c>
      <c r="G1376" s="12">
        <v>46007</v>
      </c>
      <c r="H1376" s="16">
        <f t="shared" si="45"/>
        <v>50</v>
      </c>
      <c r="I1376" s="16">
        <f>MAX(1, NETWORKDAYS(A1376, G1376,Table2[Dias no laborales]))</f>
        <v>1</v>
      </c>
      <c r="J1376" s="6" t="str">
        <f>IF(Table1[[#This Row],[FIN]]="","Acumulado",IF(ISNUMBER(SEARCH("ASAP",C1376)),"ASAP",IF(NETWORKDAYS.INTL(F1376,G1376,1,Table2[Dias no laborales]) &lt;= 7, "Dentro", IF(A1376&gt;F1376,"Programado","Fuera"))))</f>
        <v>Dentro</v>
      </c>
      <c r="K1376" s="16" t="str">
        <f t="shared" si="46"/>
        <v>A tiempo</v>
      </c>
      <c r="L1376" s="12">
        <v>46007</v>
      </c>
      <c r="M1376" s="18">
        <f>MAX(1,NETWORKDAYS(A1376,L1376,Table2[Dias no laborales]))</f>
        <v>1</v>
      </c>
    </row>
    <row r="1377" spans="1:13" hidden="1" x14ac:dyDescent="0.3">
      <c r="A1377" s="12">
        <v>46007</v>
      </c>
      <c r="B1377" s="16" t="s">
        <v>2699</v>
      </c>
      <c r="C1377" s="16" t="s">
        <v>2755</v>
      </c>
      <c r="D1377" s="16" t="s">
        <v>61</v>
      </c>
      <c r="E1377" s="14">
        <v>46007.384027777778</v>
      </c>
      <c r="F1377" s="12">
        <f>IF(HOUR(Table1[[#This Row],[CORREO]])&gt;=11,WORKDAY(Table1[[#This Row],[CORREO]],1,Table2[Dias no laborales]),E1377)</f>
        <v>46007.384027777778</v>
      </c>
      <c r="G1377" s="12">
        <v>46009</v>
      </c>
      <c r="H1377" s="16">
        <f t="shared" si="45"/>
        <v>50</v>
      </c>
      <c r="I1377" s="16">
        <f>MAX(1, NETWORKDAYS(A1377, G1377,Table2[Dias no laborales]))</f>
        <v>3</v>
      </c>
      <c r="J1377" s="6" t="str">
        <f>IF(Table1[[#This Row],[FIN]]="","Acumulado",IF(ISNUMBER(SEARCH("ASAP",C1377)),"ASAP",IF(NETWORKDAYS.INTL(F1377,G1377,1,Table2[Dias no laborales]) &lt;= 7, "Dentro", IF(A1377&gt;F1377,"Programado","Fuera"))))</f>
        <v>Dentro</v>
      </c>
      <c r="K1377" s="16" t="str">
        <f t="shared" si="46"/>
        <v>A tiempo</v>
      </c>
      <c r="L1377" s="12">
        <v>46007</v>
      </c>
      <c r="M1377" s="18">
        <f>MAX(1,NETWORKDAYS(A1377,L1377,Table2[Dias no laborales]))</f>
        <v>1</v>
      </c>
    </row>
    <row r="1378" spans="1:13" hidden="1" x14ac:dyDescent="0.3">
      <c r="A1378" s="12">
        <v>46007</v>
      </c>
      <c r="B1378" s="16" t="s">
        <v>2697</v>
      </c>
      <c r="C1378" s="16" t="s">
        <v>2738</v>
      </c>
      <c r="D1378" s="16" t="s">
        <v>1906</v>
      </c>
      <c r="E1378" s="14">
        <v>46007.434027777781</v>
      </c>
      <c r="F1378" s="12">
        <f>IF(HOUR(Table1[[#This Row],[CORREO]])&gt;=11,WORKDAY(Table1[[#This Row],[CORREO]],1,Table2[Dias no laborales]),E1378)</f>
        <v>46007.434027777781</v>
      </c>
      <c r="G1378" s="12">
        <v>46008</v>
      </c>
      <c r="H1378" s="16">
        <f t="shared" si="45"/>
        <v>50</v>
      </c>
      <c r="I1378" s="16">
        <f>MAX(1, NETWORKDAYS(A1378, G1378,Table2[Dias no laborales]))</f>
        <v>2</v>
      </c>
      <c r="J1378" s="6" t="str">
        <f>IF(Table1[[#This Row],[FIN]]="","Acumulado",IF(ISNUMBER(SEARCH("ASAP",C1378)),"ASAP",IF(NETWORKDAYS.INTL(F1378,G1378,1,Table2[Dias no laborales]) &lt;= 7, "Dentro", IF(A1378&gt;F1378,"Programado","Fuera"))))</f>
        <v>Dentro</v>
      </c>
      <c r="K1378" s="16" t="str">
        <f t="shared" si="46"/>
        <v>A tiempo</v>
      </c>
      <c r="L1378" s="12">
        <v>46007</v>
      </c>
      <c r="M1378" s="18">
        <f>MAX(1,NETWORKDAYS(A1378,L1378,Table2[Dias no laborales]))</f>
        <v>1</v>
      </c>
    </row>
    <row r="1379" spans="1:13" hidden="1" x14ac:dyDescent="0.3">
      <c r="A1379" s="12">
        <v>46007</v>
      </c>
      <c r="B1379" s="16" t="s">
        <v>2756</v>
      </c>
      <c r="C1379" s="16" t="s">
        <v>2757</v>
      </c>
      <c r="D1379" s="16" t="s">
        <v>15</v>
      </c>
      <c r="E1379" s="14">
        <v>46007.449305555558</v>
      </c>
      <c r="F1379" s="12">
        <f>IF(HOUR(Table1[[#This Row],[CORREO]])&gt;=11,WORKDAY(Table1[[#This Row],[CORREO]],1,Table2[Dias no laborales]),E1379)</f>
        <v>46007.449305555558</v>
      </c>
      <c r="G1379" s="12">
        <v>46080</v>
      </c>
      <c r="H1379" s="16">
        <f t="shared" si="45"/>
        <v>50</v>
      </c>
      <c r="I1379" s="16">
        <f>MAX(1, NETWORKDAYS(A1379, G1379,Table2[Dias no laborales]))</f>
        <v>49</v>
      </c>
      <c r="J1379" s="6" t="str">
        <f>IF(Table1[[#This Row],[FIN]]="","Acumulado",IF(ISNUMBER(SEARCH("ASAP",C1379)),"ASAP",IF(NETWORKDAYS.INTL(F1379,G1379,1,Table2[Dias no laborales]) &lt;= 7, "Dentro", IF(A1379&gt;F1379,"Programado","Fuera"))))</f>
        <v>Fuera</v>
      </c>
      <c r="K1379" s="16" t="str">
        <f t="shared" si="46"/>
        <v>A tiempo</v>
      </c>
      <c r="L1379" s="12">
        <v>46007</v>
      </c>
      <c r="M1379" s="18">
        <f>MAX(1,NETWORKDAYS(A1379,L1379,Table2[Dias no laborales]))</f>
        <v>1</v>
      </c>
    </row>
    <row r="1380" spans="1:13" hidden="1" x14ac:dyDescent="0.3">
      <c r="A1380" s="12">
        <v>46008</v>
      </c>
      <c r="B1380" s="16" t="s">
        <v>2758</v>
      </c>
      <c r="C1380" s="16" t="s">
        <v>770</v>
      </c>
      <c r="D1380" s="16" t="s">
        <v>133</v>
      </c>
      <c r="E1380" s="14">
        <v>46007</v>
      </c>
      <c r="F1380" s="12">
        <f>IF(HOUR(Table1[[#This Row],[CORREO]])&gt;=11,WORKDAY(Table1[[#This Row],[CORREO]],1,Table2[Dias no laborales]),E1380)</f>
        <v>46007</v>
      </c>
      <c r="G1380" s="12">
        <v>46010</v>
      </c>
      <c r="H1380" s="16">
        <f t="shared" si="45"/>
        <v>51</v>
      </c>
      <c r="I1380" s="16">
        <f>MAX(1, NETWORKDAYS(A1380, G1380,Table2[Dias no laborales]))</f>
        <v>3</v>
      </c>
      <c r="J1380" s="6" t="str">
        <f>IF(Table1[[#This Row],[FIN]]="","Acumulado",IF(ISNUMBER(SEARCH("ASAP",C1380)),"ASAP",IF(NETWORKDAYS.INTL(F1380,G1380,1,Table2[Dias no laborales]) &lt;= 7, "Dentro", IF(A1380&gt;F1380,"Programado","Fuera"))))</f>
        <v>Dentro</v>
      </c>
      <c r="K1380" s="16" t="str">
        <f t="shared" si="46"/>
        <v>Programados</v>
      </c>
      <c r="L1380" s="12">
        <v>46008</v>
      </c>
      <c r="M1380" s="18">
        <f>MAX(1,NETWORKDAYS(A1380,L1380,Table2[Dias no laborales]))</f>
        <v>1</v>
      </c>
    </row>
    <row r="1381" spans="1:13" hidden="1" x14ac:dyDescent="0.3">
      <c r="A1381" s="12">
        <v>46008</v>
      </c>
      <c r="B1381" s="16" t="s">
        <v>2759</v>
      </c>
      <c r="C1381" s="16" t="s">
        <v>2760</v>
      </c>
      <c r="D1381" s="16" t="s">
        <v>994</v>
      </c>
      <c r="E1381" s="14">
        <v>46007.642361111109</v>
      </c>
      <c r="F1381" s="12">
        <f>IF(HOUR(Table1[[#This Row],[CORREO]])&gt;=11,WORKDAY(Table1[[#This Row],[CORREO]],1,Table2[Dias no laborales]),E1381)</f>
        <v>46008</v>
      </c>
      <c r="G1381" s="12">
        <v>46010</v>
      </c>
      <c r="H1381" s="16">
        <f t="shared" si="45"/>
        <v>51</v>
      </c>
      <c r="I1381" s="16">
        <f>MAX(1, NETWORKDAYS(A1381, G1381,Table2[Dias no laborales]))</f>
        <v>3</v>
      </c>
      <c r="J1381" s="6" t="str">
        <f>IF(Table1[[#This Row],[FIN]]="","Acumulado",IF(ISNUMBER(SEARCH("ASAP",C1381)),"ASAP",IF(NETWORKDAYS.INTL(F1381,G1381,1,Table2[Dias no laborales]) &lt;= 7, "Dentro", IF(A1381&gt;F1381,"Programado","Fuera"))))</f>
        <v>Dentro</v>
      </c>
      <c r="K1381" s="16" t="str">
        <f t="shared" si="46"/>
        <v>A tiempo</v>
      </c>
      <c r="L1381" s="12">
        <v>46008</v>
      </c>
      <c r="M1381" s="18">
        <f>MAX(1,NETWORKDAYS(A1381,L1381,Table2[Dias no laborales]))</f>
        <v>1</v>
      </c>
    </row>
    <row r="1382" spans="1:13" hidden="1" x14ac:dyDescent="0.3">
      <c r="A1382" s="12">
        <v>46008</v>
      </c>
      <c r="B1382" s="16" t="s">
        <v>2761</v>
      </c>
      <c r="C1382" s="16" t="s">
        <v>2762</v>
      </c>
      <c r="D1382" s="16" t="s">
        <v>538</v>
      </c>
      <c r="E1382" s="14"/>
      <c r="F1382" s="12">
        <f>IF(HOUR(Table1[[#This Row],[CORREO]])&gt;=11,WORKDAY(Table1[[#This Row],[CORREO]],1,Table2[Dias no laborales]),E1382)</f>
        <v>0</v>
      </c>
      <c r="G1382" s="12">
        <v>46010</v>
      </c>
      <c r="H1382" s="16">
        <f t="shared" si="45"/>
        <v>51</v>
      </c>
      <c r="I1382" s="16">
        <f>MAX(1, NETWORKDAYS(A1382, G1382,Table2[Dias no laborales]))</f>
        <v>3</v>
      </c>
      <c r="J1382" s="6" t="str">
        <f>IF(Table1[[#This Row],[FIN]]="","Acumulado",IF(ISNUMBER(SEARCH("ASAP",C1382)),"ASAP",IF(NETWORKDAYS.INTL(F1382,G1382,1,Table2[Dias no laborales]) &lt;= 7, "Dentro", IF(A1382&gt;F1382,"Programado","Fuera"))))</f>
        <v>Programado</v>
      </c>
      <c r="K1382" s="16" t="str">
        <f t="shared" si="46"/>
        <v>Programados</v>
      </c>
      <c r="L1382" s="12">
        <v>46009</v>
      </c>
      <c r="M1382" s="18">
        <f>MAX(1,NETWORKDAYS(A1382,L1382,Table2[Dias no laborales]))</f>
        <v>2</v>
      </c>
    </row>
    <row r="1383" spans="1:13" hidden="1" x14ac:dyDescent="0.3">
      <c r="A1383" s="12">
        <v>46008</v>
      </c>
      <c r="B1383" s="16" t="s">
        <v>2763</v>
      </c>
      <c r="C1383" s="16" t="s">
        <v>2764</v>
      </c>
      <c r="D1383" s="16" t="s">
        <v>27</v>
      </c>
      <c r="E1383" s="14">
        <v>46008.366666666669</v>
      </c>
      <c r="F1383" s="12">
        <f>IF(HOUR(Table1[[#This Row],[CORREO]])&gt;=11,WORKDAY(Table1[[#This Row],[CORREO]],1,Table2[Dias no laborales]),E1383)</f>
        <v>46008.366666666669</v>
      </c>
      <c r="G1383" s="12">
        <v>46010</v>
      </c>
      <c r="H1383" s="16">
        <f t="shared" si="45"/>
        <v>51</v>
      </c>
      <c r="I1383" s="16">
        <f>MAX(1, NETWORKDAYS(A1383, G1383,Table2[Dias no laborales]))</f>
        <v>3</v>
      </c>
      <c r="J1383" s="6" t="str">
        <f>IF(Table1[[#This Row],[FIN]]="","Acumulado",IF(ISNUMBER(SEARCH("ASAP",C1383)),"ASAP",IF(NETWORKDAYS.INTL(F1383,G1383,1,Table2[Dias no laborales]) &lt;= 7, "Dentro", IF(A1383&gt;F1383,"Programado","Fuera"))))</f>
        <v>Dentro</v>
      </c>
      <c r="K1383" s="16" t="str">
        <f t="shared" si="46"/>
        <v>A tiempo</v>
      </c>
      <c r="L1383" s="12">
        <v>46008</v>
      </c>
      <c r="M1383" s="18">
        <f>MAX(1,NETWORKDAYS(A1383,L1383,Table2[Dias no laborales]))</f>
        <v>1</v>
      </c>
    </row>
    <row r="1384" spans="1:13" hidden="1" x14ac:dyDescent="0.3">
      <c r="A1384" s="12">
        <v>46008</v>
      </c>
      <c r="B1384" s="16" t="s">
        <v>2765</v>
      </c>
      <c r="C1384" s="16" t="s">
        <v>2766</v>
      </c>
      <c r="D1384" s="16" t="s">
        <v>18</v>
      </c>
      <c r="E1384" s="14">
        <v>46008.42291666667</v>
      </c>
      <c r="F1384" s="12">
        <f>IF(HOUR(Table1[[#This Row],[CORREO]])&gt;=11,WORKDAY(Table1[[#This Row],[CORREO]],1,Table2[Dias no laborales]),E1384)</f>
        <v>46008.42291666667</v>
      </c>
      <c r="G1384" s="12">
        <v>46010</v>
      </c>
      <c r="H1384" s="16">
        <f t="shared" si="45"/>
        <v>51</v>
      </c>
      <c r="I1384" s="16">
        <f>MAX(1, NETWORKDAYS(A1384, G1384,Table2[Dias no laborales]))</f>
        <v>3</v>
      </c>
      <c r="J1384" s="6" t="str">
        <f>IF(Table1[[#This Row],[FIN]]="","Acumulado",IF(ISNUMBER(SEARCH("ASAP",C1384)),"ASAP",IF(NETWORKDAYS.INTL(F1384,G1384,1,Table2[Dias no laborales]) &lt;= 7, "Dentro", IF(A1384&gt;F1384,"Programado","Fuera"))))</f>
        <v>Dentro</v>
      </c>
      <c r="K1384" s="16" t="str">
        <f t="shared" si="46"/>
        <v>A tiempo</v>
      </c>
      <c r="L1384" s="12">
        <v>46008</v>
      </c>
      <c r="M1384" s="18">
        <f>MAX(1,NETWORKDAYS(A1384,L1384,Table2[Dias no laborales]))</f>
        <v>1</v>
      </c>
    </row>
    <row r="1385" spans="1:13" hidden="1" x14ac:dyDescent="0.3">
      <c r="A1385" s="12">
        <v>46009</v>
      </c>
      <c r="B1385" s="16" t="s">
        <v>2767</v>
      </c>
      <c r="C1385" s="16" t="s">
        <v>2768</v>
      </c>
      <c r="D1385" s="16" t="s">
        <v>61</v>
      </c>
      <c r="E1385" s="14">
        <v>46008.486805555556</v>
      </c>
      <c r="F1385" s="12">
        <f>IF(HOUR(Table1[[#This Row],[CORREO]])&gt;=11,WORKDAY(Table1[[#This Row],[CORREO]],1,Table2[Dias no laborales]),E1385)</f>
        <v>46009</v>
      </c>
      <c r="G1385" s="12">
        <v>46010</v>
      </c>
      <c r="H1385" s="16">
        <f t="shared" si="45"/>
        <v>51</v>
      </c>
      <c r="I1385" s="16">
        <f>MAX(1, NETWORKDAYS(A1385, G1385,Table2[Dias no laborales]))</f>
        <v>2</v>
      </c>
      <c r="J1385" s="6" t="str">
        <f>IF(Table1[[#This Row],[FIN]]="","Acumulado",IF(ISNUMBER(SEARCH("ASAP",C1385)),"ASAP",IF(NETWORKDAYS.INTL(F1385,G1385,1,Table2[Dias no laborales]) &lt;= 7, "Dentro", IF(A1385&gt;F1385,"Programado","Fuera"))))</f>
        <v>Dentro</v>
      </c>
      <c r="K1385" s="16" t="str">
        <f t="shared" si="46"/>
        <v>A tiempo</v>
      </c>
      <c r="L1385" s="12">
        <v>46009</v>
      </c>
      <c r="M1385" s="18">
        <f>MAX(1,NETWORKDAYS(A1385,L1385,Table2[Dias no laborales]))</f>
        <v>1</v>
      </c>
    </row>
    <row r="1386" spans="1:13" hidden="1" x14ac:dyDescent="0.3">
      <c r="A1386" s="12">
        <v>46009</v>
      </c>
      <c r="B1386" s="16" t="s">
        <v>2769</v>
      </c>
      <c r="C1386" s="16" t="s">
        <v>2770</v>
      </c>
      <c r="D1386" s="16" t="s">
        <v>916</v>
      </c>
      <c r="E1386" s="14">
        <v>46008.644444444442</v>
      </c>
      <c r="F1386" s="12">
        <f>IF(HOUR(Table1[[#This Row],[CORREO]])&gt;=11,WORKDAY(Table1[[#This Row],[CORREO]],1,Table2[Dias no laborales]),E1386)</f>
        <v>46009</v>
      </c>
      <c r="G1386" s="12">
        <v>46028</v>
      </c>
      <c r="H1386" s="16">
        <f t="shared" si="45"/>
        <v>51</v>
      </c>
      <c r="I1386" s="16">
        <f>MAX(1, NETWORKDAYS(A1386, G1386,Table2[Dias no laborales]))</f>
        <v>10</v>
      </c>
      <c r="J1386" s="6" t="str">
        <f>IF(Table1[[#This Row],[FIN]]="","Acumulado",IF(ISNUMBER(SEARCH("ASAP",C1386)),"ASAP",IF(NETWORKDAYS.INTL(F1386,G1386,1,Table2[Dias no laborales]) &lt;= 7, "Dentro", IF(A1386&gt;F1386,"Programado","Fuera"))))</f>
        <v>Fuera</v>
      </c>
      <c r="K1386" s="16" t="str">
        <f t="shared" si="46"/>
        <v>A tiempo</v>
      </c>
      <c r="L1386" s="12">
        <v>46009</v>
      </c>
      <c r="M1386" s="18">
        <f>MAX(1,NETWORKDAYS(A1386,L1386,Table2[Dias no laborales]))</f>
        <v>1</v>
      </c>
    </row>
    <row r="1387" spans="1:13" hidden="1" x14ac:dyDescent="0.3">
      <c r="A1387" s="12">
        <v>46009</v>
      </c>
      <c r="B1387" s="16" t="s">
        <v>2771</v>
      </c>
      <c r="C1387" s="16" t="s">
        <v>2772</v>
      </c>
      <c r="D1387" s="16" t="s">
        <v>61</v>
      </c>
      <c r="E1387" s="14">
        <v>46008.67291666667</v>
      </c>
      <c r="F1387" s="12">
        <f>IF(HOUR(Table1[[#This Row],[CORREO]])&gt;=11,WORKDAY(Table1[[#This Row],[CORREO]],1,Table2[Dias no laborales]),E1387)</f>
        <v>46009</v>
      </c>
      <c r="G1387" s="12">
        <v>46010</v>
      </c>
      <c r="H1387" s="16">
        <f t="shared" si="45"/>
        <v>51</v>
      </c>
      <c r="I1387" s="16">
        <f>MAX(1, NETWORKDAYS(A1387, G1387,Table2[Dias no laborales]))</f>
        <v>2</v>
      </c>
      <c r="J1387" s="6" t="str">
        <f>IF(Table1[[#This Row],[FIN]]="","Acumulado",IF(ISNUMBER(SEARCH("ASAP",C1387)),"ASAP",IF(NETWORKDAYS.INTL(F1387,G1387,1,Table2[Dias no laborales]) &lt;= 7, "Dentro", IF(A1387&gt;F1387,"Programado","Fuera"))))</f>
        <v>Dentro</v>
      </c>
      <c r="K1387" s="16" t="str">
        <f t="shared" si="46"/>
        <v>A tiempo</v>
      </c>
      <c r="L1387" s="12">
        <v>46009</v>
      </c>
      <c r="M1387" s="18">
        <f>MAX(1,NETWORKDAYS(A1387,L1387,Table2[Dias no laborales]))</f>
        <v>1</v>
      </c>
    </row>
    <row r="1388" spans="1:13" hidden="1" x14ac:dyDescent="0.3">
      <c r="A1388" s="12">
        <v>46009</v>
      </c>
      <c r="B1388" s="16" t="s">
        <v>2773</v>
      </c>
      <c r="C1388" s="16" t="s">
        <v>2774</v>
      </c>
      <c r="D1388" s="16" t="s">
        <v>517</v>
      </c>
      <c r="E1388" s="14">
        <v>46009.373611111114</v>
      </c>
      <c r="F1388" s="12">
        <f>IF(HOUR(Table1[[#This Row],[CORREO]])&gt;=11,WORKDAY(Table1[[#This Row],[CORREO]],1,Table2[Dias no laborales]),E1388)</f>
        <v>46009.373611111114</v>
      </c>
      <c r="G1388" s="12">
        <v>46010</v>
      </c>
      <c r="H1388" s="16">
        <f t="shared" si="45"/>
        <v>51</v>
      </c>
      <c r="I1388" s="16">
        <f>MAX(1, NETWORKDAYS(A1388, G1388,Table2[Dias no laborales]))</f>
        <v>2</v>
      </c>
      <c r="J1388" s="6" t="str">
        <f>IF(Table1[[#This Row],[FIN]]="","Acumulado",IF(ISNUMBER(SEARCH("ASAP",C1388)),"ASAP",IF(NETWORKDAYS.INTL(F1388,G1388,1,Table2[Dias no laborales]) &lt;= 7, "Dentro", IF(A1388&gt;F1388,"Programado","Fuera"))))</f>
        <v>Dentro</v>
      </c>
      <c r="K1388" s="16" t="str">
        <f t="shared" si="46"/>
        <v>A tiempo</v>
      </c>
      <c r="L1388" s="12">
        <v>46009</v>
      </c>
      <c r="M1388" s="18">
        <f>MAX(1,NETWORKDAYS(A1388,L1388,Table2[Dias no laborales]))</f>
        <v>1</v>
      </c>
    </row>
    <row r="1389" spans="1:13" hidden="1" x14ac:dyDescent="0.3">
      <c r="A1389" s="12">
        <v>46010</v>
      </c>
      <c r="B1389" s="16" t="s">
        <v>2775</v>
      </c>
      <c r="C1389" s="16" t="s">
        <v>2776</v>
      </c>
      <c r="D1389" s="16" t="s">
        <v>75</v>
      </c>
      <c r="E1389" s="14">
        <v>46009.647222222222</v>
      </c>
      <c r="F1389" s="12">
        <f>IF(HOUR(Table1[[#This Row],[CORREO]])&gt;=11,WORKDAY(Table1[[#This Row],[CORREO]],1,Table2[Dias no laborales]),E1389)</f>
        <v>46010</v>
      </c>
      <c r="G1389" s="12">
        <v>46010</v>
      </c>
      <c r="H1389" s="16">
        <f t="shared" si="45"/>
        <v>51</v>
      </c>
      <c r="I1389" s="16">
        <f>MAX(1, NETWORKDAYS(A1389, G1389,Table2[Dias no laborales]))</f>
        <v>1</v>
      </c>
      <c r="J1389" s="6" t="str">
        <f>IF(Table1[[#This Row],[FIN]]="","Acumulado",IF(ISNUMBER(SEARCH("ASAP",C1389)),"ASAP",IF(NETWORKDAYS.INTL(F1389,G1389,1,Table2[Dias no laborales]) &lt;= 7, "Dentro", IF(A1389&gt;F1389,"Programado","Fuera"))))</f>
        <v>Dentro</v>
      </c>
      <c r="K1389" s="16" t="str">
        <f t="shared" si="46"/>
        <v>A tiempo</v>
      </c>
      <c r="L1389" s="12">
        <v>46010</v>
      </c>
      <c r="M1389" s="18">
        <f>MAX(1,NETWORKDAYS(A1389,L1389,Table2[Dias no laborales]))</f>
        <v>1</v>
      </c>
    </row>
    <row r="1390" spans="1:13" hidden="1" x14ac:dyDescent="0.3">
      <c r="A1390" s="12">
        <v>46010</v>
      </c>
      <c r="B1390" s="16" t="s">
        <v>2777</v>
      </c>
      <c r="C1390" s="16" t="s">
        <v>2778</v>
      </c>
      <c r="D1390" s="16" t="s">
        <v>1333</v>
      </c>
      <c r="E1390" s="14"/>
      <c r="F1390" s="12">
        <f>IF(HOUR(Table1[[#This Row],[CORREO]])&gt;=11,WORKDAY(Table1[[#This Row],[CORREO]],1,Table2[Dias no laborales]),E1390)</f>
        <v>0</v>
      </c>
      <c r="G1390" s="12">
        <v>46010</v>
      </c>
      <c r="H1390" s="16">
        <f t="shared" si="45"/>
        <v>51</v>
      </c>
      <c r="I1390" s="16">
        <f>MAX(1, NETWORKDAYS(A1390, G1390,Table2[Dias no laborales]))</f>
        <v>1</v>
      </c>
      <c r="J1390" s="6" t="str">
        <f>IF(Table1[[#This Row],[FIN]]="","Acumulado",IF(ISNUMBER(SEARCH("ASAP",C1390)),"ASAP",IF(NETWORKDAYS.INTL(F1390,G1390,1,Table2[Dias no laborales]) &lt;= 7, "Dentro", IF(A1390&gt;F1390,"Programado","Fuera"))))</f>
        <v>Programado</v>
      </c>
      <c r="K1390" s="16" t="str">
        <f t="shared" si="46"/>
        <v>Programados</v>
      </c>
      <c r="L1390" s="12">
        <v>46010</v>
      </c>
      <c r="M1390" s="18">
        <f>MAX(1,NETWORKDAYS(A1390,L1390,Table2[Dias no laborales]))</f>
        <v>1</v>
      </c>
    </row>
    <row r="1391" spans="1:13" hidden="1" x14ac:dyDescent="0.3">
      <c r="A1391" s="8">
        <v>46010</v>
      </c>
      <c r="B1391" s="6" t="s">
        <v>2780</v>
      </c>
      <c r="C1391" s="6" t="s">
        <v>2779</v>
      </c>
      <c r="D1391" s="6" t="s">
        <v>100</v>
      </c>
      <c r="E1391" s="14">
        <v>46010.375694444447</v>
      </c>
      <c r="F1391" s="8">
        <f>IF(HOUR(Table1[[#This Row],[CORREO]])&gt;=11,WORKDAY(Table1[[#This Row],[CORREO]],1,Table2[Dias no laborales]),E1391)</f>
        <v>46010.375694444447</v>
      </c>
      <c r="G1391" s="8">
        <v>46010</v>
      </c>
      <c r="H1391" s="6">
        <f t="shared" si="45"/>
        <v>51</v>
      </c>
      <c r="I1391" s="16">
        <f>MAX(1, NETWORKDAYS(A1391, G1391,Table2[Dias no laborales]))</f>
        <v>1</v>
      </c>
      <c r="J1391" s="6" t="str">
        <f>IF(Table1[[#This Row],[FIN]]="","Acumulado",IF(ISNUMBER(SEARCH("ASAP",C1391)),"ASAP",IF(NETWORKDAYS.INTL(F1391,G1391,1,Table2[Dias no laborales]) &lt;= 7, "Dentro", IF(A1391&gt;F1391,"Programado","Fuera"))))</f>
        <v>Dentro</v>
      </c>
      <c r="K1391" s="6" t="str">
        <f t="shared" si="46"/>
        <v>A tiempo</v>
      </c>
      <c r="L1391" s="8">
        <v>46010</v>
      </c>
      <c r="M1391" s="17">
        <f>MAX(1,NETWORKDAYS(A1391,L1391,Table2[Dias no laborales]))</f>
        <v>1</v>
      </c>
    </row>
    <row r="1392" spans="1:13" hidden="1" x14ac:dyDescent="0.3">
      <c r="A1392" s="8">
        <v>46020</v>
      </c>
      <c r="B1392" s="6" t="s">
        <v>2781</v>
      </c>
      <c r="C1392" s="6" t="s">
        <v>2782</v>
      </c>
      <c r="D1392" s="6" t="s">
        <v>24</v>
      </c>
      <c r="E1392" s="14"/>
      <c r="F1392" s="8">
        <f>IF(HOUR(Table1[[#This Row],[CORREO]])&gt;=11,WORKDAY(Table1[[#This Row],[CORREO]],1,Table2[Dias no laborales]),E1392)</f>
        <v>0</v>
      </c>
      <c r="G1392" s="8">
        <v>46024</v>
      </c>
      <c r="H1392" s="6">
        <f t="shared" si="45"/>
        <v>52</v>
      </c>
      <c r="I1392" s="16">
        <f>MAX(1, NETWORKDAYS(A1392, G1392,Table2[Dias no laborales]))</f>
        <v>3</v>
      </c>
      <c r="J1392" s="6" t="str">
        <f>IF(Table1[[#This Row],[FIN]]="","Acumulado",IF(ISNUMBER(SEARCH("ASAP",C1392)),"ASAP",IF(NETWORKDAYS.INTL(F1392,G1392,1,Table2[Dias no laborales]) &lt;= 7, "Dentro", IF(A1392&gt;F1392,"Programado","Fuera"))))</f>
        <v>Programado</v>
      </c>
      <c r="K1392" s="6" t="str">
        <f t="shared" si="46"/>
        <v>Programados</v>
      </c>
      <c r="L1392" s="8">
        <v>46020</v>
      </c>
      <c r="M1392" s="17">
        <f>MAX(1,NETWORKDAYS(A1392,L1392,Table2[Dias no laborales]))</f>
        <v>1</v>
      </c>
    </row>
    <row r="1393" spans="1:13" hidden="1" x14ac:dyDescent="0.3">
      <c r="A1393" s="8">
        <v>46020</v>
      </c>
      <c r="B1393" s="6" t="s">
        <v>2784</v>
      </c>
      <c r="C1393" s="6" t="s">
        <v>2785</v>
      </c>
      <c r="D1393" s="6" t="s">
        <v>2786</v>
      </c>
      <c r="E1393" s="14"/>
      <c r="F1393" s="8">
        <f>IF(HOUR(Table1[[#This Row],[CORREO]])&gt;=11,WORKDAY(Table1[[#This Row],[CORREO]],1,Table2[Dias no laborales]),E1393)</f>
        <v>0</v>
      </c>
      <c r="G1393" s="8">
        <v>46034</v>
      </c>
      <c r="H1393" s="6">
        <f t="shared" si="45"/>
        <v>52</v>
      </c>
      <c r="I1393" s="16">
        <f>MAX(1, NETWORKDAYS(A1393, G1393,Table2[Dias no laborales]))</f>
        <v>9</v>
      </c>
      <c r="J1393" s="6" t="str">
        <f>IF(Table1[[#This Row],[FIN]]="","Acumulado",IF(ISNUMBER(SEARCH("ASAP",C1393)),"ASAP",IF(NETWORKDAYS.INTL(F1393,G1393,1,Table2[Dias no laborales]) &lt;= 7, "Dentro", IF(A1393&gt;F1393,"Programado","Fuera"))))</f>
        <v>Programado</v>
      </c>
      <c r="K1393" s="6" t="str">
        <f t="shared" si="46"/>
        <v>Programados</v>
      </c>
      <c r="L1393" s="8">
        <v>46020</v>
      </c>
      <c r="M1393" s="17">
        <f>MAX(1,NETWORKDAYS(A1393,L1393,Table2[Dias no laborales]))</f>
        <v>1</v>
      </c>
    </row>
    <row r="1394" spans="1:13" hidden="1" x14ac:dyDescent="0.3">
      <c r="A1394" s="8">
        <v>46024</v>
      </c>
      <c r="B1394" s="6" t="s">
        <v>2787</v>
      </c>
      <c r="C1394" s="6" t="s">
        <v>2788</v>
      </c>
      <c r="D1394" s="6" t="s">
        <v>1333</v>
      </c>
      <c r="E1394" s="14"/>
      <c r="F1394" s="8">
        <f>IF(HOUR(Table1[[#This Row],[CORREO]])&gt;=11,WORKDAY(Table1[[#This Row],[CORREO]],1,Table2[Dias no laborales]),E1394)</f>
        <v>0</v>
      </c>
      <c r="G1394" s="8">
        <v>46041</v>
      </c>
      <c r="H1394" s="6">
        <f t="shared" si="45"/>
        <v>1</v>
      </c>
      <c r="I1394" s="16">
        <f>MAX(1, NETWORKDAYS(A1394, G1394,Table2[Dias no laborales]))</f>
        <v>12</v>
      </c>
      <c r="J1394" s="6" t="str">
        <f>IF(Table1[[#This Row],[FIN]]="","Acumulado",IF(ISNUMBER(SEARCH("ASAP",C1394)),"ASAP",IF(NETWORKDAYS.INTL(F1394,G1394,1,Table2[Dias no laborales]) &lt;= 7, "Dentro", IF(A1394&gt;F1394,"Programado","Fuera"))))</f>
        <v>Programado</v>
      </c>
      <c r="K1394" s="6" t="str">
        <f t="shared" si="46"/>
        <v>Programados</v>
      </c>
      <c r="L1394" s="8">
        <v>46024</v>
      </c>
      <c r="M1394" s="17">
        <f>MAX(1,NETWORKDAYS(A1394,L1394,Table2[Dias no laborales]))</f>
        <v>1</v>
      </c>
    </row>
    <row r="1395" spans="1:13" hidden="1" x14ac:dyDescent="0.3">
      <c r="A1395" s="8">
        <v>46027</v>
      </c>
      <c r="B1395" s="6" t="s">
        <v>2789</v>
      </c>
      <c r="C1395" s="6" t="s">
        <v>2790</v>
      </c>
      <c r="D1395" s="6" t="s">
        <v>24</v>
      </c>
      <c r="E1395" s="14"/>
      <c r="F1395" s="8">
        <f>IF(HOUR(Table1[[#This Row],[CORREO]])&gt;=11,WORKDAY(Table1[[#This Row],[CORREO]],1,Table2[Dias no laborales]),E1395)</f>
        <v>0</v>
      </c>
      <c r="G1395" s="8">
        <v>46031</v>
      </c>
      <c r="H1395" s="6">
        <f t="shared" si="45"/>
        <v>1</v>
      </c>
      <c r="I1395" s="16">
        <f>MAX(1, NETWORKDAYS(A1395, G1395,Table2[Dias no laborales]))</f>
        <v>5</v>
      </c>
      <c r="J1395" s="6" t="str">
        <f>IF(Table1[[#This Row],[FIN]]="","Acumulado",IF(ISNUMBER(SEARCH("ASAP",C1395)),"ASAP",IF(NETWORKDAYS.INTL(F1395,G1395,1,Table2[Dias no laborales]) &lt;= 7, "Dentro", IF(A1395&gt;F1395,"Programado","Fuera"))))</f>
        <v>Programado</v>
      </c>
      <c r="K1395" s="6" t="str">
        <f t="shared" si="46"/>
        <v>Programados</v>
      </c>
      <c r="L1395" s="8">
        <v>46027</v>
      </c>
      <c r="M1395" s="17">
        <f>MAX(1,NETWORKDAYS(A1395,L1395,Table2[Dias no laborales]))</f>
        <v>1</v>
      </c>
    </row>
    <row r="1396" spans="1:13" hidden="1" x14ac:dyDescent="0.3">
      <c r="A1396" s="8">
        <v>46027</v>
      </c>
      <c r="B1396" s="6" t="s">
        <v>2791</v>
      </c>
      <c r="C1396" s="6" t="s">
        <v>2792</v>
      </c>
      <c r="D1396" s="6" t="s">
        <v>372</v>
      </c>
      <c r="E1396" s="14">
        <v>46025.613888888889</v>
      </c>
      <c r="F1396" s="8">
        <f>IF(HOUR(Table1[[#This Row],[CORREO]])&gt;=11,WORKDAY(Table1[[#This Row],[CORREO]],1,Table2[Dias no laborales]),E1396)</f>
        <v>46027</v>
      </c>
      <c r="G1396" s="8">
        <v>46028</v>
      </c>
      <c r="H1396" s="6">
        <f t="shared" si="45"/>
        <v>1</v>
      </c>
      <c r="I1396" s="16">
        <f>MAX(1, NETWORKDAYS(A1396, G1396,Table2[Dias no laborales]))</f>
        <v>2</v>
      </c>
      <c r="J1396" s="6" t="str">
        <f>IF(Table1[[#This Row],[FIN]]="","Acumulado",IF(ISNUMBER(SEARCH("ASAP",C1396)),"ASAP",IF(NETWORKDAYS.INTL(F1396,G1396,1,Table2[Dias no laborales]) &lt;= 7, "Dentro", IF(A1396&gt;F1396,"Programado","Fuera"))))</f>
        <v>Dentro</v>
      </c>
      <c r="K1396" s="6" t="str">
        <f t="shared" si="46"/>
        <v>A tiempo</v>
      </c>
      <c r="L1396" s="8">
        <v>46027</v>
      </c>
      <c r="M1396" s="17">
        <f>MAX(1,NETWORKDAYS(A1396,L1396,Table2[Dias no laborales]))</f>
        <v>1</v>
      </c>
    </row>
    <row r="1397" spans="1:13" hidden="1" x14ac:dyDescent="0.3">
      <c r="A1397" s="8">
        <v>46027</v>
      </c>
      <c r="B1397" s="6" t="s">
        <v>2793</v>
      </c>
      <c r="C1397" s="6" t="s">
        <v>2794</v>
      </c>
      <c r="D1397" s="6" t="s">
        <v>42</v>
      </c>
      <c r="E1397" s="14">
        <v>46027.320138888892</v>
      </c>
      <c r="F1397" s="8">
        <f>IF(HOUR(Table1[[#This Row],[CORREO]])&gt;=11,WORKDAY(Table1[[#This Row],[CORREO]],1,Table2[Dias no laborales]),E1397)</f>
        <v>46027.320138888892</v>
      </c>
      <c r="G1397" s="8">
        <v>46027</v>
      </c>
      <c r="H1397" s="6">
        <f t="shared" si="45"/>
        <v>1</v>
      </c>
      <c r="I1397" s="16">
        <f>MAX(1, NETWORKDAYS(A1397, G1397,Table2[Dias no laborales]))</f>
        <v>1</v>
      </c>
      <c r="J1397" s="6" t="str">
        <f>IF(Table1[[#This Row],[FIN]]="","Acumulado",IF(ISNUMBER(SEARCH("ASAP",C1397)),"ASAP",IF(NETWORKDAYS.INTL(F1397,G1397,1,Table2[Dias no laborales]) &lt;= 7, "Dentro", IF(A1397&gt;F1397,"Programado","Fuera"))))</f>
        <v>Dentro</v>
      </c>
      <c r="K1397" s="6" t="str">
        <f t="shared" si="46"/>
        <v>A tiempo</v>
      </c>
      <c r="L1397" s="8">
        <v>46027</v>
      </c>
      <c r="M1397" s="17">
        <f>MAX(1,NETWORKDAYS(A1397,L1397,Table2[Dias no laborales]))</f>
        <v>1</v>
      </c>
    </row>
    <row r="1398" spans="1:13" hidden="1" x14ac:dyDescent="0.3">
      <c r="A1398" s="8">
        <v>46027</v>
      </c>
      <c r="B1398" s="6" t="s">
        <v>2795</v>
      </c>
      <c r="C1398" s="6" t="s">
        <v>2796</v>
      </c>
      <c r="D1398" s="6" t="s">
        <v>154</v>
      </c>
      <c r="E1398" s="14"/>
      <c r="F1398" s="8">
        <f>IF(HOUR(Table1[[#This Row],[CORREO]])&gt;=11,WORKDAY(Table1[[#This Row],[CORREO]],1,Table2[Dias no laborales]),E1398)</f>
        <v>0</v>
      </c>
      <c r="G1398" s="8">
        <v>46027</v>
      </c>
      <c r="H1398" s="6">
        <f t="shared" si="45"/>
        <v>1</v>
      </c>
      <c r="I1398" s="16">
        <f>MAX(1, NETWORKDAYS(A1398, G1398,Table2[Dias no laborales]))</f>
        <v>1</v>
      </c>
      <c r="J1398" s="6" t="str">
        <f>IF(Table1[[#This Row],[FIN]]="","Acumulado",IF(ISNUMBER(SEARCH("ASAP",C1398)),"ASAP",IF(NETWORKDAYS.INTL(F1398,G1398,1,Table2[Dias no laborales]) &lt;= 7, "Dentro", IF(A1398&gt;F1398,"Programado","Fuera"))))</f>
        <v>Programado</v>
      </c>
      <c r="K1398" s="6" t="str">
        <f t="shared" si="46"/>
        <v>Programados</v>
      </c>
      <c r="L1398" s="8">
        <v>46027</v>
      </c>
      <c r="M1398" s="17">
        <f>MAX(1,NETWORKDAYS(A1398,L1398,Table2[Dias no laborales]))</f>
        <v>1</v>
      </c>
    </row>
    <row r="1399" spans="1:13" hidden="1" x14ac:dyDescent="0.3">
      <c r="A1399" s="8">
        <v>46027</v>
      </c>
      <c r="B1399" s="6" t="s">
        <v>2797</v>
      </c>
      <c r="C1399" s="6" t="s">
        <v>2798</v>
      </c>
      <c r="D1399" s="6" t="s">
        <v>2799</v>
      </c>
      <c r="E1399" s="14"/>
      <c r="F1399" s="8">
        <f>IF(HOUR(Table1[[#This Row],[CORREO]])&gt;=11,WORKDAY(Table1[[#This Row],[CORREO]],1,Table2[Dias no laborales]),E1399)</f>
        <v>0</v>
      </c>
      <c r="G1399" s="8">
        <v>46029</v>
      </c>
      <c r="H1399" s="6">
        <f t="shared" si="45"/>
        <v>1</v>
      </c>
      <c r="I1399" s="16">
        <f>MAX(1, NETWORKDAYS(A1399, G1399,Table2[Dias no laborales]))</f>
        <v>3</v>
      </c>
      <c r="J1399" s="6" t="str">
        <f>IF(Table1[[#This Row],[FIN]]="","Acumulado",IF(ISNUMBER(SEARCH("ASAP",C1399)),"ASAP",IF(NETWORKDAYS.INTL(F1399,G1399,1,Table2[Dias no laborales]) &lt;= 7, "Dentro", IF(A1399&gt;F1399,"Programado","Fuera"))))</f>
        <v>Programado</v>
      </c>
      <c r="K1399" s="6" t="str">
        <f t="shared" si="46"/>
        <v>Programados</v>
      </c>
      <c r="L1399" s="8">
        <v>46027</v>
      </c>
      <c r="M1399" s="17">
        <f>MAX(1,NETWORKDAYS(A1399,L1399,Table2[Dias no laborales]))</f>
        <v>1</v>
      </c>
    </row>
    <row r="1400" spans="1:13" hidden="1" x14ac:dyDescent="0.3">
      <c r="A1400" s="12">
        <v>46027</v>
      </c>
      <c r="B1400" s="16" t="s">
        <v>2800</v>
      </c>
      <c r="C1400" s="16" t="s">
        <v>2801</v>
      </c>
      <c r="D1400" s="16" t="s">
        <v>1735</v>
      </c>
      <c r="E1400" s="14">
        <v>46027.395833333336</v>
      </c>
      <c r="F1400" s="12">
        <f>IF(HOUR(Table1[[#This Row],[CORREO]])&gt;=11,WORKDAY(Table1[[#This Row],[CORREO]],1,Table2[Dias no laborales]),E1400)</f>
        <v>46027.395833333336</v>
      </c>
      <c r="G1400" s="12">
        <v>46027</v>
      </c>
      <c r="H1400" s="16">
        <f t="shared" si="45"/>
        <v>1</v>
      </c>
      <c r="I1400" s="16">
        <f>MAX(1, NETWORKDAYS(A1400, G1400,Table2[Dias no laborales]))</f>
        <v>1</v>
      </c>
      <c r="J1400" s="6" t="str">
        <f>IF(Table1[[#This Row],[FIN]]="","Acumulado",IF(ISNUMBER(SEARCH("ASAP",C1400)),"ASAP",IF(NETWORKDAYS.INTL(F1400,G1400,1,Table2[Dias no laborales]) &lt;= 7, "Dentro", IF(A1400&gt;F1400,"Programado","Fuera"))))</f>
        <v>Dentro</v>
      </c>
      <c r="K1400" s="16" t="str">
        <f t="shared" si="46"/>
        <v>A tiempo</v>
      </c>
      <c r="L1400" s="12">
        <v>46027</v>
      </c>
      <c r="M1400" s="18">
        <f>MAX(1,NETWORKDAYS(A1400,L1400,Table2[Dias no laborales]))</f>
        <v>1</v>
      </c>
    </row>
    <row r="1401" spans="1:13" hidden="1" x14ac:dyDescent="0.3">
      <c r="A1401" s="8">
        <v>46027</v>
      </c>
      <c r="B1401" s="6" t="s">
        <v>2802</v>
      </c>
      <c r="C1401" s="6" t="s">
        <v>2803</v>
      </c>
      <c r="D1401" s="6" t="s">
        <v>15</v>
      </c>
      <c r="E1401" s="14">
        <v>45662.40347222222</v>
      </c>
      <c r="F1401" s="8">
        <f>IF(HOUR(Table1[[#This Row],[CORREO]])&gt;=11,WORKDAY(Table1[[#This Row],[CORREO]],1,Table2[Dias no laborales]),E1401)</f>
        <v>45662.40347222222</v>
      </c>
      <c r="G1401" s="8">
        <v>46029</v>
      </c>
      <c r="H1401" s="6">
        <f t="shared" si="45"/>
        <v>1</v>
      </c>
      <c r="I1401" s="16">
        <f>MAX(1, NETWORKDAYS(A1401, G1401,Table2[Dias no laborales]))</f>
        <v>3</v>
      </c>
      <c r="J1401" s="6" t="str">
        <f>IF(Table1[[#This Row],[FIN]]="","Acumulado",IF(ISNUMBER(SEARCH("ASAP",C1401)),"ASAP",IF(NETWORKDAYS.INTL(F1401,G1401,1,Table2[Dias no laborales]) &lt;= 7, "Dentro", IF(A1401&gt;F1401,"Programado","Fuera"))))</f>
        <v>Programado</v>
      </c>
      <c r="K1401" s="6" t="str">
        <f t="shared" si="46"/>
        <v>Programados</v>
      </c>
      <c r="L1401" s="8">
        <v>46027</v>
      </c>
      <c r="M1401" s="17">
        <f>MAX(1,NETWORKDAYS(A1401,L1401,Table2[Dias no laborales]))</f>
        <v>1</v>
      </c>
    </row>
    <row r="1402" spans="1:13" hidden="1" x14ac:dyDescent="0.3">
      <c r="A1402" s="8">
        <v>46027</v>
      </c>
      <c r="B1402" s="6" t="s">
        <v>2825</v>
      </c>
      <c r="C1402" s="6" t="s">
        <v>2871</v>
      </c>
      <c r="D1402" s="6" t="s">
        <v>15</v>
      </c>
      <c r="E1402" s="14"/>
      <c r="F1402" s="8">
        <f>IF(HOUR(Table1[[#This Row],[CORREO]])&gt;=11,WORKDAY(Table1[[#This Row],[CORREO]],1,Table2[Dias no laborales]),E1402)</f>
        <v>0</v>
      </c>
      <c r="G1402" s="8">
        <v>46027</v>
      </c>
      <c r="H1402" s="6">
        <f t="shared" si="45"/>
        <v>1</v>
      </c>
      <c r="I1402" s="16">
        <f>MAX(1, NETWORKDAYS(A1402, G1402,Table2[Dias no laborales]))</f>
        <v>1</v>
      </c>
      <c r="J1402" s="6" t="str">
        <f>IF(Table1[[#This Row],[FIN]]="","Acumulado",IF(ISNUMBER(SEARCH("ASAP",C1402)),"ASAP",IF(NETWORKDAYS.INTL(F1402,G1402,1,Table2[Dias no laborales]) &lt;= 7, "Dentro", IF(A1402&gt;F1402,"Programado","Fuera"))))</f>
        <v>Programado</v>
      </c>
      <c r="K1402" s="6" t="str">
        <f t="shared" si="46"/>
        <v>Programados</v>
      </c>
      <c r="L1402" s="8">
        <v>46027</v>
      </c>
      <c r="M1402" s="17">
        <f>MAX(1,NETWORKDAYS(A1402,L1402,Table2[Dias no laborales]))</f>
        <v>1</v>
      </c>
    </row>
    <row r="1403" spans="1:13" hidden="1" x14ac:dyDescent="0.3">
      <c r="A1403" s="8">
        <v>46028</v>
      </c>
      <c r="B1403" s="6" t="s">
        <v>2825</v>
      </c>
      <c r="C1403" s="6" t="s">
        <v>2872</v>
      </c>
      <c r="D1403" s="6" t="s">
        <v>27</v>
      </c>
      <c r="E1403" s="14"/>
      <c r="F1403" s="8">
        <f>IF(HOUR(Table1[[#This Row],[CORREO]])&gt;=11,WORKDAY(Table1[[#This Row],[CORREO]],1,Table2[Dias no laborales]),E1403)</f>
        <v>0</v>
      </c>
      <c r="G1403" s="8">
        <v>46041</v>
      </c>
      <c r="H1403" s="6">
        <f t="shared" si="45"/>
        <v>1</v>
      </c>
      <c r="I1403" s="16">
        <f>MAX(1, NETWORKDAYS(A1403, G1403,Table2[Dias no laborales]))</f>
        <v>10</v>
      </c>
      <c r="J1403" s="6" t="str">
        <f>IF(Table1[[#This Row],[FIN]]="","Acumulado",IF(ISNUMBER(SEARCH("ASAP",C1403)),"ASAP",IF(NETWORKDAYS.INTL(F1403,G1403,1,Table2[Dias no laborales]) &lt;= 7, "Dentro", IF(A1403&gt;F1403,"Programado","Fuera"))))</f>
        <v>Programado</v>
      </c>
      <c r="K1403" s="6" t="str">
        <f t="shared" si="46"/>
        <v>Programados</v>
      </c>
      <c r="L1403" s="8">
        <v>46028</v>
      </c>
      <c r="M1403" s="17">
        <f>MAX(1,NETWORKDAYS(A1403,L1403,Table2[Dias no laborales]))</f>
        <v>1</v>
      </c>
    </row>
    <row r="1404" spans="1:13" hidden="1" x14ac:dyDescent="0.3">
      <c r="A1404" s="8">
        <v>46028</v>
      </c>
      <c r="B1404" s="6" t="s">
        <v>2826</v>
      </c>
      <c r="C1404" s="6" t="s">
        <v>2873</v>
      </c>
      <c r="D1404" s="6" t="s">
        <v>27</v>
      </c>
      <c r="E1404" s="14"/>
      <c r="F1404" s="8">
        <f>IF(HOUR(Table1[[#This Row],[CORREO]])&gt;=11,WORKDAY(Table1[[#This Row],[CORREO]],1,Table2[Dias no laborales]),E1404)</f>
        <v>0</v>
      </c>
      <c r="G1404" s="8">
        <v>46041</v>
      </c>
      <c r="H1404" s="6">
        <f t="shared" si="45"/>
        <v>1</v>
      </c>
      <c r="I1404" s="16">
        <f>MAX(1, NETWORKDAYS(A1404, G1404,Table2[Dias no laborales]))</f>
        <v>10</v>
      </c>
      <c r="J1404" s="6" t="str">
        <f>IF(Table1[[#This Row],[FIN]]="","Acumulado",IF(ISNUMBER(SEARCH("ASAP",C1404)),"ASAP",IF(NETWORKDAYS.INTL(F1404,G1404,1,Table2[Dias no laborales]) &lt;= 7, "Dentro", IF(A1404&gt;F1404,"Programado","Fuera"))))</f>
        <v>Programado</v>
      </c>
      <c r="K1404" s="6" t="str">
        <f t="shared" si="46"/>
        <v>Programados</v>
      </c>
      <c r="L1404" s="8">
        <v>46028</v>
      </c>
      <c r="M1404" s="17">
        <f>MAX(1,NETWORKDAYS(A1404,L1404,Table2[Dias no laborales]))</f>
        <v>1</v>
      </c>
    </row>
    <row r="1405" spans="1:13" hidden="1" x14ac:dyDescent="0.3">
      <c r="A1405" s="8">
        <v>46028</v>
      </c>
      <c r="B1405" s="6" t="s">
        <v>2847</v>
      </c>
      <c r="C1405" s="6" t="s">
        <v>2874</v>
      </c>
      <c r="D1405" s="6" t="s">
        <v>27</v>
      </c>
      <c r="E1405" s="14"/>
      <c r="F1405" s="8">
        <f>IF(HOUR(Table1[[#This Row],[CORREO]])&gt;=11,WORKDAY(Table1[[#This Row],[CORREO]],1,Table2[Dias no laborales]),E1405)</f>
        <v>0</v>
      </c>
      <c r="G1405" s="8">
        <v>46041</v>
      </c>
      <c r="H1405" s="6">
        <f t="shared" si="45"/>
        <v>1</v>
      </c>
      <c r="I1405" s="16">
        <f>MAX(1, NETWORKDAYS(A1405, G1405,Table2[Dias no laborales]))</f>
        <v>10</v>
      </c>
      <c r="J1405" s="6" t="str">
        <f>IF(Table1[[#This Row],[FIN]]="","Acumulado",IF(ISNUMBER(SEARCH("ASAP",C1405)),"ASAP",IF(NETWORKDAYS.INTL(F1405,G1405,1,Table2[Dias no laborales]) &lt;= 7, "Dentro", IF(A1405&gt;F1405,"Programado","Fuera"))))</f>
        <v>Programado</v>
      </c>
      <c r="K1405" s="6" t="str">
        <f t="shared" si="46"/>
        <v>Programados</v>
      </c>
      <c r="L1405" s="8">
        <v>46028</v>
      </c>
      <c r="M1405" s="17">
        <f>MAX(1,NETWORKDAYS(A1405,L1405,Table2[Dias no laborales]))</f>
        <v>1</v>
      </c>
    </row>
    <row r="1406" spans="1:13" hidden="1" x14ac:dyDescent="0.3">
      <c r="A1406" s="8">
        <v>46028</v>
      </c>
      <c r="B1406" s="6" t="s">
        <v>2827</v>
      </c>
      <c r="C1406" s="6" t="s">
        <v>2875</v>
      </c>
      <c r="D1406" s="6" t="s">
        <v>27</v>
      </c>
      <c r="E1406" s="14"/>
      <c r="F1406" s="8">
        <f>IF(HOUR(Table1[[#This Row],[CORREO]])&gt;=11,WORKDAY(Table1[[#This Row],[CORREO]],1,Table2[Dias no laborales]),E1406)</f>
        <v>0</v>
      </c>
      <c r="G1406" s="8">
        <v>46037</v>
      </c>
      <c r="H1406" s="6">
        <f t="shared" si="45"/>
        <v>1</v>
      </c>
      <c r="I1406" s="16">
        <f>MAX(1, NETWORKDAYS(A1406, G1406,Table2[Dias no laborales]))</f>
        <v>8</v>
      </c>
      <c r="J1406" s="6" t="str">
        <f>IF(Table1[[#This Row],[FIN]]="","Acumulado",IF(ISNUMBER(SEARCH("ASAP",C1406)),"ASAP",IF(NETWORKDAYS.INTL(F1406,G1406,1,Table2[Dias no laborales]) &lt;= 7, "Dentro", IF(A1406&gt;F1406,"Programado","Fuera"))))</f>
        <v>Programado</v>
      </c>
      <c r="K1406" s="6" t="str">
        <f t="shared" si="46"/>
        <v>Programados</v>
      </c>
      <c r="L1406" s="8">
        <v>46028</v>
      </c>
      <c r="M1406" s="17">
        <f>MAX(1,NETWORKDAYS(A1406,L1406,Table2[Dias no laborales]))</f>
        <v>1</v>
      </c>
    </row>
    <row r="1407" spans="1:13" hidden="1" x14ac:dyDescent="0.3">
      <c r="A1407" s="8">
        <v>46028</v>
      </c>
      <c r="B1407" s="6" t="s">
        <v>2848</v>
      </c>
      <c r="C1407" s="6" t="s">
        <v>2876</v>
      </c>
      <c r="D1407" s="6" t="s">
        <v>27</v>
      </c>
      <c r="E1407" s="14"/>
      <c r="F1407" s="8">
        <f>IF(HOUR(Table1[[#This Row],[CORREO]])&gt;=11,WORKDAY(Table1[[#This Row],[CORREO]],1,Table2[Dias no laborales]),E1407)</f>
        <v>0</v>
      </c>
      <c r="G1407" s="8">
        <v>46041</v>
      </c>
      <c r="H1407" s="6">
        <f t="shared" si="45"/>
        <v>1</v>
      </c>
      <c r="I1407" s="16">
        <f>MAX(1, NETWORKDAYS(A1407, G1407,Table2[Dias no laborales]))</f>
        <v>10</v>
      </c>
      <c r="J1407" s="6" t="str">
        <f>IF(Table1[[#This Row],[FIN]]="","Acumulado",IF(ISNUMBER(SEARCH("ASAP",C1407)),"ASAP",IF(NETWORKDAYS.INTL(F1407,G1407,1,Table2[Dias no laborales]) &lt;= 7, "Dentro", IF(A1407&gt;F1407,"Programado","Fuera"))))</f>
        <v>Programado</v>
      </c>
      <c r="K1407" s="6" t="str">
        <f t="shared" si="46"/>
        <v>Programados</v>
      </c>
      <c r="L1407" s="8">
        <v>46028</v>
      </c>
      <c r="M1407" s="17">
        <f>MAX(1,NETWORKDAYS(A1407,L1407,Table2[Dias no laborales]))</f>
        <v>1</v>
      </c>
    </row>
    <row r="1408" spans="1:13" hidden="1" x14ac:dyDescent="0.3">
      <c r="A1408" s="8">
        <v>46028</v>
      </c>
      <c r="B1408" s="6" t="s">
        <v>2860</v>
      </c>
      <c r="C1408" s="6" t="s">
        <v>2877</v>
      </c>
      <c r="D1408" s="6" t="s">
        <v>27</v>
      </c>
      <c r="E1408" s="14"/>
      <c r="F1408" s="8">
        <f>IF(HOUR(Table1[[#This Row],[CORREO]])&gt;=11,WORKDAY(Table1[[#This Row],[CORREO]],1,Table2[Dias no laborales]),E1408)</f>
        <v>0</v>
      </c>
      <c r="G1408" s="8">
        <v>46043</v>
      </c>
      <c r="H1408" s="6">
        <f t="shared" si="45"/>
        <v>1</v>
      </c>
      <c r="I1408" s="16">
        <f>MAX(1, NETWORKDAYS(A1408, G1408,Table2[Dias no laborales]))</f>
        <v>12</v>
      </c>
      <c r="J1408" s="6" t="str">
        <f>IF(Table1[[#This Row],[FIN]]="","Acumulado",IF(ISNUMBER(SEARCH("ASAP",C1408)),"ASAP",IF(NETWORKDAYS.INTL(F1408,G1408,1,Table2[Dias no laborales]) &lt;= 7, "Dentro", IF(A1408&gt;F1408,"Programado","Fuera"))))</f>
        <v>Programado</v>
      </c>
      <c r="K1408" s="6" t="str">
        <f t="shared" si="46"/>
        <v>Programados</v>
      </c>
      <c r="L1408" s="8">
        <v>46028</v>
      </c>
      <c r="M1408" s="17">
        <f>MAX(1,NETWORKDAYS(A1408,L1408,Table2[Dias no laborales]))</f>
        <v>1</v>
      </c>
    </row>
    <row r="1409" spans="1:13" hidden="1" x14ac:dyDescent="0.3">
      <c r="A1409" s="8">
        <v>46029</v>
      </c>
      <c r="B1409" s="6" t="s">
        <v>2863</v>
      </c>
      <c r="C1409" s="6" t="s">
        <v>2878</v>
      </c>
      <c r="D1409" s="6" t="s">
        <v>517</v>
      </c>
      <c r="E1409" s="14">
        <v>46028.46875</v>
      </c>
      <c r="F1409" s="8">
        <f>IF(HOUR(Table1[[#This Row],[CORREO]])&gt;=11,WORKDAY(Table1[[#This Row],[CORREO]],1,Table2[Dias no laborales]),E1409)</f>
        <v>46029</v>
      </c>
      <c r="G1409" s="8">
        <v>46044</v>
      </c>
      <c r="H1409" s="6">
        <f t="shared" si="45"/>
        <v>1</v>
      </c>
      <c r="I1409" s="16">
        <f>MAX(1, NETWORKDAYS(A1409, G1409,Table2[Dias no laborales]))</f>
        <v>12</v>
      </c>
      <c r="J1409" s="6" t="str">
        <f>IF(Table1[[#This Row],[FIN]]="","Acumulado",IF(ISNUMBER(SEARCH("ASAP",C1409)),"ASAP",IF(NETWORKDAYS.INTL(F1409,G1409,1,Table2[Dias no laborales]) &lt;= 7, "Dentro", IF(A1409&gt;F1409,"Programado","Fuera"))))</f>
        <v>Fuera</v>
      </c>
      <c r="K1409" s="6" t="str">
        <f t="shared" si="46"/>
        <v>A tiempo</v>
      </c>
      <c r="L1409" s="8">
        <v>46029</v>
      </c>
      <c r="M1409" s="17">
        <f>MAX(1,NETWORKDAYS(A1409,L1409,Table2[Dias no laborales]))</f>
        <v>1</v>
      </c>
    </row>
    <row r="1410" spans="1:13" hidden="1" x14ac:dyDescent="0.3">
      <c r="A1410" s="8">
        <v>46029</v>
      </c>
      <c r="B1410" s="6" t="s">
        <v>2828</v>
      </c>
      <c r="C1410" s="6" t="s">
        <v>2879</v>
      </c>
      <c r="D1410" s="6" t="s">
        <v>194</v>
      </c>
      <c r="E1410" s="14">
        <v>46028.576388888891</v>
      </c>
      <c r="F1410" s="8">
        <f>IF(HOUR(Table1[[#This Row],[CORREO]])&gt;=11,WORKDAY(Table1[[#This Row],[CORREO]],1,Table2[Dias no laborales]),E1410)</f>
        <v>46029</v>
      </c>
      <c r="G1410" s="8">
        <v>46034</v>
      </c>
      <c r="H1410" s="6">
        <f t="shared" si="45"/>
        <v>1</v>
      </c>
      <c r="I1410" s="16">
        <f>MAX(1, NETWORKDAYS(A1410, G1410,Table2[Dias no laborales]))</f>
        <v>4</v>
      </c>
      <c r="J1410" s="6" t="str">
        <f>IF(Table1[[#This Row],[FIN]]="","Acumulado",IF(ISNUMBER(SEARCH("ASAP",C1410)),"ASAP",IF(NETWORKDAYS.INTL(F1410,G1410,1,Table2[Dias no laborales]) &lt;= 7, "Dentro", IF(A1410&gt;F1410,"Programado","Fuera"))))</f>
        <v>Dentro</v>
      </c>
      <c r="K1410" s="6" t="str">
        <f t="shared" si="46"/>
        <v>A tiempo</v>
      </c>
      <c r="L1410" s="8">
        <v>46029</v>
      </c>
      <c r="M1410" s="17">
        <f>MAX(1,NETWORKDAYS(A1410,L1410,Table2[Dias no laborales]))</f>
        <v>1</v>
      </c>
    </row>
    <row r="1411" spans="1:13" hidden="1" x14ac:dyDescent="0.3">
      <c r="A1411" s="8">
        <v>46029</v>
      </c>
      <c r="B1411" s="6" t="s">
        <v>2829</v>
      </c>
      <c r="C1411" s="6" t="s">
        <v>2880</v>
      </c>
      <c r="D1411" s="6" t="s">
        <v>308</v>
      </c>
      <c r="E1411" s="14">
        <v>46029.450694444444</v>
      </c>
      <c r="F1411" s="8">
        <f>IF(HOUR(Table1[[#This Row],[CORREO]])&gt;=11,WORKDAY(Table1[[#This Row],[CORREO]],1,Table2[Dias no laborales]),E1411)</f>
        <v>46029.450694444444</v>
      </c>
      <c r="G1411" s="8">
        <v>46029</v>
      </c>
      <c r="H1411" s="6">
        <f t="shared" si="45"/>
        <v>1</v>
      </c>
      <c r="I1411" s="16">
        <f>MAX(1, NETWORKDAYS(A1411, G1411,Table2[Dias no laborales]))</f>
        <v>1</v>
      </c>
      <c r="J1411" s="6" t="str">
        <f>IF(Table1[[#This Row],[FIN]]="","Acumulado",IF(ISNUMBER(SEARCH("ASAP",C1411)),"ASAP",IF(NETWORKDAYS.INTL(F1411,G1411,1,Table2[Dias no laborales]) &lt;= 7, "Dentro", IF(A1411&gt;F1411,"Programado","Fuera"))))</f>
        <v>Dentro</v>
      </c>
      <c r="K1411" s="6" t="str">
        <f t="shared" si="46"/>
        <v>A tiempo</v>
      </c>
      <c r="L1411" s="8">
        <v>46029</v>
      </c>
      <c r="M1411" s="17">
        <f>MAX(1,NETWORKDAYS(A1411,L1411,Table2[Dias no laborales]))</f>
        <v>1</v>
      </c>
    </row>
    <row r="1412" spans="1:13" hidden="1" x14ac:dyDescent="0.3">
      <c r="A1412" s="13">
        <v>46030</v>
      </c>
      <c r="B1412" s="6" t="s">
        <v>2830</v>
      </c>
      <c r="C1412" s="6" t="s">
        <v>2935</v>
      </c>
      <c r="D1412" s="6" t="s">
        <v>171</v>
      </c>
      <c r="E1412" s="14"/>
      <c r="F1412" s="8">
        <f>IF(HOUR(Table1[[#This Row],[CORREO]])&gt;=11,WORKDAY(Table1[[#This Row],[CORREO]],1,Table2[Dias no laborales]),E1412)</f>
        <v>0</v>
      </c>
      <c r="G1412" s="8">
        <v>46030</v>
      </c>
      <c r="H1412" s="6">
        <f t="shared" si="45"/>
        <v>2</v>
      </c>
      <c r="I1412" s="16">
        <f>MAX(1, NETWORKDAYS(A1412, G1412,Table2[Dias no laborales]))</f>
        <v>1</v>
      </c>
      <c r="J1412" s="6" t="str">
        <f>IF(Table1[[#This Row],[FIN]]="","Acumulado",IF(ISNUMBER(SEARCH("ASAP",C1412)),"ASAP",IF(NETWORKDAYS.INTL(F1412,G1412,1,Table2[Dias no laborales]) &lt;= 7, "Dentro", IF(A1412&gt;F1412,"Programado","Fuera"))))</f>
        <v>Programado</v>
      </c>
      <c r="K1412" s="6" t="str">
        <f t="shared" si="46"/>
        <v>Programados</v>
      </c>
      <c r="L1412" s="8">
        <v>46030</v>
      </c>
      <c r="M1412" s="17">
        <f>MAX(1,NETWORKDAYS(A1412,L1412,Table2[Dias no laborales]))</f>
        <v>1</v>
      </c>
    </row>
    <row r="1413" spans="1:13" hidden="1" x14ac:dyDescent="0.3">
      <c r="A1413" s="8">
        <v>46030</v>
      </c>
      <c r="B1413" s="6" t="s">
        <v>2805</v>
      </c>
      <c r="C1413" s="6" t="s">
        <v>2940</v>
      </c>
      <c r="D1413" s="6" t="s">
        <v>2941</v>
      </c>
      <c r="E1413" s="14">
        <v>45665.322222222225</v>
      </c>
      <c r="F1413" s="8">
        <f>IF(HOUR(Table1[[#This Row],[CORREO]])&gt;=11,WORKDAY(Table1[[#This Row],[CORREO]],1,Table2[Dias no laborales]),E1413)</f>
        <v>45665.322222222225</v>
      </c>
      <c r="G1413" s="8">
        <v>46108</v>
      </c>
      <c r="H1413" s="6">
        <f t="shared" si="45"/>
        <v>2</v>
      </c>
      <c r="I1413" s="16">
        <f>MAX(1, NETWORKDAYS(A1413, G1413,Table2[Dias no laborales]))</f>
        <v>55</v>
      </c>
      <c r="J1413" s="6" t="str">
        <f>IF(Table1[[#This Row],[FIN]]="","Acumulado",IF(ISNUMBER(SEARCH("ASAP",C1413)),"ASAP",IF(NETWORKDAYS.INTL(F1413,G1413,1,Table2[Dias no laborales]) &lt;= 7, "Dentro", IF(A1413&gt;F1413,"Programado","Fuera"))))</f>
        <v>Programado</v>
      </c>
      <c r="K1413" s="6" t="str">
        <f t="shared" si="46"/>
        <v>Programados</v>
      </c>
      <c r="L1413" s="8">
        <v>46031</v>
      </c>
      <c r="M1413" s="17">
        <f>MAX(1,NETWORKDAYS(A1413,L1413,Table2[Dias no laborales]))</f>
        <v>2</v>
      </c>
    </row>
    <row r="1414" spans="1:13" hidden="1" x14ac:dyDescent="0.3">
      <c r="A1414" s="8">
        <v>46027</v>
      </c>
      <c r="B1414" s="6" t="s">
        <v>2870</v>
      </c>
      <c r="C1414" s="6" t="s">
        <v>2942</v>
      </c>
      <c r="D1414" s="6" t="s">
        <v>61</v>
      </c>
      <c r="E1414" s="14">
        <v>46027.481944444444</v>
      </c>
      <c r="F1414" s="8">
        <f>IF(HOUR(Table1[[#This Row],[CORREO]])&gt;=11,WORKDAY(Table1[[#This Row],[CORREO]],1,Table2[Dias no laborales]),E1414)</f>
        <v>46028</v>
      </c>
      <c r="G1414" s="8">
        <v>46027</v>
      </c>
      <c r="H1414" s="6">
        <f t="shared" si="45"/>
        <v>1</v>
      </c>
      <c r="I1414" s="16">
        <f>MAX(1, NETWORKDAYS(A1414, G1414,Table2[Dias no laborales]))</f>
        <v>1</v>
      </c>
      <c r="J1414" s="6" t="str">
        <f>IF(Table1[[#This Row],[FIN]]="","Acumulado",IF(ISNUMBER(SEARCH("ASAP",C1414)),"ASAP",IF(NETWORKDAYS.INTL(F1414,G1414,1,Table2[Dias no laborales]) &lt;= 7, "Dentro", IF(A1414&gt;F1414,"Programado","Fuera"))))</f>
        <v>Dentro</v>
      </c>
      <c r="K1414" s="6" t="str">
        <f t="shared" si="46"/>
        <v>Mismo día</v>
      </c>
      <c r="L1414" s="8">
        <v>46027</v>
      </c>
      <c r="M1414" s="17">
        <f>MAX(1,NETWORKDAYS(A1414,L1414,Table2[Dias no laborales]))</f>
        <v>1</v>
      </c>
    </row>
    <row r="1415" spans="1:13" hidden="1" x14ac:dyDescent="0.3">
      <c r="A1415" s="8">
        <v>46030</v>
      </c>
      <c r="B1415" s="6" t="s">
        <v>2849</v>
      </c>
      <c r="C1415" s="6" t="s">
        <v>2943</v>
      </c>
      <c r="D1415" s="6" t="s">
        <v>1360</v>
      </c>
      <c r="E1415" s="14"/>
      <c r="F1415" s="8">
        <f>IF(HOUR(Table1[[#This Row],[CORREO]])&gt;=11,WORKDAY(Table1[[#This Row],[CORREO]],1,Table2[Dias no laborales]),E1415)</f>
        <v>0</v>
      </c>
      <c r="G1415" s="8">
        <v>46041</v>
      </c>
      <c r="H1415" s="6">
        <f t="shared" si="45"/>
        <v>2</v>
      </c>
      <c r="I1415" s="16">
        <f>MAX(1, NETWORKDAYS(A1415, G1415,Table2[Dias no laborales]))</f>
        <v>8</v>
      </c>
      <c r="J1415" s="6" t="str">
        <f>IF(Table1[[#This Row],[FIN]]="","Acumulado",IF(ISNUMBER(SEARCH("ASAP",C1415)),"ASAP",IF(NETWORKDAYS.INTL(F1415,G1415,1,Table2[Dias no laborales]) &lt;= 7, "Dentro", IF(A1415&gt;F1415,"Programado","Fuera"))))</f>
        <v>Programado</v>
      </c>
      <c r="K1415" s="6" t="str">
        <f t="shared" si="46"/>
        <v>Programados</v>
      </c>
      <c r="L1415" s="8">
        <v>46030</v>
      </c>
      <c r="M1415" s="17">
        <f>MAX(1,NETWORKDAYS(A1415,L1415,Table2[Dias no laborales]))</f>
        <v>1</v>
      </c>
    </row>
    <row r="1416" spans="1:13" hidden="1" x14ac:dyDescent="0.3">
      <c r="A1416" s="8">
        <v>46030</v>
      </c>
      <c r="B1416" s="6" t="s">
        <v>2850</v>
      </c>
      <c r="C1416" s="6" t="s">
        <v>2944</v>
      </c>
      <c r="D1416" s="6" t="s">
        <v>1360</v>
      </c>
      <c r="E1416" s="14"/>
      <c r="F1416" s="8">
        <f>IF(HOUR(Table1[[#This Row],[CORREO]])&gt;=11,WORKDAY(Table1[[#This Row],[CORREO]],1,Table2[Dias no laborales]),E1416)</f>
        <v>0</v>
      </c>
      <c r="G1416" s="8">
        <v>46041</v>
      </c>
      <c r="H1416" s="6">
        <f t="shared" si="45"/>
        <v>2</v>
      </c>
      <c r="I1416" s="16">
        <f>MAX(1, NETWORKDAYS(A1416, G1416,Table2[Dias no laborales]))</f>
        <v>8</v>
      </c>
      <c r="J1416" s="6" t="str">
        <f>IF(Table1[[#This Row],[FIN]]="","Acumulado",IF(ISNUMBER(SEARCH("ASAP",C1416)),"ASAP",IF(NETWORKDAYS.INTL(F1416,G1416,1,Table2[Dias no laborales]) &lt;= 7, "Dentro", IF(A1416&gt;F1416,"Programado","Fuera"))))</f>
        <v>Programado</v>
      </c>
      <c r="K1416" s="6" t="str">
        <f t="shared" si="46"/>
        <v>Programados</v>
      </c>
      <c r="L1416" s="8">
        <v>46030</v>
      </c>
      <c r="M1416" s="17">
        <f>MAX(1,NETWORKDAYS(A1416,L1416,Table2[Dias no laborales]))</f>
        <v>1</v>
      </c>
    </row>
    <row r="1417" spans="1:13" hidden="1" x14ac:dyDescent="0.3">
      <c r="A1417" s="8">
        <v>46030</v>
      </c>
      <c r="B1417" s="6" t="s">
        <v>2851</v>
      </c>
      <c r="C1417" s="6" t="s">
        <v>2945</v>
      </c>
      <c r="D1417" s="6" t="s">
        <v>1360</v>
      </c>
      <c r="E1417" s="14"/>
      <c r="F1417" s="8">
        <f>IF(HOUR(Table1[[#This Row],[CORREO]])&gt;=11,WORKDAY(Table1[[#This Row],[CORREO]],1,Table2[Dias no laborales]),E1417)</f>
        <v>0</v>
      </c>
      <c r="G1417" s="8">
        <v>46041</v>
      </c>
      <c r="H1417" s="6">
        <f t="shared" si="45"/>
        <v>2</v>
      </c>
      <c r="I1417" s="16">
        <f>MAX(1, NETWORKDAYS(A1417, G1417,Table2[Dias no laborales]))</f>
        <v>8</v>
      </c>
      <c r="J1417" s="6" t="str">
        <f>IF(Table1[[#This Row],[FIN]]="","Acumulado",IF(ISNUMBER(SEARCH("ASAP",C1417)),"ASAP",IF(NETWORKDAYS.INTL(F1417,G1417,1,Table2[Dias no laborales]) &lt;= 7, "Dentro", IF(A1417&gt;F1417,"Programado","Fuera"))))</f>
        <v>Programado</v>
      </c>
      <c r="K1417" s="6" t="str">
        <f t="shared" si="46"/>
        <v>Programados</v>
      </c>
      <c r="L1417" s="8">
        <v>46030</v>
      </c>
      <c r="M1417" s="17">
        <f>MAX(1,NETWORKDAYS(A1417,L1417,Table2[Dias no laborales]))</f>
        <v>1</v>
      </c>
    </row>
    <row r="1418" spans="1:13" hidden="1" x14ac:dyDescent="0.3">
      <c r="A1418" s="8">
        <v>46030</v>
      </c>
      <c r="B1418" s="6" t="s">
        <v>2831</v>
      </c>
      <c r="C1418" s="6" t="s">
        <v>2946</v>
      </c>
      <c r="D1418" s="6" t="s">
        <v>194</v>
      </c>
      <c r="E1418" s="14">
        <v>46030.367361111108</v>
      </c>
      <c r="F1418" s="8">
        <f>IF(HOUR(Table1[[#This Row],[CORREO]])&gt;=11,WORKDAY(Table1[[#This Row],[CORREO]],1,Table2[Dias no laborales]),E1418)</f>
        <v>46030.367361111108</v>
      </c>
      <c r="G1418" s="8">
        <v>46035</v>
      </c>
      <c r="H1418" s="6">
        <f t="shared" si="45"/>
        <v>2</v>
      </c>
      <c r="I1418" s="16">
        <f>MAX(1, NETWORKDAYS(A1418, G1418,Table2[Dias no laborales]))</f>
        <v>4</v>
      </c>
      <c r="J1418" s="6" t="str">
        <f>IF(Table1[[#This Row],[FIN]]="","Acumulado",IF(ISNUMBER(SEARCH("ASAP",C1418)),"ASAP",IF(NETWORKDAYS.INTL(F1418,G1418,1,Table2[Dias no laborales]) &lt;= 7, "Dentro", IF(A1418&gt;F1418,"Programado","Fuera"))))</f>
        <v>Dentro</v>
      </c>
      <c r="K1418" s="6" t="str">
        <f t="shared" si="46"/>
        <v>A tiempo</v>
      </c>
      <c r="L1418" s="8">
        <v>46030</v>
      </c>
      <c r="M1418" s="17">
        <f>MAX(1,NETWORKDAYS(A1418,L1418,Table2[Dias no laborales]))</f>
        <v>1</v>
      </c>
    </row>
    <row r="1419" spans="1:13" hidden="1" x14ac:dyDescent="0.3">
      <c r="A1419" s="8">
        <v>46031</v>
      </c>
      <c r="B1419" s="6" t="s">
        <v>2861</v>
      </c>
      <c r="C1419" s="6" t="s">
        <v>2947</v>
      </c>
      <c r="D1419" s="6" t="s">
        <v>1333</v>
      </c>
      <c r="E1419" s="14"/>
      <c r="F1419" s="8">
        <f>IF(HOUR(Table1[[#This Row],[CORREO]])&gt;=11,WORKDAY(Table1[[#This Row],[CORREO]],1,Table2[Dias no laborales]),E1419)</f>
        <v>0</v>
      </c>
      <c r="G1419" s="8">
        <v>46045</v>
      </c>
      <c r="H1419" s="6">
        <f t="shared" si="45"/>
        <v>2</v>
      </c>
      <c r="I1419" s="16">
        <f>MAX(1, NETWORKDAYS(A1419, G1419,Table2[Dias no laborales]))</f>
        <v>11</v>
      </c>
      <c r="J1419" s="6" t="str">
        <f>IF(Table1[[#This Row],[FIN]]="","Acumulado",IF(ISNUMBER(SEARCH("ASAP",C1419)),"ASAP",IF(NETWORKDAYS.INTL(F1419,G1419,1,Table2[Dias no laborales]) &lt;= 7, "Dentro", IF(A1419&gt;F1419,"Programado","Fuera"))))</f>
        <v>Programado</v>
      </c>
      <c r="K1419" s="6" t="str">
        <f t="shared" si="46"/>
        <v>Programados</v>
      </c>
      <c r="L1419" s="8">
        <v>46031</v>
      </c>
      <c r="M1419" s="17">
        <f>MAX(1,NETWORKDAYS(A1419,L1419,Table2[Dias no laborales]))</f>
        <v>1</v>
      </c>
    </row>
    <row r="1420" spans="1:13" hidden="1" x14ac:dyDescent="0.3">
      <c r="A1420" s="8">
        <v>46031</v>
      </c>
      <c r="B1420" s="6" t="s">
        <v>2832</v>
      </c>
      <c r="C1420" s="6" t="s">
        <v>2948</v>
      </c>
      <c r="D1420" s="6" t="s">
        <v>171</v>
      </c>
      <c r="E1420" s="14">
        <v>46028.622916666667</v>
      </c>
      <c r="F1420" s="8">
        <f>IF(HOUR(Table1[[#This Row],[CORREO]])&gt;=11,WORKDAY(Table1[[#This Row],[CORREO]],1,Table2[Dias no laborales]),E1420)</f>
        <v>46029</v>
      </c>
      <c r="G1420" s="8">
        <v>46036</v>
      </c>
      <c r="H1420" s="6">
        <f t="shared" si="45"/>
        <v>2</v>
      </c>
      <c r="I1420" s="16">
        <f>MAX(1, NETWORKDAYS(A1420, G1420,Table2[Dias no laborales]))</f>
        <v>4</v>
      </c>
      <c r="J1420" s="6" t="str">
        <f>IF(Table1[[#This Row],[FIN]]="","Acumulado",IF(ISNUMBER(SEARCH("ASAP",C1420)),"ASAP",IF(NETWORKDAYS.INTL(F1420,G1420,1,Table2[Dias no laborales]) &lt;= 7, "Dentro", IF(A1420&gt;F1420,"Programado","Fuera"))))</f>
        <v>Dentro</v>
      </c>
      <c r="K1420" s="6" t="str">
        <f t="shared" si="46"/>
        <v>Programados</v>
      </c>
      <c r="L1420" s="8">
        <v>46031</v>
      </c>
      <c r="M1420" s="17">
        <f>MAX(1,NETWORKDAYS(A1420,L1420,Table2[Dias no laborales]))</f>
        <v>1</v>
      </c>
    </row>
    <row r="1421" spans="1:13" hidden="1" x14ac:dyDescent="0.3">
      <c r="A1421" s="8">
        <v>46031</v>
      </c>
      <c r="B1421" s="6" t="s">
        <v>2806</v>
      </c>
      <c r="C1421" s="6" t="s">
        <v>2949</v>
      </c>
      <c r="D1421" s="6" t="s">
        <v>139</v>
      </c>
      <c r="E1421" s="14">
        <v>46030.539583333331</v>
      </c>
      <c r="F1421" s="8">
        <f>IF(HOUR(Table1[[#This Row],[CORREO]])&gt;=11,WORKDAY(Table1[[#This Row],[CORREO]],1,Table2[Dias no laborales]),E1421)</f>
        <v>46031</v>
      </c>
      <c r="G1421" s="8">
        <v>46093</v>
      </c>
      <c r="H1421" s="6">
        <f t="shared" si="45"/>
        <v>2</v>
      </c>
      <c r="I1421" s="16">
        <f>MAX(1, NETWORKDAYS(A1421, G1421,Table2[Dias no laborales]))</f>
        <v>44</v>
      </c>
      <c r="J1421" s="6" t="str">
        <f>IF(Table1[[#This Row],[FIN]]="","Acumulado",IF(ISNUMBER(SEARCH("ASAP",C1421)),"ASAP",IF(NETWORKDAYS.INTL(F1421,G1421,1,Table2[Dias no laborales]) &lt;= 7, "Dentro", IF(A1421&gt;F1421,"Programado","Fuera"))))</f>
        <v>Fuera</v>
      </c>
      <c r="K1421" s="6" t="str">
        <f t="shared" si="46"/>
        <v>A tiempo</v>
      </c>
      <c r="L1421" s="8">
        <v>46031</v>
      </c>
      <c r="M1421" s="17">
        <f>MAX(1,NETWORKDAYS(A1421,L1421,Table2[Dias no laborales]))</f>
        <v>1</v>
      </c>
    </row>
    <row r="1422" spans="1:13" hidden="1" x14ac:dyDescent="0.3">
      <c r="A1422" s="8">
        <v>46031</v>
      </c>
      <c r="B1422" s="6" t="s">
        <v>2833</v>
      </c>
      <c r="C1422" s="6" t="s">
        <v>2950</v>
      </c>
      <c r="D1422" s="6" t="s">
        <v>136</v>
      </c>
      <c r="E1422" s="14">
        <v>46031.363888888889</v>
      </c>
      <c r="F1422" s="8">
        <f>IF(HOUR(Table1[[#This Row],[CORREO]])&gt;=11,WORKDAY(Table1[[#This Row],[CORREO]],1,Table2[Dias no laborales]),E1422)</f>
        <v>46031.363888888889</v>
      </c>
      <c r="G1422" s="8">
        <v>46031</v>
      </c>
      <c r="H1422" s="6">
        <f t="shared" ref="H1422:H1485" si="47">INT((A1422-DATE(YEAR(A1422),1,1))/7) + 1</f>
        <v>2</v>
      </c>
      <c r="I1422" s="16">
        <f>MAX(1, NETWORKDAYS(A1422, G1422,Table2[Dias no laborales]))</f>
        <v>1</v>
      </c>
      <c r="J1422" s="6" t="str">
        <f>IF(Table1[[#This Row],[FIN]]="","Acumulado",IF(ISNUMBER(SEARCH("ASAP",C1422)),"ASAP",IF(NETWORKDAYS.INTL(F1422,G1422,1,Table2[Dias no laborales]) &lt;= 7, "Dentro", IF(A1422&gt;F1422,"Programado","Fuera"))))</f>
        <v>Dentro</v>
      </c>
      <c r="K1422" s="6" t="str">
        <f t="shared" ref="K1422:K1485" si="48">IF(INT(A1422)=INT(F1422),"A tiempo", IF(A1422&lt;F1422,"Mismo día","Programados"))</f>
        <v>A tiempo</v>
      </c>
      <c r="L1422" s="8">
        <v>46031</v>
      </c>
      <c r="M1422" s="17">
        <f>MAX(1,NETWORKDAYS(A1422,L1422,Table2[Dias no laborales]))</f>
        <v>1</v>
      </c>
    </row>
    <row r="1423" spans="1:13" hidden="1" x14ac:dyDescent="0.3">
      <c r="A1423" s="8">
        <v>46031</v>
      </c>
      <c r="B1423" s="6" t="s">
        <v>2834</v>
      </c>
      <c r="C1423" s="6" t="s">
        <v>2938</v>
      </c>
      <c r="D1423" s="6" t="s">
        <v>154</v>
      </c>
      <c r="E1423" s="14">
        <v>46031.4375</v>
      </c>
      <c r="F1423" s="8">
        <f>IF(HOUR(Table1[[#This Row],[CORREO]])&gt;=11,WORKDAY(Table1[[#This Row],[CORREO]],1,Table2[Dias no laborales]),E1423)</f>
        <v>46031.4375</v>
      </c>
      <c r="G1423" s="8">
        <v>46034</v>
      </c>
      <c r="H1423" s="6">
        <f t="shared" si="47"/>
        <v>2</v>
      </c>
      <c r="I1423" s="16">
        <f>MAX(1, NETWORKDAYS(A1423, G1423,Table2[Dias no laborales]))</f>
        <v>2</v>
      </c>
      <c r="J1423" s="6" t="str">
        <f>IF(Table1[[#This Row],[FIN]]="","Acumulado",IF(ISNUMBER(SEARCH("ASAP",C1423)),"ASAP",IF(NETWORKDAYS.INTL(F1423,G1423,1,Table2[Dias no laborales]) &lt;= 7, "Dentro", IF(A1423&gt;F1423,"Programado","Fuera"))))</f>
        <v>Dentro</v>
      </c>
      <c r="K1423" s="6" t="str">
        <f t="shared" si="48"/>
        <v>A tiempo</v>
      </c>
      <c r="L1423" s="8">
        <v>46031</v>
      </c>
      <c r="M1423" s="17">
        <f>MAX(1,NETWORKDAYS(A1423,L1423,Table2[Dias no laborales]))</f>
        <v>1</v>
      </c>
    </row>
    <row r="1424" spans="1:13" hidden="1" x14ac:dyDescent="0.3">
      <c r="A1424" s="8">
        <v>46034</v>
      </c>
      <c r="B1424" s="6" t="s">
        <v>2835</v>
      </c>
      <c r="C1424" s="6" t="s">
        <v>2951</v>
      </c>
      <c r="D1424" s="6" t="s">
        <v>24</v>
      </c>
      <c r="E1424" s="14"/>
      <c r="F1424" s="8">
        <f>IF(HOUR(Table1[[#This Row],[CORREO]])&gt;=11,WORKDAY(Table1[[#This Row],[CORREO]],1,Table2[Dias no laborales]),E1424)</f>
        <v>0</v>
      </c>
      <c r="G1424" s="8">
        <v>46038</v>
      </c>
      <c r="H1424" s="6">
        <f t="shared" si="47"/>
        <v>2</v>
      </c>
      <c r="I1424" s="16">
        <f>MAX(1, NETWORKDAYS(A1424, G1424,Table2[Dias no laborales]))</f>
        <v>5</v>
      </c>
      <c r="J1424" s="6" t="str">
        <f>IF(Table1[[#This Row],[FIN]]="","Acumulado",IF(ISNUMBER(SEARCH("ASAP",C1424)),"ASAP",IF(NETWORKDAYS.INTL(F1424,G1424,1,Table2[Dias no laborales]) &lt;= 7, "Dentro", IF(A1424&gt;F1424,"Programado","Fuera"))))</f>
        <v>Programado</v>
      </c>
      <c r="K1424" s="6" t="str">
        <f t="shared" si="48"/>
        <v>Programados</v>
      </c>
      <c r="L1424" s="8">
        <v>46034</v>
      </c>
      <c r="M1424" s="17">
        <f>MAX(1,NETWORKDAYS(A1424,L1424,Table2[Dias no laborales]))</f>
        <v>1</v>
      </c>
    </row>
    <row r="1425" spans="1:13" hidden="1" x14ac:dyDescent="0.3">
      <c r="A1425" s="8">
        <v>46034</v>
      </c>
      <c r="B1425" s="6" t="s">
        <v>2807</v>
      </c>
      <c r="C1425" s="6" t="s">
        <v>2952</v>
      </c>
      <c r="D1425" s="6" t="s">
        <v>538</v>
      </c>
      <c r="E1425" s="14">
        <v>46031.695138888892</v>
      </c>
      <c r="F1425" s="8">
        <f>IF(HOUR(Table1[[#This Row],[CORREO]])&gt;=11,WORKDAY(Table1[[#This Row],[CORREO]],1,Table2[Dias no laborales]),E1425)</f>
        <v>46034</v>
      </c>
      <c r="G1425" s="8">
        <v>46050</v>
      </c>
      <c r="H1425" s="6">
        <f t="shared" si="47"/>
        <v>2</v>
      </c>
      <c r="I1425" s="16">
        <f>MAX(1, NETWORKDAYS(A1425, G1425,Table2[Dias no laborales]))</f>
        <v>13</v>
      </c>
      <c r="J1425" s="6" t="str">
        <f>IF(Table1[[#This Row],[FIN]]="","Acumulado",IF(ISNUMBER(SEARCH("ASAP",C1425)),"ASAP",IF(NETWORKDAYS.INTL(F1425,G1425,1,Table2[Dias no laborales]) &lt;= 7, "Dentro", IF(A1425&gt;F1425,"Programado","Fuera"))))</f>
        <v>Fuera</v>
      </c>
      <c r="K1425" s="6" t="str">
        <f t="shared" si="48"/>
        <v>A tiempo</v>
      </c>
      <c r="L1425" s="8">
        <v>46034</v>
      </c>
      <c r="M1425" s="17">
        <f>MAX(1,NETWORKDAYS(A1425,L1425,Table2[Dias no laborales]))</f>
        <v>1</v>
      </c>
    </row>
    <row r="1426" spans="1:13" hidden="1" x14ac:dyDescent="0.3">
      <c r="A1426" s="8">
        <v>46034</v>
      </c>
      <c r="B1426" s="6" t="s">
        <v>2836</v>
      </c>
      <c r="C1426" s="6" t="s">
        <v>1262</v>
      </c>
      <c r="D1426" s="6" t="s">
        <v>571</v>
      </c>
      <c r="E1426" s="14">
        <v>46034.368055555555</v>
      </c>
      <c r="F1426" s="8">
        <f>IF(HOUR(Table1[[#This Row],[CORREO]])&gt;=11,WORKDAY(Table1[[#This Row],[CORREO]],1,Table2[Dias no laborales]),E1426)</f>
        <v>46034.368055555555</v>
      </c>
      <c r="G1426" s="8">
        <v>46034</v>
      </c>
      <c r="H1426" s="6">
        <f t="shared" si="47"/>
        <v>2</v>
      </c>
      <c r="I1426" s="16">
        <f>MAX(1, NETWORKDAYS(A1426, G1426,Table2[Dias no laborales]))</f>
        <v>1</v>
      </c>
      <c r="J1426" s="6" t="str">
        <f>IF(Table1[[#This Row],[FIN]]="","Acumulado",IF(ISNUMBER(SEARCH("ASAP",C1426)),"ASAP",IF(NETWORKDAYS.INTL(F1426,G1426,1,Table2[Dias no laborales]) &lt;= 7, "Dentro", IF(A1426&gt;F1426,"Programado","Fuera"))))</f>
        <v>Dentro</v>
      </c>
      <c r="K1426" s="6" t="str">
        <f t="shared" si="48"/>
        <v>A tiempo</v>
      </c>
      <c r="L1426" s="8">
        <v>46034</v>
      </c>
      <c r="M1426" s="17">
        <f>MAX(1,NETWORKDAYS(A1426,L1426,Table2[Dias no laborales]))</f>
        <v>1</v>
      </c>
    </row>
    <row r="1427" spans="1:13" hidden="1" x14ac:dyDescent="0.3">
      <c r="A1427" s="8">
        <v>46035</v>
      </c>
      <c r="B1427" s="6" t="s">
        <v>2808</v>
      </c>
      <c r="C1427" s="6" t="s">
        <v>2953</v>
      </c>
      <c r="D1427" s="6" t="s">
        <v>913</v>
      </c>
      <c r="E1427" s="14">
        <v>46034.484722222223</v>
      </c>
      <c r="F1427" s="8">
        <f>IF(HOUR(Table1[[#This Row],[CORREO]])&gt;=11,WORKDAY(Table1[[#This Row],[CORREO]],1,Table2[Dias no laborales]),E1427)</f>
        <v>46035</v>
      </c>
      <c r="G1427" s="8">
        <v>46050</v>
      </c>
      <c r="H1427" s="6">
        <f t="shared" si="47"/>
        <v>2</v>
      </c>
      <c r="I1427" s="16">
        <f>MAX(1, NETWORKDAYS(A1427, G1427,Table2[Dias no laborales]))</f>
        <v>12</v>
      </c>
      <c r="J1427" s="6" t="str">
        <f>IF(Table1[[#This Row],[FIN]]="","Acumulado",IF(ISNUMBER(SEARCH("ASAP",C1427)),"ASAP",IF(NETWORKDAYS.INTL(F1427,G1427,1,Table2[Dias no laborales]) &lt;= 7, "Dentro", IF(A1427&gt;F1427,"Programado","Fuera"))))</f>
        <v>Fuera</v>
      </c>
      <c r="K1427" s="6" t="str">
        <f t="shared" si="48"/>
        <v>A tiempo</v>
      </c>
      <c r="L1427" s="8">
        <v>46035</v>
      </c>
      <c r="M1427" s="17">
        <f>MAX(1,NETWORKDAYS(A1427,L1427,Table2[Dias no laborales]))</f>
        <v>1</v>
      </c>
    </row>
    <row r="1428" spans="1:13" hidden="1" x14ac:dyDescent="0.3">
      <c r="A1428" s="8">
        <v>46035</v>
      </c>
      <c r="B1428" s="6" t="s">
        <v>2837</v>
      </c>
      <c r="C1428" s="6" t="s">
        <v>2954</v>
      </c>
      <c r="D1428" s="6" t="s">
        <v>89</v>
      </c>
      <c r="E1428" s="14">
        <v>46034.486111111109</v>
      </c>
      <c r="F1428" s="8">
        <f>IF(HOUR(Table1[[#This Row],[CORREO]])&gt;=11,WORKDAY(Table1[[#This Row],[CORREO]],1,Table2[Dias no laborales]),E1428)</f>
        <v>46035</v>
      </c>
      <c r="G1428" s="8">
        <v>46035</v>
      </c>
      <c r="H1428" s="6">
        <f t="shared" si="47"/>
        <v>2</v>
      </c>
      <c r="I1428" s="16">
        <f>MAX(1, NETWORKDAYS(A1428, G1428,Table2[Dias no laborales]))</f>
        <v>1</v>
      </c>
      <c r="J1428" s="6" t="str">
        <f>IF(Table1[[#This Row],[FIN]]="","Acumulado",IF(ISNUMBER(SEARCH("ASAP",C1428)),"ASAP",IF(NETWORKDAYS.INTL(F1428,G1428,1,Table2[Dias no laborales]) &lt;= 7, "Dentro", IF(A1428&gt;F1428,"Programado","Fuera"))))</f>
        <v>Dentro</v>
      </c>
      <c r="K1428" s="6" t="str">
        <f t="shared" si="48"/>
        <v>A tiempo</v>
      </c>
      <c r="L1428" s="8">
        <v>46035</v>
      </c>
      <c r="M1428" s="17">
        <f>MAX(1,NETWORKDAYS(A1428,L1428,Table2[Dias no laborales]))</f>
        <v>1</v>
      </c>
    </row>
    <row r="1429" spans="1:13" hidden="1" x14ac:dyDescent="0.3">
      <c r="A1429" s="8">
        <v>46035</v>
      </c>
      <c r="B1429" s="6" t="s">
        <v>2838</v>
      </c>
      <c r="C1429" s="6" t="s">
        <v>1057</v>
      </c>
      <c r="D1429" s="6" t="s">
        <v>351</v>
      </c>
      <c r="E1429" s="14">
        <v>46034.515277777777</v>
      </c>
      <c r="F1429" s="8">
        <f>IF(HOUR(Table1[[#This Row],[CORREO]])&gt;=11,WORKDAY(Table1[[#This Row],[CORREO]],1,Table2[Dias no laborales]),E1429)</f>
        <v>46035</v>
      </c>
      <c r="G1429" s="8">
        <v>46035</v>
      </c>
      <c r="H1429" s="6">
        <f t="shared" si="47"/>
        <v>2</v>
      </c>
      <c r="I1429" s="16">
        <f>MAX(1, NETWORKDAYS(A1429, G1429,Table2[Dias no laborales]))</f>
        <v>1</v>
      </c>
      <c r="J1429" s="6" t="str">
        <f>IF(Table1[[#This Row],[FIN]]="","Acumulado",IF(ISNUMBER(SEARCH("ASAP",C1429)),"ASAP",IF(NETWORKDAYS.INTL(F1429,G1429,1,Table2[Dias no laborales]) &lt;= 7, "Dentro", IF(A1429&gt;F1429,"Programado","Fuera"))))</f>
        <v>Dentro</v>
      </c>
      <c r="K1429" s="6" t="str">
        <f t="shared" si="48"/>
        <v>A tiempo</v>
      </c>
      <c r="L1429" s="8">
        <v>46035</v>
      </c>
      <c r="M1429" s="17">
        <f>MAX(1,NETWORKDAYS(A1429,L1429,Table2[Dias no laborales]))</f>
        <v>1</v>
      </c>
    </row>
    <row r="1430" spans="1:13" hidden="1" x14ac:dyDescent="0.3">
      <c r="A1430" s="8">
        <v>46035</v>
      </c>
      <c r="B1430" s="6" t="s">
        <v>2809</v>
      </c>
      <c r="C1430" s="6" t="s">
        <v>2955</v>
      </c>
      <c r="D1430" s="6" t="s">
        <v>151</v>
      </c>
      <c r="E1430" s="14">
        <v>46034.517361111109</v>
      </c>
      <c r="F1430" s="8">
        <f>IF(HOUR(Table1[[#This Row],[CORREO]])&gt;=11,WORKDAY(Table1[[#This Row],[CORREO]],1,Table2[Dias no laborales]),E1430)</f>
        <v>46035</v>
      </c>
      <c r="G1430" s="8">
        <v>46050</v>
      </c>
      <c r="H1430" s="6">
        <f t="shared" si="47"/>
        <v>2</v>
      </c>
      <c r="I1430" s="16">
        <f>MAX(1, NETWORKDAYS(A1430, G1430,Table2[Dias no laborales]))</f>
        <v>12</v>
      </c>
      <c r="J1430" s="6" t="str">
        <f>IF(Table1[[#This Row],[FIN]]="","Acumulado",IF(ISNUMBER(SEARCH("ASAP",C1430)),"ASAP",IF(NETWORKDAYS.INTL(F1430,G1430,1,Table2[Dias no laborales]) &lt;= 7, "Dentro", IF(A1430&gt;F1430,"Programado","Fuera"))))</f>
        <v>Fuera</v>
      </c>
      <c r="K1430" s="6" t="str">
        <f t="shared" si="48"/>
        <v>A tiempo</v>
      </c>
      <c r="L1430" s="8">
        <v>46035</v>
      </c>
      <c r="M1430" s="17">
        <f>MAX(1,NETWORKDAYS(A1430,L1430,Table2[Dias no laborales]))</f>
        <v>1</v>
      </c>
    </row>
    <row r="1431" spans="1:13" hidden="1" x14ac:dyDescent="0.3">
      <c r="A1431" s="8">
        <v>46035</v>
      </c>
      <c r="B1431" s="6" t="s">
        <v>2839</v>
      </c>
      <c r="C1431" s="6" t="s">
        <v>2956</v>
      </c>
      <c r="D1431" s="6" t="s">
        <v>61</v>
      </c>
      <c r="E1431" s="14">
        <v>46034.521527777775</v>
      </c>
      <c r="F1431" s="8">
        <f>IF(HOUR(Table1[[#This Row],[CORREO]])&gt;=11,WORKDAY(Table1[[#This Row],[CORREO]],1,Table2[Dias no laborales]),E1431)</f>
        <v>46035</v>
      </c>
      <c r="G1431" s="8">
        <v>46035</v>
      </c>
      <c r="H1431" s="6">
        <f t="shared" si="47"/>
        <v>2</v>
      </c>
      <c r="I1431" s="16">
        <f>MAX(1, NETWORKDAYS(A1431, G1431,Table2[Dias no laborales]))</f>
        <v>1</v>
      </c>
      <c r="J1431" s="6" t="str">
        <f>IF(Table1[[#This Row],[FIN]]="","Acumulado",IF(ISNUMBER(SEARCH("ASAP",C1431)),"ASAP",IF(NETWORKDAYS.INTL(F1431,G1431,1,Table2[Dias no laborales]) &lt;= 7, "Dentro", IF(A1431&gt;F1431,"Programado","Fuera"))))</f>
        <v>Dentro</v>
      </c>
      <c r="K1431" s="6" t="str">
        <f t="shared" si="48"/>
        <v>A tiempo</v>
      </c>
      <c r="L1431" s="8">
        <v>46035</v>
      </c>
      <c r="M1431" s="17">
        <f>MAX(1,NETWORKDAYS(A1431,L1431,Table2[Dias no laborales]))</f>
        <v>1</v>
      </c>
    </row>
    <row r="1432" spans="1:13" hidden="1" x14ac:dyDescent="0.3">
      <c r="A1432" s="8">
        <v>46035</v>
      </c>
      <c r="B1432" s="6" t="s">
        <v>2810</v>
      </c>
      <c r="C1432" s="6" t="s">
        <v>2957</v>
      </c>
      <c r="D1432" s="6" t="s">
        <v>24</v>
      </c>
      <c r="E1432" s="14"/>
      <c r="F1432" s="8">
        <f>IF(HOUR(Table1[[#This Row],[CORREO]])&gt;=11,WORKDAY(Table1[[#This Row],[CORREO]],1,Table2[Dias no laborales]),E1432)</f>
        <v>0</v>
      </c>
      <c r="G1432" s="8">
        <v>46079</v>
      </c>
      <c r="H1432" s="6">
        <f t="shared" si="47"/>
        <v>2</v>
      </c>
      <c r="I1432" s="16">
        <f>MAX(1, NETWORKDAYS(A1432, G1432,Table2[Dias no laborales]))</f>
        <v>32</v>
      </c>
      <c r="J1432" s="6" t="str">
        <f>IF(Table1[[#This Row],[FIN]]="","Acumulado",IF(ISNUMBER(SEARCH("ASAP",C1432)),"ASAP",IF(NETWORKDAYS.INTL(F1432,G1432,1,Table2[Dias no laborales]) &lt;= 7, "Dentro", IF(A1432&gt;F1432,"Programado","Fuera"))))</f>
        <v>Programado</v>
      </c>
      <c r="K1432" s="6" t="str">
        <f t="shared" si="48"/>
        <v>Programados</v>
      </c>
      <c r="L1432" s="8">
        <v>46035</v>
      </c>
      <c r="M1432" s="17">
        <f>MAX(1,NETWORKDAYS(A1432,L1432,Table2[Dias no laborales]))</f>
        <v>1</v>
      </c>
    </row>
    <row r="1433" spans="1:13" hidden="1" x14ac:dyDescent="0.3">
      <c r="A1433" s="8">
        <v>46035</v>
      </c>
      <c r="B1433" s="6" t="s">
        <v>2840</v>
      </c>
      <c r="C1433" s="6" t="s">
        <v>2958</v>
      </c>
      <c r="D1433" s="6" t="s">
        <v>27</v>
      </c>
      <c r="E1433" s="14">
        <v>46035.411805555559</v>
      </c>
      <c r="F1433" s="8">
        <f>IF(HOUR(Table1[[#This Row],[CORREO]])&gt;=11,WORKDAY(Table1[[#This Row],[CORREO]],1,Table2[Dias no laborales]),E1433)</f>
        <v>46035.411805555559</v>
      </c>
      <c r="G1433" s="8">
        <v>46035</v>
      </c>
      <c r="H1433" s="6">
        <f t="shared" si="47"/>
        <v>2</v>
      </c>
      <c r="I1433" s="16">
        <f>MAX(1, NETWORKDAYS(A1433, G1433,Table2[Dias no laborales]))</f>
        <v>1</v>
      </c>
      <c r="J1433" s="6" t="str">
        <f>IF(Table1[[#This Row],[FIN]]="","Acumulado",IF(ISNUMBER(SEARCH("ASAP",C1433)),"ASAP",IF(NETWORKDAYS.INTL(F1433,G1433,1,Table2[Dias no laborales]) &lt;= 7, "Dentro", IF(A1433&gt;F1433,"Programado","Fuera"))))</f>
        <v>ASAP</v>
      </c>
      <c r="K1433" s="6" t="str">
        <f t="shared" si="48"/>
        <v>A tiempo</v>
      </c>
      <c r="L1433" s="8">
        <v>46035</v>
      </c>
      <c r="M1433" s="17">
        <f>MAX(1,NETWORKDAYS(A1433,L1433,Table2[Dias no laborales]))</f>
        <v>1</v>
      </c>
    </row>
    <row r="1434" spans="1:13" hidden="1" x14ac:dyDescent="0.3">
      <c r="A1434" s="8">
        <v>46035</v>
      </c>
      <c r="B1434" s="6" t="s">
        <v>2841</v>
      </c>
      <c r="C1434" s="6" t="s">
        <v>2959</v>
      </c>
      <c r="D1434" s="6" t="s">
        <v>27</v>
      </c>
      <c r="E1434" s="14">
        <v>46035.440972222219</v>
      </c>
      <c r="F1434" s="8">
        <f>IF(HOUR(Table1[[#This Row],[CORREO]])&gt;=11,WORKDAY(Table1[[#This Row],[CORREO]],1,Table2[Dias no laborales]),E1434)</f>
        <v>46035.440972222219</v>
      </c>
      <c r="G1434" s="8">
        <v>46035</v>
      </c>
      <c r="H1434" s="6">
        <f t="shared" si="47"/>
        <v>2</v>
      </c>
      <c r="I1434" s="16">
        <f>MAX(1, NETWORKDAYS(A1434, G1434,Table2[Dias no laborales]))</f>
        <v>1</v>
      </c>
      <c r="J1434" s="6" t="str">
        <f>IF(Table1[[#This Row],[FIN]]="","Acumulado",IF(ISNUMBER(SEARCH("ASAP",C1434)),"ASAP",IF(NETWORKDAYS.INTL(F1434,G1434,1,Table2[Dias no laborales]) &lt;= 7, "Dentro", IF(A1434&gt;F1434,"Programado","Fuera"))))</f>
        <v>Dentro</v>
      </c>
      <c r="K1434" s="6" t="str">
        <f t="shared" si="48"/>
        <v>A tiempo</v>
      </c>
      <c r="L1434" s="8">
        <v>46035</v>
      </c>
      <c r="M1434" s="17">
        <f>MAX(1,NETWORKDAYS(A1434,L1434,Table2[Dias no laborales]))</f>
        <v>1</v>
      </c>
    </row>
    <row r="1435" spans="1:13" hidden="1" x14ac:dyDescent="0.3">
      <c r="A1435" s="8">
        <v>46036</v>
      </c>
      <c r="B1435" s="6" t="s">
        <v>2842</v>
      </c>
      <c r="C1435" s="6" t="s">
        <v>2960</v>
      </c>
      <c r="D1435" s="6" t="s">
        <v>151</v>
      </c>
      <c r="E1435" s="14">
        <v>46035.532638888886</v>
      </c>
      <c r="F1435" s="8">
        <f>IF(HOUR(Table1[[#This Row],[CORREO]])&gt;=11,WORKDAY(Table1[[#This Row],[CORREO]],1,Table2[Dias no laborales]),E1435)</f>
        <v>46036</v>
      </c>
      <c r="G1435" s="8">
        <v>46036</v>
      </c>
      <c r="H1435" s="6">
        <f t="shared" si="47"/>
        <v>2</v>
      </c>
      <c r="I1435" s="16">
        <f>MAX(1, NETWORKDAYS(A1435, G1435,Table2[Dias no laborales]))</f>
        <v>1</v>
      </c>
      <c r="J1435" s="6" t="str">
        <f>IF(Table1[[#This Row],[FIN]]="","Acumulado",IF(ISNUMBER(SEARCH("ASAP",C1435)),"ASAP",IF(NETWORKDAYS.INTL(F1435,G1435,1,Table2[Dias no laborales]) &lt;= 7, "Dentro", IF(A1435&gt;F1435,"Programado","Fuera"))))</f>
        <v>Dentro</v>
      </c>
      <c r="K1435" s="6" t="str">
        <f t="shared" si="48"/>
        <v>A tiempo</v>
      </c>
      <c r="L1435" s="8">
        <v>46036</v>
      </c>
      <c r="M1435" s="17">
        <f>MAX(1,NETWORKDAYS(A1435,L1435,Table2[Dias no laborales]))</f>
        <v>1</v>
      </c>
    </row>
    <row r="1436" spans="1:13" hidden="1" x14ac:dyDescent="0.3">
      <c r="A1436" s="8">
        <v>46036</v>
      </c>
      <c r="B1436" s="6" t="s">
        <v>2843</v>
      </c>
      <c r="C1436" s="6" t="s">
        <v>2961</v>
      </c>
      <c r="D1436" s="6" t="s">
        <v>199</v>
      </c>
      <c r="E1436" s="14">
        <v>46035.697916666664</v>
      </c>
      <c r="F1436" s="8">
        <f>IF(HOUR(Table1[[#This Row],[CORREO]])&gt;=11,WORKDAY(Table1[[#This Row],[CORREO]],1,Table2[Dias no laborales]),E1436)</f>
        <v>46036</v>
      </c>
      <c r="G1436" s="8">
        <v>46036</v>
      </c>
      <c r="H1436" s="6">
        <f t="shared" si="47"/>
        <v>2</v>
      </c>
      <c r="I1436" s="16">
        <f>MAX(1, NETWORKDAYS(A1436, G1436,Table2[Dias no laborales]))</f>
        <v>1</v>
      </c>
      <c r="J1436" s="6" t="str">
        <f>IF(Table1[[#This Row],[FIN]]="","Acumulado",IF(ISNUMBER(SEARCH("ASAP",C1436)),"ASAP",IF(NETWORKDAYS.INTL(F1436,G1436,1,Table2[Dias no laborales]) &lt;= 7, "Dentro", IF(A1436&gt;F1436,"Programado","Fuera"))))</f>
        <v>Dentro</v>
      </c>
      <c r="K1436" s="6" t="str">
        <f t="shared" si="48"/>
        <v>A tiempo</v>
      </c>
      <c r="L1436" s="8">
        <v>46036</v>
      </c>
      <c r="M1436" s="17">
        <f>MAX(1,NETWORKDAYS(A1436,L1436,Table2[Dias no laborales]))</f>
        <v>1</v>
      </c>
    </row>
    <row r="1437" spans="1:13" hidden="1" x14ac:dyDescent="0.3">
      <c r="A1437" s="8">
        <v>46037</v>
      </c>
      <c r="B1437" s="6" t="s">
        <v>2844</v>
      </c>
      <c r="C1437" s="6" t="s">
        <v>2962</v>
      </c>
      <c r="D1437" s="6" t="s">
        <v>2963</v>
      </c>
      <c r="E1437" s="14">
        <v>46036.67291666667</v>
      </c>
      <c r="F1437" s="8">
        <f>IF(HOUR(Table1[[#This Row],[CORREO]])&gt;=11,WORKDAY(Table1[[#This Row],[CORREO]],1,Table2[Dias no laborales]),E1437)</f>
        <v>46037</v>
      </c>
      <c r="G1437" s="8">
        <v>46038</v>
      </c>
      <c r="H1437" s="6">
        <f t="shared" si="47"/>
        <v>3</v>
      </c>
      <c r="I1437" s="16">
        <f>MAX(1, NETWORKDAYS(A1437, G1437,Table2[Dias no laborales]))</f>
        <v>2</v>
      </c>
      <c r="J1437" s="6" t="str">
        <f>IF(Table1[[#This Row],[FIN]]="","Acumulado",IF(ISNUMBER(SEARCH("ASAP",C1437)),"ASAP",IF(NETWORKDAYS.INTL(F1437,G1437,1,Table2[Dias no laborales]) &lt;= 7, "Dentro", IF(A1437&gt;F1437,"Programado","Fuera"))))</f>
        <v>Dentro</v>
      </c>
      <c r="K1437" s="6" t="str">
        <f t="shared" si="48"/>
        <v>A tiempo</v>
      </c>
      <c r="L1437" s="8">
        <v>46037</v>
      </c>
      <c r="M1437" s="17">
        <f>MAX(1,NETWORKDAYS(A1437,L1437,Table2[Dias no laborales]))</f>
        <v>1</v>
      </c>
    </row>
    <row r="1438" spans="1:13" hidden="1" x14ac:dyDescent="0.3">
      <c r="A1438" s="8">
        <v>46037</v>
      </c>
      <c r="B1438" s="6" t="s">
        <v>2845</v>
      </c>
      <c r="C1438" s="6" t="s">
        <v>2964</v>
      </c>
      <c r="D1438" s="6" t="s">
        <v>24</v>
      </c>
      <c r="E1438" s="14">
        <v>46037.35833333333</v>
      </c>
      <c r="F1438" s="8">
        <f>IF(HOUR(Table1[[#This Row],[CORREO]])&gt;=11,WORKDAY(Table1[[#This Row],[CORREO]],1,Table2[Dias no laborales]),E1438)</f>
        <v>46037.35833333333</v>
      </c>
      <c r="G1438" s="8">
        <v>46037</v>
      </c>
      <c r="H1438" s="6">
        <f t="shared" si="47"/>
        <v>3</v>
      </c>
      <c r="I1438" s="16">
        <f>MAX(1, NETWORKDAYS(A1438, G1438,Table2[Dias no laborales]))</f>
        <v>1</v>
      </c>
      <c r="J1438" s="6" t="str">
        <f>IF(Table1[[#This Row],[FIN]]="","Acumulado",IF(ISNUMBER(SEARCH("ASAP",C1438)),"ASAP",IF(NETWORKDAYS.INTL(F1438,G1438,1,Table2[Dias no laborales]) &lt;= 7, "Dentro", IF(A1438&gt;F1438,"Programado","Fuera"))))</f>
        <v>Dentro</v>
      </c>
      <c r="K1438" s="6" t="str">
        <f t="shared" si="48"/>
        <v>A tiempo</v>
      </c>
      <c r="L1438" s="8">
        <v>46037</v>
      </c>
      <c r="M1438" s="17">
        <f>MAX(1,NETWORKDAYS(A1438,L1438,Table2[Dias no laborales]))</f>
        <v>1</v>
      </c>
    </row>
    <row r="1439" spans="1:13" hidden="1" x14ac:dyDescent="0.3">
      <c r="A1439" s="8">
        <v>46038</v>
      </c>
      <c r="B1439" s="6" t="s">
        <v>2852</v>
      </c>
      <c r="C1439" s="6" t="s">
        <v>2965</v>
      </c>
      <c r="D1439" s="6" t="s">
        <v>148</v>
      </c>
      <c r="E1439" s="14">
        <v>46037.543749999997</v>
      </c>
      <c r="F1439" s="8">
        <f>IF(HOUR(Table1[[#This Row],[CORREO]])&gt;=11,WORKDAY(Table1[[#This Row],[CORREO]],1,Table2[Dias no laborales]),E1439)</f>
        <v>46038</v>
      </c>
      <c r="G1439" s="8">
        <v>46041</v>
      </c>
      <c r="H1439" s="6">
        <f t="shared" si="47"/>
        <v>3</v>
      </c>
      <c r="I1439" s="16">
        <f>MAX(1, NETWORKDAYS(A1439, G1439,Table2[Dias no laborales]))</f>
        <v>2</v>
      </c>
      <c r="J1439" s="6" t="str">
        <f>IF(Table1[[#This Row],[FIN]]="","Acumulado",IF(ISNUMBER(SEARCH("ASAP",C1439)),"ASAP",IF(NETWORKDAYS.INTL(F1439,G1439,1,Table2[Dias no laborales]) &lt;= 7, "Dentro", IF(A1439&gt;F1439,"Programado","Fuera"))))</f>
        <v>Dentro</v>
      </c>
      <c r="K1439" s="6" t="str">
        <f t="shared" si="48"/>
        <v>A tiempo</v>
      </c>
      <c r="L1439" s="8">
        <v>46038</v>
      </c>
      <c r="M1439" s="17">
        <f>MAX(1,NETWORKDAYS(A1439,L1439,Table2[Dias no laborales]))</f>
        <v>1</v>
      </c>
    </row>
    <row r="1440" spans="1:13" hidden="1" x14ac:dyDescent="0.3">
      <c r="A1440" s="8">
        <v>46041</v>
      </c>
      <c r="B1440" s="6" t="s">
        <v>2811</v>
      </c>
      <c r="C1440" s="6" t="s">
        <v>2966</v>
      </c>
      <c r="D1440" s="6" t="s">
        <v>24</v>
      </c>
      <c r="E1440" s="14"/>
      <c r="F1440" s="8">
        <f>IF(HOUR(Table1[[#This Row],[CORREO]])&gt;=11,WORKDAY(Table1[[#This Row],[CORREO]],1,Table2[Dias no laborales]),E1440)</f>
        <v>0</v>
      </c>
      <c r="G1440" s="8">
        <v>46045</v>
      </c>
      <c r="H1440" s="6">
        <f t="shared" si="47"/>
        <v>3</v>
      </c>
      <c r="I1440" s="16">
        <f>MAX(1, NETWORKDAYS(A1440, G1440,Table2[Dias no laborales]))</f>
        <v>5</v>
      </c>
      <c r="J1440" s="6" t="str">
        <f>IF(Table1[[#This Row],[FIN]]="","Acumulado",IF(ISNUMBER(SEARCH("ASAP",C1440)),"ASAP",IF(NETWORKDAYS.INTL(F1440,G1440,1,Table2[Dias no laborales]) &lt;= 7, "Dentro", IF(A1440&gt;F1440,"Programado","Fuera"))))</f>
        <v>Programado</v>
      </c>
      <c r="K1440" s="6" t="str">
        <f t="shared" si="48"/>
        <v>Programados</v>
      </c>
      <c r="L1440" s="8">
        <v>46041</v>
      </c>
      <c r="M1440" s="17">
        <f>MAX(1,NETWORKDAYS(A1440,L1440,Table2[Dias no laborales]))</f>
        <v>1</v>
      </c>
    </row>
    <row r="1441" spans="1:13" hidden="1" x14ac:dyDescent="0.3">
      <c r="A1441" s="8">
        <v>46041</v>
      </c>
      <c r="B1441" s="6" t="s">
        <v>2853</v>
      </c>
      <c r="C1441" s="6" t="s">
        <v>2967</v>
      </c>
      <c r="D1441" s="6" t="s">
        <v>85</v>
      </c>
      <c r="E1441" s="14">
        <v>46038.533333333333</v>
      </c>
      <c r="F1441" s="8">
        <f>IF(HOUR(Table1[[#This Row],[CORREO]])&gt;=11,WORKDAY(Table1[[#This Row],[CORREO]],1,Table2[Dias no laborales]),E1441)</f>
        <v>46041</v>
      </c>
      <c r="G1441" s="8">
        <v>46042</v>
      </c>
      <c r="H1441" s="6">
        <f t="shared" si="47"/>
        <v>3</v>
      </c>
      <c r="I1441" s="16">
        <f>MAX(1, NETWORKDAYS(A1441, G1441,Table2[Dias no laborales]))</f>
        <v>2</v>
      </c>
      <c r="J1441" s="6" t="str">
        <f>IF(Table1[[#This Row],[FIN]]="","Acumulado",IF(ISNUMBER(SEARCH("ASAP",C1441)),"ASAP",IF(NETWORKDAYS.INTL(F1441,G1441,1,Table2[Dias no laborales]) &lt;= 7, "Dentro", IF(A1441&gt;F1441,"Programado","Fuera"))))</f>
        <v>Dentro</v>
      </c>
      <c r="K1441" s="6" t="str">
        <f t="shared" si="48"/>
        <v>A tiempo</v>
      </c>
      <c r="L1441" s="8">
        <v>46041</v>
      </c>
      <c r="M1441" s="17">
        <f>MAX(1,NETWORKDAYS(A1441,L1441,Table2[Dias no laborales]))</f>
        <v>1</v>
      </c>
    </row>
    <row r="1442" spans="1:13" hidden="1" x14ac:dyDescent="0.3">
      <c r="A1442" s="8">
        <v>46041</v>
      </c>
      <c r="B1442" s="6" t="s">
        <v>2856</v>
      </c>
      <c r="C1442" s="6" t="s">
        <v>2968</v>
      </c>
      <c r="D1442" s="6" t="s">
        <v>133</v>
      </c>
      <c r="E1442" s="14">
        <v>46038.663888888892</v>
      </c>
      <c r="F1442" s="8">
        <f>IF(HOUR(Table1[[#This Row],[CORREO]])&gt;=11,WORKDAY(Table1[[#This Row],[CORREO]],1,Table2[Dias no laborales]),E1442)</f>
        <v>46041</v>
      </c>
      <c r="G1442" s="8">
        <v>46045</v>
      </c>
      <c r="H1442" s="6">
        <f t="shared" si="47"/>
        <v>3</v>
      </c>
      <c r="I1442" s="16">
        <f>MAX(1, NETWORKDAYS(A1442, G1442,Table2[Dias no laborales]))</f>
        <v>5</v>
      </c>
      <c r="J1442" s="6" t="str">
        <f>IF(Table1[[#This Row],[FIN]]="","Acumulado",IF(ISNUMBER(SEARCH("ASAP",C1442)),"ASAP",IF(NETWORKDAYS.INTL(F1442,G1442,1,Table2[Dias no laborales]) &lt;= 7, "Dentro", IF(A1442&gt;F1442,"Programado","Fuera"))))</f>
        <v>Dentro</v>
      </c>
      <c r="K1442" s="6" t="str">
        <f t="shared" si="48"/>
        <v>A tiempo</v>
      </c>
      <c r="L1442" s="8">
        <v>46041</v>
      </c>
      <c r="M1442" s="17">
        <f>MAX(1,NETWORKDAYS(A1442,L1442,Table2[Dias no laborales]))</f>
        <v>1</v>
      </c>
    </row>
    <row r="1443" spans="1:13" hidden="1" x14ac:dyDescent="0.3">
      <c r="A1443" s="8">
        <v>46041</v>
      </c>
      <c r="B1443" s="6" t="s">
        <v>2846</v>
      </c>
      <c r="C1443" s="6" t="s">
        <v>2969</v>
      </c>
      <c r="D1443" s="6" t="s">
        <v>504</v>
      </c>
      <c r="E1443" s="14">
        <v>46041.337500000001</v>
      </c>
      <c r="F1443" s="8">
        <f>IF(HOUR(Table1[[#This Row],[CORREO]])&gt;=11,WORKDAY(Table1[[#This Row],[CORREO]],1,Table2[Dias no laborales]),E1443)</f>
        <v>46041.337500000001</v>
      </c>
      <c r="G1443" s="8">
        <v>46041</v>
      </c>
      <c r="H1443" s="6">
        <f t="shared" si="47"/>
        <v>3</v>
      </c>
      <c r="I1443" s="16">
        <f>MAX(1, NETWORKDAYS(A1443, G1443,Table2[Dias no laborales]))</f>
        <v>1</v>
      </c>
      <c r="J1443" s="6" t="str">
        <f>IF(Table1[[#This Row],[FIN]]="","Acumulado",IF(ISNUMBER(SEARCH("ASAP",C1443)),"ASAP",IF(NETWORKDAYS.INTL(F1443,G1443,1,Table2[Dias no laborales]) &lt;= 7, "Dentro", IF(A1443&gt;F1443,"Programado","Fuera"))))</f>
        <v>Dentro</v>
      </c>
      <c r="K1443" s="6" t="str">
        <f t="shared" si="48"/>
        <v>A tiempo</v>
      </c>
      <c r="L1443" s="8">
        <v>46041</v>
      </c>
      <c r="M1443" s="17">
        <f>MAX(1,NETWORKDAYS(A1443,L1443,Table2[Dias no laborales]))</f>
        <v>1</v>
      </c>
    </row>
    <row r="1444" spans="1:13" hidden="1" x14ac:dyDescent="0.3">
      <c r="A1444" s="8">
        <v>46041</v>
      </c>
      <c r="B1444" s="6" t="s">
        <v>2854</v>
      </c>
      <c r="C1444" s="6" t="s">
        <v>2970</v>
      </c>
      <c r="D1444" s="6" t="s">
        <v>27</v>
      </c>
      <c r="E1444" s="14"/>
      <c r="F1444" s="8">
        <f>IF(HOUR(Table1[[#This Row],[CORREO]])&gt;=11,WORKDAY(Table1[[#This Row],[CORREO]],1,Table2[Dias no laborales]),E1444)</f>
        <v>0</v>
      </c>
      <c r="G1444" s="8">
        <v>46042</v>
      </c>
      <c r="H1444" s="6">
        <f t="shared" si="47"/>
        <v>3</v>
      </c>
      <c r="I1444" s="16">
        <f>MAX(1, NETWORKDAYS(A1444, G1444,Table2[Dias no laborales]))</f>
        <v>2</v>
      </c>
      <c r="J1444" s="6" t="str">
        <f>IF(Table1[[#This Row],[FIN]]="","Acumulado",IF(ISNUMBER(SEARCH("ASAP",C1444)),"ASAP",IF(NETWORKDAYS.INTL(F1444,G1444,1,Table2[Dias no laborales]) &lt;= 7, "Dentro", IF(A1444&gt;F1444,"Programado","Fuera"))))</f>
        <v>Programado</v>
      </c>
      <c r="K1444" s="6" t="str">
        <f t="shared" si="48"/>
        <v>Programados</v>
      </c>
      <c r="L1444" s="8">
        <v>46041</v>
      </c>
      <c r="M1444" s="17">
        <f>MAX(1,NETWORKDAYS(A1444,L1444,Table2[Dias no laborales]))</f>
        <v>1</v>
      </c>
    </row>
    <row r="1445" spans="1:13" hidden="1" x14ac:dyDescent="0.3">
      <c r="A1445" s="8">
        <v>46042</v>
      </c>
      <c r="B1445" s="6" t="s">
        <v>2865</v>
      </c>
      <c r="C1445" s="6" t="s">
        <v>2971</v>
      </c>
      <c r="D1445" s="6" t="s">
        <v>269</v>
      </c>
      <c r="E1445" s="14">
        <v>46041.68472222222</v>
      </c>
      <c r="F1445" s="8">
        <f>IF(HOUR(Table1[[#This Row],[CORREO]])&gt;=11,WORKDAY(Table1[[#This Row],[CORREO]],1,Table2[Dias no laborales]),E1445)</f>
        <v>46042</v>
      </c>
      <c r="G1445" s="8">
        <v>46045</v>
      </c>
      <c r="H1445" s="6">
        <f t="shared" si="47"/>
        <v>3</v>
      </c>
      <c r="I1445" s="16">
        <f>MAX(1, NETWORKDAYS(A1445, G1445,Table2[Dias no laborales]))</f>
        <v>4</v>
      </c>
      <c r="J1445" s="6" t="str">
        <f>IF(Table1[[#This Row],[FIN]]="","Acumulado",IF(ISNUMBER(SEARCH("ASAP",C1445)),"ASAP",IF(NETWORKDAYS.INTL(F1445,G1445,1,Table2[Dias no laborales]) &lt;= 7, "Dentro", IF(A1445&gt;F1445,"Programado","Fuera"))))</f>
        <v>Dentro</v>
      </c>
      <c r="K1445" s="6" t="str">
        <f t="shared" si="48"/>
        <v>A tiempo</v>
      </c>
      <c r="L1445" s="8">
        <v>46042</v>
      </c>
      <c r="M1445" s="17">
        <f>MAX(1,NETWORKDAYS(A1445,L1445,Table2[Dias no laborales]))</f>
        <v>1</v>
      </c>
    </row>
    <row r="1446" spans="1:13" hidden="1" x14ac:dyDescent="0.3">
      <c r="A1446" s="8">
        <v>46042</v>
      </c>
      <c r="B1446" s="6" t="s">
        <v>2866</v>
      </c>
      <c r="C1446" s="6" t="s">
        <v>2972</v>
      </c>
      <c r="D1446" s="6" t="s">
        <v>1333</v>
      </c>
      <c r="E1446" s="14">
        <v>46041.6875</v>
      </c>
      <c r="F1446" s="8">
        <f>IF(HOUR(Table1[[#This Row],[CORREO]])&gt;=11,WORKDAY(Table1[[#This Row],[CORREO]],1,Table2[Dias no laborales]),E1446)</f>
        <v>46042</v>
      </c>
      <c r="G1446" s="8">
        <v>46042</v>
      </c>
      <c r="H1446" s="6">
        <f t="shared" si="47"/>
        <v>3</v>
      </c>
      <c r="I1446" s="16">
        <f>MAX(1, NETWORKDAYS(A1446, G1446,Table2[Dias no laborales]))</f>
        <v>1</v>
      </c>
      <c r="J1446" s="6" t="str">
        <f>IF(Table1[[#This Row],[FIN]]="","Acumulado",IF(ISNUMBER(SEARCH("ASAP",C1446)),"ASAP",IF(NETWORKDAYS.INTL(F1446,G1446,1,Table2[Dias no laborales]) &lt;= 7, "Dentro", IF(A1446&gt;F1446,"Programado","Fuera"))))</f>
        <v>Dentro</v>
      </c>
      <c r="K1446" s="6" t="str">
        <f t="shared" si="48"/>
        <v>A tiempo</v>
      </c>
      <c r="L1446" s="8">
        <v>46044</v>
      </c>
      <c r="M1446" s="17">
        <f>MAX(1,NETWORKDAYS(A1446,L1446,Table2[Dias no laborales]))</f>
        <v>3</v>
      </c>
    </row>
    <row r="1447" spans="1:13" hidden="1" x14ac:dyDescent="0.3">
      <c r="A1447" s="8">
        <v>46042</v>
      </c>
      <c r="B1447" s="6" t="s">
        <v>2867</v>
      </c>
      <c r="C1447" s="6" t="s">
        <v>2973</v>
      </c>
      <c r="D1447" s="6" t="s">
        <v>2974</v>
      </c>
      <c r="E1447" s="14">
        <v>46041.713888888888</v>
      </c>
      <c r="F1447" s="8">
        <f>IF(HOUR(Table1[[#This Row],[CORREO]])&gt;=11,WORKDAY(Table1[[#This Row],[CORREO]],1,Table2[Dias no laborales]),E1447)</f>
        <v>46042</v>
      </c>
      <c r="G1447" s="8">
        <v>46045</v>
      </c>
      <c r="H1447" s="6">
        <f t="shared" si="47"/>
        <v>3</v>
      </c>
      <c r="I1447" s="16">
        <f>MAX(1, NETWORKDAYS(A1447, G1447,Table2[Dias no laborales]))</f>
        <v>4</v>
      </c>
      <c r="J1447" s="6" t="str">
        <f>IF(Table1[[#This Row],[FIN]]="","Acumulado",IF(ISNUMBER(SEARCH("ASAP",C1447)),"ASAP",IF(NETWORKDAYS.INTL(F1447,G1447,1,Table2[Dias no laborales]) &lt;= 7, "Dentro", IF(A1447&gt;F1447,"Programado","Fuera"))))</f>
        <v>Dentro</v>
      </c>
      <c r="K1447" s="6" t="str">
        <f t="shared" si="48"/>
        <v>A tiempo</v>
      </c>
      <c r="L1447" s="8">
        <v>46042</v>
      </c>
      <c r="M1447" s="17">
        <f>MAX(1,NETWORKDAYS(A1447,L1447,Table2[Dias no laborales]))</f>
        <v>1</v>
      </c>
    </row>
    <row r="1448" spans="1:13" hidden="1" x14ac:dyDescent="0.3">
      <c r="A1448" s="8">
        <v>46042</v>
      </c>
      <c r="B1448" s="6" t="s">
        <v>2864</v>
      </c>
      <c r="C1448" s="6" t="s">
        <v>2975</v>
      </c>
      <c r="D1448" s="6" t="s">
        <v>2976</v>
      </c>
      <c r="E1448" s="14">
        <v>46041.86041666667</v>
      </c>
      <c r="F1448" s="8">
        <f>IF(HOUR(Table1[[#This Row],[CORREO]])&gt;=11,WORKDAY(Table1[[#This Row],[CORREO]],1,Table2[Dias no laborales]),E1448)</f>
        <v>46042</v>
      </c>
      <c r="G1448" s="8">
        <v>46045</v>
      </c>
      <c r="H1448" s="6">
        <f t="shared" si="47"/>
        <v>3</v>
      </c>
      <c r="I1448" s="16">
        <f>MAX(1, NETWORKDAYS(A1448, G1448,Table2[Dias no laborales]))</f>
        <v>4</v>
      </c>
      <c r="J1448" s="6" t="str">
        <f>IF(Table1[[#This Row],[FIN]]="","Acumulado",IF(ISNUMBER(SEARCH("ASAP",C1448)),"ASAP",IF(NETWORKDAYS.INTL(F1448,G1448,1,Table2[Dias no laborales]) &lt;= 7, "Dentro", IF(A1448&gt;F1448,"Programado","Fuera"))))</f>
        <v>Dentro</v>
      </c>
      <c r="K1448" s="6" t="str">
        <f t="shared" si="48"/>
        <v>A tiempo</v>
      </c>
      <c r="L1448" s="8">
        <v>46042</v>
      </c>
      <c r="M1448" s="17">
        <f>MAX(1,NETWORKDAYS(A1448,L1448,Table2[Dias no laborales]))</f>
        <v>1</v>
      </c>
    </row>
    <row r="1449" spans="1:13" hidden="1" x14ac:dyDescent="0.3">
      <c r="A1449" s="8">
        <v>46042</v>
      </c>
      <c r="B1449" s="6" t="s">
        <v>2857</v>
      </c>
      <c r="C1449" s="6" t="s">
        <v>2977</v>
      </c>
      <c r="D1449" s="6" t="s">
        <v>2979</v>
      </c>
      <c r="E1449" s="14">
        <v>46041.886805555558</v>
      </c>
      <c r="F1449" s="8">
        <f>IF(HOUR(Table1[[#This Row],[CORREO]])&gt;=11,WORKDAY(Table1[[#This Row],[CORREO]],1,Table2[Dias no laborales]),E1449)</f>
        <v>46042</v>
      </c>
      <c r="G1449" s="8">
        <v>46045</v>
      </c>
      <c r="H1449" s="6">
        <f t="shared" si="47"/>
        <v>3</v>
      </c>
      <c r="I1449" s="16">
        <f>MAX(1, NETWORKDAYS(A1449, G1449,Table2[Dias no laborales]))</f>
        <v>4</v>
      </c>
      <c r="J1449" s="6" t="str">
        <f>IF(Table1[[#This Row],[FIN]]="","Acumulado",IF(ISNUMBER(SEARCH("ASAP",C1449)),"ASAP",IF(NETWORKDAYS.INTL(F1449,G1449,1,Table2[Dias no laborales]) &lt;= 7, "Dentro", IF(A1449&gt;F1449,"Programado","Fuera"))))</f>
        <v>Dentro</v>
      </c>
      <c r="K1449" s="6" t="str">
        <f t="shared" si="48"/>
        <v>A tiempo</v>
      </c>
      <c r="L1449" s="8">
        <v>46043</v>
      </c>
      <c r="M1449" s="17">
        <f>MAX(1,NETWORKDAYS(A1449,L1449,Table2[Dias no laborales]))</f>
        <v>2</v>
      </c>
    </row>
    <row r="1450" spans="1:13" hidden="1" x14ac:dyDescent="0.3">
      <c r="A1450" s="8">
        <v>46042</v>
      </c>
      <c r="B1450" s="6" t="s">
        <v>2812</v>
      </c>
      <c r="C1450" s="6" t="s">
        <v>2978</v>
      </c>
      <c r="D1450" s="6" t="s">
        <v>27</v>
      </c>
      <c r="E1450" s="14">
        <v>46042.361111111109</v>
      </c>
      <c r="F1450" s="8">
        <f>IF(HOUR(Table1[[#This Row],[CORREO]])&gt;=11,WORKDAY(Table1[[#This Row],[CORREO]],1,Table2[Dias no laborales]),E1450)</f>
        <v>46042.361111111109</v>
      </c>
      <c r="G1450" s="8">
        <v>46045</v>
      </c>
      <c r="H1450" s="6">
        <f t="shared" si="47"/>
        <v>3</v>
      </c>
      <c r="I1450" s="16">
        <f>MAX(1, NETWORKDAYS(A1450, G1450,Table2[Dias no laborales]))</f>
        <v>4</v>
      </c>
      <c r="J1450" s="6" t="str">
        <f>IF(Table1[[#This Row],[FIN]]="","Acumulado",IF(ISNUMBER(SEARCH("ASAP",C1450)),"ASAP",IF(NETWORKDAYS.INTL(F1450,G1450,1,Table2[Dias no laborales]) &lt;= 7, "Dentro", IF(A1450&gt;F1450,"Programado","Fuera"))))</f>
        <v>Dentro</v>
      </c>
      <c r="K1450" s="6" t="str">
        <f t="shared" si="48"/>
        <v>A tiempo</v>
      </c>
      <c r="L1450" s="8">
        <v>46043</v>
      </c>
      <c r="M1450" s="17">
        <f>MAX(1,NETWORKDAYS(A1450,L1450,Table2[Dias no laborales]))</f>
        <v>2</v>
      </c>
    </row>
    <row r="1451" spans="1:13" hidden="1" x14ac:dyDescent="0.3">
      <c r="A1451" s="8">
        <v>46042</v>
      </c>
      <c r="B1451" s="6" t="s">
        <v>2855</v>
      </c>
      <c r="C1451" s="6" t="s">
        <v>2980</v>
      </c>
      <c r="D1451" s="6" t="s">
        <v>2981</v>
      </c>
      <c r="E1451" s="14">
        <v>46042.374305555553</v>
      </c>
      <c r="F1451" s="8">
        <f>IF(HOUR(Table1[[#This Row],[CORREO]])&gt;=11,WORKDAY(Table1[[#This Row],[CORREO]],1,Table2[Dias no laborales]),E1451)</f>
        <v>46042.374305555553</v>
      </c>
      <c r="G1451" s="8">
        <v>46042</v>
      </c>
      <c r="H1451" s="6">
        <f t="shared" si="47"/>
        <v>3</v>
      </c>
      <c r="I1451" s="16">
        <f>MAX(1, NETWORKDAYS(A1451, G1451,Table2[Dias no laborales]))</f>
        <v>1</v>
      </c>
      <c r="J1451" s="6" t="str">
        <f>IF(Table1[[#This Row],[FIN]]="","Acumulado",IF(ISNUMBER(SEARCH("ASAP",C1451)),"ASAP",IF(NETWORKDAYS.INTL(F1451,G1451,1,Table2[Dias no laborales]) &lt;= 7, "Dentro", IF(A1451&gt;F1451,"Programado","Fuera"))))</f>
        <v>Dentro</v>
      </c>
      <c r="K1451" s="6" t="str">
        <f t="shared" si="48"/>
        <v>A tiempo</v>
      </c>
      <c r="L1451" s="8">
        <v>46042</v>
      </c>
      <c r="M1451" s="17">
        <f>MAX(1,NETWORKDAYS(A1451,L1451,Table2[Dias no laborales]))</f>
        <v>1</v>
      </c>
    </row>
    <row r="1452" spans="1:13" hidden="1" x14ac:dyDescent="0.3">
      <c r="A1452" s="8">
        <v>46042</v>
      </c>
      <c r="B1452" s="6" t="s">
        <v>2813</v>
      </c>
      <c r="C1452" s="6" t="s">
        <v>2982</v>
      </c>
      <c r="D1452" s="6" t="s">
        <v>1540</v>
      </c>
      <c r="E1452" s="14">
        <v>46042.395833333336</v>
      </c>
      <c r="F1452" s="8">
        <f>IF(HOUR(Table1[[#This Row],[CORREO]])&gt;=11,WORKDAY(Table1[[#This Row],[CORREO]],1,Table2[Dias no laborales]),E1452)</f>
        <v>46042.395833333336</v>
      </c>
      <c r="G1452" s="8">
        <v>46045</v>
      </c>
      <c r="H1452" s="6">
        <f t="shared" si="47"/>
        <v>3</v>
      </c>
      <c r="I1452" s="16">
        <f>MAX(1, NETWORKDAYS(A1452, G1452,Table2[Dias no laborales]))</f>
        <v>4</v>
      </c>
      <c r="J1452" s="6" t="str">
        <f>IF(Table1[[#This Row],[FIN]]="","Acumulado",IF(ISNUMBER(SEARCH("ASAP",C1452)),"ASAP",IF(NETWORKDAYS.INTL(F1452,G1452,1,Table2[Dias no laborales]) &lt;= 7, "Dentro", IF(A1452&gt;F1452,"Programado","Fuera"))))</f>
        <v>Dentro</v>
      </c>
      <c r="K1452" s="6" t="str">
        <f t="shared" si="48"/>
        <v>A tiempo</v>
      </c>
      <c r="L1452" s="8">
        <v>46042</v>
      </c>
      <c r="M1452" s="17">
        <f>MAX(1,NETWORKDAYS(A1452,L1452,Table2[Dias no laborales]))</f>
        <v>1</v>
      </c>
    </row>
    <row r="1453" spans="1:13" hidden="1" x14ac:dyDescent="0.3">
      <c r="A1453" s="8">
        <v>46042</v>
      </c>
      <c r="B1453" s="6" t="s">
        <v>2858</v>
      </c>
      <c r="C1453" s="6" t="s">
        <v>2983</v>
      </c>
      <c r="D1453" s="6" t="s">
        <v>2984</v>
      </c>
      <c r="E1453" s="14"/>
      <c r="F1453" s="8">
        <f>IF(HOUR(Table1[[#This Row],[CORREO]])&gt;=11,WORKDAY(Table1[[#This Row],[CORREO]],1,Table2[Dias no laborales]),E1453)</f>
        <v>0</v>
      </c>
      <c r="G1453" s="8">
        <v>46045</v>
      </c>
      <c r="H1453" s="6">
        <f t="shared" si="47"/>
        <v>3</v>
      </c>
      <c r="I1453" s="16">
        <f>MAX(1, NETWORKDAYS(A1453, G1453,Table2[Dias no laborales]))</f>
        <v>4</v>
      </c>
      <c r="J1453" s="6" t="str">
        <f>IF(Table1[[#This Row],[FIN]]="","Acumulado",IF(ISNUMBER(SEARCH("ASAP",C1453)),"ASAP",IF(NETWORKDAYS.INTL(F1453,G1453,1,Table2[Dias no laborales]) &lt;= 7, "Dentro", IF(A1453&gt;F1453,"Programado","Fuera"))))</f>
        <v>Programado</v>
      </c>
      <c r="K1453" s="6" t="str">
        <f t="shared" si="48"/>
        <v>Programados</v>
      </c>
      <c r="L1453" s="8">
        <v>46042</v>
      </c>
      <c r="M1453" s="17">
        <f>MAX(1,NETWORKDAYS(A1453,L1453,Table2[Dias no laborales]))</f>
        <v>1</v>
      </c>
    </row>
    <row r="1454" spans="1:13" hidden="1" x14ac:dyDescent="0.3">
      <c r="A1454" s="8">
        <v>46042</v>
      </c>
      <c r="B1454" s="6" t="s">
        <v>2868</v>
      </c>
      <c r="C1454" s="6" t="s">
        <v>2985</v>
      </c>
      <c r="D1454" s="6" t="s">
        <v>2986</v>
      </c>
      <c r="E1454" s="14"/>
      <c r="F1454" s="8">
        <f>IF(HOUR(Table1[[#This Row],[CORREO]])&gt;=11,WORKDAY(Table1[[#This Row],[CORREO]],1,Table2[Dias no laborales]),E1454)</f>
        <v>0</v>
      </c>
      <c r="G1454" s="8">
        <v>46045</v>
      </c>
      <c r="H1454" s="6">
        <f t="shared" si="47"/>
        <v>3</v>
      </c>
      <c r="I1454" s="16">
        <f>MAX(1, NETWORKDAYS(A1454, G1454,Table2[Dias no laborales]))</f>
        <v>4</v>
      </c>
      <c r="J1454" s="6" t="str">
        <f>IF(Table1[[#This Row],[FIN]]="","Acumulado",IF(ISNUMBER(SEARCH("ASAP",C1454)),"ASAP",IF(NETWORKDAYS.INTL(F1454,G1454,1,Table2[Dias no laborales]) &lt;= 7, "Dentro", IF(A1454&gt;F1454,"Programado","Fuera"))))</f>
        <v>Programado</v>
      </c>
      <c r="K1454" s="6" t="str">
        <f t="shared" si="48"/>
        <v>Programados</v>
      </c>
      <c r="L1454" s="8">
        <v>46044</v>
      </c>
      <c r="M1454" s="17">
        <f>MAX(1,NETWORKDAYS(A1454,L1454,Table2[Dias no laborales]))</f>
        <v>3</v>
      </c>
    </row>
    <row r="1455" spans="1:13" hidden="1" x14ac:dyDescent="0.3">
      <c r="A1455" s="8">
        <v>46042</v>
      </c>
      <c r="B1455" s="6" t="s">
        <v>2859</v>
      </c>
      <c r="C1455" s="6" t="s">
        <v>2987</v>
      </c>
      <c r="D1455" s="6" t="s">
        <v>2988</v>
      </c>
      <c r="E1455" s="14"/>
      <c r="F1455" s="8">
        <f>IF(HOUR(Table1[[#This Row],[CORREO]])&gt;=11,WORKDAY(Table1[[#This Row],[CORREO]],1,Table2[Dias no laborales]),E1455)</f>
        <v>0</v>
      </c>
      <c r="G1455" s="8">
        <v>46043</v>
      </c>
      <c r="H1455" s="6">
        <f t="shared" si="47"/>
        <v>3</v>
      </c>
      <c r="I1455" s="16">
        <f>MAX(1, NETWORKDAYS(A1455, G1455,Table2[Dias no laborales]))</f>
        <v>2</v>
      </c>
      <c r="J1455" s="6" t="str">
        <f>IF(Table1[[#This Row],[FIN]]="","Acumulado",IF(ISNUMBER(SEARCH("ASAP",C1455)),"ASAP",IF(NETWORKDAYS.INTL(F1455,G1455,1,Table2[Dias no laborales]) &lt;= 7, "Dentro", IF(A1455&gt;F1455,"Programado","Fuera"))))</f>
        <v>Programado</v>
      </c>
      <c r="K1455" s="6" t="str">
        <f t="shared" si="48"/>
        <v>Programados</v>
      </c>
      <c r="L1455" s="8">
        <v>46042</v>
      </c>
      <c r="M1455" s="17">
        <f>MAX(1,NETWORKDAYS(A1455,L1455,Table2[Dias no laborales]))</f>
        <v>1</v>
      </c>
    </row>
    <row r="1456" spans="1:13" hidden="1" x14ac:dyDescent="0.3">
      <c r="A1456" s="8">
        <v>46042</v>
      </c>
      <c r="B1456" s="6" t="s">
        <v>2869</v>
      </c>
      <c r="C1456" s="6" t="s">
        <v>2989</v>
      </c>
      <c r="D1456" s="6" t="s">
        <v>2990</v>
      </c>
      <c r="E1456" s="14"/>
      <c r="F1456" s="8">
        <f>IF(HOUR(Table1[[#This Row],[CORREO]])&gt;=11,WORKDAY(Table1[[#This Row],[CORREO]],1,Table2[Dias no laborales]),E1456)</f>
        <v>0</v>
      </c>
      <c r="G1456" s="8">
        <v>46045</v>
      </c>
      <c r="H1456" s="6">
        <f t="shared" si="47"/>
        <v>3</v>
      </c>
      <c r="I1456" s="16">
        <f>MAX(1, NETWORKDAYS(A1456, G1456,Table2[Dias no laborales]))</f>
        <v>4</v>
      </c>
      <c r="J1456" s="6" t="str">
        <f>IF(Table1[[#This Row],[FIN]]="","Acumulado",IF(ISNUMBER(SEARCH("ASAP",C1456)),"ASAP",IF(NETWORKDAYS.INTL(F1456,G1456,1,Table2[Dias no laborales]) &lt;= 7, "Dentro", IF(A1456&gt;F1456,"Programado","Fuera"))))</f>
        <v>Programado</v>
      </c>
      <c r="K1456" s="6" t="str">
        <f t="shared" si="48"/>
        <v>Programados</v>
      </c>
      <c r="L1456" s="8">
        <v>46042</v>
      </c>
      <c r="M1456" s="17">
        <f>MAX(1,NETWORKDAYS(A1456,L1456,Table2[Dias no laborales]))</f>
        <v>1</v>
      </c>
    </row>
    <row r="1457" spans="1:13" hidden="1" x14ac:dyDescent="0.3">
      <c r="A1457" s="8">
        <v>46042</v>
      </c>
      <c r="B1457" s="6" t="s">
        <v>2814</v>
      </c>
      <c r="C1457" s="6" t="s">
        <v>2991</v>
      </c>
      <c r="D1457" s="6" t="s">
        <v>61</v>
      </c>
      <c r="E1457" s="14">
        <v>46042.67083333333</v>
      </c>
      <c r="F1457" s="8">
        <f>IF(HOUR(Table1[[#This Row],[CORREO]])&gt;=11,WORKDAY(Table1[[#This Row],[CORREO]],1,Table2[Dias no laborales]),E1457)</f>
        <v>46043</v>
      </c>
      <c r="G1457" s="8">
        <v>46045</v>
      </c>
      <c r="H1457" s="6">
        <f t="shared" si="47"/>
        <v>3</v>
      </c>
      <c r="I1457" s="16">
        <f>MAX(1, NETWORKDAYS(A1457, G1457,Table2[Dias no laborales]))</f>
        <v>4</v>
      </c>
      <c r="J1457" s="6" t="str">
        <f>IF(Table1[[#This Row],[FIN]]="","Acumulado",IF(ISNUMBER(SEARCH("ASAP",C1457)),"ASAP",IF(NETWORKDAYS.INTL(F1457,G1457,1,Table2[Dias no laborales]) &lt;= 7, "Dentro", IF(A1457&gt;F1457,"Programado","Fuera"))))</f>
        <v>Dentro</v>
      </c>
      <c r="K1457" s="6" t="str">
        <f t="shared" si="48"/>
        <v>Mismo día</v>
      </c>
      <c r="L1457" s="8">
        <v>46042</v>
      </c>
      <c r="M1457" s="17">
        <f>MAX(1,NETWORKDAYS(A1457,L1457,Table2[Dias no laborales]))</f>
        <v>1</v>
      </c>
    </row>
    <row r="1458" spans="1:13" hidden="1" x14ac:dyDescent="0.3">
      <c r="A1458" s="8">
        <v>46043</v>
      </c>
      <c r="B1458" s="6" t="s">
        <v>2815</v>
      </c>
      <c r="C1458" s="6" t="s">
        <v>2992</v>
      </c>
      <c r="D1458" s="6" t="s">
        <v>392</v>
      </c>
      <c r="E1458" s="14">
        <v>46042.55</v>
      </c>
      <c r="F1458" s="8">
        <f>IF(HOUR(Table1[[#This Row],[CORREO]])&gt;=11,WORKDAY(Table1[[#This Row],[CORREO]],1,Table2[Dias no laborales]),E1458)</f>
        <v>46043</v>
      </c>
      <c r="G1458" s="8">
        <v>46045</v>
      </c>
      <c r="H1458" s="6">
        <f t="shared" si="47"/>
        <v>3</v>
      </c>
      <c r="I1458" s="16">
        <f>MAX(1, NETWORKDAYS(A1458, G1458,Table2[Dias no laborales]))</f>
        <v>3</v>
      </c>
      <c r="J1458" s="6" t="str">
        <f>IF(Table1[[#This Row],[FIN]]="","Acumulado",IF(ISNUMBER(SEARCH("ASAP",C1458)),"ASAP",IF(NETWORKDAYS.INTL(F1458,G1458,1,Table2[Dias no laborales]) &lt;= 7, "Dentro", IF(A1458&gt;F1458,"Programado","Fuera"))))</f>
        <v>Dentro</v>
      </c>
      <c r="K1458" s="6" t="str">
        <f t="shared" si="48"/>
        <v>A tiempo</v>
      </c>
      <c r="L1458" s="8">
        <v>46043</v>
      </c>
      <c r="M1458" s="17">
        <f>MAX(1,NETWORKDAYS(A1458,L1458,Table2[Dias no laborales]))</f>
        <v>1</v>
      </c>
    </row>
    <row r="1459" spans="1:13" hidden="1" x14ac:dyDescent="0.3">
      <c r="A1459" s="8">
        <v>46043</v>
      </c>
      <c r="B1459" s="6" t="s">
        <v>2816</v>
      </c>
      <c r="C1459" s="6" t="s">
        <v>2993</v>
      </c>
      <c r="D1459" s="6" t="s">
        <v>2994</v>
      </c>
      <c r="E1459" s="14">
        <v>46042.611111111109</v>
      </c>
      <c r="F1459" s="8">
        <f>IF(HOUR(Table1[[#This Row],[CORREO]])&gt;=11,WORKDAY(Table1[[#This Row],[CORREO]],1,Table2[Dias no laborales]),E1459)</f>
        <v>46043</v>
      </c>
      <c r="G1459" s="8">
        <v>46050</v>
      </c>
      <c r="H1459" s="6">
        <f t="shared" si="47"/>
        <v>3</v>
      </c>
      <c r="I1459" s="16">
        <f>MAX(1, NETWORKDAYS(A1459, G1459,Table2[Dias no laborales]))</f>
        <v>6</v>
      </c>
      <c r="J1459" s="6" t="str">
        <f>IF(Table1[[#This Row],[FIN]]="","Acumulado",IF(ISNUMBER(SEARCH("ASAP",C1459)),"ASAP",IF(NETWORKDAYS.INTL(F1459,G1459,1,Table2[Dias no laborales]) &lt;= 7, "Dentro", IF(A1459&gt;F1459,"Programado","Fuera"))))</f>
        <v>Dentro</v>
      </c>
      <c r="K1459" s="6" t="str">
        <f t="shared" si="48"/>
        <v>A tiempo</v>
      </c>
      <c r="L1459" s="8">
        <v>46043</v>
      </c>
      <c r="M1459" s="17">
        <f>MAX(1,NETWORKDAYS(A1459,L1459,Table2[Dias no laborales]))</f>
        <v>1</v>
      </c>
    </row>
    <row r="1460" spans="1:13" hidden="1" x14ac:dyDescent="0.3">
      <c r="A1460" s="8">
        <v>46043</v>
      </c>
      <c r="B1460" s="6" t="s">
        <v>2817</v>
      </c>
      <c r="C1460" s="6" t="s">
        <v>2995</v>
      </c>
      <c r="D1460" s="6" t="s">
        <v>24</v>
      </c>
      <c r="E1460" s="14"/>
      <c r="F1460" s="8">
        <f>IF(HOUR(Table1[[#This Row],[CORREO]])&gt;=11,WORKDAY(Table1[[#This Row],[CORREO]],1,Table2[Dias no laborales]),E1460)</f>
        <v>0</v>
      </c>
      <c r="G1460" s="8">
        <v>46051</v>
      </c>
      <c r="H1460" s="6">
        <f t="shared" si="47"/>
        <v>3</v>
      </c>
      <c r="I1460" s="16">
        <f>MAX(1, NETWORKDAYS(A1460, G1460,Table2[Dias no laborales]))</f>
        <v>7</v>
      </c>
      <c r="J1460" s="6" t="str">
        <f>IF(Table1[[#This Row],[FIN]]="","Acumulado",IF(ISNUMBER(SEARCH("ASAP",C1460)),"ASAP",IF(NETWORKDAYS.INTL(F1460,G1460,1,Table2[Dias no laborales]) &lt;= 7, "Dentro", IF(A1460&gt;F1460,"Programado","Fuera"))))</f>
        <v>Programado</v>
      </c>
      <c r="K1460" s="6" t="str">
        <f t="shared" si="48"/>
        <v>Programados</v>
      </c>
      <c r="L1460" s="8">
        <v>46043</v>
      </c>
      <c r="M1460" s="17">
        <f>MAX(1,NETWORKDAYS(A1460,L1460,Table2[Dias no laborales]))</f>
        <v>1</v>
      </c>
    </row>
    <row r="1461" spans="1:13" hidden="1" x14ac:dyDescent="0.3">
      <c r="A1461" s="8">
        <v>46043</v>
      </c>
      <c r="B1461" s="6" t="s">
        <v>2818</v>
      </c>
      <c r="C1461" s="6" t="s">
        <v>2996</v>
      </c>
      <c r="D1461" s="6" t="s">
        <v>154</v>
      </c>
      <c r="E1461" s="14">
        <v>46043.430555555555</v>
      </c>
      <c r="F1461" s="8">
        <f>IF(HOUR(Table1[[#This Row],[CORREO]])&gt;=11,WORKDAY(Table1[[#This Row],[CORREO]],1,Table2[Dias no laborales]),E1461)</f>
        <v>46043.430555555555</v>
      </c>
      <c r="G1461" s="8">
        <v>46050</v>
      </c>
      <c r="H1461" s="6">
        <f t="shared" si="47"/>
        <v>3</v>
      </c>
      <c r="I1461" s="16">
        <f>MAX(1, NETWORKDAYS(A1461, G1461,Table2[Dias no laborales]))</f>
        <v>6</v>
      </c>
      <c r="J1461" s="6" t="str">
        <f>IF(Table1[[#This Row],[FIN]]="","Acumulado",IF(ISNUMBER(SEARCH("ASAP",C1461)),"ASAP",IF(NETWORKDAYS.INTL(F1461,G1461,1,Table2[Dias no laborales]) &lt;= 7, "Dentro", IF(A1461&gt;F1461,"Programado","Fuera"))))</f>
        <v>Dentro</v>
      </c>
      <c r="K1461" s="6" t="str">
        <f t="shared" si="48"/>
        <v>A tiempo</v>
      </c>
      <c r="L1461" s="8">
        <v>46043</v>
      </c>
      <c r="M1461" s="17">
        <f>MAX(1,NETWORKDAYS(A1461,L1461,Table2[Dias no laborales]))</f>
        <v>1</v>
      </c>
    </row>
    <row r="1462" spans="1:13" hidden="1" x14ac:dyDescent="0.3">
      <c r="A1462" s="8">
        <v>46043</v>
      </c>
      <c r="B1462" s="6" t="s">
        <v>2862</v>
      </c>
      <c r="C1462" s="6" t="s">
        <v>2997</v>
      </c>
      <c r="D1462" s="6" t="s">
        <v>623</v>
      </c>
      <c r="E1462" s="14">
        <v>46043.488194444442</v>
      </c>
      <c r="F1462" s="8">
        <f>IF(HOUR(Table1[[#This Row],[CORREO]])&gt;=11,WORKDAY(Table1[[#This Row],[CORREO]],1,Table2[Dias no laborales]),E1462)</f>
        <v>46044</v>
      </c>
      <c r="G1462" s="8">
        <v>46045</v>
      </c>
      <c r="H1462" s="6">
        <f t="shared" si="47"/>
        <v>3</v>
      </c>
      <c r="I1462" s="16">
        <f>MAX(1, NETWORKDAYS(A1462, G1462,Table2[Dias no laborales]))</f>
        <v>3</v>
      </c>
      <c r="J1462" s="6" t="str">
        <f>IF(Table1[[#This Row],[FIN]]="","Acumulado",IF(ISNUMBER(SEARCH("ASAP",C1462)),"ASAP",IF(NETWORKDAYS.INTL(F1462,G1462,1,Table2[Dias no laborales]) &lt;= 7, "Dentro", IF(A1462&gt;F1462,"Programado","Fuera"))))</f>
        <v>Dentro</v>
      </c>
      <c r="K1462" s="6" t="str">
        <f t="shared" si="48"/>
        <v>Mismo día</v>
      </c>
      <c r="L1462" s="8">
        <v>46043</v>
      </c>
      <c r="M1462" s="17">
        <f>MAX(1,NETWORKDAYS(A1462,L1462,Table2[Dias no laborales]))</f>
        <v>1</v>
      </c>
    </row>
    <row r="1463" spans="1:13" hidden="1" x14ac:dyDescent="0.3">
      <c r="A1463" s="12">
        <v>46044</v>
      </c>
      <c r="B1463" s="16" t="s">
        <v>2819</v>
      </c>
      <c r="C1463" s="16" t="s">
        <v>2998</v>
      </c>
      <c r="D1463" s="16" t="s">
        <v>27</v>
      </c>
      <c r="E1463" s="14">
        <v>46043.565972222219</v>
      </c>
      <c r="F1463" s="12">
        <f>IF(HOUR(Table1[[#This Row],[CORREO]])&gt;=11,WORKDAY(Table1[[#This Row],[CORREO]],1,Table2[Dias no laborales]),E1463)</f>
        <v>46044</v>
      </c>
      <c r="G1463" s="12">
        <v>46050</v>
      </c>
      <c r="H1463" s="16">
        <f t="shared" si="47"/>
        <v>4</v>
      </c>
      <c r="I1463" s="16">
        <f>MAX(1, NETWORKDAYS(A1463, G1463,Table2[Dias no laborales]))</f>
        <v>5</v>
      </c>
      <c r="J1463" s="6" t="str">
        <f>IF(Table1[[#This Row],[FIN]]="","Acumulado",IF(ISNUMBER(SEARCH("ASAP",C1463)),"ASAP",IF(NETWORKDAYS.INTL(F1463,G1463,1,Table2[Dias no laborales]) &lt;= 7, "Dentro", IF(A1463&gt;F1463,"Programado","Fuera"))))</f>
        <v>Dentro</v>
      </c>
      <c r="K1463" s="16" t="str">
        <f t="shared" si="48"/>
        <v>A tiempo</v>
      </c>
      <c r="L1463" s="12">
        <v>46044</v>
      </c>
      <c r="M1463" s="18">
        <f>MAX(1,NETWORKDAYS(A1463,L1463,Table2[Dias no laborales]))</f>
        <v>1</v>
      </c>
    </row>
    <row r="1464" spans="1:13" hidden="1" x14ac:dyDescent="0.3">
      <c r="A1464" s="12">
        <v>46044</v>
      </c>
      <c r="B1464" s="16" t="s">
        <v>2820</v>
      </c>
      <c r="C1464" s="16" t="s">
        <v>2999</v>
      </c>
      <c r="D1464" s="16" t="s">
        <v>538</v>
      </c>
      <c r="E1464" s="14"/>
      <c r="F1464" s="12">
        <f>IF(HOUR(Table1[[#This Row],[CORREO]])&gt;=11,WORKDAY(Table1[[#This Row],[CORREO]],1,Table2[Dias no laborales]),E1464)</f>
        <v>0</v>
      </c>
      <c r="G1464" s="12">
        <v>46059</v>
      </c>
      <c r="H1464" s="16">
        <f t="shared" si="47"/>
        <v>4</v>
      </c>
      <c r="I1464" s="16">
        <f>MAX(1, NETWORKDAYS(A1464, G1464,Table2[Dias no laborales]))</f>
        <v>11</v>
      </c>
      <c r="J1464" s="6" t="str">
        <f>IF(Table1[[#This Row],[FIN]]="","Acumulado",IF(ISNUMBER(SEARCH("ASAP",C1464)),"ASAP",IF(NETWORKDAYS.INTL(F1464,G1464,1,Table2[Dias no laborales]) &lt;= 7, "Dentro", IF(A1464&gt;F1464,"Programado","Fuera"))))</f>
        <v>Programado</v>
      </c>
      <c r="K1464" s="16" t="str">
        <f t="shared" si="48"/>
        <v>Programados</v>
      </c>
      <c r="L1464" s="12">
        <v>46044</v>
      </c>
      <c r="M1464" s="18">
        <f>MAX(1,NETWORKDAYS(A1464,L1464,Table2[Dias no laborales]))</f>
        <v>1</v>
      </c>
    </row>
    <row r="1465" spans="1:13" hidden="1" x14ac:dyDescent="0.3">
      <c r="A1465" s="12">
        <v>46044</v>
      </c>
      <c r="B1465" s="16" t="s">
        <v>2821</v>
      </c>
      <c r="C1465" s="16" t="s">
        <v>3000</v>
      </c>
      <c r="D1465" s="16" t="s">
        <v>586</v>
      </c>
      <c r="E1465" s="14">
        <v>46044.413194444445</v>
      </c>
      <c r="F1465" s="12">
        <f>IF(HOUR(Table1[[#This Row],[CORREO]])&gt;=11,WORKDAY(Table1[[#This Row],[CORREO]],1,Table2[Dias no laborales]),E1465)</f>
        <v>46044.413194444445</v>
      </c>
      <c r="G1465" s="12">
        <v>46048</v>
      </c>
      <c r="H1465" s="16">
        <f t="shared" si="47"/>
        <v>4</v>
      </c>
      <c r="I1465" s="16">
        <f>MAX(1, NETWORKDAYS(A1465, G1465,Table2[Dias no laborales]))</f>
        <v>3</v>
      </c>
      <c r="J1465" s="6" t="str">
        <f>IF(Table1[[#This Row],[FIN]]="","Acumulado",IF(ISNUMBER(SEARCH("ASAP",C1465)),"ASAP",IF(NETWORKDAYS.INTL(F1465,G1465,1,Table2[Dias no laborales]) &lt;= 7, "Dentro", IF(A1465&gt;F1465,"Programado","Fuera"))))</f>
        <v>Dentro</v>
      </c>
      <c r="K1465" s="16" t="str">
        <f t="shared" si="48"/>
        <v>A tiempo</v>
      </c>
      <c r="L1465" s="12">
        <v>46044</v>
      </c>
      <c r="M1465" s="18">
        <f>MAX(1,NETWORKDAYS(A1465,L1465,Table2[Dias no laborales]))</f>
        <v>1</v>
      </c>
    </row>
    <row r="1466" spans="1:13" hidden="1" x14ac:dyDescent="0.3">
      <c r="A1466" s="12">
        <v>46044</v>
      </c>
      <c r="B1466" s="16" t="s">
        <v>2881</v>
      </c>
      <c r="C1466" s="6" t="s">
        <v>3001</v>
      </c>
      <c r="D1466" s="6" t="s">
        <v>994</v>
      </c>
      <c r="E1466" s="14">
        <v>46044.466666666667</v>
      </c>
      <c r="F1466" s="8">
        <f>IF(HOUR(Table1[[#This Row],[CORREO]])&gt;=11,WORKDAY(Table1[[#This Row],[CORREO]],1,Table2[Dias no laborales]),E1466)</f>
        <v>46045</v>
      </c>
      <c r="G1466" s="8">
        <v>46045</v>
      </c>
      <c r="H1466" s="6">
        <f t="shared" si="47"/>
        <v>4</v>
      </c>
      <c r="I1466" s="16">
        <f>MAX(1, NETWORKDAYS(A1466, G1466,Table2[Dias no laborales]))</f>
        <v>2</v>
      </c>
      <c r="J1466" s="6" t="str">
        <f>IF(Table1[[#This Row],[FIN]]="","Acumulado",IF(ISNUMBER(SEARCH("ASAP",C1466)),"ASAP",IF(NETWORKDAYS.INTL(F1466,G1466,1,Table2[Dias no laborales]) &lt;= 7, "Dentro", IF(A1466&gt;F1466,"Programado","Fuera"))))</f>
        <v>Dentro</v>
      </c>
      <c r="K1466" s="6" t="str">
        <f t="shared" si="48"/>
        <v>Mismo día</v>
      </c>
      <c r="L1466" s="8">
        <v>46044</v>
      </c>
      <c r="M1466" s="17">
        <f>MAX(1,NETWORKDAYS(A1466,L1466,Table2[Dias no laborales]))</f>
        <v>1</v>
      </c>
    </row>
    <row r="1467" spans="1:13" hidden="1" x14ac:dyDescent="0.3">
      <c r="A1467" s="8">
        <v>46044</v>
      </c>
      <c r="B1467" s="16" t="s">
        <v>2882</v>
      </c>
      <c r="C1467" s="6" t="s">
        <v>3002</v>
      </c>
      <c r="D1467" s="6" t="s">
        <v>24</v>
      </c>
      <c r="E1467" s="14"/>
      <c r="F1467" s="8">
        <f>IF(HOUR(Table1[[#This Row],[CORREO]])&gt;=11,WORKDAY(Table1[[#This Row],[CORREO]],1,Table2[Dias no laborales]),E1467)</f>
        <v>0</v>
      </c>
      <c r="G1467" s="8">
        <v>46072</v>
      </c>
      <c r="H1467" s="6">
        <f t="shared" si="47"/>
        <v>4</v>
      </c>
      <c r="I1467" s="16">
        <f>MAX(1, NETWORKDAYS(A1467, G1467,Table2[Dias no laborales]))</f>
        <v>20</v>
      </c>
      <c r="J1467" s="6" t="str">
        <f>IF(Table1[[#This Row],[FIN]]="","Acumulado",IF(ISNUMBER(SEARCH("ASAP",C1467)),"ASAP",IF(NETWORKDAYS.INTL(F1467,G1467,1,Table2[Dias no laborales]) &lt;= 7, "Dentro", IF(A1467&gt;F1467,"Programado","Fuera"))))</f>
        <v>Programado</v>
      </c>
      <c r="K1467" s="6" t="str">
        <f t="shared" si="48"/>
        <v>Programados</v>
      </c>
      <c r="L1467" s="8">
        <v>46044</v>
      </c>
      <c r="M1467" s="17">
        <f>MAX(1,NETWORKDAYS(A1467,L1467,Table2[Dias no laborales]))</f>
        <v>1</v>
      </c>
    </row>
    <row r="1468" spans="1:13" hidden="1" x14ac:dyDescent="0.3">
      <c r="A1468" s="8">
        <v>46044</v>
      </c>
      <c r="B1468" s="16" t="s">
        <v>2883</v>
      </c>
      <c r="C1468" s="6" t="s">
        <v>3003</v>
      </c>
      <c r="D1468" s="6" t="s">
        <v>994</v>
      </c>
      <c r="E1468" s="14"/>
      <c r="F1468" s="8">
        <f>IF(HOUR(Table1[[#This Row],[CORREO]])&gt;=11,WORKDAY(Table1[[#This Row],[CORREO]],1,Table2[Dias no laborales]),E1468)</f>
        <v>0</v>
      </c>
      <c r="G1468" s="8">
        <v>46045</v>
      </c>
      <c r="H1468" s="6">
        <f t="shared" si="47"/>
        <v>4</v>
      </c>
      <c r="I1468" s="16">
        <f>MAX(1, NETWORKDAYS(A1468, G1468,Table2[Dias no laborales]))</f>
        <v>2</v>
      </c>
      <c r="J1468" s="6" t="str">
        <f>IF(Table1[[#This Row],[FIN]]="","Acumulado",IF(ISNUMBER(SEARCH("ASAP",C1468)),"ASAP",IF(NETWORKDAYS.INTL(F1468,G1468,1,Table2[Dias no laborales]) &lt;= 7, "Dentro", IF(A1468&gt;F1468,"Programado","Fuera"))))</f>
        <v>Programado</v>
      </c>
      <c r="K1468" s="6" t="str">
        <f t="shared" si="48"/>
        <v>Programados</v>
      </c>
      <c r="L1468" s="8">
        <v>46044</v>
      </c>
      <c r="M1468" s="17">
        <f>MAX(1,NETWORKDAYS(A1468,L1468,Table2[Dias no laborales]))</f>
        <v>1</v>
      </c>
    </row>
    <row r="1469" spans="1:13" hidden="1" x14ac:dyDescent="0.3">
      <c r="A1469" s="8">
        <v>46045</v>
      </c>
      <c r="B1469" s="16" t="s">
        <v>2884</v>
      </c>
      <c r="C1469" s="6" t="s">
        <v>3004</v>
      </c>
      <c r="D1469" s="6" t="s">
        <v>3005</v>
      </c>
      <c r="E1469" s="14">
        <v>46044.460416666669</v>
      </c>
      <c r="F1469" s="8">
        <f>IF(HOUR(Table1[[#This Row],[CORREO]])&gt;=11,WORKDAY(Table1[[#This Row],[CORREO]],1,Table2[Dias no laborales]),E1469)</f>
        <v>46045</v>
      </c>
      <c r="G1469" s="8">
        <v>46051</v>
      </c>
      <c r="H1469" s="6">
        <f t="shared" si="47"/>
        <v>4</v>
      </c>
      <c r="I1469" s="16">
        <f>MAX(1, NETWORKDAYS(A1469, G1469,Table2[Dias no laborales]))</f>
        <v>5</v>
      </c>
      <c r="J1469" s="6" t="str">
        <f>IF(Table1[[#This Row],[FIN]]="","Acumulado",IF(ISNUMBER(SEARCH("ASAP",C1469)),"ASAP",IF(NETWORKDAYS.INTL(F1469,G1469,1,Table2[Dias no laborales]) &lt;= 7, "Dentro", IF(A1469&gt;F1469,"Programado","Fuera"))))</f>
        <v>Dentro</v>
      </c>
      <c r="K1469" s="6" t="str">
        <f t="shared" si="48"/>
        <v>A tiempo</v>
      </c>
      <c r="L1469" s="8">
        <v>46045</v>
      </c>
      <c r="M1469" s="17">
        <f>MAX(1,NETWORKDAYS(A1469,L1469,Table2[Dias no laborales]))</f>
        <v>1</v>
      </c>
    </row>
    <row r="1470" spans="1:13" hidden="1" x14ac:dyDescent="0.3">
      <c r="A1470" s="8">
        <v>46045</v>
      </c>
      <c r="B1470" s="16" t="s">
        <v>2885</v>
      </c>
      <c r="C1470" s="6" t="s">
        <v>3006</v>
      </c>
      <c r="D1470" s="6" t="s">
        <v>3007</v>
      </c>
      <c r="E1470" s="14">
        <v>46044.539583333331</v>
      </c>
      <c r="F1470" s="8">
        <f>IF(HOUR(Table1[[#This Row],[CORREO]])&gt;=11,WORKDAY(Table1[[#This Row],[CORREO]],1,Table2[Dias no laborales]),E1470)</f>
        <v>46045</v>
      </c>
      <c r="G1470" s="8">
        <v>46051</v>
      </c>
      <c r="H1470" s="6">
        <f t="shared" si="47"/>
        <v>4</v>
      </c>
      <c r="I1470" s="16">
        <f>MAX(1, NETWORKDAYS(A1470, G1470,Table2[Dias no laborales]))</f>
        <v>5</v>
      </c>
      <c r="J1470" s="6" t="str">
        <f>IF(Table1[[#This Row],[FIN]]="","Acumulado",IF(ISNUMBER(SEARCH("ASAP",C1470)),"ASAP",IF(NETWORKDAYS.INTL(F1470,G1470,1,Table2[Dias no laborales]) &lt;= 7, "Dentro", IF(A1470&gt;F1470,"Programado","Fuera"))))</f>
        <v>Dentro</v>
      </c>
      <c r="K1470" s="6" t="str">
        <f t="shared" si="48"/>
        <v>A tiempo</v>
      </c>
      <c r="L1470" s="8">
        <v>46048</v>
      </c>
      <c r="M1470" s="17">
        <f>MAX(1,NETWORKDAYS(A1470,L1470,Table2[Dias no laborales]))</f>
        <v>2</v>
      </c>
    </row>
    <row r="1471" spans="1:13" hidden="1" x14ac:dyDescent="0.3">
      <c r="A1471" s="8">
        <v>46045</v>
      </c>
      <c r="B1471" s="16" t="s">
        <v>2886</v>
      </c>
      <c r="C1471" s="6" t="s">
        <v>3008</v>
      </c>
      <c r="D1471" s="6" t="s">
        <v>3009</v>
      </c>
      <c r="E1471" s="14">
        <v>46044.546527777777</v>
      </c>
      <c r="F1471" s="8">
        <f>IF(HOUR(Table1[[#This Row],[CORREO]])&gt;=11,WORKDAY(Table1[[#This Row],[CORREO]],1,Table2[Dias no laborales]),E1471)</f>
        <v>46045</v>
      </c>
      <c r="G1471" s="8">
        <v>46051</v>
      </c>
      <c r="H1471" s="6">
        <f t="shared" si="47"/>
        <v>4</v>
      </c>
      <c r="I1471" s="16">
        <f>MAX(1, NETWORKDAYS(A1471, G1471,Table2[Dias no laborales]))</f>
        <v>5</v>
      </c>
      <c r="J1471" s="6" t="str">
        <f>IF(Table1[[#This Row],[FIN]]="","Acumulado",IF(ISNUMBER(SEARCH("ASAP",C1471)),"ASAP",IF(NETWORKDAYS.INTL(F1471,G1471,1,Table2[Dias no laborales]) &lt;= 7, "Dentro", IF(A1471&gt;F1471,"Programado","Fuera"))))</f>
        <v>Dentro</v>
      </c>
      <c r="K1471" s="6" t="str">
        <f t="shared" si="48"/>
        <v>A tiempo</v>
      </c>
      <c r="L1471" s="8">
        <v>46048</v>
      </c>
      <c r="M1471" s="17">
        <f>MAX(1,NETWORKDAYS(A1471,L1471,Table2[Dias no laborales]))</f>
        <v>2</v>
      </c>
    </row>
    <row r="1472" spans="1:13" hidden="1" x14ac:dyDescent="0.3">
      <c r="A1472" s="8">
        <v>46045</v>
      </c>
      <c r="B1472" s="16" t="s">
        <v>2887</v>
      </c>
      <c r="C1472" s="6" t="s">
        <v>3010</v>
      </c>
      <c r="D1472" s="6" t="s">
        <v>2174</v>
      </c>
      <c r="E1472" s="14">
        <v>46044.637499999997</v>
      </c>
      <c r="F1472" s="8">
        <f>IF(HOUR(Table1[[#This Row],[CORREO]])&gt;=11,WORKDAY(Table1[[#This Row],[CORREO]],1,Table2[Dias no laborales]),E1472)</f>
        <v>46045</v>
      </c>
      <c r="G1472" s="8">
        <v>46050</v>
      </c>
      <c r="H1472" s="6">
        <f t="shared" si="47"/>
        <v>4</v>
      </c>
      <c r="I1472" s="16">
        <f>MAX(1, NETWORKDAYS(A1472, G1472,Table2[Dias no laborales]))</f>
        <v>4</v>
      </c>
      <c r="J1472" s="6" t="str">
        <f>IF(Table1[[#This Row],[FIN]]="","Acumulado",IF(ISNUMBER(SEARCH("ASAP",C1472)),"ASAP",IF(NETWORKDAYS.INTL(F1472,G1472,1,Table2[Dias no laborales]) &lt;= 7, "Dentro", IF(A1472&gt;F1472,"Programado","Fuera"))))</f>
        <v>Dentro</v>
      </c>
      <c r="K1472" s="6" t="str">
        <f t="shared" si="48"/>
        <v>A tiempo</v>
      </c>
      <c r="L1472" s="8">
        <v>46045</v>
      </c>
      <c r="M1472" s="17">
        <f>MAX(1,NETWORKDAYS(A1472,L1472,Table2[Dias no laborales]))</f>
        <v>1</v>
      </c>
    </row>
    <row r="1473" spans="1:13" hidden="1" x14ac:dyDescent="0.3">
      <c r="A1473" s="8">
        <v>46045</v>
      </c>
      <c r="B1473" s="16" t="s">
        <v>2888</v>
      </c>
      <c r="C1473" s="6" t="s">
        <v>3011</v>
      </c>
      <c r="D1473" s="6" t="s">
        <v>85</v>
      </c>
      <c r="E1473" s="14">
        <v>46045.332638888889</v>
      </c>
      <c r="F1473" s="8">
        <f>IF(HOUR(Table1[[#This Row],[CORREO]])&gt;=11,WORKDAY(Table1[[#This Row],[CORREO]],1,Table2[Dias no laborales]),E1473)</f>
        <v>46045.332638888889</v>
      </c>
      <c r="G1473" s="8">
        <v>46050</v>
      </c>
      <c r="H1473" s="6">
        <f t="shared" si="47"/>
        <v>4</v>
      </c>
      <c r="I1473" s="16">
        <f>MAX(1, NETWORKDAYS(A1473, G1473,Table2[Dias no laborales]))</f>
        <v>4</v>
      </c>
      <c r="J1473" s="6" t="str">
        <f>IF(Table1[[#This Row],[FIN]]="","Acumulado",IF(ISNUMBER(SEARCH("ASAP",C1473)),"ASAP",IF(NETWORKDAYS.INTL(F1473,G1473,1,Table2[Dias no laborales]) &lt;= 7, "Dentro", IF(A1473&gt;F1473,"Programado","Fuera"))))</f>
        <v>Dentro</v>
      </c>
      <c r="K1473" s="6" t="str">
        <f t="shared" si="48"/>
        <v>A tiempo</v>
      </c>
      <c r="L1473" s="8">
        <v>46045</v>
      </c>
      <c r="M1473" s="17">
        <f>MAX(1,NETWORKDAYS(A1473,L1473,Table2[Dias no laborales]))</f>
        <v>1</v>
      </c>
    </row>
    <row r="1474" spans="1:13" hidden="1" x14ac:dyDescent="0.3">
      <c r="A1474" s="8">
        <v>46045</v>
      </c>
      <c r="B1474" s="16" t="s">
        <v>2889</v>
      </c>
      <c r="C1474" s="6" t="s">
        <v>3008</v>
      </c>
      <c r="D1474" s="6" t="s">
        <v>3012</v>
      </c>
      <c r="E1474" s="14">
        <v>46045.349305555559</v>
      </c>
      <c r="F1474" s="8">
        <f>IF(HOUR(Table1[[#This Row],[CORREO]])&gt;=11,WORKDAY(Table1[[#This Row],[CORREO]],1,Table2[Dias no laborales]),E1474)</f>
        <v>46045.349305555559</v>
      </c>
      <c r="G1474" s="8">
        <v>46048</v>
      </c>
      <c r="H1474" s="6">
        <f t="shared" si="47"/>
        <v>4</v>
      </c>
      <c r="I1474" s="16">
        <f>MAX(1, NETWORKDAYS(A1474, G1474,Table2[Dias no laborales]))</f>
        <v>2</v>
      </c>
      <c r="J1474" s="6" t="str">
        <f>IF(Table1[[#This Row],[FIN]]="","Acumulado",IF(ISNUMBER(SEARCH("ASAP",C1474)),"ASAP",IF(NETWORKDAYS.INTL(F1474,G1474,1,Table2[Dias no laborales]) &lt;= 7, "Dentro", IF(A1474&gt;F1474,"Programado","Fuera"))))</f>
        <v>Dentro</v>
      </c>
      <c r="K1474" s="6" t="str">
        <f t="shared" si="48"/>
        <v>A tiempo</v>
      </c>
      <c r="L1474" s="8">
        <v>46048</v>
      </c>
      <c r="M1474" s="17">
        <f>MAX(1,NETWORKDAYS(A1474,L1474,Table2[Dias no laborales]))</f>
        <v>2</v>
      </c>
    </row>
    <row r="1475" spans="1:13" hidden="1" x14ac:dyDescent="0.3">
      <c r="A1475" s="8">
        <v>46045</v>
      </c>
      <c r="B1475" s="16" t="s">
        <v>2890</v>
      </c>
      <c r="C1475" s="6" t="s">
        <v>196</v>
      </c>
      <c r="D1475" s="6" t="s">
        <v>27</v>
      </c>
      <c r="E1475" s="14"/>
      <c r="F1475" s="8">
        <f>IF(HOUR(Table1[[#This Row],[CORREO]])&gt;=11,WORKDAY(Table1[[#This Row],[CORREO]],1,Table2[Dias no laborales]),E1475)</f>
        <v>0</v>
      </c>
      <c r="G1475" s="8">
        <v>46050</v>
      </c>
      <c r="H1475" s="6">
        <f t="shared" si="47"/>
        <v>4</v>
      </c>
      <c r="I1475" s="16">
        <f>MAX(1, NETWORKDAYS(A1475, G1475,Table2[Dias no laborales]))</f>
        <v>4</v>
      </c>
      <c r="J1475" s="6" t="str">
        <f>IF(Table1[[#This Row],[FIN]]="","Acumulado",IF(ISNUMBER(SEARCH("ASAP",C1475)),"ASAP",IF(NETWORKDAYS.INTL(F1475,G1475,1,Table2[Dias no laborales]) &lt;= 7, "Dentro", IF(A1475&gt;F1475,"Programado","Fuera"))))</f>
        <v>Programado</v>
      </c>
      <c r="K1475" s="6" t="str">
        <f t="shared" si="48"/>
        <v>Programados</v>
      </c>
      <c r="L1475" s="8">
        <v>46045</v>
      </c>
      <c r="M1475" s="17">
        <f>MAX(1,NETWORKDAYS(A1475,L1475,Table2[Dias no laborales]))</f>
        <v>1</v>
      </c>
    </row>
    <row r="1476" spans="1:13" hidden="1" x14ac:dyDescent="0.3">
      <c r="A1476" s="8">
        <v>46045</v>
      </c>
      <c r="B1476" s="16" t="s">
        <v>2891</v>
      </c>
      <c r="C1476" s="6" t="s">
        <v>188</v>
      </c>
      <c r="D1476" s="6" t="s">
        <v>27</v>
      </c>
      <c r="E1476" s="14"/>
      <c r="F1476" s="8">
        <f>IF(HOUR(Table1[[#This Row],[CORREO]])&gt;=11,WORKDAY(Table1[[#This Row],[CORREO]],1,Table2[Dias no laborales]),E1476)</f>
        <v>0</v>
      </c>
      <c r="G1476" s="8">
        <v>46050</v>
      </c>
      <c r="H1476" s="6">
        <f t="shared" si="47"/>
        <v>4</v>
      </c>
      <c r="I1476" s="16">
        <f>MAX(1, NETWORKDAYS(A1476, G1476,Table2[Dias no laborales]))</f>
        <v>4</v>
      </c>
      <c r="J1476" s="6" t="str">
        <f>IF(Table1[[#This Row],[FIN]]="","Acumulado",IF(ISNUMBER(SEARCH("ASAP",C1476)),"ASAP",IF(NETWORKDAYS.INTL(F1476,G1476,1,Table2[Dias no laborales]) &lt;= 7, "Dentro", IF(A1476&gt;F1476,"Programado","Fuera"))))</f>
        <v>Programado</v>
      </c>
      <c r="K1476" s="6" t="str">
        <f t="shared" si="48"/>
        <v>Programados</v>
      </c>
      <c r="L1476" s="8">
        <v>46045</v>
      </c>
      <c r="M1476" s="17">
        <f>MAX(1,NETWORKDAYS(A1476,L1476,Table2[Dias no laborales]))</f>
        <v>1</v>
      </c>
    </row>
    <row r="1477" spans="1:13" hidden="1" x14ac:dyDescent="0.3">
      <c r="A1477" s="8">
        <v>46045</v>
      </c>
      <c r="B1477" s="16" t="s">
        <v>2892</v>
      </c>
      <c r="C1477" s="6" t="s">
        <v>3013</v>
      </c>
      <c r="D1477" s="6" t="s">
        <v>186</v>
      </c>
      <c r="E1477" s="14">
        <v>46045.435416666667</v>
      </c>
      <c r="F1477" s="8">
        <f>IF(HOUR(Table1[[#This Row],[CORREO]])&gt;=11,WORKDAY(Table1[[#This Row],[CORREO]],1,Table2[Dias no laborales]),E1477)</f>
        <v>46045.435416666667</v>
      </c>
      <c r="G1477" s="8">
        <v>46094</v>
      </c>
      <c r="H1477" s="6">
        <f t="shared" si="47"/>
        <v>4</v>
      </c>
      <c r="I1477" s="16">
        <f>MAX(1, NETWORKDAYS(A1477, G1477,Table2[Dias no laborales]))</f>
        <v>35</v>
      </c>
      <c r="J1477" s="6" t="str">
        <f>IF(Table1[[#This Row],[FIN]]="","Acumulado",IF(ISNUMBER(SEARCH("ASAP",C1477)),"ASAP",IF(NETWORKDAYS.INTL(F1477,G1477,1,Table2[Dias no laborales]) &lt;= 7, "Dentro", IF(A1477&gt;F1477,"Programado","Fuera"))))</f>
        <v>Fuera</v>
      </c>
      <c r="K1477" s="6" t="str">
        <f t="shared" si="48"/>
        <v>A tiempo</v>
      </c>
      <c r="L1477" s="8">
        <v>46048</v>
      </c>
      <c r="M1477" s="17">
        <f>MAX(1,NETWORKDAYS(A1477,L1477,Table2[Dias no laborales]))</f>
        <v>2</v>
      </c>
    </row>
    <row r="1478" spans="1:13" hidden="1" x14ac:dyDescent="0.3">
      <c r="A1478" s="8">
        <v>46045</v>
      </c>
      <c r="B1478" s="16" t="s">
        <v>2893</v>
      </c>
      <c r="C1478" s="6" t="s">
        <v>3014</v>
      </c>
      <c r="D1478" s="6" t="s">
        <v>85</v>
      </c>
      <c r="E1478" s="14">
        <v>46045.518750000003</v>
      </c>
      <c r="F1478" s="8">
        <f>IF(HOUR(Table1[[#This Row],[CORREO]])&gt;=11,WORKDAY(Table1[[#This Row],[CORREO]],1,Table2[Dias no laborales]),E1478)</f>
        <v>46048</v>
      </c>
      <c r="G1478" s="8">
        <v>46048</v>
      </c>
      <c r="H1478" s="6">
        <f t="shared" si="47"/>
        <v>4</v>
      </c>
      <c r="I1478" s="16">
        <f>MAX(1, NETWORKDAYS(A1478, G1478,Table2[Dias no laborales]))</f>
        <v>2</v>
      </c>
      <c r="J1478" s="6" t="str">
        <f>IF(Table1[[#This Row],[FIN]]="","Acumulado",IF(ISNUMBER(SEARCH("ASAP",C1478)),"ASAP",IF(NETWORKDAYS.INTL(F1478,G1478,1,Table2[Dias no laborales]) &lt;= 7, "Dentro", IF(A1478&gt;F1478,"Programado","Fuera"))))</f>
        <v>Dentro</v>
      </c>
      <c r="K1478" s="6" t="str">
        <f t="shared" si="48"/>
        <v>Mismo día</v>
      </c>
      <c r="L1478" s="8">
        <v>46045</v>
      </c>
      <c r="M1478" s="17">
        <f>MAX(1,NETWORKDAYS(A1478,L1478,Table2[Dias no laborales]))</f>
        <v>1</v>
      </c>
    </row>
    <row r="1479" spans="1:13" hidden="1" x14ac:dyDescent="0.3">
      <c r="A1479" s="8">
        <v>46045</v>
      </c>
      <c r="B1479" s="16" t="s">
        <v>2894</v>
      </c>
      <c r="C1479" s="6" t="s">
        <v>3015</v>
      </c>
      <c r="D1479" s="6" t="s">
        <v>1333</v>
      </c>
      <c r="E1479" s="14"/>
      <c r="F1479" s="8">
        <f>IF(HOUR(Table1[[#This Row],[CORREO]])&gt;=11,WORKDAY(Table1[[#This Row],[CORREO]],1,Table2[Dias no laborales]),E1479)</f>
        <v>0</v>
      </c>
      <c r="G1479" s="8">
        <v>46069</v>
      </c>
      <c r="H1479" s="6">
        <f t="shared" si="47"/>
        <v>4</v>
      </c>
      <c r="I1479" s="16">
        <f>MAX(1, NETWORKDAYS(A1479, G1479,Table2[Dias no laborales]))</f>
        <v>16</v>
      </c>
      <c r="J1479" s="6" t="str">
        <f>IF(Table1[[#This Row],[FIN]]="","Acumulado",IF(ISNUMBER(SEARCH("ASAP",C1479)),"ASAP",IF(NETWORKDAYS.INTL(F1479,G1479,1,Table2[Dias no laborales]) &lt;= 7, "Dentro", IF(A1479&gt;F1479,"Programado","Fuera"))))</f>
        <v>Programado</v>
      </c>
      <c r="K1479" s="6" t="str">
        <f t="shared" si="48"/>
        <v>Programados</v>
      </c>
      <c r="L1479" s="8">
        <v>46045</v>
      </c>
      <c r="M1479" s="17">
        <f>MAX(1,NETWORKDAYS(A1479,L1479,Table2[Dias no laborales]))</f>
        <v>1</v>
      </c>
    </row>
    <row r="1480" spans="1:13" hidden="1" x14ac:dyDescent="0.3">
      <c r="A1480" s="8">
        <v>46048</v>
      </c>
      <c r="B1480" s="16" t="s">
        <v>2895</v>
      </c>
      <c r="C1480" s="6" t="s">
        <v>3016</v>
      </c>
      <c r="D1480" s="6" t="s">
        <v>24</v>
      </c>
      <c r="E1480" s="14"/>
      <c r="F1480" s="8">
        <f>IF(HOUR(Table1[[#This Row],[CORREO]])&gt;=11,WORKDAY(Table1[[#This Row],[CORREO]],1,Table2[Dias no laborales]),E1480)</f>
        <v>0</v>
      </c>
      <c r="G1480" s="8">
        <v>46052</v>
      </c>
      <c r="H1480" s="6">
        <f t="shared" si="47"/>
        <v>4</v>
      </c>
      <c r="I1480" s="16">
        <f>MAX(1, NETWORKDAYS(A1480, G1480,Table2[Dias no laborales]))</f>
        <v>5</v>
      </c>
      <c r="J1480" s="6" t="str">
        <f>IF(Table1[[#This Row],[FIN]]="","Acumulado",IF(ISNUMBER(SEARCH("ASAP",C1480)),"ASAP",IF(NETWORKDAYS.INTL(F1480,G1480,1,Table2[Dias no laborales]) &lt;= 7, "Dentro", IF(A1480&gt;F1480,"Programado","Fuera"))))</f>
        <v>Programado</v>
      </c>
      <c r="K1480" s="6" t="str">
        <f t="shared" si="48"/>
        <v>Programados</v>
      </c>
      <c r="L1480" s="8">
        <v>46048</v>
      </c>
      <c r="M1480" s="17">
        <f>MAX(1,NETWORKDAYS(A1480,L1480,Table2[Dias no laborales]))</f>
        <v>1</v>
      </c>
    </row>
    <row r="1481" spans="1:13" hidden="1" x14ac:dyDescent="0.3">
      <c r="A1481" s="8">
        <v>46048</v>
      </c>
      <c r="B1481" s="16" t="s">
        <v>2896</v>
      </c>
      <c r="C1481" s="6" t="s">
        <v>3017</v>
      </c>
      <c r="D1481" s="6" t="s">
        <v>56</v>
      </c>
      <c r="E1481" s="14">
        <v>46045.460416666669</v>
      </c>
      <c r="F1481" s="8">
        <f>IF(HOUR(Table1[[#This Row],[CORREO]])&gt;=11,WORKDAY(Table1[[#This Row],[CORREO]],1,Table2[Dias no laborales]),E1481)</f>
        <v>46048</v>
      </c>
      <c r="G1481" s="8">
        <v>46048</v>
      </c>
      <c r="H1481" s="6">
        <f t="shared" si="47"/>
        <v>4</v>
      </c>
      <c r="I1481" s="16">
        <f>MAX(1, NETWORKDAYS(A1481, G1481,Table2[Dias no laborales]))</f>
        <v>1</v>
      </c>
      <c r="J1481" s="6" t="str">
        <f>IF(Table1[[#This Row],[FIN]]="","Acumulado",IF(ISNUMBER(SEARCH("ASAP",C1481)),"ASAP",IF(NETWORKDAYS.INTL(F1481,G1481,1,Table2[Dias no laborales]) &lt;= 7, "Dentro", IF(A1481&gt;F1481,"Programado","Fuera"))))</f>
        <v>Dentro</v>
      </c>
      <c r="K1481" s="6" t="str">
        <f t="shared" si="48"/>
        <v>A tiempo</v>
      </c>
      <c r="L1481" s="8">
        <v>46048</v>
      </c>
      <c r="M1481" s="17">
        <f>MAX(1,NETWORKDAYS(A1481,L1481,Table2[Dias no laborales]))</f>
        <v>1</v>
      </c>
    </row>
    <row r="1482" spans="1:13" hidden="1" x14ac:dyDescent="0.3">
      <c r="A1482" s="8">
        <v>46048</v>
      </c>
      <c r="B1482" s="16" t="s">
        <v>2897</v>
      </c>
      <c r="C1482" s="6" t="s">
        <v>3018</v>
      </c>
      <c r="D1482" s="6" t="s">
        <v>538</v>
      </c>
      <c r="E1482" s="14">
        <v>46045.636111111111</v>
      </c>
      <c r="F1482" s="8">
        <f>IF(HOUR(Table1[[#This Row],[CORREO]])&gt;=11,WORKDAY(Table1[[#This Row],[CORREO]],1,Table2[Dias no laborales]),E1482)</f>
        <v>46048</v>
      </c>
      <c r="G1482" s="8">
        <v>46048</v>
      </c>
      <c r="H1482" s="6">
        <f t="shared" si="47"/>
        <v>4</v>
      </c>
      <c r="I1482" s="16">
        <f>MAX(1, NETWORKDAYS(A1482, G1482,Table2[Dias no laborales]))</f>
        <v>1</v>
      </c>
      <c r="J1482" s="6" t="str">
        <f>IF(Table1[[#This Row],[FIN]]="","Acumulado",IF(ISNUMBER(SEARCH("ASAP",C1482)),"ASAP",IF(NETWORKDAYS.INTL(F1482,G1482,1,Table2[Dias no laborales]) &lt;= 7, "Dentro", IF(A1482&gt;F1482,"Programado","Fuera"))))</f>
        <v>Dentro</v>
      </c>
      <c r="K1482" s="6" t="str">
        <f t="shared" si="48"/>
        <v>A tiempo</v>
      </c>
      <c r="L1482" s="8">
        <v>46048</v>
      </c>
      <c r="M1482" s="17">
        <f>MAX(1,NETWORKDAYS(A1482,L1482,Table2[Dias no laborales]))</f>
        <v>1</v>
      </c>
    </row>
    <row r="1483" spans="1:13" hidden="1" x14ac:dyDescent="0.3">
      <c r="A1483" s="8">
        <v>46048</v>
      </c>
      <c r="B1483" s="16" t="s">
        <v>2898</v>
      </c>
      <c r="C1483" s="6" t="s">
        <v>3019</v>
      </c>
      <c r="D1483" s="6" t="s">
        <v>3020</v>
      </c>
      <c r="E1483" s="14">
        <v>46048.267361111109</v>
      </c>
      <c r="F1483" s="8">
        <f>IF(HOUR(Table1[[#This Row],[CORREO]])&gt;=11,WORKDAY(Table1[[#This Row],[CORREO]],1,Table2[Dias no laborales]),E1483)</f>
        <v>46048.267361111109</v>
      </c>
      <c r="G1483" s="8">
        <v>46048</v>
      </c>
      <c r="H1483" s="6">
        <f t="shared" si="47"/>
        <v>4</v>
      </c>
      <c r="I1483" s="16">
        <f>MAX(1, NETWORKDAYS(A1483, G1483,Table2[Dias no laborales]))</f>
        <v>1</v>
      </c>
      <c r="J1483" s="6" t="str">
        <f>IF(Table1[[#This Row],[FIN]]="","Acumulado",IF(ISNUMBER(SEARCH("ASAP",C1483)),"ASAP",IF(NETWORKDAYS.INTL(F1483,G1483,1,Table2[Dias no laborales]) &lt;= 7, "Dentro", IF(A1483&gt;F1483,"Programado","Fuera"))))</f>
        <v>Dentro</v>
      </c>
      <c r="K1483" s="6" t="str">
        <f t="shared" si="48"/>
        <v>A tiempo</v>
      </c>
      <c r="L1483" s="8">
        <v>46048</v>
      </c>
      <c r="M1483" s="17">
        <f>MAX(1,NETWORKDAYS(A1483,L1483,Table2[Dias no laborales]))</f>
        <v>1</v>
      </c>
    </row>
    <row r="1484" spans="1:13" hidden="1" x14ac:dyDescent="0.3">
      <c r="A1484" s="8">
        <v>46048</v>
      </c>
      <c r="B1484" s="16" t="s">
        <v>2899</v>
      </c>
      <c r="C1484" s="6" t="s">
        <v>3021</v>
      </c>
      <c r="D1484" s="6" t="s">
        <v>1840</v>
      </c>
      <c r="E1484" s="14">
        <v>46048.341666666667</v>
      </c>
      <c r="F1484" s="8">
        <f>IF(HOUR(Table1[[#This Row],[CORREO]])&gt;=11,WORKDAY(Table1[[#This Row],[CORREO]],1,Table2[Dias no laborales]),E1484)</f>
        <v>46048.341666666667</v>
      </c>
      <c r="G1484" s="8">
        <v>46069</v>
      </c>
      <c r="H1484" s="6">
        <f t="shared" si="47"/>
        <v>4</v>
      </c>
      <c r="I1484" s="16">
        <f>MAX(1, NETWORKDAYS(A1484, G1484,Table2[Dias no laborales]))</f>
        <v>15</v>
      </c>
      <c r="J1484" s="6" t="str">
        <f>IF(Table1[[#This Row],[FIN]]="","Acumulado",IF(ISNUMBER(SEARCH("ASAP",C1484)),"ASAP",IF(NETWORKDAYS.INTL(F1484,G1484,1,Table2[Dias no laborales]) &lt;= 7, "Dentro", IF(A1484&gt;F1484,"Programado","Fuera"))))</f>
        <v>Fuera</v>
      </c>
      <c r="K1484" s="6" t="str">
        <f t="shared" si="48"/>
        <v>A tiempo</v>
      </c>
      <c r="L1484" s="8">
        <v>46049</v>
      </c>
      <c r="M1484" s="17">
        <f>MAX(1,NETWORKDAYS(A1484,L1484,Table2[Dias no laborales]))</f>
        <v>2</v>
      </c>
    </row>
    <row r="1485" spans="1:13" hidden="1" x14ac:dyDescent="0.3">
      <c r="A1485" s="8">
        <v>46048</v>
      </c>
      <c r="B1485" s="16" t="s">
        <v>2900</v>
      </c>
      <c r="C1485" s="6" t="s">
        <v>3022</v>
      </c>
      <c r="D1485" s="6" t="s">
        <v>24</v>
      </c>
      <c r="E1485" s="14">
        <v>46048.362500000003</v>
      </c>
      <c r="F1485" s="8">
        <f>IF(HOUR(Table1[[#This Row],[CORREO]])&gt;=11,WORKDAY(Table1[[#This Row],[CORREO]],1,Table2[Dias no laborales]),E1485)</f>
        <v>46048.362500000003</v>
      </c>
      <c r="G1485" s="8">
        <v>46057</v>
      </c>
      <c r="H1485" s="6">
        <f t="shared" si="47"/>
        <v>4</v>
      </c>
      <c r="I1485" s="16">
        <f>MAX(1, NETWORKDAYS(A1485, G1485,Table2[Dias no laborales]))</f>
        <v>7</v>
      </c>
      <c r="J1485" s="6" t="str">
        <f>IF(Table1[[#This Row],[FIN]]="","Acumulado",IF(ISNUMBER(SEARCH("ASAP",C1485)),"ASAP",IF(NETWORKDAYS.INTL(F1485,G1485,1,Table2[Dias no laborales]) &lt;= 7, "Dentro", IF(A1485&gt;F1485,"Programado","Fuera"))))</f>
        <v>Dentro</v>
      </c>
      <c r="K1485" s="6" t="str">
        <f t="shared" si="48"/>
        <v>A tiempo</v>
      </c>
      <c r="L1485" s="8">
        <v>46049</v>
      </c>
      <c r="M1485" s="17">
        <f>MAX(1,NETWORKDAYS(A1485,L1485,Table2[Dias no laborales]))</f>
        <v>2</v>
      </c>
    </row>
    <row r="1486" spans="1:13" hidden="1" x14ac:dyDescent="0.3">
      <c r="A1486" s="8">
        <v>46048</v>
      </c>
      <c r="B1486" s="16" t="s">
        <v>2901</v>
      </c>
      <c r="C1486" s="6" t="s">
        <v>3023</v>
      </c>
      <c r="D1486" s="6" t="s">
        <v>1840</v>
      </c>
      <c r="E1486" s="14">
        <v>46048.402777777781</v>
      </c>
      <c r="F1486" s="8">
        <f>IF(HOUR(Table1[[#This Row],[CORREO]])&gt;=11,WORKDAY(Table1[[#This Row],[CORREO]],1,Table2[Dias no laborales]),E1486)</f>
        <v>46048.402777777781</v>
      </c>
      <c r="G1486" s="8">
        <v>46048</v>
      </c>
      <c r="H1486" s="6">
        <f t="shared" ref="H1486:H1519" si="49">INT((A1486-DATE(YEAR(A1486),1,1))/7) + 1</f>
        <v>4</v>
      </c>
      <c r="I1486" s="16">
        <f>MAX(1, NETWORKDAYS(A1486, G1486,Table2[Dias no laborales]))</f>
        <v>1</v>
      </c>
      <c r="J1486" s="6" t="str">
        <f>IF(Table1[[#This Row],[FIN]]="","Acumulado",IF(ISNUMBER(SEARCH("ASAP",C1486)),"ASAP",IF(NETWORKDAYS.INTL(F1486,G1486,1,Table2[Dias no laborales]) &lt;= 7, "Dentro", IF(A1486&gt;F1486,"Programado","Fuera"))))</f>
        <v>Dentro</v>
      </c>
      <c r="K1486" s="6" t="str">
        <f t="shared" ref="K1486:K1519" si="50">IF(INT(A1486)=INT(F1486),"A tiempo", IF(A1486&lt;F1486,"Mismo día","Programados"))</f>
        <v>A tiempo</v>
      </c>
      <c r="L1486" s="8">
        <v>46048</v>
      </c>
      <c r="M1486" s="17">
        <f>MAX(1,NETWORKDAYS(A1486,L1486,Table2[Dias no laborales]))</f>
        <v>1</v>
      </c>
    </row>
    <row r="1487" spans="1:13" hidden="1" x14ac:dyDescent="0.3">
      <c r="A1487" s="8">
        <v>46048</v>
      </c>
      <c r="B1487" s="16" t="s">
        <v>2902</v>
      </c>
      <c r="C1487" s="6" t="s">
        <v>3024</v>
      </c>
      <c r="D1487" s="6" t="s">
        <v>24</v>
      </c>
      <c r="E1487" s="14">
        <v>46048.458333333336</v>
      </c>
      <c r="F1487" s="8">
        <f>IF(HOUR(Table1[[#This Row],[CORREO]])&gt;=11,WORKDAY(Table1[[#This Row],[CORREO]],1,Table2[Dias no laborales]),E1487)</f>
        <v>46049</v>
      </c>
      <c r="G1487" s="8">
        <v>46050</v>
      </c>
      <c r="H1487" s="6">
        <f t="shared" si="49"/>
        <v>4</v>
      </c>
      <c r="I1487" s="16">
        <f>MAX(1, NETWORKDAYS(A1487, G1487,Table2[Dias no laborales]))</f>
        <v>3</v>
      </c>
      <c r="J1487" s="6" t="str">
        <f>IF(Table1[[#This Row],[FIN]]="","Acumulado",IF(ISNUMBER(SEARCH("ASAP",C1487)),"ASAP",IF(NETWORKDAYS.INTL(F1487,G1487,1,Table2[Dias no laborales]) &lt;= 7, "Dentro", IF(A1487&gt;F1487,"Programado","Fuera"))))</f>
        <v>Dentro</v>
      </c>
      <c r="K1487" s="6" t="str">
        <f t="shared" si="50"/>
        <v>Mismo día</v>
      </c>
      <c r="L1487" s="8">
        <v>46048</v>
      </c>
      <c r="M1487" s="17">
        <f>MAX(1,NETWORKDAYS(A1487,L1487,Table2[Dias no laborales]))</f>
        <v>1</v>
      </c>
    </row>
    <row r="1488" spans="1:13" hidden="1" x14ac:dyDescent="0.3">
      <c r="A1488" s="8">
        <v>46048</v>
      </c>
      <c r="B1488" s="16" t="s">
        <v>2903</v>
      </c>
      <c r="C1488" s="6" t="s">
        <v>3025</v>
      </c>
      <c r="D1488" s="6" t="s">
        <v>586</v>
      </c>
      <c r="E1488" s="14">
        <v>46048.529861111114</v>
      </c>
      <c r="F1488" s="8">
        <f>IF(HOUR(Table1[[#This Row],[CORREO]])&gt;=11,WORKDAY(Table1[[#This Row],[CORREO]],1,Table2[Dias no laborales]),E1488)</f>
        <v>46049</v>
      </c>
      <c r="G1488" s="8">
        <v>46048</v>
      </c>
      <c r="H1488" s="6">
        <f t="shared" si="49"/>
        <v>4</v>
      </c>
      <c r="I1488" s="16">
        <f>MAX(1, NETWORKDAYS(A1488, G1488,Table2[Dias no laborales]))</f>
        <v>1</v>
      </c>
      <c r="J1488" s="6" t="str">
        <f>IF(Table1[[#This Row],[FIN]]="","Acumulado",IF(ISNUMBER(SEARCH("ASAP",C1488)),"ASAP",IF(NETWORKDAYS.INTL(F1488,G1488,1,Table2[Dias no laborales]) &lt;= 7, "Dentro", IF(A1488&gt;F1488,"Programado","Fuera"))))</f>
        <v>Dentro</v>
      </c>
      <c r="K1488" s="6" t="str">
        <f t="shared" si="50"/>
        <v>Mismo día</v>
      </c>
      <c r="L1488" s="8">
        <v>46048</v>
      </c>
      <c r="M1488" s="17">
        <f>MAX(1,NETWORKDAYS(A1488,L1488,Table2[Dias no laborales]))</f>
        <v>1</v>
      </c>
    </row>
    <row r="1489" spans="1:13" hidden="1" x14ac:dyDescent="0.3">
      <c r="A1489" s="8">
        <v>46048</v>
      </c>
      <c r="B1489" s="16" t="s">
        <v>2904</v>
      </c>
      <c r="C1489" s="6" t="s">
        <v>3026</v>
      </c>
      <c r="D1489" s="6" t="s">
        <v>27</v>
      </c>
      <c r="E1489" s="14">
        <v>46048.700694444444</v>
      </c>
      <c r="F1489" s="8">
        <f>IF(HOUR(Table1[[#This Row],[CORREO]])&gt;=11,WORKDAY(Table1[[#This Row],[CORREO]],1,Table2[Dias no laborales]),E1489)</f>
        <v>46049</v>
      </c>
      <c r="G1489" s="8">
        <v>46056</v>
      </c>
      <c r="H1489" s="6">
        <f t="shared" si="49"/>
        <v>4</v>
      </c>
      <c r="I1489" s="16">
        <f>MAX(1, NETWORKDAYS(A1489, G1489,Table2[Dias no laborales]))</f>
        <v>6</v>
      </c>
      <c r="J1489" s="6" t="str">
        <f>IF(Table1[[#This Row],[FIN]]="","Acumulado",IF(ISNUMBER(SEARCH("ASAP",C1489)),"ASAP",IF(NETWORKDAYS.INTL(F1489,G1489,1,Table2[Dias no laborales]) &lt;= 7, "Dentro", IF(A1489&gt;F1489,"Programado","Fuera"))))</f>
        <v>Dentro</v>
      </c>
      <c r="K1489" s="6" t="str">
        <f t="shared" si="50"/>
        <v>Mismo día</v>
      </c>
      <c r="L1489" s="8">
        <v>46049</v>
      </c>
      <c r="M1489" s="17">
        <f>MAX(1,NETWORKDAYS(A1489,L1489,Table2[Dias no laborales]))</f>
        <v>2</v>
      </c>
    </row>
    <row r="1490" spans="1:13" hidden="1" x14ac:dyDescent="0.3">
      <c r="A1490" s="8">
        <v>46049</v>
      </c>
      <c r="B1490" s="16" t="s">
        <v>2905</v>
      </c>
      <c r="C1490" s="6" t="s">
        <v>3027</v>
      </c>
      <c r="D1490" s="6" t="s">
        <v>504</v>
      </c>
      <c r="E1490" s="14">
        <v>46048.461111111108</v>
      </c>
      <c r="F1490" s="8">
        <f>IF(HOUR(Table1[[#This Row],[CORREO]])&gt;=11,WORKDAY(Table1[[#This Row],[CORREO]],1,Table2[Dias no laborales]),E1490)</f>
        <v>46049</v>
      </c>
      <c r="G1490" s="8">
        <v>46084</v>
      </c>
      <c r="H1490" s="6">
        <f t="shared" si="49"/>
        <v>4</v>
      </c>
      <c r="I1490" s="16">
        <f>MAX(1, NETWORKDAYS(A1490, G1490,Table2[Dias no laborales]))</f>
        <v>25</v>
      </c>
      <c r="J1490" s="6" t="str">
        <f>IF(Table1[[#This Row],[FIN]]="","Acumulado",IF(ISNUMBER(SEARCH("ASAP",C1490)),"ASAP",IF(NETWORKDAYS.INTL(F1490,G1490,1,Table2[Dias no laborales]) &lt;= 7, "Dentro", IF(A1490&gt;F1490,"Programado","Fuera"))))</f>
        <v>Fuera</v>
      </c>
      <c r="K1490" s="6" t="str">
        <f t="shared" si="50"/>
        <v>A tiempo</v>
      </c>
      <c r="L1490" s="8">
        <v>46049</v>
      </c>
      <c r="M1490" s="17">
        <f>MAX(1,NETWORKDAYS(A1490,L1490,Table2[Dias no laborales]))</f>
        <v>1</v>
      </c>
    </row>
    <row r="1491" spans="1:13" hidden="1" x14ac:dyDescent="0.3">
      <c r="A1491" s="8">
        <v>46049</v>
      </c>
      <c r="B1491" s="16" t="s">
        <v>2906</v>
      </c>
      <c r="C1491" s="6" t="s">
        <v>3028</v>
      </c>
      <c r="D1491" s="6" t="s">
        <v>24</v>
      </c>
      <c r="E1491" s="14">
        <v>46048.586111111108</v>
      </c>
      <c r="F1491" s="8">
        <f>IF(HOUR(Table1[[#This Row],[CORREO]])&gt;=11,WORKDAY(Table1[[#This Row],[CORREO]],1,Table2[Dias no laborales]),E1491)</f>
        <v>46049</v>
      </c>
      <c r="G1491" s="8">
        <v>46056</v>
      </c>
      <c r="H1491" s="6">
        <f t="shared" si="49"/>
        <v>4</v>
      </c>
      <c r="I1491" s="16">
        <f>MAX(1, NETWORKDAYS(A1491, G1491,Table2[Dias no laborales]))</f>
        <v>5</v>
      </c>
      <c r="J1491" s="6" t="str">
        <f>IF(Table1[[#This Row],[FIN]]="","Acumulado",IF(ISNUMBER(SEARCH("ASAP",C1491)),"ASAP",IF(NETWORKDAYS.INTL(F1491,G1491,1,Table2[Dias no laborales]) &lt;= 7, "Dentro", IF(A1491&gt;F1491,"Programado","Fuera"))))</f>
        <v>Dentro</v>
      </c>
      <c r="K1491" s="6" t="str">
        <f t="shared" si="50"/>
        <v>A tiempo</v>
      </c>
      <c r="L1491" s="8">
        <v>46049</v>
      </c>
      <c r="M1491" s="17">
        <f>MAX(1,NETWORKDAYS(A1491,L1491,Table2[Dias no laborales]))</f>
        <v>1</v>
      </c>
    </row>
    <row r="1492" spans="1:13" hidden="1" x14ac:dyDescent="0.3">
      <c r="A1492" s="8">
        <v>46049</v>
      </c>
      <c r="B1492" s="16" t="s">
        <v>2907</v>
      </c>
      <c r="C1492" s="6" t="s">
        <v>3029</v>
      </c>
      <c r="D1492" s="6" t="s">
        <v>53</v>
      </c>
      <c r="E1492" s="14">
        <v>46048.662499999999</v>
      </c>
      <c r="F1492" s="8">
        <f>IF(HOUR(Table1[[#This Row],[CORREO]])&gt;=11,WORKDAY(Table1[[#This Row],[CORREO]],1,Table2[Dias no laborales]),E1492)</f>
        <v>46049</v>
      </c>
      <c r="G1492" s="8">
        <v>46051</v>
      </c>
      <c r="H1492" s="6">
        <f t="shared" si="49"/>
        <v>4</v>
      </c>
      <c r="I1492" s="16">
        <f>MAX(1, NETWORKDAYS(A1492, G1492,Table2[Dias no laborales]))</f>
        <v>3</v>
      </c>
      <c r="J1492" s="6" t="str">
        <f>IF(Table1[[#This Row],[FIN]]="","Acumulado",IF(ISNUMBER(SEARCH("ASAP",C1492)),"ASAP",IF(NETWORKDAYS.INTL(F1492,G1492,1,Table2[Dias no laborales]) &lt;= 7, "Dentro", IF(A1492&gt;F1492,"Programado","Fuera"))))</f>
        <v>Dentro</v>
      </c>
      <c r="K1492" s="6" t="str">
        <f t="shared" si="50"/>
        <v>A tiempo</v>
      </c>
      <c r="L1492" s="8">
        <v>46049</v>
      </c>
      <c r="M1492" s="17">
        <f>MAX(1,NETWORKDAYS(A1492,L1492,Table2[Dias no laborales]))</f>
        <v>1</v>
      </c>
    </row>
    <row r="1493" spans="1:13" hidden="1" x14ac:dyDescent="0.3">
      <c r="A1493" s="8">
        <v>46049</v>
      </c>
      <c r="B1493" s="16" t="s">
        <v>2908</v>
      </c>
      <c r="C1493" s="6" t="s">
        <v>3030</v>
      </c>
      <c r="D1493" s="6" t="s">
        <v>24</v>
      </c>
      <c r="E1493" s="14">
        <v>46048.71875</v>
      </c>
      <c r="F1493" s="8">
        <f>IF(HOUR(Table1[[#This Row],[CORREO]])&gt;=11,WORKDAY(Table1[[#This Row],[CORREO]],1,Table2[Dias no laborales]),E1493)</f>
        <v>46049</v>
      </c>
      <c r="G1493" s="8">
        <v>46050</v>
      </c>
      <c r="H1493" s="6">
        <f t="shared" si="49"/>
        <v>4</v>
      </c>
      <c r="I1493" s="16">
        <f>MAX(1, NETWORKDAYS(A1493, G1493,Table2[Dias no laborales]))</f>
        <v>2</v>
      </c>
      <c r="J1493" s="6" t="str">
        <f>IF(Table1[[#This Row],[FIN]]="","Acumulado",IF(ISNUMBER(SEARCH("ASAP",C1493)),"ASAP",IF(NETWORKDAYS.INTL(F1493,G1493,1,Table2[Dias no laborales]) &lt;= 7, "Dentro", IF(A1493&gt;F1493,"Programado","Fuera"))))</f>
        <v>ASAP</v>
      </c>
      <c r="K1493" s="6" t="str">
        <f t="shared" si="50"/>
        <v>A tiempo</v>
      </c>
      <c r="L1493" s="8">
        <v>46049</v>
      </c>
      <c r="M1493" s="17">
        <f>MAX(1,NETWORKDAYS(A1493,L1493,Table2[Dias no laborales]))</f>
        <v>1</v>
      </c>
    </row>
    <row r="1494" spans="1:13" hidden="1" x14ac:dyDescent="0.3">
      <c r="A1494" s="8">
        <v>46049</v>
      </c>
      <c r="B1494" s="16" t="s">
        <v>2909</v>
      </c>
      <c r="C1494" s="6" t="s">
        <v>3031</v>
      </c>
      <c r="D1494" s="6" t="s">
        <v>139</v>
      </c>
      <c r="E1494" s="14">
        <v>46049.349305555559</v>
      </c>
      <c r="F1494" s="8">
        <f>IF(HOUR(Table1[[#This Row],[CORREO]])&gt;=11,WORKDAY(Table1[[#This Row],[CORREO]],1,Table2[Dias no laborales]),E1494)</f>
        <v>46049.349305555559</v>
      </c>
      <c r="G1494" s="8">
        <v>46050</v>
      </c>
      <c r="H1494" s="6">
        <f t="shared" si="49"/>
        <v>4</v>
      </c>
      <c r="I1494" s="16">
        <f>MAX(1, NETWORKDAYS(A1494, G1494,Table2[Dias no laborales]))</f>
        <v>2</v>
      </c>
      <c r="J1494" s="6" t="str">
        <f>IF(Table1[[#This Row],[FIN]]="","Acumulado",IF(ISNUMBER(SEARCH("ASAP",C1494)),"ASAP",IF(NETWORKDAYS.INTL(F1494,G1494,1,Table2[Dias no laborales]) &lt;= 7, "Dentro", IF(A1494&gt;F1494,"Programado","Fuera"))))</f>
        <v>Dentro</v>
      </c>
      <c r="K1494" s="6" t="str">
        <f t="shared" si="50"/>
        <v>A tiempo</v>
      </c>
      <c r="L1494" s="8">
        <v>46049</v>
      </c>
      <c r="M1494" s="17">
        <f>MAX(1,NETWORKDAYS(A1494,L1494,Table2[Dias no laborales]))</f>
        <v>1</v>
      </c>
    </row>
    <row r="1495" spans="1:13" hidden="1" x14ac:dyDescent="0.3">
      <c r="A1495" s="8">
        <v>46049</v>
      </c>
      <c r="B1495" s="16" t="s">
        <v>2910</v>
      </c>
      <c r="C1495" s="6" t="s">
        <v>3032</v>
      </c>
      <c r="D1495" s="6" t="s">
        <v>308</v>
      </c>
      <c r="E1495" s="14">
        <v>46049.381249999999</v>
      </c>
      <c r="F1495" s="8">
        <f>IF(HOUR(Table1[[#This Row],[CORREO]])&gt;=11,WORKDAY(Table1[[#This Row],[CORREO]],1,Table2[Dias no laborales]),E1495)</f>
        <v>46049.381249999999</v>
      </c>
      <c r="G1495" s="8">
        <v>46050</v>
      </c>
      <c r="H1495" s="6">
        <f t="shared" si="49"/>
        <v>4</v>
      </c>
      <c r="I1495" s="16">
        <f>MAX(1, NETWORKDAYS(A1495, G1495,Table2[Dias no laborales]))</f>
        <v>2</v>
      </c>
      <c r="J1495" s="6" t="str">
        <f>IF(Table1[[#This Row],[FIN]]="","Acumulado",IF(ISNUMBER(SEARCH("ASAP",C1495)),"ASAP",IF(NETWORKDAYS.INTL(F1495,G1495,1,Table2[Dias no laborales]) &lt;= 7, "Dentro", IF(A1495&gt;F1495,"Programado","Fuera"))))</f>
        <v>Dentro</v>
      </c>
      <c r="K1495" s="6" t="str">
        <f t="shared" si="50"/>
        <v>A tiempo</v>
      </c>
      <c r="L1495" s="8">
        <v>46050</v>
      </c>
      <c r="M1495" s="17">
        <f>MAX(1,NETWORKDAYS(A1495,L1495,Table2[Dias no laborales]))</f>
        <v>2</v>
      </c>
    </row>
    <row r="1496" spans="1:13" hidden="1" x14ac:dyDescent="0.3">
      <c r="A1496" s="8">
        <v>46049</v>
      </c>
      <c r="B1496" s="16" t="s">
        <v>2911</v>
      </c>
      <c r="C1496" s="6" t="s">
        <v>3033</v>
      </c>
      <c r="D1496" s="6" t="s">
        <v>538</v>
      </c>
      <c r="E1496" s="14">
        <v>46049.415277777778</v>
      </c>
      <c r="F1496" s="8">
        <f>IF(HOUR(Table1[[#This Row],[CORREO]])&gt;=11,WORKDAY(Table1[[#This Row],[CORREO]],1,Table2[Dias no laborales]),E1496)</f>
        <v>46049.415277777778</v>
      </c>
      <c r="G1496" s="8">
        <v>46056</v>
      </c>
      <c r="H1496" s="6">
        <f t="shared" si="49"/>
        <v>4</v>
      </c>
      <c r="I1496" s="16">
        <f>MAX(1, NETWORKDAYS(A1496, G1496,Table2[Dias no laborales]))</f>
        <v>5</v>
      </c>
      <c r="J1496" s="6" t="str">
        <f>IF(Table1[[#This Row],[FIN]]="","Acumulado",IF(ISNUMBER(SEARCH("ASAP",C1496)),"ASAP",IF(NETWORKDAYS.INTL(F1496,G1496,1,Table2[Dias no laborales]) &lt;= 7, "Dentro", IF(A1496&gt;F1496,"Programado","Fuera"))))</f>
        <v>Dentro</v>
      </c>
      <c r="K1496" s="6" t="str">
        <f t="shared" si="50"/>
        <v>A tiempo</v>
      </c>
      <c r="L1496" s="8">
        <v>46049</v>
      </c>
      <c r="M1496" s="17">
        <f>MAX(1,NETWORKDAYS(A1496,L1496,Table2[Dias no laborales]))</f>
        <v>1</v>
      </c>
    </row>
    <row r="1497" spans="1:13" hidden="1" x14ac:dyDescent="0.3">
      <c r="A1497" s="8">
        <v>46049</v>
      </c>
      <c r="B1497" s="16" t="s">
        <v>2912</v>
      </c>
      <c r="C1497" s="6" t="s">
        <v>3034</v>
      </c>
      <c r="D1497" s="6" t="s">
        <v>27</v>
      </c>
      <c r="E1497" s="14">
        <v>46049.417361111111</v>
      </c>
      <c r="F1497" s="8">
        <f>IF(HOUR(Table1[[#This Row],[CORREO]])&gt;=11,WORKDAY(Table1[[#This Row],[CORREO]],1,Table2[Dias no laborales]),E1497)</f>
        <v>46049.417361111111</v>
      </c>
      <c r="G1497" s="8">
        <v>46059</v>
      </c>
      <c r="H1497" s="6">
        <f t="shared" si="49"/>
        <v>4</v>
      </c>
      <c r="I1497" s="16">
        <f>MAX(1, NETWORKDAYS(A1497, G1497,Table2[Dias no laborales]))</f>
        <v>8</v>
      </c>
      <c r="J1497" s="6" t="str">
        <f>IF(Table1[[#This Row],[FIN]]="","Acumulado",IF(ISNUMBER(SEARCH("ASAP",C1497)),"ASAP",IF(NETWORKDAYS.INTL(F1497,G1497,1,Table2[Dias no laborales]) &lt;= 7, "Dentro", IF(A1497&gt;F1497,"Programado","Fuera"))))</f>
        <v>Fuera</v>
      </c>
      <c r="K1497" s="6" t="str">
        <f t="shared" si="50"/>
        <v>A tiempo</v>
      </c>
      <c r="L1497" s="8">
        <v>46049</v>
      </c>
      <c r="M1497" s="17">
        <f>MAX(1,NETWORKDAYS(A1497,L1497,Table2[Dias no laborales]))</f>
        <v>1</v>
      </c>
    </row>
    <row r="1498" spans="1:13" hidden="1" x14ac:dyDescent="0.3">
      <c r="A1498" s="8">
        <v>46049</v>
      </c>
      <c r="B1498" s="16" t="s">
        <v>2913</v>
      </c>
      <c r="C1498" s="6" t="s">
        <v>3035</v>
      </c>
      <c r="D1498" s="6" t="s">
        <v>3036</v>
      </c>
      <c r="E1498" s="14">
        <v>46049.431250000001</v>
      </c>
      <c r="F1498" s="8">
        <f>IF(HOUR(Table1[[#This Row],[CORREO]])&gt;=11,WORKDAY(Table1[[#This Row],[CORREO]],1,Table2[Dias no laborales]),E1498)</f>
        <v>46049.431250000001</v>
      </c>
      <c r="G1498" s="8">
        <v>46052</v>
      </c>
      <c r="H1498" s="6">
        <f t="shared" si="49"/>
        <v>4</v>
      </c>
      <c r="I1498" s="16">
        <f>MAX(1, NETWORKDAYS(A1498, G1498,Table2[Dias no laborales]))</f>
        <v>4</v>
      </c>
      <c r="J1498" s="6" t="str">
        <f>IF(Table1[[#This Row],[FIN]]="","Acumulado",IF(ISNUMBER(SEARCH("ASAP",C1498)),"ASAP",IF(NETWORKDAYS.INTL(F1498,G1498,1,Table2[Dias no laborales]) &lt;= 7, "Dentro", IF(A1498&gt;F1498,"Programado","Fuera"))))</f>
        <v>Dentro</v>
      </c>
      <c r="K1498" s="6" t="str">
        <f t="shared" si="50"/>
        <v>A tiempo</v>
      </c>
      <c r="L1498" s="8">
        <v>46049</v>
      </c>
      <c r="M1498" s="17">
        <f>MAX(1,NETWORKDAYS(A1498,L1498,Table2[Dias no laborales]))</f>
        <v>1</v>
      </c>
    </row>
    <row r="1499" spans="1:13" hidden="1" x14ac:dyDescent="0.3">
      <c r="A1499" s="8">
        <v>46050</v>
      </c>
      <c r="B1499" s="16" t="s">
        <v>2914</v>
      </c>
      <c r="C1499" s="6" t="s">
        <v>3037</v>
      </c>
      <c r="D1499" s="6" t="s">
        <v>1726</v>
      </c>
      <c r="E1499" s="14"/>
      <c r="F1499" s="8">
        <f>IF(HOUR(Table1[[#This Row],[CORREO]])&gt;=11,WORKDAY(Table1[[#This Row],[CORREO]],1,Table2[Dias no laborales]),E1499)</f>
        <v>0</v>
      </c>
      <c r="G1499" s="8">
        <v>46094</v>
      </c>
      <c r="H1499" s="6">
        <f t="shared" si="49"/>
        <v>4</v>
      </c>
      <c r="I1499" s="16">
        <f>MAX(1, NETWORKDAYS(A1499, G1499,Table2[Dias no laborales]))</f>
        <v>32</v>
      </c>
      <c r="J1499" s="6" t="str">
        <f>IF(Table1[[#This Row],[FIN]]="","Acumulado",IF(ISNUMBER(SEARCH("ASAP",C1499)),"ASAP",IF(NETWORKDAYS.INTL(F1499,G1499,1,Table2[Dias no laborales]) &lt;= 7, "Dentro", IF(A1499&gt;F1499,"Programado","Fuera"))))</f>
        <v>Programado</v>
      </c>
      <c r="K1499" s="6" t="str">
        <f t="shared" si="50"/>
        <v>Programados</v>
      </c>
      <c r="L1499" s="8">
        <v>46050</v>
      </c>
      <c r="M1499" s="17">
        <f>MAX(1,NETWORKDAYS(A1499,L1499,Table2[Dias no laborales]))</f>
        <v>1</v>
      </c>
    </row>
    <row r="1500" spans="1:13" hidden="1" x14ac:dyDescent="0.3">
      <c r="A1500" s="8">
        <v>46050</v>
      </c>
      <c r="B1500" s="16" t="s">
        <v>2915</v>
      </c>
      <c r="C1500" s="6" t="s">
        <v>3038</v>
      </c>
      <c r="D1500" s="6" t="s">
        <v>3039</v>
      </c>
      <c r="E1500" s="14"/>
      <c r="F1500" s="8">
        <f>IF(HOUR(Table1[[#This Row],[CORREO]])&gt;=11,WORKDAY(Table1[[#This Row],[CORREO]],1,Table2[Dias no laborales]),E1500)</f>
        <v>0</v>
      </c>
      <c r="G1500" s="8">
        <v>46052</v>
      </c>
      <c r="H1500" s="6">
        <f t="shared" si="49"/>
        <v>4</v>
      </c>
      <c r="I1500" s="16">
        <f>MAX(1, NETWORKDAYS(A1500, G1500,Table2[Dias no laborales]))</f>
        <v>3</v>
      </c>
      <c r="J1500" s="6" t="str">
        <f>IF(Table1[[#This Row],[FIN]]="","Acumulado",IF(ISNUMBER(SEARCH("ASAP",C1500)),"ASAP",IF(NETWORKDAYS.INTL(F1500,G1500,1,Table2[Dias no laborales]) &lt;= 7, "Dentro", IF(A1500&gt;F1500,"Programado","Fuera"))))</f>
        <v>Programado</v>
      </c>
      <c r="K1500" s="6" t="str">
        <f t="shared" si="50"/>
        <v>Programados</v>
      </c>
      <c r="L1500" s="8">
        <v>46050</v>
      </c>
      <c r="M1500" s="17">
        <f>MAX(1,NETWORKDAYS(A1500,L1500,Table2[Dias no laborales]))</f>
        <v>1</v>
      </c>
    </row>
    <row r="1501" spans="1:13" hidden="1" x14ac:dyDescent="0.3">
      <c r="A1501" s="8">
        <v>46050</v>
      </c>
      <c r="B1501" s="16" t="s">
        <v>2916</v>
      </c>
      <c r="C1501" s="6" t="s">
        <v>3040</v>
      </c>
      <c r="D1501" s="6" t="s">
        <v>3041</v>
      </c>
      <c r="E1501" s="14"/>
      <c r="F1501" s="8">
        <f>IF(HOUR(Table1[[#This Row],[CORREO]])&gt;=11,WORKDAY(Table1[[#This Row],[CORREO]],1,Table2[Dias no laborales]),E1501)</f>
        <v>0</v>
      </c>
      <c r="G1501" s="8">
        <v>46051</v>
      </c>
      <c r="H1501" s="6">
        <f t="shared" si="49"/>
        <v>4</v>
      </c>
      <c r="I1501" s="16">
        <f>MAX(1, NETWORKDAYS(A1501, G1501,Table2[Dias no laborales]))</f>
        <v>2</v>
      </c>
      <c r="J1501" s="6" t="str">
        <f>IF(Table1[[#This Row],[FIN]]="","Acumulado",IF(ISNUMBER(SEARCH("ASAP",C1501)),"ASAP",IF(NETWORKDAYS.INTL(F1501,G1501,1,Table2[Dias no laborales]) &lt;= 7, "Dentro", IF(A1501&gt;F1501,"Programado","Fuera"))))</f>
        <v>Programado</v>
      </c>
      <c r="K1501" s="6" t="str">
        <f t="shared" si="50"/>
        <v>Programados</v>
      </c>
      <c r="L1501" s="8">
        <v>46050</v>
      </c>
      <c r="M1501" s="17">
        <f>MAX(1,NETWORKDAYS(A1501,L1501,Table2[Dias no laborales]))</f>
        <v>1</v>
      </c>
    </row>
    <row r="1502" spans="1:13" hidden="1" x14ac:dyDescent="0.3">
      <c r="A1502" s="8">
        <v>46050</v>
      </c>
      <c r="B1502" s="16" t="s">
        <v>2917</v>
      </c>
      <c r="C1502" s="6" t="s">
        <v>2774</v>
      </c>
      <c r="D1502" s="6" t="s">
        <v>517</v>
      </c>
      <c r="E1502" s="14">
        <v>46049.643750000003</v>
      </c>
      <c r="F1502" s="8">
        <f>IF(HOUR(Table1[[#This Row],[CORREO]])&gt;=11,WORKDAY(Table1[[#This Row],[CORREO]],1,Table2[Dias no laborales]),E1502)</f>
        <v>46050</v>
      </c>
      <c r="G1502" s="8">
        <v>46050</v>
      </c>
      <c r="H1502" s="6">
        <f t="shared" si="49"/>
        <v>4</v>
      </c>
      <c r="I1502" s="16">
        <f>MAX(1, NETWORKDAYS(A1502, G1502,Table2[Dias no laborales]))</f>
        <v>1</v>
      </c>
      <c r="J1502" s="6" t="str">
        <f>IF(Table1[[#This Row],[FIN]]="","Acumulado",IF(ISNUMBER(SEARCH("ASAP",C1502)),"ASAP",IF(NETWORKDAYS.INTL(F1502,G1502,1,Table2[Dias no laborales]) &lt;= 7, "Dentro", IF(A1502&gt;F1502,"Programado","Fuera"))))</f>
        <v>Dentro</v>
      </c>
      <c r="K1502" s="6" t="str">
        <f t="shared" si="50"/>
        <v>A tiempo</v>
      </c>
      <c r="L1502" s="8">
        <v>46050</v>
      </c>
      <c r="M1502" s="17">
        <f>MAX(1,NETWORKDAYS(A1502,L1502,Table2[Dias no laborales]))</f>
        <v>1</v>
      </c>
    </row>
    <row r="1503" spans="1:13" hidden="1" x14ac:dyDescent="0.3">
      <c r="A1503" s="8">
        <v>46050</v>
      </c>
      <c r="B1503" s="16" t="s">
        <v>2918</v>
      </c>
      <c r="C1503" s="6" t="s">
        <v>3042</v>
      </c>
      <c r="D1503" s="6" t="s">
        <v>238</v>
      </c>
      <c r="E1503" s="14">
        <v>46050.349305555559</v>
      </c>
      <c r="F1503" s="8">
        <f>IF(HOUR(Table1[[#This Row],[CORREO]])&gt;=11,WORKDAY(Table1[[#This Row],[CORREO]],1,Table2[Dias no laborales]),E1503)</f>
        <v>46050.349305555559</v>
      </c>
      <c r="G1503" s="8">
        <v>46050</v>
      </c>
      <c r="H1503" s="6">
        <f t="shared" si="49"/>
        <v>4</v>
      </c>
      <c r="I1503" s="16">
        <f>MAX(1, NETWORKDAYS(A1503, G1503,Table2[Dias no laborales]))</f>
        <v>1</v>
      </c>
      <c r="J1503" s="6" t="str">
        <f>IF(Table1[[#This Row],[FIN]]="","Acumulado",IF(ISNUMBER(SEARCH("ASAP",C1503)),"ASAP",IF(NETWORKDAYS.INTL(F1503,G1503,1,Table2[Dias no laborales]) &lt;= 7, "Dentro", IF(A1503&gt;F1503,"Programado","Fuera"))))</f>
        <v>Dentro</v>
      </c>
      <c r="K1503" s="6" t="str">
        <f t="shared" si="50"/>
        <v>A tiempo</v>
      </c>
      <c r="L1503" s="8">
        <v>46050</v>
      </c>
      <c r="M1503" s="17">
        <f>MAX(1,NETWORKDAYS(A1503,L1503,Table2[Dias no laborales]))</f>
        <v>1</v>
      </c>
    </row>
    <row r="1504" spans="1:13" hidden="1" x14ac:dyDescent="0.3">
      <c r="A1504" s="8">
        <v>46050</v>
      </c>
      <c r="B1504" s="16" t="s">
        <v>2919</v>
      </c>
      <c r="C1504" s="6" t="s">
        <v>3043</v>
      </c>
      <c r="D1504" s="6" t="s">
        <v>3020</v>
      </c>
      <c r="E1504" s="14">
        <v>46050.365972222222</v>
      </c>
      <c r="F1504" s="8">
        <f>IF(HOUR(Table1[[#This Row],[CORREO]])&gt;=11,WORKDAY(Table1[[#This Row],[CORREO]],1,Table2[Dias no laborales]),E1504)</f>
        <v>46050.365972222222</v>
      </c>
      <c r="G1504" s="8">
        <v>46051</v>
      </c>
      <c r="H1504" s="6">
        <f t="shared" si="49"/>
        <v>4</v>
      </c>
      <c r="I1504" s="16">
        <f>MAX(1, NETWORKDAYS(A1504, G1504,Table2[Dias no laborales]))</f>
        <v>2</v>
      </c>
      <c r="J1504" s="6" t="str">
        <f>IF(Table1[[#This Row],[FIN]]="","Acumulado",IF(ISNUMBER(SEARCH("ASAP",C1504)),"ASAP",IF(NETWORKDAYS.INTL(F1504,G1504,1,Table2[Dias no laborales]) &lt;= 7, "Dentro", IF(A1504&gt;F1504,"Programado","Fuera"))))</f>
        <v>Dentro</v>
      </c>
      <c r="K1504" s="6" t="str">
        <f t="shared" si="50"/>
        <v>A tiempo</v>
      </c>
      <c r="L1504" s="8">
        <v>46050</v>
      </c>
      <c r="M1504" s="17">
        <f>MAX(1,NETWORKDAYS(A1504,L1504,Table2[Dias no laborales]))</f>
        <v>1</v>
      </c>
    </row>
    <row r="1505" spans="1:13" hidden="1" x14ac:dyDescent="0.3">
      <c r="A1505" s="8">
        <v>46050</v>
      </c>
      <c r="B1505" s="16" t="s">
        <v>2920</v>
      </c>
      <c r="C1505" s="6" t="s">
        <v>3044</v>
      </c>
      <c r="D1505" s="6" t="s">
        <v>538</v>
      </c>
      <c r="E1505" s="14">
        <v>46050.368750000001</v>
      </c>
      <c r="F1505" s="8">
        <f>IF(HOUR(Table1[[#This Row],[CORREO]])&gt;=11,WORKDAY(Table1[[#This Row],[CORREO]],1,Table2[Dias no laborales]),E1505)</f>
        <v>46050.368750000001</v>
      </c>
      <c r="G1505" s="8">
        <v>46051</v>
      </c>
      <c r="H1505" s="6">
        <f t="shared" si="49"/>
        <v>4</v>
      </c>
      <c r="I1505" s="16">
        <f>MAX(1, NETWORKDAYS(A1505, G1505,Table2[Dias no laborales]))</f>
        <v>2</v>
      </c>
      <c r="J1505" s="6" t="str">
        <f>IF(Table1[[#This Row],[FIN]]="","Acumulado",IF(ISNUMBER(SEARCH("ASAP",C1505)),"ASAP",IF(NETWORKDAYS.INTL(F1505,G1505,1,Table2[Dias no laborales]) &lt;= 7, "Dentro", IF(A1505&gt;F1505,"Programado","Fuera"))))</f>
        <v>Dentro</v>
      </c>
      <c r="K1505" s="6" t="str">
        <f t="shared" si="50"/>
        <v>A tiempo</v>
      </c>
      <c r="L1505" s="8">
        <v>46050</v>
      </c>
      <c r="M1505" s="17">
        <f>MAX(1,NETWORKDAYS(A1505,L1505,Table2[Dias no laborales]))</f>
        <v>1</v>
      </c>
    </row>
    <row r="1506" spans="1:13" hidden="1" x14ac:dyDescent="0.3">
      <c r="A1506" s="8">
        <v>46050</v>
      </c>
      <c r="B1506" s="16" t="s">
        <v>2921</v>
      </c>
      <c r="C1506" s="6" t="s">
        <v>3045</v>
      </c>
      <c r="D1506" s="6" t="s">
        <v>406</v>
      </c>
      <c r="E1506" s="14">
        <v>46050.37777777778</v>
      </c>
      <c r="F1506" s="8">
        <f>IF(HOUR(Table1[[#This Row],[CORREO]])&gt;=11,WORKDAY(Table1[[#This Row],[CORREO]],1,Table2[Dias no laborales]),E1506)</f>
        <v>46050.37777777778</v>
      </c>
      <c r="G1506" s="8">
        <v>46051</v>
      </c>
      <c r="H1506" s="6">
        <f t="shared" si="49"/>
        <v>4</v>
      </c>
      <c r="I1506" s="16">
        <f>MAX(1, NETWORKDAYS(A1506, G1506,Table2[Dias no laborales]))</f>
        <v>2</v>
      </c>
      <c r="J1506" s="6" t="str">
        <f>IF(Table1[[#This Row],[FIN]]="","Acumulado",IF(ISNUMBER(SEARCH("ASAP",C1506)),"ASAP",IF(NETWORKDAYS.INTL(F1506,G1506,1,Table2[Dias no laborales]) &lt;= 7, "Dentro", IF(A1506&gt;F1506,"Programado","Fuera"))))</f>
        <v>Dentro</v>
      </c>
      <c r="K1506" s="6" t="str">
        <f t="shared" si="50"/>
        <v>A tiempo</v>
      </c>
      <c r="L1506" s="8">
        <v>46050</v>
      </c>
      <c r="M1506" s="17">
        <f>MAX(1,NETWORKDAYS(A1506,L1506,Table2[Dias no laborales]))</f>
        <v>1</v>
      </c>
    </row>
    <row r="1507" spans="1:13" hidden="1" x14ac:dyDescent="0.3">
      <c r="A1507" s="8">
        <v>46050</v>
      </c>
      <c r="B1507" s="16" t="s">
        <v>2922</v>
      </c>
      <c r="C1507" s="6" t="s">
        <v>3046</v>
      </c>
      <c r="D1507" s="6" t="s">
        <v>623</v>
      </c>
      <c r="E1507" s="14">
        <v>46050.396527777775</v>
      </c>
      <c r="F1507" s="8">
        <f>IF(HOUR(Table1[[#This Row],[CORREO]])&gt;=11,WORKDAY(Table1[[#This Row],[CORREO]],1,Table2[Dias no laborales]),E1507)</f>
        <v>46050.396527777775</v>
      </c>
      <c r="G1507" s="8">
        <v>46056</v>
      </c>
      <c r="H1507" s="6">
        <f t="shared" si="49"/>
        <v>4</v>
      </c>
      <c r="I1507" s="16">
        <f>MAX(1, NETWORKDAYS(A1507, G1507,Table2[Dias no laborales]))</f>
        <v>4</v>
      </c>
      <c r="J1507" s="6" t="str">
        <f>IF(Table1[[#This Row],[FIN]]="","Acumulado",IF(ISNUMBER(SEARCH("ASAP",C1507)),"ASAP",IF(NETWORKDAYS.INTL(F1507,G1507,1,Table2[Dias no laborales]) &lt;= 7, "Dentro", IF(A1507&gt;F1507,"Programado","Fuera"))))</f>
        <v>Dentro</v>
      </c>
      <c r="K1507" s="6" t="str">
        <f t="shared" si="50"/>
        <v>A tiempo</v>
      </c>
      <c r="L1507" s="8">
        <v>46050</v>
      </c>
      <c r="M1507" s="17">
        <f>MAX(1,NETWORKDAYS(A1507,L1507,Table2[Dias no laborales]))</f>
        <v>1</v>
      </c>
    </row>
    <row r="1508" spans="1:13" hidden="1" x14ac:dyDescent="0.3">
      <c r="A1508" s="8">
        <v>46050</v>
      </c>
      <c r="B1508" s="16" t="s">
        <v>2923</v>
      </c>
      <c r="C1508" s="6" t="s">
        <v>3047</v>
      </c>
      <c r="D1508" s="6" t="s">
        <v>3048</v>
      </c>
      <c r="E1508" s="14">
        <v>46050.447222222225</v>
      </c>
      <c r="F1508" s="8">
        <f>IF(HOUR(Table1[[#This Row],[CORREO]])&gt;=11,WORKDAY(Table1[[#This Row],[CORREO]],1,Table2[Dias no laborales]),E1508)</f>
        <v>46050.447222222225</v>
      </c>
      <c r="G1508" s="8">
        <v>46052</v>
      </c>
      <c r="H1508" s="6">
        <f t="shared" si="49"/>
        <v>4</v>
      </c>
      <c r="I1508" s="16">
        <f>MAX(1, NETWORKDAYS(A1508, G1508,Table2[Dias no laborales]))</f>
        <v>3</v>
      </c>
      <c r="J1508" s="6" t="str">
        <f>IF(Table1[[#This Row],[FIN]]="","Acumulado",IF(ISNUMBER(SEARCH("ASAP",C1508)),"ASAP",IF(NETWORKDAYS.INTL(F1508,G1508,1,Table2[Dias no laborales]) &lt;= 7, "Dentro", IF(A1508&gt;F1508,"Programado","Fuera"))))</f>
        <v>Dentro</v>
      </c>
      <c r="K1508" s="6" t="str">
        <f t="shared" si="50"/>
        <v>A tiempo</v>
      </c>
      <c r="L1508" s="8">
        <v>46050</v>
      </c>
      <c r="M1508" s="17">
        <f>MAX(1,NETWORKDAYS(A1508,L1508,Table2[Dias no laborales]))</f>
        <v>1</v>
      </c>
    </row>
    <row r="1509" spans="1:13" hidden="1" x14ac:dyDescent="0.3">
      <c r="A1509" s="8">
        <v>46050</v>
      </c>
      <c r="B1509" s="16" t="s">
        <v>2924</v>
      </c>
      <c r="C1509" s="6" t="s">
        <v>2655</v>
      </c>
      <c r="D1509" s="6" t="s">
        <v>24</v>
      </c>
      <c r="E1509" s="14"/>
      <c r="F1509" s="8">
        <f>IF(HOUR(Table1[[#This Row],[CORREO]])&gt;=11,WORKDAY(Table1[[#This Row],[CORREO]],1,Table2[Dias no laborales]),E1509)</f>
        <v>0</v>
      </c>
      <c r="G1509" s="8">
        <v>46122</v>
      </c>
      <c r="H1509" s="6">
        <f t="shared" si="49"/>
        <v>4</v>
      </c>
      <c r="I1509" s="16">
        <f>MAX(1, NETWORKDAYS(A1509, G1509,Table2[Dias no laborales]))</f>
        <v>49</v>
      </c>
      <c r="J1509" s="6" t="str">
        <f>IF(Table1[[#This Row],[FIN]]="","Acumulado",IF(ISNUMBER(SEARCH("ASAP",C1509)),"ASAP",IF(NETWORKDAYS.INTL(F1509,G1509,1,Table2[Dias no laborales]) &lt;= 7, "Dentro", IF(A1509&gt;F1509,"Programado","Fuera"))))</f>
        <v>ASAP</v>
      </c>
      <c r="K1509" s="6" t="str">
        <f t="shared" si="50"/>
        <v>Programados</v>
      </c>
      <c r="L1509" s="8">
        <v>46050</v>
      </c>
      <c r="M1509" s="17">
        <f>MAX(1,NETWORKDAYS(A1509,L1509,Table2[Dias no laborales]))</f>
        <v>1</v>
      </c>
    </row>
    <row r="1510" spans="1:13" hidden="1" x14ac:dyDescent="0.3">
      <c r="A1510" s="8">
        <v>46051</v>
      </c>
      <c r="B1510" s="16" t="s">
        <v>2925</v>
      </c>
      <c r="C1510" s="6" t="s">
        <v>3049</v>
      </c>
      <c r="D1510" s="6" t="s">
        <v>269</v>
      </c>
      <c r="E1510" s="14">
        <v>46050.469444444447</v>
      </c>
      <c r="F1510" s="8">
        <f>IF(HOUR(Table1[[#This Row],[CORREO]])&gt;=11,WORKDAY(Table1[[#This Row],[CORREO]],1,Table2[Dias no laborales]),E1510)</f>
        <v>46051</v>
      </c>
      <c r="G1510" s="8">
        <v>46063</v>
      </c>
      <c r="H1510" s="6">
        <f t="shared" si="49"/>
        <v>5</v>
      </c>
      <c r="I1510" s="16">
        <f>MAX(1, NETWORKDAYS(A1510, G1510,Table2[Dias no laborales]))</f>
        <v>8</v>
      </c>
      <c r="J1510" s="6" t="str">
        <f>IF(Table1[[#This Row],[FIN]]="","Acumulado",IF(ISNUMBER(SEARCH("ASAP",C1510)),"ASAP",IF(NETWORKDAYS.INTL(F1510,G1510,1,Table2[Dias no laborales]) &lt;= 7, "Dentro", IF(A1510&gt;F1510,"Programado","Fuera"))))</f>
        <v>Fuera</v>
      </c>
      <c r="K1510" s="6" t="str">
        <f t="shared" si="50"/>
        <v>A tiempo</v>
      </c>
      <c r="L1510" s="8">
        <v>46051</v>
      </c>
      <c r="M1510" s="17">
        <f>MAX(1,NETWORKDAYS(A1510,L1510,Table2[Dias no laborales]))</f>
        <v>1</v>
      </c>
    </row>
    <row r="1511" spans="1:13" hidden="1" x14ac:dyDescent="0.3">
      <c r="A1511" s="8">
        <v>46051</v>
      </c>
      <c r="B1511" s="16" t="s">
        <v>2926</v>
      </c>
      <c r="C1511" s="6" t="s">
        <v>3050</v>
      </c>
      <c r="D1511" s="6" t="s">
        <v>3048</v>
      </c>
      <c r="E1511" s="14">
        <v>46050.47152777778</v>
      </c>
      <c r="F1511" s="8">
        <f>IF(HOUR(Table1[[#This Row],[CORREO]])&gt;=11,WORKDAY(Table1[[#This Row],[CORREO]],1,Table2[Dias no laborales]),E1511)</f>
        <v>46051</v>
      </c>
      <c r="G1511" s="8">
        <v>46071</v>
      </c>
      <c r="H1511" s="6">
        <f t="shared" si="49"/>
        <v>5</v>
      </c>
      <c r="I1511" s="16">
        <f>MAX(1, NETWORKDAYS(A1511, G1511,Table2[Dias no laborales]))</f>
        <v>14</v>
      </c>
      <c r="J1511" s="6" t="str">
        <f>IF(Table1[[#This Row],[FIN]]="","Acumulado",IF(ISNUMBER(SEARCH("ASAP",C1511)),"ASAP",IF(NETWORKDAYS.INTL(F1511,G1511,1,Table2[Dias no laborales]) &lt;= 7, "Dentro", IF(A1511&gt;F1511,"Programado","Fuera"))))</f>
        <v>Fuera</v>
      </c>
      <c r="K1511" s="6" t="str">
        <f t="shared" si="50"/>
        <v>A tiempo</v>
      </c>
      <c r="L1511" s="8">
        <v>46051</v>
      </c>
      <c r="M1511" s="17">
        <f>MAX(1,NETWORKDAYS(A1511,L1511,Table2[Dias no laborales]))</f>
        <v>1</v>
      </c>
    </row>
    <row r="1512" spans="1:13" hidden="1" x14ac:dyDescent="0.3">
      <c r="A1512" s="8">
        <v>46051</v>
      </c>
      <c r="B1512" s="16" t="s">
        <v>2927</v>
      </c>
      <c r="C1512" s="6" t="s">
        <v>3051</v>
      </c>
      <c r="D1512" s="6" t="s">
        <v>24</v>
      </c>
      <c r="E1512" s="14">
        <v>46050.648611111108</v>
      </c>
      <c r="F1512" s="8">
        <f>IF(HOUR(Table1[[#This Row],[CORREO]])&gt;=11,WORKDAY(Table1[[#This Row],[CORREO]],1,Table2[Dias no laborales]),E1512)</f>
        <v>46051</v>
      </c>
      <c r="G1512" s="8">
        <v>46091</v>
      </c>
      <c r="H1512" s="6">
        <f t="shared" si="49"/>
        <v>5</v>
      </c>
      <c r="I1512" s="16">
        <f>MAX(1, NETWORKDAYS(A1512, G1512,Table2[Dias no laborales]))</f>
        <v>28</v>
      </c>
      <c r="J1512" s="6" t="str">
        <f>IF(Table1[[#This Row],[FIN]]="","Acumulado",IF(ISNUMBER(SEARCH("ASAP",C1512)),"ASAP",IF(NETWORKDAYS.INTL(F1512,G1512,1,Table2[Dias no laborales]) &lt;= 7, "Dentro", IF(A1512&gt;F1512,"Programado","Fuera"))))</f>
        <v>Fuera</v>
      </c>
      <c r="K1512" s="6" t="str">
        <f t="shared" si="50"/>
        <v>A tiempo</v>
      </c>
      <c r="L1512" s="8">
        <v>46051</v>
      </c>
      <c r="M1512" s="17">
        <f>MAX(1,NETWORKDAYS(A1512,L1512,Table2[Dias no laborales]))</f>
        <v>1</v>
      </c>
    </row>
    <row r="1513" spans="1:13" hidden="1" x14ac:dyDescent="0.3">
      <c r="A1513" s="8">
        <v>46051</v>
      </c>
      <c r="B1513" s="16" t="s">
        <v>2928</v>
      </c>
      <c r="C1513" s="6" t="s">
        <v>3052</v>
      </c>
      <c r="D1513" s="6" t="s">
        <v>3053</v>
      </c>
      <c r="E1513" s="14">
        <v>46051.367361111108</v>
      </c>
      <c r="F1513" s="8">
        <f>IF(HOUR(Table1[[#This Row],[CORREO]])&gt;=11,WORKDAY(Table1[[#This Row],[CORREO]],1,Table2[Dias no laborales]),E1513)</f>
        <v>46051.367361111108</v>
      </c>
      <c r="G1513" s="8">
        <v>46051</v>
      </c>
      <c r="H1513" s="6">
        <f t="shared" si="49"/>
        <v>5</v>
      </c>
      <c r="I1513" s="16">
        <f>MAX(1, NETWORKDAYS(A1513, G1513,Table2[Dias no laborales]))</f>
        <v>1</v>
      </c>
      <c r="J1513" s="6" t="str">
        <f>IF(Table1[[#This Row],[FIN]]="","Acumulado",IF(ISNUMBER(SEARCH("ASAP",C1513)),"ASAP",IF(NETWORKDAYS.INTL(F1513,G1513,1,Table2[Dias no laborales]) &lt;= 7, "Dentro", IF(A1513&gt;F1513,"Programado","Fuera"))))</f>
        <v>Dentro</v>
      </c>
      <c r="K1513" s="6" t="str">
        <f t="shared" si="50"/>
        <v>A tiempo</v>
      </c>
      <c r="L1513" s="8">
        <v>46051</v>
      </c>
      <c r="M1513" s="17">
        <f>MAX(1,NETWORKDAYS(A1513,L1513,Table2[Dias no laborales]))</f>
        <v>1</v>
      </c>
    </row>
    <row r="1514" spans="1:13" hidden="1" x14ac:dyDescent="0.3">
      <c r="A1514" s="8">
        <v>46051</v>
      </c>
      <c r="B1514" s="16" t="s">
        <v>2929</v>
      </c>
      <c r="C1514" s="6" t="s">
        <v>3054</v>
      </c>
      <c r="D1514" s="6" t="s">
        <v>3055</v>
      </c>
      <c r="E1514" s="14">
        <v>46050.648611111108</v>
      </c>
      <c r="F1514" s="8">
        <f>IF(HOUR(Table1[[#This Row],[CORREO]])&gt;=11,WORKDAY(Table1[[#This Row],[CORREO]],1,Table2[Dias no laborales]),E1514)</f>
        <v>46051</v>
      </c>
      <c r="G1514" s="8">
        <v>46056</v>
      </c>
      <c r="H1514" s="6">
        <f t="shared" si="49"/>
        <v>5</v>
      </c>
      <c r="I1514" s="16">
        <f>MAX(1, NETWORKDAYS(A1514, G1514,Table2[Dias no laborales]))</f>
        <v>3</v>
      </c>
      <c r="J1514" s="6" t="str">
        <f>IF(Table1[[#This Row],[FIN]]="","Acumulado",IF(ISNUMBER(SEARCH("ASAP",C1514)),"ASAP",IF(NETWORKDAYS.INTL(F1514,G1514,1,Table2[Dias no laborales]) &lt;= 7, "Dentro", IF(A1514&gt;F1514,"Programado","Fuera"))))</f>
        <v>Dentro</v>
      </c>
      <c r="K1514" s="6" t="str">
        <f t="shared" si="50"/>
        <v>A tiempo</v>
      </c>
      <c r="L1514" s="8">
        <v>46052</v>
      </c>
      <c r="M1514" s="17">
        <f>MAX(1,NETWORKDAYS(A1514,L1514,Table2[Dias no laborales]))</f>
        <v>2</v>
      </c>
    </row>
    <row r="1515" spans="1:13" hidden="1" x14ac:dyDescent="0.3">
      <c r="A1515" s="8">
        <v>46052</v>
      </c>
      <c r="B1515" s="16" t="s">
        <v>2930</v>
      </c>
      <c r="C1515" s="6" t="s">
        <v>3056</v>
      </c>
      <c r="D1515" s="6" t="s">
        <v>194</v>
      </c>
      <c r="E1515" s="14">
        <v>46051.511805555558</v>
      </c>
      <c r="F1515" s="8">
        <f>IF(HOUR(Table1[[#This Row],[CORREO]])&gt;=11,WORKDAY(Table1[[#This Row],[CORREO]],1,Table2[Dias no laborales]),E1515)</f>
        <v>46052</v>
      </c>
      <c r="G1515" s="8">
        <v>46071</v>
      </c>
      <c r="H1515" s="6">
        <f t="shared" si="49"/>
        <v>5</v>
      </c>
      <c r="I1515" s="16">
        <f>MAX(1, NETWORKDAYS(A1515, G1515,Table2[Dias no laborales]))</f>
        <v>13</v>
      </c>
      <c r="J1515" s="6" t="str">
        <f>IF(Table1[[#This Row],[FIN]]="","Acumulado",IF(ISNUMBER(SEARCH("ASAP",C1515)),"ASAP",IF(NETWORKDAYS.INTL(F1515,G1515,1,Table2[Dias no laborales]) &lt;= 7, "Dentro", IF(A1515&gt;F1515,"Programado","Fuera"))))</f>
        <v>Fuera</v>
      </c>
      <c r="K1515" s="6" t="str">
        <f t="shared" si="50"/>
        <v>A tiempo</v>
      </c>
      <c r="L1515" s="8">
        <v>46052</v>
      </c>
      <c r="M1515" s="17">
        <f>MAX(1,NETWORKDAYS(A1515,L1515,Table2[Dias no laborales]))</f>
        <v>1</v>
      </c>
    </row>
    <row r="1516" spans="1:13" hidden="1" x14ac:dyDescent="0.3">
      <c r="A1516" s="8">
        <v>46052</v>
      </c>
      <c r="B1516" s="16" t="s">
        <v>2931</v>
      </c>
      <c r="C1516" s="6" t="s">
        <v>3057</v>
      </c>
      <c r="D1516" s="6" t="s">
        <v>56</v>
      </c>
      <c r="E1516" s="14">
        <v>46051.568749999999</v>
      </c>
      <c r="F1516" s="8">
        <f>IF(HOUR(Table1[[#This Row],[CORREO]])&gt;=11,WORKDAY(Table1[[#This Row],[CORREO]],1,Table2[Dias no laborales]),E1516)</f>
        <v>46052</v>
      </c>
      <c r="G1516" s="8">
        <v>46052</v>
      </c>
      <c r="H1516" s="6">
        <f t="shared" si="49"/>
        <v>5</v>
      </c>
      <c r="I1516" s="16">
        <f>MAX(1, NETWORKDAYS(A1516, G1516,Table2[Dias no laborales]))</f>
        <v>1</v>
      </c>
      <c r="J1516" s="6" t="str">
        <f>IF(Table1[[#This Row],[FIN]]="","Acumulado",IF(ISNUMBER(SEARCH("ASAP",C1516)),"ASAP",IF(NETWORKDAYS.INTL(F1516,G1516,1,Table2[Dias no laborales]) &lt;= 7, "Dentro", IF(A1516&gt;F1516,"Programado","Fuera"))))</f>
        <v>Dentro</v>
      </c>
      <c r="K1516" s="6" t="str">
        <f t="shared" si="50"/>
        <v>A tiempo</v>
      </c>
      <c r="L1516" s="8">
        <v>46052</v>
      </c>
      <c r="M1516" s="17">
        <f>MAX(1,NETWORKDAYS(A1516,L1516,Table2[Dias no laborales]))</f>
        <v>1</v>
      </c>
    </row>
    <row r="1517" spans="1:13" hidden="1" x14ac:dyDescent="0.3">
      <c r="A1517" s="8">
        <v>46052</v>
      </c>
      <c r="B1517" s="16" t="s">
        <v>2932</v>
      </c>
      <c r="C1517" s="6" t="s">
        <v>3058</v>
      </c>
      <c r="D1517" s="6" t="s">
        <v>2471</v>
      </c>
      <c r="E1517" s="14">
        <v>46051.621527777781</v>
      </c>
      <c r="F1517" s="8">
        <f>IF(HOUR(Table1[[#This Row],[CORREO]])&gt;=11,WORKDAY(Table1[[#This Row],[CORREO]],1,Table2[Dias no laborales]),E1517)</f>
        <v>46052</v>
      </c>
      <c r="G1517" s="8">
        <v>46099</v>
      </c>
      <c r="H1517" s="6">
        <f t="shared" si="49"/>
        <v>5</v>
      </c>
      <c r="I1517" s="16">
        <f>MAX(1, NETWORKDAYS(A1517, G1517,Table2[Dias no laborales]))</f>
        <v>32</v>
      </c>
      <c r="J1517" s="6" t="str">
        <f>IF(Table1[[#This Row],[FIN]]="","Acumulado",IF(ISNUMBER(SEARCH("ASAP",C1517)),"ASAP",IF(NETWORKDAYS.INTL(F1517,G1517,1,Table2[Dias no laborales]) &lt;= 7, "Dentro", IF(A1517&gt;F1517,"Programado","Fuera"))))</f>
        <v>Fuera</v>
      </c>
      <c r="K1517" s="6" t="str">
        <f t="shared" si="50"/>
        <v>A tiempo</v>
      </c>
      <c r="L1517" s="8">
        <v>46052</v>
      </c>
      <c r="M1517" s="17">
        <f>MAX(1,NETWORKDAYS(A1517,L1517,Table2[Dias no laborales]))</f>
        <v>1</v>
      </c>
    </row>
    <row r="1518" spans="1:13" hidden="1" x14ac:dyDescent="0.3">
      <c r="A1518" s="8">
        <v>46052</v>
      </c>
      <c r="B1518" s="16" t="s">
        <v>2933</v>
      </c>
      <c r="C1518" s="6" t="s">
        <v>3059</v>
      </c>
      <c r="D1518" s="6" t="s">
        <v>1333</v>
      </c>
      <c r="E1518" s="14"/>
      <c r="F1518" s="8">
        <f>IF(HOUR(Table1[[#This Row],[CORREO]])&gt;=11,WORKDAY(Table1[[#This Row],[CORREO]],1,Table2[Dias no laborales]),E1518)</f>
        <v>0</v>
      </c>
      <c r="G1518" s="8">
        <v>46052</v>
      </c>
      <c r="H1518" s="6">
        <f t="shared" si="49"/>
        <v>5</v>
      </c>
      <c r="I1518" s="16">
        <f>MAX(1, NETWORKDAYS(A1518, G1518,Table2[Dias no laborales]))</f>
        <v>1</v>
      </c>
      <c r="J1518" s="6" t="str">
        <f>IF(Table1[[#This Row],[FIN]]="","Acumulado",IF(ISNUMBER(SEARCH("ASAP",C1518)),"ASAP",IF(NETWORKDAYS.INTL(F1518,G1518,1,Table2[Dias no laborales]) &lt;= 7, "Dentro", IF(A1518&gt;F1518,"Programado","Fuera"))))</f>
        <v>Programado</v>
      </c>
      <c r="K1518" s="6" t="str">
        <f t="shared" si="50"/>
        <v>Programados</v>
      </c>
      <c r="L1518" s="8">
        <v>46052</v>
      </c>
      <c r="M1518" s="17">
        <f>MAX(1,NETWORKDAYS(A1518,L1518,Table2[Dias no laborales]))</f>
        <v>1</v>
      </c>
    </row>
    <row r="1519" spans="1:13" hidden="1" x14ac:dyDescent="0.3">
      <c r="A1519" s="8">
        <v>46052</v>
      </c>
      <c r="B1519" s="16" t="s">
        <v>2934</v>
      </c>
      <c r="C1519" s="6" t="s">
        <v>3060</v>
      </c>
      <c r="D1519" s="6" t="s">
        <v>406</v>
      </c>
      <c r="E1519" s="14"/>
      <c r="F1519" s="8">
        <f>IF(HOUR(Table1[[#This Row],[CORREO]])&gt;=11,WORKDAY(Table1[[#This Row],[CORREO]],1,Table2[Dias no laborales]),E1519)</f>
        <v>0</v>
      </c>
      <c r="G1519" s="8">
        <v>46052</v>
      </c>
      <c r="H1519" s="6">
        <f t="shared" si="49"/>
        <v>5</v>
      </c>
      <c r="I1519" s="16">
        <f>MAX(1, NETWORKDAYS(A1519, G1519,Table2[Dias no laborales]))</f>
        <v>1</v>
      </c>
      <c r="J1519" s="6" t="str">
        <f>IF(Table1[[#This Row],[FIN]]="","Acumulado",IF(ISNUMBER(SEARCH("ASAP",C1519)),"ASAP",IF(NETWORKDAYS.INTL(F1519,G1519,1,Table2[Dias no laborales]) &lt;= 7, "Dentro", IF(A1519&gt;F1519,"Programado","Fuera"))))</f>
        <v>Programado</v>
      </c>
      <c r="K1519" s="6" t="str">
        <f t="shared" si="50"/>
        <v>Programados</v>
      </c>
      <c r="L1519" s="8">
        <v>46052</v>
      </c>
      <c r="M1519" s="17">
        <f>MAX(1,NETWORKDAYS(A1519,L1519,Table2[Dias no laborales]))</f>
        <v>1</v>
      </c>
    </row>
    <row r="1520" spans="1:13" hidden="1" x14ac:dyDescent="0.3">
      <c r="A1520" s="12">
        <v>46056</v>
      </c>
      <c r="B1520" s="16" t="s">
        <v>3061</v>
      </c>
      <c r="C1520" s="16" t="s">
        <v>3069</v>
      </c>
      <c r="D1520" s="16" t="s">
        <v>24</v>
      </c>
      <c r="E1520" s="14"/>
      <c r="F1520" s="12">
        <f>IF(HOUR(Table1[[#This Row],[CORREO]])&gt;=11,WORKDAY(Table1[[#This Row],[CORREO]],1,Table2[Dias no laborales]),E1520)</f>
        <v>0</v>
      </c>
      <c r="G1520" s="12">
        <v>46059</v>
      </c>
      <c r="H1520" s="16">
        <f>INT((A1520-DATE(YEAR(A1520),1,1))/7) + 1</f>
        <v>5</v>
      </c>
      <c r="I1520" s="16">
        <f>MAX(1, NETWORKDAYS(A1520, G1520,Table2[Dias no laborales]))</f>
        <v>4</v>
      </c>
      <c r="J1520" s="6" t="str">
        <f>IF(Table1[[#This Row],[FIN]]="","Acumulado",IF(ISNUMBER(SEARCH("ASAP",C1520)),"ASAP",IF(NETWORKDAYS.INTL(F1520,G1520,1,Table2[Dias no laborales]) &lt;= 7, "Dentro", IF(A1520&gt;F1520,"Programado","Fuera"))))</f>
        <v>Programado</v>
      </c>
      <c r="K1520" s="16" t="str">
        <f>IF(INT(A1520)=INT(F1520),"A tiempo", IF(A1520&lt;F1520,"Mismo día","Programados"))</f>
        <v>Programados</v>
      </c>
      <c r="L1520" s="12">
        <v>46056</v>
      </c>
      <c r="M1520" s="18">
        <f>MAX(1,NETWORKDAYS(A1520,L1520,Table2[Dias no laborales]))</f>
        <v>1</v>
      </c>
    </row>
    <row r="1521" spans="1:13" hidden="1" x14ac:dyDescent="0.3">
      <c r="A1521" s="8">
        <v>46056</v>
      </c>
      <c r="B1521" s="16" t="s">
        <v>3062</v>
      </c>
      <c r="C1521" s="6" t="s">
        <v>3070</v>
      </c>
      <c r="D1521" s="6" t="s">
        <v>61</v>
      </c>
      <c r="E1521" s="14">
        <v>46056.39166666667</v>
      </c>
      <c r="F1521" s="8">
        <f>IF(HOUR(Table1[[#This Row],[CORREO]])&gt;=11,WORKDAY(Table1[[#This Row],[CORREO]],1,Table2[Dias no laborales]),E1521)</f>
        <v>46056.39166666667</v>
      </c>
      <c r="G1521" s="8">
        <v>46056</v>
      </c>
      <c r="H1521" s="6">
        <f t="shared" ref="H1521:H1527" si="51">INT((A1521-DATE(YEAR(A1521),1,1))/7) + 1</f>
        <v>5</v>
      </c>
      <c r="I1521" s="16">
        <f>MAX(1, NETWORKDAYS(A1521, G1521,Table2[Dias no laborales]))</f>
        <v>1</v>
      </c>
      <c r="J1521" s="6" t="str">
        <f>IF(Table1[[#This Row],[FIN]]="","Acumulado",IF(ISNUMBER(SEARCH("ASAP",C1521)),"ASAP",IF(NETWORKDAYS.INTL(F1521,G1521,1,Table2[Dias no laborales]) &lt;= 7, "Dentro", IF(A1521&gt;F1521,"Programado","Fuera"))))</f>
        <v>Dentro</v>
      </c>
      <c r="K1521" s="6" t="str">
        <f t="shared" ref="K1521:K1527" si="52">IF(INT(A1521)=INT(F1521),"A tiempo", IF(A1521&lt;F1521,"Mismo día","Programados"))</f>
        <v>A tiempo</v>
      </c>
      <c r="L1521" s="8">
        <v>46056</v>
      </c>
      <c r="M1521" s="17">
        <f>MAX(1,NETWORKDAYS(A1521,L1521,Table2[Dias no laborales]))</f>
        <v>1</v>
      </c>
    </row>
    <row r="1522" spans="1:13" hidden="1" x14ac:dyDescent="0.3">
      <c r="A1522" s="8">
        <v>46056</v>
      </c>
      <c r="B1522" s="16" t="s">
        <v>3063</v>
      </c>
      <c r="C1522" s="6" t="s">
        <v>3070</v>
      </c>
      <c r="D1522" s="6" t="s">
        <v>61</v>
      </c>
      <c r="E1522" s="14">
        <v>46056.39166666667</v>
      </c>
      <c r="F1522" s="8">
        <f>IF(HOUR(Table1[[#This Row],[CORREO]])&gt;=11,WORKDAY(Table1[[#This Row],[CORREO]],1,Table2[Dias no laborales]),E1522)</f>
        <v>46056.39166666667</v>
      </c>
      <c r="G1522" s="8">
        <v>46056</v>
      </c>
      <c r="H1522" s="6">
        <f t="shared" si="51"/>
        <v>5</v>
      </c>
      <c r="I1522" s="16">
        <f>MAX(1, NETWORKDAYS(A1522, G1522,Table2[Dias no laborales]))</f>
        <v>1</v>
      </c>
      <c r="J1522" s="6" t="str">
        <f>IF(Table1[[#This Row],[FIN]]="","Acumulado",IF(ISNUMBER(SEARCH("ASAP",C1522)),"ASAP",IF(NETWORKDAYS.INTL(F1522,G1522,1,Table2[Dias no laborales]) &lt;= 7, "Dentro", IF(A1522&gt;F1522,"Programado","Fuera"))))</f>
        <v>Dentro</v>
      </c>
      <c r="K1522" s="6" t="str">
        <f t="shared" si="52"/>
        <v>A tiempo</v>
      </c>
      <c r="L1522" s="8">
        <v>46056</v>
      </c>
      <c r="M1522" s="17">
        <f>MAX(1,NETWORKDAYS(A1522,L1522,Table2[Dias no laborales]))</f>
        <v>1</v>
      </c>
    </row>
    <row r="1523" spans="1:13" hidden="1" x14ac:dyDescent="0.3">
      <c r="A1523" s="8">
        <v>46056</v>
      </c>
      <c r="B1523" s="16" t="s">
        <v>3064</v>
      </c>
      <c r="C1523" s="6" t="s">
        <v>3071</v>
      </c>
      <c r="D1523" s="6" t="s">
        <v>27</v>
      </c>
      <c r="E1523" s="14">
        <v>46056.411805555559</v>
      </c>
      <c r="F1523" s="8">
        <f>IF(HOUR(Table1[[#This Row],[CORREO]])&gt;=11,WORKDAY(Table1[[#This Row],[CORREO]],1,Table2[Dias no laborales]),E1523)</f>
        <v>46056.411805555559</v>
      </c>
      <c r="G1523" s="8">
        <v>46063</v>
      </c>
      <c r="H1523" s="6">
        <f t="shared" si="51"/>
        <v>5</v>
      </c>
      <c r="I1523" s="16">
        <f>MAX(1, NETWORKDAYS(A1523, G1523,Table2[Dias no laborales]))</f>
        <v>6</v>
      </c>
      <c r="J1523" s="6" t="str">
        <f>IF(Table1[[#This Row],[FIN]]="","Acumulado",IF(ISNUMBER(SEARCH("ASAP",C1523)),"ASAP",IF(NETWORKDAYS.INTL(F1523,G1523,1,Table2[Dias no laborales]) &lt;= 7, "Dentro", IF(A1523&gt;F1523,"Programado","Fuera"))))</f>
        <v>Dentro</v>
      </c>
      <c r="K1523" s="6" t="str">
        <f t="shared" si="52"/>
        <v>A tiempo</v>
      </c>
      <c r="L1523" s="8">
        <v>46056</v>
      </c>
      <c r="M1523" s="17">
        <f>MAX(1,NETWORKDAYS(A1523,L1523,Table2[Dias no laborales]))</f>
        <v>1</v>
      </c>
    </row>
    <row r="1524" spans="1:13" hidden="1" x14ac:dyDescent="0.3">
      <c r="A1524" s="8">
        <v>46056</v>
      </c>
      <c r="B1524" s="16" t="s">
        <v>3065</v>
      </c>
      <c r="C1524" s="6" t="s">
        <v>3072</v>
      </c>
      <c r="D1524" s="6" t="s">
        <v>517</v>
      </c>
      <c r="E1524" s="14">
        <v>46056.420138888891</v>
      </c>
      <c r="F1524" s="8">
        <f>IF(HOUR(Table1[[#This Row],[CORREO]])&gt;=11,WORKDAY(Table1[[#This Row],[CORREO]],1,Table2[Dias no laborales]),E1524)</f>
        <v>46056.420138888891</v>
      </c>
      <c r="G1524" s="8">
        <v>46056</v>
      </c>
      <c r="H1524" s="6">
        <f t="shared" si="51"/>
        <v>5</v>
      </c>
      <c r="I1524" s="16">
        <f>MAX(1, NETWORKDAYS(A1524, G1524,Table2[Dias no laborales]))</f>
        <v>1</v>
      </c>
      <c r="J1524" s="6" t="str">
        <f>IF(Table1[[#This Row],[FIN]]="","Acumulado",IF(ISNUMBER(SEARCH("ASAP",C1524)),"ASAP",IF(NETWORKDAYS.INTL(F1524,G1524,1,Table2[Dias no laborales]) &lt;= 7, "Dentro", IF(A1524&gt;F1524,"Programado","Fuera"))))</f>
        <v>Dentro</v>
      </c>
      <c r="K1524" s="6" t="str">
        <f t="shared" si="52"/>
        <v>A tiempo</v>
      </c>
      <c r="L1524" s="8">
        <v>46056</v>
      </c>
      <c r="M1524" s="17">
        <f>MAX(1,NETWORKDAYS(A1524,L1524,Table2[Dias no laborales]))</f>
        <v>1</v>
      </c>
    </row>
    <row r="1525" spans="1:13" hidden="1" x14ac:dyDescent="0.3">
      <c r="A1525" s="8">
        <v>46056</v>
      </c>
      <c r="B1525" s="16" t="s">
        <v>3066</v>
      </c>
      <c r="C1525" s="6" t="s">
        <v>3073</v>
      </c>
      <c r="D1525" s="6" t="s">
        <v>194</v>
      </c>
      <c r="E1525" s="14">
        <v>46056.42083333333</v>
      </c>
      <c r="F1525" s="8">
        <f>IF(HOUR(Table1[[#This Row],[CORREO]])&gt;=11,WORKDAY(Table1[[#This Row],[CORREO]],1,Table2[Dias no laborales]),E1525)</f>
        <v>46056.42083333333</v>
      </c>
      <c r="G1525" s="8">
        <v>46056</v>
      </c>
      <c r="H1525" s="6">
        <f t="shared" si="51"/>
        <v>5</v>
      </c>
      <c r="I1525" s="16">
        <f>MAX(1, NETWORKDAYS(A1525, G1525,Table2[Dias no laborales]))</f>
        <v>1</v>
      </c>
      <c r="J1525" s="6" t="str">
        <f>IF(Table1[[#This Row],[FIN]]="","Acumulado",IF(ISNUMBER(SEARCH("ASAP",C1525)),"ASAP",IF(NETWORKDAYS.INTL(F1525,G1525,1,Table2[Dias no laborales]) &lt;= 7, "Dentro", IF(A1525&gt;F1525,"Programado","Fuera"))))</f>
        <v>Dentro</v>
      </c>
      <c r="K1525" s="6" t="str">
        <f t="shared" si="52"/>
        <v>A tiempo</v>
      </c>
      <c r="L1525" s="8">
        <v>46056</v>
      </c>
      <c r="M1525" s="17">
        <f>MAX(1,NETWORKDAYS(A1525,L1525,Table2[Dias no laborales]))</f>
        <v>1</v>
      </c>
    </row>
    <row r="1526" spans="1:13" hidden="1" x14ac:dyDescent="0.3">
      <c r="A1526" s="8">
        <v>46056</v>
      </c>
      <c r="B1526" s="16" t="s">
        <v>3067</v>
      </c>
      <c r="C1526" s="6" t="s">
        <v>3074</v>
      </c>
      <c r="D1526" s="6" t="s">
        <v>194</v>
      </c>
      <c r="E1526" s="14">
        <v>46056.421527777777</v>
      </c>
      <c r="F1526" s="8">
        <f>IF(HOUR(Table1[[#This Row],[CORREO]])&gt;=11,WORKDAY(Table1[[#This Row],[CORREO]],1,Table2[Dias no laborales]),E1526)</f>
        <v>46056.421527777777</v>
      </c>
      <c r="G1526" s="8">
        <v>46056</v>
      </c>
      <c r="H1526" s="6">
        <f t="shared" si="51"/>
        <v>5</v>
      </c>
      <c r="I1526" s="16">
        <f>MAX(1, NETWORKDAYS(A1526, G1526,Table2[Dias no laborales]))</f>
        <v>1</v>
      </c>
      <c r="J1526" s="6" t="str">
        <f>IF(Table1[[#This Row],[FIN]]="","Acumulado",IF(ISNUMBER(SEARCH("ASAP",C1526)),"ASAP",IF(NETWORKDAYS.INTL(F1526,G1526,1,Table2[Dias no laborales]) &lt;= 7, "Dentro", IF(A1526&gt;F1526,"Programado","Fuera"))))</f>
        <v>Dentro</v>
      </c>
      <c r="K1526" s="6" t="str">
        <f t="shared" si="52"/>
        <v>A tiempo</v>
      </c>
      <c r="L1526" s="8">
        <v>46056</v>
      </c>
      <c r="M1526" s="17">
        <f>MAX(1,NETWORKDAYS(A1526,L1526,Table2[Dias no laborales]))</f>
        <v>1</v>
      </c>
    </row>
    <row r="1527" spans="1:13" hidden="1" x14ac:dyDescent="0.3">
      <c r="A1527" s="8">
        <v>46056</v>
      </c>
      <c r="B1527" s="16" t="s">
        <v>3068</v>
      </c>
      <c r="C1527" s="6" t="s">
        <v>3075</v>
      </c>
      <c r="D1527" s="6" t="s">
        <v>3076</v>
      </c>
      <c r="E1527" s="14">
        <v>46056.465277777781</v>
      </c>
      <c r="F1527" s="8">
        <f>IF(HOUR(Table1[[#This Row],[CORREO]])&gt;=11,WORKDAY(Table1[[#This Row],[CORREO]],1,Table2[Dias no laborales]),E1527)</f>
        <v>46057</v>
      </c>
      <c r="G1527" s="8">
        <v>46057</v>
      </c>
      <c r="H1527" s="6">
        <f t="shared" si="51"/>
        <v>5</v>
      </c>
      <c r="I1527" s="16">
        <f>MAX(1, NETWORKDAYS(A1527, G1527,Table2[Dias no laborales]))</f>
        <v>2</v>
      </c>
      <c r="J1527" s="6" t="str">
        <f>IF(Table1[[#This Row],[FIN]]="","Acumulado",IF(ISNUMBER(SEARCH("ASAP",C1527)),"ASAP",IF(NETWORKDAYS.INTL(F1527,G1527,1,Table2[Dias no laborales]) &lt;= 7, "Dentro", IF(A1527&gt;F1527,"Programado","Fuera"))))</f>
        <v>Dentro</v>
      </c>
      <c r="K1527" s="6" t="str">
        <f t="shared" si="52"/>
        <v>Mismo día</v>
      </c>
      <c r="L1527" s="8">
        <v>46056</v>
      </c>
      <c r="M1527" s="17">
        <f>MAX(1,NETWORKDAYS(A1527,L1527,Table2[Dias no laborales]))</f>
        <v>1</v>
      </c>
    </row>
    <row r="1528" spans="1:13" hidden="1" x14ac:dyDescent="0.3">
      <c r="A1528" s="12">
        <v>46056</v>
      </c>
      <c r="B1528" s="16" t="s">
        <v>3077</v>
      </c>
      <c r="C1528" s="16" t="s">
        <v>3116</v>
      </c>
      <c r="D1528" s="16" t="s">
        <v>504</v>
      </c>
      <c r="E1528" s="14"/>
      <c r="F1528" s="12">
        <f>IF(HOUR(Table1[[#This Row],[CORREO]])&gt;=11,WORKDAY(Table1[[#This Row],[CORREO]],1,Table2[Dias no laborales]),E1528)</f>
        <v>0</v>
      </c>
      <c r="G1528" s="12">
        <v>46063</v>
      </c>
      <c r="H1528" s="16">
        <f>INT((A1528-DATE(YEAR(A1528),1,1))/7) + 1</f>
        <v>5</v>
      </c>
      <c r="I1528" s="16">
        <f>MAX(1, NETWORKDAYS(A1528, G1528,Table2[Dias no laborales]))</f>
        <v>6</v>
      </c>
      <c r="J1528" s="6" t="str">
        <f>IF(Table1[[#This Row],[FIN]]="","Acumulado",IF(ISNUMBER(SEARCH("ASAP",C1528)),"ASAP",IF(NETWORKDAYS.INTL(F1528,G1528,1,Table2[Dias no laborales]) &lt;= 7, "Dentro", IF(A1528&gt;F1528,"Programado","Fuera"))))</f>
        <v>Programado</v>
      </c>
      <c r="K1528" s="16" t="str">
        <f>IF(INT(A1528)=INT(F1528),"A tiempo", IF(A1528&lt;F1528,"Mismo día","Programados"))</f>
        <v>Programados</v>
      </c>
      <c r="L1528" s="12">
        <v>46056</v>
      </c>
      <c r="M1528" s="18">
        <f>MAX(1,NETWORKDAYS(A1528,L1528,Table2[Dias no laborales]))</f>
        <v>1</v>
      </c>
    </row>
    <row r="1529" spans="1:13" hidden="1" x14ac:dyDescent="0.3">
      <c r="A1529" s="8">
        <v>46056</v>
      </c>
      <c r="B1529" s="16" t="s">
        <v>3078</v>
      </c>
      <c r="C1529" s="6" t="s">
        <v>3116</v>
      </c>
      <c r="D1529" s="6" t="s">
        <v>75</v>
      </c>
      <c r="E1529" s="14"/>
      <c r="F1529" s="8">
        <f>IF(HOUR(Table1[[#This Row],[CORREO]])&gt;=11,WORKDAY(Table1[[#This Row],[CORREO]],1,Table2[Dias no laborales]),E1529)</f>
        <v>0</v>
      </c>
      <c r="G1529" s="8">
        <v>46063</v>
      </c>
      <c r="H1529" s="6">
        <f t="shared" ref="H1529:H1566" si="53">INT((A1529-DATE(YEAR(A1529),1,1))/7) + 1</f>
        <v>5</v>
      </c>
      <c r="I1529" s="16">
        <f>MAX(1, NETWORKDAYS(A1529, G1529,Table2[Dias no laborales]))</f>
        <v>6</v>
      </c>
      <c r="J1529" s="6" t="str">
        <f>IF(Table1[[#This Row],[FIN]]="","Acumulado",IF(ISNUMBER(SEARCH("ASAP",C1529)),"ASAP",IF(NETWORKDAYS.INTL(F1529,G1529,1,Table2[Dias no laborales]) &lt;= 7, "Dentro", IF(A1529&gt;F1529,"Programado","Fuera"))))</f>
        <v>Programado</v>
      </c>
      <c r="K1529" s="6" t="str">
        <f t="shared" ref="K1529:K1566" si="54">IF(INT(A1529)=INT(F1529),"A tiempo", IF(A1529&lt;F1529,"Mismo día","Programados"))</f>
        <v>Programados</v>
      </c>
      <c r="L1529" s="8">
        <v>46056</v>
      </c>
      <c r="M1529" s="17">
        <f>MAX(1,NETWORKDAYS(A1529,L1529,Table2[Dias no laborales]))</f>
        <v>1</v>
      </c>
    </row>
    <row r="1530" spans="1:13" hidden="1" x14ac:dyDescent="0.3">
      <c r="A1530" s="8">
        <v>46057</v>
      </c>
      <c r="B1530" s="16" t="s">
        <v>3079</v>
      </c>
      <c r="C1530" s="6" t="s">
        <v>3117</v>
      </c>
      <c r="D1530" s="6" t="s">
        <v>27</v>
      </c>
      <c r="E1530" s="14">
        <v>46056.557638888888</v>
      </c>
      <c r="F1530" s="8">
        <f>IF(HOUR(Table1[[#This Row],[CORREO]])&gt;=11,WORKDAY(Table1[[#This Row],[CORREO]],1,Table2[Dias no laborales]),E1530)</f>
        <v>46057</v>
      </c>
      <c r="G1530" s="8">
        <v>46063</v>
      </c>
      <c r="H1530" s="6">
        <f t="shared" si="53"/>
        <v>5</v>
      </c>
      <c r="I1530" s="16">
        <f>MAX(1, NETWORKDAYS(A1530, G1530,Table2[Dias no laborales]))</f>
        <v>5</v>
      </c>
      <c r="J1530" s="6" t="str">
        <f>IF(Table1[[#This Row],[FIN]]="","Acumulado",IF(ISNUMBER(SEARCH("ASAP",C1530)),"ASAP",IF(NETWORKDAYS.INTL(F1530,G1530,1,Table2[Dias no laborales]) &lt;= 7, "Dentro", IF(A1530&gt;F1530,"Programado","Fuera"))))</f>
        <v>Dentro</v>
      </c>
      <c r="K1530" s="6" t="str">
        <f t="shared" si="54"/>
        <v>A tiempo</v>
      </c>
      <c r="L1530" s="8">
        <v>46057</v>
      </c>
      <c r="M1530" s="17">
        <f>MAX(1,NETWORKDAYS(A1530,L1530,Table2[Dias no laborales]))</f>
        <v>1</v>
      </c>
    </row>
    <row r="1531" spans="1:13" hidden="1" x14ac:dyDescent="0.3">
      <c r="A1531" s="8">
        <v>46057</v>
      </c>
      <c r="B1531" s="16" t="s">
        <v>3080</v>
      </c>
      <c r="C1531" s="6" t="s">
        <v>3118</v>
      </c>
      <c r="D1531" s="6" t="s">
        <v>139</v>
      </c>
      <c r="E1531" s="14"/>
      <c r="F1531" s="8">
        <f>IF(HOUR(Table1[[#This Row],[CORREO]])&gt;=11,WORKDAY(Table1[[#This Row],[CORREO]],1,Table2[Dias no laborales]),E1531)</f>
        <v>0</v>
      </c>
      <c r="G1531" s="8">
        <v>46085</v>
      </c>
      <c r="H1531" s="6">
        <f t="shared" si="53"/>
        <v>5</v>
      </c>
      <c r="I1531" s="16">
        <f>MAX(1, NETWORKDAYS(A1531, G1531,Table2[Dias no laborales]))</f>
        <v>21</v>
      </c>
      <c r="J1531" s="6" t="str">
        <f>IF(Table1[[#This Row],[FIN]]="","Acumulado",IF(ISNUMBER(SEARCH("ASAP",C1531)),"ASAP",IF(NETWORKDAYS.INTL(F1531,G1531,1,Table2[Dias no laborales]) &lt;= 7, "Dentro", IF(A1531&gt;F1531,"Programado","Fuera"))))</f>
        <v>Programado</v>
      </c>
      <c r="K1531" s="6" t="str">
        <f t="shared" si="54"/>
        <v>Programados</v>
      </c>
      <c r="L1531" s="8">
        <v>46057</v>
      </c>
      <c r="M1531" s="17">
        <f>MAX(1,NETWORKDAYS(A1531,L1531,Table2[Dias no laborales]))</f>
        <v>1</v>
      </c>
    </row>
    <row r="1532" spans="1:13" hidden="1" x14ac:dyDescent="0.3">
      <c r="A1532" s="8">
        <v>46057</v>
      </c>
      <c r="B1532" s="16" t="s">
        <v>3081</v>
      </c>
      <c r="C1532" s="6" t="s">
        <v>3119</v>
      </c>
      <c r="D1532" s="6" t="s">
        <v>449</v>
      </c>
      <c r="E1532" s="14"/>
      <c r="F1532" s="8">
        <f>IF(HOUR(Table1[[#This Row],[CORREO]])&gt;=11,WORKDAY(Table1[[#This Row],[CORREO]],1,Table2[Dias no laborales]),E1532)</f>
        <v>0</v>
      </c>
      <c r="G1532" s="8">
        <v>46057</v>
      </c>
      <c r="H1532" s="6">
        <f t="shared" si="53"/>
        <v>5</v>
      </c>
      <c r="I1532" s="16">
        <f>MAX(1, NETWORKDAYS(A1532, G1532,Table2[Dias no laborales]))</f>
        <v>1</v>
      </c>
      <c r="J1532" s="6" t="str">
        <f>IF(Table1[[#This Row],[FIN]]="","Acumulado",IF(ISNUMBER(SEARCH("ASAP",C1532)),"ASAP",IF(NETWORKDAYS.INTL(F1532,G1532,1,Table2[Dias no laborales]) &lt;= 7, "Dentro", IF(A1532&gt;F1532,"Programado","Fuera"))))</f>
        <v>Programado</v>
      </c>
      <c r="K1532" s="6" t="str">
        <f t="shared" si="54"/>
        <v>Programados</v>
      </c>
      <c r="L1532" s="8">
        <v>46057</v>
      </c>
      <c r="M1532" s="17">
        <f>MAX(1,NETWORKDAYS(A1532,L1532,Table2[Dias no laborales]))</f>
        <v>1</v>
      </c>
    </row>
    <row r="1533" spans="1:13" hidden="1" x14ac:dyDescent="0.3">
      <c r="A1533" s="8">
        <v>46057</v>
      </c>
      <c r="B1533" s="16" t="s">
        <v>3082</v>
      </c>
      <c r="C1533" s="6" t="s">
        <v>3120</v>
      </c>
      <c r="D1533" s="6" t="s">
        <v>1840</v>
      </c>
      <c r="E1533" s="14">
        <v>46056.765277777777</v>
      </c>
      <c r="F1533" s="8">
        <f>IF(HOUR(Table1[[#This Row],[CORREO]])&gt;=11,WORKDAY(Table1[[#This Row],[CORREO]],1,Table2[Dias no laborales]),E1533)</f>
        <v>46057</v>
      </c>
      <c r="G1533" s="8">
        <v>46059</v>
      </c>
      <c r="H1533" s="6">
        <f t="shared" si="53"/>
        <v>5</v>
      </c>
      <c r="I1533" s="16">
        <f>MAX(1, NETWORKDAYS(A1533, G1533,Table2[Dias no laborales]))</f>
        <v>3</v>
      </c>
      <c r="J1533" s="6" t="str">
        <f>IF(Table1[[#This Row],[FIN]]="","Acumulado",IF(ISNUMBER(SEARCH("ASAP",C1533)),"ASAP",IF(NETWORKDAYS.INTL(F1533,G1533,1,Table2[Dias no laborales]) &lt;= 7, "Dentro", IF(A1533&gt;F1533,"Programado","Fuera"))))</f>
        <v>Dentro</v>
      </c>
      <c r="K1533" s="6" t="str">
        <f t="shared" si="54"/>
        <v>A tiempo</v>
      </c>
      <c r="L1533" s="8">
        <v>46057</v>
      </c>
      <c r="M1533" s="17">
        <f>MAX(1,NETWORKDAYS(A1533,L1533,Table2[Dias no laborales]))</f>
        <v>1</v>
      </c>
    </row>
    <row r="1534" spans="1:13" hidden="1" x14ac:dyDescent="0.3">
      <c r="A1534" s="8">
        <v>46057</v>
      </c>
      <c r="B1534" s="16" t="s">
        <v>3083</v>
      </c>
      <c r="C1534" s="6" t="s">
        <v>3121</v>
      </c>
      <c r="D1534" s="6" t="s">
        <v>3122</v>
      </c>
      <c r="E1534" s="14">
        <v>46056.8125</v>
      </c>
      <c r="F1534" s="8">
        <f>IF(HOUR(Table1[[#This Row],[CORREO]])&gt;=11,WORKDAY(Table1[[#This Row],[CORREO]],1,Table2[Dias no laborales]),E1534)</f>
        <v>46057</v>
      </c>
      <c r="G1534" s="8">
        <v>46058</v>
      </c>
      <c r="H1534" s="6">
        <f t="shared" si="53"/>
        <v>5</v>
      </c>
      <c r="I1534" s="16">
        <f>MAX(1, NETWORKDAYS(A1534, G1534,Table2[Dias no laborales]))</f>
        <v>2</v>
      </c>
      <c r="J1534" s="6" t="str">
        <f>IF(Table1[[#This Row],[FIN]]="","Acumulado",IF(ISNUMBER(SEARCH("ASAP",C1534)),"ASAP",IF(NETWORKDAYS.INTL(F1534,G1534,1,Table2[Dias no laborales]) &lt;= 7, "Dentro", IF(A1534&gt;F1534,"Programado","Fuera"))))</f>
        <v>Dentro</v>
      </c>
      <c r="K1534" s="6" t="str">
        <f t="shared" si="54"/>
        <v>A tiempo</v>
      </c>
      <c r="L1534" s="8">
        <v>46057</v>
      </c>
      <c r="M1534" s="17">
        <f>MAX(1,NETWORKDAYS(A1534,L1534,Table2[Dias no laborales]))</f>
        <v>1</v>
      </c>
    </row>
    <row r="1535" spans="1:13" hidden="1" x14ac:dyDescent="0.3">
      <c r="A1535" s="8">
        <v>46057</v>
      </c>
      <c r="B1535" s="16" t="s">
        <v>3084</v>
      </c>
      <c r="C1535" s="6" t="s">
        <v>3162</v>
      </c>
      <c r="D1535" s="6" t="s">
        <v>3163</v>
      </c>
      <c r="E1535" s="14">
        <v>46057.359722222223</v>
      </c>
      <c r="F1535" s="8">
        <f>IF(HOUR(Table1[[#This Row],[CORREO]])&gt;=11,WORKDAY(Table1[[#This Row],[CORREO]],1,Table2[Dias no laborales]),E1535)</f>
        <v>46057.359722222223</v>
      </c>
      <c r="G1535" s="8">
        <v>46065</v>
      </c>
      <c r="H1535" s="6">
        <f t="shared" si="53"/>
        <v>5</v>
      </c>
      <c r="I1535" s="16">
        <f>MAX(1, NETWORKDAYS(A1535, G1535,Table2[Dias no laborales]))</f>
        <v>7</v>
      </c>
      <c r="J1535" s="6" t="str">
        <f>IF(Table1[[#This Row],[FIN]]="","Acumulado",IF(ISNUMBER(SEARCH("ASAP",C1535)),"ASAP",IF(NETWORKDAYS.INTL(F1535,G1535,1,Table2[Dias no laborales]) &lt;= 7, "Dentro", IF(A1535&gt;F1535,"Programado","Fuera"))))</f>
        <v>Dentro</v>
      </c>
      <c r="K1535" s="6" t="str">
        <f t="shared" si="54"/>
        <v>A tiempo</v>
      </c>
      <c r="L1535" s="8">
        <v>46057</v>
      </c>
      <c r="M1535" s="17">
        <f>MAX(1,NETWORKDAYS(A1535,L1535,Table2[Dias no laborales]))</f>
        <v>1</v>
      </c>
    </row>
    <row r="1536" spans="1:13" hidden="1" x14ac:dyDescent="0.3">
      <c r="A1536" s="8">
        <v>46057</v>
      </c>
      <c r="B1536" s="16" t="s">
        <v>3085</v>
      </c>
      <c r="C1536" s="6" t="s">
        <v>3164</v>
      </c>
      <c r="D1536" s="6" t="s">
        <v>2994</v>
      </c>
      <c r="E1536" s="14">
        <v>46057.363888888889</v>
      </c>
      <c r="F1536" s="8">
        <f>IF(HOUR(Table1[[#This Row],[CORREO]])&gt;=11,WORKDAY(Table1[[#This Row],[CORREO]],1,Table2[Dias no laborales]),E1536)</f>
        <v>46057.363888888889</v>
      </c>
      <c r="G1536" s="8">
        <v>46059</v>
      </c>
      <c r="H1536" s="6">
        <f t="shared" si="53"/>
        <v>5</v>
      </c>
      <c r="I1536" s="16">
        <f>MAX(1, NETWORKDAYS(A1536, G1536,Table2[Dias no laborales]))</f>
        <v>3</v>
      </c>
      <c r="J1536" s="6" t="str">
        <f>IF(Table1[[#This Row],[FIN]]="","Acumulado",IF(ISNUMBER(SEARCH("ASAP",C1536)),"ASAP",IF(NETWORKDAYS.INTL(F1536,G1536,1,Table2[Dias no laborales]) &lt;= 7, "Dentro", IF(A1536&gt;F1536,"Programado","Fuera"))))</f>
        <v>Dentro</v>
      </c>
      <c r="K1536" s="6" t="str">
        <f t="shared" si="54"/>
        <v>A tiempo</v>
      </c>
      <c r="L1536" s="8">
        <v>46058</v>
      </c>
      <c r="M1536" s="17">
        <f>MAX(1,NETWORKDAYS(A1536,L1536,Table2[Dias no laborales]))</f>
        <v>2</v>
      </c>
    </row>
    <row r="1537" spans="1:13" hidden="1" x14ac:dyDescent="0.3">
      <c r="A1537" s="8">
        <v>46057</v>
      </c>
      <c r="B1537" s="16" t="s">
        <v>3086</v>
      </c>
      <c r="C1537" s="6" t="s">
        <v>3165</v>
      </c>
      <c r="D1537" s="6" t="s">
        <v>3166</v>
      </c>
      <c r="E1537" s="14">
        <v>46057.423611111109</v>
      </c>
      <c r="F1537" s="8">
        <f>IF(HOUR(Table1[[#This Row],[CORREO]])&gt;=11,WORKDAY(Table1[[#This Row],[CORREO]],1,Table2[Dias no laborales]),E1537)</f>
        <v>46057.423611111109</v>
      </c>
      <c r="G1537" s="8">
        <v>46057</v>
      </c>
      <c r="H1537" s="6">
        <f t="shared" si="53"/>
        <v>5</v>
      </c>
      <c r="I1537" s="16">
        <f>MAX(1, NETWORKDAYS(A1537, G1537,Table2[Dias no laborales]))</f>
        <v>1</v>
      </c>
      <c r="J1537" s="6" t="str">
        <f>IF(Table1[[#This Row],[FIN]]="","Acumulado",IF(ISNUMBER(SEARCH("ASAP",C1537)),"ASAP",IF(NETWORKDAYS.INTL(F1537,G1537,1,Table2[Dias no laborales]) &lt;= 7, "Dentro", IF(A1537&gt;F1537,"Programado","Fuera"))))</f>
        <v>Dentro</v>
      </c>
      <c r="K1537" s="6" t="str">
        <f t="shared" si="54"/>
        <v>A tiempo</v>
      </c>
      <c r="L1537" s="8">
        <v>46057</v>
      </c>
      <c r="M1537" s="17">
        <f>MAX(1,NETWORKDAYS(A1537,L1537,Table2[Dias no laborales]))</f>
        <v>1</v>
      </c>
    </row>
    <row r="1538" spans="1:13" hidden="1" x14ac:dyDescent="0.3">
      <c r="A1538" s="8">
        <v>46057</v>
      </c>
      <c r="B1538" s="16" t="s">
        <v>3087</v>
      </c>
      <c r="C1538" s="6" t="s">
        <v>3167</v>
      </c>
      <c r="D1538" s="6" t="s">
        <v>24</v>
      </c>
      <c r="E1538" s="14">
        <v>46057.453472222223</v>
      </c>
      <c r="F1538" s="8">
        <f>IF(HOUR(Table1[[#This Row],[CORREO]])&gt;=11,WORKDAY(Table1[[#This Row],[CORREO]],1,Table2[Dias no laborales]),E1538)</f>
        <v>46057.453472222223</v>
      </c>
      <c r="G1538" s="8">
        <v>46065</v>
      </c>
      <c r="H1538" s="6">
        <f t="shared" si="53"/>
        <v>5</v>
      </c>
      <c r="I1538" s="16">
        <f>MAX(1, NETWORKDAYS(A1538, G1538,Table2[Dias no laborales]))</f>
        <v>7</v>
      </c>
      <c r="J1538" s="6" t="str">
        <f>IF(Table1[[#This Row],[FIN]]="","Acumulado",IF(ISNUMBER(SEARCH("ASAP",C1538)),"ASAP",IF(NETWORKDAYS.INTL(F1538,G1538,1,Table2[Dias no laborales]) &lt;= 7, "Dentro", IF(A1538&gt;F1538,"Programado","Fuera"))))</f>
        <v>Dentro</v>
      </c>
      <c r="K1538" s="6" t="str">
        <f t="shared" si="54"/>
        <v>A tiempo</v>
      </c>
      <c r="L1538" s="8">
        <v>46059</v>
      </c>
      <c r="M1538" s="17">
        <f>MAX(1,NETWORKDAYS(A1538,L1538,Table2[Dias no laborales]))</f>
        <v>3</v>
      </c>
    </row>
    <row r="1539" spans="1:13" hidden="1" x14ac:dyDescent="0.3">
      <c r="A1539" s="8">
        <v>46057</v>
      </c>
      <c r="B1539" s="16" t="s">
        <v>3088</v>
      </c>
      <c r="C1539" s="6" t="s">
        <v>3168</v>
      </c>
      <c r="D1539" s="6" t="s">
        <v>3169</v>
      </c>
      <c r="E1539" s="14">
        <v>46057.645833333336</v>
      </c>
      <c r="F1539" s="8">
        <f>IF(HOUR(Table1[[#This Row],[CORREO]])&gt;=11,WORKDAY(Table1[[#This Row],[CORREO]],1,Table2[Dias no laborales]),E1539)</f>
        <v>46058</v>
      </c>
      <c r="G1539" s="8">
        <v>46059</v>
      </c>
      <c r="H1539" s="6">
        <f t="shared" si="53"/>
        <v>5</v>
      </c>
      <c r="I1539" s="16">
        <f>MAX(1, NETWORKDAYS(A1539, G1539,Table2[Dias no laborales]))</f>
        <v>3</v>
      </c>
      <c r="J1539" s="6" t="str">
        <f>IF(Table1[[#This Row],[FIN]]="","Acumulado",IF(ISNUMBER(SEARCH("ASAP",C1539)),"ASAP",IF(NETWORKDAYS.INTL(F1539,G1539,1,Table2[Dias no laborales]) &lt;= 7, "Dentro", IF(A1539&gt;F1539,"Programado","Fuera"))))</f>
        <v>Dentro</v>
      </c>
      <c r="K1539" s="6" t="str">
        <f t="shared" si="54"/>
        <v>Mismo día</v>
      </c>
      <c r="L1539" s="8">
        <v>46057</v>
      </c>
      <c r="M1539" s="17">
        <f>MAX(1,NETWORKDAYS(A1539,L1539,Table2[Dias no laborales]))</f>
        <v>1</v>
      </c>
    </row>
    <row r="1540" spans="1:13" hidden="1" x14ac:dyDescent="0.3">
      <c r="A1540" s="8">
        <v>46058</v>
      </c>
      <c r="B1540" s="16" t="s">
        <v>3089</v>
      </c>
      <c r="C1540" s="6" t="s">
        <v>3170</v>
      </c>
      <c r="D1540" s="6" t="s">
        <v>449</v>
      </c>
      <c r="E1540" s="14"/>
      <c r="F1540" s="8">
        <f>IF(HOUR(Table1[[#This Row],[CORREO]])&gt;=11,WORKDAY(Table1[[#This Row],[CORREO]],1,Table2[Dias no laborales]),E1540)</f>
        <v>0</v>
      </c>
      <c r="G1540" s="8">
        <v>46071</v>
      </c>
      <c r="H1540" s="6">
        <f t="shared" si="53"/>
        <v>6</v>
      </c>
      <c r="I1540" s="16">
        <f>MAX(1, NETWORKDAYS(A1540, G1540,Table2[Dias no laborales]))</f>
        <v>10</v>
      </c>
      <c r="J1540" s="6" t="str">
        <f>IF(Table1[[#This Row],[FIN]]="","Acumulado",IF(ISNUMBER(SEARCH("ASAP",C1540)),"ASAP",IF(NETWORKDAYS.INTL(F1540,G1540,1,Table2[Dias no laborales]) &lt;= 7, "Dentro", IF(A1540&gt;F1540,"Programado","Fuera"))))</f>
        <v>Programado</v>
      </c>
      <c r="K1540" s="6" t="str">
        <f t="shared" si="54"/>
        <v>Programados</v>
      </c>
      <c r="L1540" s="8">
        <v>46058</v>
      </c>
      <c r="M1540" s="17">
        <f>MAX(1,NETWORKDAYS(A1540,L1540,Table2[Dias no laborales]))</f>
        <v>1</v>
      </c>
    </row>
    <row r="1541" spans="1:13" hidden="1" x14ac:dyDescent="0.3">
      <c r="A1541" s="8">
        <v>46058</v>
      </c>
      <c r="B1541" s="16" t="s">
        <v>3090</v>
      </c>
      <c r="C1541" s="6" t="s">
        <v>3171</v>
      </c>
      <c r="D1541" s="6" t="s">
        <v>1136</v>
      </c>
      <c r="E1541" s="14">
        <v>46057.465277777781</v>
      </c>
      <c r="F1541" s="8">
        <f>IF(HOUR(Table1[[#This Row],[CORREO]])&gt;=11,WORKDAY(Table1[[#This Row],[CORREO]],1,Table2[Dias no laborales]),E1541)</f>
        <v>46058</v>
      </c>
      <c r="G1541" s="8">
        <v>46059</v>
      </c>
      <c r="H1541" s="6">
        <f t="shared" si="53"/>
        <v>6</v>
      </c>
      <c r="I1541" s="16">
        <f>MAX(1, NETWORKDAYS(A1541, G1541,Table2[Dias no laborales]))</f>
        <v>2</v>
      </c>
      <c r="J1541" s="6" t="str">
        <f>IF(Table1[[#This Row],[FIN]]="","Acumulado",IF(ISNUMBER(SEARCH("ASAP",C1541)),"ASAP",IF(NETWORKDAYS.INTL(F1541,G1541,1,Table2[Dias no laborales]) &lt;= 7, "Dentro", IF(A1541&gt;F1541,"Programado","Fuera"))))</f>
        <v>Dentro</v>
      </c>
      <c r="K1541" s="6" t="str">
        <f t="shared" si="54"/>
        <v>A tiempo</v>
      </c>
      <c r="L1541" s="8">
        <v>46058</v>
      </c>
      <c r="M1541" s="17">
        <f>MAX(1,NETWORKDAYS(A1541,L1541,Table2[Dias no laborales]))</f>
        <v>1</v>
      </c>
    </row>
    <row r="1542" spans="1:13" hidden="1" x14ac:dyDescent="0.3">
      <c r="A1542" s="8">
        <v>46058</v>
      </c>
      <c r="B1542" s="16" t="s">
        <v>3091</v>
      </c>
      <c r="C1542" s="6" t="s">
        <v>3172</v>
      </c>
      <c r="D1542" s="6" t="s">
        <v>24</v>
      </c>
      <c r="E1542" s="14">
        <v>46057.570138888892</v>
      </c>
      <c r="F1542" s="8">
        <f>IF(HOUR(Table1[[#This Row],[CORREO]])&gt;=11,WORKDAY(Table1[[#This Row],[CORREO]],1,Table2[Dias no laborales]),E1542)</f>
        <v>46058</v>
      </c>
      <c r="G1542" s="8">
        <v>46070</v>
      </c>
      <c r="H1542" s="6">
        <f t="shared" si="53"/>
        <v>6</v>
      </c>
      <c r="I1542" s="16">
        <f>MAX(1, NETWORKDAYS(A1542, G1542,Table2[Dias no laborales]))</f>
        <v>9</v>
      </c>
      <c r="J1542" s="6" t="str">
        <f>IF(Table1[[#This Row],[FIN]]="","Acumulado",IF(ISNUMBER(SEARCH("ASAP",C1542)),"ASAP",IF(NETWORKDAYS.INTL(F1542,G1542,1,Table2[Dias no laborales]) &lt;= 7, "Dentro", IF(A1542&gt;F1542,"Programado","Fuera"))))</f>
        <v>Fuera</v>
      </c>
      <c r="K1542" s="6" t="str">
        <f t="shared" si="54"/>
        <v>A tiempo</v>
      </c>
      <c r="L1542" s="8">
        <v>46058</v>
      </c>
      <c r="M1542" s="17">
        <f>MAX(1,NETWORKDAYS(A1542,L1542,Table2[Dias no laborales]))</f>
        <v>1</v>
      </c>
    </row>
    <row r="1543" spans="1:13" hidden="1" x14ac:dyDescent="0.3">
      <c r="A1543" s="8">
        <v>46058</v>
      </c>
      <c r="B1543" s="16" t="s">
        <v>3092</v>
      </c>
      <c r="C1543" s="6" t="s">
        <v>3173</v>
      </c>
      <c r="D1543" s="6" t="s">
        <v>3174</v>
      </c>
      <c r="E1543" s="14">
        <v>46057.584027777775</v>
      </c>
      <c r="F1543" s="8">
        <f>IF(HOUR(Table1[[#This Row],[CORREO]])&gt;=11,WORKDAY(Table1[[#This Row],[CORREO]],1,Table2[Dias no laborales]),E1543)</f>
        <v>46058</v>
      </c>
      <c r="G1543" s="8">
        <v>46059</v>
      </c>
      <c r="H1543" s="6">
        <f t="shared" si="53"/>
        <v>6</v>
      </c>
      <c r="I1543" s="16">
        <f>MAX(1, NETWORKDAYS(A1543, G1543,Table2[Dias no laborales]))</f>
        <v>2</v>
      </c>
      <c r="J1543" s="6" t="str">
        <f>IF(Table1[[#This Row],[FIN]]="","Acumulado",IF(ISNUMBER(SEARCH("ASAP",C1543)),"ASAP",IF(NETWORKDAYS.INTL(F1543,G1543,1,Table2[Dias no laborales]) &lt;= 7, "Dentro", IF(A1543&gt;F1543,"Programado","Fuera"))))</f>
        <v>Dentro</v>
      </c>
      <c r="K1543" s="6" t="str">
        <f t="shared" si="54"/>
        <v>A tiempo</v>
      </c>
      <c r="L1543" s="8">
        <v>46058</v>
      </c>
      <c r="M1543" s="17">
        <f>MAX(1,NETWORKDAYS(A1543,L1543,Table2[Dias no laborales]))</f>
        <v>1</v>
      </c>
    </row>
    <row r="1544" spans="1:13" hidden="1" x14ac:dyDescent="0.3">
      <c r="A1544" s="8">
        <v>46058</v>
      </c>
      <c r="B1544" s="16" t="s">
        <v>3093</v>
      </c>
      <c r="C1544" s="6" t="s">
        <v>3175</v>
      </c>
      <c r="D1544" s="6" t="s">
        <v>2981</v>
      </c>
      <c r="E1544" s="14">
        <v>46057.624305555553</v>
      </c>
      <c r="F1544" s="8">
        <f>IF(HOUR(Table1[[#This Row],[CORREO]])&gt;=11,WORKDAY(Table1[[#This Row],[CORREO]],1,Table2[Dias no laborales]),E1544)</f>
        <v>46058</v>
      </c>
      <c r="G1544" s="8">
        <v>46063</v>
      </c>
      <c r="H1544" s="6">
        <f t="shared" si="53"/>
        <v>6</v>
      </c>
      <c r="I1544" s="16">
        <f>MAX(1, NETWORKDAYS(A1544, G1544,Table2[Dias no laborales]))</f>
        <v>4</v>
      </c>
      <c r="J1544" s="6" t="str">
        <f>IF(Table1[[#This Row],[FIN]]="","Acumulado",IF(ISNUMBER(SEARCH("ASAP",C1544)),"ASAP",IF(NETWORKDAYS.INTL(F1544,G1544,1,Table2[Dias no laborales]) &lt;= 7, "Dentro", IF(A1544&gt;F1544,"Programado","Fuera"))))</f>
        <v>Dentro</v>
      </c>
      <c r="K1544" s="6" t="str">
        <f t="shared" si="54"/>
        <v>A tiempo</v>
      </c>
      <c r="L1544" s="8">
        <v>46062</v>
      </c>
      <c r="M1544" s="17">
        <f>MAX(1,NETWORKDAYS(A1544,L1544,Table2[Dias no laborales]))</f>
        <v>3</v>
      </c>
    </row>
    <row r="1545" spans="1:13" hidden="1" x14ac:dyDescent="0.3">
      <c r="A1545" s="8">
        <v>46058</v>
      </c>
      <c r="B1545" s="16" t="s">
        <v>3094</v>
      </c>
      <c r="C1545" s="6" t="s">
        <v>3176</v>
      </c>
      <c r="D1545" s="6" t="s">
        <v>100</v>
      </c>
      <c r="E1545" s="14">
        <v>46057.643055555556</v>
      </c>
      <c r="F1545" s="8">
        <f>IF(HOUR(Table1[[#This Row],[CORREO]])&gt;=11,WORKDAY(Table1[[#This Row],[CORREO]],1,Table2[Dias no laborales]),E1545)</f>
        <v>46058</v>
      </c>
      <c r="G1545" s="8">
        <v>46059</v>
      </c>
      <c r="H1545" s="6">
        <f t="shared" si="53"/>
        <v>6</v>
      </c>
      <c r="I1545" s="16">
        <f>MAX(1, NETWORKDAYS(A1545, G1545,Table2[Dias no laborales]))</f>
        <v>2</v>
      </c>
      <c r="J1545" s="6" t="str">
        <f>IF(Table1[[#This Row],[FIN]]="","Acumulado",IF(ISNUMBER(SEARCH("ASAP",C1545)),"ASAP",IF(NETWORKDAYS.INTL(F1545,G1545,1,Table2[Dias no laborales]) &lt;= 7, "Dentro", IF(A1545&gt;F1545,"Programado","Fuera"))))</f>
        <v>Dentro</v>
      </c>
      <c r="K1545" s="6" t="str">
        <f t="shared" si="54"/>
        <v>A tiempo</v>
      </c>
      <c r="L1545" s="8">
        <v>46059</v>
      </c>
      <c r="M1545" s="17">
        <f>MAX(1,NETWORKDAYS(A1545,L1545,Table2[Dias no laborales]))</f>
        <v>2</v>
      </c>
    </row>
    <row r="1546" spans="1:13" hidden="1" x14ac:dyDescent="0.3">
      <c r="A1546" s="8">
        <v>46058</v>
      </c>
      <c r="B1546" s="16" t="s">
        <v>3095</v>
      </c>
      <c r="C1546" s="6" t="s">
        <v>3177</v>
      </c>
      <c r="D1546" s="6" t="s">
        <v>707</v>
      </c>
      <c r="E1546" s="14">
        <v>46057.675694444442</v>
      </c>
      <c r="F1546" s="8">
        <f>IF(HOUR(Table1[[#This Row],[CORREO]])&gt;=11,WORKDAY(Table1[[#This Row],[CORREO]],1,Table2[Dias no laborales]),E1546)</f>
        <v>46058</v>
      </c>
      <c r="G1546" s="8">
        <v>46059</v>
      </c>
      <c r="H1546" s="6">
        <f t="shared" si="53"/>
        <v>6</v>
      </c>
      <c r="I1546" s="16">
        <f>MAX(1, NETWORKDAYS(A1546, G1546,Table2[Dias no laborales]))</f>
        <v>2</v>
      </c>
      <c r="J1546" s="6" t="str">
        <f>IF(Table1[[#This Row],[FIN]]="","Acumulado",IF(ISNUMBER(SEARCH("ASAP",C1546)),"ASAP",IF(NETWORKDAYS.INTL(F1546,G1546,1,Table2[Dias no laborales]) &lt;= 7, "Dentro", IF(A1546&gt;F1546,"Programado","Fuera"))))</f>
        <v>Dentro</v>
      </c>
      <c r="K1546" s="6" t="str">
        <f t="shared" si="54"/>
        <v>A tiempo</v>
      </c>
      <c r="L1546" s="8">
        <v>46057.675694444442</v>
      </c>
      <c r="M1546" s="17">
        <f>MAX(1,NETWORKDAYS(A1546,L1546,Table2[Dias no laborales]))</f>
        <v>1</v>
      </c>
    </row>
    <row r="1547" spans="1:13" hidden="1" x14ac:dyDescent="0.3">
      <c r="A1547" s="8">
        <v>46058</v>
      </c>
      <c r="B1547" s="16" t="s">
        <v>3096</v>
      </c>
      <c r="C1547" s="6" t="s">
        <v>3178</v>
      </c>
      <c r="D1547" s="6" t="s">
        <v>1675</v>
      </c>
      <c r="E1547" s="14">
        <v>46057.724305555559</v>
      </c>
      <c r="F1547" s="8">
        <f>IF(HOUR(Table1[[#This Row],[CORREO]])&gt;=11,WORKDAY(Table1[[#This Row],[CORREO]],1,Table2[Dias no laborales]),E1547)</f>
        <v>46058</v>
      </c>
      <c r="G1547" s="8">
        <v>46063</v>
      </c>
      <c r="H1547" s="6">
        <f t="shared" si="53"/>
        <v>6</v>
      </c>
      <c r="I1547" s="16">
        <f>MAX(1, NETWORKDAYS(A1547, G1547,Table2[Dias no laborales]))</f>
        <v>4</v>
      </c>
      <c r="J1547" s="6" t="str">
        <f>IF(Table1[[#This Row],[FIN]]="","Acumulado",IF(ISNUMBER(SEARCH("ASAP",C1547)),"ASAP",IF(NETWORKDAYS.INTL(F1547,G1547,1,Table2[Dias no laborales]) &lt;= 7, "Dentro", IF(A1547&gt;F1547,"Programado","Fuera"))))</f>
        <v>Dentro</v>
      </c>
      <c r="K1547" s="6" t="str">
        <f t="shared" si="54"/>
        <v>A tiempo</v>
      </c>
      <c r="L1547" s="8">
        <v>46058</v>
      </c>
      <c r="M1547" s="17">
        <f>MAX(1,NETWORKDAYS(A1547,L1547,Table2[Dias no laborales]))</f>
        <v>1</v>
      </c>
    </row>
    <row r="1548" spans="1:13" hidden="1" x14ac:dyDescent="0.3">
      <c r="A1548" s="8">
        <v>46058</v>
      </c>
      <c r="B1548" s="16" t="s">
        <v>3097</v>
      </c>
      <c r="C1548" s="6" t="s">
        <v>3179</v>
      </c>
      <c r="D1548" s="6" t="s">
        <v>3041</v>
      </c>
      <c r="E1548" s="14">
        <v>46058.368055555555</v>
      </c>
      <c r="F1548" s="8">
        <f>IF(HOUR(Table1[[#This Row],[CORREO]])&gt;=11,WORKDAY(Table1[[#This Row],[CORREO]],1,Table2[Dias no laborales]),E1548)</f>
        <v>46058.368055555555</v>
      </c>
      <c r="G1548" s="8">
        <v>46059</v>
      </c>
      <c r="H1548" s="6">
        <f t="shared" si="53"/>
        <v>6</v>
      </c>
      <c r="I1548" s="16">
        <f>MAX(1, NETWORKDAYS(A1548, G1548,Table2[Dias no laborales]))</f>
        <v>2</v>
      </c>
      <c r="J1548" s="6" t="str">
        <f>IF(Table1[[#This Row],[FIN]]="","Acumulado",IF(ISNUMBER(SEARCH("ASAP",C1548)),"ASAP",IF(NETWORKDAYS.INTL(F1548,G1548,1,Table2[Dias no laborales]) &lt;= 7, "Dentro", IF(A1548&gt;F1548,"Programado","Fuera"))))</f>
        <v>Dentro</v>
      </c>
      <c r="K1548" s="6" t="str">
        <f t="shared" si="54"/>
        <v>A tiempo</v>
      </c>
      <c r="L1548" s="8">
        <v>46058</v>
      </c>
      <c r="M1548" s="17">
        <f>MAX(1,NETWORKDAYS(A1548,L1548,Table2[Dias no laborales]))</f>
        <v>1</v>
      </c>
    </row>
    <row r="1549" spans="1:13" hidden="1" x14ac:dyDescent="0.3">
      <c r="A1549" s="8">
        <v>46058</v>
      </c>
      <c r="B1549" s="16" t="s">
        <v>3098</v>
      </c>
      <c r="C1549" s="6" t="s">
        <v>3180</v>
      </c>
      <c r="D1549" s="6" t="s">
        <v>148</v>
      </c>
      <c r="E1549" s="14">
        <v>46058.383333333331</v>
      </c>
      <c r="F1549" s="8">
        <f>IF(HOUR(Table1[[#This Row],[CORREO]])&gt;=11,WORKDAY(Table1[[#This Row],[CORREO]],1,Table2[Dias no laborales]),E1549)</f>
        <v>46058.383333333331</v>
      </c>
      <c r="G1549" s="8">
        <v>46098</v>
      </c>
      <c r="H1549" s="6">
        <f t="shared" si="53"/>
        <v>6</v>
      </c>
      <c r="I1549" s="16">
        <f>MAX(1, NETWORKDAYS(A1549, G1549,Table2[Dias no laborales]))</f>
        <v>28</v>
      </c>
      <c r="J1549" s="6" t="str">
        <f>IF(Table1[[#This Row],[FIN]]="","Acumulado",IF(ISNUMBER(SEARCH("ASAP",C1549)),"ASAP",IF(NETWORKDAYS.INTL(F1549,G1549,1,Table2[Dias no laborales]) &lt;= 7, "Dentro", IF(A1549&gt;F1549,"Programado","Fuera"))))</f>
        <v>Fuera</v>
      </c>
      <c r="K1549" s="6" t="str">
        <f t="shared" si="54"/>
        <v>A tiempo</v>
      </c>
      <c r="L1549" s="8">
        <v>46059</v>
      </c>
      <c r="M1549" s="17">
        <f>MAX(1,NETWORKDAYS(A1549,L1549,Table2[Dias no laborales]))</f>
        <v>2</v>
      </c>
    </row>
    <row r="1550" spans="1:13" hidden="1" x14ac:dyDescent="0.3">
      <c r="A1550" s="8">
        <v>46058</v>
      </c>
      <c r="B1550" s="16" t="s">
        <v>3099</v>
      </c>
      <c r="C1550" s="6" t="s">
        <v>3181</v>
      </c>
      <c r="D1550" s="6" t="s">
        <v>37</v>
      </c>
      <c r="E1550" s="14">
        <v>46058.427083333336</v>
      </c>
      <c r="F1550" s="8">
        <f>IF(HOUR(Table1[[#This Row],[CORREO]])&gt;=11,WORKDAY(Table1[[#This Row],[CORREO]],1,Table2[Dias no laborales]),E1550)</f>
        <v>46058.427083333336</v>
      </c>
      <c r="G1550" s="8">
        <v>46059</v>
      </c>
      <c r="H1550" s="6">
        <f t="shared" si="53"/>
        <v>6</v>
      </c>
      <c r="I1550" s="16">
        <f>MAX(1, NETWORKDAYS(A1550, G1550,Table2[Dias no laborales]))</f>
        <v>2</v>
      </c>
      <c r="J1550" s="6" t="str">
        <f>IF(Table1[[#This Row],[FIN]]="","Acumulado",IF(ISNUMBER(SEARCH("ASAP",C1550)),"ASAP",IF(NETWORKDAYS.INTL(F1550,G1550,1,Table2[Dias no laborales]) &lt;= 7, "Dentro", IF(A1550&gt;F1550,"Programado","Fuera"))))</f>
        <v>Dentro</v>
      </c>
      <c r="K1550" s="6" t="str">
        <f t="shared" si="54"/>
        <v>A tiempo</v>
      </c>
      <c r="L1550" s="8">
        <v>46058</v>
      </c>
      <c r="M1550" s="17">
        <f>MAX(1,NETWORKDAYS(A1550,L1550,Table2[Dias no laborales]))</f>
        <v>1</v>
      </c>
    </row>
    <row r="1551" spans="1:13" hidden="1" x14ac:dyDescent="0.3">
      <c r="A1551" s="8">
        <v>46058</v>
      </c>
      <c r="B1551" s="16" t="s">
        <v>3100</v>
      </c>
      <c r="C1551" s="6" t="s">
        <v>3182</v>
      </c>
      <c r="D1551" s="6" t="s">
        <v>3183</v>
      </c>
      <c r="E1551" s="14">
        <v>46058.473611111112</v>
      </c>
      <c r="F1551" s="8">
        <f>IF(HOUR(Table1[[#This Row],[CORREO]])&gt;=11,WORKDAY(Table1[[#This Row],[CORREO]],1,Table2[Dias no laborales]),E1551)</f>
        <v>46059</v>
      </c>
      <c r="G1551" s="8">
        <v>46059</v>
      </c>
      <c r="H1551" s="6">
        <f t="shared" si="53"/>
        <v>6</v>
      </c>
      <c r="I1551" s="16">
        <f>MAX(1, NETWORKDAYS(A1551, G1551,Table2[Dias no laborales]))</f>
        <v>2</v>
      </c>
      <c r="J1551" s="6" t="str">
        <f>IF(Table1[[#This Row],[FIN]]="","Acumulado",IF(ISNUMBER(SEARCH("ASAP",C1551)),"ASAP",IF(NETWORKDAYS.INTL(F1551,G1551,1,Table2[Dias no laborales]) &lt;= 7, "Dentro", IF(A1551&gt;F1551,"Programado","Fuera"))))</f>
        <v>Dentro</v>
      </c>
      <c r="K1551" s="6" t="str">
        <f t="shared" si="54"/>
        <v>Mismo día</v>
      </c>
      <c r="L1551" s="8">
        <v>46058</v>
      </c>
      <c r="M1551" s="17">
        <f>MAX(1,NETWORKDAYS(A1551,L1551,Table2[Dias no laborales]))</f>
        <v>1</v>
      </c>
    </row>
    <row r="1552" spans="1:13" hidden="1" x14ac:dyDescent="0.3">
      <c r="A1552" s="8">
        <v>46058</v>
      </c>
      <c r="B1552" s="16" t="s">
        <v>3101</v>
      </c>
      <c r="C1552" s="6" t="s">
        <v>3184</v>
      </c>
      <c r="D1552" s="6" t="s">
        <v>27</v>
      </c>
      <c r="E1552" s="14"/>
      <c r="F1552" s="8">
        <f>IF(HOUR(Table1[[#This Row],[CORREO]])&gt;=11,WORKDAY(Table1[[#This Row],[CORREO]],1,Table2[Dias no laborales]),E1552)</f>
        <v>0</v>
      </c>
      <c r="G1552" s="8">
        <v>46065</v>
      </c>
      <c r="H1552" s="6">
        <f t="shared" si="53"/>
        <v>6</v>
      </c>
      <c r="I1552" s="16">
        <f>MAX(1, NETWORKDAYS(A1552, G1552,Table2[Dias no laborales]))</f>
        <v>6</v>
      </c>
      <c r="J1552" s="6" t="str">
        <f>IF(Table1[[#This Row],[FIN]]="","Acumulado",IF(ISNUMBER(SEARCH("ASAP",C1552)),"ASAP",IF(NETWORKDAYS.INTL(F1552,G1552,1,Table2[Dias no laborales]) &lt;= 7, "Dentro", IF(A1552&gt;F1552,"Programado","Fuera"))))</f>
        <v>Programado</v>
      </c>
      <c r="K1552" s="6" t="str">
        <f t="shared" si="54"/>
        <v>Programados</v>
      </c>
      <c r="L1552" s="8">
        <v>46058</v>
      </c>
      <c r="M1552" s="17">
        <f>MAX(1,NETWORKDAYS(A1552,L1552,Table2[Dias no laborales]))</f>
        <v>1</v>
      </c>
    </row>
    <row r="1553" spans="1:13" hidden="1" x14ac:dyDescent="0.3">
      <c r="A1553" s="8">
        <v>46058</v>
      </c>
      <c r="B1553" s="16" t="s">
        <v>3102</v>
      </c>
      <c r="C1553" s="6" t="s">
        <v>3185</v>
      </c>
      <c r="D1553" s="6" t="s">
        <v>27</v>
      </c>
      <c r="E1553" s="14"/>
      <c r="F1553" s="8">
        <f>IF(HOUR(Table1[[#This Row],[CORREO]])&gt;=11,WORKDAY(Table1[[#This Row],[CORREO]],1,Table2[Dias no laborales]),E1553)</f>
        <v>0</v>
      </c>
      <c r="G1553" s="8">
        <v>46065</v>
      </c>
      <c r="H1553" s="6">
        <f t="shared" si="53"/>
        <v>6</v>
      </c>
      <c r="I1553" s="16">
        <f>MAX(1, NETWORKDAYS(A1553, G1553,Table2[Dias no laborales]))</f>
        <v>6</v>
      </c>
      <c r="J1553" s="6" t="str">
        <f>IF(Table1[[#This Row],[FIN]]="","Acumulado",IF(ISNUMBER(SEARCH("ASAP",C1553)),"ASAP",IF(NETWORKDAYS.INTL(F1553,G1553,1,Table2[Dias no laborales]) &lt;= 7, "Dentro", IF(A1553&gt;F1553,"Programado","Fuera"))))</f>
        <v>Programado</v>
      </c>
      <c r="K1553" s="6" t="str">
        <f t="shared" si="54"/>
        <v>Programados</v>
      </c>
      <c r="L1553" s="8">
        <v>46058</v>
      </c>
      <c r="M1553" s="17">
        <f>MAX(1,NETWORKDAYS(A1553,L1553,Table2[Dias no laborales]))</f>
        <v>1</v>
      </c>
    </row>
    <row r="1554" spans="1:13" hidden="1" x14ac:dyDescent="0.3">
      <c r="A1554" s="8">
        <v>46058</v>
      </c>
      <c r="B1554" s="16" t="s">
        <v>3103</v>
      </c>
      <c r="C1554" s="6" t="s">
        <v>3186</v>
      </c>
      <c r="D1554" s="6" t="s">
        <v>27</v>
      </c>
      <c r="E1554" s="14"/>
      <c r="F1554" s="8">
        <f>IF(HOUR(Table1[[#This Row],[CORREO]])&gt;=11,WORKDAY(Table1[[#This Row],[CORREO]],1,Table2[Dias no laborales]),E1554)</f>
        <v>0</v>
      </c>
      <c r="G1554" s="8">
        <v>46065</v>
      </c>
      <c r="H1554" s="6">
        <f t="shared" si="53"/>
        <v>6</v>
      </c>
      <c r="I1554" s="16">
        <f>MAX(1, NETWORKDAYS(A1554, G1554,Table2[Dias no laborales]))</f>
        <v>6</v>
      </c>
      <c r="J1554" s="6" t="str">
        <f>IF(Table1[[#This Row],[FIN]]="","Acumulado",IF(ISNUMBER(SEARCH("ASAP",C1554)),"ASAP",IF(NETWORKDAYS.INTL(F1554,G1554,1,Table2[Dias no laborales]) &lt;= 7, "Dentro", IF(A1554&gt;F1554,"Programado","Fuera"))))</f>
        <v>Programado</v>
      </c>
      <c r="K1554" s="6" t="str">
        <f t="shared" si="54"/>
        <v>Programados</v>
      </c>
      <c r="L1554" s="8">
        <v>46058</v>
      </c>
      <c r="M1554" s="17">
        <f>MAX(1,NETWORKDAYS(A1554,L1554,Table2[Dias no laborales]))</f>
        <v>1</v>
      </c>
    </row>
    <row r="1555" spans="1:13" hidden="1" x14ac:dyDescent="0.3">
      <c r="A1555" s="8">
        <v>46058</v>
      </c>
      <c r="B1555" s="16" t="s">
        <v>3104</v>
      </c>
      <c r="C1555" s="6" t="s">
        <v>3187</v>
      </c>
      <c r="D1555" s="6" t="s">
        <v>27</v>
      </c>
      <c r="E1555" s="14"/>
      <c r="F1555" s="8">
        <f>IF(HOUR(Table1[[#This Row],[CORREO]])&gt;=11,WORKDAY(Table1[[#This Row],[CORREO]],1,Table2[Dias no laborales]),E1555)</f>
        <v>0</v>
      </c>
      <c r="G1555" s="8">
        <v>46065</v>
      </c>
      <c r="H1555" s="6">
        <f t="shared" si="53"/>
        <v>6</v>
      </c>
      <c r="I1555" s="16">
        <f>MAX(1, NETWORKDAYS(A1555, G1555,Table2[Dias no laborales]))</f>
        <v>6</v>
      </c>
      <c r="J1555" s="6" t="str">
        <f>IF(Table1[[#This Row],[FIN]]="","Acumulado",IF(ISNUMBER(SEARCH("ASAP",C1555)),"ASAP",IF(NETWORKDAYS.INTL(F1555,G1555,1,Table2[Dias no laborales]) &lt;= 7, "Dentro", IF(A1555&gt;F1555,"Programado","Fuera"))))</f>
        <v>Programado</v>
      </c>
      <c r="K1555" s="6" t="str">
        <f t="shared" si="54"/>
        <v>Programados</v>
      </c>
      <c r="L1555" s="8">
        <v>46058</v>
      </c>
      <c r="M1555" s="17">
        <f>MAX(1,NETWORKDAYS(A1555,L1555,Table2[Dias no laborales]))</f>
        <v>1</v>
      </c>
    </row>
    <row r="1556" spans="1:13" hidden="1" x14ac:dyDescent="0.3">
      <c r="A1556" s="8">
        <v>46058</v>
      </c>
      <c r="B1556" s="16" t="s">
        <v>3105</v>
      </c>
      <c r="C1556" s="6" t="s">
        <v>3188</v>
      </c>
      <c r="D1556" s="6" t="s">
        <v>27</v>
      </c>
      <c r="E1556" s="14"/>
      <c r="F1556" s="8">
        <f>IF(HOUR(Table1[[#This Row],[CORREO]])&gt;=11,WORKDAY(Table1[[#This Row],[CORREO]],1,Table2[Dias no laborales]),E1556)</f>
        <v>0</v>
      </c>
      <c r="G1556" s="8">
        <v>46065</v>
      </c>
      <c r="H1556" s="6">
        <f t="shared" si="53"/>
        <v>6</v>
      </c>
      <c r="I1556" s="16">
        <f>MAX(1, NETWORKDAYS(A1556, G1556,Table2[Dias no laborales]))</f>
        <v>6</v>
      </c>
      <c r="J1556" s="6" t="str">
        <f>IF(Table1[[#This Row],[FIN]]="","Acumulado",IF(ISNUMBER(SEARCH("ASAP",C1556)),"ASAP",IF(NETWORKDAYS.INTL(F1556,G1556,1,Table2[Dias no laborales]) &lt;= 7, "Dentro", IF(A1556&gt;F1556,"Programado","Fuera"))))</f>
        <v>Programado</v>
      </c>
      <c r="K1556" s="6" t="str">
        <f t="shared" si="54"/>
        <v>Programados</v>
      </c>
      <c r="L1556" s="8">
        <v>46058</v>
      </c>
      <c r="M1556" s="17">
        <f>MAX(1,NETWORKDAYS(A1556,L1556,Table2[Dias no laborales]))</f>
        <v>1</v>
      </c>
    </row>
    <row r="1557" spans="1:13" hidden="1" x14ac:dyDescent="0.3">
      <c r="A1557" s="8">
        <v>46058</v>
      </c>
      <c r="B1557" s="16" t="s">
        <v>3106</v>
      </c>
      <c r="C1557" s="6" t="s">
        <v>3238</v>
      </c>
      <c r="D1557" s="6" t="s">
        <v>1360</v>
      </c>
      <c r="E1557" s="14"/>
      <c r="F1557" s="8">
        <f>IF(HOUR(Table1[[#This Row],[CORREO]])&gt;=11,WORKDAY(Table1[[#This Row],[CORREO]],1,Table2[Dias no laborales]),E1557)</f>
        <v>0</v>
      </c>
      <c r="G1557" s="8">
        <v>46065</v>
      </c>
      <c r="H1557" s="6">
        <f t="shared" si="53"/>
        <v>6</v>
      </c>
      <c r="I1557" s="16">
        <f>MAX(1, NETWORKDAYS(A1557, G1557,Table2[Dias no laborales]))</f>
        <v>6</v>
      </c>
      <c r="J1557" s="6" t="str">
        <f>IF(Table1[[#This Row],[FIN]]="","Acumulado",IF(ISNUMBER(SEARCH("ASAP",C1557)),"ASAP",IF(NETWORKDAYS.INTL(F1557,G1557,1,Table2[Dias no laborales]) &lt;= 7, "Dentro", IF(A1557&gt;F1557,"Programado","Fuera"))))</f>
        <v>Programado</v>
      </c>
      <c r="K1557" s="6" t="str">
        <f t="shared" si="54"/>
        <v>Programados</v>
      </c>
      <c r="L1557" s="8">
        <v>46058</v>
      </c>
      <c r="M1557" s="17">
        <f>MAX(1,NETWORKDAYS(A1557,L1557,Table2[Dias no laborales]))</f>
        <v>1</v>
      </c>
    </row>
    <row r="1558" spans="1:13" hidden="1" x14ac:dyDescent="0.3">
      <c r="A1558" s="8">
        <v>46059</v>
      </c>
      <c r="B1558" s="16" t="s">
        <v>3107</v>
      </c>
      <c r="C1558" s="6" t="s">
        <v>3239</v>
      </c>
      <c r="D1558" s="6" t="s">
        <v>1726</v>
      </c>
      <c r="E1558" s="14"/>
      <c r="F1558" s="8">
        <f>IF(HOUR(Table1[[#This Row],[CORREO]])&gt;=11,WORKDAY(Table1[[#This Row],[CORREO]],1,Table2[Dias no laborales]),E1558)</f>
        <v>0</v>
      </c>
      <c r="G1558" s="8">
        <v>46093</v>
      </c>
      <c r="H1558" s="6">
        <f t="shared" si="53"/>
        <v>6</v>
      </c>
      <c r="I1558" s="16">
        <f>MAX(1, NETWORKDAYS(A1558, G1558,Table2[Dias no laborales]))</f>
        <v>25</v>
      </c>
      <c r="J1558" s="6" t="str">
        <f>IF(Table1[[#This Row],[FIN]]="","Acumulado",IF(ISNUMBER(SEARCH("ASAP",C1558)),"ASAP",IF(NETWORKDAYS.INTL(F1558,G1558,1,Table2[Dias no laborales]) &lt;= 7, "Dentro", IF(A1558&gt;F1558,"Programado","Fuera"))))</f>
        <v>Programado</v>
      </c>
      <c r="K1558" s="6" t="str">
        <f t="shared" si="54"/>
        <v>Programados</v>
      </c>
      <c r="L1558" s="8">
        <v>46059</v>
      </c>
      <c r="M1558" s="17">
        <f>MAX(1,NETWORKDAYS(A1558,L1558,Table2[Dias no laborales]))</f>
        <v>1</v>
      </c>
    </row>
    <row r="1559" spans="1:13" hidden="1" x14ac:dyDescent="0.3">
      <c r="A1559" s="8">
        <v>46059</v>
      </c>
      <c r="B1559" s="16" t="s">
        <v>3108</v>
      </c>
      <c r="C1559" s="6" t="s">
        <v>3240</v>
      </c>
      <c r="D1559" s="6" t="s">
        <v>3041</v>
      </c>
      <c r="E1559" s="14">
        <v>46058.676388888889</v>
      </c>
      <c r="F1559" s="8">
        <f>IF(HOUR(Table1[[#This Row],[CORREO]])&gt;=11,WORKDAY(Table1[[#This Row],[CORREO]],1,Table2[Dias no laborales]),E1559)</f>
        <v>46059</v>
      </c>
      <c r="G1559" s="8">
        <v>46059</v>
      </c>
      <c r="H1559" s="6">
        <f t="shared" si="53"/>
        <v>6</v>
      </c>
      <c r="I1559" s="16">
        <f>MAX(1, NETWORKDAYS(A1559, G1559,Table2[Dias no laborales]))</f>
        <v>1</v>
      </c>
      <c r="J1559" s="6" t="str">
        <f>IF(Table1[[#This Row],[FIN]]="","Acumulado",IF(ISNUMBER(SEARCH("ASAP",C1559)),"ASAP",IF(NETWORKDAYS.INTL(F1559,G1559,1,Table2[Dias no laborales]) &lt;= 7, "Dentro", IF(A1559&gt;F1559,"Programado","Fuera"))))</f>
        <v>Dentro</v>
      </c>
      <c r="K1559" s="6" t="str">
        <f t="shared" si="54"/>
        <v>A tiempo</v>
      </c>
      <c r="L1559" s="8">
        <v>46059</v>
      </c>
      <c r="M1559" s="17">
        <f>MAX(1,NETWORKDAYS(A1559,L1559,Table2[Dias no laborales]))</f>
        <v>1</v>
      </c>
    </row>
    <row r="1560" spans="1:13" hidden="1" x14ac:dyDescent="0.3">
      <c r="A1560" s="8">
        <v>46059</v>
      </c>
      <c r="B1560" s="16" t="s">
        <v>3109</v>
      </c>
      <c r="C1560" s="6" t="s">
        <v>3241</v>
      </c>
      <c r="D1560" s="6" t="s">
        <v>3020</v>
      </c>
      <c r="E1560" s="14">
        <v>46058.634722222225</v>
      </c>
      <c r="F1560" s="8">
        <f>IF(HOUR(Table1[[#This Row],[CORREO]])&gt;=11,WORKDAY(Table1[[#This Row],[CORREO]],1,Table2[Dias no laborales]),E1560)</f>
        <v>46059</v>
      </c>
      <c r="G1560" s="8">
        <v>46079</v>
      </c>
      <c r="H1560" s="6">
        <f t="shared" si="53"/>
        <v>6</v>
      </c>
      <c r="I1560" s="16">
        <f>MAX(1, NETWORKDAYS(A1560, G1560,Table2[Dias no laborales]))</f>
        <v>15</v>
      </c>
      <c r="J1560" s="6" t="str">
        <f>IF(Table1[[#This Row],[FIN]]="","Acumulado",IF(ISNUMBER(SEARCH("ASAP",C1560)),"ASAP",IF(NETWORKDAYS.INTL(F1560,G1560,1,Table2[Dias no laborales]) &lt;= 7, "Dentro", IF(A1560&gt;F1560,"Programado","Fuera"))))</f>
        <v>Fuera</v>
      </c>
      <c r="K1560" s="6" t="str">
        <f t="shared" si="54"/>
        <v>A tiempo</v>
      </c>
      <c r="L1560" s="8">
        <v>46059</v>
      </c>
      <c r="M1560" s="17">
        <f>MAX(1,NETWORKDAYS(A1560,L1560,Table2[Dias no laborales]))</f>
        <v>1</v>
      </c>
    </row>
    <row r="1561" spans="1:13" hidden="1" x14ac:dyDescent="0.3">
      <c r="A1561" s="8">
        <v>46059</v>
      </c>
      <c r="B1561" s="16" t="s">
        <v>3110</v>
      </c>
      <c r="C1561" s="6" t="s">
        <v>3242</v>
      </c>
      <c r="D1561" s="6" t="s">
        <v>37</v>
      </c>
      <c r="E1561" s="14">
        <v>46058.697222222225</v>
      </c>
      <c r="F1561" s="8">
        <f>IF(HOUR(Table1[[#This Row],[CORREO]])&gt;=11,WORKDAY(Table1[[#This Row],[CORREO]],1,Table2[Dias no laborales]),E1561)</f>
        <v>46059</v>
      </c>
      <c r="G1561" s="8">
        <v>46080</v>
      </c>
      <c r="H1561" s="6">
        <f t="shared" si="53"/>
        <v>6</v>
      </c>
      <c r="I1561" s="16">
        <f>MAX(1, NETWORKDAYS(A1561, G1561,Table2[Dias no laborales]))</f>
        <v>16</v>
      </c>
      <c r="J1561" s="6" t="str">
        <f>IF(Table1[[#This Row],[FIN]]="","Acumulado",IF(ISNUMBER(SEARCH("ASAP",C1561)),"ASAP",IF(NETWORKDAYS.INTL(F1561,G1561,1,Table2[Dias no laborales]) &lt;= 7, "Dentro", IF(A1561&gt;F1561,"Programado","Fuera"))))</f>
        <v>Fuera</v>
      </c>
      <c r="K1561" s="6" t="str">
        <f t="shared" si="54"/>
        <v>A tiempo</v>
      </c>
      <c r="L1561" s="8">
        <v>46059</v>
      </c>
      <c r="M1561" s="17">
        <f>MAX(1,NETWORKDAYS(A1561,L1561,Table2[Dias no laborales]))</f>
        <v>1</v>
      </c>
    </row>
    <row r="1562" spans="1:13" hidden="1" x14ac:dyDescent="0.3">
      <c r="A1562" s="8">
        <v>46059</v>
      </c>
      <c r="B1562" s="16" t="s">
        <v>3111</v>
      </c>
      <c r="C1562" s="6" t="s">
        <v>3243</v>
      </c>
      <c r="D1562" s="6" t="s">
        <v>24</v>
      </c>
      <c r="E1562" s="14"/>
      <c r="F1562" s="8">
        <f>IF(HOUR(Table1[[#This Row],[CORREO]])&gt;=11,WORKDAY(Table1[[#This Row],[CORREO]],1,Table2[Dias no laborales]),E1562)</f>
        <v>0</v>
      </c>
      <c r="G1562" s="8">
        <v>46086</v>
      </c>
      <c r="H1562" s="6">
        <f t="shared" si="53"/>
        <v>6</v>
      </c>
      <c r="I1562" s="16">
        <f>MAX(1, NETWORKDAYS(A1562, G1562,Table2[Dias no laborales]))</f>
        <v>20</v>
      </c>
      <c r="J1562" s="6" t="str">
        <f>IF(Table1[[#This Row],[FIN]]="","Acumulado",IF(ISNUMBER(SEARCH("ASAP",C1562)),"ASAP",IF(NETWORKDAYS.INTL(F1562,G1562,1,Table2[Dias no laborales]) &lt;= 7, "Dentro", IF(A1562&gt;F1562,"Programado","Fuera"))))</f>
        <v>Programado</v>
      </c>
      <c r="K1562" s="6" t="str">
        <f t="shared" si="54"/>
        <v>Programados</v>
      </c>
      <c r="L1562" s="8">
        <v>46062</v>
      </c>
      <c r="M1562" s="17">
        <f>MAX(1,NETWORKDAYS(A1562,L1562,Table2[Dias no laborales]))</f>
        <v>2</v>
      </c>
    </row>
    <row r="1563" spans="1:13" hidden="1" x14ac:dyDescent="0.3">
      <c r="A1563" s="8">
        <v>46059</v>
      </c>
      <c r="B1563" s="16" t="s">
        <v>3112</v>
      </c>
      <c r="C1563" s="6" t="s">
        <v>3244</v>
      </c>
      <c r="D1563" s="6" t="s">
        <v>24</v>
      </c>
      <c r="E1563" s="14">
        <v>46058.732638888891</v>
      </c>
      <c r="F1563" s="8">
        <f>IF(HOUR(Table1[[#This Row],[CORREO]])&gt;=11,WORKDAY(Table1[[#This Row],[CORREO]],1,Table2[Dias no laborales]),E1563)</f>
        <v>46059</v>
      </c>
      <c r="G1563" s="8">
        <v>46070</v>
      </c>
      <c r="H1563" s="6">
        <f t="shared" si="53"/>
        <v>6</v>
      </c>
      <c r="I1563" s="16">
        <f>MAX(1, NETWORKDAYS(A1563, G1563,Table2[Dias no laborales]))</f>
        <v>8</v>
      </c>
      <c r="J1563" s="6" t="str">
        <f>IF(Table1[[#This Row],[FIN]]="","Acumulado",IF(ISNUMBER(SEARCH("ASAP",C1563)),"ASAP",IF(NETWORKDAYS.INTL(F1563,G1563,1,Table2[Dias no laborales]) &lt;= 7, "Dentro", IF(A1563&gt;F1563,"Programado","Fuera"))))</f>
        <v>Fuera</v>
      </c>
      <c r="K1563" s="6" t="str">
        <f t="shared" si="54"/>
        <v>A tiempo</v>
      </c>
      <c r="L1563" s="8">
        <v>46059</v>
      </c>
      <c r="M1563" s="17">
        <f>MAX(1,NETWORKDAYS(A1563,L1563,Table2[Dias no laborales]))</f>
        <v>1</v>
      </c>
    </row>
    <row r="1564" spans="1:13" hidden="1" x14ac:dyDescent="0.3">
      <c r="A1564" s="8">
        <v>46059</v>
      </c>
      <c r="B1564" s="16" t="s">
        <v>3113</v>
      </c>
      <c r="C1564" s="6" t="s">
        <v>3245</v>
      </c>
      <c r="D1564" s="6" t="s">
        <v>238</v>
      </c>
      <c r="E1564" s="14">
        <v>46059.384722222225</v>
      </c>
      <c r="F1564" s="8">
        <f>IF(HOUR(Table1[[#This Row],[CORREO]])&gt;=11,WORKDAY(Table1[[#This Row],[CORREO]],1,Table2[Dias no laborales]),E1564)</f>
        <v>46059.384722222225</v>
      </c>
      <c r="G1564" s="8">
        <v>46059</v>
      </c>
      <c r="H1564" s="6">
        <f t="shared" si="53"/>
        <v>6</v>
      </c>
      <c r="I1564" s="16">
        <f>MAX(1, NETWORKDAYS(A1564, G1564,Table2[Dias no laborales]))</f>
        <v>1</v>
      </c>
      <c r="J1564" s="6" t="str">
        <f>IF(Table1[[#This Row],[FIN]]="","Acumulado",IF(ISNUMBER(SEARCH("ASAP",C1564)),"ASAP",IF(NETWORKDAYS.INTL(F1564,G1564,1,Table2[Dias no laborales]) &lt;= 7, "Dentro", IF(A1564&gt;F1564,"Programado","Fuera"))))</f>
        <v>Dentro</v>
      </c>
      <c r="K1564" s="6" t="str">
        <f t="shared" si="54"/>
        <v>A tiempo</v>
      </c>
      <c r="L1564" s="8">
        <v>46059</v>
      </c>
      <c r="M1564" s="17">
        <f>MAX(1,NETWORKDAYS(A1564,L1564,Table2[Dias no laborales]))</f>
        <v>1</v>
      </c>
    </row>
    <row r="1565" spans="1:13" hidden="1" x14ac:dyDescent="0.3">
      <c r="A1565" s="8">
        <v>46059</v>
      </c>
      <c r="B1565" s="16" t="s">
        <v>3114</v>
      </c>
      <c r="C1565" s="6" t="s">
        <v>3246</v>
      </c>
      <c r="D1565" s="6" t="s">
        <v>538</v>
      </c>
      <c r="E1565" s="14">
        <v>46059.426388888889</v>
      </c>
      <c r="F1565" s="8">
        <f>IF(HOUR(Table1[[#This Row],[CORREO]])&gt;=11,WORKDAY(Table1[[#This Row],[CORREO]],1,Table2[Dias no laborales]),E1565)</f>
        <v>46059.426388888889</v>
      </c>
      <c r="G1565" s="8">
        <v>46064</v>
      </c>
      <c r="H1565" s="6">
        <f t="shared" si="53"/>
        <v>6</v>
      </c>
      <c r="I1565" s="16">
        <f>MAX(1, NETWORKDAYS(A1565, G1565,Table2[Dias no laborales]))</f>
        <v>4</v>
      </c>
      <c r="J1565" s="6" t="str">
        <f>IF(Table1[[#This Row],[FIN]]="","Acumulado",IF(ISNUMBER(SEARCH("ASAP",C1565)),"ASAP",IF(NETWORKDAYS.INTL(F1565,G1565,1,Table2[Dias no laborales]) &lt;= 7, "Dentro", IF(A1565&gt;F1565,"Programado","Fuera"))))</f>
        <v>Dentro</v>
      </c>
      <c r="K1565" s="6" t="str">
        <f t="shared" si="54"/>
        <v>A tiempo</v>
      </c>
      <c r="L1565" s="8">
        <v>46062</v>
      </c>
      <c r="M1565" s="17">
        <f>MAX(1,NETWORKDAYS(A1565,L1565,Table2[Dias no laborales]))</f>
        <v>2</v>
      </c>
    </row>
    <row r="1566" spans="1:13" hidden="1" x14ac:dyDescent="0.3">
      <c r="A1566" s="8">
        <v>46059</v>
      </c>
      <c r="B1566" s="16" t="s">
        <v>3115</v>
      </c>
      <c r="C1566" s="6" t="s">
        <v>3247</v>
      </c>
      <c r="D1566" s="6" t="s">
        <v>3248</v>
      </c>
      <c r="E1566" s="14">
        <v>46059.481249999997</v>
      </c>
      <c r="F1566" s="8">
        <f>IF(HOUR(Table1[[#This Row],[CORREO]])&gt;=11,WORKDAY(Table1[[#This Row],[CORREO]],1,Table2[Dias no laborales]),E1566)</f>
        <v>46062</v>
      </c>
      <c r="G1566" s="8">
        <v>46065</v>
      </c>
      <c r="H1566" s="6">
        <f t="shared" si="53"/>
        <v>6</v>
      </c>
      <c r="I1566" s="16">
        <f>MAX(1, NETWORKDAYS(A1566, G1566,Table2[Dias no laborales]))</f>
        <v>5</v>
      </c>
      <c r="J1566" s="6" t="str">
        <f>IF(Table1[[#This Row],[FIN]]="","Acumulado",IF(ISNUMBER(SEARCH("ASAP",C1566)),"ASAP",IF(NETWORKDAYS.INTL(F1566,G1566,1,Table2[Dias no laborales]) &lt;= 7, "Dentro", IF(A1566&gt;F1566,"Programado","Fuera"))))</f>
        <v>Dentro</v>
      </c>
      <c r="K1566" s="6" t="str">
        <f t="shared" si="54"/>
        <v>Mismo día</v>
      </c>
      <c r="L1566" s="8">
        <v>46059</v>
      </c>
      <c r="M1566" s="17">
        <f>MAX(1,NETWORKDAYS(A1566,L1566,Table2[Dias no laborales]))</f>
        <v>1</v>
      </c>
    </row>
    <row r="1567" spans="1:13" hidden="1" x14ac:dyDescent="0.3">
      <c r="A1567" s="8">
        <v>46059</v>
      </c>
      <c r="B1567" s="16" t="s">
        <v>3123</v>
      </c>
      <c r="C1567" s="6" t="s">
        <v>3249</v>
      </c>
      <c r="D1567" s="6" t="s">
        <v>2786</v>
      </c>
      <c r="E1567" s="14"/>
      <c r="F1567" s="8">
        <f>IF(HOUR(Table1[[#This Row],[CORREO]])&gt;=11,WORKDAY(Table1[[#This Row],[CORREO]],1,Table2[Dias no laborales]),E1567)</f>
        <v>0</v>
      </c>
      <c r="G1567" s="8">
        <v>46072</v>
      </c>
      <c r="H1567" s="6">
        <f t="shared" ref="H1567:H1605" si="55">INT((A1567-DATE(YEAR(A1567),1,1))/7) + 1</f>
        <v>6</v>
      </c>
      <c r="I1567" s="16">
        <f>MAX(1, NETWORKDAYS(A1567, G1567,Table2[Dias no laborales]))</f>
        <v>10</v>
      </c>
      <c r="J1567" s="6" t="str">
        <f>IF(Table1[[#This Row],[FIN]]="","Acumulado",IF(ISNUMBER(SEARCH("ASAP",C1567)),"ASAP",IF(NETWORKDAYS.INTL(F1567,G1567,1,Table2[Dias no laborales]) &lt;= 7, "Dentro", IF(A1567&gt;F1567,"Programado","Fuera"))))</f>
        <v>Programado</v>
      </c>
      <c r="K1567" s="6" t="str">
        <f t="shared" ref="K1567:K1605" si="56">IF(INT(A1567)=INT(F1567),"A tiempo", IF(A1567&lt;F1567,"Mismo día","Programados"))</f>
        <v>Programados</v>
      </c>
      <c r="L1567" s="8">
        <v>46063</v>
      </c>
      <c r="M1567" s="17">
        <f>MAX(1,NETWORKDAYS(A1567,L1567,Table2[Dias no laborales]))</f>
        <v>3</v>
      </c>
    </row>
    <row r="1568" spans="1:13" hidden="1" x14ac:dyDescent="0.3">
      <c r="A1568" s="8">
        <v>46062</v>
      </c>
      <c r="B1568" s="16" t="s">
        <v>3124</v>
      </c>
      <c r="C1568" s="6" t="s">
        <v>3250</v>
      </c>
      <c r="D1568" s="6" t="s">
        <v>24</v>
      </c>
      <c r="E1568" s="14"/>
      <c r="F1568" s="8">
        <f>IF(HOUR(Table1[[#This Row],[CORREO]])&gt;=11,WORKDAY(Table1[[#This Row],[CORREO]],1,Table2[Dias no laborales]),E1568)</f>
        <v>0</v>
      </c>
      <c r="G1568" s="8">
        <v>46066</v>
      </c>
      <c r="H1568" s="6">
        <f t="shared" si="55"/>
        <v>6</v>
      </c>
      <c r="I1568" s="16">
        <f>MAX(1, NETWORKDAYS(A1568, G1568,Table2[Dias no laborales]))</f>
        <v>5</v>
      </c>
      <c r="J1568" s="6" t="str">
        <f>IF(Table1[[#This Row],[FIN]]="","Acumulado",IF(ISNUMBER(SEARCH("ASAP",C1568)),"ASAP",IF(NETWORKDAYS.INTL(F1568,G1568,1,Table2[Dias no laborales]) &lt;= 7, "Dentro", IF(A1568&gt;F1568,"Programado","Fuera"))))</f>
        <v>Programado</v>
      </c>
      <c r="K1568" s="6" t="str">
        <f t="shared" si="56"/>
        <v>Programados</v>
      </c>
      <c r="L1568" s="8">
        <v>46062</v>
      </c>
      <c r="M1568" s="17">
        <f>MAX(1,NETWORKDAYS(A1568,L1568,Table2[Dias no laborales]))</f>
        <v>1</v>
      </c>
    </row>
    <row r="1569" spans="1:13" hidden="1" x14ac:dyDescent="0.3">
      <c r="A1569" s="8">
        <v>46062</v>
      </c>
      <c r="B1569" s="16" t="s">
        <v>3125</v>
      </c>
      <c r="C1569" s="6" t="s">
        <v>3251</v>
      </c>
      <c r="D1569" s="6" t="s">
        <v>3252</v>
      </c>
      <c r="E1569" s="14">
        <v>46062.29583333333</v>
      </c>
      <c r="F1569" s="8">
        <f>IF(HOUR(Table1[[#This Row],[CORREO]])&gt;=11,WORKDAY(Table1[[#This Row],[CORREO]],1,Table2[Dias no laborales]),E1569)</f>
        <v>46062.29583333333</v>
      </c>
      <c r="G1569" s="8">
        <v>46073</v>
      </c>
      <c r="H1569" s="6">
        <f t="shared" si="55"/>
        <v>6</v>
      </c>
      <c r="I1569" s="16">
        <f>MAX(1, NETWORKDAYS(A1569, G1569,Table2[Dias no laborales]))</f>
        <v>10</v>
      </c>
      <c r="J1569" s="6" t="str">
        <f>IF(Table1[[#This Row],[FIN]]="","Acumulado",IF(ISNUMBER(SEARCH("ASAP",C1569)),"ASAP",IF(NETWORKDAYS.INTL(F1569,G1569,1,Table2[Dias no laborales]) &lt;= 7, "Dentro", IF(A1569&gt;F1569,"Programado","Fuera"))))</f>
        <v>Fuera</v>
      </c>
      <c r="K1569" s="6" t="str">
        <f t="shared" si="56"/>
        <v>A tiempo</v>
      </c>
      <c r="L1569" s="8">
        <v>46062</v>
      </c>
      <c r="M1569" s="17">
        <f>MAX(1,NETWORKDAYS(A1569,L1569,Table2[Dias no laborales]))</f>
        <v>1</v>
      </c>
    </row>
    <row r="1570" spans="1:13" hidden="1" x14ac:dyDescent="0.3">
      <c r="A1570" s="8">
        <v>46062</v>
      </c>
      <c r="B1570" s="16" t="s">
        <v>3126</v>
      </c>
      <c r="C1570" s="6" t="s">
        <v>3253</v>
      </c>
      <c r="D1570" s="6" t="s">
        <v>24</v>
      </c>
      <c r="E1570" s="14">
        <v>46062.357638888891</v>
      </c>
      <c r="F1570" s="8">
        <f>IF(HOUR(Table1[[#This Row],[CORREO]])&gt;=11,WORKDAY(Table1[[#This Row],[CORREO]],1,Table2[Dias no laborales]),E1570)</f>
        <v>46062.357638888891</v>
      </c>
      <c r="G1570" s="8">
        <v>46063</v>
      </c>
      <c r="H1570" s="6">
        <f t="shared" si="55"/>
        <v>6</v>
      </c>
      <c r="I1570" s="16">
        <f>MAX(1, NETWORKDAYS(A1570, G1570,Table2[Dias no laborales]))</f>
        <v>2</v>
      </c>
      <c r="J1570" s="6" t="str">
        <f>IF(Table1[[#This Row],[FIN]]="","Acumulado",IF(ISNUMBER(SEARCH("ASAP",C1570)),"ASAP",IF(NETWORKDAYS.INTL(F1570,G1570,1,Table2[Dias no laborales]) &lt;= 7, "Dentro", IF(A1570&gt;F1570,"Programado","Fuera"))))</f>
        <v>Dentro</v>
      </c>
      <c r="K1570" s="6" t="str">
        <f t="shared" si="56"/>
        <v>A tiempo</v>
      </c>
      <c r="L1570" s="8">
        <v>46062</v>
      </c>
      <c r="M1570" s="17">
        <f>MAX(1,NETWORKDAYS(A1570,L1570,Table2[Dias no laborales]))</f>
        <v>1</v>
      </c>
    </row>
    <row r="1571" spans="1:13" hidden="1" x14ac:dyDescent="0.3">
      <c r="A1571" s="8">
        <v>46062</v>
      </c>
      <c r="B1571" s="16" t="s">
        <v>3127</v>
      </c>
      <c r="C1571" s="6" t="s">
        <v>3254</v>
      </c>
      <c r="D1571" s="6" t="s">
        <v>139</v>
      </c>
      <c r="E1571" s="14">
        <v>46062.42291666667</v>
      </c>
      <c r="F1571" s="8">
        <f>IF(HOUR(Table1[[#This Row],[CORREO]])&gt;=11,WORKDAY(Table1[[#This Row],[CORREO]],1,Table2[Dias no laborales]),E1571)</f>
        <v>46062.42291666667</v>
      </c>
      <c r="G1571" s="8">
        <v>46063</v>
      </c>
      <c r="H1571" s="6">
        <f t="shared" si="55"/>
        <v>6</v>
      </c>
      <c r="I1571" s="16">
        <f>MAX(1, NETWORKDAYS(A1571, G1571,Table2[Dias no laborales]))</f>
        <v>2</v>
      </c>
      <c r="J1571" s="6" t="str">
        <f>IF(Table1[[#This Row],[FIN]]="","Acumulado",IF(ISNUMBER(SEARCH("ASAP",C1571)),"ASAP",IF(NETWORKDAYS.INTL(F1571,G1571,1,Table2[Dias no laborales]) &lt;= 7, "Dentro", IF(A1571&gt;F1571,"Programado","Fuera"))))</f>
        <v>Dentro</v>
      </c>
      <c r="K1571" s="6" t="str">
        <f t="shared" si="56"/>
        <v>A tiempo</v>
      </c>
      <c r="L1571" s="8">
        <v>46062</v>
      </c>
      <c r="M1571" s="17">
        <f>MAX(1,NETWORKDAYS(A1571,L1571,Table2[Dias no laborales]))</f>
        <v>1</v>
      </c>
    </row>
    <row r="1572" spans="1:13" hidden="1" x14ac:dyDescent="0.3">
      <c r="A1572" s="8">
        <v>46062</v>
      </c>
      <c r="B1572" s="16" t="s">
        <v>3128</v>
      </c>
      <c r="C1572" s="6" t="s">
        <v>3255</v>
      </c>
      <c r="D1572" s="6" t="s">
        <v>3256</v>
      </c>
      <c r="E1572" s="14">
        <v>46059.54791666667</v>
      </c>
      <c r="F1572" s="8">
        <f>IF(HOUR(Table1[[#This Row],[CORREO]])&gt;=11,WORKDAY(Table1[[#This Row],[CORREO]],1,Table2[Dias no laborales]),E1572)</f>
        <v>46062</v>
      </c>
      <c r="G1572" s="8">
        <v>46065</v>
      </c>
      <c r="H1572" s="6">
        <f t="shared" si="55"/>
        <v>6</v>
      </c>
      <c r="I1572" s="16">
        <f>MAX(1, NETWORKDAYS(A1572, G1572,Table2[Dias no laborales]))</f>
        <v>4</v>
      </c>
      <c r="J1572" s="6" t="str">
        <f>IF(Table1[[#This Row],[FIN]]="","Acumulado",IF(ISNUMBER(SEARCH("ASAP",C1572)),"ASAP",IF(NETWORKDAYS.INTL(F1572,G1572,1,Table2[Dias no laborales]) &lt;= 7, "Dentro", IF(A1572&gt;F1572,"Programado","Fuera"))))</f>
        <v>Dentro</v>
      </c>
      <c r="K1572" s="6" t="str">
        <f t="shared" si="56"/>
        <v>A tiempo</v>
      </c>
      <c r="L1572" s="8">
        <v>46062</v>
      </c>
      <c r="M1572" s="17">
        <f>MAX(1,NETWORKDAYS(A1572,L1572,Table2[Dias no laborales]))</f>
        <v>1</v>
      </c>
    </row>
    <row r="1573" spans="1:13" hidden="1" x14ac:dyDescent="0.3">
      <c r="A1573" s="8">
        <v>46062</v>
      </c>
      <c r="B1573" s="16" t="s">
        <v>3129</v>
      </c>
      <c r="C1573" s="6" t="s">
        <v>3257</v>
      </c>
      <c r="D1573" s="6" t="s">
        <v>3169</v>
      </c>
      <c r="E1573" s="14">
        <v>46059.572916666664</v>
      </c>
      <c r="F1573" s="8">
        <f>IF(HOUR(Table1[[#This Row],[CORREO]])&gt;=11,WORKDAY(Table1[[#This Row],[CORREO]],1,Table2[Dias no laborales]),E1573)</f>
        <v>46062</v>
      </c>
      <c r="G1573" s="8">
        <v>46073</v>
      </c>
      <c r="H1573" s="6">
        <f t="shared" si="55"/>
        <v>6</v>
      </c>
      <c r="I1573" s="16">
        <f>MAX(1, NETWORKDAYS(A1573, G1573,Table2[Dias no laborales]))</f>
        <v>10</v>
      </c>
      <c r="J1573" s="6" t="str">
        <f>IF(Table1[[#This Row],[FIN]]="","Acumulado",IF(ISNUMBER(SEARCH("ASAP",C1573)),"ASAP",IF(NETWORKDAYS.INTL(F1573,G1573,1,Table2[Dias no laborales]) &lt;= 7, "Dentro", IF(A1573&gt;F1573,"Programado","Fuera"))))</f>
        <v>Fuera</v>
      </c>
      <c r="K1573" s="6" t="str">
        <f t="shared" si="56"/>
        <v>A tiempo</v>
      </c>
      <c r="L1573" s="8">
        <v>46062</v>
      </c>
      <c r="M1573" s="17">
        <f>MAX(1,NETWORKDAYS(A1573,L1573,Table2[Dias no laborales]))</f>
        <v>1</v>
      </c>
    </row>
    <row r="1574" spans="1:13" hidden="1" x14ac:dyDescent="0.3">
      <c r="A1574" s="8">
        <v>46063</v>
      </c>
      <c r="B1574" s="16" t="s">
        <v>3130</v>
      </c>
      <c r="C1574" s="6" t="s">
        <v>2938</v>
      </c>
      <c r="D1574" s="6" t="s">
        <v>154</v>
      </c>
      <c r="E1574" s="14">
        <v>46062.492361111108</v>
      </c>
      <c r="F1574" s="8">
        <f>IF(HOUR(Table1[[#This Row],[CORREO]])&gt;=11,WORKDAY(Table1[[#This Row],[CORREO]],1,Table2[Dias no laborales]),E1574)</f>
        <v>46063</v>
      </c>
      <c r="G1574" s="8">
        <v>46093</v>
      </c>
      <c r="H1574" s="6">
        <f t="shared" si="55"/>
        <v>6</v>
      </c>
      <c r="I1574" s="16">
        <f>MAX(1, NETWORKDAYS(A1574, G1574,Table2[Dias no laborales]))</f>
        <v>23</v>
      </c>
      <c r="J1574" s="6" t="str">
        <f>IF(Table1[[#This Row],[FIN]]="","Acumulado",IF(ISNUMBER(SEARCH("ASAP",C1574)),"ASAP",IF(NETWORKDAYS.INTL(F1574,G1574,1,Table2[Dias no laborales]) &lt;= 7, "Dentro", IF(A1574&gt;F1574,"Programado","Fuera"))))</f>
        <v>Fuera</v>
      </c>
      <c r="K1574" s="6" t="str">
        <f t="shared" si="56"/>
        <v>A tiempo</v>
      </c>
      <c r="L1574" s="8">
        <v>46063</v>
      </c>
      <c r="M1574" s="17">
        <f>MAX(1,NETWORKDAYS(A1574,L1574,Table2[Dias no laborales]))</f>
        <v>1</v>
      </c>
    </row>
    <row r="1575" spans="1:13" hidden="1" x14ac:dyDescent="0.3">
      <c r="A1575" s="8">
        <v>46063</v>
      </c>
      <c r="B1575" s="16" t="s">
        <v>3131</v>
      </c>
      <c r="C1575" s="6" t="s">
        <v>3258</v>
      </c>
      <c r="D1575" s="6" t="s">
        <v>154</v>
      </c>
      <c r="E1575" s="14">
        <v>46063.361111111109</v>
      </c>
      <c r="F1575" s="8">
        <f>IF(HOUR(Table1[[#This Row],[CORREO]])&gt;=11,WORKDAY(Table1[[#This Row],[CORREO]],1,Table2[Dias no laborales]),E1575)</f>
        <v>46063.361111111109</v>
      </c>
      <c r="G1575" s="8">
        <v>46084</v>
      </c>
      <c r="H1575" s="6">
        <f t="shared" si="55"/>
        <v>6</v>
      </c>
      <c r="I1575" s="16">
        <f>MAX(1, NETWORKDAYS(A1575, G1575,Table2[Dias no laborales]))</f>
        <v>16</v>
      </c>
      <c r="J1575" s="6" t="str">
        <f>IF(Table1[[#This Row],[FIN]]="","Acumulado",IF(ISNUMBER(SEARCH("ASAP",C1575)),"ASAP",IF(NETWORKDAYS.INTL(F1575,G1575,1,Table2[Dias no laborales]) &lt;= 7, "Dentro", IF(A1575&gt;F1575,"Programado","Fuera"))))</f>
        <v>Fuera</v>
      </c>
      <c r="K1575" s="6" t="str">
        <f t="shared" si="56"/>
        <v>A tiempo</v>
      </c>
      <c r="L1575" s="8">
        <v>46063</v>
      </c>
      <c r="M1575" s="17">
        <f>MAX(1,NETWORKDAYS(A1575,L1575,Table2[Dias no laborales]))</f>
        <v>1</v>
      </c>
    </row>
    <row r="1576" spans="1:13" hidden="1" x14ac:dyDescent="0.3">
      <c r="A1576" s="8">
        <v>46063</v>
      </c>
      <c r="B1576" s="16" t="s">
        <v>3132</v>
      </c>
      <c r="C1576" s="6" t="s">
        <v>3259</v>
      </c>
      <c r="D1576" s="6" t="s">
        <v>3260</v>
      </c>
      <c r="E1576" s="14">
        <v>46063.361111111109</v>
      </c>
      <c r="F1576" s="8">
        <f>IF(HOUR(Table1[[#This Row],[CORREO]])&gt;=11,WORKDAY(Table1[[#This Row],[CORREO]],1,Table2[Dias no laborales]),E1576)</f>
        <v>46063.361111111109</v>
      </c>
      <c r="G1576" s="8">
        <v>46069</v>
      </c>
      <c r="H1576" s="6">
        <f t="shared" si="55"/>
        <v>6</v>
      </c>
      <c r="I1576" s="16">
        <f>MAX(1, NETWORKDAYS(A1576, G1576,Table2[Dias no laborales]))</f>
        <v>5</v>
      </c>
      <c r="J1576" s="6" t="str">
        <f>IF(Table1[[#This Row],[FIN]]="","Acumulado",IF(ISNUMBER(SEARCH("ASAP",C1576)),"ASAP",IF(NETWORKDAYS.INTL(F1576,G1576,1,Table2[Dias no laborales]) &lt;= 7, "Dentro", IF(A1576&gt;F1576,"Programado","Fuera"))))</f>
        <v>Dentro</v>
      </c>
      <c r="K1576" s="6" t="str">
        <f t="shared" si="56"/>
        <v>A tiempo</v>
      </c>
      <c r="L1576" s="8">
        <v>46063</v>
      </c>
      <c r="M1576" s="17">
        <f>MAX(1,NETWORKDAYS(A1576,L1576,Table2[Dias no laborales]))</f>
        <v>1</v>
      </c>
    </row>
    <row r="1577" spans="1:13" hidden="1" x14ac:dyDescent="0.3">
      <c r="A1577" s="8">
        <v>46063</v>
      </c>
      <c r="B1577" s="16" t="s">
        <v>3133</v>
      </c>
      <c r="C1577" s="6" t="s">
        <v>3261</v>
      </c>
      <c r="D1577" s="6" t="s">
        <v>538</v>
      </c>
      <c r="E1577" s="14"/>
      <c r="F1577" s="8">
        <f>IF(HOUR(Table1[[#This Row],[CORREO]])&gt;=11,WORKDAY(Table1[[#This Row],[CORREO]],1,Table2[Dias no laborales]),E1577)</f>
        <v>0</v>
      </c>
      <c r="G1577" s="8">
        <v>46064</v>
      </c>
      <c r="H1577" s="6">
        <f t="shared" si="55"/>
        <v>6</v>
      </c>
      <c r="I1577" s="16">
        <f>MAX(1, NETWORKDAYS(A1577, G1577,Table2[Dias no laborales]))</f>
        <v>2</v>
      </c>
      <c r="J1577" s="6" t="str">
        <f>IF(Table1[[#This Row],[FIN]]="","Acumulado",IF(ISNUMBER(SEARCH("ASAP",C1577)),"ASAP",IF(NETWORKDAYS.INTL(F1577,G1577,1,Table2[Dias no laborales]) &lt;= 7, "Dentro", IF(A1577&gt;F1577,"Programado","Fuera"))))</f>
        <v>Programado</v>
      </c>
      <c r="K1577" s="6" t="str">
        <f t="shared" si="56"/>
        <v>Programados</v>
      </c>
      <c r="L1577" s="8">
        <v>46063</v>
      </c>
      <c r="M1577" s="17">
        <f>MAX(1,NETWORKDAYS(A1577,L1577,Table2[Dias no laborales]))</f>
        <v>1</v>
      </c>
    </row>
    <row r="1578" spans="1:13" hidden="1" x14ac:dyDescent="0.3">
      <c r="A1578" s="8">
        <v>46063</v>
      </c>
      <c r="B1578" s="16" t="s">
        <v>3134</v>
      </c>
      <c r="C1578" s="6" t="s">
        <v>3262</v>
      </c>
      <c r="D1578" s="6" t="s">
        <v>27</v>
      </c>
      <c r="E1578" s="14">
        <v>46063.632638888892</v>
      </c>
      <c r="F1578" s="8">
        <f>IF(HOUR(Table1[[#This Row],[CORREO]])&gt;=11,WORKDAY(Table1[[#This Row],[CORREO]],1,Table2[Dias no laborales]),E1578)</f>
        <v>46064</v>
      </c>
      <c r="G1578" s="8">
        <v>46064</v>
      </c>
      <c r="H1578" s="6">
        <f t="shared" si="55"/>
        <v>6</v>
      </c>
      <c r="I1578" s="16">
        <f>MAX(1, NETWORKDAYS(A1578, G1578,Table2[Dias no laborales]))</f>
        <v>2</v>
      </c>
      <c r="J1578" s="6" t="str">
        <f>IF(Table1[[#This Row],[FIN]]="","Acumulado",IF(ISNUMBER(SEARCH("ASAP",C1578)),"ASAP",IF(NETWORKDAYS.INTL(F1578,G1578,1,Table2[Dias no laborales]) &lt;= 7, "Dentro", IF(A1578&gt;F1578,"Programado","Fuera"))))</f>
        <v>ASAP</v>
      </c>
      <c r="K1578" s="6" t="str">
        <f t="shared" si="56"/>
        <v>Mismo día</v>
      </c>
      <c r="L1578" s="8">
        <v>46063</v>
      </c>
      <c r="M1578" s="17">
        <f>MAX(1,NETWORKDAYS(A1578,L1578,Table2[Dias no laborales]))</f>
        <v>1</v>
      </c>
    </row>
    <row r="1579" spans="1:13" hidden="1" x14ac:dyDescent="0.3">
      <c r="A1579" s="8">
        <v>46063</v>
      </c>
      <c r="B1579" s="16" t="s">
        <v>3135</v>
      </c>
      <c r="C1579" s="6" t="s">
        <v>3263</v>
      </c>
      <c r="D1579" s="6" t="s">
        <v>3264</v>
      </c>
      <c r="E1579" s="14">
        <v>46063.609722222223</v>
      </c>
      <c r="F1579" s="8">
        <f>IF(HOUR(Table1[[#This Row],[CORREO]])&gt;=11,WORKDAY(Table1[[#This Row],[CORREO]],1,Table2[Dias no laborales]),E1579)</f>
        <v>46064</v>
      </c>
      <c r="G1579" s="8">
        <v>46071</v>
      </c>
      <c r="H1579" s="6">
        <f t="shared" si="55"/>
        <v>6</v>
      </c>
      <c r="I1579" s="16">
        <f>MAX(1, NETWORKDAYS(A1579, G1579,Table2[Dias no laborales]))</f>
        <v>7</v>
      </c>
      <c r="J1579" s="6" t="str">
        <f>IF(Table1[[#This Row],[FIN]]="","Acumulado",IF(ISNUMBER(SEARCH("ASAP",C1579)),"ASAP",IF(NETWORKDAYS.INTL(F1579,G1579,1,Table2[Dias no laborales]) &lt;= 7, "Dentro", IF(A1579&gt;F1579,"Programado","Fuera"))))</f>
        <v>Dentro</v>
      </c>
      <c r="K1579" s="6" t="str">
        <f t="shared" si="56"/>
        <v>Mismo día</v>
      </c>
      <c r="L1579" s="8">
        <v>46063</v>
      </c>
      <c r="M1579" s="17">
        <f>MAX(1,NETWORKDAYS(A1579,L1579,Table2[Dias no laborales]))</f>
        <v>1</v>
      </c>
    </row>
    <row r="1580" spans="1:13" hidden="1" x14ac:dyDescent="0.3">
      <c r="A1580" s="8">
        <v>46063</v>
      </c>
      <c r="B1580" s="16" t="s">
        <v>3136</v>
      </c>
      <c r="C1580" s="6" t="s">
        <v>3265</v>
      </c>
      <c r="D1580" s="6" t="s">
        <v>3266</v>
      </c>
      <c r="E1580" s="14">
        <v>46063.613194444442</v>
      </c>
      <c r="F1580" s="8">
        <f>IF(HOUR(Table1[[#This Row],[CORREO]])&gt;=11,WORKDAY(Table1[[#This Row],[CORREO]],1,Table2[Dias no laborales]),E1580)</f>
        <v>46064</v>
      </c>
      <c r="G1580" s="8">
        <v>46069</v>
      </c>
      <c r="H1580" s="6">
        <f t="shared" si="55"/>
        <v>6</v>
      </c>
      <c r="I1580" s="16">
        <f>MAX(1, NETWORKDAYS(A1580, G1580,Table2[Dias no laborales]))</f>
        <v>5</v>
      </c>
      <c r="J1580" s="6" t="str">
        <f>IF(Table1[[#This Row],[FIN]]="","Acumulado",IF(ISNUMBER(SEARCH("ASAP",C1580)),"ASAP",IF(NETWORKDAYS.INTL(F1580,G1580,1,Table2[Dias no laborales]) &lt;= 7, "Dentro", IF(A1580&gt;F1580,"Programado","Fuera"))))</f>
        <v>Dentro</v>
      </c>
      <c r="K1580" s="6" t="str">
        <f t="shared" si="56"/>
        <v>Mismo día</v>
      </c>
      <c r="L1580" s="8">
        <v>46063</v>
      </c>
      <c r="M1580" s="17">
        <f>MAX(1,NETWORKDAYS(A1580,L1580,Table2[Dias no laborales]))</f>
        <v>1</v>
      </c>
    </row>
    <row r="1581" spans="1:13" hidden="1" x14ac:dyDescent="0.3">
      <c r="A1581" s="8">
        <v>46064</v>
      </c>
      <c r="B1581" s="16" t="s">
        <v>3137</v>
      </c>
      <c r="C1581" s="6" t="s">
        <v>3267</v>
      </c>
      <c r="D1581" s="6" t="s">
        <v>27</v>
      </c>
      <c r="E1581" s="14">
        <v>46063.481944444444</v>
      </c>
      <c r="F1581" s="8">
        <f>IF(HOUR(Table1[[#This Row],[CORREO]])&gt;=11,WORKDAY(Table1[[#This Row],[CORREO]],1,Table2[Dias no laborales]),E1581)</f>
        <v>46064</v>
      </c>
      <c r="G1581" s="8">
        <v>46065</v>
      </c>
      <c r="H1581" s="6">
        <f t="shared" si="55"/>
        <v>6</v>
      </c>
      <c r="I1581" s="16">
        <f>MAX(1, NETWORKDAYS(A1581, G1581,Table2[Dias no laborales]))</f>
        <v>2</v>
      </c>
      <c r="J1581" s="6" t="str">
        <f>IF(Table1[[#This Row],[FIN]]="","Acumulado",IF(ISNUMBER(SEARCH("ASAP",C1581)),"ASAP",IF(NETWORKDAYS.INTL(F1581,G1581,1,Table2[Dias no laborales]) &lt;= 7, "Dentro", IF(A1581&gt;F1581,"Programado","Fuera"))))</f>
        <v>Dentro</v>
      </c>
      <c r="K1581" s="6" t="str">
        <f t="shared" si="56"/>
        <v>A tiempo</v>
      </c>
      <c r="L1581" s="8">
        <v>46064</v>
      </c>
      <c r="M1581" s="17">
        <f>MAX(1,NETWORKDAYS(A1581,L1581,Table2[Dias no laborales]))</f>
        <v>1</v>
      </c>
    </row>
    <row r="1582" spans="1:13" hidden="1" x14ac:dyDescent="0.3">
      <c r="A1582" s="8">
        <v>46064</v>
      </c>
      <c r="B1582" s="16" t="s">
        <v>3138</v>
      </c>
      <c r="C1582" s="6" t="s">
        <v>3268</v>
      </c>
      <c r="D1582" s="6" t="s">
        <v>2994</v>
      </c>
      <c r="E1582" s="14">
        <v>46063.484722222223</v>
      </c>
      <c r="F1582" s="8">
        <f>IF(HOUR(Table1[[#This Row],[CORREO]])&gt;=11,WORKDAY(Table1[[#This Row],[CORREO]],1,Table2[Dias no laborales]),E1582)</f>
        <v>46064</v>
      </c>
      <c r="G1582" s="8">
        <v>46065</v>
      </c>
      <c r="H1582" s="6">
        <f t="shared" si="55"/>
        <v>6</v>
      </c>
      <c r="I1582" s="16">
        <f>MAX(1, NETWORKDAYS(A1582, G1582,Table2[Dias no laborales]))</f>
        <v>2</v>
      </c>
      <c r="J1582" s="6" t="str">
        <f>IF(Table1[[#This Row],[FIN]]="","Acumulado",IF(ISNUMBER(SEARCH("ASAP",C1582)),"ASAP",IF(NETWORKDAYS.INTL(F1582,G1582,1,Table2[Dias no laborales]) &lt;= 7, "Dentro", IF(A1582&gt;F1582,"Programado","Fuera"))))</f>
        <v>Dentro</v>
      </c>
      <c r="K1582" s="6" t="str">
        <f t="shared" si="56"/>
        <v>A tiempo</v>
      </c>
      <c r="L1582" s="8">
        <v>46064</v>
      </c>
      <c r="M1582" s="17">
        <f>MAX(1,NETWORKDAYS(A1582,L1582,Table2[Dias no laborales]))</f>
        <v>1</v>
      </c>
    </row>
    <row r="1583" spans="1:13" hidden="1" x14ac:dyDescent="0.3">
      <c r="A1583" s="8">
        <v>46064</v>
      </c>
      <c r="B1583" s="16" t="s">
        <v>3139</v>
      </c>
      <c r="C1583" s="6" t="s">
        <v>3269</v>
      </c>
      <c r="D1583" s="6" t="s">
        <v>562</v>
      </c>
      <c r="E1583" s="14">
        <v>46063.768750000003</v>
      </c>
      <c r="F1583" s="8">
        <f>IF(HOUR(Table1[[#This Row],[CORREO]])&gt;=11,WORKDAY(Table1[[#This Row],[CORREO]],1,Table2[Dias no laborales]),E1583)</f>
        <v>46064</v>
      </c>
      <c r="G1583" s="8">
        <v>46069</v>
      </c>
      <c r="H1583" s="6">
        <f t="shared" si="55"/>
        <v>6</v>
      </c>
      <c r="I1583" s="16">
        <f>MAX(1, NETWORKDAYS(A1583, G1583,Table2[Dias no laborales]))</f>
        <v>4</v>
      </c>
      <c r="J1583" s="6" t="str">
        <f>IF(Table1[[#This Row],[FIN]]="","Acumulado",IF(ISNUMBER(SEARCH("ASAP",C1583)),"ASAP",IF(NETWORKDAYS.INTL(F1583,G1583,1,Table2[Dias no laborales]) &lt;= 7, "Dentro", IF(A1583&gt;F1583,"Programado","Fuera"))))</f>
        <v>Dentro</v>
      </c>
      <c r="K1583" s="6" t="str">
        <f t="shared" si="56"/>
        <v>A tiempo</v>
      </c>
      <c r="L1583" s="8">
        <v>46064</v>
      </c>
      <c r="M1583" s="17">
        <f>MAX(1,NETWORKDAYS(A1583,L1583,Table2[Dias no laborales]))</f>
        <v>1</v>
      </c>
    </row>
    <row r="1584" spans="1:13" hidden="1" x14ac:dyDescent="0.3">
      <c r="A1584" s="8">
        <v>46064</v>
      </c>
      <c r="B1584" s="16" t="s">
        <v>3140</v>
      </c>
      <c r="C1584" s="6" t="s">
        <v>3270</v>
      </c>
      <c r="D1584" s="6" t="s">
        <v>3271</v>
      </c>
      <c r="E1584" s="14">
        <v>46064.309027777781</v>
      </c>
      <c r="F1584" s="8">
        <f>IF(HOUR(Table1[[#This Row],[CORREO]])&gt;=11,WORKDAY(Table1[[#This Row],[CORREO]],1,Table2[Dias no laborales]),E1584)</f>
        <v>46064.309027777781</v>
      </c>
      <c r="G1584" s="8">
        <v>46071</v>
      </c>
      <c r="H1584" s="6">
        <f t="shared" si="55"/>
        <v>6</v>
      </c>
      <c r="I1584" s="16">
        <f>MAX(1, NETWORKDAYS(A1584, G1584,Table2[Dias no laborales]))</f>
        <v>6</v>
      </c>
      <c r="J1584" s="6" t="str">
        <f>IF(Table1[[#This Row],[FIN]]="","Acumulado",IF(ISNUMBER(SEARCH("ASAP",C1584)),"ASAP",IF(NETWORKDAYS.INTL(F1584,G1584,1,Table2[Dias no laborales]) &lt;= 7, "Dentro", IF(A1584&gt;F1584,"Programado","Fuera"))))</f>
        <v>Dentro</v>
      </c>
      <c r="K1584" s="6" t="str">
        <f t="shared" si="56"/>
        <v>A tiempo</v>
      </c>
      <c r="L1584" s="8">
        <v>46064</v>
      </c>
      <c r="M1584" s="17">
        <f>MAX(1,NETWORKDAYS(A1584,L1584,Table2[Dias no laborales]))</f>
        <v>1</v>
      </c>
    </row>
    <row r="1585" spans="1:13" hidden="1" x14ac:dyDescent="0.3">
      <c r="A1585" s="8">
        <v>46064</v>
      </c>
      <c r="B1585" s="16" t="s">
        <v>3141</v>
      </c>
      <c r="C1585" s="6" t="s">
        <v>3272</v>
      </c>
      <c r="D1585" s="6" t="s">
        <v>42</v>
      </c>
      <c r="E1585" s="14">
        <v>46064.326388888891</v>
      </c>
      <c r="F1585" s="8">
        <f>IF(HOUR(Table1[[#This Row],[CORREO]])&gt;=11,WORKDAY(Table1[[#This Row],[CORREO]],1,Table2[Dias no laborales]),E1585)</f>
        <v>46064.326388888891</v>
      </c>
      <c r="G1585" s="8">
        <v>46065</v>
      </c>
      <c r="H1585" s="6">
        <f t="shared" si="55"/>
        <v>6</v>
      </c>
      <c r="I1585" s="16">
        <f>MAX(1, NETWORKDAYS(A1585, G1585,Table2[Dias no laborales]))</f>
        <v>2</v>
      </c>
      <c r="J1585" s="6" t="str">
        <f>IF(Table1[[#This Row],[FIN]]="","Acumulado",IF(ISNUMBER(SEARCH("ASAP",C1585)),"ASAP",IF(NETWORKDAYS.INTL(F1585,G1585,1,Table2[Dias no laborales]) &lt;= 7, "Dentro", IF(A1585&gt;F1585,"Programado","Fuera"))))</f>
        <v>Dentro</v>
      </c>
      <c r="K1585" s="6" t="str">
        <f t="shared" si="56"/>
        <v>A tiempo</v>
      </c>
      <c r="L1585" s="8">
        <v>46064</v>
      </c>
      <c r="M1585" s="17">
        <f>MAX(1,NETWORKDAYS(A1585,L1585,Table2[Dias no laborales]))</f>
        <v>1</v>
      </c>
    </row>
    <row r="1586" spans="1:13" hidden="1" x14ac:dyDescent="0.3">
      <c r="A1586" s="8">
        <v>46064</v>
      </c>
      <c r="B1586" s="16" t="s">
        <v>3142</v>
      </c>
      <c r="C1586" s="6" t="s">
        <v>3273</v>
      </c>
      <c r="D1586" s="6" t="s">
        <v>3274</v>
      </c>
      <c r="E1586" s="14">
        <v>46064.352777777778</v>
      </c>
      <c r="F1586" s="8">
        <f>IF(HOUR(Table1[[#This Row],[CORREO]])&gt;=11,WORKDAY(Table1[[#This Row],[CORREO]],1,Table2[Dias no laborales]),E1586)</f>
        <v>46064.352777777778</v>
      </c>
      <c r="G1586" s="8">
        <v>46069</v>
      </c>
      <c r="H1586" s="6">
        <f t="shared" si="55"/>
        <v>6</v>
      </c>
      <c r="I1586" s="16">
        <f>MAX(1, NETWORKDAYS(A1586, G1586,Table2[Dias no laborales]))</f>
        <v>4</v>
      </c>
      <c r="J1586" s="6" t="str">
        <f>IF(Table1[[#This Row],[FIN]]="","Acumulado",IF(ISNUMBER(SEARCH("ASAP",C1586)),"ASAP",IF(NETWORKDAYS.INTL(F1586,G1586,1,Table2[Dias no laborales]) &lt;= 7, "Dentro", IF(A1586&gt;F1586,"Programado","Fuera"))))</f>
        <v>Dentro</v>
      </c>
      <c r="K1586" s="6" t="str">
        <f t="shared" si="56"/>
        <v>A tiempo</v>
      </c>
      <c r="L1586" s="8">
        <v>46064</v>
      </c>
      <c r="M1586" s="17">
        <f>MAX(1,NETWORKDAYS(A1586,L1586,Table2[Dias no laborales]))</f>
        <v>1</v>
      </c>
    </row>
    <row r="1587" spans="1:13" hidden="1" x14ac:dyDescent="0.3">
      <c r="A1587" s="8">
        <v>46064</v>
      </c>
      <c r="B1587" s="16" t="s">
        <v>3143</v>
      </c>
      <c r="C1587" s="6" t="s">
        <v>3275</v>
      </c>
      <c r="D1587" s="6" t="s">
        <v>27</v>
      </c>
      <c r="E1587" s="14">
        <v>46064.354166666664</v>
      </c>
      <c r="F1587" s="8">
        <f>IF(HOUR(Table1[[#This Row],[CORREO]])&gt;=11,WORKDAY(Table1[[#This Row],[CORREO]],1,Table2[Dias no laborales]),E1587)</f>
        <v>46064.354166666664</v>
      </c>
      <c r="G1587" s="8">
        <v>46070</v>
      </c>
      <c r="H1587" s="6">
        <f t="shared" si="55"/>
        <v>6</v>
      </c>
      <c r="I1587" s="16">
        <f>MAX(1, NETWORKDAYS(A1587, G1587,Table2[Dias no laborales]))</f>
        <v>5</v>
      </c>
      <c r="J1587" s="6" t="str">
        <f>IF(Table1[[#This Row],[FIN]]="","Acumulado",IF(ISNUMBER(SEARCH("ASAP",C1587)),"ASAP",IF(NETWORKDAYS.INTL(F1587,G1587,1,Table2[Dias no laborales]) &lt;= 7, "Dentro", IF(A1587&gt;F1587,"Programado","Fuera"))))</f>
        <v>Dentro</v>
      </c>
      <c r="K1587" s="6" t="str">
        <f t="shared" si="56"/>
        <v>A tiempo</v>
      </c>
      <c r="L1587" s="8">
        <v>46064</v>
      </c>
      <c r="M1587" s="17">
        <f>MAX(1,NETWORKDAYS(A1587,L1587,Table2[Dias no laborales]))</f>
        <v>1</v>
      </c>
    </row>
    <row r="1588" spans="1:13" hidden="1" x14ac:dyDescent="0.3">
      <c r="A1588" s="8">
        <v>46064</v>
      </c>
      <c r="B1588" s="16" t="s">
        <v>3144</v>
      </c>
      <c r="C1588" s="6" t="s">
        <v>3276</v>
      </c>
      <c r="D1588" s="6" t="s">
        <v>53</v>
      </c>
      <c r="E1588" s="14">
        <v>46064.368055555555</v>
      </c>
      <c r="F1588" s="8">
        <f>IF(HOUR(Table1[[#This Row],[CORREO]])&gt;=11,WORKDAY(Table1[[#This Row],[CORREO]],1,Table2[Dias no laborales]),E1588)</f>
        <v>46064.368055555555</v>
      </c>
      <c r="G1588" s="8">
        <v>46071</v>
      </c>
      <c r="H1588" s="6">
        <f t="shared" si="55"/>
        <v>6</v>
      </c>
      <c r="I1588" s="16">
        <f>MAX(1, NETWORKDAYS(A1588, G1588,Table2[Dias no laborales]))</f>
        <v>6</v>
      </c>
      <c r="J1588" s="6" t="str">
        <f>IF(Table1[[#This Row],[FIN]]="","Acumulado",IF(ISNUMBER(SEARCH("ASAP",C1588)),"ASAP",IF(NETWORKDAYS.INTL(F1588,G1588,1,Table2[Dias no laborales]) &lt;= 7, "Dentro", IF(A1588&gt;F1588,"Programado","Fuera"))))</f>
        <v>Dentro</v>
      </c>
      <c r="K1588" s="6" t="str">
        <f t="shared" si="56"/>
        <v>A tiempo</v>
      </c>
      <c r="L1588" s="8">
        <v>46064</v>
      </c>
      <c r="M1588" s="17">
        <f>MAX(1,NETWORKDAYS(A1588,L1588,Table2[Dias no laborales]))</f>
        <v>1</v>
      </c>
    </row>
    <row r="1589" spans="1:13" hidden="1" x14ac:dyDescent="0.3">
      <c r="A1589" s="8">
        <v>46064</v>
      </c>
      <c r="B1589" s="16" t="s">
        <v>3145</v>
      </c>
      <c r="C1589" s="6" t="s">
        <v>3277</v>
      </c>
      <c r="D1589" s="6" t="s">
        <v>24</v>
      </c>
      <c r="E1589" s="14"/>
      <c r="F1589" s="8">
        <f>IF(HOUR(Table1[[#This Row],[CORREO]])&gt;=11,WORKDAY(Table1[[#This Row],[CORREO]],1,Table2[Dias no laborales]),E1589)</f>
        <v>0</v>
      </c>
      <c r="G1589" s="8">
        <v>46070</v>
      </c>
      <c r="H1589" s="6">
        <f t="shared" si="55"/>
        <v>6</v>
      </c>
      <c r="I1589" s="16">
        <f>MAX(1, NETWORKDAYS(A1589, G1589,Table2[Dias no laborales]))</f>
        <v>5</v>
      </c>
      <c r="J1589" s="6" t="str">
        <f>IF(Table1[[#This Row],[FIN]]="","Acumulado",IF(ISNUMBER(SEARCH("ASAP",C1589)),"ASAP",IF(NETWORKDAYS.INTL(F1589,G1589,1,Table2[Dias no laborales]) &lt;= 7, "Dentro", IF(A1589&gt;F1589,"Programado","Fuera"))))</f>
        <v>Programado</v>
      </c>
      <c r="K1589" s="6" t="str">
        <f t="shared" si="56"/>
        <v>Programados</v>
      </c>
      <c r="L1589" s="8">
        <v>46064</v>
      </c>
      <c r="M1589" s="17">
        <f>MAX(1,NETWORKDAYS(A1589,L1589,Table2[Dias no laborales]))</f>
        <v>1</v>
      </c>
    </row>
    <row r="1590" spans="1:13" hidden="1" x14ac:dyDescent="0.3">
      <c r="A1590" s="8">
        <v>46064</v>
      </c>
      <c r="B1590" s="16" t="s">
        <v>3146</v>
      </c>
      <c r="C1590" s="6" t="s">
        <v>3278</v>
      </c>
      <c r="D1590" s="6" t="s">
        <v>24</v>
      </c>
      <c r="E1590" s="14"/>
      <c r="F1590" s="8">
        <f>IF(HOUR(Table1[[#This Row],[CORREO]])&gt;=11,WORKDAY(Table1[[#This Row],[CORREO]],1,Table2[Dias no laborales]),E1590)</f>
        <v>0</v>
      </c>
      <c r="G1590" s="8">
        <v>46072</v>
      </c>
      <c r="H1590" s="6">
        <f t="shared" si="55"/>
        <v>6</v>
      </c>
      <c r="I1590" s="16">
        <f>MAX(1, NETWORKDAYS(A1590, G1590,Table2[Dias no laborales]))</f>
        <v>7</v>
      </c>
      <c r="J1590" s="6" t="str">
        <f>IF(Table1[[#This Row],[FIN]]="","Acumulado",IF(ISNUMBER(SEARCH("ASAP",C1590)),"ASAP",IF(NETWORKDAYS.INTL(F1590,G1590,1,Table2[Dias no laborales]) &lt;= 7, "Dentro", IF(A1590&gt;F1590,"Programado","Fuera"))))</f>
        <v>Programado</v>
      </c>
      <c r="K1590" s="6" t="str">
        <f t="shared" si="56"/>
        <v>Programados</v>
      </c>
      <c r="L1590" s="8">
        <v>46065</v>
      </c>
      <c r="M1590" s="17">
        <f>MAX(1,NETWORKDAYS(A1590,L1590,Table2[Dias no laborales]))</f>
        <v>2</v>
      </c>
    </row>
    <row r="1591" spans="1:13" hidden="1" x14ac:dyDescent="0.3">
      <c r="A1591" s="8">
        <v>46064</v>
      </c>
      <c r="B1591" s="16" t="s">
        <v>3147</v>
      </c>
      <c r="C1591" s="6" t="s">
        <v>3279</v>
      </c>
      <c r="D1591" s="6" t="s">
        <v>61</v>
      </c>
      <c r="E1591" s="14">
        <v>46064.456944444442</v>
      </c>
      <c r="F1591" s="8">
        <f>IF(HOUR(Table1[[#This Row],[CORREO]])&gt;=11,WORKDAY(Table1[[#This Row],[CORREO]],1,Table2[Dias no laborales]),E1591)</f>
        <v>46064.456944444442</v>
      </c>
      <c r="G1591" s="8">
        <v>46139</v>
      </c>
      <c r="H1591" s="6">
        <f t="shared" si="55"/>
        <v>6</v>
      </c>
      <c r="I1591" s="16">
        <f>MAX(1, NETWORKDAYS(A1591, G1591,Table2[Dias no laborales]))</f>
        <v>51</v>
      </c>
      <c r="J1591" s="6" t="str">
        <f>IF(Table1[[#This Row],[FIN]]="","Acumulado",IF(ISNUMBER(SEARCH("ASAP",C1591)),"ASAP",IF(NETWORKDAYS.INTL(F1591,G1591,1,Table2[Dias no laborales]) &lt;= 7, "Dentro", IF(A1591&gt;F1591,"Programado","Fuera"))))</f>
        <v>Fuera</v>
      </c>
      <c r="K1591" s="6" t="str">
        <f t="shared" si="56"/>
        <v>A tiempo</v>
      </c>
      <c r="L1591" s="8">
        <v>46064</v>
      </c>
      <c r="M1591" s="17">
        <f>MAX(1,NETWORKDAYS(A1591,L1591,Table2[Dias no laborales]))</f>
        <v>1</v>
      </c>
    </row>
    <row r="1592" spans="1:13" hidden="1" x14ac:dyDescent="0.3">
      <c r="A1592" s="8">
        <v>46064</v>
      </c>
      <c r="B1592" s="16" t="s">
        <v>3148</v>
      </c>
      <c r="C1592" s="6" t="s">
        <v>3280</v>
      </c>
      <c r="D1592" s="6" t="s">
        <v>24</v>
      </c>
      <c r="E1592" s="14">
        <v>46064.611805555556</v>
      </c>
      <c r="F1592" s="8">
        <f>IF(HOUR(Table1[[#This Row],[CORREO]])&gt;=11,WORKDAY(Table1[[#This Row],[CORREO]],1,Table2[Dias no laborales]),E1592)</f>
        <v>46065</v>
      </c>
      <c r="G1592" s="8">
        <v>46065</v>
      </c>
      <c r="H1592" s="6">
        <f t="shared" si="55"/>
        <v>6</v>
      </c>
      <c r="I1592" s="16">
        <f>MAX(1, NETWORKDAYS(A1592, G1592,Table2[Dias no laborales]))</f>
        <v>2</v>
      </c>
      <c r="J1592" s="6" t="str">
        <f>IF(Table1[[#This Row],[FIN]]="","Acumulado",IF(ISNUMBER(SEARCH("ASAP",C1592)),"ASAP",IF(NETWORKDAYS.INTL(F1592,G1592,1,Table2[Dias no laborales]) &lt;= 7, "Dentro", IF(A1592&gt;F1592,"Programado","Fuera"))))</f>
        <v>ASAP</v>
      </c>
      <c r="K1592" s="6" t="str">
        <f t="shared" si="56"/>
        <v>Mismo día</v>
      </c>
      <c r="L1592" s="8">
        <v>46064</v>
      </c>
      <c r="M1592" s="17">
        <f>MAX(1,NETWORKDAYS(A1592,L1592,Table2[Dias no laborales]))</f>
        <v>1</v>
      </c>
    </row>
    <row r="1593" spans="1:13" hidden="1" x14ac:dyDescent="0.3">
      <c r="A1593" s="8">
        <v>46065</v>
      </c>
      <c r="B1593" s="16" t="s">
        <v>3149</v>
      </c>
      <c r="C1593" s="6" t="s">
        <v>3281</v>
      </c>
      <c r="D1593" s="6" t="s">
        <v>586</v>
      </c>
      <c r="E1593" s="14">
        <v>45699.541666666664</v>
      </c>
      <c r="F1593" s="8">
        <f>IF(HOUR(Table1[[#This Row],[CORREO]])&gt;=11,WORKDAY(Table1[[#This Row],[CORREO]],1,Table2[Dias no laborales]),E1593)</f>
        <v>45700</v>
      </c>
      <c r="G1593" s="8">
        <v>46094</v>
      </c>
      <c r="H1593" s="6">
        <f t="shared" si="55"/>
        <v>7</v>
      </c>
      <c r="I1593" s="16">
        <f>MAX(1, NETWORKDAYS(A1593, G1593,Table2[Dias no laborales]))</f>
        <v>22</v>
      </c>
      <c r="J1593" s="6" t="str">
        <f>IF(Table1[[#This Row],[FIN]]="","Acumulado",IF(ISNUMBER(SEARCH("ASAP",C1593)),"ASAP",IF(NETWORKDAYS.INTL(F1593,G1593,1,Table2[Dias no laborales]) &lt;= 7, "Dentro", IF(A1593&gt;F1593,"Programado","Fuera"))))</f>
        <v>Programado</v>
      </c>
      <c r="K1593" s="6" t="str">
        <f t="shared" si="56"/>
        <v>Programados</v>
      </c>
      <c r="L1593" s="8">
        <v>46065</v>
      </c>
      <c r="M1593" s="17">
        <f>MAX(1,NETWORKDAYS(A1593,L1593,Table2[Dias no laborales]))</f>
        <v>1</v>
      </c>
    </row>
    <row r="1594" spans="1:13" hidden="1" x14ac:dyDescent="0.3">
      <c r="A1594" s="8">
        <v>46065</v>
      </c>
      <c r="B1594" s="16" t="s">
        <v>3150</v>
      </c>
      <c r="C1594" s="6" t="s">
        <v>3282</v>
      </c>
      <c r="D1594" s="6" t="s">
        <v>623</v>
      </c>
      <c r="E1594" s="14">
        <v>46064.601388888892</v>
      </c>
      <c r="F1594" s="8">
        <f>IF(HOUR(Table1[[#This Row],[CORREO]])&gt;=11,WORKDAY(Table1[[#This Row],[CORREO]],1,Table2[Dias no laborales]),E1594)</f>
        <v>46065</v>
      </c>
      <c r="G1594" s="8">
        <v>46066</v>
      </c>
      <c r="H1594" s="6">
        <f t="shared" si="55"/>
        <v>7</v>
      </c>
      <c r="I1594" s="16">
        <f>MAX(1, NETWORKDAYS(A1594, G1594,Table2[Dias no laborales]))</f>
        <v>2</v>
      </c>
      <c r="J1594" s="6" t="str">
        <f>IF(Table1[[#This Row],[FIN]]="","Acumulado",IF(ISNUMBER(SEARCH("ASAP",C1594)),"ASAP",IF(NETWORKDAYS.INTL(F1594,G1594,1,Table2[Dias no laborales]) &lt;= 7, "Dentro", IF(A1594&gt;F1594,"Programado","Fuera"))))</f>
        <v>Dentro</v>
      </c>
      <c r="K1594" s="6" t="str">
        <f t="shared" si="56"/>
        <v>A tiempo</v>
      </c>
      <c r="L1594" s="8">
        <v>46065</v>
      </c>
      <c r="M1594" s="17">
        <f>MAX(1,NETWORKDAYS(A1594,L1594,Table2[Dias no laborales]))</f>
        <v>1</v>
      </c>
    </row>
    <row r="1595" spans="1:13" hidden="1" x14ac:dyDescent="0.3">
      <c r="A1595" s="8">
        <v>46065</v>
      </c>
      <c r="B1595" s="16" t="s">
        <v>3151</v>
      </c>
      <c r="C1595" s="6" t="s">
        <v>3283</v>
      </c>
      <c r="D1595" s="6" t="s">
        <v>351</v>
      </c>
      <c r="E1595" s="14">
        <v>46064.611805555556</v>
      </c>
      <c r="F1595" s="8">
        <f>IF(HOUR(Table1[[#This Row],[CORREO]])&gt;=11,WORKDAY(Table1[[#This Row],[CORREO]],1,Table2[Dias no laborales]),E1595)</f>
        <v>46065</v>
      </c>
      <c r="G1595" s="8">
        <v>46066</v>
      </c>
      <c r="H1595" s="6">
        <f t="shared" si="55"/>
        <v>7</v>
      </c>
      <c r="I1595" s="16">
        <f>MAX(1, NETWORKDAYS(A1595, G1595,Table2[Dias no laborales]))</f>
        <v>2</v>
      </c>
      <c r="J1595" s="6" t="str">
        <f>IF(Table1[[#This Row],[FIN]]="","Acumulado",IF(ISNUMBER(SEARCH("ASAP",C1595)),"ASAP",IF(NETWORKDAYS.INTL(F1595,G1595,1,Table2[Dias no laborales]) &lt;= 7, "Dentro", IF(A1595&gt;F1595,"Programado","Fuera"))))</f>
        <v>Dentro</v>
      </c>
      <c r="K1595" s="6" t="str">
        <f t="shared" si="56"/>
        <v>A tiempo</v>
      </c>
      <c r="L1595" s="8">
        <v>46065</v>
      </c>
      <c r="M1595" s="17">
        <f>MAX(1,NETWORKDAYS(A1595,L1595,Table2[Dias no laborales]))</f>
        <v>1</v>
      </c>
    </row>
    <row r="1596" spans="1:13" hidden="1" x14ac:dyDescent="0.3">
      <c r="A1596" s="8">
        <v>46065</v>
      </c>
      <c r="B1596" s="16" t="s">
        <v>3152</v>
      </c>
      <c r="C1596" s="6" t="s">
        <v>3284</v>
      </c>
      <c r="D1596" s="6" t="s">
        <v>27</v>
      </c>
      <c r="E1596" s="14">
        <v>46064.621527777781</v>
      </c>
      <c r="F1596" s="8">
        <f>IF(HOUR(Table1[[#This Row],[CORREO]])&gt;=11,WORKDAY(Table1[[#This Row],[CORREO]],1,Table2[Dias no laborales]),E1596)</f>
        <v>46065</v>
      </c>
      <c r="G1596" s="8">
        <v>46122</v>
      </c>
      <c r="H1596" s="6">
        <f t="shared" si="55"/>
        <v>7</v>
      </c>
      <c r="I1596" s="16">
        <f>MAX(1, NETWORKDAYS(A1596, G1596,Table2[Dias no laborales]))</f>
        <v>39</v>
      </c>
      <c r="J1596" s="6" t="str">
        <f>IF(Table1[[#This Row],[FIN]]="","Acumulado",IF(ISNUMBER(SEARCH("ASAP",C1596)),"ASAP",IF(NETWORKDAYS.INTL(F1596,G1596,1,Table2[Dias no laborales]) &lt;= 7, "Dentro", IF(A1596&gt;F1596,"Programado","Fuera"))))</f>
        <v>Fuera</v>
      </c>
      <c r="K1596" s="6" t="str">
        <f t="shared" si="56"/>
        <v>A tiempo</v>
      </c>
      <c r="L1596" s="8">
        <v>46065</v>
      </c>
      <c r="M1596" s="17">
        <f>MAX(1,NETWORKDAYS(A1596,L1596,Table2[Dias no laborales]))</f>
        <v>1</v>
      </c>
    </row>
    <row r="1597" spans="1:13" hidden="1" x14ac:dyDescent="0.3">
      <c r="A1597" s="8">
        <v>46065</v>
      </c>
      <c r="B1597" s="16" t="s">
        <v>3153</v>
      </c>
      <c r="C1597" s="6" t="s">
        <v>3285</v>
      </c>
      <c r="D1597" s="6" t="s">
        <v>3286</v>
      </c>
      <c r="E1597" s="14">
        <v>46065.311805555553</v>
      </c>
      <c r="F1597" s="8">
        <f>IF(HOUR(Table1[[#This Row],[CORREO]])&gt;=11,WORKDAY(Table1[[#This Row],[CORREO]],1,Table2[Dias no laborales]),E1597)</f>
        <v>46065.311805555553</v>
      </c>
      <c r="G1597" s="8">
        <v>46065</v>
      </c>
      <c r="H1597" s="6">
        <f t="shared" si="55"/>
        <v>7</v>
      </c>
      <c r="I1597" s="16">
        <f>MAX(1, NETWORKDAYS(A1597, G1597,Table2[Dias no laborales]))</f>
        <v>1</v>
      </c>
      <c r="J1597" s="6" t="str">
        <f>IF(Table1[[#This Row],[FIN]]="","Acumulado",IF(ISNUMBER(SEARCH("ASAP",C1597)),"ASAP",IF(NETWORKDAYS.INTL(F1597,G1597,1,Table2[Dias no laborales]) &lt;= 7, "Dentro", IF(A1597&gt;F1597,"Programado","Fuera"))))</f>
        <v>Dentro</v>
      </c>
      <c r="K1597" s="6" t="str">
        <f t="shared" si="56"/>
        <v>A tiempo</v>
      </c>
      <c r="L1597" s="8">
        <v>46065</v>
      </c>
      <c r="M1597" s="17">
        <f>MAX(1,NETWORKDAYS(A1597,L1597,Table2[Dias no laborales]))</f>
        <v>1</v>
      </c>
    </row>
    <row r="1598" spans="1:13" hidden="1" x14ac:dyDescent="0.3">
      <c r="A1598" s="8">
        <v>46065</v>
      </c>
      <c r="B1598" s="16" t="s">
        <v>3154</v>
      </c>
      <c r="C1598" s="6" t="s">
        <v>3287</v>
      </c>
      <c r="D1598" s="6" t="s">
        <v>2994</v>
      </c>
      <c r="E1598" s="14">
        <v>46065.394444444442</v>
      </c>
      <c r="F1598" s="8">
        <f>IF(HOUR(Table1[[#This Row],[CORREO]])&gt;=11,WORKDAY(Table1[[#This Row],[CORREO]],1,Table2[Dias no laborales]),E1598)</f>
        <v>46065.394444444442</v>
      </c>
      <c r="G1598" s="8">
        <v>46066</v>
      </c>
      <c r="H1598" s="6">
        <f>INT((A1598-DATE(YEAR(A1598),1,1))/7) + 1</f>
        <v>7</v>
      </c>
      <c r="I1598" s="16">
        <f>MAX(1, NETWORKDAYS(A1598, G1598,Table2[Dias no laborales]))</f>
        <v>2</v>
      </c>
      <c r="J1598" s="6" t="str">
        <f>IF(Table1[[#This Row],[FIN]]="","Acumulado",IF(ISNUMBER(SEARCH("ASAP",C1598)),"ASAP",IF(NETWORKDAYS.INTL(F1598,G1598,1,Table2[Dias no laborales]) &lt;= 7, "Dentro", IF(A1598&gt;F1598,"Programado","Fuera"))))</f>
        <v>Dentro</v>
      </c>
      <c r="K1598" s="6" t="str">
        <f>IF(INT(A1598)=INT(F1598),"A tiempo", IF(A1598&lt;F1598,"Mismo día","Programados"))</f>
        <v>A tiempo</v>
      </c>
      <c r="L1598" s="8">
        <v>46066</v>
      </c>
      <c r="M1598" s="17">
        <f>MAX(1,NETWORKDAYS(A1598,L1598,Table2[Dias no laborales]))</f>
        <v>2</v>
      </c>
    </row>
    <row r="1599" spans="1:13" hidden="1" x14ac:dyDescent="0.3">
      <c r="A1599" s="8">
        <v>46065</v>
      </c>
      <c r="B1599" s="16" t="s">
        <v>3155</v>
      </c>
      <c r="C1599" s="6" t="s">
        <v>3288</v>
      </c>
      <c r="D1599" s="6" t="s">
        <v>3020</v>
      </c>
      <c r="E1599" s="14">
        <v>46065.40625</v>
      </c>
      <c r="F1599" s="8">
        <f>IF(HOUR(Table1[[#This Row],[CORREO]])&gt;=11,WORKDAY(Table1[[#This Row],[CORREO]],1,Table2[Dias no laborales]),E1599)</f>
        <v>46065.40625</v>
      </c>
      <c r="G1599" s="8">
        <v>46066</v>
      </c>
      <c r="H1599" s="6">
        <f t="shared" si="55"/>
        <v>7</v>
      </c>
      <c r="I1599" s="16">
        <f>MAX(1, NETWORKDAYS(A1599, G1599,Table2[Dias no laborales]))</f>
        <v>2</v>
      </c>
      <c r="J1599" s="6" t="str">
        <f>IF(Table1[[#This Row],[FIN]]="","Acumulado",IF(ISNUMBER(SEARCH("ASAP",C1599)),"ASAP",IF(NETWORKDAYS.INTL(F1599,G1599,1,Table2[Dias no laborales]) &lt;= 7, "Dentro", IF(A1599&gt;F1599,"Programado","Fuera"))))</f>
        <v>Dentro</v>
      </c>
      <c r="K1599" s="6" t="str">
        <f t="shared" si="56"/>
        <v>A tiempo</v>
      </c>
      <c r="L1599" s="8">
        <v>46066</v>
      </c>
      <c r="M1599" s="17">
        <f>MAX(1,NETWORKDAYS(A1599,L1599,Table2[Dias no laborales]))</f>
        <v>2</v>
      </c>
    </row>
    <row r="1600" spans="1:13" hidden="1" x14ac:dyDescent="0.3">
      <c r="A1600" s="8">
        <v>46066</v>
      </c>
      <c r="B1600" s="16" t="s">
        <v>3156</v>
      </c>
      <c r="C1600" s="6" t="s">
        <v>3289</v>
      </c>
      <c r="D1600" s="6" t="s">
        <v>53</v>
      </c>
      <c r="E1600" s="14">
        <v>46065.632638888892</v>
      </c>
      <c r="F1600" s="8">
        <f>IF(HOUR(Table1[[#This Row],[CORREO]])&gt;=11,WORKDAY(Table1[[#This Row],[CORREO]],1,Table2[Dias no laborales]),E1600)</f>
        <v>46066</v>
      </c>
      <c r="G1600" s="8">
        <v>46066</v>
      </c>
      <c r="H1600" s="6">
        <f t="shared" si="55"/>
        <v>7</v>
      </c>
      <c r="I1600" s="16">
        <f>MAX(1, NETWORKDAYS(A1600, G1600,Table2[Dias no laborales]))</f>
        <v>1</v>
      </c>
      <c r="J1600" s="6" t="str">
        <f>IF(Table1[[#This Row],[FIN]]="","Acumulado",IF(ISNUMBER(SEARCH("ASAP",C1600)),"ASAP",IF(NETWORKDAYS.INTL(F1600,G1600,1,Table2[Dias no laborales]) &lt;= 7, "Dentro", IF(A1600&gt;F1600,"Programado","Fuera"))))</f>
        <v>Dentro</v>
      </c>
      <c r="K1600" s="6" t="str">
        <f t="shared" si="56"/>
        <v>A tiempo</v>
      </c>
      <c r="L1600" s="8">
        <v>46066</v>
      </c>
      <c r="M1600" s="17">
        <f>MAX(1,NETWORKDAYS(A1600,L1600,Table2[Dias no laborales]))</f>
        <v>1</v>
      </c>
    </row>
    <row r="1601" spans="1:13" hidden="1" x14ac:dyDescent="0.3">
      <c r="A1601" s="8">
        <v>46066</v>
      </c>
      <c r="B1601" s="16" t="s">
        <v>3157</v>
      </c>
      <c r="C1601" s="6" t="s">
        <v>3290</v>
      </c>
      <c r="D1601" s="6" t="s">
        <v>24</v>
      </c>
      <c r="E1601" s="14"/>
      <c r="F1601" s="8">
        <f>IF(HOUR(Table1[[#This Row],[CORREO]])&gt;=11,WORKDAY(Table1[[#This Row],[CORREO]],1,Table2[Dias no laborales]),E1601)</f>
        <v>0</v>
      </c>
      <c r="G1601" s="8">
        <v>46108</v>
      </c>
      <c r="H1601" s="6">
        <f t="shared" si="55"/>
        <v>7</v>
      </c>
      <c r="I1601" s="16">
        <f>MAX(1, NETWORKDAYS(A1601, G1601,Table2[Dias no laborales]))</f>
        <v>30</v>
      </c>
      <c r="J1601" s="6" t="str">
        <f>IF(Table1[[#This Row],[FIN]]="","Acumulado",IF(ISNUMBER(SEARCH("ASAP",C1601)),"ASAP",IF(NETWORKDAYS.INTL(F1601,G1601,1,Table2[Dias no laborales]) &lt;= 7, "Dentro", IF(A1601&gt;F1601,"Programado","Fuera"))))</f>
        <v>Programado</v>
      </c>
      <c r="K1601" s="6" t="str">
        <f t="shared" si="56"/>
        <v>Programados</v>
      </c>
      <c r="L1601" s="8">
        <v>46066</v>
      </c>
      <c r="M1601" s="17">
        <f>MAX(1,NETWORKDAYS(A1601,L1601,Table2[Dias no laborales]))</f>
        <v>1</v>
      </c>
    </row>
    <row r="1602" spans="1:13" hidden="1" x14ac:dyDescent="0.3">
      <c r="A1602" s="8">
        <v>46066</v>
      </c>
      <c r="B1602" s="16" t="s">
        <v>3158</v>
      </c>
      <c r="C1602" s="6" t="s">
        <v>3291</v>
      </c>
      <c r="D1602" s="6" t="s">
        <v>82</v>
      </c>
      <c r="E1602" s="14">
        <v>46065.910416666666</v>
      </c>
      <c r="F1602" s="8">
        <f>IF(HOUR(Table1[[#This Row],[CORREO]])&gt;=11,WORKDAY(Table1[[#This Row],[CORREO]],1,Table2[Dias no laborales]),E1602)</f>
        <v>46066</v>
      </c>
      <c r="G1602" s="8">
        <v>46069</v>
      </c>
      <c r="H1602" s="6">
        <f t="shared" si="55"/>
        <v>7</v>
      </c>
      <c r="I1602" s="16">
        <f>MAX(1, NETWORKDAYS(A1602, G1602,Table2[Dias no laborales]))</f>
        <v>2</v>
      </c>
      <c r="J1602" s="6" t="str">
        <f>IF(Table1[[#This Row],[FIN]]="","Acumulado",IF(ISNUMBER(SEARCH("ASAP",C1602)),"ASAP",IF(NETWORKDAYS.INTL(F1602,G1602,1,Table2[Dias no laborales]) &lt;= 7, "Dentro", IF(A1602&gt;F1602,"Programado","Fuera"))))</f>
        <v>Dentro</v>
      </c>
      <c r="K1602" s="6" t="str">
        <f t="shared" si="56"/>
        <v>A tiempo</v>
      </c>
      <c r="L1602" s="8">
        <v>46066</v>
      </c>
      <c r="M1602" s="17">
        <f>MAX(1,NETWORKDAYS(A1602,L1602,Table2[Dias no laborales]))</f>
        <v>1</v>
      </c>
    </row>
    <row r="1603" spans="1:13" hidden="1" x14ac:dyDescent="0.3">
      <c r="A1603" s="8">
        <v>46066</v>
      </c>
      <c r="B1603" s="16" t="s">
        <v>3159</v>
      </c>
      <c r="C1603" s="6" t="s">
        <v>3292</v>
      </c>
      <c r="D1603" s="6" t="s">
        <v>1333</v>
      </c>
      <c r="E1603" s="14"/>
      <c r="F1603" s="8">
        <f>IF(HOUR(Table1[[#This Row],[CORREO]])&gt;=11,WORKDAY(Table1[[#This Row],[CORREO]],1,Table2[Dias no laborales]),E1603)</f>
        <v>0</v>
      </c>
      <c r="G1603" s="8">
        <v>46106</v>
      </c>
      <c r="H1603" s="6">
        <f t="shared" si="55"/>
        <v>7</v>
      </c>
      <c r="I1603" s="16">
        <f>MAX(1, NETWORKDAYS(A1603, G1603,Table2[Dias no laborales]))</f>
        <v>28</v>
      </c>
      <c r="J1603" s="6" t="str">
        <f>IF(Table1[[#This Row],[FIN]]="","Acumulado",IF(ISNUMBER(SEARCH("ASAP",C1603)),"ASAP",IF(NETWORKDAYS.INTL(F1603,G1603,1,Table2[Dias no laborales]) &lt;= 7, "Dentro", IF(A1603&gt;F1603,"Programado","Fuera"))))</f>
        <v>Programado</v>
      </c>
      <c r="K1603" s="6" t="str">
        <f t="shared" si="56"/>
        <v>Programados</v>
      </c>
      <c r="L1603" s="8">
        <v>46066</v>
      </c>
      <c r="M1603" s="17">
        <f>MAX(1,NETWORKDAYS(A1603,L1603,Table2[Dias no laborales]))</f>
        <v>1</v>
      </c>
    </row>
    <row r="1604" spans="1:13" hidden="1" x14ac:dyDescent="0.3">
      <c r="A1604" s="8">
        <v>46066</v>
      </c>
      <c r="B1604" s="16" t="s">
        <v>3160</v>
      </c>
      <c r="C1604" s="6" t="s">
        <v>3293</v>
      </c>
      <c r="D1604" s="6" t="s">
        <v>194</v>
      </c>
      <c r="E1604" s="14"/>
      <c r="F1604" s="8">
        <f>IF(HOUR(Table1[[#This Row],[CORREO]])&gt;=11,WORKDAY(Table1[[#This Row],[CORREO]],1,Table2[Dias no laborales]),E1604)</f>
        <v>0</v>
      </c>
      <c r="G1604" s="8">
        <v>46066</v>
      </c>
      <c r="H1604" s="6">
        <f t="shared" si="55"/>
        <v>7</v>
      </c>
      <c r="I1604" s="16">
        <f>MAX(1, NETWORKDAYS(A1604, G1604,Table2[Dias no laborales]))</f>
        <v>1</v>
      </c>
      <c r="J1604" s="6" t="str">
        <f>IF(Table1[[#This Row],[FIN]]="","Acumulado",IF(ISNUMBER(SEARCH("ASAP",C1604)),"ASAP",IF(NETWORKDAYS.INTL(F1604,G1604,1,Table2[Dias no laborales]) &lt;= 7, "Dentro", IF(A1604&gt;F1604,"Programado","Fuera"))))</f>
        <v>Programado</v>
      </c>
      <c r="K1604" s="6" t="str">
        <f t="shared" si="56"/>
        <v>Programados</v>
      </c>
      <c r="L1604" s="8">
        <v>46066</v>
      </c>
      <c r="M1604" s="17">
        <f>MAX(1,NETWORKDAYS(A1604,L1604,Table2[Dias no laborales]))</f>
        <v>1</v>
      </c>
    </row>
    <row r="1605" spans="1:13" hidden="1" x14ac:dyDescent="0.3">
      <c r="A1605" s="8">
        <v>46066</v>
      </c>
      <c r="B1605" s="16" t="s">
        <v>3161</v>
      </c>
      <c r="C1605" s="6" t="s">
        <v>3294</v>
      </c>
      <c r="D1605" s="6" t="s">
        <v>3295</v>
      </c>
      <c r="E1605" s="14">
        <v>46066.438888888886</v>
      </c>
      <c r="F1605" s="8">
        <f>IF(HOUR(Table1[[#This Row],[CORREO]])&gt;=11,WORKDAY(Table1[[#This Row],[CORREO]],1,Table2[Dias no laborales]),E1605)</f>
        <v>46066.438888888886</v>
      </c>
      <c r="G1605" s="8">
        <v>46066</v>
      </c>
      <c r="H1605" s="6">
        <f t="shared" si="55"/>
        <v>7</v>
      </c>
      <c r="I1605" s="16">
        <f>MAX(1, NETWORKDAYS(A1605, G1605,Table2[Dias no laborales]))</f>
        <v>1</v>
      </c>
      <c r="J1605" s="6" t="str">
        <f>IF(Table1[[#This Row],[FIN]]="","Acumulado",IF(ISNUMBER(SEARCH("ASAP",C1605)),"ASAP",IF(NETWORKDAYS.INTL(F1605,G1605,1,Table2[Dias no laborales]) &lt;= 7, "Dentro", IF(A1605&gt;F1605,"Programado","Fuera"))))</f>
        <v>Dentro</v>
      </c>
      <c r="K1605" s="6" t="str">
        <f t="shared" si="56"/>
        <v>A tiempo</v>
      </c>
      <c r="L1605" s="8">
        <v>46066</v>
      </c>
      <c r="M1605" s="17">
        <f>MAX(1,NETWORKDAYS(A1605,L1605,Table2[Dias no laborales]))</f>
        <v>1</v>
      </c>
    </row>
    <row r="1606" spans="1:13" hidden="1" x14ac:dyDescent="0.3">
      <c r="A1606" s="8">
        <v>46066</v>
      </c>
      <c r="B1606" s="16" t="s">
        <v>3189</v>
      </c>
      <c r="C1606" s="6" t="s">
        <v>3296</v>
      </c>
      <c r="D1606" s="6" t="s">
        <v>1360</v>
      </c>
      <c r="E1606" s="14">
        <v>46066.554166666669</v>
      </c>
      <c r="F1606" s="8">
        <f>IF(HOUR(Table1[[#This Row],[CORREO]])&gt;=11,WORKDAY(Table1[[#This Row],[CORREO]],1,Table2[Dias no laborales]),E1606)</f>
        <v>46069</v>
      </c>
      <c r="G1606" s="8">
        <v>46079</v>
      </c>
      <c r="H1606" s="6">
        <f t="shared" ref="H1606:H1634" si="57">INT((A1606-DATE(YEAR(A1606),1,1))/7) + 1</f>
        <v>7</v>
      </c>
      <c r="I1606" s="16">
        <f>MAX(1, NETWORKDAYS(A1606, G1606,Table2[Dias no laborales]))</f>
        <v>10</v>
      </c>
      <c r="J1606" s="6" t="str">
        <f>IF(Table1[[#This Row],[FIN]]="","Acumulado",IF(ISNUMBER(SEARCH("ASAP",C1606)),"ASAP",IF(NETWORKDAYS.INTL(F1606,G1606,1,Table2[Dias no laborales]) &lt;= 7, "Dentro", IF(A1606&gt;F1606,"Programado","Fuera"))))</f>
        <v>Fuera</v>
      </c>
      <c r="K1606" s="6" t="str">
        <f t="shared" ref="K1606:K1634" si="58">IF(INT(A1606)=INT(F1606),"A tiempo", IF(A1606&lt;F1606,"Mismo día","Programados"))</f>
        <v>Mismo día</v>
      </c>
      <c r="L1606" s="8">
        <v>46066</v>
      </c>
      <c r="M1606" s="17">
        <f>MAX(1,NETWORKDAYS(A1606,L1606,Table2[Dias no laborales]))</f>
        <v>1</v>
      </c>
    </row>
    <row r="1607" spans="1:13" hidden="1" x14ac:dyDescent="0.3">
      <c r="A1607" s="8">
        <v>46069</v>
      </c>
      <c r="B1607" s="16" t="s">
        <v>3190</v>
      </c>
      <c r="C1607" s="6" t="s">
        <v>3297</v>
      </c>
      <c r="D1607" s="6" t="s">
        <v>24</v>
      </c>
      <c r="E1607" s="14"/>
      <c r="F1607" s="8">
        <f>IF(HOUR(Table1[[#This Row],[CORREO]])&gt;=11,WORKDAY(Table1[[#This Row],[CORREO]],1,Table2[Dias no laborales]),E1607)</f>
        <v>0</v>
      </c>
      <c r="G1607" s="8">
        <v>46073</v>
      </c>
      <c r="H1607" s="6">
        <f t="shared" si="57"/>
        <v>7</v>
      </c>
      <c r="I1607" s="16">
        <f>MAX(1, NETWORKDAYS(A1607, G1607,Table2[Dias no laborales]))</f>
        <v>5</v>
      </c>
      <c r="J1607" s="6" t="str">
        <f>IF(Table1[[#This Row],[FIN]]="","Acumulado",IF(ISNUMBER(SEARCH("ASAP",C1607)),"ASAP",IF(NETWORKDAYS.INTL(F1607,G1607,1,Table2[Dias no laborales]) &lt;= 7, "Dentro", IF(A1607&gt;F1607,"Programado","Fuera"))))</f>
        <v>Programado</v>
      </c>
      <c r="K1607" s="6" t="str">
        <f t="shared" si="58"/>
        <v>Programados</v>
      </c>
      <c r="L1607" s="8">
        <v>46066</v>
      </c>
      <c r="M1607" s="17">
        <f>MAX(1,NETWORKDAYS(A1607,L1607,Table2[Dias no laborales]))</f>
        <v>1</v>
      </c>
    </row>
    <row r="1608" spans="1:13" hidden="1" x14ac:dyDescent="0.3">
      <c r="A1608" s="8">
        <v>46069</v>
      </c>
      <c r="B1608" s="16" t="s">
        <v>3191</v>
      </c>
      <c r="C1608" s="6" t="s">
        <v>3293</v>
      </c>
      <c r="D1608" s="6" t="s">
        <v>154</v>
      </c>
      <c r="E1608" s="14">
        <v>46066.490972222222</v>
      </c>
      <c r="F1608" s="8">
        <f>IF(HOUR(Table1[[#This Row],[CORREO]])&gt;=11,WORKDAY(Table1[[#This Row],[CORREO]],1,Table2[Dias no laborales]),E1608)</f>
        <v>46069</v>
      </c>
      <c r="G1608" s="8">
        <v>46080</v>
      </c>
      <c r="H1608" s="6">
        <f t="shared" si="57"/>
        <v>7</v>
      </c>
      <c r="I1608" s="16">
        <f>MAX(1, NETWORKDAYS(A1608, G1608,Table2[Dias no laborales]))</f>
        <v>10</v>
      </c>
      <c r="J1608" s="6" t="str">
        <f>IF(Table1[[#This Row],[FIN]]="","Acumulado",IF(ISNUMBER(SEARCH("ASAP",C1608)),"ASAP",IF(NETWORKDAYS.INTL(F1608,G1608,1,Table2[Dias no laborales]) &lt;= 7, "Dentro", IF(A1608&gt;F1608,"Programado","Fuera"))))</f>
        <v>Fuera</v>
      </c>
      <c r="K1608" s="6" t="str">
        <f t="shared" si="58"/>
        <v>A tiempo</v>
      </c>
      <c r="L1608" s="8">
        <v>46069</v>
      </c>
      <c r="M1608" s="17">
        <f>MAX(1,NETWORKDAYS(A1608,L1608,Table2[Dias no laborales]))</f>
        <v>1</v>
      </c>
    </row>
    <row r="1609" spans="1:13" hidden="1" x14ac:dyDescent="0.3">
      <c r="A1609" s="8">
        <v>46069</v>
      </c>
      <c r="B1609" s="16" t="s">
        <v>3192</v>
      </c>
      <c r="C1609" s="6" t="s">
        <v>3298</v>
      </c>
      <c r="D1609" s="6" t="s">
        <v>628</v>
      </c>
      <c r="E1609" s="14">
        <v>46066.490972222222</v>
      </c>
      <c r="F1609" s="8">
        <f>IF(HOUR(Table1[[#This Row],[CORREO]])&gt;=11,WORKDAY(Table1[[#This Row],[CORREO]],1,Table2[Dias no laborales]),E1609)</f>
        <v>46069</v>
      </c>
      <c r="G1609" s="8">
        <v>46069</v>
      </c>
      <c r="H1609" s="6">
        <f t="shared" si="57"/>
        <v>7</v>
      </c>
      <c r="I1609" s="16">
        <f>MAX(1, NETWORKDAYS(A1609, G1609,Table2[Dias no laborales]))</f>
        <v>1</v>
      </c>
      <c r="J1609" s="6" t="str">
        <f>IF(Table1[[#This Row],[FIN]]="","Acumulado",IF(ISNUMBER(SEARCH("ASAP",C1609)),"ASAP",IF(NETWORKDAYS.INTL(F1609,G1609,1,Table2[Dias no laborales]) &lt;= 7, "Dentro", IF(A1609&gt;F1609,"Programado","Fuera"))))</f>
        <v>Dentro</v>
      </c>
      <c r="K1609" s="6" t="str">
        <f t="shared" si="58"/>
        <v>A tiempo</v>
      </c>
      <c r="L1609" s="8">
        <v>46069</v>
      </c>
      <c r="M1609" s="17">
        <f>MAX(1,NETWORKDAYS(A1609,L1609,Table2[Dias no laborales]))</f>
        <v>1</v>
      </c>
    </row>
    <row r="1610" spans="1:13" hidden="1" x14ac:dyDescent="0.3">
      <c r="A1610" s="8">
        <v>46069</v>
      </c>
      <c r="B1610" s="16" t="s">
        <v>3193</v>
      </c>
      <c r="C1610" s="6" t="s">
        <v>3299</v>
      </c>
      <c r="D1610" s="6" t="s">
        <v>3041</v>
      </c>
      <c r="E1610" s="14">
        <v>46066.520833333336</v>
      </c>
      <c r="F1610" s="8">
        <f>IF(HOUR(Table1[[#This Row],[CORREO]])&gt;=11,WORKDAY(Table1[[#This Row],[CORREO]],1,Table2[Dias no laborales]),E1610)</f>
        <v>46069</v>
      </c>
      <c r="G1610" s="8">
        <v>46071</v>
      </c>
      <c r="H1610" s="6">
        <f t="shared" si="57"/>
        <v>7</v>
      </c>
      <c r="I1610" s="16">
        <f>MAX(1, NETWORKDAYS(A1610, G1610,Table2[Dias no laborales]))</f>
        <v>3</v>
      </c>
      <c r="J1610" s="6" t="str">
        <f>IF(Table1[[#This Row],[FIN]]="","Acumulado",IF(ISNUMBER(SEARCH("ASAP",C1610)),"ASAP",IF(NETWORKDAYS.INTL(F1610,G1610,1,Table2[Dias no laborales]) &lt;= 7, "Dentro", IF(A1610&gt;F1610,"Programado","Fuera"))))</f>
        <v>Dentro</v>
      </c>
      <c r="K1610" s="6" t="str">
        <f t="shared" si="58"/>
        <v>A tiempo</v>
      </c>
      <c r="L1610" s="8">
        <v>46069</v>
      </c>
      <c r="M1610" s="17">
        <f>MAX(1,NETWORKDAYS(A1610,L1610,Table2[Dias no laborales]))</f>
        <v>1</v>
      </c>
    </row>
    <row r="1611" spans="1:13" hidden="1" x14ac:dyDescent="0.3">
      <c r="A1611" s="8">
        <v>46069</v>
      </c>
      <c r="B1611" s="16" t="s">
        <v>3194</v>
      </c>
      <c r="C1611" s="6" t="s">
        <v>3293</v>
      </c>
      <c r="D1611" s="6" t="s">
        <v>148</v>
      </c>
      <c r="E1611" s="14">
        <v>46066.585416666669</v>
      </c>
      <c r="F1611" s="8">
        <f>IF(HOUR(Table1[[#This Row],[CORREO]])&gt;=11,WORKDAY(Table1[[#This Row],[CORREO]],1,Table2[Dias no laborales]),E1611)</f>
        <v>46069</v>
      </c>
      <c r="G1611" s="8">
        <v>46069</v>
      </c>
      <c r="H1611" s="6">
        <f t="shared" si="57"/>
        <v>7</v>
      </c>
      <c r="I1611" s="16">
        <f>MAX(1, NETWORKDAYS(A1611, G1611,Table2[Dias no laborales]))</f>
        <v>1</v>
      </c>
      <c r="J1611" s="6" t="str">
        <f>IF(Table1[[#This Row],[FIN]]="","Acumulado",IF(ISNUMBER(SEARCH("ASAP",C1611)),"ASAP",IF(NETWORKDAYS.INTL(F1611,G1611,1,Table2[Dias no laborales]) &lt;= 7, "Dentro", IF(A1611&gt;F1611,"Programado","Fuera"))))</f>
        <v>Dentro</v>
      </c>
      <c r="K1611" s="6" t="str">
        <f t="shared" si="58"/>
        <v>A tiempo</v>
      </c>
      <c r="L1611" s="8">
        <v>46069</v>
      </c>
      <c r="M1611" s="17">
        <f>MAX(1,NETWORKDAYS(A1611,L1611,Table2[Dias no laborales]))</f>
        <v>1</v>
      </c>
    </row>
    <row r="1612" spans="1:13" hidden="1" x14ac:dyDescent="0.3">
      <c r="A1612" s="8">
        <v>46069</v>
      </c>
      <c r="B1612" s="16" t="s">
        <v>3195</v>
      </c>
      <c r="C1612" s="6" t="s">
        <v>3293</v>
      </c>
      <c r="D1612" s="6" t="s">
        <v>586</v>
      </c>
      <c r="E1612" s="14">
        <v>46066.613888888889</v>
      </c>
      <c r="F1612" s="8">
        <f>IF(HOUR(Table1[[#This Row],[CORREO]])&gt;=11,WORKDAY(Table1[[#This Row],[CORREO]],1,Table2[Dias no laborales]),E1612)</f>
        <v>46069</v>
      </c>
      <c r="G1612" s="8">
        <v>46069</v>
      </c>
      <c r="H1612" s="6">
        <f t="shared" si="57"/>
        <v>7</v>
      </c>
      <c r="I1612" s="16">
        <f>MAX(1, NETWORKDAYS(A1612, G1612,Table2[Dias no laborales]))</f>
        <v>1</v>
      </c>
      <c r="J1612" s="6" t="str">
        <f>IF(Table1[[#This Row],[FIN]]="","Acumulado",IF(ISNUMBER(SEARCH("ASAP",C1612)),"ASAP",IF(NETWORKDAYS.INTL(F1612,G1612,1,Table2[Dias no laborales]) &lt;= 7, "Dentro", IF(A1612&gt;F1612,"Programado","Fuera"))))</f>
        <v>Dentro</v>
      </c>
      <c r="K1612" s="6" t="str">
        <f t="shared" si="58"/>
        <v>A tiempo</v>
      </c>
      <c r="L1612" s="8">
        <v>46069</v>
      </c>
      <c r="M1612" s="17">
        <f>MAX(1,NETWORKDAYS(A1612,L1612,Table2[Dias no laborales]))</f>
        <v>1</v>
      </c>
    </row>
    <row r="1613" spans="1:13" hidden="1" x14ac:dyDescent="0.3">
      <c r="A1613" s="8">
        <v>46069</v>
      </c>
      <c r="B1613" s="16" t="s">
        <v>3196</v>
      </c>
      <c r="C1613" s="6" t="s">
        <v>3300</v>
      </c>
      <c r="D1613" s="6" t="s">
        <v>24</v>
      </c>
      <c r="E1613" s="14">
        <v>46069.337500000001</v>
      </c>
      <c r="F1613" s="8">
        <f>IF(HOUR(Table1[[#This Row],[CORREO]])&gt;=11,WORKDAY(Table1[[#This Row],[CORREO]],1,Table2[Dias no laborales]),E1613)</f>
        <v>46069.337500000001</v>
      </c>
      <c r="G1613" s="8">
        <v>46087</v>
      </c>
      <c r="H1613" s="6">
        <f t="shared" si="57"/>
        <v>7</v>
      </c>
      <c r="I1613" s="16">
        <f>MAX(1, NETWORKDAYS(A1613, G1613,Table2[Dias no laborales]))</f>
        <v>15</v>
      </c>
      <c r="J1613" s="6" t="str">
        <f>IF(Table1[[#This Row],[FIN]]="","Acumulado",IF(ISNUMBER(SEARCH("ASAP",C1613)),"ASAP",IF(NETWORKDAYS.INTL(F1613,G1613,1,Table2[Dias no laborales]) &lt;= 7, "Dentro", IF(A1613&gt;F1613,"Programado","Fuera"))))</f>
        <v>Fuera</v>
      </c>
      <c r="K1613" s="6" t="str">
        <f t="shared" si="58"/>
        <v>A tiempo</v>
      </c>
      <c r="L1613" s="8">
        <v>46069</v>
      </c>
      <c r="M1613" s="17">
        <f>MAX(1,NETWORKDAYS(A1613,L1613,Table2[Dias no laborales]))</f>
        <v>1</v>
      </c>
    </row>
    <row r="1614" spans="1:13" hidden="1" x14ac:dyDescent="0.3">
      <c r="A1614" s="8">
        <v>46069</v>
      </c>
      <c r="B1614" s="16" t="s">
        <v>3197</v>
      </c>
      <c r="C1614" s="6" t="s">
        <v>3301</v>
      </c>
      <c r="D1614" s="6" t="s">
        <v>414</v>
      </c>
      <c r="E1614" s="14">
        <v>46069.386111111111</v>
      </c>
      <c r="F1614" s="8">
        <f>IF(HOUR(Table1[[#This Row],[CORREO]])&gt;=11,WORKDAY(Table1[[#This Row],[CORREO]],1,Table2[Dias no laborales]),E1614)</f>
        <v>46069.386111111111</v>
      </c>
      <c r="G1614" s="8">
        <v>46106</v>
      </c>
      <c r="H1614" s="6">
        <f t="shared" si="57"/>
        <v>7</v>
      </c>
      <c r="I1614" s="16">
        <f>MAX(1, NETWORKDAYS(A1614, G1614,Table2[Dias no laborales]))</f>
        <v>27</v>
      </c>
      <c r="J1614" s="6" t="str">
        <f>IF(Table1[[#This Row],[FIN]]="","Acumulado",IF(ISNUMBER(SEARCH("ASAP",C1614)),"ASAP",IF(NETWORKDAYS.INTL(F1614,G1614,1,Table2[Dias no laborales]) &lt;= 7, "Dentro", IF(A1614&gt;F1614,"Programado","Fuera"))))</f>
        <v>Fuera</v>
      </c>
      <c r="K1614" s="6" t="str">
        <f t="shared" si="58"/>
        <v>A tiempo</v>
      </c>
      <c r="L1614" s="8">
        <v>46069</v>
      </c>
      <c r="M1614" s="17">
        <f>MAX(1,NETWORKDAYS(A1614,L1614,Table2[Dias no laborales]))</f>
        <v>1</v>
      </c>
    </row>
    <row r="1615" spans="1:13" hidden="1" x14ac:dyDescent="0.3">
      <c r="A1615" s="8">
        <v>46069</v>
      </c>
      <c r="B1615" s="16" t="s">
        <v>3198</v>
      </c>
      <c r="C1615" s="6" t="s">
        <v>3302</v>
      </c>
      <c r="D1615" s="6" t="s">
        <v>24</v>
      </c>
      <c r="E1615" s="14"/>
      <c r="F1615" s="8">
        <f>IF(HOUR(Table1[[#This Row],[CORREO]])&gt;=11,WORKDAY(Table1[[#This Row],[CORREO]],1,Table2[Dias no laborales]),E1615)</f>
        <v>0</v>
      </c>
      <c r="G1615" s="8">
        <v>46122</v>
      </c>
      <c r="H1615" s="6">
        <f t="shared" si="57"/>
        <v>7</v>
      </c>
      <c r="I1615" s="16">
        <f>MAX(1, NETWORKDAYS(A1615, G1615,Table2[Dias no laborales]))</f>
        <v>37</v>
      </c>
      <c r="J1615" s="6" t="str">
        <f>IF(Table1[[#This Row],[FIN]]="","Acumulado",IF(ISNUMBER(SEARCH("ASAP",C1615)),"ASAP",IF(NETWORKDAYS.INTL(F1615,G1615,1,Table2[Dias no laborales]) &lt;= 7, "Dentro", IF(A1615&gt;F1615,"Programado","Fuera"))))</f>
        <v>ASAP</v>
      </c>
      <c r="K1615" s="6" t="str">
        <f t="shared" si="58"/>
        <v>Programados</v>
      </c>
      <c r="L1615" s="8">
        <v>46069</v>
      </c>
      <c r="M1615" s="17">
        <f>MAX(1,NETWORKDAYS(A1615,L1615,Table2[Dias no laborales]))</f>
        <v>1</v>
      </c>
    </row>
    <row r="1616" spans="1:13" hidden="1" x14ac:dyDescent="0.3">
      <c r="A1616" s="8">
        <v>46069</v>
      </c>
      <c r="B1616" s="16" t="s">
        <v>3199</v>
      </c>
      <c r="C1616" s="6" t="s">
        <v>3303</v>
      </c>
      <c r="D1616" s="6" t="s">
        <v>655</v>
      </c>
      <c r="E1616" s="14">
        <v>46069.443055555559</v>
      </c>
      <c r="F1616" s="8">
        <f>IF(HOUR(Table1[[#This Row],[CORREO]])&gt;=11,WORKDAY(Table1[[#This Row],[CORREO]],1,Table2[Dias no laborales]),E1616)</f>
        <v>46069.443055555559</v>
      </c>
      <c r="G1616" s="8">
        <v>46071</v>
      </c>
      <c r="H1616" s="6">
        <f t="shared" si="57"/>
        <v>7</v>
      </c>
      <c r="I1616" s="16">
        <f>MAX(1, NETWORKDAYS(A1616, G1616,Table2[Dias no laborales]))</f>
        <v>3</v>
      </c>
      <c r="J1616" s="6" t="str">
        <f>IF(Table1[[#This Row],[FIN]]="","Acumulado",IF(ISNUMBER(SEARCH("ASAP",C1616)),"ASAP",IF(NETWORKDAYS.INTL(F1616,G1616,1,Table2[Dias no laborales]) &lt;= 7, "Dentro", IF(A1616&gt;F1616,"Programado","Fuera"))))</f>
        <v>Dentro</v>
      </c>
      <c r="K1616" s="6" t="str">
        <f t="shared" si="58"/>
        <v>A tiempo</v>
      </c>
      <c r="L1616" s="8">
        <v>46069</v>
      </c>
      <c r="M1616" s="17">
        <f>MAX(1,NETWORKDAYS(A1616,L1616,Table2[Dias no laborales]))</f>
        <v>1</v>
      </c>
    </row>
    <row r="1617" spans="1:13" hidden="1" x14ac:dyDescent="0.3">
      <c r="A1617" s="8">
        <v>46069</v>
      </c>
      <c r="B1617" s="16" t="s">
        <v>3200</v>
      </c>
      <c r="C1617" s="6" t="s">
        <v>3254</v>
      </c>
      <c r="D1617" s="6" t="s">
        <v>139</v>
      </c>
      <c r="E1617" s="14">
        <v>46069.462500000001</v>
      </c>
      <c r="F1617" s="8">
        <f>IF(HOUR(Table1[[#This Row],[CORREO]])&gt;=11,WORKDAY(Table1[[#This Row],[CORREO]],1,Table2[Dias no laborales]),E1617)</f>
        <v>46070</v>
      </c>
      <c r="G1617" s="8">
        <v>46070</v>
      </c>
      <c r="H1617" s="6">
        <f t="shared" si="57"/>
        <v>7</v>
      </c>
      <c r="I1617" s="16">
        <f>MAX(1, NETWORKDAYS(A1617, G1617,Table2[Dias no laborales]))</f>
        <v>2</v>
      </c>
      <c r="J1617" s="6" t="str">
        <f>IF(Table1[[#This Row],[FIN]]="","Acumulado",IF(ISNUMBER(SEARCH("ASAP",C1617)),"ASAP",IF(NETWORKDAYS.INTL(F1617,G1617,1,Table2[Dias no laborales]) &lt;= 7, "Dentro", IF(A1617&gt;F1617,"Programado","Fuera"))))</f>
        <v>Dentro</v>
      </c>
      <c r="K1617" s="6" t="str">
        <f t="shared" si="58"/>
        <v>Mismo día</v>
      </c>
      <c r="L1617" s="8">
        <v>46070</v>
      </c>
      <c r="M1617" s="17">
        <f>MAX(1,NETWORKDAYS(A1617,L1617,Table2[Dias no laborales]))</f>
        <v>2</v>
      </c>
    </row>
    <row r="1618" spans="1:13" hidden="1" x14ac:dyDescent="0.3">
      <c r="A1618" s="8">
        <v>46069</v>
      </c>
      <c r="B1618" s="16" t="s">
        <v>3201</v>
      </c>
      <c r="C1618" s="6" t="s">
        <v>3304</v>
      </c>
      <c r="D1618" s="6" t="s">
        <v>1726</v>
      </c>
      <c r="E1618" s="14"/>
      <c r="F1618" s="8">
        <f>IF(HOUR(Table1[[#This Row],[CORREO]])&gt;=11,WORKDAY(Table1[[#This Row],[CORREO]],1,Table2[Dias no laborales]),E1618)</f>
        <v>0</v>
      </c>
      <c r="G1618" s="8">
        <v>46087</v>
      </c>
      <c r="H1618" s="6">
        <f t="shared" si="57"/>
        <v>7</v>
      </c>
      <c r="I1618" s="16">
        <f>MAX(1, NETWORKDAYS(A1618, G1618,Table2[Dias no laborales]))</f>
        <v>15</v>
      </c>
      <c r="J1618" s="6" t="str">
        <f>IF(Table1[[#This Row],[FIN]]="","Acumulado",IF(ISNUMBER(SEARCH("ASAP",C1618)),"ASAP",IF(NETWORKDAYS.INTL(F1618,G1618,1,Table2[Dias no laborales]) &lt;= 7, "Dentro", IF(A1618&gt;F1618,"Programado","Fuera"))))</f>
        <v>Programado</v>
      </c>
      <c r="K1618" s="6" t="str">
        <f t="shared" si="58"/>
        <v>Programados</v>
      </c>
      <c r="L1618" s="8">
        <v>46069</v>
      </c>
      <c r="M1618" s="17">
        <f>MAX(1,NETWORKDAYS(A1618,L1618,Table2[Dias no laborales]))</f>
        <v>1</v>
      </c>
    </row>
    <row r="1619" spans="1:13" hidden="1" x14ac:dyDescent="0.3">
      <c r="A1619" s="8">
        <v>46070</v>
      </c>
      <c r="B1619" s="16" t="s">
        <v>3202</v>
      </c>
      <c r="C1619" s="6" t="s">
        <v>3305</v>
      </c>
      <c r="D1619" s="6" t="s">
        <v>89</v>
      </c>
      <c r="E1619" s="14">
        <v>46069.95416666667</v>
      </c>
      <c r="F1619" s="8">
        <f>IF(HOUR(Table1[[#This Row],[CORREO]])&gt;=11,WORKDAY(Table1[[#This Row],[CORREO]],1,Table2[Dias no laborales]),E1619)</f>
        <v>46070</v>
      </c>
      <c r="G1619" s="8">
        <v>46070</v>
      </c>
      <c r="H1619" s="6">
        <f t="shared" si="57"/>
        <v>7</v>
      </c>
      <c r="I1619" s="16">
        <f>MAX(1, NETWORKDAYS(A1619, G1619,Table2[Dias no laborales]))</f>
        <v>1</v>
      </c>
      <c r="J1619" s="6" t="str">
        <f>IF(Table1[[#This Row],[FIN]]="","Acumulado",IF(ISNUMBER(SEARCH("ASAP",C1619)),"ASAP",IF(NETWORKDAYS.INTL(F1619,G1619,1,Table2[Dias no laborales]) &lt;= 7, "Dentro", IF(A1619&gt;F1619,"Programado","Fuera"))))</f>
        <v>Dentro</v>
      </c>
      <c r="K1619" s="6" t="str">
        <f t="shared" si="58"/>
        <v>A tiempo</v>
      </c>
      <c r="L1619" s="8">
        <v>46070</v>
      </c>
      <c r="M1619" s="17">
        <f>MAX(1,NETWORKDAYS(A1619,L1619,Table2[Dias no laborales]))</f>
        <v>1</v>
      </c>
    </row>
    <row r="1620" spans="1:13" hidden="1" x14ac:dyDescent="0.3">
      <c r="A1620" s="8">
        <v>46070</v>
      </c>
      <c r="B1620" s="16" t="s">
        <v>3203</v>
      </c>
      <c r="C1620" s="6" t="s">
        <v>3306</v>
      </c>
      <c r="D1620" s="6" t="s">
        <v>482</v>
      </c>
      <c r="E1620" s="14">
        <v>46070.006249999999</v>
      </c>
      <c r="F1620" s="8">
        <f>IF(HOUR(Table1[[#This Row],[CORREO]])&gt;=11,WORKDAY(Table1[[#This Row],[CORREO]],1,Table2[Dias no laborales]),E1620)</f>
        <v>46070.006249999999</v>
      </c>
      <c r="G1620" s="8">
        <v>46076</v>
      </c>
      <c r="H1620" s="6">
        <f t="shared" si="57"/>
        <v>7</v>
      </c>
      <c r="I1620" s="16">
        <f>MAX(1, NETWORKDAYS(A1620, G1620,Table2[Dias no laborales]))</f>
        <v>5</v>
      </c>
      <c r="J1620" s="6" t="str">
        <f>IF(Table1[[#This Row],[FIN]]="","Acumulado",IF(ISNUMBER(SEARCH("ASAP",C1620)),"ASAP",IF(NETWORKDAYS.INTL(F1620,G1620,1,Table2[Dias no laborales]) &lt;= 7, "Dentro", IF(A1620&gt;F1620,"Programado","Fuera"))))</f>
        <v>Dentro</v>
      </c>
      <c r="K1620" s="6" t="str">
        <f t="shared" si="58"/>
        <v>A tiempo</v>
      </c>
      <c r="L1620" s="8">
        <v>46070</v>
      </c>
      <c r="M1620" s="17">
        <f>MAX(1,NETWORKDAYS(A1620,L1620,Table2[Dias no laborales]))</f>
        <v>1</v>
      </c>
    </row>
    <row r="1621" spans="1:13" hidden="1" x14ac:dyDescent="0.3">
      <c r="A1621" s="8">
        <v>46070</v>
      </c>
      <c r="B1621" s="16" t="s">
        <v>3204</v>
      </c>
      <c r="C1621" s="6" t="s">
        <v>3307</v>
      </c>
      <c r="D1621" s="6" t="s">
        <v>27</v>
      </c>
      <c r="E1621" s="14"/>
      <c r="F1621" s="8">
        <f>IF(HOUR(Table1[[#This Row],[CORREO]])&gt;=11,WORKDAY(Table1[[#This Row],[CORREO]],1,Table2[Dias no laborales]),E1621)</f>
        <v>0</v>
      </c>
      <c r="G1621" s="8">
        <v>46086</v>
      </c>
      <c r="H1621" s="6">
        <f t="shared" si="57"/>
        <v>7</v>
      </c>
      <c r="I1621" s="16">
        <f>MAX(1, NETWORKDAYS(A1621, G1621,Table2[Dias no laborales]))</f>
        <v>13</v>
      </c>
      <c r="J1621" s="6" t="str">
        <f>IF(Table1[[#This Row],[FIN]]="","Acumulado",IF(ISNUMBER(SEARCH("ASAP",C1621)),"ASAP",IF(NETWORKDAYS.INTL(F1621,G1621,1,Table2[Dias no laborales]) &lt;= 7, "Dentro", IF(A1621&gt;F1621,"Programado","Fuera"))))</f>
        <v>Programado</v>
      </c>
      <c r="K1621" s="6" t="str">
        <f t="shared" si="58"/>
        <v>Programados</v>
      </c>
      <c r="L1621" s="8">
        <v>46071</v>
      </c>
      <c r="M1621" s="17">
        <f>MAX(1,NETWORKDAYS(A1621,L1621,Table2[Dias no laborales]))</f>
        <v>2</v>
      </c>
    </row>
    <row r="1622" spans="1:13" hidden="1" x14ac:dyDescent="0.3">
      <c r="A1622" s="8">
        <v>46070</v>
      </c>
      <c r="B1622" s="16" t="s">
        <v>3205</v>
      </c>
      <c r="C1622" s="6" t="s">
        <v>3308</v>
      </c>
      <c r="D1622" s="6" t="s">
        <v>139</v>
      </c>
      <c r="E1622" s="14">
        <v>46070.336805555555</v>
      </c>
      <c r="F1622" s="8">
        <f>IF(HOUR(Table1[[#This Row],[CORREO]])&gt;=11,WORKDAY(Table1[[#This Row],[CORREO]],1,Table2[Dias no laborales]),E1622)</f>
        <v>46070.336805555555</v>
      </c>
      <c r="G1622" s="8">
        <v>46071</v>
      </c>
      <c r="H1622" s="6">
        <f t="shared" si="57"/>
        <v>7</v>
      </c>
      <c r="I1622" s="16">
        <f>MAX(1, NETWORKDAYS(A1622, G1622,Table2[Dias no laborales]))</f>
        <v>2</v>
      </c>
      <c r="J1622" s="6" t="str">
        <f>IF(Table1[[#This Row],[FIN]]="","Acumulado",IF(ISNUMBER(SEARCH("ASAP",C1622)),"ASAP",IF(NETWORKDAYS.INTL(F1622,G1622,1,Table2[Dias no laborales]) &lt;= 7, "Dentro", IF(A1622&gt;F1622,"Programado","Fuera"))))</f>
        <v>Dentro</v>
      </c>
      <c r="K1622" s="6" t="str">
        <f t="shared" si="58"/>
        <v>A tiempo</v>
      </c>
      <c r="L1622" s="8">
        <v>46070</v>
      </c>
      <c r="M1622" s="17">
        <f>MAX(1,NETWORKDAYS(A1622,L1622,Table2[Dias no laborales]))</f>
        <v>1</v>
      </c>
    </row>
    <row r="1623" spans="1:13" hidden="1" x14ac:dyDescent="0.3">
      <c r="A1623" s="8">
        <v>46070</v>
      </c>
      <c r="B1623" s="16" t="s">
        <v>3206</v>
      </c>
      <c r="C1623" s="6" t="s">
        <v>1178</v>
      </c>
      <c r="D1623" s="6" t="s">
        <v>85</v>
      </c>
      <c r="E1623" s="14"/>
      <c r="F1623" s="8">
        <f>IF(HOUR(Table1[[#This Row],[CORREO]])&gt;=11,WORKDAY(Table1[[#This Row],[CORREO]],1,Table2[Dias no laborales]),E1623)</f>
        <v>0</v>
      </c>
      <c r="G1623" s="8">
        <v>46106</v>
      </c>
      <c r="H1623" s="6">
        <f t="shared" si="57"/>
        <v>7</v>
      </c>
      <c r="I1623" s="16">
        <f>MAX(1, NETWORKDAYS(A1623, G1623,Table2[Dias no laborales]))</f>
        <v>26</v>
      </c>
      <c r="J1623" s="6" t="str">
        <f>IF(Table1[[#This Row],[FIN]]="","Acumulado",IF(ISNUMBER(SEARCH("ASAP",C1623)),"ASAP",IF(NETWORKDAYS.INTL(F1623,G1623,1,Table2[Dias no laborales]) &lt;= 7, "Dentro", IF(A1623&gt;F1623,"Programado","Fuera"))))</f>
        <v>Programado</v>
      </c>
      <c r="K1623" s="6" t="str">
        <f t="shared" si="58"/>
        <v>Programados</v>
      </c>
      <c r="L1623" s="8">
        <v>46070</v>
      </c>
      <c r="M1623" s="17">
        <f>MAX(1,NETWORKDAYS(A1623,L1623,Table2[Dias no laborales]))</f>
        <v>1</v>
      </c>
    </row>
    <row r="1624" spans="1:13" hidden="1" x14ac:dyDescent="0.3">
      <c r="A1624" s="8">
        <v>46070</v>
      </c>
      <c r="B1624" s="16" t="s">
        <v>3207</v>
      </c>
      <c r="C1624" s="6" t="s">
        <v>3293</v>
      </c>
      <c r="D1624" s="6" t="s">
        <v>89</v>
      </c>
      <c r="E1624" s="14">
        <v>46070.423611111109</v>
      </c>
      <c r="F1624" s="8">
        <f>IF(HOUR(Table1[[#This Row],[CORREO]])&gt;=11,WORKDAY(Table1[[#This Row],[CORREO]],1,Table2[Dias no laborales]),E1624)</f>
        <v>46070.423611111109</v>
      </c>
      <c r="G1624" s="8">
        <v>46078</v>
      </c>
      <c r="H1624" s="6">
        <f t="shared" si="57"/>
        <v>7</v>
      </c>
      <c r="I1624" s="16">
        <f>MAX(1, NETWORKDAYS(A1624, G1624,Table2[Dias no laborales]))</f>
        <v>7</v>
      </c>
      <c r="J1624" s="6" t="str">
        <f>IF(Table1[[#This Row],[FIN]]="","Acumulado",IF(ISNUMBER(SEARCH("ASAP",C1624)),"ASAP",IF(NETWORKDAYS.INTL(F1624,G1624,1,Table2[Dias no laborales]) &lt;= 7, "Dentro", IF(A1624&gt;F1624,"Programado","Fuera"))))</f>
        <v>Dentro</v>
      </c>
      <c r="K1624" s="6" t="str">
        <f t="shared" si="58"/>
        <v>A tiempo</v>
      </c>
      <c r="L1624" s="8">
        <v>46070</v>
      </c>
      <c r="M1624" s="17">
        <f>MAX(1,NETWORKDAYS(A1624,L1624,Table2[Dias no laborales]))</f>
        <v>1</v>
      </c>
    </row>
    <row r="1625" spans="1:13" hidden="1" x14ac:dyDescent="0.3">
      <c r="A1625" s="8">
        <v>46070</v>
      </c>
      <c r="B1625" s="16" t="s">
        <v>3208</v>
      </c>
      <c r="C1625" s="6" t="s">
        <v>3309</v>
      </c>
      <c r="D1625" s="6" t="s">
        <v>238</v>
      </c>
      <c r="E1625" s="14">
        <v>46070.609722222223</v>
      </c>
      <c r="F1625" s="8">
        <f>IF(HOUR(Table1[[#This Row],[CORREO]])&gt;=11,WORKDAY(Table1[[#This Row],[CORREO]],1,Table2[Dias no laborales]),E1625)</f>
        <v>46071</v>
      </c>
      <c r="G1625" s="8">
        <v>46085</v>
      </c>
      <c r="H1625" s="6">
        <f t="shared" si="57"/>
        <v>7</v>
      </c>
      <c r="I1625" s="16">
        <f>MAX(1, NETWORKDAYS(A1625, G1625,Table2[Dias no laborales]))</f>
        <v>12</v>
      </c>
      <c r="J1625" s="6" t="str">
        <f>IF(Table1[[#This Row],[FIN]]="","Acumulado",IF(ISNUMBER(SEARCH("ASAP",C1625)),"ASAP",IF(NETWORKDAYS.INTL(F1625,G1625,1,Table2[Dias no laborales]) &lt;= 7, "Dentro", IF(A1625&gt;F1625,"Programado","Fuera"))))</f>
        <v>Fuera</v>
      </c>
      <c r="K1625" s="6" t="str">
        <f t="shared" si="58"/>
        <v>Mismo día</v>
      </c>
      <c r="L1625" s="8">
        <v>46070</v>
      </c>
      <c r="M1625" s="17">
        <f>MAX(1,NETWORKDAYS(A1625,L1625,Table2[Dias no laborales]))</f>
        <v>1</v>
      </c>
    </row>
    <row r="1626" spans="1:13" hidden="1" x14ac:dyDescent="0.3">
      <c r="A1626" s="8">
        <v>46070</v>
      </c>
      <c r="B1626" s="16" t="s">
        <v>3209</v>
      </c>
      <c r="C1626" s="6" t="s">
        <v>3310</v>
      </c>
      <c r="D1626" s="6" t="s">
        <v>3311</v>
      </c>
      <c r="E1626" s="14">
        <v>46070.65</v>
      </c>
      <c r="F1626" s="8">
        <f>IF(HOUR(Table1[[#This Row],[CORREO]])&gt;=11,WORKDAY(Table1[[#This Row],[CORREO]],1,Table2[Dias no laborales]),E1626)</f>
        <v>46071</v>
      </c>
      <c r="G1626" s="8">
        <v>46071</v>
      </c>
      <c r="H1626" s="6">
        <f t="shared" si="57"/>
        <v>7</v>
      </c>
      <c r="I1626" s="16">
        <f>MAX(1, NETWORKDAYS(A1626, G1626,Table2[Dias no laborales]))</f>
        <v>2</v>
      </c>
      <c r="J1626" s="6" t="str">
        <f>IF(Table1[[#This Row],[FIN]]="","Acumulado",IF(ISNUMBER(SEARCH("ASAP",C1626)),"ASAP",IF(NETWORKDAYS.INTL(F1626,G1626,1,Table2[Dias no laborales]) &lt;= 7, "Dentro", IF(A1626&gt;F1626,"Programado","Fuera"))))</f>
        <v>Dentro</v>
      </c>
      <c r="K1626" s="6" t="str">
        <f t="shared" si="58"/>
        <v>Mismo día</v>
      </c>
      <c r="L1626" s="8">
        <v>46070</v>
      </c>
      <c r="M1626" s="17">
        <f>MAX(1,NETWORKDAYS(A1626,L1626,Table2[Dias no laborales]))</f>
        <v>1</v>
      </c>
    </row>
    <row r="1627" spans="1:13" hidden="1" x14ac:dyDescent="0.3">
      <c r="A1627" s="8">
        <v>46071</v>
      </c>
      <c r="B1627" s="16" t="s">
        <v>3210</v>
      </c>
      <c r="C1627" s="6" t="s">
        <v>3312</v>
      </c>
      <c r="D1627" s="6" t="s">
        <v>372</v>
      </c>
      <c r="E1627" s="14">
        <v>46070.5</v>
      </c>
      <c r="F1627" s="8">
        <f>IF(HOUR(Table1[[#This Row],[CORREO]])&gt;=11,WORKDAY(Table1[[#This Row],[CORREO]],1,Table2[Dias no laborales]),E1627)</f>
        <v>46071</v>
      </c>
      <c r="G1627" s="8">
        <v>46071</v>
      </c>
      <c r="H1627" s="6">
        <f t="shared" si="57"/>
        <v>7</v>
      </c>
      <c r="I1627" s="16">
        <f>MAX(1, NETWORKDAYS(A1627, G1627,Table2[Dias no laborales]))</f>
        <v>1</v>
      </c>
      <c r="J1627" s="6" t="str">
        <f>IF(Table1[[#This Row],[FIN]]="","Acumulado",IF(ISNUMBER(SEARCH("ASAP",C1627)),"ASAP",IF(NETWORKDAYS.INTL(F1627,G1627,1,Table2[Dias no laborales]) &lt;= 7, "Dentro", IF(A1627&gt;F1627,"Programado","Fuera"))))</f>
        <v>Dentro</v>
      </c>
      <c r="K1627" s="6" t="str">
        <f t="shared" si="58"/>
        <v>A tiempo</v>
      </c>
      <c r="L1627" s="8">
        <v>46071</v>
      </c>
      <c r="M1627" s="17">
        <f>MAX(1,NETWORKDAYS(A1627,L1627,Table2[Dias no laborales]))</f>
        <v>1</v>
      </c>
    </row>
    <row r="1628" spans="1:13" hidden="1" x14ac:dyDescent="0.3">
      <c r="A1628" s="8">
        <v>46071</v>
      </c>
      <c r="B1628" s="16" t="s">
        <v>3211</v>
      </c>
      <c r="C1628" s="6" t="s">
        <v>3313</v>
      </c>
      <c r="D1628" s="6" t="s">
        <v>61</v>
      </c>
      <c r="E1628" s="14">
        <v>46070.50277777778</v>
      </c>
      <c r="F1628" s="8">
        <f>IF(HOUR(Table1[[#This Row],[CORREO]])&gt;=11,WORKDAY(Table1[[#This Row],[CORREO]],1,Table2[Dias no laborales]),E1628)</f>
        <v>46071</v>
      </c>
      <c r="G1628" s="8">
        <v>46071</v>
      </c>
      <c r="H1628" s="6">
        <f t="shared" si="57"/>
        <v>7</v>
      </c>
      <c r="I1628" s="16">
        <f>MAX(1, NETWORKDAYS(A1628, G1628,Table2[Dias no laborales]))</f>
        <v>1</v>
      </c>
      <c r="J1628" s="6" t="str">
        <f>IF(Table1[[#This Row],[FIN]]="","Acumulado",IF(ISNUMBER(SEARCH("ASAP",C1628)),"ASAP",IF(NETWORKDAYS.INTL(F1628,G1628,1,Table2[Dias no laborales]) &lt;= 7, "Dentro", IF(A1628&gt;F1628,"Programado","Fuera"))))</f>
        <v>Dentro</v>
      </c>
      <c r="K1628" s="6" t="str">
        <f t="shared" si="58"/>
        <v>A tiempo</v>
      </c>
      <c r="L1628" s="8">
        <v>46071</v>
      </c>
      <c r="M1628" s="17">
        <f>MAX(1,NETWORKDAYS(A1628,L1628,Table2[Dias no laborales]))</f>
        <v>1</v>
      </c>
    </row>
    <row r="1629" spans="1:13" hidden="1" x14ac:dyDescent="0.3">
      <c r="A1629" s="8">
        <v>46071</v>
      </c>
      <c r="B1629" s="16" t="s">
        <v>3212</v>
      </c>
      <c r="C1629" s="6" t="s">
        <v>3314</v>
      </c>
      <c r="D1629" s="6" t="s">
        <v>2981</v>
      </c>
      <c r="E1629" s="14">
        <v>46070.538194444445</v>
      </c>
      <c r="F1629" s="8">
        <f>IF(HOUR(Table1[[#This Row],[CORREO]])&gt;=11,WORKDAY(Table1[[#This Row],[CORREO]],1,Table2[Dias no laborales]),E1629)</f>
        <v>46071</v>
      </c>
      <c r="G1629" s="8">
        <v>46071</v>
      </c>
      <c r="H1629" s="6">
        <f t="shared" si="57"/>
        <v>7</v>
      </c>
      <c r="I1629" s="16">
        <f>MAX(1, NETWORKDAYS(A1629, G1629,Table2[Dias no laborales]))</f>
        <v>1</v>
      </c>
      <c r="J1629" s="6" t="str">
        <f>IF(Table1[[#This Row],[FIN]]="","Acumulado",IF(ISNUMBER(SEARCH("ASAP",C1629)),"ASAP",IF(NETWORKDAYS.INTL(F1629,G1629,1,Table2[Dias no laborales]) &lt;= 7, "Dentro", IF(A1629&gt;F1629,"Programado","Fuera"))))</f>
        <v>Dentro</v>
      </c>
      <c r="K1629" s="6" t="str">
        <f t="shared" si="58"/>
        <v>A tiempo</v>
      </c>
      <c r="L1629" s="8">
        <v>46071</v>
      </c>
      <c r="M1629" s="17">
        <f>MAX(1,NETWORKDAYS(A1629,L1629,Table2[Dias no laborales]))</f>
        <v>1</v>
      </c>
    </row>
    <row r="1630" spans="1:13" hidden="1" x14ac:dyDescent="0.3">
      <c r="A1630" s="8">
        <v>46071</v>
      </c>
      <c r="B1630" s="16" t="s">
        <v>3213</v>
      </c>
      <c r="C1630" s="6" t="s">
        <v>3315</v>
      </c>
      <c r="D1630" s="6" t="s">
        <v>27</v>
      </c>
      <c r="E1630" s="14">
        <v>46070.604861111111</v>
      </c>
      <c r="F1630" s="8">
        <f>IF(HOUR(Table1[[#This Row],[CORREO]])&gt;=11,WORKDAY(Table1[[#This Row],[CORREO]],1,Table2[Dias no laborales]),E1630)</f>
        <v>46071</v>
      </c>
      <c r="G1630" s="8">
        <v>46073</v>
      </c>
      <c r="H1630" s="6">
        <f t="shared" si="57"/>
        <v>7</v>
      </c>
      <c r="I1630" s="16">
        <f>MAX(1, NETWORKDAYS(A1630, G1630,Table2[Dias no laborales]))</f>
        <v>3</v>
      </c>
      <c r="J1630" s="6" t="str">
        <f>IF(Table1[[#This Row],[FIN]]="","Acumulado",IF(ISNUMBER(SEARCH("ASAP",C1630)),"ASAP",IF(NETWORKDAYS.INTL(F1630,G1630,1,Table2[Dias no laborales]) &lt;= 7, "Dentro", IF(A1630&gt;F1630,"Programado","Fuera"))))</f>
        <v>Dentro</v>
      </c>
      <c r="K1630" s="6" t="str">
        <f t="shared" si="58"/>
        <v>A tiempo</v>
      </c>
      <c r="L1630" s="8">
        <v>46071</v>
      </c>
      <c r="M1630" s="17">
        <f>MAX(1,NETWORKDAYS(A1630,L1630,Table2[Dias no laborales]))</f>
        <v>1</v>
      </c>
    </row>
    <row r="1631" spans="1:13" hidden="1" x14ac:dyDescent="0.3">
      <c r="A1631" s="8">
        <v>46071</v>
      </c>
      <c r="B1631" s="16" t="s">
        <v>3214</v>
      </c>
      <c r="C1631" s="6" t="s">
        <v>3316</v>
      </c>
      <c r="D1631" s="6" t="s">
        <v>27</v>
      </c>
      <c r="E1631" s="14">
        <v>46070.605555555558</v>
      </c>
      <c r="F1631" s="8">
        <f>IF(HOUR(Table1[[#This Row],[CORREO]])&gt;=11,WORKDAY(Table1[[#This Row],[CORREO]],1,Table2[Dias no laborales]),E1631)</f>
        <v>46071</v>
      </c>
      <c r="G1631" s="8">
        <v>46078</v>
      </c>
      <c r="H1631" s="6">
        <f t="shared" si="57"/>
        <v>7</v>
      </c>
      <c r="I1631" s="16">
        <f>MAX(1, NETWORKDAYS(A1631, G1631,Table2[Dias no laborales]))</f>
        <v>6</v>
      </c>
      <c r="J1631" s="6" t="str">
        <f>IF(Table1[[#This Row],[FIN]]="","Acumulado",IF(ISNUMBER(SEARCH("ASAP",C1631)),"ASAP",IF(NETWORKDAYS.INTL(F1631,G1631,1,Table2[Dias no laborales]) &lt;= 7, "Dentro", IF(A1631&gt;F1631,"Programado","Fuera"))))</f>
        <v>Dentro</v>
      </c>
      <c r="K1631" s="6" t="str">
        <f t="shared" si="58"/>
        <v>A tiempo</v>
      </c>
      <c r="L1631" s="8">
        <v>46071</v>
      </c>
      <c r="M1631" s="17">
        <f>MAX(1,NETWORKDAYS(A1631,L1631,Table2[Dias no laborales]))</f>
        <v>1</v>
      </c>
    </row>
    <row r="1632" spans="1:13" hidden="1" x14ac:dyDescent="0.3">
      <c r="A1632" s="8">
        <v>46071</v>
      </c>
      <c r="B1632" s="16" t="s">
        <v>3215</v>
      </c>
      <c r="C1632" s="6" t="s">
        <v>305</v>
      </c>
      <c r="D1632" s="6" t="s">
        <v>151</v>
      </c>
      <c r="E1632" s="14">
        <v>46070.611111111109</v>
      </c>
      <c r="F1632" s="8">
        <f>IF(HOUR(Table1[[#This Row],[CORREO]])&gt;=11,WORKDAY(Table1[[#This Row],[CORREO]],1,Table2[Dias no laborales]),E1632)</f>
        <v>46071</v>
      </c>
      <c r="G1632" s="8">
        <v>46072</v>
      </c>
      <c r="H1632" s="6">
        <f t="shared" si="57"/>
        <v>7</v>
      </c>
      <c r="I1632" s="16">
        <f>MAX(1, NETWORKDAYS(A1632, G1632,Table2[Dias no laborales]))</f>
        <v>2</v>
      </c>
      <c r="J1632" s="6" t="str">
        <f>IF(Table1[[#This Row],[FIN]]="","Acumulado",IF(ISNUMBER(SEARCH("ASAP",C1632)),"ASAP",IF(NETWORKDAYS.INTL(F1632,G1632,1,Table2[Dias no laborales]) &lt;= 7, "Dentro", IF(A1632&gt;F1632,"Programado","Fuera"))))</f>
        <v>Dentro</v>
      </c>
      <c r="K1632" s="6" t="str">
        <f t="shared" si="58"/>
        <v>A tiempo</v>
      </c>
      <c r="L1632" s="8">
        <v>46071</v>
      </c>
      <c r="M1632" s="17">
        <f>MAX(1,NETWORKDAYS(A1632,L1632,Table2[Dias no laborales]))</f>
        <v>1</v>
      </c>
    </row>
    <row r="1633" spans="1:13" hidden="1" x14ac:dyDescent="0.3">
      <c r="A1633" s="8">
        <v>46071</v>
      </c>
      <c r="B1633" s="16" t="s">
        <v>3216</v>
      </c>
      <c r="C1633" s="6" t="s">
        <v>3317</v>
      </c>
      <c r="D1633" s="6" t="s">
        <v>53</v>
      </c>
      <c r="E1633" s="14">
        <v>46071.357638888891</v>
      </c>
      <c r="F1633" s="8">
        <f>IF(HOUR(Table1[[#This Row],[CORREO]])&gt;=11,WORKDAY(Table1[[#This Row],[CORREO]],1,Table2[Dias no laborales]),E1633)</f>
        <v>46071.357638888891</v>
      </c>
      <c r="G1633" s="8">
        <v>46072</v>
      </c>
      <c r="H1633" s="6">
        <f t="shared" si="57"/>
        <v>7</v>
      </c>
      <c r="I1633" s="16">
        <f>MAX(1, NETWORKDAYS(A1633, G1633,Table2[Dias no laborales]))</f>
        <v>2</v>
      </c>
      <c r="J1633" s="6" t="str">
        <f>IF(Table1[[#This Row],[FIN]]="","Acumulado",IF(ISNUMBER(SEARCH("ASAP",C1633)),"ASAP",IF(NETWORKDAYS.INTL(F1633,G1633,1,Table2[Dias no laborales]) &lt;= 7, "Dentro", IF(A1633&gt;F1633,"Programado","Fuera"))))</f>
        <v>Dentro</v>
      </c>
      <c r="K1633" s="6" t="str">
        <f t="shared" si="58"/>
        <v>A tiempo</v>
      </c>
      <c r="L1633" s="8">
        <v>46071</v>
      </c>
      <c r="M1633" s="17">
        <f>MAX(1,NETWORKDAYS(A1633,L1633,Table2[Dias no laborales]))</f>
        <v>1</v>
      </c>
    </row>
    <row r="1634" spans="1:13" hidden="1" x14ac:dyDescent="0.3">
      <c r="A1634" s="8">
        <v>46071</v>
      </c>
      <c r="B1634" s="16" t="s">
        <v>3217</v>
      </c>
      <c r="C1634" s="6" t="s">
        <v>3318</v>
      </c>
      <c r="D1634" s="6" t="s">
        <v>916</v>
      </c>
      <c r="E1634" s="14">
        <v>46071.368055555555</v>
      </c>
      <c r="F1634" s="8">
        <f>IF(HOUR(Table1[[#This Row],[CORREO]])&gt;=11,WORKDAY(Table1[[#This Row],[CORREO]],1,Table2[Dias no laborales]),E1634)</f>
        <v>46071.368055555555</v>
      </c>
      <c r="G1634" s="8">
        <v>46083</v>
      </c>
      <c r="H1634" s="6">
        <f t="shared" si="57"/>
        <v>7</v>
      </c>
      <c r="I1634" s="16">
        <f>MAX(1, NETWORKDAYS(A1634, G1634,Table2[Dias no laborales]))</f>
        <v>9</v>
      </c>
      <c r="J1634" s="6" t="str">
        <f>IF(Table1[[#This Row],[FIN]]="","Acumulado",IF(ISNUMBER(SEARCH("ASAP",C1634)),"ASAP",IF(NETWORKDAYS.INTL(F1634,G1634,1,Table2[Dias no laborales]) &lt;= 7, "Dentro", IF(A1634&gt;F1634,"Programado","Fuera"))))</f>
        <v>Fuera</v>
      </c>
      <c r="K1634" s="6" t="str">
        <f t="shared" si="58"/>
        <v>A tiempo</v>
      </c>
      <c r="L1634" s="8">
        <v>46071</v>
      </c>
      <c r="M1634" s="17">
        <f>MAX(1,NETWORKDAYS(A1634,L1634,Table2[Dias no laborales]))</f>
        <v>1</v>
      </c>
    </row>
    <row r="1635" spans="1:13" hidden="1" x14ac:dyDescent="0.3">
      <c r="A1635" s="8">
        <v>46071</v>
      </c>
      <c r="B1635" s="16" t="s">
        <v>3218</v>
      </c>
      <c r="C1635" s="6" t="s">
        <v>3320</v>
      </c>
      <c r="D1635" s="6" t="s">
        <v>27</v>
      </c>
      <c r="E1635" s="14">
        <v>46071.502083333333</v>
      </c>
      <c r="F1635" s="8">
        <f>IF(HOUR(Table1[[#This Row],[CORREO]])&gt;=11,WORKDAY(Table1[[#This Row],[CORREO]],1,Table2[Dias no laborales]),E1635)</f>
        <v>46072</v>
      </c>
      <c r="G1635" s="8">
        <v>46072</v>
      </c>
      <c r="H1635" s="6">
        <f t="shared" ref="H1635:H1654" si="59">INT((A1635-DATE(YEAR(A1635),1,1))/7) + 1</f>
        <v>7</v>
      </c>
      <c r="I1635" s="16">
        <f>MAX(1, NETWORKDAYS(A1635, G1635,Table2[Dias no laborales]))</f>
        <v>2</v>
      </c>
      <c r="J1635" s="6" t="str">
        <f>IF(Table1[[#This Row],[FIN]]="","Acumulado",IF(ISNUMBER(SEARCH("ASAP",C1635)),"ASAP",IF(NETWORKDAYS.INTL(F1635,G1635,1,Table2[Dias no laborales]) &lt;= 7, "Dentro", IF(A1635&gt;F1635,"Programado","Fuera"))))</f>
        <v>ASAP</v>
      </c>
      <c r="K1635" s="6" t="str">
        <f t="shared" ref="K1635:K1654" si="60">IF(INT(A1635)=INT(F1635),"A tiempo", IF(A1635&lt;F1635,"Mismo día","Programados"))</f>
        <v>Mismo día</v>
      </c>
      <c r="L1635" s="8">
        <v>46072</v>
      </c>
      <c r="M1635" s="17">
        <f>MAX(1,NETWORKDAYS(A1635,L1635,Table2[Dias no laborales]))</f>
        <v>2</v>
      </c>
    </row>
    <row r="1636" spans="1:13" hidden="1" x14ac:dyDescent="0.3">
      <c r="A1636" s="8">
        <v>46072</v>
      </c>
      <c r="B1636" s="16" t="s">
        <v>3219</v>
      </c>
      <c r="C1636" s="6" t="s">
        <v>3319</v>
      </c>
      <c r="D1636" s="6" t="s">
        <v>27</v>
      </c>
      <c r="E1636" s="14">
        <v>46071.640972222223</v>
      </c>
      <c r="F1636" s="8">
        <f>IF(HOUR(Table1[[#This Row],[CORREO]])&gt;=11,WORKDAY(Table1[[#This Row],[CORREO]],1,Table2[Dias no laborales]),E1636)</f>
        <v>46072</v>
      </c>
      <c r="G1636" s="8">
        <v>46083</v>
      </c>
      <c r="H1636" s="6">
        <f t="shared" si="59"/>
        <v>8</v>
      </c>
      <c r="I1636" s="16">
        <f>MAX(1, NETWORKDAYS(A1636, G1636,Table2[Dias no laborales]))</f>
        <v>8</v>
      </c>
      <c r="J1636" s="6" t="str">
        <f>IF(Table1[[#This Row],[FIN]]="","Acumulado",IF(ISNUMBER(SEARCH("ASAP",C1636)),"ASAP",IF(NETWORKDAYS.INTL(F1636,G1636,1,Table2[Dias no laborales]) &lt;= 7, "Dentro", IF(A1636&gt;F1636,"Programado","Fuera"))))</f>
        <v>Fuera</v>
      </c>
      <c r="K1636" s="6" t="str">
        <f t="shared" si="60"/>
        <v>A tiempo</v>
      </c>
      <c r="L1636" s="8">
        <v>46072</v>
      </c>
      <c r="M1636" s="17">
        <f>MAX(1,NETWORKDAYS(A1636,L1636,Table2[Dias no laborales]))</f>
        <v>1</v>
      </c>
    </row>
    <row r="1637" spans="1:13" hidden="1" x14ac:dyDescent="0.3">
      <c r="A1637" s="8">
        <v>46072</v>
      </c>
      <c r="B1637" s="16" t="s">
        <v>3220</v>
      </c>
      <c r="C1637" s="6" t="s">
        <v>3321</v>
      </c>
      <c r="D1637" s="6" t="s">
        <v>27</v>
      </c>
      <c r="E1637" s="14"/>
      <c r="F1637" s="8">
        <f>IF(HOUR(Table1[[#This Row],[CORREO]])&gt;=11,WORKDAY(Table1[[#This Row],[CORREO]],1,Table2[Dias no laborales]),E1637)</f>
        <v>0</v>
      </c>
      <c r="G1637" s="8">
        <v>46093</v>
      </c>
      <c r="H1637" s="6">
        <f t="shared" si="59"/>
        <v>8</v>
      </c>
      <c r="I1637" s="16">
        <f>MAX(1, NETWORKDAYS(A1637, G1637,Table2[Dias no laborales]))</f>
        <v>16</v>
      </c>
      <c r="J1637" s="6" t="str">
        <f>IF(Table1[[#This Row],[FIN]]="","Acumulado",IF(ISNUMBER(SEARCH("ASAP",C1637)),"ASAP",IF(NETWORKDAYS.INTL(F1637,G1637,1,Table2[Dias no laborales]) &lt;= 7, "Dentro", IF(A1637&gt;F1637,"Programado","Fuera"))))</f>
        <v>Programado</v>
      </c>
      <c r="K1637" s="6" t="str">
        <f t="shared" si="60"/>
        <v>Programados</v>
      </c>
      <c r="L1637" s="8">
        <v>46073</v>
      </c>
      <c r="M1637" s="17">
        <f>MAX(1,NETWORKDAYS(A1637,L1637,Table2[Dias no laborales]))</f>
        <v>2</v>
      </c>
    </row>
    <row r="1638" spans="1:13" hidden="1" x14ac:dyDescent="0.3">
      <c r="A1638" s="8">
        <v>46072</v>
      </c>
      <c r="B1638" s="16" t="s">
        <v>3221</v>
      </c>
      <c r="C1638" s="6" t="s">
        <v>3322</v>
      </c>
      <c r="D1638" s="6" t="s">
        <v>504</v>
      </c>
      <c r="E1638" s="14">
        <v>46072</v>
      </c>
      <c r="F1638" s="8">
        <f>IF(HOUR(Table1[[#This Row],[CORREO]])&gt;=11,WORKDAY(Table1[[#This Row],[CORREO]],1,Table2[Dias no laborales]),E1638)</f>
        <v>46072</v>
      </c>
      <c r="G1638" s="8">
        <v>46076</v>
      </c>
      <c r="H1638" s="6">
        <f t="shared" si="59"/>
        <v>8</v>
      </c>
      <c r="I1638" s="16">
        <f>MAX(1, NETWORKDAYS(A1638, G1638,Table2[Dias no laborales]))</f>
        <v>3</v>
      </c>
      <c r="J1638" s="6" t="str">
        <f>IF(Table1[[#This Row],[FIN]]="","Acumulado",IF(ISNUMBER(SEARCH("ASAP",C1638)),"ASAP",IF(NETWORKDAYS.INTL(F1638,G1638,1,Table2[Dias no laborales]) &lt;= 7, "Dentro", IF(A1638&gt;F1638,"Programado","Fuera"))))</f>
        <v>Dentro</v>
      </c>
      <c r="K1638" s="6" t="str">
        <f t="shared" si="60"/>
        <v>A tiempo</v>
      </c>
      <c r="L1638" s="8">
        <v>46072</v>
      </c>
      <c r="M1638" s="17">
        <f>MAX(1,NETWORKDAYS(A1638,L1638,Table2[Dias no laborales]))</f>
        <v>1</v>
      </c>
    </row>
    <row r="1639" spans="1:13" hidden="1" x14ac:dyDescent="0.3">
      <c r="A1639" s="8">
        <v>46072</v>
      </c>
      <c r="B1639" s="16" t="s">
        <v>3222</v>
      </c>
      <c r="C1639" s="6" t="s">
        <v>3323</v>
      </c>
      <c r="D1639" s="6" t="s">
        <v>53</v>
      </c>
      <c r="E1639" s="14">
        <v>46072.388888888891</v>
      </c>
      <c r="F1639" s="8">
        <f>IF(HOUR(Table1[[#This Row],[CORREO]])&gt;=11,WORKDAY(Table1[[#This Row],[CORREO]],1,Table2[Dias no laborales]),E1639)</f>
        <v>46072.388888888891</v>
      </c>
      <c r="G1639" s="8">
        <v>46072</v>
      </c>
      <c r="H1639" s="6">
        <f t="shared" si="59"/>
        <v>8</v>
      </c>
      <c r="I1639" s="16">
        <f>MAX(1, NETWORKDAYS(A1639, G1639,Table2[Dias no laborales]))</f>
        <v>1</v>
      </c>
      <c r="J1639" s="6" t="str">
        <f>IF(Table1[[#This Row],[FIN]]="","Acumulado",IF(ISNUMBER(SEARCH("ASAP",C1639)),"ASAP",IF(NETWORKDAYS.INTL(F1639,G1639,1,Table2[Dias no laborales]) &lt;= 7, "Dentro", IF(A1639&gt;F1639,"Programado","Fuera"))))</f>
        <v>Dentro</v>
      </c>
      <c r="K1639" s="6" t="str">
        <f t="shared" si="60"/>
        <v>A tiempo</v>
      </c>
      <c r="L1639" s="8">
        <v>46072</v>
      </c>
      <c r="M1639" s="17">
        <f>MAX(1,NETWORKDAYS(A1639,L1639,Table2[Dias no laborales]))</f>
        <v>1</v>
      </c>
    </row>
    <row r="1640" spans="1:13" hidden="1" x14ac:dyDescent="0.3">
      <c r="A1640" s="8">
        <v>46072</v>
      </c>
      <c r="B1640" s="16" t="s">
        <v>3223</v>
      </c>
      <c r="C1640" s="6" t="s">
        <v>3324</v>
      </c>
      <c r="D1640" s="6" t="s">
        <v>3325</v>
      </c>
      <c r="E1640" s="14">
        <v>46072.425694444442</v>
      </c>
      <c r="F1640" s="8">
        <f>IF(HOUR(Table1[[#This Row],[CORREO]])&gt;=11,WORKDAY(Table1[[#This Row],[CORREO]],1,Table2[Dias no laborales]),E1640)</f>
        <v>46072.425694444442</v>
      </c>
      <c r="G1640" s="8">
        <v>46080</v>
      </c>
      <c r="H1640" s="6">
        <f t="shared" si="59"/>
        <v>8</v>
      </c>
      <c r="I1640" s="16">
        <f>MAX(1, NETWORKDAYS(A1640, G1640,Table2[Dias no laborales]))</f>
        <v>7</v>
      </c>
      <c r="J1640" s="6" t="str">
        <f>IF(Table1[[#This Row],[FIN]]="","Acumulado",IF(ISNUMBER(SEARCH("ASAP",C1640)),"ASAP",IF(NETWORKDAYS.INTL(F1640,G1640,1,Table2[Dias no laborales]) &lt;= 7, "Dentro", IF(A1640&gt;F1640,"Programado","Fuera"))))</f>
        <v>Dentro</v>
      </c>
      <c r="K1640" s="6" t="str">
        <f t="shared" si="60"/>
        <v>A tiempo</v>
      </c>
      <c r="L1640" s="8">
        <v>46072</v>
      </c>
      <c r="M1640" s="17">
        <f>MAX(1,NETWORKDAYS(A1640,L1640,Table2[Dias no laborales]))</f>
        <v>1</v>
      </c>
    </row>
    <row r="1641" spans="1:13" hidden="1" x14ac:dyDescent="0.3">
      <c r="A1641" s="8">
        <v>46072</v>
      </c>
      <c r="B1641" s="16" t="s">
        <v>3224</v>
      </c>
      <c r="C1641" s="6" t="s">
        <v>3326</v>
      </c>
      <c r="D1641" s="6" t="s">
        <v>3327</v>
      </c>
      <c r="E1641" s="14">
        <v>46072.541666666664</v>
      </c>
      <c r="F1641" s="8">
        <f>IF(HOUR(Table1[[#This Row],[CORREO]])&gt;=11,WORKDAY(Table1[[#This Row],[CORREO]],1,Table2[Dias no laborales]),E1641)</f>
        <v>46073</v>
      </c>
      <c r="G1641" s="8">
        <v>46072</v>
      </c>
      <c r="H1641" s="6">
        <f t="shared" si="59"/>
        <v>8</v>
      </c>
      <c r="I1641" s="16">
        <f>MAX(1, NETWORKDAYS(A1641, G1641,Table2[Dias no laborales]))</f>
        <v>1</v>
      </c>
      <c r="J1641" s="6" t="str">
        <f>IF(Table1[[#This Row],[FIN]]="","Acumulado",IF(ISNUMBER(SEARCH("ASAP",C1641)),"ASAP",IF(NETWORKDAYS.INTL(F1641,G1641,1,Table2[Dias no laborales]) &lt;= 7, "Dentro", IF(A1641&gt;F1641,"Programado","Fuera"))))</f>
        <v>Dentro</v>
      </c>
      <c r="K1641" s="6" t="str">
        <f t="shared" si="60"/>
        <v>Mismo día</v>
      </c>
      <c r="L1641" s="8">
        <v>46072</v>
      </c>
      <c r="M1641" s="17">
        <f>MAX(1,NETWORKDAYS(A1641,L1641,Table2[Dias no laborales]))</f>
        <v>1</v>
      </c>
    </row>
    <row r="1642" spans="1:13" hidden="1" x14ac:dyDescent="0.3">
      <c r="A1642" s="8">
        <v>46072</v>
      </c>
      <c r="B1642" s="16" t="s">
        <v>3225</v>
      </c>
      <c r="C1642" s="6" t="s">
        <v>3328</v>
      </c>
      <c r="D1642" s="6" t="s">
        <v>1136</v>
      </c>
      <c r="E1642" s="14">
        <v>46072.517361111109</v>
      </c>
      <c r="F1642" s="8">
        <f>IF(HOUR(Table1[[#This Row],[CORREO]])&gt;=11,WORKDAY(Table1[[#This Row],[CORREO]],1,Table2[Dias no laborales]),E1642)</f>
        <v>46073</v>
      </c>
      <c r="G1642" s="8">
        <v>46079</v>
      </c>
      <c r="H1642" s="6">
        <f t="shared" si="59"/>
        <v>8</v>
      </c>
      <c r="I1642" s="16">
        <f>MAX(1, NETWORKDAYS(A1642, G1642,Table2[Dias no laborales]))</f>
        <v>6</v>
      </c>
      <c r="J1642" s="6" t="str">
        <f>IF(Table1[[#This Row],[FIN]]="","Acumulado",IF(ISNUMBER(SEARCH("ASAP",C1642)),"ASAP",IF(NETWORKDAYS.INTL(F1642,G1642,1,Table2[Dias no laborales]) &lt;= 7, "Dentro", IF(A1642&gt;F1642,"Programado","Fuera"))))</f>
        <v>Dentro</v>
      </c>
      <c r="K1642" s="6" t="str">
        <f t="shared" si="60"/>
        <v>Mismo día</v>
      </c>
      <c r="L1642" s="8">
        <v>46072</v>
      </c>
      <c r="M1642" s="17">
        <f>MAX(1,NETWORKDAYS(A1642,L1642,Table2[Dias no laborales]))</f>
        <v>1</v>
      </c>
    </row>
    <row r="1643" spans="1:13" hidden="1" x14ac:dyDescent="0.3">
      <c r="A1643" s="8">
        <v>46072</v>
      </c>
      <c r="B1643" s="16" t="s">
        <v>3226</v>
      </c>
      <c r="C1643" s="6" t="s">
        <v>3329</v>
      </c>
      <c r="D1643" s="6" t="s">
        <v>1136</v>
      </c>
      <c r="E1643" s="14">
        <v>46072.521527777775</v>
      </c>
      <c r="F1643" s="8">
        <f>IF(HOUR(Table1[[#This Row],[CORREO]])&gt;=11,WORKDAY(Table1[[#This Row],[CORREO]],1,Table2[Dias no laborales]),E1643)</f>
        <v>46073</v>
      </c>
      <c r="G1643" s="8">
        <v>46079</v>
      </c>
      <c r="H1643" s="6">
        <f t="shared" si="59"/>
        <v>8</v>
      </c>
      <c r="I1643" s="16">
        <f>MAX(1, NETWORKDAYS(A1643, G1643,Table2[Dias no laborales]))</f>
        <v>6</v>
      </c>
      <c r="J1643" s="6" t="str">
        <f>IF(Table1[[#This Row],[FIN]]="","Acumulado",IF(ISNUMBER(SEARCH("ASAP",C1643)),"ASAP",IF(NETWORKDAYS.INTL(F1643,G1643,1,Table2[Dias no laborales]) &lt;= 7, "Dentro", IF(A1643&gt;F1643,"Programado","Fuera"))))</f>
        <v>Dentro</v>
      </c>
      <c r="K1643" s="6" t="str">
        <f t="shared" si="60"/>
        <v>Mismo día</v>
      </c>
      <c r="L1643" s="8">
        <v>46072</v>
      </c>
      <c r="M1643" s="17">
        <f>MAX(1,NETWORKDAYS(A1643,L1643,Table2[Dias no laborales]))</f>
        <v>1</v>
      </c>
    </row>
    <row r="1644" spans="1:13" hidden="1" x14ac:dyDescent="0.3">
      <c r="A1644" s="8">
        <v>46073</v>
      </c>
      <c r="B1644" s="16" t="s">
        <v>3227</v>
      </c>
      <c r="C1644" s="6" t="s">
        <v>3330</v>
      </c>
      <c r="D1644" s="6" t="s">
        <v>85</v>
      </c>
      <c r="E1644" s="14">
        <v>46072.506249999999</v>
      </c>
      <c r="F1644" s="8">
        <f>IF(HOUR(Table1[[#This Row],[CORREO]])&gt;=11,WORKDAY(Table1[[#This Row],[CORREO]],1,Table2[Dias no laborales]),E1644)</f>
        <v>46073</v>
      </c>
      <c r="G1644" s="8">
        <v>46078</v>
      </c>
      <c r="H1644" s="6">
        <f t="shared" si="59"/>
        <v>8</v>
      </c>
      <c r="I1644" s="16">
        <f>MAX(1, NETWORKDAYS(A1644, G1644,Table2[Dias no laborales]))</f>
        <v>4</v>
      </c>
      <c r="J1644" s="6" t="str">
        <f>IF(Table1[[#This Row],[FIN]]="","Acumulado",IF(ISNUMBER(SEARCH("ASAP",C1644)),"ASAP",IF(NETWORKDAYS.INTL(F1644,G1644,1,Table2[Dias no laborales]) &lt;= 7, "Dentro", IF(A1644&gt;F1644,"Programado","Fuera"))))</f>
        <v>Dentro</v>
      </c>
      <c r="K1644" s="6" t="str">
        <f t="shared" si="60"/>
        <v>A tiempo</v>
      </c>
      <c r="L1644" s="8">
        <v>46073</v>
      </c>
      <c r="M1644" s="17">
        <f>MAX(1,NETWORKDAYS(A1644,L1644,Table2[Dias no laborales]))</f>
        <v>1</v>
      </c>
    </row>
    <row r="1645" spans="1:13" hidden="1" x14ac:dyDescent="0.3">
      <c r="A1645" s="8">
        <v>46073</v>
      </c>
      <c r="B1645" s="16" t="s">
        <v>3228</v>
      </c>
      <c r="C1645" s="6" t="s">
        <v>3331</v>
      </c>
      <c r="D1645" s="6" t="s">
        <v>372</v>
      </c>
      <c r="E1645" s="14">
        <v>46072.586111111108</v>
      </c>
      <c r="F1645" s="8">
        <f>IF(HOUR(Table1[[#This Row],[CORREO]])&gt;=11,WORKDAY(Table1[[#This Row],[CORREO]],1,Table2[Dias no laborales]),E1645)</f>
        <v>46073</v>
      </c>
      <c r="G1645" s="8">
        <v>46073</v>
      </c>
      <c r="H1645" s="6">
        <f t="shared" si="59"/>
        <v>8</v>
      </c>
      <c r="I1645" s="16">
        <f>MAX(1, NETWORKDAYS(A1645, G1645,Table2[Dias no laborales]))</f>
        <v>1</v>
      </c>
      <c r="J1645" s="6" t="str">
        <f>IF(Table1[[#This Row],[FIN]]="","Acumulado",IF(ISNUMBER(SEARCH("ASAP",C1645)),"ASAP",IF(NETWORKDAYS.INTL(F1645,G1645,1,Table2[Dias no laborales]) &lt;= 7, "Dentro", IF(A1645&gt;F1645,"Programado","Fuera"))))</f>
        <v>Dentro</v>
      </c>
      <c r="K1645" s="6" t="str">
        <f t="shared" si="60"/>
        <v>A tiempo</v>
      </c>
      <c r="L1645" s="8">
        <v>46073</v>
      </c>
      <c r="M1645" s="17">
        <f>MAX(1,NETWORKDAYS(A1645,L1645,Table2[Dias no laborales]))</f>
        <v>1</v>
      </c>
    </row>
    <row r="1646" spans="1:13" hidden="1" x14ac:dyDescent="0.3">
      <c r="A1646" s="8">
        <v>46073</v>
      </c>
      <c r="B1646" s="16" t="s">
        <v>3229</v>
      </c>
      <c r="C1646" s="6" t="s">
        <v>3332</v>
      </c>
      <c r="D1646" s="6" t="s">
        <v>2981</v>
      </c>
      <c r="E1646" s="14">
        <v>46072.676388888889</v>
      </c>
      <c r="F1646" s="8">
        <f>IF(HOUR(Table1[[#This Row],[CORREO]])&gt;=11,WORKDAY(Table1[[#This Row],[CORREO]],1,Table2[Dias no laborales]),E1646)</f>
        <v>46073</v>
      </c>
      <c r="G1646" s="8">
        <v>46083</v>
      </c>
      <c r="H1646" s="6">
        <f t="shared" si="59"/>
        <v>8</v>
      </c>
      <c r="I1646" s="16">
        <f>MAX(1, NETWORKDAYS(A1646, G1646,Table2[Dias no laborales]))</f>
        <v>7</v>
      </c>
      <c r="J1646" s="6" t="str">
        <f>IF(Table1[[#This Row],[FIN]]="","Acumulado",IF(ISNUMBER(SEARCH("ASAP",C1646)),"ASAP",IF(NETWORKDAYS.INTL(F1646,G1646,1,Table2[Dias no laborales]) &lt;= 7, "Dentro", IF(A1646&gt;F1646,"Programado","Fuera"))))</f>
        <v>Dentro</v>
      </c>
      <c r="K1646" s="6" t="str">
        <f t="shared" si="60"/>
        <v>A tiempo</v>
      </c>
      <c r="L1646" s="8">
        <v>46073</v>
      </c>
      <c r="M1646" s="17">
        <f>MAX(1,NETWORKDAYS(A1646,L1646,Table2[Dias no laborales]))</f>
        <v>1</v>
      </c>
    </row>
    <row r="1647" spans="1:13" hidden="1" x14ac:dyDescent="0.3">
      <c r="A1647" s="8">
        <v>46073</v>
      </c>
      <c r="B1647" s="16" t="s">
        <v>3230</v>
      </c>
      <c r="C1647" s="6" t="s">
        <v>3333</v>
      </c>
      <c r="D1647" s="6" t="s">
        <v>3334</v>
      </c>
      <c r="E1647" s="14">
        <v>46072.78125</v>
      </c>
      <c r="F1647" s="8">
        <f>IF(HOUR(Table1[[#This Row],[CORREO]])&gt;=11,WORKDAY(Table1[[#This Row],[CORREO]],1,Table2[Dias no laborales]),E1647)</f>
        <v>46073</v>
      </c>
      <c r="G1647" s="8">
        <v>46078</v>
      </c>
      <c r="H1647" s="6">
        <f t="shared" si="59"/>
        <v>8</v>
      </c>
      <c r="I1647" s="16">
        <f>MAX(1, NETWORKDAYS(A1647, G1647,Table2[Dias no laborales]))</f>
        <v>4</v>
      </c>
      <c r="J1647" s="6" t="str">
        <f>IF(Table1[[#This Row],[FIN]]="","Acumulado",IF(ISNUMBER(SEARCH("ASAP",C1647)),"ASAP",IF(NETWORKDAYS.INTL(F1647,G1647,1,Table2[Dias no laborales]) &lt;= 7, "Dentro", IF(A1647&gt;F1647,"Programado","Fuera"))))</f>
        <v>Dentro</v>
      </c>
      <c r="K1647" s="6" t="str">
        <f t="shared" si="60"/>
        <v>A tiempo</v>
      </c>
      <c r="L1647" s="8">
        <v>46073</v>
      </c>
      <c r="M1647" s="17">
        <f>MAX(1,NETWORKDAYS(A1647,L1647,Table2[Dias no laborales]))</f>
        <v>1</v>
      </c>
    </row>
    <row r="1648" spans="1:13" hidden="1" x14ac:dyDescent="0.3">
      <c r="A1648" s="8">
        <v>46073</v>
      </c>
      <c r="B1648" s="16" t="s">
        <v>3231</v>
      </c>
      <c r="C1648" s="6" t="s">
        <v>3335</v>
      </c>
      <c r="D1648" s="6" t="s">
        <v>372</v>
      </c>
      <c r="E1648" s="14">
        <v>46073.328472222223</v>
      </c>
      <c r="F1648" s="8">
        <f>IF(HOUR(Table1[[#This Row],[CORREO]])&gt;=11,WORKDAY(Table1[[#This Row],[CORREO]],1,Table2[Dias no laborales]),E1648)</f>
        <v>46073.328472222223</v>
      </c>
      <c r="G1648" s="8">
        <v>46076</v>
      </c>
      <c r="H1648" s="6">
        <f t="shared" si="59"/>
        <v>8</v>
      </c>
      <c r="I1648" s="16">
        <f>MAX(1, NETWORKDAYS(A1648, G1648,Table2[Dias no laborales]))</f>
        <v>2</v>
      </c>
      <c r="J1648" s="6" t="str">
        <f>IF(Table1[[#This Row],[FIN]]="","Acumulado",IF(ISNUMBER(SEARCH("ASAP",C1648)),"ASAP",IF(NETWORKDAYS.INTL(F1648,G1648,1,Table2[Dias no laborales]) &lt;= 7, "Dentro", IF(A1648&gt;F1648,"Programado","Fuera"))))</f>
        <v>Dentro</v>
      </c>
      <c r="K1648" s="6" t="str">
        <f t="shared" si="60"/>
        <v>A tiempo</v>
      </c>
      <c r="L1648" s="8">
        <v>46073</v>
      </c>
      <c r="M1648" s="17">
        <f>MAX(1,NETWORKDAYS(A1648,L1648,Table2[Dias no laborales]))</f>
        <v>1</v>
      </c>
    </row>
    <row r="1649" spans="1:13" hidden="1" x14ac:dyDescent="0.3">
      <c r="A1649" s="8">
        <v>46073</v>
      </c>
      <c r="B1649" s="16" t="s">
        <v>3232</v>
      </c>
      <c r="C1649" s="6" t="s">
        <v>3336</v>
      </c>
      <c r="D1649" s="6" t="s">
        <v>24</v>
      </c>
      <c r="E1649" s="14"/>
      <c r="F1649" s="8">
        <f>IF(HOUR(Table1[[#This Row],[CORREO]])&gt;=11,WORKDAY(Table1[[#This Row],[CORREO]],1,Table2[Dias no laborales]),E1649)</f>
        <v>0</v>
      </c>
      <c r="G1649" s="8">
        <v>46108</v>
      </c>
      <c r="H1649" s="6">
        <f t="shared" si="59"/>
        <v>8</v>
      </c>
      <c r="I1649" s="16">
        <f>MAX(1, NETWORKDAYS(A1649, G1649,Table2[Dias no laborales]))</f>
        <v>25</v>
      </c>
      <c r="J1649" s="6" t="str">
        <f>IF(Table1[[#This Row],[FIN]]="","Acumulado",IF(ISNUMBER(SEARCH("ASAP",C1649)),"ASAP",IF(NETWORKDAYS.INTL(F1649,G1649,1,Table2[Dias no laborales]) &lt;= 7, "Dentro", IF(A1649&gt;F1649,"Programado","Fuera"))))</f>
        <v>Programado</v>
      </c>
      <c r="K1649" s="6" t="str">
        <f t="shared" si="60"/>
        <v>Programados</v>
      </c>
      <c r="L1649" s="8">
        <v>46073</v>
      </c>
      <c r="M1649" s="17">
        <f>MAX(1,NETWORKDAYS(A1649,L1649,Table2[Dias no laborales]))</f>
        <v>1</v>
      </c>
    </row>
    <row r="1650" spans="1:13" hidden="1" x14ac:dyDescent="0.3">
      <c r="A1650" s="8">
        <v>46073</v>
      </c>
      <c r="B1650" s="16" t="s">
        <v>3233</v>
      </c>
      <c r="C1650" s="6" t="s">
        <v>3337</v>
      </c>
      <c r="D1650" s="6" t="s">
        <v>27</v>
      </c>
      <c r="E1650" s="14"/>
      <c r="F1650" s="8">
        <f>IF(HOUR(Table1[[#This Row],[CORREO]])&gt;=11,WORKDAY(Table1[[#This Row],[CORREO]],1,Table2[Dias no laborales]),E1650)</f>
        <v>0</v>
      </c>
      <c r="G1650" s="8">
        <v>46073</v>
      </c>
      <c r="H1650" s="6">
        <f t="shared" si="59"/>
        <v>8</v>
      </c>
      <c r="I1650" s="16">
        <f>MAX(1, NETWORKDAYS(A1650, G1650,Table2[Dias no laborales]))</f>
        <v>1</v>
      </c>
      <c r="J1650" s="6" t="str">
        <f>IF(Table1[[#This Row],[FIN]]="","Acumulado",IF(ISNUMBER(SEARCH("ASAP",C1650)),"ASAP",IF(NETWORKDAYS.INTL(F1650,G1650,1,Table2[Dias no laborales]) &lt;= 7, "Dentro", IF(A1650&gt;F1650,"Programado","Fuera"))))</f>
        <v>Programado</v>
      </c>
      <c r="K1650" s="6" t="str">
        <f t="shared" si="60"/>
        <v>Programados</v>
      </c>
      <c r="L1650" s="8">
        <v>46073</v>
      </c>
      <c r="M1650" s="17">
        <f>MAX(1,NETWORKDAYS(A1650,L1650,Table2[Dias no laborales]))</f>
        <v>1</v>
      </c>
    </row>
    <row r="1651" spans="1:13" hidden="1" x14ac:dyDescent="0.3">
      <c r="A1651" s="8">
        <v>46073</v>
      </c>
      <c r="B1651" s="16" t="s">
        <v>3234</v>
      </c>
      <c r="C1651" s="6" t="s">
        <v>3338</v>
      </c>
      <c r="D1651" s="6" t="s">
        <v>3334</v>
      </c>
      <c r="E1651" s="14"/>
      <c r="F1651" s="8">
        <f>IF(HOUR(Table1[[#This Row],[CORREO]])&gt;=11,WORKDAY(Table1[[#This Row],[CORREO]],1,Table2[Dias no laborales]),E1651)</f>
        <v>0</v>
      </c>
      <c r="G1651" s="8">
        <v>46078</v>
      </c>
      <c r="H1651" s="6">
        <f t="shared" si="59"/>
        <v>8</v>
      </c>
      <c r="I1651" s="16">
        <f>MAX(1, NETWORKDAYS(A1651, G1651,Table2[Dias no laborales]))</f>
        <v>4</v>
      </c>
      <c r="J1651" s="6" t="str">
        <f>IF(Table1[[#This Row],[FIN]]="","Acumulado",IF(ISNUMBER(SEARCH("ASAP",C1651)),"ASAP",IF(NETWORKDAYS.INTL(F1651,G1651,1,Table2[Dias no laborales]) &lt;= 7, "Dentro", IF(A1651&gt;F1651,"Programado","Fuera"))))</f>
        <v>Programado</v>
      </c>
      <c r="K1651" s="6" t="str">
        <f t="shared" si="60"/>
        <v>Programados</v>
      </c>
      <c r="L1651" s="8">
        <v>46073</v>
      </c>
      <c r="M1651" s="17">
        <f>MAX(1,NETWORKDAYS(A1651,L1651,Table2[Dias no laborales]))</f>
        <v>1</v>
      </c>
    </row>
    <row r="1652" spans="1:13" hidden="1" x14ac:dyDescent="0.3">
      <c r="A1652" s="8">
        <v>46073</v>
      </c>
      <c r="B1652" s="16" t="s">
        <v>3235</v>
      </c>
      <c r="C1652" s="6" t="s">
        <v>3339</v>
      </c>
      <c r="D1652" s="6" t="s">
        <v>1333</v>
      </c>
      <c r="E1652" s="14"/>
      <c r="F1652" s="8">
        <f>IF(HOUR(Table1[[#This Row],[CORREO]])&gt;=11,WORKDAY(Table1[[#This Row],[CORREO]],1,Table2[Dias no laborales]),E1652)</f>
        <v>0</v>
      </c>
      <c r="G1652" s="8">
        <v>46073</v>
      </c>
      <c r="H1652" s="6">
        <f t="shared" si="59"/>
        <v>8</v>
      </c>
      <c r="I1652" s="16">
        <f>MAX(1, NETWORKDAYS(A1652, G1652,Table2[Dias no laborales]))</f>
        <v>1</v>
      </c>
      <c r="J1652" s="6" t="str">
        <f>IF(Table1[[#This Row],[FIN]]="","Acumulado",IF(ISNUMBER(SEARCH("ASAP",C1652)),"ASAP",IF(NETWORKDAYS.INTL(F1652,G1652,1,Table2[Dias no laborales]) &lt;= 7, "Dentro", IF(A1652&gt;F1652,"Programado","Fuera"))))</f>
        <v>Programado</v>
      </c>
      <c r="K1652" s="6" t="str">
        <f t="shared" si="60"/>
        <v>Programados</v>
      </c>
      <c r="L1652" s="8">
        <v>46073</v>
      </c>
      <c r="M1652" s="17">
        <f>MAX(1,NETWORKDAYS(A1652,L1652,Table2[Dias no laborales]))</f>
        <v>1</v>
      </c>
    </row>
    <row r="1653" spans="1:13" hidden="1" x14ac:dyDescent="0.3">
      <c r="A1653" s="8">
        <v>46073</v>
      </c>
      <c r="B1653" s="16" t="s">
        <v>3236</v>
      </c>
      <c r="C1653" s="6" t="s">
        <v>196</v>
      </c>
      <c r="D1653" s="6" t="s">
        <v>27</v>
      </c>
      <c r="E1653" s="14"/>
      <c r="F1653" s="8">
        <f>IF(HOUR(Table1[[#This Row],[CORREO]])&gt;=11,WORKDAY(Table1[[#This Row],[CORREO]],1,Table2[Dias no laborales]),E1653)</f>
        <v>0</v>
      </c>
      <c r="G1653" s="8">
        <v>46076</v>
      </c>
      <c r="H1653" s="6">
        <f t="shared" si="59"/>
        <v>8</v>
      </c>
      <c r="I1653" s="16">
        <f>MAX(1, NETWORKDAYS(A1653, G1653,Table2[Dias no laborales]))</f>
        <v>2</v>
      </c>
      <c r="J1653" s="6" t="str">
        <f>IF(Table1[[#This Row],[FIN]]="","Acumulado",IF(ISNUMBER(SEARCH("ASAP",C1653)),"ASAP",IF(NETWORKDAYS.INTL(F1653,G1653,1,Table2[Dias no laborales]) &lt;= 7, "Dentro", IF(A1653&gt;F1653,"Programado","Fuera"))))</f>
        <v>Programado</v>
      </c>
      <c r="K1653" s="6" t="str">
        <f t="shared" si="60"/>
        <v>Programados</v>
      </c>
      <c r="L1653" s="8">
        <v>46073</v>
      </c>
      <c r="M1653" s="17">
        <f>MAX(1,NETWORKDAYS(A1653,L1653,Table2[Dias no laborales]))</f>
        <v>1</v>
      </c>
    </row>
    <row r="1654" spans="1:13" hidden="1" x14ac:dyDescent="0.3">
      <c r="A1654" s="8">
        <v>46073</v>
      </c>
      <c r="B1654" s="16" t="s">
        <v>3237</v>
      </c>
      <c r="C1654" s="6" t="s">
        <v>188</v>
      </c>
      <c r="D1654" s="6" t="s">
        <v>27</v>
      </c>
      <c r="E1654" s="14"/>
      <c r="F1654" s="8">
        <f>IF(HOUR(Table1[[#This Row],[CORREO]])&gt;=11,WORKDAY(Table1[[#This Row],[CORREO]],1,Table2[Dias no laborales]),E1654)</f>
        <v>0</v>
      </c>
      <c r="G1654" s="8">
        <v>46076</v>
      </c>
      <c r="H1654" s="6">
        <f t="shared" si="59"/>
        <v>8</v>
      </c>
      <c r="I1654" s="16">
        <f>MAX(1, NETWORKDAYS(A1654, G1654,Table2[Dias no laborales]))</f>
        <v>2</v>
      </c>
      <c r="J1654" s="6" t="str">
        <f>IF(Table1[[#This Row],[FIN]]="","Acumulado",IF(ISNUMBER(SEARCH("ASAP",C1654)),"ASAP",IF(NETWORKDAYS.INTL(F1654,G1654,1,Table2[Dias no laborales]) &lt;= 7, "Dentro", IF(A1654&gt;F1654,"Programado","Fuera"))))</f>
        <v>Programado</v>
      </c>
      <c r="K1654" s="6" t="str">
        <f t="shared" si="60"/>
        <v>Programados</v>
      </c>
      <c r="L1654" s="8">
        <v>46073</v>
      </c>
      <c r="M1654" s="17">
        <f>MAX(1,NETWORKDAYS(A1654,L1654,Table2[Dias no laborales]))</f>
        <v>1</v>
      </c>
    </row>
    <row r="1655" spans="1:13" hidden="1" x14ac:dyDescent="0.3">
      <c r="A1655" s="8">
        <v>46073</v>
      </c>
      <c r="B1655" s="16" t="s">
        <v>3341</v>
      </c>
      <c r="C1655" s="6" t="s">
        <v>3376</v>
      </c>
      <c r="D1655" s="6" t="s">
        <v>3377</v>
      </c>
      <c r="E1655" s="14"/>
      <c r="F1655" s="8">
        <f>IF(HOUR(Table1[[#This Row],[CORREO]])&gt;=11,WORKDAY(Table1[[#This Row],[CORREO]],1,Table2[Dias no laborales]),E1655)</f>
        <v>0</v>
      </c>
      <c r="G1655" s="8">
        <v>46078</v>
      </c>
      <c r="H1655" s="6">
        <f t="shared" ref="H1655:H1689" si="61">INT((A1655-DATE(YEAR(A1655),1,1))/7) + 1</f>
        <v>8</v>
      </c>
      <c r="I1655" s="6">
        <f>MAX(1, NETWORKDAYS(A1655, G1655,Table2[Dias no laborales]))</f>
        <v>4</v>
      </c>
      <c r="J1655" s="6" t="str">
        <f>IF(Table1[[#This Row],[FIN]]="","Acumulado",IF(ISNUMBER(SEARCH("ASAP",C1655)),"ASAP",IF(NETWORKDAYS.INTL(F1655,G1655,1,Table2[Dias no laborales]) &lt;= 7, "Dentro", IF(A1655&gt;F1655,"Programado","Fuera"))))</f>
        <v>Programado</v>
      </c>
      <c r="K1655" s="6" t="str">
        <f t="shared" ref="K1655:K1689" si="62">IF(INT(A1655)=INT(F1655),"A tiempo", IF(A1655&lt;F1655,"Mismo día","Programados"))</f>
        <v>Programados</v>
      </c>
      <c r="L1655" s="8">
        <v>46073</v>
      </c>
      <c r="M1655" s="17">
        <f>MAX(1,NETWORKDAYS(A1655,L1655,Table2[Dias no laborales]))</f>
        <v>1</v>
      </c>
    </row>
    <row r="1656" spans="1:13" hidden="1" x14ac:dyDescent="0.3">
      <c r="A1656" s="8">
        <v>46073</v>
      </c>
      <c r="B1656" s="16" t="s">
        <v>3342</v>
      </c>
      <c r="C1656" s="6" t="s">
        <v>3378</v>
      </c>
      <c r="D1656" s="6" t="s">
        <v>2994</v>
      </c>
      <c r="E1656" s="14">
        <v>46073.594444444447</v>
      </c>
      <c r="F1656" s="8">
        <f>IF(HOUR(Table1[[#This Row],[CORREO]])&gt;=11,WORKDAY(Table1[[#This Row],[CORREO]],1,Table2[Dias no laborales]),E1656)</f>
        <v>46076</v>
      </c>
      <c r="G1656" s="8">
        <v>46080</v>
      </c>
      <c r="H1656" s="6">
        <f t="shared" si="61"/>
        <v>8</v>
      </c>
      <c r="I1656" s="6">
        <f>MAX(1, NETWORKDAYS(A1656, G1656,Table2[Dias no laborales]))</f>
        <v>6</v>
      </c>
      <c r="J1656" s="6" t="str">
        <f>IF(Table1[[#This Row],[FIN]]="","Acumulado",IF(ISNUMBER(SEARCH("ASAP",C1656)),"ASAP",IF(NETWORKDAYS.INTL(F1656,G1656,1,Table2[Dias no laborales]) &lt;= 7, "Dentro", IF(A1656&gt;F1656,"Programado","Fuera"))))</f>
        <v>Dentro</v>
      </c>
      <c r="K1656" s="6" t="str">
        <f t="shared" si="62"/>
        <v>Mismo día</v>
      </c>
      <c r="L1656" s="8">
        <v>46073</v>
      </c>
      <c r="M1656" s="17">
        <f>MAX(1,NETWORKDAYS(A1656,L1656,Table2[Dias no laborales]))</f>
        <v>1</v>
      </c>
    </row>
    <row r="1657" spans="1:13" hidden="1" x14ac:dyDescent="0.3">
      <c r="A1657" s="8">
        <v>46073</v>
      </c>
      <c r="B1657" s="16" t="s">
        <v>3343</v>
      </c>
      <c r="C1657" s="6" t="s">
        <v>3379</v>
      </c>
      <c r="D1657" s="6" t="s">
        <v>3380</v>
      </c>
      <c r="E1657" s="14">
        <v>46073.675000000003</v>
      </c>
      <c r="F1657" s="8">
        <f>IF(HOUR(Table1[[#This Row],[CORREO]])&gt;=11,WORKDAY(Table1[[#This Row],[CORREO]],1,Table2[Dias no laborales]),E1657)</f>
        <v>46076</v>
      </c>
      <c r="G1657" s="8">
        <v>46079</v>
      </c>
      <c r="H1657" s="6">
        <f t="shared" si="61"/>
        <v>8</v>
      </c>
      <c r="I1657" s="6">
        <f>MAX(1, NETWORKDAYS(A1657, G1657,Table2[Dias no laborales]))</f>
        <v>5</v>
      </c>
      <c r="J1657" s="6" t="str">
        <f>IF(Table1[[#This Row],[FIN]]="","Acumulado",IF(ISNUMBER(SEARCH("ASAP",C1657)),"ASAP",IF(NETWORKDAYS.INTL(F1657,G1657,1,Table2[Dias no laborales]) &lt;= 7, "Dentro", IF(A1657&gt;F1657,"Programado","Fuera"))))</f>
        <v>Dentro</v>
      </c>
      <c r="K1657" s="6" t="str">
        <f t="shared" si="62"/>
        <v>Mismo día</v>
      </c>
      <c r="L1657" s="8">
        <v>46073</v>
      </c>
      <c r="M1657" s="17">
        <f>MAX(1,NETWORKDAYS(A1657,L1657,Table2[Dias no laborales]))</f>
        <v>1</v>
      </c>
    </row>
    <row r="1658" spans="1:13" hidden="1" x14ac:dyDescent="0.3">
      <c r="A1658" s="8">
        <v>46076</v>
      </c>
      <c r="B1658" s="16" t="s">
        <v>3344</v>
      </c>
      <c r="C1658" s="6" t="s">
        <v>3381</v>
      </c>
      <c r="D1658" s="6" t="s">
        <v>24</v>
      </c>
      <c r="E1658" s="14"/>
      <c r="F1658" s="8">
        <f>IF(HOUR(Table1[[#This Row],[CORREO]])&gt;=11,WORKDAY(Table1[[#This Row],[CORREO]],1,Table2[Dias no laborales]),E1658)</f>
        <v>0</v>
      </c>
      <c r="G1658" s="8">
        <v>46080</v>
      </c>
      <c r="H1658" s="6">
        <f t="shared" si="61"/>
        <v>8</v>
      </c>
      <c r="I1658" s="6">
        <f>MAX(1, NETWORKDAYS(A1658, G1658,Table2[Dias no laborales]))</f>
        <v>5</v>
      </c>
      <c r="J1658" s="6" t="str">
        <f>IF(Table1[[#This Row],[FIN]]="","Acumulado",IF(ISNUMBER(SEARCH("ASAP",C1658)),"ASAP",IF(NETWORKDAYS.INTL(F1658,G1658,1,Table2[Dias no laborales]) &lt;= 7, "Dentro", IF(A1658&gt;F1658,"Programado","Fuera"))))</f>
        <v>Programado</v>
      </c>
      <c r="K1658" s="6" t="str">
        <f t="shared" si="62"/>
        <v>Programados</v>
      </c>
      <c r="L1658" s="8">
        <v>46076</v>
      </c>
      <c r="M1658" s="17">
        <f>MAX(1,NETWORKDAYS(A1658,L1658,Table2[Dias no laborales]))</f>
        <v>1</v>
      </c>
    </row>
    <row r="1659" spans="1:13" hidden="1" x14ac:dyDescent="0.3">
      <c r="A1659" s="8">
        <v>46076</v>
      </c>
      <c r="B1659" s="16" t="s">
        <v>3345</v>
      </c>
      <c r="C1659" s="6" t="s">
        <v>3382</v>
      </c>
      <c r="D1659" s="6" t="s">
        <v>372</v>
      </c>
      <c r="E1659" s="14">
        <v>46073.668749999997</v>
      </c>
      <c r="F1659" s="8">
        <f>IF(HOUR(Table1[[#This Row],[CORREO]])&gt;=11,WORKDAY(Table1[[#This Row],[CORREO]],1,Table2[Dias no laborales]),E1659)</f>
        <v>46076</v>
      </c>
      <c r="G1659" s="8">
        <v>46078</v>
      </c>
      <c r="H1659" s="6">
        <f t="shared" si="61"/>
        <v>8</v>
      </c>
      <c r="I1659" s="6">
        <f>MAX(1, NETWORKDAYS(A1659, G1659,Table2[Dias no laborales]))</f>
        <v>3</v>
      </c>
      <c r="J1659" s="6" t="str">
        <f>IF(Table1[[#This Row],[FIN]]="","Acumulado",IF(ISNUMBER(SEARCH("ASAP",C1659)),"ASAP",IF(NETWORKDAYS.INTL(F1659,G1659,1,Table2[Dias no laborales]) &lt;= 7, "Dentro", IF(A1659&gt;F1659,"Programado","Fuera"))))</f>
        <v>Dentro</v>
      </c>
      <c r="K1659" s="6" t="str">
        <f t="shared" si="62"/>
        <v>A tiempo</v>
      </c>
      <c r="L1659" s="8">
        <v>46076</v>
      </c>
      <c r="M1659" s="17">
        <f>MAX(1,NETWORKDAYS(A1659,L1659,Table2[Dias no laborales]))</f>
        <v>1</v>
      </c>
    </row>
    <row r="1660" spans="1:13" hidden="1" x14ac:dyDescent="0.3">
      <c r="A1660" s="8">
        <v>46077</v>
      </c>
      <c r="B1660" s="16" t="s">
        <v>3346</v>
      </c>
      <c r="C1660" s="6" t="s">
        <v>3383</v>
      </c>
      <c r="D1660" s="6" t="s">
        <v>154</v>
      </c>
      <c r="E1660" s="14">
        <v>46077.320138888892</v>
      </c>
      <c r="F1660" s="8">
        <f>IF(HOUR(Table1[[#This Row],[CORREO]])&gt;=11,WORKDAY(Table1[[#This Row],[CORREO]],1,Table2[Dias no laborales]),E1660)</f>
        <v>46077.320138888892</v>
      </c>
      <c r="G1660" s="8">
        <v>46078</v>
      </c>
      <c r="H1660" s="6">
        <f t="shared" si="61"/>
        <v>8</v>
      </c>
      <c r="I1660" s="6">
        <f>MAX(1, NETWORKDAYS(A1660, G1660,Table2[Dias no laborales]))</f>
        <v>2</v>
      </c>
      <c r="J1660" s="6" t="str">
        <f>IF(Table1[[#This Row],[FIN]]="","Acumulado",IF(ISNUMBER(SEARCH("ASAP",C1660)),"ASAP",IF(NETWORKDAYS.INTL(F1660,G1660,1,Table2[Dias no laborales]) &lt;= 7, "Dentro", IF(A1660&gt;F1660,"Programado","Fuera"))))</f>
        <v>Dentro</v>
      </c>
      <c r="K1660" s="6" t="str">
        <f t="shared" si="62"/>
        <v>A tiempo</v>
      </c>
      <c r="L1660" s="8">
        <v>46077</v>
      </c>
      <c r="M1660" s="17">
        <f>MAX(1,NETWORKDAYS(A1660,L1660,Table2[Dias no laborales]))</f>
        <v>1</v>
      </c>
    </row>
    <row r="1661" spans="1:13" hidden="1" x14ac:dyDescent="0.3">
      <c r="A1661" s="8">
        <v>46077</v>
      </c>
      <c r="B1661" s="16" t="s">
        <v>3347</v>
      </c>
      <c r="C1661" s="6" t="s">
        <v>3384</v>
      </c>
      <c r="D1661" s="6" t="s">
        <v>194</v>
      </c>
      <c r="E1661" s="14">
        <v>46077.341666666667</v>
      </c>
      <c r="F1661" s="8">
        <f>IF(HOUR(Table1[[#This Row],[CORREO]])&gt;=11,WORKDAY(Table1[[#This Row],[CORREO]],1,Table2[Dias no laborales]),E1661)</f>
        <v>46077.341666666667</v>
      </c>
      <c r="G1661" s="8">
        <v>46093</v>
      </c>
      <c r="H1661" s="6">
        <f t="shared" si="61"/>
        <v>8</v>
      </c>
      <c r="I1661" s="6">
        <f>MAX(1, NETWORKDAYS(A1661, G1661,Table2[Dias no laborales]))</f>
        <v>13</v>
      </c>
      <c r="J1661" s="6" t="str">
        <f>IF(Table1[[#This Row],[FIN]]="","Acumulado",IF(ISNUMBER(SEARCH("ASAP",C1661)),"ASAP",IF(NETWORKDAYS.INTL(F1661,G1661,1,Table2[Dias no laborales]) &lt;= 7, "Dentro", IF(A1661&gt;F1661,"Programado","Fuera"))))</f>
        <v>Fuera</v>
      </c>
      <c r="K1661" s="6" t="str">
        <f t="shared" si="62"/>
        <v>A tiempo</v>
      </c>
      <c r="L1661" s="8">
        <v>46077</v>
      </c>
      <c r="M1661" s="17">
        <f>MAX(1,NETWORKDAYS(A1661,L1661,Table2[Dias no laborales]))</f>
        <v>1</v>
      </c>
    </row>
    <row r="1662" spans="1:13" hidden="1" x14ac:dyDescent="0.3">
      <c r="A1662" s="8">
        <v>46077</v>
      </c>
      <c r="B1662" s="16" t="s">
        <v>3348</v>
      </c>
      <c r="C1662" s="6" t="s">
        <v>3385</v>
      </c>
      <c r="D1662" s="6" t="s">
        <v>27</v>
      </c>
      <c r="E1662" s="14">
        <v>46076.752083333333</v>
      </c>
      <c r="F1662" s="8">
        <f>IF(HOUR(Table1[[#This Row],[CORREO]])&gt;=11,WORKDAY(Table1[[#This Row],[CORREO]],1,Table2[Dias no laborales]),E1662)</f>
        <v>46077</v>
      </c>
      <c r="G1662" s="8">
        <v>46078</v>
      </c>
      <c r="H1662" s="6">
        <f t="shared" si="61"/>
        <v>8</v>
      </c>
      <c r="I1662" s="6">
        <f>MAX(1, NETWORKDAYS(A1662, G1662,Table2[Dias no laborales]))</f>
        <v>2</v>
      </c>
      <c r="J1662" s="6" t="str">
        <f>IF(Table1[[#This Row],[FIN]]="","Acumulado",IF(ISNUMBER(SEARCH("ASAP",C1662)),"ASAP",IF(NETWORKDAYS.INTL(F1662,G1662,1,Table2[Dias no laborales]) &lt;= 7, "Dentro", IF(A1662&gt;F1662,"Programado","Fuera"))))</f>
        <v>Dentro</v>
      </c>
      <c r="K1662" s="6" t="str">
        <f t="shared" si="62"/>
        <v>A tiempo</v>
      </c>
      <c r="L1662" s="8">
        <v>46077</v>
      </c>
      <c r="M1662" s="17">
        <f>MAX(1,NETWORKDAYS(A1662,L1662,Table2[Dias no laborales]))</f>
        <v>1</v>
      </c>
    </row>
    <row r="1663" spans="1:13" hidden="1" x14ac:dyDescent="0.3">
      <c r="A1663" s="8">
        <v>46077</v>
      </c>
      <c r="B1663" s="16" t="s">
        <v>3349</v>
      </c>
      <c r="C1663" s="6" t="s">
        <v>3386</v>
      </c>
      <c r="D1663" s="6" t="s">
        <v>139</v>
      </c>
      <c r="E1663" s="14">
        <v>46076.734027777777</v>
      </c>
      <c r="F1663" s="8">
        <f>IF(HOUR(Table1[[#This Row],[CORREO]])&gt;=11,WORKDAY(Table1[[#This Row],[CORREO]],1,Table2[Dias no laborales]),E1663)</f>
        <v>46077</v>
      </c>
      <c r="G1663" s="8">
        <v>46080</v>
      </c>
      <c r="H1663" s="6">
        <f t="shared" si="61"/>
        <v>8</v>
      </c>
      <c r="I1663" s="6">
        <f>MAX(1, NETWORKDAYS(A1663, G1663,Table2[Dias no laborales]))</f>
        <v>4</v>
      </c>
      <c r="J1663" s="6" t="str">
        <f>IF(Table1[[#This Row],[FIN]]="","Acumulado",IF(ISNUMBER(SEARCH("ASAP",C1663)),"ASAP",IF(NETWORKDAYS.INTL(F1663,G1663,1,Table2[Dias no laborales]) &lt;= 7, "Dentro", IF(A1663&gt;F1663,"Programado","Fuera"))))</f>
        <v>Dentro</v>
      </c>
      <c r="K1663" s="6" t="str">
        <f t="shared" si="62"/>
        <v>A tiempo</v>
      </c>
      <c r="L1663" s="8">
        <v>46077</v>
      </c>
      <c r="M1663" s="17">
        <f>MAX(1,NETWORKDAYS(A1663,L1663,Table2[Dias no laborales]))</f>
        <v>1</v>
      </c>
    </row>
    <row r="1664" spans="1:13" hidden="1" x14ac:dyDescent="0.3">
      <c r="A1664" s="8">
        <v>46077</v>
      </c>
      <c r="B1664" s="16" t="s">
        <v>3350</v>
      </c>
      <c r="C1664" s="6" t="s">
        <v>3387</v>
      </c>
      <c r="D1664" s="6" t="s">
        <v>1360</v>
      </c>
      <c r="E1664" s="14">
        <v>46077.395138888889</v>
      </c>
      <c r="F1664" s="8">
        <f>IF(HOUR(Table1[[#This Row],[CORREO]])&gt;=11,WORKDAY(Table1[[#This Row],[CORREO]],1,Table2[Dias no laborales]),E1664)</f>
        <v>46077.395138888889</v>
      </c>
      <c r="G1664" s="8">
        <v>46078</v>
      </c>
      <c r="H1664" s="6">
        <f t="shared" si="61"/>
        <v>8</v>
      </c>
      <c r="I1664" s="6">
        <f>MAX(1, NETWORKDAYS(A1664, G1664,Table2[Dias no laborales]))</f>
        <v>2</v>
      </c>
      <c r="J1664" s="6" t="str">
        <f>IF(Table1[[#This Row],[FIN]]="","Acumulado",IF(ISNUMBER(SEARCH("ASAP",C1664)),"ASAP",IF(NETWORKDAYS.INTL(F1664,G1664,1,Table2[Dias no laborales]) &lt;= 7, "Dentro", IF(A1664&gt;F1664,"Programado","Fuera"))))</f>
        <v>Dentro</v>
      </c>
      <c r="K1664" s="6" t="str">
        <f t="shared" si="62"/>
        <v>A tiempo</v>
      </c>
      <c r="L1664" s="8">
        <v>46077</v>
      </c>
      <c r="M1664" s="17">
        <f>MAX(1,NETWORKDAYS(A1664,L1664,Table2[Dias no laborales]))</f>
        <v>1</v>
      </c>
    </row>
    <row r="1665" spans="1:13" hidden="1" x14ac:dyDescent="0.3">
      <c r="A1665" s="8">
        <v>46077</v>
      </c>
      <c r="B1665" s="16" t="s">
        <v>3351</v>
      </c>
      <c r="C1665" s="6" t="s">
        <v>3388</v>
      </c>
      <c r="D1665" s="6" t="s">
        <v>3256</v>
      </c>
      <c r="E1665" s="14">
        <v>46077.407638888886</v>
      </c>
      <c r="F1665" s="8">
        <f>IF(HOUR(Table1[[#This Row],[CORREO]])&gt;=11,WORKDAY(Table1[[#This Row],[CORREO]],1,Table2[Dias no laborales]),E1665)</f>
        <v>46077.407638888886</v>
      </c>
      <c r="G1665" s="8">
        <v>46080</v>
      </c>
      <c r="H1665" s="6">
        <f t="shared" si="61"/>
        <v>8</v>
      </c>
      <c r="I1665" s="6">
        <f>MAX(1, NETWORKDAYS(A1665, G1665,Table2[Dias no laborales]))</f>
        <v>4</v>
      </c>
      <c r="J1665" s="6" t="str">
        <f>IF(Table1[[#This Row],[FIN]]="","Acumulado",IF(ISNUMBER(SEARCH("ASAP",C1665)),"ASAP",IF(NETWORKDAYS.INTL(F1665,G1665,1,Table2[Dias no laborales]) &lt;= 7, "Dentro", IF(A1665&gt;F1665,"Programado","Fuera"))))</f>
        <v>Dentro</v>
      </c>
      <c r="K1665" s="6" t="str">
        <f t="shared" si="62"/>
        <v>A tiempo</v>
      </c>
      <c r="L1665" s="8">
        <v>46078</v>
      </c>
      <c r="M1665" s="17">
        <f>MAX(1,NETWORKDAYS(A1665,L1665,Table2[Dias no laborales]))</f>
        <v>2</v>
      </c>
    </row>
    <row r="1666" spans="1:13" hidden="1" x14ac:dyDescent="0.3">
      <c r="A1666" s="8">
        <v>46077</v>
      </c>
      <c r="B1666" s="16" t="s">
        <v>3352</v>
      </c>
      <c r="C1666" s="6" t="s">
        <v>3389</v>
      </c>
      <c r="D1666" s="6" t="s">
        <v>538</v>
      </c>
      <c r="E1666" s="14">
        <v>46077.444444444445</v>
      </c>
      <c r="F1666" s="8">
        <f>IF(HOUR(Table1[[#This Row],[CORREO]])&gt;=11,WORKDAY(Table1[[#This Row],[CORREO]],1,Table2[Dias no laborales]),E1666)</f>
        <v>46077.444444444445</v>
      </c>
      <c r="G1666" s="8">
        <v>46087</v>
      </c>
      <c r="H1666" s="6">
        <f t="shared" si="61"/>
        <v>8</v>
      </c>
      <c r="I1666" s="6">
        <f>MAX(1, NETWORKDAYS(A1666, G1666,Table2[Dias no laborales]))</f>
        <v>9</v>
      </c>
      <c r="J1666" s="6" t="str">
        <f>IF(Table1[[#This Row],[FIN]]="","Acumulado",IF(ISNUMBER(SEARCH("ASAP",C1666)),"ASAP",IF(NETWORKDAYS.INTL(F1666,G1666,1,Table2[Dias no laborales]) &lt;= 7, "Dentro", IF(A1666&gt;F1666,"Programado","Fuera"))))</f>
        <v>Fuera</v>
      </c>
      <c r="K1666" s="6" t="str">
        <f t="shared" si="62"/>
        <v>A tiempo</v>
      </c>
      <c r="L1666" s="8">
        <v>46079</v>
      </c>
      <c r="M1666" s="17">
        <f>MAX(1,NETWORKDAYS(A1666,L1666,Table2[Dias no laborales]))</f>
        <v>3</v>
      </c>
    </row>
    <row r="1667" spans="1:13" hidden="1" x14ac:dyDescent="0.3">
      <c r="A1667" s="8">
        <v>46078</v>
      </c>
      <c r="B1667" s="16" t="s">
        <v>3353</v>
      </c>
      <c r="C1667" s="6" t="s">
        <v>3390</v>
      </c>
      <c r="D1667" s="6" t="s">
        <v>650</v>
      </c>
      <c r="E1667" s="14">
        <v>46077.526388888888</v>
      </c>
      <c r="F1667" s="8">
        <f>IF(HOUR(Table1[[#This Row],[CORREO]])&gt;=11,WORKDAY(Table1[[#This Row],[CORREO]],1,Table2[Dias no laborales]),E1667)</f>
        <v>46078</v>
      </c>
      <c r="G1667" s="8">
        <v>46079</v>
      </c>
      <c r="H1667" s="6">
        <f t="shared" si="61"/>
        <v>8</v>
      </c>
      <c r="I1667" s="6">
        <f>MAX(1, NETWORKDAYS(A1667, G1667,Table2[Dias no laborales]))</f>
        <v>2</v>
      </c>
      <c r="J1667" s="6" t="str">
        <f>IF(Table1[[#This Row],[FIN]]="","Acumulado",IF(ISNUMBER(SEARCH("ASAP",C1667)),"ASAP",IF(NETWORKDAYS.INTL(F1667,G1667,1,Table2[Dias no laborales]) &lt;= 7, "Dentro", IF(A1667&gt;F1667,"Programado","Fuera"))))</f>
        <v>Dentro</v>
      </c>
      <c r="K1667" s="6" t="str">
        <f t="shared" si="62"/>
        <v>A tiempo</v>
      </c>
      <c r="L1667" s="8">
        <v>46078</v>
      </c>
      <c r="M1667" s="17">
        <f>MAX(1,NETWORKDAYS(A1667,L1667,Table2[Dias no laborales]))</f>
        <v>1</v>
      </c>
    </row>
    <row r="1668" spans="1:13" hidden="1" x14ac:dyDescent="0.3">
      <c r="A1668" s="8">
        <v>46078</v>
      </c>
      <c r="B1668" s="16" t="s">
        <v>3354</v>
      </c>
      <c r="C1668" s="6" t="s">
        <v>3391</v>
      </c>
      <c r="D1668" s="6" t="s">
        <v>269</v>
      </c>
      <c r="E1668" s="14">
        <v>46077.574999999997</v>
      </c>
      <c r="F1668" s="8">
        <f>IF(HOUR(Table1[[#This Row],[CORREO]])&gt;=11,WORKDAY(Table1[[#This Row],[CORREO]],1,Table2[Dias no laborales]),E1668)</f>
        <v>46078</v>
      </c>
      <c r="G1668" s="8">
        <v>46085</v>
      </c>
      <c r="H1668" s="6">
        <f t="shared" si="61"/>
        <v>8</v>
      </c>
      <c r="I1668" s="6">
        <f>MAX(1, NETWORKDAYS(A1668, G1668,Table2[Dias no laborales]))</f>
        <v>6</v>
      </c>
      <c r="J1668" s="6" t="str">
        <f>IF(Table1[[#This Row],[FIN]]="","Acumulado",IF(ISNUMBER(SEARCH("ASAP",C1668)),"ASAP",IF(NETWORKDAYS.INTL(F1668,G1668,1,Table2[Dias no laborales]) &lt;= 7, "Dentro", IF(A1668&gt;F1668,"Programado","Fuera"))))</f>
        <v>Dentro</v>
      </c>
      <c r="K1668" s="6" t="str">
        <f t="shared" si="62"/>
        <v>A tiempo</v>
      </c>
      <c r="L1668" s="8">
        <v>46078</v>
      </c>
      <c r="M1668" s="17">
        <f>MAX(1,NETWORKDAYS(A1668,L1668,Table2[Dias no laborales]))</f>
        <v>1</v>
      </c>
    </row>
    <row r="1669" spans="1:13" hidden="1" x14ac:dyDescent="0.3">
      <c r="A1669" s="8">
        <v>46078</v>
      </c>
      <c r="B1669" s="16" t="s">
        <v>3355</v>
      </c>
      <c r="C1669" s="6" t="s">
        <v>3391</v>
      </c>
      <c r="D1669" s="6" t="s">
        <v>1333</v>
      </c>
      <c r="E1669" s="14">
        <v>46077.637499999997</v>
      </c>
      <c r="F1669" s="8">
        <f>IF(HOUR(Table1[[#This Row],[CORREO]])&gt;=11,WORKDAY(Table1[[#This Row],[CORREO]],1,Table2[Dias no laborales]),E1669)</f>
        <v>46078</v>
      </c>
      <c r="G1669" s="8">
        <v>46080</v>
      </c>
      <c r="H1669" s="6">
        <f t="shared" si="61"/>
        <v>8</v>
      </c>
      <c r="I1669" s="6">
        <f>MAX(1, NETWORKDAYS(A1669, G1669,Table2[Dias no laborales]))</f>
        <v>3</v>
      </c>
      <c r="J1669" s="6" t="str">
        <f>IF(Table1[[#This Row],[FIN]]="","Acumulado",IF(ISNUMBER(SEARCH("ASAP",C1669)),"ASAP",IF(NETWORKDAYS.INTL(F1669,G1669,1,Table2[Dias no laborales]) &lt;= 7, "Dentro", IF(A1669&gt;F1669,"Programado","Fuera"))))</f>
        <v>Dentro</v>
      </c>
      <c r="K1669" s="6" t="str">
        <f t="shared" si="62"/>
        <v>A tiempo</v>
      </c>
      <c r="L1669" s="8">
        <v>46078</v>
      </c>
      <c r="M1669" s="17">
        <f>MAX(1,NETWORKDAYS(A1669,L1669,Table2[Dias no laborales]))</f>
        <v>1</v>
      </c>
    </row>
    <row r="1670" spans="1:13" hidden="1" x14ac:dyDescent="0.3">
      <c r="A1670" s="8">
        <v>46078</v>
      </c>
      <c r="B1670" s="16" t="s">
        <v>3356</v>
      </c>
      <c r="C1670" s="6" t="s">
        <v>3392</v>
      </c>
      <c r="D1670" s="6" t="s">
        <v>1333</v>
      </c>
      <c r="E1670" s="14">
        <v>46078.288888888892</v>
      </c>
      <c r="F1670" s="8">
        <f>IF(HOUR(Table1[[#This Row],[CORREO]])&gt;=11,WORKDAY(Table1[[#This Row],[CORREO]],1,Table2[Dias no laborales]),E1670)</f>
        <v>46078.288888888892</v>
      </c>
      <c r="G1670" s="8">
        <v>46078</v>
      </c>
      <c r="H1670" s="6">
        <f t="shared" si="61"/>
        <v>8</v>
      </c>
      <c r="I1670" s="6">
        <f>MAX(1, NETWORKDAYS(A1670, G1670,Table2[Dias no laborales]))</f>
        <v>1</v>
      </c>
      <c r="J1670" s="6" t="str">
        <f>IF(Table1[[#This Row],[FIN]]="","Acumulado",IF(ISNUMBER(SEARCH("ASAP",C1670)),"ASAP",IF(NETWORKDAYS.INTL(F1670,G1670,1,Table2[Dias no laborales]) &lt;= 7, "Dentro", IF(A1670&gt;F1670,"Programado","Fuera"))))</f>
        <v>Dentro</v>
      </c>
      <c r="K1670" s="6" t="str">
        <f t="shared" si="62"/>
        <v>A tiempo</v>
      </c>
      <c r="L1670" s="8">
        <v>46078</v>
      </c>
      <c r="M1670" s="17">
        <f>MAX(1,NETWORKDAYS(A1670,L1670,Table2[Dias no laborales]))</f>
        <v>1</v>
      </c>
    </row>
    <row r="1671" spans="1:13" hidden="1" x14ac:dyDescent="0.3">
      <c r="A1671" s="8">
        <v>46078</v>
      </c>
      <c r="B1671" s="16" t="s">
        <v>3357</v>
      </c>
      <c r="C1671" s="6" t="s">
        <v>3393</v>
      </c>
      <c r="D1671" s="6" t="s">
        <v>3394</v>
      </c>
      <c r="E1671" s="14">
        <v>46078.324999999997</v>
      </c>
      <c r="F1671" s="8">
        <f>IF(HOUR(Table1[[#This Row],[CORREO]])&gt;=11,WORKDAY(Table1[[#This Row],[CORREO]],1,Table2[Dias no laborales]),E1671)</f>
        <v>46078.324999999997</v>
      </c>
      <c r="G1671" s="8">
        <v>46090</v>
      </c>
      <c r="H1671" s="6">
        <f t="shared" si="61"/>
        <v>8</v>
      </c>
      <c r="I1671" s="6">
        <f>MAX(1, NETWORKDAYS(A1671, G1671,Table2[Dias no laborales]))</f>
        <v>9</v>
      </c>
      <c r="J1671" s="6" t="str">
        <f>IF(Table1[[#This Row],[FIN]]="","Acumulado",IF(ISNUMBER(SEARCH("ASAP",C1671)),"ASAP",IF(NETWORKDAYS.INTL(F1671,G1671,1,Table2[Dias no laborales]) &lt;= 7, "Dentro", IF(A1671&gt;F1671,"Programado","Fuera"))))</f>
        <v>Fuera</v>
      </c>
      <c r="K1671" s="6" t="str">
        <f t="shared" si="62"/>
        <v>A tiempo</v>
      </c>
      <c r="L1671" s="8">
        <v>46078</v>
      </c>
      <c r="M1671" s="17">
        <f>MAX(1,NETWORKDAYS(A1671,L1671,Table2[Dias no laborales]))</f>
        <v>1</v>
      </c>
    </row>
    <row r="1672" spans="1:13" hidden="1" x14ac:dyDescent="0.3">
      <c r="A1672" s="8">
        <v>46078</v>
      </c>
      <c r="B1672" s="16" t="s">
        <v>3358</v>
      </c>
      <c r="C1672" s="6" t="s">
        <v>3395</v>
      </c>
      <c r="D1672" s="6" t="s">
        <v>37</v>
      </c>
      <c r="E1672" s="14">
        <v>46078.339583333334</v>
      </c>
      <c r="F1672" s="8">
        <f>IF(HOUR(Table1[[#This Row],[CORREO]])&gt;=11,WORKDAY(Table1[[#This Row],[CORREO]],1,Table2[Dias no laborales]),E1672)</f>
        <v>46078.339583333334</v>
      </c>
      <c r="G1672" s="8">
        <v>46078</v>
      </c>
      <c r="H1672" s="6">
        <f t="shared" si="61"/>
        <v>8</v>
      </c>
      <c r="I1672" s="6">
        <f>MAX(1, NETWORKDAYS(A1672, G1672,Table2[Dias no laborales]))</f>
        <v>1</v>
      </c>
      <c r="J1672" s="6" t="str">
        <f>IF(Table1[[#This Row],[FIN]]="","Acumulado",IF(ISNUMBER(SEARCH("ASAP",C1672)),"ASAP",IF(NETWORKDAYS.INTL(F1672,G1672,1,Table2[Dias no laborales]) &lt;= 7, "Dentro", IF(A1672&gt;F1672,"Programado","Fuera"))))</f>
        <v>Dentro</v>
      </c>
      <c r="K1672" s="6" t="str">
        <f t="shared" si="62"/>
        <v>A tiempo</v>
      </c>
      <c r="L1672" s="8">
        <v>46078</v>
      </c>
      <c r="M1672" s="17">
        <f>MAX(1,NETWORKDAYS(A1672,L1672,Table2[Dias no laborales]))</f>
        <v>1</v>
      </c>
    </row>
    <row r="1673" spans="1:13" hidden="1" x14ac:dyDescent="0.3">
      <c r="A1673" s="8">
        <v>46078</v>
      </c>
      <c r="B1673" s="16" t="s">
        <v>3359</v>
      </c>
      <c r="C1673" s="6" t="s">
        <v>3396</v>
      </c>
      <c r="D1673" s="6" t="s">
        <v>37</v>
      </c>
      <c r="E1673" s="14">
        <v>46078.401388888888</v>
      </c>
      <c r="F1673" s="8">
        <f>IF(HOUR(Table1[[#This Row],[CORREO]])&gt;=11,WORKDAY(Table1[[#This Row],[CORREO]],1,Table2[Dias no laborales]),E1673)</f>
        <v>46078.401388888888</v>
      </c>
      <c r="G1673" s="8">
        <v>46078</v>
      </c>
      <c r="H1673" s="6">
        <f t="shared" si="61"/>
        <v>8</v>
      </c>
      <c r="I1673" s="6">
        <f>MAX(1, NETWORKDAYS(A1673, G1673,Table2[Dias no laborales]))</f>
        <v>1</v>
      </c>
      <c r="J1673" s="6" t="str">
        <f>IF(Table1[[#This Row],[FIN]]="","Acumulado",IF(ISNUMBER(SEARCH("ASAP",C1673)),"ASAP",IF(NETWORKDAYS.INTL(F1673,G1673,1,Table2[Dias no laborales]) &lt;= 7, "Dentro", IF(A1673&gt;F1673,"Programado","Fuera"))))</f>
        <v>Dentro</v>
      </c>
      <c r="K1673" s="6" t="str">
        <f t="shared" si="62"/>
        <v>A tiempo</v>
      </c>
      <c r="L1673" s="8">
        <v>46078</v>
      </c>
      <c r="M1673" s="17">
        <f>MAX(1,NETWORKDAYS(A1673,L1673,Table2[Dias no laborales]))</f>
        <v>1</v>
      </c>
    </row>
    <row r="1674" spans="1:13" hidden="1" x14ac:dyDescent="0.3">
      <c r="A1674" s="8">
        <v>46078</v>
      </c>
      <c r="B1674" s="16" t="s">
        <v>3360</v>
      </c>
      <c r="C1674" s="6" t="s">
        <v>3397</v>
      </c>
      <c r="D1674" s="6" t="s">
        <v>3039</v>
      </c>
      <c r="E1674" s="14"/>
      <c r="F1674" s="8">
        <f>IF(HOUR(Table1[[#This Row],[CORREO]])&gt;=11,WORKDAY(Table1[[#This Row],[CORREO]],1,Table2[Dias no laborales]),E1674)</f>
        <v>0</v>
      </c>
      <c r="G1674" s="8">
        <v>46085</v>
      </c>
      <c r="H1674" s="6">
        <f t="shared" si="61"/>
        <v>8</v>
      </c>
      <c r="I1674" s="6">
        <f>MAX(1, NETWORKDAYS(A1674, G1674,Table2[Dias no laborales]))</f>
        <v>6</v>
      </c>
      <c r="J1674" s="6" t="str">
        <f>IF(Table1[[#This Row],[FIN]]="","Acumulado",IF(ISNUMBER(SEARCH("ASAP",C1674)),"ASAP",IF(NETWORKDAYS.INTL(F1674,G1674,1,Table2[Dias no laborales]) &lt;= 7, "Dentro", IF(A1674&gt;F1674,"Programado","Fuera"))))</f>
        <v>Programado</v>
      </c>
      <c r="K1674" s="6" t="str">
        <f t="shared" si="62"/>
        <v>Programados</v>
      </c>
      <c r="L1674" s="8">
        <v>46078</v>
      </c>
      <c r="M1674" s="17">
        <f>MAX(1,NETWORKDAYS(A1674,L1674,Table2[Dias no laborales]))</f>
        <v>1</v>
      </c>
    </row>
    <row r="1675" spans="1:13" hidden="1" x14ac:dyDescent="0.3">
      <c r="A1675" s="8">
        <v>46078</v>
      </c>
      <c r="B1675" s="16" t="s">
        <v>3361</v>
      </c>
      <c r="C1675" s="6" t="s">
        <v>3398</v>
      </c>
      <c r="D1675" s="6" t="s">
        <v>85</v>
      </c>
      <c r="E1675" s="14"/>
      <c r="F1675" s="8">
        <f>IF(HOUR(Table1[[#This Row],[CORREO]])&gt;=11,WORKDAY(Table1[[#This Row],[CORREO]],1,Table2[Dias no laborales]),E1675)</f>
        <v>0</v>
      </c>
      <c r="G1675" s="8">
        <v>46098</v>
      </c>
      <c r="H1675" s="6">
        <f t="shared" si="61"/>
        <v>8</v>
      </c>
      <c r="I1675" s="6">
        <f>MAX(1, NETWORKDAYS(A1675, G1675,Table2[Dias no laborales]))</f>
        <v>14</v>
      </c>
      <c r="J1675" s="6" t="str">
        <f>IF(Table1[[#This Row],[FIN]]="","Acumulado",IF(ISNUMBER(SEARCH("ASAP",C1675)),"ASAP",IF(NETWORKDAYS.INTL(F1675,G1675,1,Table2[Dias no laborales]) &lt;= 7, "Dentro", IF(A1675&gt;F1675,"Programado","Fuera"))))</f>
        <v>Programado</v>
      </c>
      <c r="K1675" s="6" t="str">
        <f t="shared" si="62"/>
        <v>Programados</v>
      </c>
      <c r="L1675" s="8">
        <v>46078</v>
      </c>
      <c r="M1675" s="17">
        <f>MAX(1,NETWORKDAYS(A1675,L1675,Table2[Dias no laborales]))</f>
        <v>1</v>
      </c>
    </row>
    <row r="1676" spans="1:13" hidden="1" x14ac:dyDescent="0.3">
      <c r="A1676" s="8">
        <v>46079</v>
      </c>
      <c r="B1676" s="16" t="s">
        <v>3362</v>
      </c>
      <c r="C1676" s="6" t="s">
        <v>3399</v>
      </c>
      <c r="D1676" s="6" t="s">
        <v>89</v>
      </c>
      <c r="E1676" s="14">
        <v>46077.522222222222</v>
      </c>
      <c r="F1676" s="8">
        <f>IF(HOUR(Table1[[#This Row],[CORREO]])&gt;=11,WORKDAY(Table1[[#This Row],[CORREO]],1,Table2[Dias no laborales]),E1676)</f>
        <v>46078</v>
      </c>
      <c r="G1676" s="8">
        <v>46093</v>
      </c>
      <c r="H1676" s="6">
        <f t="shared" si="61"/>
        <v>9</v>
      </c>
      <c r="I1676" s="6">
        <f>MAX(1, NETWORKDAYS(A1676, G1676,Table2[Dias no laborales]))</f>
        <v>11</v>
      </c>
      <c r="J1676" s="6" t="str">
        <f>IF(Table1[[#This Row],[FIN]]="","Acumulado",IF(ISNUMBER(SEARCH("ASAP",C1676)),"ASAP",IF(NETWORKDAYS.INTL(F1676,G1676,1,Table2[Dias no laborales]) &lt;= 7, "Dentro", IF(A1676&gt;F1676,"Programado","Fuera"))))</f>
        <v>Programado</v>
      </c>
      <c r="K1676" s="6" t="str">
        <f t="shared" si="62"/>
        <v>Programados</v>
      </c>
      <c r="L1676" s="8">
        <v>46079</v>
      </c>
      <c r="M1676" s="17">
        <f>MAX(1,NETWORKDAYS(A1676,L1676,Table2[Dias no laborales]))</f>
        <v>1</v>
      </c>
    </row>
    <row r="1677" spans="1:13" hidden="1" x14ac:dyDescent="0.3">
      <c r="A1677" s="8">
        <v>46079</v>
      </c>
      <c r="B1677" s="16" t="s">
        <v>3363</v>
      </c>
      <c r="C1677" s="6" t="s">
        <v>3400</v>
      </c>
      <c r="D1677" s="6" t="s">
        <v>238</v>
      </c>
      <c r="E1677" s="14"/>
      <c r="F1677" s="8">
        <f>IF(HOUR(Table1[[#This Row],[CORREO]])&gt;=11,WORKDAY(Table1[[#This Row],[CORREO]],1,Table2[Dias no laborales]),E1677)</f>
        <v>0</v>
      </c>
      <c r="G1677" s="8">
        <v>46086</v>
      </c>
      <c r="H1677" s="6">
        <f t="shared" si="61"/>
        <v>9</v>
      </c>
      <c r="I1677" s="6">
        <f>MAX(1, NETWORKDAYS(A1677, G1677,Table2[Dias no laborales]))</f>
        <v>6</v>
      </c>
      <c r="J1677" s="6" t="str">
        <f>IF(Table1[[#This Row],[FIN]]="","Acumulado",IF(ISNUMBER(SEARCH("ASAP",C1677)),"ASAP",IF(NETWORKDAYS.INTL(F1677,G1677,1,Table2[Dias no laborales]) &lt;= 7, "Dentro", IF(A1677&gt;F1677,"Programado","Fuera"))))</f>
        <v>Programado</v>
      </c>
      <c r="K1677" s="6" t="str">
        <f t="shared" si="62"/>
        <v>Programados</v>
      </c>
      <c r="L1677" s="8">
        <v>46079</v>
      </c>
      <c r="M1677" s="17">
        <f>MAX(1,NETWORKDAYS(A1677,L1677,Table2[Dias no laborales]))</f>
        <v>1</v>
      </c>
    </row>
    <row r="1678" spans="1:13" hidden="1" x14ac:dyDescent="0.3">
      <c r="A1678" s="8">
        <v>46079</v>
      </c>
      <c r="B1678" s="16" t="s">
        <v>3364</v>
      </c>
      <c r="C1678" s="6" t="s">
        <v>3401</v>
      </c>
      <c r="D1678" s="6" t="s">
        <v>2963</v>
      </c>
      <c r="E1678" s="14">
        <v>46078.490277777775</v>
      </c>
      <c r="F1678" s="8">
        <f>IF(HOUR(Table1[[#This Row],[CORREO]])&gt;=11,WORKDAY(Table1[[#This Row],[CORREO]],1,Table2[Dias no laborales]),E1678)</f>
        <v>46079</v>
      </c>
      <c r="G1678" s="8">
        <v>46093</v>
      </c>
      <c r="H1678" s="6">
        <f t="shared" si="61"/>
        <v>9</v>
      </c>
      <c r="I1678" s="6">
        <f>MAX(1, NETWORKDAYS(A1678, G1678,Table2[Dias no laborales]))</f>
        <v>11</v>
      </c>
      <c r="J1678" s="6" t="str">
        <f>IF(Table1[[#This Row],[FIN]]="","Acumulado",IF(ISNUMBER(SEARCH("ASAP",C1678)),"ASAP",IF(NETWORKDAYS.INTL(F1678,G1678,1,Table2[Dias no laborales]) &lt;= 7, "Dentro", IF(A1678&gt;F1678,"Programado","Fuera"))))</f>
        <v>Fuera</v>
      </c>
      <c r="K1678" s="6" t="str">
        <f t="shared" si="62"/>
        <v>A tiempo</v>
      </c>
      <c r="L1678" s="8">
        <v>46079</v>
      </c>
      <c r="M1678" s="17">
        <f>MAX(1,NETWORKDAYS(A1678,L1678,Table2[Dias no laborales]))</f>
        <v>1</v>
      </c>
    </row>
    <row r="1679" spans="1:13" hidden="1" x14ac:dyDescent="0.3">
      <c r="A1679" s="8">
        <v>46079</v>
      </c>
      <c r="B1679" s="16" t="s">
        <v>3365</v>
      </c>
      <c r="C1679" s="6" t="s">
        <v>3402</v>
      </c>
      <c r="D1679" s="6" t="s">
        <v>1644</v>
      </c>
      <c r="E1679" s="14">
        <v>46078.56527777778</v>
      </c>
      <c r="F1679" s="8">
        <f>IF(HOUR(Table1[[#This Row],[CORREO]])&gt;=11,WORKDAY(Table1[[#This Row],[CORREO]],1,Table2[Dias no laborales]),E1679)</f>
        <v>46079</v>
      </c>
      <c r="G1679" s="8">
        <v>46079</v>
      </c>
      <c r="H1679" s="6">
        <f t="shared" si="61"/>
        <v>9</v>
      </c>
      <c r="I1679" s="6">
        <f>MAX(1, NETWORKDAYS(A1679, G1679,Table2[Dias no laborales]))</f>
        <v>1</v>
      </c>
      <c r="J1679" s="6" t="str">
        <f>IF(Table1[[#This Row],[FIN]]="","Acumulado",IF(ISNUMBER(SEARCH("ASAP",C1679)),"ASAP",IF(NETWORKDAYS.INTL(F1679,G1679,1,Table2[Dias no laborales]) &lt;= 7, "Dentro", IF(A1679&gt;F1679,"Programado","Fuera"))))</f>
        <v>Dentro</v>
      </c>
      <c r="K1679" s="6" t="str">
        <f t="shared" si="62"/>
        <v>A tiempo</v>
      </c>
      <c r="L1679" s="8">
        <v>46079</v>
      </c>
      <c r="M1679" s="17">
        <f>MAX(1,NETWORKDAYS(A1679,L1679,Table2[Dias no laborales]))</f>
        <v>1</v>
      </c>
    </row>
    <row r="1680" spans="1:13" hidden="1" x14ac:dyDescent="0.3">
      <c r="A1680" s="8">
        <v>46079</v>
      </c>
      <c r="B1680" s="16" t="s">
        <v>3366</v>
      </c>
      <c r="C1680" s="6" t="s">
        <v>3403</v>
      </c>
      <c r="D1680" s="6" t="s">
        <v>27</v>
      </c>
      <c r="E1680" s="14">
        <v>46078.69027777778</v>
      </c>
      <c r="F1680" s="8">
        <f>IF(HOUR(Table1[[#This Row],[CORREO]])&gt;=11,WORKDAY(Table1[[#This Row],[CORREO]],1,Table2[Dias no laborales]),E1680)</f>
        <v>46079</v>
      </c>
      <c r="G1680" s="8">
        <v>46079</v>
      </c>
      <c r="H1680" s="6">
        <f t="shared" si="61"/>
        <v>9</v>
      </c>
      <c r="I1680" s="6">
        <f>MAX(1, NETWORKDAYS(A1680, G1680,Table2[Dias no laborales]))</f>
        <v>1</v>
      </c>
      <c r="J1680" s="6" t="str">
        <f>IF(Table1[[#This Row],[FIN]]="","Acumulado",IF(ISNUMBER(SEARCH("ASAP",C1680)),"ASAP",IF(NETWORKDAYS.INTL(F1680,G1680,1,Table2[Dias no laborales]) &lt;= 7, "Dentro", IF(A1680&gt;F1680,"Programado","Fuera"))))</f>
        <v>Dentro</v>
      </c>
      <c r="K1680" s="6" t="str">
        <f t="shared" si="62"/>
        <v>A tiempo</v>
      </c>
      <c r="L1680" s="8">
        <v>46079</v>
      </c>
      <c r="M1680" s="17">
        <f>MAX(1,NETWORKDAYS(A1680,L1680,Table2[Dias no laborales]))</f>
        <v>1</v>
      </c>
    </row>
    <row r="1681" spans="1:13" hidden="1" x14ac:dyDescent="0.3">
      <c r="A1681" s="8">
        <v>46079</v>
      </c>
      <c r="B1681" s="16" t="s">
        <v>3367</v>
      </c>
      <c r="C1681" s="6" t="s">
        <v>3404</v>
      </c>
      <c r="D1681" s="6" t="s">
        <v>562</v>
      </c>
      <c r="E1681" s="14">
        <v>46078.754861111112</v>
      </c>
      <c r="F1681" s="8">
        <f>IF(HOUR(Table1[[#This Row],[CORREO]])&gt;=11,WORKDAY(Table1[[#This Row],[CORREO]],1,Table2[Dias no laborales]),E1681)</f>
        <v>46079</v>
      </c>
      <c r="G1681" s="8">
        <v>46085</v>
      </c>
      <c r="H1681" s="6">
        <f t="shared" si="61"/>
        <v>9</v>
      </c>
      <c r="I1681" s="6">
        <f>MAX(1, NETWORKDAYS(A1681, G1681,Table2[Dias no laborales]))</f>
        <v>5</v>
      </c>
      <c r="J1681" s="6" t="str">
        <f>IF(Table1[[#This Row],[FIN]]="","Acumulado",IF(ISNUMBER(SEARCH("ASAP",C1681)),"ASAP",IF(NETWORKDAYS.INTL(F1681,G1681,1,Table2[Dias no laborales]) &lt;= 7, "Dentro", IF(A1681&gt;F1681,"Programado","Fuera"))))</f>
        <v>Dentro</v>
      </c>
      <c r="K1681" s="6" t="str">
        <f t="shared" si="62"/>
        <v>A tiempo</v>
      </c>
      <c r="L1681" s="8">
        <v>46079</v>
      </c>
      <c r="M1681" s="17">
        <f>MAX(1,NETWORKDAYS(A1681,L1681,Table2[Dias no laborales]))</f>
        <v>1</v>
      </c>
    </row>
    <row r="1682" spans="1:13" hidden="1" x14ac:dyDescent="0.3">
      <c r="A1682" s="8">
        <v>46079</v>
      </c>
      <c r="B1682" s="16" t="s">
        <v>3368</v>
      </c>
      <c r="C1682" s="6" t="s">
        <v>3405</v>
      </c>
      <c r="D1682" s="6" t="s">
        <v>1136</v>
      </c>
      <c r="E1682" s="14">
        <v>46078.677777777775</v>
      </c>
      <c r="F1682" s="8">
        <f>IF(HOUR(Table1[[#This Row],[CORREO]])&gt;=11,WORKDAY(Table1[[#This Row],[CORREO]],1,Table2[Dias no laborales]),E1682)</f>
        <v>46079</v>
      </c>
      <c r="G1682" s="8">
        <v>46080</v>
      </c>
      <c r="H1682" s="6">
        <f t="shared" si="61"/>
        <v>9</v>
      </c>
      <c r="I1682" s="6">
        <f>MAX(1, NETWORKDAYS(A1682, G1682,Table2[Dias no laborales]))</f>
        <v>2</v>
      </c>
      <c r="J1682" s="6" t="str">
        <f>IF(Table1[[#This Row],[FIN]]="","Acumulado",IF(ISNUMBER(SEARCH("ASAP",C1682)),"ASAP",IF(NETWORKDAYS.INTL(F1682,G1682,1,Table2[Dias no laborales]) &lt;= 7, "Dentro", IF(A1682&gt;F1682,"Programado","Fuera"))))</f>
        <v>Dentro</v>
      </c>
      <c r="K1682" s="6" t="str">
        <f t="shared" si="62"/>
        <v>A tiempo</v>
      </c>
      <c r="L1682" s="8">
        <v>46079</v>
      </c>
      <c r="M1682" s="17">
        <f>MAX(1,NETWORKDAYS(A1682,L1682,Table2[Dias no laborales]))</f>
        <v>1</v>
      </c>
    </row>
    <row r="1683" spans="1:13" hidden="1" x14ac:dyDescent="0.3">
      <c r="A1683" s="8">
        <v>46079</v>
      </c>
      <c r="B1683" s="16" t="s">
        <v>3369</v>
      </c>
      <c r="C1683" s="6" t="s">
        <v>3406</v>
      </c>
      <c r="D1683" s="6" t="s">
        <v>650</v>
      </c>
      <c r="E1683" s="14"/>
      <c r="F1683" s="8">
        <f>IF(HOUR(Table1[[#This Row],[CORREO]])&gt;=11,WORKDAY(Table1[[#This Row],[CORREO]],1,Table2[Dias no laborales]),E1683)</f>
        <v>0</v>
      </c>
      <c r="G1683" s="8">
        <v>46084</v>
      </c>
      <c r="H1683" s="6">
        <f t="shared" si="61"/>
        <v>9</v>
      </c>
      <c r="I1683" s="6">
        <f>MAX(1, NETWORKDAYS(A1683, G1683,Table2[Dias no laborales]))</f>
        <v>4</v>
      </c>
      <c r="J1683" s="6" t="str">
        <f>IF(Table1[[#This Row],[FIN]]="","Acumulado",IF(ISNUMBER(SEARCH("ASAP",C1683)),"ASAP",IF(NETWORKDAYS.INTL(F1683,G1683,1,Table2[Dias no laborales]) &lt;= 7, "Dentro", IF(A1683&gt;F1683,"Programado","Fuera"))))</f>
        <v>Programado</v>
      </c>
      <c r="K1683" s="6" t="str">
        <f t="shared" si="62"/>
        <v>Programados</v>
      </c>
      <c r="L1683" s="8">
        <v>46079</v>
      </c>
      <c r="M1683" s="17">
        <f>MAX(1,NETWORKDAYS(A1683,L1683,Table2[Dias no laborales]))</f>
        <v>1</v>
      </c>
    </row>
    <row r="1684" spans="1:13" hidden="1" x14ac:dyDescent="0.3">
      <c r="A1684" s="8">
        <v>46080</v>
      </c>
      <c r="B1684" s="16" t="s">
        <v>3370</v>
      </c>
      <c r="C1684" s="6" t="s">
        <v>3407</v>
      </c>
      <c r="D1684" s="6" t="s">
        <v>2799</v>
      </c>
      <c r="E1684" s="14">
        <v>46079.578472222223</v>
      </c>
      <c r="F1684" s="8">
        <f>IF(HOUR(Table1[[#This Row],[CORREO]])&gt;=11,WORKDAY(Table1[[#This Row],[CORREO]],1,Table2[Dias no laborales]),E1684)</f>
        <v>46080</v>
      </c>
      <c r="G1684" s="8">
        <v>46085</v>
      </c>
      <c r="H1684" s="6">
        <f t="shared" si="61"/>
        <v>9</v>
      </c>
      <c r="I1684" s="6">
        <f>MAX(1, NETWORKDAYS(A1684, G1684,Table2[Dias no laborales]))</f>
        <v>4</v>
      </c>
      <c r="J1684" s="6" t="str">
        <f>IF(Table1[[#This Row],[FIN]]="","Acumulado",IF(ISNUMBER(SEARCH("ASAP",C1684)),"ASAP",IF(NETWORKDAYS.INTL(F1684,G1684,1,Table2[Dias no laborales]) &lt;= 7, "Dentro", IF(A1684&gt;F1684,"Programado","Fuera"))))</f>
        <v>Dentro</v>
      </c>
      <c r="K1684" s="6" t="str">
        <f t="shared" si="62"/>
        <v>A tiempo</v>
      </c>
      <c r="L1684" s="8">
        <v>46080</v>
      </c>
      <c r="M1684" s="17">
        <f>MAX(1,NETWORKDAYS(A1684,L1684,Table2[Dias no laborales]))</f>
        <v>1</v>
      </c>
    </row>
    <row r="1685" spans="1:13" hidden="1" x14ac:dyDescent="0.3">
      <c r="A1685" s="8">
        <v>46080</v>
      </c>
      <c r="B1685" s="16" t="s">
        <v>3371</v>
      </c>
      <c r="C1685" s="6" t="s">
        <v>3408</v>
      </c>
      <c r="D1685" s="6" t="s">
        <v>27</v>
      </c>
      <c r="E1685" s="14">
        <v>46079.556944444441</v>
      </c>
      <c r="F1685" s="8">
        <f>IF(HOUR(Table1[[#This Row],[CORREO]])&gt;=11,WORKDAY(Table1[[#This Row],[CORREO]],1,Table2[Dias no laborales]),E1685)</f>
        <v>46080</v>
      </c>
      <c r="G1685" s="8">
        <v>46100</v>
      </c>
      <c r="H1685" s="6">
        <f t="shared" si="61"/>
        <v>9</v>
      </c>
      <c r="I1685" s="6">
        <f>MAX(1, NETWORKDAYS(A1685, G1685,Table2[Dias no laborales]))</f>
        <v>14</v>
      </c>
      <c r="J1685" s="6" t="str">
        <f>IF(Table1[[#This Row],[FIN]]="","Acumulado",IF(ISNUMBER(SEARCH("ASAP",C1685)),"ASAP",IF(NETWORKDAYS.INTL(F1685,G1685,1,Table2[Dias no laborales]) &lt;= 7, "Dentro", IF(A1685&gt;F1685,"Programado","Fuera"))))</f>
        <v>Fuera</v>
      </c>
      <c r="K1685" s="6" t="str">
        <f t="shared" si="62"/>
        <v>A tiempo</v>
      </c>
      <c r="L1685" s="8">
        <v>46080</v>
      </c>
      <c r="M1685" s="17">
        <f>MAX(1,NETWORKDAYS(A1685,L1685,Table2[Dias no laborales]))</f>
        <v>1</v>
      </c>
    </row>
    <row r="1686" spans="1:13" hidden="1" x14ac:dyDescent="0.3">
      <c r="A1686" s="8">
        <v>46080</v>
      </c>
      <c r="B1686" s="16" t="s">
        <v>3372</v>
      </c>
      <c r="C1686" s="6" t="s">
        <v>3409</v>
      </c>
      <c r="D1686" s="6" t="s">
        <v>27</v>
      </c>
      <c r="E1686" s="14">
        <v>46079.598611111112</v>
      </c>
      <c r="F1686" s="8">
        <f>IF(HOUR(Table1[[#This Row],[CORREO]])&gt;=11,WORKDAY(Table1[[#This Row],[CORREO]],1,Table2[Dias no laborales]),E1686)</f>
        <v>46080</v>
      </c>
      <c r="G1686" s="8">
        <v>46091</v>
      </c>
      <c r="H1686" s="6">
        <f t="shared" si="61"/>
        <v>9</v>
      </c>
      <c r="I1686" s="6">
        <f>MAX(1, NETWORKDAYS(A1686, G1686,Table2[Dias no laborales]))</f>
        <v>8</v>
      </c>
      <c r="J1686" s="6" t="str">
        <f>IF(Table1[[#This Row],[FIN]]="","Acumulado",IF(ISNUMBER(SEARCH("ASAP",C1686)),"ASAP",IF(NETWORKDAYS.INTL(F1686,G1686,1,Table2[Dias no laborales]) &lt;= 7, "Dentro", IF(A1686&gt;F1686,"Programado","Fuera"))))</f>
        <v>Fuera</v>
      </c>
      <c r="K1686" s="6" t="str">
        <f t="shared" si="62"/>
        <v>A tiempo</v>
      </c>
      <c r="L1686" s="8">
        <v>46080</v>
      </c>
      <c r="M1686" s="17">
        <f>MAX(1,NETWORKDAYS(A1686,L1686,Table2[Dias no laborales]))</f>
        <v>1</v>
      </c>
    </row>
    <row r="1687" spans="1:13" hidden="1" x14ac:dyDescent="0.3">
      <c r="A1687" s="8">
        <v>46080</v>
      </c>
      <c r="B1687" s="16" t="s">
        <v>3373</v>
      </c>
      <c r="C1687" s="6" t="s">
        <v>3410</v>
      </c>
      <c r="D1687" s="6" t="s">
        <v>15</v>
      </c>
      <c r="E1687" s="14">
        <v>46079.62777777778</v>
      </c>
      <c r="F1687" s="8">
        <f>IF(HOUR(Table1[[#This Row],[CORREO]])&gt;=11,WORKDAY(Table1[[#This Row],[CORREO]],1,Table2[Dias no laborales]),E1687)</f>
        <v>46080</v>
      </c>
      <c r="G1687" s="8">
        <v>46083</v>
      </c>
      <c r="H1687" s="6">
        <f t="shared" si="61"/>
        <v>9</v>
      </c>
      <c r="I1687" s="6">
        <f>MAX(1, NETWORKDAYS(A1687, G1687,Table2[Dias no laborales]))</f>
        <v>2</v>
      </c>
      <c r="J1687" s="6" t="str">
        <f>IF(Table1[[#This Row],[FIN]]="","Acumulado",IF(ISNUMBER(SEARCH("ASAP",C1687)),"ASAP",IF(NETWORKDAYS.INTL(F1687,G1687,1,Table2[Dias no laborales]) &lt;= 7, "Dentro", IF(A1687&gt;F1687,"Programado","Fuera"))))</f>
        <v>Dentro</v>
      </c>
      <c r="K1687" s="6" t="str">
        <f t="shared" si="62"/>
        <v>A tiempo</v>
      </c>
      <c r="L1687" s="8">
        <v>46080</v>
      </c>
      <c r="M1687" s="17">
        <f>MAX(1,NETWORKDAYS(A1687,L1687,Table2[Dias no laborales]))</f>
        <v>1</v>
      </c>
    </row>
    <row r="1688" spans="1:13" hidden="1" x14ac:dyDescent="0.3">
      <c r="A1688" s="8">
        <v>46080</v>
      </c>
      <c r="B1688" s="16" t="s">
        <v>3374</v>
      </c>
      <c r="C1688" s="6" t="s">
        <v>3411</v>
      </c>
      <c r="D1688" s="6" t="s">
        <v>2994</v>
      </c>
      <c r="E1688" s="14">
        <v>46079.484722222223</v>
      </c>
      <c r="F1688" s="8">
        <f>IF(HOUR(Table1[[#This Row],[CORREO]])&gt;=11,WORKDAY(Table1[[#This Row],[CORREO]],1,Table2[Dias no laborales]),E1688)</f>
        <v>46080</v>
      </c>
      <c r="G1688" s="8">
        <v>46080</v>
      </c>
      <c r="H1688" s="6">
        <f t="shared" si="61"/>
        <v>9</v>
      </c>
      <c r="I1688" s="6">
        <f>MAX(1, NETWORKDAYS(A1688, G1688,Table2[Dias no laborales]))</f>
        <v>1</v>
      </c>
      <c r="J1688" s="6" t="str">
        <f>IF(Table1[[#This Row],[FIN]]="","Acumulado",IF(ISNUMBER(SEARCH("ASAP",C1688)),"ASAP",IF(NETWORKDAYS.INTL(F1688,G1688,1,Table2[Dias no laborales]) &lt;= 7, "Dentro", IF(A1688&gt;F1688,"Programado","Fuera"))))</f>
        <v>Dentro</v>
      </c>
      <c r="K1688" s="6" t="str">
        <f t="shared" si="62"/>
        <v>A tiempo</v>
      </c>
      <c r="L1688" s="8">
        <v>46080</v>
      </c>
      <c r="M1688" s="17">
        <f>MAX(1,NETWORKDAYS(A1688,L1688,Table2[Dias no laborales]))</f>
        <v>1</v>
      </c>
    </row>
    <row r="1689" spans="1:13" hidden="1" x14ac:dyDescent="0.3">
      <c r="A1689" s="8">
        <v>46080</v>
      </c>
      <c r="B1689" s="16" t="s">
        <v>3375</v>
      </c>
      <c r="C1689" s="6" t="s">
        <v>3412</v>
      </c>
      <c r="D1689" s="6" t="s">
        <v>1333</v>
      </c>
      <c r="E1689" s="14"/>
      <c r="F1689" s="8">
        <f>IF(HOUR(Table1[[#This Row],[CORREO]])&gt;=11,WORKDAY(Table1[[#This Row],[CORREO]],1,Table2[Dias no laborales]),E1689)</f>
        <v>0</v>
      </c>
      <c r="G1689" s="8">
        <v>46080</v>
      </c>
      <c r="H1689" s="6">
        <f t="shared" si="61"/>
        <v>9</v>
      </c>
      <c r="I1689" s="6">
        <f>MAX(1, NETWORKDAYS(A1689, G1689,Table2[Dias no laborales]))</f>
        <v>1</v>
      </c>
      <c r="J1689" s="6" t="str">
        <f>IF(Table1[[#This Row],[FIN]]="","Acumulado",IF(ISNUMBER(SEARCH("ASAP",C1689)),"ASAP",IF(NETWORKDAYS.INTL(F1689,G1689,1,Table2[Dias no laborales]) &lt;= 7, "Dentro", IF(A1689&gt;F1689,"Programado","Fuera"))))</f>
        <v>Programado</v>
      </c>
      <c r="K1689" s="6" t="str">
        <f t="shared" si="62"/>
        <v>Programados</v>
      </c>
      <c r="L1689" s="8">
        <v>46080</v>
      </c>
      <c r="M1689" s="17">
        <f>MAX(1,NETWORKDAYS(A1689,L1689,Table2[Dias no laborales]))</f>
        <v>1</v>
      </c>
    </row>
    <row r="1690" spans="1:13" hidden="1" x14ac:dyDescent="0.3">
      <c r="A1690" s="8">
        <v>46083</v>
      </c>
      <c r="B1690" s="16" t="s">
        <v>3413</v>
      </c>
      <c r="C1690" s="6" t="s">
        <v>3686</v>
      </c>
      <c r="D1690" s="6" t="s">
        <v>24</v>
      </c>
      <c r="E1690" s="14"/>
      <c r="F1690" s="8">
        <f>IF(HOUR(Table1[[#This Row],[CORREO]])&gt;=11,WORKDAY(Table1[[#This Row],[CORREO]],1,Table2[Dias no laborales]),E1690)</f>
        <v>0</v>
      </c>
      <c r="G1690" s="8">
        <v>46087</v>
      </c>
      <c r="H1690" s="6">
        <f t="shared" ref="H1690:H1712" si="63">INT((A1690-DATE(YEAR(A1690),1,1))/7) + 1</f>
        <v>9</v>
      </c>
      <c r="I1690" s="6">
        <f>MAX(1, NETWORKDAYS(A1690, G1690,Table2[Dias no laborales]))</f>
        <v>5</v>
      </c>
      <c r="J1690" s="6" t="str">
        <f>IF(Table1[[#This Row],[FIN]]="","Acumulado",IF(ISNUMBER(SEARCH("ASAP",C1690)),"ASAP",IF(NETWORKDAYS.INTL(F1690,G1690,1,Table2[Dias no laborales]) &lt;= 7, "Dentro", IF(A1690&gt;F1690,"Programado","Fuera"))))</f>
        <v>Programado</v>
      </c>
      <c r="K1690" s="6" t="str">
        <f t="shared" ref="K1690:K1712" si="64">IF(INT(A1690)=INT(F1690),"A tiempo", IF(A1690&lt;F1690,"Mismo día","Programados"))</f>
        <v>Programados</v>
      </c>
      <c r="L1690" s="8">
        <v>46083</v>
      </c>
      <c r="M1690" s="17">
        <f>MAX(1,NETWORKDAYS(A1690,L1690,Table2[Dias no laborales]))</f>
        <v>1</v>
      </c>
    </row>
    <row r="1691" spans="1:13" hidden="1" x14ac:dyDescent="0.3">
      <c r="A1691" s="8">
        <v>46083</v>
      </c>
      <c r="B1691" s="16" t="s">
        <v>3414</v>
      </c>
      <c r="C1691" s="6" t="s">
        <v>3436</v>
      </c>
      <c r="D1691" s="6" t="s">
        <v>351</v>
      </c>
      <c r="E1691" s="14"/>
      <c r="F1691" s="8">
        <f>IF(HOUR(Table1[[#This Row],[CORREO]])&gt;=11,WORKDAY(Table1[[#This Row],[CORREO]],1,Table2[Dias no laborales]),E1691)</f>
        <v>0</v>
      </c>
      <c r="G1691" s="8">
        <v>46111</v>
      </c>
      <c r="H1691" s="6">
        <f t="shared" si="63"/>
        <v>9</v>
      </c>
      <c r="I1691" s="6">
        <f>MAX(1, NETWORKDAYS(A1691, G1691,Table2[Dias no laborales]))</f>
        <v>20</v>
      </c>
      <c r="J1691" s="6" t="str">
        <f>IF(Table1[[#This Row],[FIN]]="","Acumulado",IF(ISNUMBER(SEARCH("ASAP",C1691)),"ASAP",IF(NETWORKDAYS.INTL(F1691,G1691,1,Table2[Dias no laborales]) &lt;= 7, "Dentro", IF(A1691&gt;F1691,"Programado","Fuera"))))</f>
        <v>Programado</v>
      </c>
      <c r="K1691" s="6" t="str">
        <f t="shared" si="64"/>
        <v>Programados</v>
      </c>
      <c r="L1691" s="8">
        <v>46083</v>
      </c>
      <c r="M1691" s="17">
        <f>MAX(1,NETWORKDAYS(A1691,L1691,Table2[Dias no laborales]))</f>
        <v>1</v>
      </c>
    </row>
    <row r="1692" spans="1:13" hidden="1" x14ac:dyDescent="0.3">
      <c r="A1692" s="8">
        <v>46083</v>
      </c>
      <c r="B1692" s="16" t="s">
        <v>3415</v>
      </c>
      <c r="C1692" s="6" t="s">
        <v>3437</v>
      </c>
      <c r="D1692" s="6" t="s">
        <v>423</v>
      </c>
      <c r="E1692" s="14">
        <v>46083.32916666667</v>
      </c>
      <c r="F1692" s="8">
        <f>IF(HOUR(Table1[[#This Row],[CORREO]])&gt;=11,WORKDAY(Table1[[#This Row],[CORREO]],1,Table2[Dias no laborales]),E1692)</f>
        <v>46083.32916666667</v>
      </c>
      <c r="G1692" s="8">
        <v>46086</v>
      </c>
      <c r="H1692" s="6">
        <f t="shared" si="63"/>
        <v>9</v>
      </c>
      <c r="I1692" s="6">
        <f>MAX(1, NETWORKDAYS(A1692, G1692,Table2[Dias no laborales]))</f>
        <v>4</v>
      </c>
      <c r="J1692" s="6" t="str">
        <f>IF(Table1[[#This Row],[FIN]]="","Acumulado",IF(ISNUMBER(SEARCH("ASAP",C1692)),"ASAP",IF(NETWORKDAYS.INTL(F1692,G1692,1,Table2[Dias no laborales]) &lt;= 7, "Dentro", IF(A1692&gt;F1692,"Programado","Fuera"))))</f>
        <v>Dentro</v>
      </c>
      <c r="K1692" s="6" t="str">
        <f t="shared" si="64"/>
        <v>A tiempo</v>
      </c>
      <c r="L1692" s="8">
        <v>46083</v>
      </c>
      <c r="M1692" s="17">
        <f>MAX(1,NETWORKDAYS(A1692,L1692,Table2[Dias no laborales]))</f>
        <v>1</v>
      </c>
    </row>
    <row r="1693" spans="1:13" hidden="1" x14ac:dyDescent="0.3">
      <c r="A1693" s="8">
        <v>46083</v>
      </c>
      <c r="B1693" s="16" t="s">
        <v>3416</v>
      </c>
      <c r="C1693" s="6" t="s">
        <v>3438</v>
      </c>
      <c r="D1693" s="6" t="s">
        <v>538</v>
      </c>
      <c r="E1693" s="14">
        <v>46083.405555555553</v>
      </c>
      <c r="F1693" s="8">
        <f>IF(HOUR(Table1[[#This Row],[CORREO]])&gt;=11,WORKDAY(Table1[[#This Row],[CORREO]],1,Table2[Dias no laborales]),E1693)</f>
        <v>46083.405555555553</v>
      </c>
      <c r="G1693" s="8">
        <v>46084</v>
      </c>
      <c r="H1693" s="6">
        <f t="shared" si="63"/>
        <v>9</v>
      </c>
      <c r="I1693" s="6">
        <f>MAX(1, NETWORKDAYS(A1693, G1693,Table2[Dias no laborales]))</f>
        <v>2</v>
      </c>
      <c r="J1693" s="6" t="str">
        <f>IF(Table1[[#This Row],[FIN]]="","Acumulado",IF(ISNUMBER(SEARCH("ASAP",C1693)),"ASAP",IF(NETWORKDAYS.INTL(F1693,G1693,1,Table2[Dias no laborales]) &lt;= 7, "Dentro", IF(A1693&gt;F1693,"Programado","Fuera"))))</f>
        <v>Dentro</v>
      </c>
      <c r="K1693" s="6" t="str">
        <f t="shared" si="64"/>
        <v>A tiempo</v>
      </c>
      <c r="L1693" s="8">
        <v>46084</v>
      </c>
      <c r="M1693" s="17">
        <f>MAX(1,NETWORKDAYS(A1693,L1693,Table2[Dias no laborales]))</f>
        <v>2</v>
      </c>
    </row>
    <row r="1694" spans="1:13" hidden="1" x14ac:dyDescent="0.3">
      <c r="A1694" s="8">
        <v>46083</v>
      </c>
      <c r="B1694" s="16" t="s">
        <v>3417</v>
      </c>
      <c r="C1694" s="6" t="s">
        <v>3439</v>
      </c>
      <c r="D1694" s="6" t="s">
        <v>650</v>
      </c>
      <c r="E1694" s="14">
        <v>46083.421527777777</v>
      </c>
      <c r="F1694" s="8">
        <f>IF(HOUR(Table1[[#This Row],[CORREO]])&gt;=11,WORKDAY(Table1[[#This Row],[CORREO]],1,Table2[Dias no laborales]),E1694)</f>
        <v>46083.421527777777</v>
      </c>
      <c r="G1694" s="8">
        <v>46084</v>
      </c>
      <c r="H1694" s="6">
        <f t="shared" si="63"/>
        <v>9</v>
      </c>
      <c r="I1694" s="6">
        <f>MAX(1, NETWORKDAYS(A1694, G1694,Table2[Dias no laborales]))</f>
        <v>2</v>
      </c>
      <c r="J1694" s="6" t="str">
        <f>IF(Table1[[#This Row],[FIN]]="","Acumulado",IF(ISNUMBER(SEARCH("ASAP",C1694)),"ASAP",IF(NETWORKDAYS.INTL(F1694,G1694,1,Table2[Dias no laborales]) &lt;= 7, "Dentro", IF(A1694&gt;F1694,"Programado","Fuera"))))</f>
        <v>Dentro</v>
      </c>
      <c r="K1694" s="6" t="str">
        <f t="shared" si="64"/>
        <v>A tiempo</v>
      </c>
      <c r="L1694" s="8">
        <v>46084</v>
      </c>
      <c r="M1694" s="17">
        <f>MAX(1,NETWORKDAYS(A1694,L1694,Table2[Dias no laborales]))</f>
        <v>2</v>
      </c>
    </row>
    <row r="1695" spans="1:13" hidden="1" x14ac:dyDescent="0.3">
      <c r="A1695" s="8">
        <v>46083</v>
      </c>
      <c r="B1695" s="16" t="s">
        <v>3418</v>
      </c>
      <c r="C1695" s="6" t="s">
        <v>3440</v>
      </c>
      <c r="D1695" s="6" t="s">
        <v>42</v>
      </c>
      <c r="E1695" s="14">
        <v>49736.470138888886</v>
      </c>
      <c r="F1695" s="8">
        <f>IF(HOUR(Table1[[#This Row],[CORREO]])&gt;=11,WORKDAY(Table1[[#This Row],[CORREO]],1,Table2[Dias no laborales]),E1695)</f>
        <v>49737</v>
      </c>
      <c r="G1695" s="8">
        <v>46085</v>
      </c>
      <c r="H1695" s="6">
        <f t="shared" si="63"/>
        <v>9</v>
      </c>
      <c r="I1695" s="6">
        <f>MAX(1, NETWORKDAYS(A1695, G1695,Table2[Dias no laborales]))</f>
        <v>3</v>
      </c>
      <c r="J1695" s="6" t="str">
        <f>IF(Table1[[#This Row],[FIN]]="","Acumulado",IF(ISNUMBER(SEARCH("ASAP",C1695)),"ASAP",IF(NETWORKDAYS.INTL(F1695,G1695,1,Table2[Dias no laborales]) &lt;= 7, "Dentro", IF(A1695&gt;F1695,"Programado","Fuera"))))</f>
        <v>Dentro</v>
      </c>
      <c r="K1695" s="6" t="str">
        <f t="shared" si="64"/>
        <v>Mismo día</v>
      </c>
      <c r="L1695" s="8">
        <v>46083</v>
      </c>
      <c r="M1695" s="17">
        <f>MAX(1,NETWORKDAYS(A1695,L1695,Table2[Dias no laborales]))</f>
        <v>1</v>
      </c>
    </row>
    <row r="1696" spans="1:13" hidden="1" x14ac:dyDescent="0.3">
      <c r="A1696" s="8">
        <v>46083</v>
      </c>
      <c r="B1696" s="16" t="s">
        <v>3419</v>
      </c>
      <c r="C1696" s="6" t="s">
        <v>3008</v>
      </c>
      <c r="D1696" s="6" t="s">
        <v>3441</v>
      </c>
      <c r="E1696" s="14">
        <v>46080.626388888886</v>
      </c>
      <c r="F1696" s="8">
        <f>IF(HOUR(Table1[[#This Row],[CORREO]])&gt;=11,WORKDAY(Table1[[#This Row],[CORREO]],1,Table2[Dias no laborales]),E1696)</f>
        <v>46083</v>
      </c>
      <c r="G1696" s="8">
        <v>46086</v>
      </c>
      <c r="H1696" s="6">
        <f t="shared" si="63"/>
        <v>9</v>
      </c>
      <c r="I1696" s="6">
        <f>MAX(1, NETWORKDAYS(A1696, G1696,Table2[Dias no laborales]))</f>
        <v>4</v>
      </c>
      <c r="J1696" s="6" t="str">
        <f>IF(Table1[[#This Row],[FIN]]="","Acumulado",IF(ISNUMBER(SEARCH("ASAP",C1696)),"ASAP",IF(NETWORKDAYS.INTL(F1696,G1696,1,Table2[Dias no laborales]) &lt;= 7, "Dentro", IF(A1696&gt;F1696,"Programado","Fuera"))))</f>
        <v>Dentro</v>
      </c>
      <c r="K1696" s="6" t="str">
        <f t="shared" si="64"/>
        <v>A tiempo</v>
      </c>
      <c r="L1696" s="8">
        <v>46083</v>
      </c>
      <c r="M1696" s="17">
        <f>MAX(1,NETWORKDAYS(A1696,L1696,Table2[Dias no laborales]))</f>
        <v>1</v>
      </c>
    </row>
    <row r="1697" spans="1:13" hidden="1" x14ac:dyDescent="0.3">
      <c r="A1697" s="8">
        <v>46083</v>
      </c>
      <c r="B1697" s="16" t="s">
        <v>3420</v>
      </c>
      <c r="C1697" s="6" t="s">
        <v>3008</v>
      </c>
      <c r="D1697" s="6" t="s">
        <v>3442</v>
      </c>
      <c r="E1697" s="14">
        <v>46080.465277777781</v>
      </c>
      <c r="F1697" s="8">
        <f>IF(HOUR(Table1[[#This Row],[CORREO]])&gt;=11,WORKDAY(Table1[[#This Row],[CORREO]],1,Table2[Dias no laborales]),E1697)</f>
        <v>46083</v>
      </c>
      <c r="G1697" s="8">
        <v>46099</v>
      </c>
      <c r="H1697" s="6">
        <f t="shared" si="63"/>
        <v>9</v>
      </c>
      <c r="I1697" s="6">
        <f>MAX(1, NETWORKDAYS(A1697, G1697,Table2[Dias no laborales]))</f>
        <v>12</v>
      </c>
      <c r="J1697" s="6" t="str">
        <f>IF(Table1[[#This Row],[FIN]]="","Acumulado",IF(ISNUMBER(SEARCH("ASAP",C1697)),"ASAP",IF(NETWORKDAYS.INTL(F1697,G1697,1,Table2[Dias no laborales]) &lt;= 7, "Dentro", IF(A1697&gt;F1697,"Programado","Fuera"))))</f>
        <v>Fuera</v>
      </c>
      <c r="K1697" s="6" t="str">
        <f t="shared" si="64"/>
        <v>A tiempo</v>
      </c>
      <c r="L1697" s="8">
        <v>46083</v>
      </c>
      <c r="M1697" s="17">
        <f>MAX(1,NETWORKDAYS(A1697,L1697,Table2[Dias no laborales]))</f>
        <v>1</v>
      </c>
    </row>
    <row r="1698" spans="1:13" hidden="1" x14ac:dyDescent="0.3">
      <c r="A1698" s="8">
        <v>46083</v>
      </c>
      <c r="B1698" s="16" t="s">
        <v>3421</v>
      </c>
      <c r="C1698" s="6" t="s">
        <v>3263</v>
      </c>
      <c r="D1698" s="6" t="s">
        <v>1333</v>
      </c>
      <c r="E1698" s="14"/>
      <c r="F1698" s="8">
        <f>IF(HOUR(Table1[[#This Row],[CORREO]])&gt;=11,WORKDAY(Table1[[#This Row],[CORREO]],1,Table2[Dias no laborales]),E1698)</f>
        <v>0</v>
      </c>
      <c r="G1698" s="8">
        <v>46099</v>
      </c>
      <c r="H1698" s="6">
        <f t="shared" si="63"/>
        <v>9</v>
      </c>
      <c r="I1698" s="6">
        <f>MAX(1, NETWORKDAYS(A1698, G1698,Table2[Dias no laborales]))</f>
        <v>12</v>
      </c>
      <c r="J1698" s="6" t="str">
        <f>IF(Table1[[#This Row],[FIN]]="","Acumulado",IF(ISNUMBER(SEARCH("ASAP",C1698)),"ASAP",IF(NETWORKDAYS.INTL(F1698,G1698,1,Table2[Dias no laborales]) &lt;= 7, "Dentro", IF(A1698&gt;F1698,"Programado","Fuera"))))</f>
        <v>Programado</v>
      </c>
      <c r="K1698" s="6" t="str">
        <f t="shared" si="64"/>
        <v>Programados</v>
      </c>
      <c r="L1698" s="8">
        <v>46083</v>
      </c>
      <c r="M1698" s="17">
        <f>MAX(1,NETWORKDAYS(A1698,L1698,Table2[Dias no laborales]))</f>
        <v>1</v>
      </c>
    </row>
    <row r="1699" spans="1:13" hidden="1" x14ac:dyDescent="0.3">
      <c r="A1699" s="8">
        <v>46083</v>
      </c>
      <c r="B1699" s="16" t="s">
        <v>3422</v>
      </c>
      <c r="C1699" s="6" t="s">
        <v>3443</v>
      </c>
      <c r="D1699" s="6" t="s">
        <v>1136</v>
      </c>
      <c r="E1699" s="14">
        <v>46083.427777777775</v>
      </c>
      <c r="F1699" s="8">
        <f>IF(HOUR(Table1[[#This Row],[CORREO]])&gt;=11,WORKDAY(Table1[[#This Row],[CORREO]],1,Table2[Dias no laborales]),E1699)</f>
        <v>46083.427777777775</v>
      </c>
      <c r="G1699" s="8">
        <v>46084</v>
      </c>
      <c r="H1699" s="6">
        <f t="shared" si="63"/>
        <v>9</v>
      </c>
      <c r="I1699" s="6">
        <f>MAX(1, NETWORKDAYS(A1699, G1699,Table2[Dias no laborales]))</f>
        <v>2</v>
      </c>
      <c r="J1699" s="6" t="str">
        <f>IF(Table1[[#This Row],[FIN]]="","Acumulado",IF(ISNUMBER(SEARCH("ASAP",C1699)),"ASAP",IF(NETWORKDAYS.INTL(F1699,G1699,1,Table2[Dias no laborales]) &lt;= 7, "Dentro", IF(A1699&gt;F1699,"Programado","Fuera"))))</f>
        <v>Dentro</v>
      </c>
      <c r="K1699" s="6" t="str">
        <f t="shared" si="64"/>
        <v>A tiempo</v>
      </c>
      <c r="L1699" s="8">
        <v>46083</v>
      </c>
      <c r="M1699" s="17">
        <f>MAX(1,NETWORKDAYS(A1699,L1699,Table2[Dias no laborales]))</f>
        <v>1</v>
      </c>
    </row>
    <row r="1700" spans="1:13" hidden="1" x14ac:dyDescent="0.3">
      <c r="A1700" s="8">
        <v>46083</v>
      </c>
      <c r="B1700" s="16" t="s">
        <v>3423</v>
      </c>
      <c r="C1700" s="6" t="s">
        <v>3444</v>
      </c>
      <c r="D1700" s="6" t="s">
        <v>372</v>
      </c>
      <c r="E1700" s="14">
        <v>46083.542361111111</v>
      </c>
      <c r="F1700" s="8">
        <f>IF(HOUR(Table1[[#This Row],[CORREO]])&gt;=11,WORKDAY(Table1[[#This Row],[CORREO]],1,Table2[Dias no laborales]),E1700)</f>
        <v>46084</v>
      </c>
      <c r="G1700" s="8">
        <v>46084</v>
      </c>
      <c r="H1700" s="6">
        <f t="shared" si="63"/>
        <v>9</v>
      </c>
      <c r="I1700" s="6">
        <f>MAX(1, NETWORKDAYS(A1700, G1700,Table2[Dias no laborales]))</f>
        <v>2</v>
      </c>
      <c r="J1700" s="6" t="str">
        <f>IF(Table1[[#This Row],[FIN]]="","Acumulado",IF(ISNUMBER(SEARCH("ASAP",C1700)),"ASAP",IF(NETWORKDAYS.INTL(F1700,G1700,1,Table2[Dias no laborales]) &lt;= 7, "Dentro", IF(A1700&gt;F1700,"Programado","Fuera"))))</f>
        <v>Dentro</v>
      </c>
      <c r="K1700" s="6" t="str">
        <f t="shared" si="64"/>
        <v>Mismo día</v>
      </c>
      <c r="L1700" s="8">
        <v>46083</v>
      </c>
      <c r="M1700" s="17">
        <f>MAX(1,NETWORKDAYS(A1700,L1700,Table2[Dias no laborales]))</f>
        <v>1</v>
      </c>
    </row>
    <row r="1701" spans="1:13" hidden="1" x14ac:dyDescent="0.3">
      <c r="A1701" s="8">
        <v>46084</v>
      </c>
      <c r="B1701" s="16" t="s">
        <v>3424</v>
      </c>
      <c r="C1701" s="6" t="s">
        <v>3445</v>
      </c>
      <c r="D1701" s="6" t="s">
        <v>3446</v>
      </c>
      <c r="E1701" s="14">
        <v>46083.758333333331</v>
      </c>
      <c r="F1701" s="8">
        <f>IF(HOUR(Table1[[#This Row],[CORREO]])&gt;=11,WORKDAY(Table1[[#This Row],[CORREO]],1,Table2[Dias no laborales]),E1701)</f>
        <v>46084</v>
      </c>
      <c r="G1701" s="8">
        <v>46084</v>
      </c>
      <c r="H1701" s="6">
        <f t="shared" si="63"/>
        <v>9</v>
      </c>
      <c r="I1701" s="6">
        <f>MAX(1, NETWORKDAYS(A1701, G1701,Table2[Dias no laborales]))</f>
        <v>1</v>
      </c>
      <c r="J1701" s="6" t="str">
        <f>IF(Table1[[#This Row],[FIN]]="","Acumulado",IF(ISNUMBER(SEARCH("ASAP",C1701)),"ASAP",IF(NETWORKDAYS.INTL(F1701,G1701,1,Table2[Dias no laborales]) &lt;= 7, "Dentro", IF(A1701&gt;F1701,"Programado","Fuera"))))</f>
        <v>Dentro</v>
      </c>
      <c r="K1701" s="6" t="str">
        <f t="shared" si="64"/>
        <v>A tiempo</v>
      </c>
      <c r="L1701" s="8">
        <v>46084</v>
      </c>
      <c r="M1701" s="17">
        <f>MAX(1,NETWORKDAYS(A1701,L1701,Table2[Dias no laborales]))</f>
        <v>1</v>
      </c>
    </row>
    <row r="1702" spans="1:13" hidden="1" x14ac:dyDescent="0.3">
      <c r="A1702" s="8">
        <v>46084</v>
      </c>
      <c r="B1702" s="16" t="s">
        <v>3425</v>
      </c>
      <c r="C1702" s="6" t="s">
        <v>325</v>
      </c>
      <c r="D1702" s="6" t="s">
        <v>151</v>
      </c>
      <c r="E1702" s="14">
        <v>46083.972222222219</v>
      </c>
      <c r="F1702" s="8">
        <f>IF(HOUR(Table1[[#This Row],[CORREO]])&gt;=11,WORKDAY(Table1[[#This Row],[CORREO]],1,Table2[Dias no laborales]),E1702)</f>
        <v>46084</v>
      </c>
      <c r="G1702" s="8">
        <v>46085</v>
      </c>
      <c r="H1702" s="6">
        <f t="shared" si="63"/>
        <v>9</v>
      </c>
      <c r="I1702" s="6">
        <f>MAX(1, NETWORKDAYS(A1702, G1702,Table2[Dias no laborales]))</f>
        <v>2</v>
      </c>
      <c r="J1702" s="6" t="str">
        <f>IF(Table1[[#This Row],[FIN]]="","Acumulado",IF(ISNUMBER(SEARCH("ASAP",C1702)),"ASAP",IF(NETWORKDAYS.INTL(F1702,G1702,1,Table2[Dias no laborales]) &lt;= 7, "Dentro", IF(A1702&gt;F1702,"Programado","Fuera"))))</f>
        <v>Dentro</v>
      </c>
      <c r="K1702" s="6" t="str">
        <f t="shared" si="64"/>
        <v>A tiempo</v>
      </c>
      <c r="L1702" s="8">
        <v>46084</v>
      </c>
      <c r="M1702" s="17">
        <f>MAX(1,NETWORKDAYS(A1702,L1702,Table2[Dias no laborales]))</f>
        <v>1</v>
      </c>
    </row>
    <row r="1703" spans="1:13" hidden="1" x14ac:dyDescent="0.3">
      <c r="A1703" s="8">
        <v>46084</v>
      </c>
      <c r="B1703" s="16" t="s">
        <v>3426</v>
      </c>
      <c r="C1703" s="6" t="s">
        <v>3447</v>
      </c>
      <c r="D1703" s="6" t="s">
        <v>191</v>
      </c>
      <c r="E1703" s="14">
        <v>46084.243055555555</v>
      </c>
      <c r="F1703" s="8">
        <f>IF(HOUR(Table1[[#This Row],[CORREO]])&gt;=11,WORKDAY(Table1[[#This Row],[CORREO]],1,Table2[Dias no laborales]),E1703)</f>
        <v>46084.243055555555</v>
      </c>
      <c r="G1703" s="8">
        <v>46085</v>
      </c>
      <c r="H1703" s="6">
        <f t="shared" si="63"/>
        <v>9</v>
      </c>
      <c r="I1703" s="6">
        <f>MAX(1, NETWORKDAYS(A1703, G1703,Table2[Dias no laborales]))</f>
        <v>2</v>
      </c>
      <c r="J1703" s="6" t="str">
        <f>IF(Table1[[#This Row],[FIN]]="","Acumulado",IF(ISNUMBER(SEARCH("ASAP",C1703)),"ASAP",IF(NETWORKDAYS.INTL(F1703,G1703,1,Table2[Dias no laborales]) &lt;= 7, "Dentro", IF(A1703&gt;F1703,"Programado","Fuera"))))</f>
        <v>Dentro</v>
      </c>
      <c r="K1703" s="6" t="str">
        <f t="shared" si="64"/>
        <v>A tiempo</v>
      </c>
      <c r="L1703" s="8">
        <v>46084</v>
      </c>
      <c r="M1703" s="17">
        <f>MAX(1,NETWORKDAYS(A1703,L1703,Table2[Dias no laborales]))</f>
        <v>1</v>
      </c>
    </row>
    <row r="1704" spans="1:13" hidden="1" x14ac:dyDescent="0.3">
      <c r="A1704" s="8">
        <v>46084</v>
      </c>
      <c r="B1704" s="16" t="s">
        <v>3427</v>
      </c>
      <c r="C1704" s="6" t="s">
        <v>3448</v>
      </c>
      <c r="D1704" s="6" t="s">
        <v>3020</v>
      </c>
      <c r="E1704" s="14">
        <v>46084.32708333333</v>
      </c>
      <c r="F1704" s="8">
        <f>IF(HOUR(Table1[[#This Row],[CORREO]])&gt;=11,WORKDAY(Table1[[#This Row],[CORREO]],1,Table2[Dias no laborales]),E1704)</f>
        <v>46084.32708333333</v>
      </c>
      <c r="G1704" s="8">
        <v>46085</v>
      </c>
      <c r="H1704" s="6">
        <f t="shared" si="63"/>
        <v>9</v>
      </c>
      <c r="I1704" s="6">
        <f>MAX(1, NETWORKDAYS(A1704, G1704,Table2[Dias no laborales]))</f>
        <v>2</v>
      </c>
      <c r="J1704" s="6" t="str">
        <f>IF(Table1[[#This Row],[FIN]]="","Acumulado",IF(ISNUMBER(SEARCH("ASAP",C1704)),"ASAP",IF(NETWORKDAYS.INTL(F1704,G1704,1,Table2[Dias no laborales]) &lt;= 7, "Dentro", IF(A1704&gt;F1704,"Programado","Fuera"))))</f>
        <v>Dentro</v>
      </c>
      <c r="K1704" s="6" t="str">
        <f t="shared" si="64"/>
        <v>A tiempo</v>
      </c>
      <c r="L1704" s="8">
        <v>46084</v>
      </c>
      <c r="M1704" s="17">
        <f>MAX(1,NETWORKDAYS(A1704,L1704,Table2[Dias no laborales]))</f>
        <v>1</v>
      </c>
    </row>
    <row r="1705" spans="1:13" hidden="1" x14ac:dyDescent="0.3">
      <c r="A1705" s="8">
        <v>46084</v>
      </c>
      <c r="B1705" s="16" t="s">
        <v>3428</v>
      </c>
      <c r="C1705" s="6" t="s">
        <v>3449</v>
      </c>
      <c r="D1705" s="6" t="s">
        <v>61</v>
      </c>
      <c r="E1705" s="14">
        <v>46084.388194444444</v>
      </c>
      <c r="F1705" s="8">
        <f>IF(HOUR(Table1[[#This Row],[CORREO]])&gt;=11,WORKDAY(Table1[[#This Row],[CORREO]],1,Table2[Dias no laborales]),E1705)</f>
        <v>46084.388194444444</v>
      </c>
      <c r="G1705" s="8">
        <v>46084</v>
      </c>
      <c r="H1705" s="6">
        <f t="shared" si="63"/>
        <v>9</v>
      </c>
      <c r="I1705" s="6">
        <f>MAX(1, NETWORKDAYS(A1705, G1705,Table2[Dias no laborales]))</f>
        <v>1</v>
      </c>
      <c r="J1705" s="6" t="str">
        <f>IF(Table1[[#This Row],[FIN]]="","Acumulado",IF(ISNUMBER(SEARCH("ASAP",C1705)),"ASAP",IF(NETWORKDAYS.INTL(F1705,G1705,1,Table2[Dias no laborales]) &lt;= 7, "Dentro", IF(A1705&gt;F1705,"Programado","Fuera"))))</f>
        <v>Dentro</v>
      </c>
      <c r="K1705" s="6" t="str">
        <f t="shared" si="64"/>
        <v>A tiempo</v>
      </c>
      <c r="L1705" s="8">
        <v>46084</v>
      </c>
      <c r="M1705" s="17">
        <f>MAX(1,NETWORKDAYS(A1705,L1705,Table2[Dias no laborales]))</f>
        <v>1</v>
      </c>
    </row>
    <row r="1706" spans="1:13" hidden="1" x14ac:dyDescent="0.3">
      <c r="A1706" s="8">
        <v>46084</v>
      </c>
      <c r="B1706" s="16" t="s">
        <v>3429</v>
      </c>
      <c r="C1706" s="6" t="s">
        <v>3450</v>
      </c>
      <c r="D1706" s="6" t="s">
        <v>133</v>
      </c>
      <c r="E1706" s="14">
        <v>46084.394444444442</v>
      </c>
      <c r="F1706" s="8">
        <f>IF(HOUR(Table1[[#This Row],[CORREO]])&gt;=11,WORKDAY(Table1[[#This Row],[CORREO]],1,Table2[Dias no laborales]),E1706)</f>
        <v>46084.394444444442</v>
      </c>
      <c r="G1706" s="8">
        <v>46084</v>
      </c>
      <c r="H1706" s="6">
        <f t="shared" si="63"/>
        <v>9</v>
      </c>
      <c r="I1706" s="6">
        <f>MAX(1, NETWORKDAYS(A1706, G1706,Table2[Dias no laborales]))</f>
        <v>1</v>
      </c>
      <c r="J1706" s="6" t="str">
        <f>IF(Table1[[#This Row],[FIN]]="","Acumulado",IF(ISNUMBER(SEARCH("ASAP",C1706)),"ASAP",IF(NETWORKDAYS.INTL(F1706,G1706,1,Table2[Dias no laborales]) &lt;= 7, "Dentro", IF(A1706&gt;F1706,"Programado","Fuera"))))</f>
        <v>Dentro</v>
      </c>
      <c r="K1706" s="6" t="str">
        <f t="shared" si="64"/>
        <v>A tiempo</v>
      </c>
      <c r="L1706" s="8">
        <v>46084</v>
      </c>
      <c r="M1706" s="17">
        <f>MAX(1,NETWORKDAYS(A1706,L1706,Table2[Dias no laborales]))</f>
        <v>1</v>
      </c>
    </row>
    <row r="1707" spans="1:13" hidden="1" x14ac:dyDescent="0.3">
      <c r="A1707" s="8">
        <v>46084</v>
      </c>
      <c r="B1707" s="16" t="s">
        <v>3430</v>
      </c>
      <c r="C1707" s="6" t="s">
        <v>3451</v>
      </c>
      <c r="D1707" s="6" t="s">
        <v>133</v>
      </c>
      <c r="E1707" s="14">
        <v>46084.396527777775</v>
      </c>
      <c r="F1707" s="8">
        <f>IF(HOUR(Table1[[#This Row],[CORREO]])&gt;=11,WORKDAY(Table1[[#This Row],[CORREO]],1,Table2[Dias no laborales]),E1707)</f>
        <v>46084.396527777775</v>
      </c>
      <c r="G1707" s="8">
        <v>46085</v>
      </c>
      <c r="H1707" s="6">
        <f t="shared" si="63"/>
        <v>9</v>
      </c>
      <c r="I1707" s="6">
        <f>MAX(1, NETWORKDAYS(A1707, G1707,Table2[Dias no laborales]))</f>
        <v>2</v>
      </c>
      <c r="J1707" s="6" t="str">
        <f>IF(Table1[[#This Row],[FIN]]="","Acumulado",IF(ISNUMBER(SEARCH("ASAP",C1707)),"ASAP",IF(NETWORKDAYS.INTL(F1707,G1707,1,Table2[Dias no laborales]) &lt;= 7, "Dentro", IF(A1707&gt;F1707,"Programado","Fuera"))))</f>
        <v>Dentro</v>
      </c>
      <c r="K1707" s="6" t="str">
        <f t="shared" si="64"/>
        <v>A tiempo</v>
      </c>
      <c r="L1707" s="8">
        <v>46084</v>
      </c>
      <c r="M1707" s="17">
        <f>MAX(1,NETWORKDAYS(A1707,L1707,Table2[Dias no laborales]))</f>
        <v>1</v>
      </c>
    </row>
    <row r="1708" spans="1:13" hidden="1" x14ac:dyDescent="0.3">
      <c r="A1708" s="8">
        <v>46084</v>
      </c>
      <c r="B1708" s="16" t="s">
        <v>3431</v>
      </c>
      <c r="C1708" s="6" t="s">
        <v>3452</v>
      </c>
      <c r="D1708" s="6" t="s">
        <v>24</v>
      </c>
      <c r="E1708" s="14">
        <v>46084</v>
      </c>
      <c r="F1708" s="8">
        <f>IF(HOUR(Table1[[#This Row],[CORREO]])&gt;=11,WORKDAY(Table1[[#This Row],[CORREO]],1,Table2[Dias no laborales]),E1708)</f>
        <v>46084</v>
      </c>
      <c r="G1708" s="8">
        <v>46147</v>
      </c>
      <c r="H1708" s="6">
        <f t="shared" si="63"/>
        <v>9</v>
      </c>
      <c r="I1708" s="6">
        <f>MAX(1, NETWORKDAYS(A1708, G1708,Table2[Dias no laborales]))</f>
        <v>41</v>
      </c>
      <c r="J1708" s="6" t="str">
        <f>IF(Table1[[#This Row],[FIN]]="","Acumulado",IF(ISNUMBER(SEARCH("ASAP",C1708)),"ASAP",IF(NETWORKDAYS.INTL(F1708,G1708,1,Table2[Dias no laborales]) &lt;= 7, "Dentro", IF(A1708&gt;F1708,"Programado","Fuera"))))</f>
        <v>Fuera</v>
      </c>
      <c r="K1708" s="6" t="str">
        <f t="shared" si="64"/>
        <v>A tiempo</v>
      </c>
      <c r="L1708" s="8">
        <v>46084</v>
      </c>
      <c r="M1708" s="17">
        <f>MAX(1,NETWORKDAYS(A1708,L1708,Table2[Dias no laborales]))</f>
        <v>1</v>
      </c>
    </row>
    <row r="1709" spans="1:13" hidden="1" x14ac:dyDescent="0.3">
      <c r="A1709" s="8">
        <v>46084</v>
      </c>
      <c r="B1709" s="16" t="s">
        <v>3432</v>
      </c>
      <c r="C1709" s="6" t="s">
        <v>3453</v>
      </c>
      <c r="D1709" s="6" t="s">
        <v>1333</v>
      </c>
      <c r="E1709" s="14">
        <v>46084.583333333336</v>
      </c>
      <c r="F1709" s="8">
        <f>IF(HOUR(Table1[[#This Row],[CORREO]])&gt;=11,WORKDAY(Table1[[#This Row],[CORREO]],1,Table2[Dias no laborales]),E1709)</f>
        <v>46085</v>
      </c>
      <c r="G1709" s="8">
        <v>46094</v>
      </c>
      <c r="H1709" s="6">
        <f t="shared" si="63"/>
        <v>9</v>
      </c>
      <c r="I1709" s="6">
        <f>MAX(1, NETWORKDAYS(A1709, G1709,Table2[Dias no laborales]))</f>
        <v>9</v>
      </c>
      <c r="J1709" s="6" t="str">
        <f>IF(Table1[[#This Row],[FIN]]="","Acumulado",IF(ISNUMBER(SEARCH("ASAP",C1709)),"ASAP",IF(NETWORKDAYS.INTL(F1709,G1709,1,Table2[Dias no laborales]) &lt;= 7, "Dentro", IF(A1709&gt;F1709,"Programado","Fuera"))))</f>
        <v>Fuera</v>
      </c>
      <c r="K1709" s="6" t="str">
        <f t="shared" si="64"/>
        <v>Mismo día</v>
      </c>
      <c r="L1709" s="8">
        <v>46084</v>
      </c>
      <c r="M1709" s="17">
        <f>MAX(1,NETWORKDAYS(A1709,L1709,Table2[Dias no laborales]))</f>
        <v>1</v>
      </c>
    </row>
    <row r="1710" spans="1:13" hidden="1" x14ac:dyDescent="0.3">
      <c r="A1710" s="8">
        <v>46084</v>
      </c>
      <c r="B1710" s="16" t="s">
        <v>3433</v>
      </c>
      <c r="C1710" s="6" t="s">
        <v>3263</v>
      </c>
      <c r="D1710" s="6" t="s">
        <v>1333</v>
      </c>
      <c r="E1710" s="14">
        <v>46084.70416666667</v>
      </c>
      <c r="F1710" s="8">
        <f>IF(HOUR(Table1[[#This Row],[CORREO]])&gt;=11,WORKDAY(Table1[[#This Row],[CORREO]],1,Table2[Dias no laborales]),E1710)</f>
        <v>46085</v>
      </c>
      <c r="G1710" s="8">
        <v>46093</v>
      </c>
      <c r="H1710" s="6">
        <f t="shared" si="63"/>
        <v>9</v>
      </c>
      <c r="I1710" s="6">
        <f>MAX(1, NETWORKDAYS(A1710, G1710,Table2[Dias no laborales]))</f>
        <v>8</v>
      </c>
      <c r="J1710" s="6" t="str">
        <f>IF(Table1[[#This Row],[FIN]]="","Acumulado",IF(ISNUMBER(SEARCH("ASAP",C1710)),"ASAP",IF(NETWORKDAYS.INTL(F1710,G1710,1,Table2[Dias no laborales]) &lt;= 7, "Dentro", IF(A1710&gt;F1710,"Programado","Fuera"))))</f>
        <v>Dentro</v>
      </c>
      <c r="K1710" s="6" t="str">
        <f t="shared" si="64"/>
        <v>Mismo día</v>
      </c>
      <c r="L1710" s="8">
        <v>46084</v>
      </c>
      <c r="M1710" s="17">
        <f>MAX(1,NETWORKDAYS(A1710,L1710,Table2[Dias no laborales]))</f>
        <v>1</v>
      </c>
    </row>
    <row r="1711" spans="1:13" hidden="1" x14ac:dyDescent="0.3">
      <c r="A1711" s="8">
        <v>46085</v>
      </c>
      <c r="B1711" s="16" t="s">
        <v>3434</v>
      </c>
      <c r="C1711" s="6" t="s">
        <v>3454</v>
      </c>
      <c r="D1711" s="6" t="s">
        <v>230</v>
      </c>
      <c r="E1711" s="14">
        <v>46084.755555555559</v>
      </c>
      <c r="F1711" s="8">
        <f>IF(HOUR(Table1[[#This Row],[CORREO]])&gt;=11,WORKDAY(Table1[[#This Row],[CORREO]],1,Table2[Dias no laborales]),E1711)</f>
        <v>46085</v>
      </c>
      <c r="G1711" s="8">
        <v>46085</v>
      </c>
      <c r="H1711" s="6">
        <f t="shared" si="63"/>
        <v>9</v>
      </c>
      <c r="I1711" s="6">
        <f>MAX(1, NETWORKDAYS(A1711, G1711,Table2[Dias no laborales]))</f>
        <v>1</v>
      </c>
      <c r="J1711" s="6" t="str">
        <f>IF(Table1[[#This Row],[FIN]]="","Acumulado",IF(ISNUMBER(SEARCH("ASAP",C1711)),"ASAP",IF(NETWORKDAYS.INTL(F1711,G1711,1,Table2[Dias no laborales]) &lt;= 7, "Dentro", IF(A1711&gt;F1711,"Programado","Fuera"))))</f>
        <v>Dentro</v>
      </c>
      <c r="K1711" s="6" t="str">
        <f t="shared" si="64"/>
        <v>A tiempo</v>
      </c>
      <c r="L1711" s="8">
        <v>46085</v>
      </c>
      <c r="M1711" s="17">
        <f>MAX(1,NETWORKDAYS(A1711,L1711,Table2[Dias no laborales]))</f>
        <v>1</v>
      </c>
    </row>
    <row r="1712" spans="1:13" hidden="1" x14ac:dyDescent="0.3">
      <c r="A1712" s="8">
        <v>46085</v>
      </c>
      <c r="B1712" s="16" t="s">
        <v>3435</v>
      </c>
      <c r="C1712" s="6" t="s">
        <v>74</v>
      </c>
      <c r="D1712" s="6" t="s">
        <v>191</v>
      </c>
      <c r="E1712" s="14">
        <v>46085.230555555558</v>
      </c>
      <c r="F1712" s="8">
        <f>IF(HOUR(Table1[[#This Row],[CORREO]])&gt;=11,WORKDAY(Table1[[#This Row],[CORREO]],1,Table2[Dias no laborales]),E1712)</f>
        <v>46085.230555555558</v>
      </c>
      <c r="G1712" s="8">
        <v>46087</v>
      </c>
      <c r="H1712" s="6">
        <f t="shared" si="63"/>
        <v>9</v>
      </c>
      <c r="I1712" s="6">
        <f>MAX(1, NETWORKDAYS(A1712, G1712,Table2[Dias no laborales]))</f>
        <v>3</v>
      </c>
      <c r="J1712" s="6" t="str">
        <f>IF(Table1[[#This Row],[FIN]]="","Acumulado",IF(ISNUMBER(SEARCH("ASAP",C1712)),"ASAP",IF(NETWORKDAYS.INTL(F1712,G1712,1,Table2[Dias no laborales]) &lt;= 7, "Dentro", IF(A1712&gt;F1712,"Programado","Fuera"))))</f>
        <v>Dentro</v>
      </c>
      <c r="K1712" s="6" t="str">
        <f t="shared" si="64"/>
        <v>A tiempo</v>
      </c>
      <c r="L1712" s="8">
        <v>46085</v>
      </c>
      <c r="M1712" s="17">
        <f>MAX(1,NETWORKDAYS(A1712,L1712,Table2[Dias no laborales]))</f>
        <v>1</v>
      </c>
    </row>
    <row r="1713" spans="1:13" hidden="1" x14ac:dyDescent="0.3">
      <c r="A1713" s="8">
        <v>46085</v>
      </c>
      <c r="B1713" s="16" t="s">
        <v>3455</v>
      </c>
      <c r="C1713" s="6" t="s">
        <v>3500</v>
      </c>
      <c r="D1713" s="6" t="s">
        <v>2994</v>
      </c>
      <c r="E1713" s="14">
        <v>46085.627083333333</v>
      </c>
      <c r="F1713" s="8">
        <f>IF(HOUR(Table1[[#This Row],[CORREO]])&gt;=11,WORKDAY(Table1[[#This Row],[CORREO]],1,Table2[Dias no laborales]),E1713)</f>
        <v>46086</v>
      </c>
      <c r="G1713" s="8">
        <v>46087</v>
      </c>
      <c r="H1713" s="6">
        <f t="shared" ref="H1713:H1743" si="65">INT((A1713-DATE(YEAR(A1713),1,1))/7) + 1</f>
        <v>9</v>
      </c>
      <c r="I1713" s="6">
        <f>MAX(1, NETWORKDAYS(A1713, G1713,Table2[Dias no laborales]))</f>
        <v>3</v>
      </c>
      <c r="J1713" s="6" t="str">
        <f>IF(Table1[[#This Row],[FIN]]="","Acumulado",IF(ISNUMBER(SEARCH("ASAP",C1713)),"ASAP",IF(NETWORKDAYS.INTL(F1713,G1713,1,Table2[Dias no laborales]) &lt;= 7, "Dentro", IF(A1713&gt;F1713,"Programado","Fuera"))))</f>
        <v>Dentro</v>
      </c>
      <c r="K1713" s="6" t="str">
        <f t="shared" ref="K1713:K1743" si="66">IF(INT(A1713)=INT(F1713),"A tiempo", IF(A1713&lt;F1713,"Mismo día","Programados"))</f>
        <v>Mismo día</v>
      </c>
      <c r="L1713" s="8">
        <v>46085</v>
      </c>
      <c r="M1713" s="17">
        <f>MAX(1,NETWORKDAYS(A1713,L1713,Table2[Dias no laborales]))</f>
        <v>1</v>
      </c>
    </row>
    <row r="1714" spans="1:13" hidden="1" x14ac:dyDescent="0.3">
      <c r="A1714" s="8">
        <v>46086</v>
      </c>
      <c r="B1714" s="16" t="s">
        <v>3456</v>
      </c>
      <c r="C1714" s="6" t="s">
        <v>3501</v>
      </c>
      <c r="D1714" s="6" t="s">
        <v>482</v>
      </c>
      <c r="E1714" s="14">
        <v>46084.711111111108</v>
      </c>
      <c r="F1714" s="8">
        <f>IF(HOUR(Table1[[#This Row],[CORREO]])&gt;=11,WORKDAY(Table1[[#This Row],[CORREO]],1,Table2[Dias no laborales]),E1714)</f>
        <v>46085</v>
      </c>
      <c r="G1714" s="8">
        <v>46087</v>
      </c>
      <c r="H1714" s="6">
        <f t="shared" si="65"/>
        <v>10</v>
      </c>
      <c r="I1714" s="6">
        <f>MAX(1, NETWORKDAYS(A1714, G1714,Table2[Dias no laborales]))</f>
        <v>2</v>
      </c>
      <c r="J1714" s="6" t="str">
        <f>IF(Table1[[#This Row],[FIN]]="","Acumulado",IF(ISNUMBER(SEARCH("ASAP",C1714)),"ASAP",IF(NETWORKDAYS.INTL(F1714,G1714,1,Table2[Dias no laborales]) &lt;= 7, "Dentro", IF(A1714&gt;F1714,"Programado","Fuera"))))</f>
        <v>Dentro</v>
      </c>
      <c r="K1714" s="6" t="str">
        <f t="shared" si="66"/>
        <v>Programados</v>
      </c>
      <c r="L1714" s="8">
        <v>46086</v>
      </c>
      <c r="M1714" s="17">
        <f>MAX(1,NETWORKDAYS(A1714,L1714,Table2[Dias no laborales]))</f>
        <v>1</v>
      </c>
    </row>
    <row r="1715" spans="1:13" hidden="1" x14ac:dyDescent="0.3">
      <c r="A1715" s="8">
        <v>46086</v>
      </c>
      <c r="B1715" s="16" t="s">
        <v>3457</v>
      </c>
      <c r="C1715" s="6" t="s">
        <v>3502</v>
      </c>
      <c r="D1715" s="6" t="s">
        <v>139</v>
      </c>
      <c r="E1715" s="14">
        <v>46085.519444444442</v>
      </c>
      <c r="F1715" s="8">
        <f>IF(HOUR(Table1[[#This Row],[CORREO]])&gt;=11,WORKDAY(Table1[[#This Row],[CORREO]],1,Table2[Dias no laborales]),E1715)</f>
        <v>46086</v>
      </c>
      <c r="G1715" s="8">
        <v>46091</v>
      </c>
      <c r="H1715" s="6">
        <f t="shared" si="65"/>
        <v>10</v>
      </c>
      <c r="I1715" s="6">
        <f>MAX(1, NETWORKDAYS(A1715, G1715,Table2[Dias no laborales]))</f>
        <v>4</v>
      </c>
      <c r="J1715" s="6" t="str">
        <f>IF(Table1[[#This Row],[FIN]]="","Acumulado",IF(ISNUMBER(SEARCH("ASAP",C1715)),"ASAP",IF(NETWORKDAYS.INTL(F1715,G1715,1,Table2[Dias no laborales]) &lt;= 7, "Dentro", IF(A1715&gt;F1715,"Programado","Fuera"))))</f>
        <v>Dentro</v>
      </c>
      <c r="K1715" s="6" t="str">
        <f t="shared" si="66"/>
        <v>A tiempo</v>
      </c>
      <c r="L1715" s="8">
        <v>46086</v>
      </c>
      <c r="M1715" s="17">
        <f>MAX(1,NETWORKDAYS(A1715,L1715,Table2[Dias no laborales]))</f>
        <v>1</v>
      </c>
    </row>
    <row r="1716" spans="1:13" hidden="1" x14ac:dyDescent="0.3">
      <c r="A1716" s="8">
        <v>46086</v>
      </c>
      <c r="B1716" s="16" t="s">
        <v>3458</v>
      </c>
      <c r="C1716" s="6" t="s">
        <v>770</v>
      </c>
      <c r="D1716" s="6" t="s">
        <v>423</v>
      </c>
      <c r="E1716" s="14">
        <v>46085.679861111108</v>
      </c>
      <c r="F1716" s="8">
        <f>IF(HOUR(Table1[[#This Row],[CORREO]])&gt;=11,WORKDAY(Table1[[#This Row],[CORREO]],1,Table2[Dias no laborales]),E1716)</f>
        <v>46086</v>
      </c>
      <c r="G1716" s="8">
        <v>46087</v>
      </c>
      <c r="H1716" s="6">
        <f t="shared" si="65"/>
        <v>10</v>
      </c>
      <c r="I1716" s="6">
        <f>MAX(1, NETWORKDAYS(A1716, G1716,Table2[Dias no laborales]))</f>
        <v>2</v>
      </c>
      <c r="J1716" s="6" t="str">
        <f>IF(Table1[[#This Row],[FIN]]="","Acumulado",IF(ISNUMBER(SEARCH("ASAP",C1716)),"ASAP",IF(NETWORKDAYS.INTL(F1716,G1716,1,Table2[Dias no laborales]) &lt;= 7, "Dentro", IF(A1716&gt;F1716,"Programado","Fuera"))))</f>
        <v>Dentro</v>
      </c>
      <c r="K1716" s="6" t="str">
        <f t="shared" si="66"/>
        <v>A tiempo</v>
      </c>
      <c r="L1716" s="8">
        <v>46086</v>
      </c>
      <c r="M1716" s="17">
        <f>MAX(1,NETWORKDAYS(A1716,L1716,Table2[Dias no laborales]))</f>
        <v>1</v>
      </c>
    </row>
    <row r="1717" spans="1:13" hidden="1" x14ac:dyDescent="0.3">
      <c r="A1717" s="8">
        <v>46086</v>
      </c>
      <c r="B1717" s="16" t="s">
        <v>3459</v>
      </c>
      <c r="C1717" s="6" t="s">
        <v>1107</v>
      </c>
      <c r="D1717" s="6" t="s">
        <v>650</v>
      </c>
      <c r="E1717" s="14">
        <v>46085.69027777778</v>
      </c>
      <c r="F1717" s="8">
        <f>IF(HOUR(Table1[[#This Row],[CORREO]])&gt;=11,WORKDAY(Table1[[#This Row],[CORREO]],1,Table2[Dias no laborales]),E1717)</f>
        <v>46086</v>
      </c>
      <c r="G1717" s="8">
        <v>46087</v>
      </c>
      <c r="H1717" s="6">
        <f t="shared" si="65"/>
        <v>10</v>
      </c>
      <c r="I1717" s="6">
        <f>MAX(1, NETWORKDAYS(A1717, G1717,Table2[Dias no laborales]))</f>
        <v>2</v>
      </c>
      <c r="J1717" s="6" t="str">
        <f>IF(Table1[[#This Row],[FIN]]="","Acumulado",IF(ISNUMBER(SEARCH("ASAP",C1717)),"ASAP",IF(NETWORKDAYS.INTL(F1717,G1717,1,Table2[Dias no laborales]) &lt;= 7, "Dentro", IF(A1717&gt;F1717,"Programado","Fuera"))))</f>
        <v>Dentro</v>
      </c>
      <c r="K1717" s="6" t="str">
        <f t="shared" si="66"/>
        <v>A tiempo</v>
      </c>
      <c r="L1717" s="8">
        <v>46086</v>
      </c>
      <c r="M1717" s="17">
        <f>MAX(1,NETWORKDAYS(A1717,L1717,Table2[Dias no laborales]))</f>
        <v>1</v>
      </c>
    </row>
    <row r="1718" spans="1:13" hidden="1" x14ac:dyDescent="0.3">
      <c r="A1718" s="8">
        <v>46086</v>
      </c>
      <c r="B1718" s="16" t="s">
        <v>3460</v>
      </c>
      <c r="C1718" s="6" t="s">
        <v>3602</v>
      </c>
      <c r="D1718" s="6" t="s">
        <v>1562</v>
      </c>
      <c r="E1718" s="14">
        <v>46085.691666666666</v>
      </c>
      <c r="F1718" s="8">
        <f>IF(HOUR(Table1[[#This Row],[CORREO]])&gt;=11,WORKDAY(Table1[[#This Row],[CORREO]],1,Table2[Dias no laborales]),E1718)</f>
        <v>46086</v>
      </c>
      <c r="G1718" s="8">
        <v>46087</v>
      </c>
      <c r="H1718" s="6">
        <f t="shared" si="65"/>
        <v>10</v>
      </c>
      <c r="I1718" s="6">
        <f>MAX(1, NETWORKDAYS(A1718, G1718,Table2[Dias no laborales]))</f>
        <v>2</v>
      </c>
      <c r="J1718" s="6" t="str">
        <f>IF(Table1[[#This Row],[FIN]]="","Acumulado",IF(ISNUMBER(SEARCH("ASAP",C1718)),"ASAP",IF(NETWORKDAYS.INTL(F1718,G1718,1,Table2[Dias no laborales]) &lt;= 7, "Dentro", IF(A1718&gt;F1718,"Programado","Fuera"))))</f>
        <v>Dentro</v>
      </c>
      <c r="K1718" s="6" t="str">
        <f t="shared" si="66"/>
        <v>A tiempo</v>
      </c>
      <c r="L1718" s="8">
        <v>46086</v>
      </c>
      <c r="M1718" s="17">
        <f>MAX(1,NETWORKDAYS(A1718,L1718,Table2[Dias no laborales]))</f>
        <v>1</v>
      </c>
    </row>
    <row r="1719" spans="1:13" hidden="1" x14ac:dyDescent="0.3">
      <c r="A1719" s="8">
        <v>46086</v>
      </c>
      <c r="B1719" s="16" t="s">
        <v>3461</v>
      </c>
      <c r="C1719" s="6" t="s">
        <v>3603</v>
      </c>
      <c r="D1719" s="6" t="s">
        <v>989</v>
      </c>
      <c r="E1719" s="14">
        <v>46085.84375</v>
      </c>
      <c r="F1719" s="8">
        <f>IF(HOUR(Table1[[#This Row],[CORREO]])&gt;=11,WORKDAY(Table1[[#This Row],[CORREO]],1,Table2[Dias no laborales]),E1719)</f>
        <v>46086</v>
      </c>
      <c r="G1719" s="8">
        <v>46087</v>
      </c>
      <c r="H1719" s="6">
        <f t="shared" si="65"/>
        <v>10</v>
      </c>
      <c r="I1719" s="6">
        <f>MAX(1, NETWORKDAYS(A1719, G1719,Table2[Dias no laborales]))</f>
        <v>2</v>
      </c>
      <c r="J1719" s="6" t="str">
        <f>IF(Table1[[#This Row],[FIN]]="","Acumulado",IF(ISNUMBER(SEARCH("ASAP",C1719)),"ASAP",IF(NETWORKDAYS.INTL(F1719,G1719,1,Table2[Dias no laborales]) &lt;= 7, "Dentro", IF(A1719&gt;F1719,"Programado","Fuera"))))</f>
        <v>Dentro</v>
      </c>
      <c r="K1719" s="6" t="str">
        <f t="shared" si="66"/>
        <v>A tiempo</v>
      </c>
      <c r="L1719" s="8">
        <v>46086</v>
      </c>
      <c r="M1719" s="17">
        <f>MAX(1,NETWORKDAYS(A1719,L1719,Table2[Dias no laborales]))</f>
        <v>1</v>
      </c>
    </row>
    <row r="1720" spans="1:13" hidden="1" x14ac:dyDescent="0.3">
      <c r="A1720" s="8">
        <v>46086</v>
      </c>
      <c r="B1720" s="16" t="s">
        <v>3462</v>
      </c>
      <c r="C1720" s="6" t="s">
        <v>3604</v>
      </c>
      <c r="D1720" s="6" t="s">
        <v>24</v>
      </c>
      <c r="E1720" s="14">
        <v>46086.324999999997</v>
      </c>
      <c r="F1720" s="8">
        <f>IF(HOUR(Table1[[#This Row],[CORREO]])&gt;=11,WORKDAY(Table1[[#This Row],[CORREO]],1,Table2[Dias no laborales]),E1720)</f>
        <v>46086.324999999997</v>
      </c>
      <c r="G1720" s="8">
        <v>46122</v>
      </c>
      <c r="H1720" s="6">
        <f t="shared" si="65"/>
        <v>10</v>
      </c>
      <c r="I1720" s="6">
        <f>MAX(1, NETWORKDAYS(A1720, G1720,Table2[Dias no laborales]))</f>
        <v>24</v>
      </c>
      <c r="J1720" s="6" t="str">
        <f>IF(Table1[[#This Row],[FIN]]="","Acumulado",IF(ISNUMBER(SEARCH("ASAP",C1720)),"ASAP",IF(NETWORKDAYS.INTL(F1720,G1720,1,Table2[Dias no laborales]) &lt;= 7, "Dentro", IF(A1720&gt;F1720,"Programado","Fuera"))))</f>
        <v>Fuera</v>
      </c>
      <c r="K1720" s="6" t="str">
        <f t="shared" si="66"/>
        <v>A tiempo</v>
      </c>
      <c r="L1720" s="8">
        <v>46086</v>
      </c>
      <c r="M1720" s="17">
        <f>MAX(1,NETWORKDAYS(A1720,L1720,Table2[Dias no laborales]))</f>
        <v>1</v>
      </c>
    </row>
    <row r="1721" spans="1:13" hidden="1" x14ac:dyDescent="0.3">
      <c r="A1721" s="8">
        <v>46086</v>
      </c>
      <c r="B1721" s="16" t="s">
        <v>3463</v>
      </c>
      <c r="C1721" s="6" t="s">
        <v>3605</v>
      </c>
      <c r="D1721" s="6" t="s">
        <v>24</v>
      </c>
      <c r="E1721" s="14">
        <v>46086.578472222223</v>
      </c>
      <c r="F1721" s="8">
        <f>IF(HOUR(Table1[[#This Row],[CORREO]])&gt;=11,WORKDAY(Table1[[#This Row],[CORREO]],1,Table2[Dias no laborales]),E1721)</f>
        <v>46087</v>
      </c>
      <c r="G1721" s="8">
        <v>46098</v>
      </c>
      <c r="H1721" s="6">
        <f t="shared" si="65"/>
        <v>10</v>
      </c>
      <c r="I1721" s="6">
        <f>MAX(1, NETWORKDAYS(A1721, G1721,Table2[Dias no laborales]))</f>
        <v>8</v>
      </c>
      <c r="J1721" s="6" t="str">
        <f>IF(Table1[[#This Row],[FIN]]="","Acumulado",IF(ISNUMBER(SEARCH("ASAP",C1721)),"ASAP",IF(NETWORKDAYS.INTL(F1721,G1721,1,Table2[Dias no laborales]) &lt;= 7, "Dentro", IF(A1721&gt;F1721,"Programado","Fuera"))))</f>
        <v>ASAP</v>
      </c>
      <c r="K1721" s="6" t="str">
        <f t="shared" si="66"/>
        <v>Mismo día</v>
      </c>
      <c r="L1721" s="8">
        <v>46086</v>
      </c>
      <c r="M1721" s="17">
        <f>MAX(1,NETWORKDAYS(A1721,L1721,Table2[Dias no laborales]))</f>
        <v>1</v>
      </c>
    </row>
    <row r="1722" spans="1:13" hidden="1" x14ac:dyDescent="0.3">
      <c r="A1722" s="8">
        <v>46086</v>
      </c>
      <c r="B1722" s="16" t="s">
        <v>3464</v>
      </c>
      <c r="C1722" s="6" t="s">
        <v>3606</v>
      </c>
      <c r="D1722" s="6" t="s">
        <v>24</v>
      </c>
      <c r="E1722" s="14">
        <v>45721.578472222223</v>
      </c>
      <c r="F1722" s="8">
        <f>IF(HOUR(Table1[[#This Row],[CORREO]])&gt;=11,WORKDAY(Table1[[#This Row],[CORREO]],1,Table2[Dias no laborales]),E1722)</f>
        <v>45722</v>
      </c>
      <c r="G1722" s="8">
        <v>46098</v>
      </c>
      <c r="H1722" s="6">
        <f t="shared" si="65"/>
        <v>10</v>
      </c>
      <c r="I1722" s="6">
        <f>MAX(1, NETWORKDAYS(A1722, G1722,Table2[Dias no laborales]))</f>
        <v>8</v>
      </c>
      <c r="J1722" s="6" t="str">
        <f>IF(Table1[[#This Row],[FIN]]="","Acumulado",IF(ISNUMBER(SEARCH("ASAP",C1722)),"ASAP",IF(NETWORKDAYS.INTL(F1722,G1722,1,Table2[Dias no laborales]) &lt;= 7, "Dentro", IF(A1722&gt;F1722,"Programado","Fuera"))))</f>
        <v>ASAP</v>
      </c>
      <c r="K1722" s="6" t="str">
        <f t="shared" si="66"/>
        <v>Programados</v>
      </c>
      <c r="L1722" s="8">
        <v>46086</v>
      </c>
      <c r="M1722" s="17">
        <f>MAX(1,NETWORKDAYS(A1722,L1722,Table2[Dias no laborales]))</f>
        <v>1</v>
      </c>
    </row>
    <row r="1723" spans="1:13" hidden="1" x14ac:dyDescent="0.3">
      <c r="A1723" s="8">
        <v>46086</v>
      </c>
      <c r="B1723" s="16" t="s">
        <v>3465</v>
      </c>
      <c r="C1723" s="6" t="s">
        <v>3607</v>
      </c>
      <c r="D1723" s="6" t="s">
        <v>3441</v>
      </c>
      <c r="E1723" s="14">
        <v>46086.643750000003</v>
      </c>
      <c r="F1723" s="8">
        <f>IF(HOUR(Table1[[#This Row],[CORREO]])&gt;=11,WORKDAY(Table1[[#This Row],[CORREO]],1,Table2[Dias no laborales]),E1723)</f>
        <v>46087</v>
      </c>
      <c r="G1723" s="8">
        <v>46094</v>
      </c>
      <c r="H1723" s="6">
        <f t="shared" si="65"/>
        <v>10</v>
      </c>
      <c r="I1723" s="6">
        <f>MAX(1, NETWORKDAYS(A1723, G1723,Table2[Dias no laborales]))</f>
        <v>7</v>
      </c>
      <c r="J1723" s="6" t="str">
        <f>IF(Table1[[#This Row],[FIN]]="","Acumulado",IF(ISNUMBER(SEARCH("ASAP",C1723)),"ASAP",IF(NETWORKDAYS.INTL(F1723,G1723,1,Table2[Dias no laborales]) &lt;= 7, "Dentro", IF(A1723&gt;F1723,"Programado","Fuera"))))</f>
        <v>Dentro</v>
      </c>
      <c r="K1723" s="6" t="str">
        <f t="shared" si="66"/>
        <v>Mismo día</v>
      </c>
      <c r="L1723" s="8">
        <v>46086</v>
      </c>
      <c r="M1723" s="17">
        <f>MAX(1,NETWORKDAYS(A1723,L1723,Table2[Dias no laborales]))</f>
        <v>1</v>
      </c>
    </row>
    <row r="1724" spans="1:13" hidden="1" x14ac:dyDescent="0.3">
      <c r="A1724" s="8">
        <v>46086</v>
      </c>
      <c r="B1724" s="16" t="s">
        <v>3466</v>
      </c>
      <c r="C1724" s="6" t="s">
        <v>3608</v>
      </c>
      <c r="D1724" s="6" t="s">
        <v>24</v>
      </c>
      <c r="E1724" s="14"/>
      <c r="F1724" s="8">
        <f>IF(HOUR(Table1[[#This Row],[CORREO]])&gt;=11,WORKDAY(Table1[[#This Row],[CORREO]],1,Table2[Dias no laborales]),E1724)</f>
        <v>0</v>
      </c>
      <c r="G1724" s="8">
        <v>46122</v>
      </c>
      <c r="H1724" s="6">
        <f t="shared" si="65"/>
        <v>10</v>
      </c>
      <c r="I1724" s="6">
        <f>MAX(1, NETWORKDAYS(A1724, G1724,Table2[Dias no laborales]))</f>
        <v>24</v>
      </c>
      <c r="J1724" s="6" t="str">
        <f>IF(Table1[[#This Row],[FIN]]="","Acumulado",IF(ISNUMBER(SEARCH("ASAP",C1724)),"ASAP",IF(NETWORKDAYS.INTL(F1724,G1724,1,Table2[Dias no laborales]) &lt;= 7, "Dentro", IF(A1724&gt;F1724,"Programado","Fuera"))))</f>
        <v>Programado</v>
      </c>
      <c r="K1724" s="6" t="str">
        <f t="shared" si="66"/>
        <v>Programados</v>
      </c>
      <c r="L1724" s="8">
        <v>46090</v>
      </c>
      <c r="M1724" s="17">
        <f>MAX(1,NETWORKDAYS(A1724,L1724,Table2[Dias no laborales]))</f>
        <v>3</v>
      </c>
    </row>
    <row r="1725" spans="1:13" hidden="1" x14ac:dyDescent="0.3">
      <c r="A1725" s="8">
        <v>46086</v>
      </c>
      <c r="B1725" s="16" t="s">
        <v>3467</v>
      </c>
      <c r="C1725" s="6" t="s">
        <v>3609</v>
      </c>
      <c r="D1725" s="6" t="s">
        <v>3610</v>
      </c>
      <c r="E1725" s="14">
        <v>46086.662499999999</v>
      </c>
      <c r="F1725" s="8">
        <f>IF(HOUR(Table1[[#This Row],[CORREO]])&gt;=11,WORKDAY(Table1[[#This Row],[CORREO]],1,Table2[Dias no laborales]),E1725)</f>
        <v>46087</v>
      </c>
      <c r="G1725" s="8">
        <v>46105</v>
      </c>
      <c r="H1725" s="6">
        <f t="shared" si="65"/>
        <v>10</v>
      </c>
      <c r="I1725" s="6">
        <f>MAX(1, NETWORKDAYS(A1725, G1725,Table2[Dias no laborales]))</f>
        <v>13</v>
      </c>
      <c r="J1725" s="6" t="str">
        <f>IF(Table1[[#This Row],[FIN]]="","Acumulado",IF(ISNUMBER(SEARCH("ASAP",C1725)),"ASAP",IF(NETWORKDAYS.INTL(F1725,G1725,1,Table2[Dias no laborales]) &lt;= 7, "Dentro", IF(A1725&gt;F1725,"Programado","Fuera"))))</f>
        <v>Fuera</v>
      </c>
      <c r="K1725" s="6" t="str">
        <f t="shared" si="66"/>
        <v>Mismo día</v>
      </c>
      <c r="L1725" s="8">
        <v>46086</v>
      </c>
      <c r="M1725" s="17">
        <f>MAX(1,NETWORKDAYS(A1725,L1725,Table2[Dias no laborales]))</f>
        <v>1</v>
      </c>
    </row>
    <row r="1726" spans="1:13" hidden="1" x14ac:dyDescent="0.3">
      <c r="A1726" s="8">
        <v>46087</v>
      </c>
      <c r="B1726" s="16" t="s">
        <v>3468</v>
      </c>
      <c r="C1726" s="6" t="s">
        <v>3611</v>
      </c>
      <c r="D1726" s="6" t="s">
        <v>623</v>
      </c>
      <c r="E1726" s="14">
        <v>46086.500694444447</v>
      </c>
      <c r="F1726" s="8">
        <f>IF(HOUR(Table1[[#This Row],[CORREO]])&gt;=11,WORKDAY(Table1[[#This Row],[CORREO]],1,Table2[Dias no laborales]),E1726)</f>
        <v>46087</v>
      </c>
      <c r="G1726" s="8">
        <v>46094</v>
      </c>
      <c r="H1726" s="6">
        <f t="shared" si="65"/>
        <v>10</v>
      </c>
      <c r="I1726" s="6">
        <f>MAX(1, NETWORKDAYS(A1726, G1726,Table2[Dias no laborales]))</f>
        <v>6</v>
      </c>
      <c r="J1726" s="6" t="str">
        <f>IF(Table1[[#This Row],[FIN]]="","Acumulado",IF(ISNUMBER(SEARCH("ASAP",C1726)),"ASAP",IF(NETWORKDAYS.INTL(F1726,G1726,1,Table2[Dias no laborales]) &lt;= 7, "Dentro", IF(A1726&gt;F1726,"Programado","Fuera"))))</f>
        <v>Dentro</v>
      </c>
      <c r="K1726" s="6" t="str">
        <f t="shared" si="66"/>
        <v>A tiempo</v>
      </c>
      <c r="L1726" s="8">
        <v>46087</v>
      </c>
      <c r="M1726" s="17">
        <f>MAX(1,NETWORKDAYS(A1726,L1726,Table2[Dias no laborales]))</f>
        <v>1</v>
      </c>
    </row>
    <row r="1727" spans="1:13" hidden="1" x14ac:dyDescent="0.3">
      <c r="A1727" s="8">
        <v>46087</v>
      </c>
      <c r="B1727" s="16" t="s">
        <v>3469</v>
      </c>
      <c r="C1727" s="6" t="s">
        <v>3612</v>
      </c>
      <c r="D1727" s="6" t="s">
        <v>89</v>
      </c>
      <c r="E1727" s="14">
        <v>46086.52847222222</v>
      </c>
      <c r="F1727" s="8">
        <f>IF(HOUR(Table1[[#This Row],[CORREO]])&gt;=11,WORKDAY(Table1[[#This Row],[CORREO]],1,Table2[Dias no laborales]),E1727)</f>
        <v>46087</v>
      </c>
      <c r="G1727" s="8">
        <v>46087</v>
      </c>
      <c r="H1727" s="6">
        <f t="shared" si="65"/>
        <v>10</v>
      </c>
      <c r="I1727" s="6">
        <f>MAX(1, NETWORKDAYS(A1727, G1727,Table2[Dias no laborales]))</f>
        <v>1</v>
      </c>
      <c r="J1727" s="6" t="str">
        <f>IF(Table1[[#This Row],[FIN]]="","Acumulado",IF(ISNUMBER(SEARCH("ASAP",C1727)),"ASAP",IF(NETWORKDAYS.INTL(F1727,G1727,1,Table2[Dias no laborales]) &lt;= 7, "Dentro", IF(A1727&gt;F1727,"Programado","Fuera"))))</f>
        <v>Dentro</v>
      </c>
      <c r="K1727" s="6" t="str">
        <f t="shared" si="66"/>
        <v>A tiempo</v>
      </c>
      <c r="L1727" s="8">
        <v>46087</v>
      </c>
      <c r="M1727" s="17">
        <f>MAX(1,NETWORKDAYS(A1727,L1727,Table2[Dias no laborales]))</f>
        <v>1</v>
      </c>
    </row>
    <row r="1728" spans="1:13" hidden="1" x14ac:dyDescent="0.3">
      <c r="A1728" s="8">
        <v>46087</v>
      </c>
      <c r="B1728" s="16" t="s">
        <v>3470</v>
      </c>
      <c r="C1728" s="6" t="s">
        <v>3613</v>
      </c>
      <c r="D1728" s="6" t="s">
        <v>194</v>
      </c>
      <c r="E1728" s="14">
        <v>46086.557638888888</v>
      </c>
      <c r="F1728" s="8">
        <f>IF(HOUR(Table1[[#This Row],[CORREO]])&gt;=11,WORKDAY(Table1[[#This Row],[CORREO]],1,Table2[Dias no laborales]),E1728)</f>
        <v>46087</v>
      </c>
      <c r="G1728" s="8">
        <v>46087</v>
      </c>
      <c r="H1728" s="6">
        <f t="shared" si="65"/>
        <v>10</v>
      </c>
      <c r="I1728" s="6">
        <f>MAX(1, NETWORKDAYS(A1728, G1728,Table2[Dias no laborales]))</f>
        <v>1</v>
      </c>
      <c r="J1728" s="6" t="str">
        <f>IF(Table1[[#This Row],[FIN]]="","Acumulado",IF(ISNUMBER(SEARCH("ASAP",C1728)),"ASAP",IF(NETWORKDAYS.INTL(F1728,G1728,1,Table2[Dias no laborales]) &lt;= 7, "Dentro", IF(A1728&gt;F1728,"Programado","Fuera"))))</f>
        <v>Dentro</v>
      </c>
      <c r="K1728" s="6" t="str">
        <f t="shared" si="66"/>
        <v>A tiempo</v>
      </c>
      <c r="L1728" s="8">
        <v>46087</v>
      </c>
      <c r="M1728" s="17">
        <f>MAX(1,NETWORKDAYS(A1728,L1728,Table2[Dias no laborales]))</f>
        <v>1</v>
      </c>
    </row>
    <row r="1729" spans="1:13" hidden="1" x14ac:dyDescent="0.3">
      <c r="A1729" s="8">
        <v>46087</v>
      </c>
      <c r="B1729" s="16" t="s">
        <v>3471</v>
      </c>
      <c r="C1729" s="6" t="s">
        <v>3614</v>
      </c>
      <c r="D1729" s="6" t="s">
        <v>37</v>
      </c>
      <c r="E1729" s="14">
        <v>46086.668749999997</v>
      </c>
      <c r="F1729" s="8">
        <f>IF(HOUR(Table1[[#This Row],[CORREO]])&gt;=11,WORKDAY(Table1[[#This Row],[CORREO]],1,Table2[Dias no laborales]),E1729)</f>
        <v>46087</v>
      </c>
      <c r="G1729" s="8">
        <v>46094</v>
      </c>
      <c r="H1729" s="6">
        <f t="shared" si="65"/>
        <v>10</v>
      </c>
      <c r="I1729" s="6">
        <f>MAX(1, NETWORKDAYS(A1729, G1729,Table2[Dias no laborales]))</f>
        <v>6</v>
      </c>
      <c r="J1729" s="6" t="str">
        <f>IF(Table1[[#This Row],[FIN]]="","Acumulado",IF(ISNUMBER(SEARCH("ASAP",C1729)),"ASAP",IF(NETWORKDAYS.INTL(F1729,G1729,1,Table2[Dias no laborales]) &lt;= 7, "Dentro", IF(A1729&gt;F1729,"Programado","Fuera"))))</f>
        <v>Dentro</v>
      </c>
      <c r="K1729" s="6" t="str">
        <f t="shared" si="66"/>
        <v>A tiempo</v>
      </c>
      <c r="L1729" s="8">
        <v>46087</v>
      </c>
      <c r="M1729" s="17">
        <f>MAX(1,NETWORKDAYS(A1729,L1729,Table2[Dias no laborales]))</f>
        <v>1</v>
      </c>
    </row>
    <row r="1730" spans="1:13" hidden="1" x14ac:dyDescent="0.3">
      <c r="A1730" s="8">
        <v>46087</v>
      </c>
      <c r="B1730" s="16" t="s">
        <v>3472</v>
      </c>
      <c r="C1730" s="6" t="s">
        <v>3615</v>
      </c>
      <c r="D1730" s="6" t="s">
        <v>27</v>
      </c>
      <c r="E1730" s="14"/>
      <c r="F1730" s="8">
        <f>IF(HOUR(Table1[[#This Row],[CORREO]])&gt;=11,WORKDAY(Table1[[#This Row],[CORREO]],1,Table2[Dias no laborales]),E1730)</f>
        <v>0</v>
      </c>
      <c r="G1730" s="8">
        <v>46099</v>
      </c>
      <c r="H1730" s="6">
        <f t="shared" si="65"/>
        <v>10</v>
      </c>
      <c r="I1730" s="6">
        <f>MAX(1, NETWORKDAYS(A1730, G1730,Table2[Dias no laborales]))</f>
        <v>8</v>
      </c>
      <c r="J1730" s="6" t="str">
        <f>IF(Table1[[#This Row],[FIN]]="","Acumulado",IF(ISNUMBER(SEARCH("ASAP",C1730)),"ASAP",IF(NETWORKDAYS.INTL(F1730,G1730,1,Table2[Dias no laborales]) &lt;= 7, "Dentro", IF(A1730&gt;F1730,"Programado","Fuera"))))</f>
        <v>Programado</v>
      </c>
      <c r="K1730" s="6" t="str">
        <f t="shared" si="66"/>
        <v>Programados</v>
      </c>
      <c r="L1730" s="8">
        <v>46087</v>
      </c>
      <c r="M1730" s="17">
        <f>MAX(1,NETWORKDAYS(A1730,L1730,Table2[Dias no laborales]))</f>
        <v>1</v>
      </c>
    </row>
    <row r="1731" spans="1:13" hidden="1" x14ac:dyDescent="0.3">
      <c r="A1731" s="8">
        <v>46087</v>
      </c>
      <c r="B1731" s="16" t="s">
        <v>3473</v>
      </c>
      <c r="C1731" s="6" t="s">
        <v>3616</v>
      </c>
      <c r="D1731" s="6" t="s">
        <v>27</v>
      </c>
      <c r="E1731" s="14"/>
      <c r="F1731" s="8">
        <f>IF(HOUR(Table1[[#This Row],[CORREO]])&gt;=11,WORKDAY(Table1[[#This Row],[CORREO]],1,Table2[Dias no laborales]),E1731)</f>
        <v>0</v>
      </c>
      <c r="G1731" s="8">
        <v>46094</v>
      </c>
      <c r="H1731" s="6">
        <f t="shared" si="65"/>
        <v>10</v>
      </c>
      <c r="I1731" s="6">
        <f>MAX(1, NETWORKDAYS(A1731, G1731,Table2[Dias no laborales]))</f>
        <v>6</v>
      </c>
      <c r="J1731" s="6" t="str">
        <f>IF(Table1[[#This Row],[FIN]]="","Acumulado",IF(ISNUMBER(SEARCH("ASAP",C1731)),"ASAP",IF(NETWORKDAYS.INTL(F1731,G1731,1,Table2[Dias no laborales]) &lt;= 7, "Dentro", IF(A1731&gt;F1731,"Programado","Fuera"))))</f>
        <v>Programado</v>
      </c>
      <c r="K1731" s="6" t="str">
        <f t="shared" si="66"/>
        <v>Programados</v>
      </c>
      <c r="L1731" s="8">
        <v>46087</v>
      </c>
      <c r="M1731" s="17">
        <f>MAX(1,NETWORKDAYS(A1731,L1731,Table2[Dias no laborales]))</f>
        <v>1</v>
      </c>
    </row>
    <row r="1732" spans="1:13" hidden="1" x14ac:dyDescent="0.3">
      <c r="A1732" s="8">
        <v>46087</v>
      </c>
      <c r="B1732" s="16" t="s">
        <v>3474</v>
      </c>
      <c r="C1732" s="6" t="s">
        <v>3617</v>
      </c>
      <c r="D1732" s="6" t="s">
        <v>27</v>
      </c>
      <c r="E1732" s="14"/>
      <c r="F1732" s="8">
        <f>IF(HOUR(Table1[[#This Row],[CORREO]])&gt;=11,WORKDAY(Table1[[#This Row],[CORREO]],1,Table2[Dias no laborales]),E1732)</f>
        <v>0</v>
      </c>
      <c r="G1732" s="8">
        <v>46099</v>
      </c>
      <c r="H1732" s="6">
        <f t="shared" si="65"/>
        <v>10</v>
      </c>
      <c r="I1732" s="6">
        <f>MAX(1, NETWORKDAYS(A1732, G1732,Table2[Dias no laborales]))</f>
        <v>8</v>
      </c>
      <c r="J1732" s="6" t="str">
        <f>IF(Table1[[#This Row],[FIN]]="","Acumulado",IF(ISNUMBER(SEARCH("ASAP",C1732)),"ASAP",IF(NETWORKDAYS.INTL(F1732,G1732,1,Table2[Dias no laborales]) &lt;= 7, "Dentro", IF(A1732&gt;F1732,"Programado","Fuera"))))</f>
        <v>Programado</v>
      </c>
      <c r="K1732" s="6" t="str">
        <f t="shared" si="66"/>
        <v>Programados</v>
      </c>
      <c r="L1732" s="8">
        <v>46087</v>
      </c>
      <c r="M1732" s="17">
        <f>MAX(1,NETWORKDAYS(A1732,L1732,Table2[Dias no laborales]))</f>
        <v>1</v>
      </c>
    </row>
    <row r="1733" spans="1:13" hidden="1" x14ac:dyDescent="0.3">
      <c r="A1733" s="8">
        <v>46087</v>
      </c>
      <c r="B1733" s="16" t="s">
        <v>3475</v>
      </c>
      <c r="C1733" s="6" t="s">
        <v>3618</v>
      </c>
      <c r="D1733" s="6" t="s">
        <v>27</v>
      </c>
      <c r="E1733" s="14"/>
      <c r="F1733" s="8">
        <f>IF(HOUR(Table1[[#This Row],[CORREO]])&gt;=11,WORKDAY(Table1[[#This Row],[CORREO]],1,Table2[Dias no laborales]),E1733)</f>
        <v>0</v>
      </c>
      <c r="G1733" s="8">
        <v>46099</v>
      </c>
      <c r="H1733" s="6">
        <f t="shared" si="65"/>
        <v>10</v>
      </c>
      <c r="I1733" s="6">
        <f>MAX(1, NETWORKDAYS(A1733, G1733,Table2[Dias no laborales]))</f>
        <v>8</v>
      </c>
      <c r="J1733" s="6" t="str">
        <f>IF(Table1[[#This Row],[FIN]]="","Acumulado",IF(ISNUMBER(SEARCH("ASAP",C1733)),"ASAP",IF(NETWORKDAYS.INTL(F1733,G1733,1,Table2[Dias no laborales]) &lt;= 7, "Dentro", IF(A1733&gt;F1733,"Programado","Fuera"))))</f>
        <v>Programado</v>
      </c>
      <c r="K1733" s="6" t="str">
        <f t="shared" si="66"/>
        <v>Programados</v>
      </c>
      <c r="L1733" s="8">
        <v>46087</v>
      </c>
      <c r="M1733" s="17">
        <f>MAX(1,NETWORKDAYS(A1733,L1733,Table2[Dias no laborales]))</f>
        <v>1</v>
      </c>
    </row>
    <row r="1734" spans="1:13" hidden="1" x14ac:dyDescent="0.3">
      <c r="A1734" s="8">
        <v>46087</v>
      </c>
      <c r="B1734" s="16" t="s">
        <v>3476</v>
      </c>
      <c r="C1734" s="6" t="s">
        <v>3619</v>
      </c>
      <c r="D1734" s="6" t="s">
        <v>27</v>
      </c>
      <c r="E1734" s="14"/>
      <c r="F1734" s="8">
        <f>IF(HOUR(Table1[[#This Row],[CORREO]])&gt;=11,WORKDAY(Table1[[#This Row],[CORREO]],1,Table2[Dias no laborales]),E1734)</f>
        <v>0</v>
      </c>
      <c r="G1734" s="8">
        <v>46099</v>
      </c>
      <c r="H1734" s="6">
        <f t="shared" si="65"/>
        <v>10</v>
      </c>
      <c r="I1734" s="6">
        <f>MAX(1, NETWORKDAYS(A1734, G1734,Table2[Dias no laborales]))</f>
        <v>8</v>
      </c>
      <c r="J1734" s="6" t="str">
        <f>IF(Table1[[#This Row],[FIN]]="","Acumulado",IF(ISNUMBER(SEARCH("ASAP",C1734)),"ASAP",IF(NETWORKDAYS.INTL(F1734,G1734,1,Table2[Dias no laborales]) &lt;= 7, "Dentro", IF(A1734&gt;F1734,"Programado","Fuera"))))</f>
        <v>Programado</v>
      </c>
      <c r="K1734" s="6" t="str">
        <f t="shared" si="66"/>
        <v>Programados</v>
      </c>
      <c r="L1734" s="8">
        <v>46087</v>
      </c>
      <c r="M1734" s="17">
        <f>MAX(1,NETWORKDAYS(A1734,L1734,Table2[Dias no laborales]))</f>
        <v>1</v>
      </c>
    </row>
    <row r="1735" spans="1:13" hidden="1" x14ac:dyDescent="0.3">
      <c r="A1735" s="8">
        <v>46087</v>
      </c>
      <c r="B1735" s="16" t="s">
        <v>3477</v>
      </c>
      <c r="C1735" s="6" t="s">
        <v>3620</v>
      </c>
      <c r="D1735" s="6" t="s">
        <v>1333</v>
      </c>
      <c r="E1735" s="14"/>
      <c r="F1735" s="8">
        <f>IF(HOUR(Table1[[#This Row],[CORREO]])&gt;=11,WORKDAY(Table1[[#This Row],[CORREO]],1,Table2[Dias no laborales]),E1735)</f>
        <v>0</v>
      </c>
      <c r="G1735" s="8">
        <v>46106</v>
      </c>
      <c r="H1735" s="6">
        <f t="shared" si="65"/>
        <v>10</v>
      </c>
      <c r="I1735" s="6">
        <f>MAX(1, NETWORKDAYS(A1735, G1735,Table2[Dias no laborales]))</f>
        <v>13</v>
      </c>
      <c r="J1735" s="6" t="str">
        <f>IF(Table1[[#This Row],[FIN]]="","Acumulado",IF(ISNUMBER(SEARCH("ASAP",C1735)),"ASAP",IF(NETWORKDAYS.INTL(F1735,G1735,1,Table2[Dias no laborales]) &lt;= 7, "Dentro", IF(A1735&gt;F1735,"Programado","Fuera"))))</f>
        <v>Programado</v>
      </c>
      <c r="K1735" s="6" t="str">
        <f t="shared" si="66"/>
        <v>Programados</v>
      </c>
      <c r="L1735" s="8">
        <v>46087</v>
      </c>
      <c r="M1735" s="17">
        <f>MAX(1,NETWORKDAYS(A1735,L1735,Table2[Dias no laborales]))</f>
        <v>1</v>
      </c>
    </row>
    <row r="1736" spans="1:13" hidden="1" x14ac:dyDescent="0.3">
      <c r="A1736" s="8">
        <v>46087</v>
      </c>
      <c r="B1736" s="16" t="s">
        <v>3478</v>
      </c>
      <c r="C1736" s="6" t="s">
        <v>3621</v>
      </c>
      <c r="D1736" s="6" t="s">
        <v>3622</v>
      </c>
      <c r="E1736" s="14">
        <v>46087.492361111108</v>
      </c>
      <c r="F1736" s="8">
        <f>IF(HOUR(Table1[[#This Row],[CORREO]])&gt;=11,WORKDAY(Table1[[#This Row],[CORREO]],1,Table2[Dias no laborales]),E1736)</f>
        <v>46090</v>
      </c>
      <c r="G1736" s="8">
        <v>46087</v>
      </c>
      <c r="H1736" s="6">
        <f t="shared" si="65"/>
        <v>10</v>
      </c>
      <c r="I1736" s="6">
        <f>MAX(1, NETWORKDAYS(A1736, G1736,Table2[Dias no laborales]))</f>
        <v>1</v>
      </c>
      <c r="J1736" s="6" t="str">
        <f>IF(Table1[[#This Row],[FIN]]="","Acumulado",IF(ISNUMBER(SEARCH("ASAP",C1736)),"ASAP",IF(NETWORKDAYS.INTL(F1736,G1736,1,Table2[Dias no laborales]) &lt;= 7, "Dentro", IF(A1736&gt;F1736,"Programado","Fuera"))))</f>
        <v>Dentro</v>
      </c>
      <c r="K1736" s="6" t="str">
        <f t="shared" si="66"/>
        <v>Mismo día</v>
      </c>
      <c r="L1736" s="8">
        <v>46087</v>
      </c>
      <c r="M1736" s="17">
        <f>MAX(1,NETWORKDAYS(A1736,L1736,Table2[Dias no laborales]))</f>
        <v>1</v>
      </c>
    </row>
    <row r="1737" spans="1:13" hidden="1" x14ac:dyDescent="0.3">
      <c r="A1737" s="8">
        <v>46087</v>
      </c>
      <c r="B1737" s="16" t="s">
        <v>3479</v>
      </c>
      <c r="C1737" s="6" t="s">
        <v>3623</v>
      </c>
      <c r="D1737" s="6" t="s">
        <v>1333</v>
      </c>
      <c r="E1737" s="14">
        <v>46087.512499999997</v>
      </c>
      <c r="F1737" s="8">
        <f>IF(HOUR(Table1[[#This Row],[CORREO]])&gt;=11,WORKDAY(Table1[[#This Row],[CORREO]],1,Table2[Dias no laborales]),E1737)</f>
        <v>46090</v>
      </c>
      <c r="G1737" s="8">
        <v>46105</v>
      </c>
      <c r="H1737" s="6">
        <f t="shared" si="65"/>
        <v>10</v>
      </c>
      <c r="I1737" s="6">
        <f>MAX(1, NETWORKDAYS(A1737, G1737,Table2[Dias no laborales]))</f>
        <v>12</v>
      </c>
      <c r="J1737" s="6" t="str">
        <f>IF(Table1[[#This Row],[FIN]]="","Acumulado",IF(ISNUMBER(SEARCH("ASAP",C1737)),"ASAP",IF(NETWORKDAYS.INTL(F1737,G1737,1,Table2[Dias no laborales]) &lt;= 7, "Dentro", IF(A1737&gt;F1737,"Programado","Fuera"))))</f>
        <v>Fuera</v>
      </c>
      <c r="K1737" s="6" t="str">
        <f t="shared" si="66"/>
        <v>Mismo día</v>
      </c>
      <c r="L1737" s="8">
        <v>46087</v>
      </c>
      <c r="M1737" s="17">
        <f>MAX(1,NETWORKDAYS(A1737,L1737,Table2[Dias no laborales]))</f>
        <v>1</v>
      </c>
    </row>
    <row r="1738" spans="1:13" hidden="1" x14ac:dyDescent="0.3">
      <c r="A1738" s="8">
        <v>46090</v>
      </c>
      <c r="B1738" s="16" t="s">
        <v>3480</v>
      </c>
      <c r="C1738" s="6" t="s">
        <v>3624</v>
      </c>
      <c r="D1738" s="6" t="s">
        <v>24</v>
      </c>
      <c r="E1738" s="14"/>
      <c r="F1738" s="8">
        <f>IF(HOUR(Table1[[#This Row],[CORREO]])&gt;=11,WORKDAY(Table1[[#This Row],[CORREO]],1,Table2[Dias no laborales]),E1738)</f>
        <v>0</v>
      </c>
      <c r="G1738" s="8">
        <v>46094</v>
      </c>
      <c r="H1738" s="6">
        <f t="shared" si="65"/>
        <v>10</v>
      </c>
      <c r="I1738" s="6">
        <f>MAX(1, NETWORKDAYS(A1738, G1738,Table2[Dias no laborales]))</f>
        <v>5</v>
      </c>
      <c r="J1738" s="6" t="str">
        <f>IF(Table1[[#This Row],[FIN]]="","Acumulado",IF(ISNUMBER(SEARCH("ASAP",C1738)),"ASAP",IF(NETWORKDAYS.INTL(F1738,G1738,1,Table2[Dias no laborales]) &lt;= 7, "Dentro", IF(A1738&gt;F1738,"Programado","Fuera"))))</f>
        <v>Programado</v>
      </c>
      <c r="K1738" s="6" t="str">
        <f t="shared" si="66"/>
        <v>Programados</v>
      </c>
      <c r="L1738" s="8">
        <v>46090</v>
      </c>
      <c r="M1738" s="17">
        <f>MAX(1,NETWORKDAYS(A1738,L1738,Table2[Dias no laborales]))</f>
        <v>1</v>
      </c>
    </row>
    <row r="1739" spans="1:13" hidden="1" x14ac:dyDescent="0.3">
      <c r="A1739" s="8">
        <v>46090</v>
      </c>
      <c r="B1739" s="16" t="s">
        <v>3481</v>
      </c>
      <c r="C1739" s="6" t="s">
        <v>3625</v>
      </c>
      <c r="D1739" s="6" t="s">
        <v>913</v>
      </c>
      <c r="E1739" s="14">
        <v>46087.522222222222</v>
      </c>
      <c r="F1739" s="8">
        <f>IF(HOUR(Table1[[#This Row],[CORREO]])&gt;=11,WORKDAY(Table1[[#This Row],[CORREO]],1,Table2[Dias no laborales]),E1739)</f>
        <v>46090</v>
      </c>
      <c r="G1739" s="8">
        <v>46094</v>
      </c>
      <c r="H1739" s="6">
        <f t="shared" si="65"/>
        <v>10</v>
      </c>
      <c r="I1739" s="6">
        <f>MAX(1, NETWORKDAYS(A1739, G1739,Table2[Dias no laborales]))</f>
        <v>5</v>
      </c>
      <c r="J1739" s="6" t="str">
        <f>IF(Table1[[#This Row],[FIN]]="","Acumulado",IF(ISNUMBER(SEARCH("ASAP",C1739)),"ASAP",IF(NETWORKDAYS.INTL(F1739,G1739,1,Table2[Dias no laborales]) &lt;= 7, "Dentro", IF(A1739&gt;F1739,"Programado","Fuera"))))</f>
        <v>Dentro</v>
      </c>
      <c r="K1739" s="6" t="str">
        <f t="shared" si="66"/>
        <v>A tiempo</v>
      </c>
      <c r="L1739" s="8">
        <v>46090</v>
      </c>
      <c r="M1739" s="17">
        <f>MAX(1,NETWORKDAYS(A1739,L1739,Table2[Dias no laborales]))</f>
        <v>1</v>
      </c>
    </row>
    <row r="1740" spans="1:13" hidden="1" x14ac:dyDescent="0.3">
      <c r="A1740" s="8">
        <v>46090</v>
      </c>
      <c r="B1740" s="16" t="s">
        <v>3482</v>
      </c>
      <c r="C1740" s="6" t="s">
        <v>3626</v>
      </c>
      <c r="D1740" s="6" t="s">
        <v>53</v>
      </c>
      <c r="E1740" s="14">
        <v>46087.605555555558</v>
      </c>
      <c r="F1740" s="8">
        <f>IF(HOUR(Table1[[#This Row],[CORREO]])&gt;=11,WORKDAY(Table1[[#This Row],[CORREO]],1,Table2[Dias no laborales]),E1740)</f>
        <v>46090</v>
      </c>
      <c r="G1740" s="8">
        <v>46094</v>
      </c>
      <c r="H1740" s="6">
        <f t="shared" si="65"/>
        <v>10</v>
      </c>
      <c r="I1740" s="6">
        <f>MAX(1, NETWORKDAYS(A1740, G1740,Table2[Dias no laborales]))</f>
        <v>5</v>
      </c>
      <c r="J1740" s="6" t="str">
        <f>IF(Table1[[#This Row],[FIN]]="","Acumulado",IF(ISNUMBER(SEARCH("ASAP",C1740)),"ASAP",IF(NETWORKDAYS.INTL(F1740,G1740,1,Table2[Dias no laborales]) &lt;= 7, "Dentro", IF(A1740&gt;F1740,"Programado","Fuera"))))</f>
        <v>Dentro</v>
      </c>
      <c r="K1740" s="6" t="str">
        <f t="shared" si="66"/>
        <v>A tiempo</v>
      </c>
      <c r="L1740" s="8">
        <v>46090</v>
      </c>
      <c r="M1740" s="17">
        <f>MAX(1,NETWORKDAYS(A1740,L1740,Table2[Dias no laborales]))</f>
        <v>1</v>
      </c>
    </row>
    <row r="1741" spans="1:13" hidden="1" x14ac:dyDescent="0.3">
      <c r="A1741" s="8">
        <v>46090</v>
      </c>
      <c r="B1741" s="16" t="s">
        <v>3483</v>
      </c>
      <c r="C1741" s="6" t="s">
        <v>3627</v>
      </c>
      <c r="D1741" s="6" t="s">
        <v>154</v>
      </c>
      <c r="E1741" s="14">
        <v>46087.822916666664</v>
      </c>
      <c r="F1741" s="8">
        <f>IF(HOUR(Table1[[#This Row],[CORREO]])&gt;=11,WORKDAY(Table1[[#This Row],[CORREO]],1,Table2[Dias no laborales]),E1741)</f>
        <v>46090</v>
      </c>
      <c r="G1741" s="8">
        <v>46094</v>
      </c>
      <c r="H1741" s="6">
        <f t="shared" si="65"/>
        <v>10</v>
      </c>
      <c r="I1741" s="6">
        <f>MAX(1, NETWORKDAYS(A1741, G1741,Table2[Dias no laborales]))</f>
        <v>5</v>
      </c>
      <c r="J1741" s="6" t="str">
        <f>IF(Table1[[#This Row],[FIN]]="","Acumulado",IF(ISNUMBER(SEARCH("ASAP",C1741)),"ASAP",IF(NETWORKDAYS.INTL(F1741,G1741,1,Table2[Dias no laborales]) &lt;= 7, "Dentro", IF(A1741&gt;F1741,"Programado","Fuera"))))</f>
        <v>Dentro</v>
      </c>
      <c r="K1741" s="6" t="str">
        <f t="shared" si="66"/>
        <v>A tiempo</v>
      </c>
      <c r="L1741" s="8">
        <v>46090</v>
      </c>
      <c r="M1741" s="17">
        <f>MAX(1,NETWORKDAYS(A1741,L1741,Table2[Dias no laborales]))</f>
        <v>1</v>
      </c>
    </row>
    <row r="1742" spans="1:13" hidden="1" x14ac:dyDescent="0.3">
      <c r="A1742" s="8">
        <v>46090</v>
      </c>
      <c r="B1742" s="16" t="s">
        <v>3484</v>
      </c>
      <c r="C1742" s="6" t="s">
        <v>3628</v>
      </c>
      <c r="D1742" s="6" t="s">
        <v>61</v>
      </c>
      <c r="E1742" s="14">
        <v>46090.422222222223</v>
      </c>
      <c r="F1742" s="8">
        <f>IF(HOUR(Table1[[#This Row],[CORREO]])&gt;=11,WORKDAY(Table1[[#This Row],[CORREO]],1,Table2[Dias no laborales]),E1742)</f>
        <v>46090.422222222223</v>
      </c>
      <c r="G1742" s="8">
        <v>46098</v>
      </c>
      <c r="H1742" s="6">
        <f t="shared" si="65"/>
        <v>10</v>
      </c>
      <c r="I1742" s="6">
        <f>MAX(1, NETWORKDAYS(A1742, G1742,Table2[Dias no laborales]))</f>
        <v>6</v>
      </c>
      <c r="J1742" s="6" t="str">
        <f>IF(Table1[[#This Row],[FIN]]="","Acumulado",IF(ISNUMBER(SEARCH("ASAP",C1742)),"ASAP",IF(NETWORKDAYS.INTL(F1742,G1742,1,Table2[Dias no laborales]) &lt;= 7, "Dentro", IF(A1742&gt;F1742,"Programado","Fuera"))))</f>
        <v>Dentro</v>
      </c>
      <c r="K1742" s="6" t="str">
        <f t="shared" si="66"/>
        <v>A tiempo</v>
      </c>
      <c r="L1742" s="8">
        <v>46092</v>
      </c>
      <c r="M1742" s="17">
        <f>MAX(1,NETWORKDAYS(A1742,L1742,Table2[Dias no laborales]))</f>
        <v>3</v>
      </c>
    </row>
    <row r="1743" spans="1:13" hidden="1" x14ac:dyDescent="0.3">
      <c r="A1743" s="8">
        <v>46090</v>
      </c>
      <c r="B1743" s="16" t="s">
        <v>3485</v>
      </c>
      <c r="C1743" s="6" t="s">
        <v>474</v>
      </c>
      <c r="D1743" s="6" t="s">
        <v>139</v>
      </c>
      <c r="E1743" s="14">
        <v>46090.443749999999</v>
      </c>
      <c r="F1743" s="8">
        <f>IF(HOUR(Table1[[#This Row],[CORREO]])&gt;=11,WORKDAY(Table1[[#This Row],[CORREO]],1,Table2[Dias no laborales]),E1743)</f>
        <v>46090.443749999999</v>
      </c>
      <c r="G1743" s="8">
        <v>46094</v>
      </c>
      <c r="H1743" s="6">
        <f t="shared" si="65"/>
        <v>10</v>
      </c>
      <c r="I1743" s="6">
        <f>MAX(1, NETWORKDAYS(A1743, G1743,Table2[Dias no laborales]))</f>
        <v>5</v>
      </c>
      <c r="J1743" s="6" t="str">
        <f>IF(Table1[[#This Row],[FIN]]="","Acumulado",IF(ISNUMBER(SEARCH("ASAP",C1743)),"ASAP",IF(NETWORKDAYS.INTL(F1743,G1743,1,Table2[Dias no laborales]) &lt;= 7, "Dentro", IF(A1743&gt;F1743,"Programado","Fuera"))))</f>
        <v>Dentro</v>
      </c>
      <c r="K1743" s="6" t="str">
        <f t="shared" si="66"/>
        <v>A tiempo</v>
      </c>
      <c r="L1743" s="8">
        <v>46090</v>
      </c>
      <c r="M1743" s="17">
        <f>MAX(1,NETWORKDAYS(A1743,L1743,Table2[Dias no laborales]))</f>
        <v>1</v>
      </c>
    </row>
    <row r="1744" spans="1:13" hidden="1" x14ac:dyDescent="0.3">
      <c r="A1744" s="8">
        <v>46091</v>
      </c>
      <c r="B1744" s="16" t="s">
        <v>3486</v>
      </c>
      <c r="C1744" s="6" t="s">
        <v>3629</v>
      </c>
      <c r="D1744" s="6" t="s">
        <v>538</v>
      </c>
      <c r="E1744" s="14">
        <v>46090.615972222222</v>
      </c>
      <c r="F1744" s="8">
        <f>IF(HOUR(Table1[[#This Row],[CORREO]])&gt;=11,WORKDAY(Table1[[#This Row],[CORREO]],1,Table2[Dias no laborales]),E1744)</f>
        <v>46091</v>
      </c>
      <c r="G1744" s="8">
        <v>46100</v>
      </c>
      <c r="H1744" s="6">
        <f t="shared" ref="H1744:H1757" si="67">INT((A1744-DATE(YEAR(A1744),1,1))/7) + 1</f>
        <v>10</v>
      </c>
      <c r="I1744" s="6">
        <f>MAX(1, NETWORKDAYS(A1744, G1744,Table2[Dias no laborales]))</f>
        <v>7</v>
      </c>
      <c r="J1744" s="6" t="str">
        <f>IF(Table1[[#This Row],[FIN]]="","Acumulado",IF(ISNUMBER(SEARCH("ASAP",C1744)),"ASAP",IF(NETWORKDAYS.INTL(F1744,G1744,1,Table2[Dias no laborales]) &lt;= 7, "Dentro", IF(A1744&gt;F1744,"Programado","Fuera"))))</f>
        <v>Dentro</v>
      </c>
      <c r="K1744" s="6" t="str">
        <f t="shared" ref="K1744:K1757" si="68">IF(INT(A1744)=INT(F1744),"A tiempo", IF(A1744&lt;F1744,"Mismo día","Programados"))</f>
        <v>A tiempo</v>
      </c>
      <c r="L1744" s="8">
        <v>46091</v>
      </c>
      <c r="M1744" s="17">
        <f>MAX(1,NETWORKDAYS(A1744,L1744,Table2[Dias no laborales]))</f>
        <v>1</v>
      </c>
    </row>
    <row r="1745" spans="1:13" hidden="1" x14ac:dyDescent="0.3">
      <c r="A1745" s="8">
        <v>46091</v>
      </c>
      <c r="B1745" s="16" t="s">
        <v>3487</v>
      </c>
      <c r="C1745" s="6" t="s">
        <v>3630</v>
      </c>
      <c r="D1745" s="24" t="s">
        <v>1099</v>
      </c>
      <c r="E1745" s="14"/>
      <c r="F1745" s="8">
        <f>IF(HOUR(Table1[[#This Row],[CORREO]])&gt;=11,WORKDAY(Table1[[#This Row],[CORREO]],1,Table2[Dias no laborales]),E1745)</f>
        <v>0</v>
      </c>
      <c r="G1745" s="8">
        <v>46098</v>
      </c>
      <c r="H1745" s="6">
        <f t="shared" si="67"/>
        <v>10</v>
      </c>
      <c r="I1745" s="6">
        <f>MAX(1, NETWORKDAYS(A1745, G1745,Table2[Dias no laborales]))</f>
        <v>5</v>
      </c>
      <c r="J1745" s="6" t="str">
        <f>IF(Table1[[#This Row],[FIN]]="","Acumulado",IF(ISNUMBER(SEARCH("ASAP",C1745)),"ASAP",IF(NETWORKDAYS.INTL(F1745,G1745,1,Table2[Dias no laborales]) &lt;= 7, "Dentro", IF(A1745&gt;F1745,"Programado","Fuera"))))</f>
        <v>Programado</v>
      </c>
      <c r="K1745" s="6" t="str">
        <f t="shared" si="68"/>
        <v>Programados</v>
      </c>
      <c r="L1745" s="8">
        <v>46093</v>
      </c>
      <c r="M1745" s="17">
        <f>MAX(1,NETWORKDAYS(A1745,L1745,Table2[Dias no laborales]))</f>
        <v>3</v>
      </c>
    </row>
    <row r="1746" spans="1:13" hidden="1" x14ac:dyDescent="0.3">
      <c r="A1746" s="8">
        <v>46091</v>
      </c>
      <c r="B1746" s="16" t="s">
        <v>3488</v>
      </c>
      <c r="C1746" s="6" t="s">
        <v>3631</v>
      </c>
      <c r="D1746" s="6" t="s">
        <v>3394</v>
      </c>
      <c r="E1746" s="14">
        <v>46090.579861111109</v>
      </c>
      <c r="F1746" s="8">
        <f>IF(HOUR(Table1[[#This Row],[CORREO]])&gt;=11,WORKDAY(Table1[[#This Row],[CORREO]],1,Table2[Dias no laborales]),E1746)</f>
        <v>46091</v>
      </c>
      <c r="G1746" s="8">
        <v>46100</v>
      </c>
      <c r="H1746" s="6">
        <f t="shared" si="67"/>
        <v>10</v>
      </c>
      <c r="I1746" s="6">
        <f>MAX(1, NETWORKDAYS(A1746, G1746,Table2[Dias no laborales]))</f>
        <v>7</v>
      </c>
      <c r="J1746" s="6" t="str">
        <f>IF(Table1[[#This Row],[FIN]]="","Acumulado",IF(ISNUMBER(SEARCH("ASAP",C1746)),"ASAP",IF(NETWORKDAYS.INTL(F1746,G1746,1,Table2[Dias no laborales]) &lt;= 7, "Dentro", IF(A1746&gt;F1746,"Programado","Fuera"))))</f>
        <v>Dentro</v>
      </c>
      <c r="K1746" s="6" t="str">
        <f t="shared" si="68"/>
        <v>A tiempo</v>
      </c>
      <c r="L1746" s="8">
        <v>46091</v>
      </c>
      <c r="M1746" s="17">
        <f>MAX(1,NETWORKDAYS(A1746,L1746,Table2[Dias no laborales]))</f>
        <v>1</v>
      </c>
    </row>
    <row r="1747" spans="1:13" hidden="1" x14ac:dyDescent="0.3">
      <c r="A1747" s="8">
        <v>46091</v>
      </c>
      <c r="B1747" s="16" t="s">
        <v>3489</v>
      </c>
      <c r="C1747" s="6" t="s">
        <v>3632</v>
      </c>
      <c r="D1747" s="6" t="s">
        <v>3633</v>
      </c>
      <c r="E1747" s="14">
        <v>46090.661805555559</v>
      </c>
      <c r="F1747" s="8">
        <f>IF(HOUR(Table1[[#This Row],[CORREO]])&gt;=11,WORKDAY(Table1[[#This Row],[CORREO]],1,Table2[Dias no laborales]),E1747)</f>
        <v>46091</v>
      </c>
      <c r="G1747" s="8">
        <v>46100</v>
      </c>
      <c r="H1747" s="6">
        <f t="shared" si="67"/>
        <v>10</v>
      </c>
      <c r="I1747" s="6">
        <f>MAX(1, NETWORKDAYS(A1747, G1747,Table2[Dias no laborales]))</f>
        <v>7</v>
      </c>
      <c r="J1747" s="6" t="str">
        <f>IF(Table1[[#This Row],[FIN]]="","Acumulado",IF(ISNUMBER(SEARCH("ASAP",C1747)),"ASAP",IF(NETWORKDAYS.INTL(F1747,G1747,1,Table2[Dias no laborales]) &lt;= 7, "Dentro", IF(A1747&gt;F1747,"Programado","Fuera"))))</f>
        <v>Dentro</v>
      </c>
      <c r="K1747" s="6" t="str">
        <f t="shared" si="68"/>
        <v>A tiempo</v>
      </c>
      <c r="L1747" s="8">
        <v>46091</v>
      </c>
      <c r="M1747" s="17">
        <f>MAX(1,NETWORKDAYS(A1747,L1747,Table2[Dias no laborales]))</f>
        <v>1</v>
      </c>
    </row>
    <row r="1748" spans="1:13" hidden="1" x14ac:dyDescent="0.3">
      <c r="A1748" s="8">
        <v>46091</v>
      </c>
      <c r="B1748" s="16" t="s">
        <v>3490</v>
      </c>
      <c r="C1748" s="6" t="s">
        <v>3607</v>
      </c>
      <c r="D1748" s="6" t="s">
        <v>3256</v>
      </c>
      <c r="E1748" s="14">
        <v>46091.359027777777</v>
      </c>
      <c r="F1748" s="8">
        <f>IF(HOUR(Table1[[#This Row],[CORREO]])&gt;=11,WORKDAY(Table1[[#This Row],[CORREO]],1,Table2[Dias no laborales]),E1748)</f>
        <v>46091.359027777777</v>
      </c>
      <c r="G1748" s="8">
        <v>46100</v>
      </c>
      <c r="H1748" s="6">
        <f t="shared" si="67"/>
        <v>10</v>
      </c>
      <c r="I1748" s="6">
        <f>MAX(1, NETWORKDAYS(A1748, G1748,Table2[Dias no laborales]))</f>
        <v>7</v>
      </c>
      <c r="J1748" s="6" t="str">
        <f>IF(Table1[[#This Row],[FIN]]="","Acumulado",IF(ISNUMBER(SEARCH("ASAP",C1748)),"ASAP",IF(NETWORKDAYS.INTL(F1748,G1748,1,Table2[Dias no laborales]) &lt;= 7, "Dentro", IF(A1748&gt;F1748,"Programado","Fuera"))))</f>
        <v>Dentro</v>
      </c>
      <c r="K1748" s="6" t="str">
        <f t="shared" si="68"/>
        <v>A tiempo</v>
      </c>
      <c r="L1748" s="8">
        <v>46091</v>
      </c>
      <c r="M1748" s="17">
        <f>MAX(1,NETWORKDAYS(A1748,L1748,Table2[Dias no laborales]))</f>
        <v>1</v>
      </c>
    </row>
    <row r="1749" spans="1:13" hidden="1" x14ac:dyDescent="0.3">
      <c r="A1749" s="8">
        <v>46091</v>
      </c>
      <c r="B1749" s="16" t="s">
        <v>3491</v>
      </c>
      <c r="C1749" s="6" t="s">
        <v>3634</v>
      </c>
      <c r="D1749" s="6" t="s">
        <v>2994</v>
      </c>
      <c r="E1749" s="14">
        <v>46091.427083333336</v>
      </c>
      <c r="F1749" s="8">
        <f>IF(HOUR(Table1[[#This Row],[CORREO]])&gt;=11,WORKDAY(Table1[[#This Row],[CORREO]],1,Table2[Dias no laborales]),E1749)</f>
        <v>46091.427083333336</v>
      </c>
      <c r="G1749" s="8">
        <v>46094</v>
      </c>
      <c r="H1749" s="6">
        <f t="shared" si="67"/>
        <v>10</v>
      </c>
      <c r="I1749" s="6">
        <f>MAX(1, NETWORKDAYS(A1749, G1749,Table2[Dias no laborales]))</f>
        <v>4</v>
      </c>
      <c r="J1749" s="6" t="str">
        <f>IF(Table1[[#This Row],[FIN]]="","Acumulado",IF(ISNUMBER(SEARCH("ASAP",C1749)),"ASAP",IF(NETWORKDAYS.INTL(F1749,G1749,1,Table2[Dias no laborales]) &lt;= 7, "Dentro", IF(A1749&gt;F1749,"Programado","Fuera"))))</f>
        <v>Dentro</v>
      </c>
      <c r="K1749" s="6" t="str">
        <f t="shared" si="68"/>
        <v>A tiempo</v>
      </c>
      <c r="L1749" s="8">
        <v>46091</v>
      </c>
      <c r="M1749" s="17">
        <f>MAX(1,NETWORKDAYS(A1749,L1749,Table2[Dias no laborales]))</f>
        <v>1</v>
      </c>
    </row>
    <row r="1750" spans="1:13" hidden="1" x14ac:dyDescent="0.3">
      <c r="A1750" s="8">
        <v>46091</v>
      </c>
      <c r="B1750" s="16" t="s">
        <v>3492</v>
      </c>
      <c r="C1750" s="6" t="s">
        <v>3008</v>
      </c>
      <c r="D1750" s="6" t="s">
        <v>3635</v>
      </c>
      <c r="E1750" s="14">
        <v>46091.577777777777</v>
      </c>
      <c r="F1750" s="8">
        <f>IF(HOUR(Table1[[#This Row],[CORREO]])&gt;=11,WORKDAY(Table1[[#This Row],[CORREO]],1,Table2[Dias no laborales]),E1750)</f>
        <v>46092</v>
      </c>
      <c r="G1750" s="8">
        <v>46104</v>
      </c>
      <c r="H1750" s="6">
        <f t="shared" si="67"/>
        <v>10</v>
      </c>
      <c r="I1750" s="6">
        <f>MAX(1, NETWORKDAYS(A1750, G1750,Table2[Dias no laborales]))</f>
        <v>9</v>
      </c>
      <c r="J1750" s="6" t="str">
        <f>IF(Table1[[#This Row],[FIN]]="","Acumulado",IF(ISNUMBER(SEARCH("ASAP",C1750)),"ASAP",IF(NETWORKDAYS.INTL(F1750,G1750,1,Table2[Dias no laborales]) &lt;= 7, "Dentro", IF(A1750&gt;F1750,"Programado","Fuera"))))</f>
        <v>Fuera</v>
      </c>
      <c r="K1750" s="6" t="str">
        <f t="shared" si="68"/>
        <v>Mismo día</v>
      </c>
      <c r="L1750" s="8">
        <v>46091</v>
      </c>
      <c r="M1750" s="17">
        <f>MAX(1,NETWORKDAYS(A1750,L1750,Table2[Dias no laborales]))</f>
        <v>1</v>
      </c>
    </row>
    <row r="1751" spans="1:13" hidden="1" x14ac:dyDescent="0.3">
      <c r="A1751" s="8">
        <v>46091</v>
      </c>
      <c r="B1751" s="16" t="s">
        <v>3493</v>
      </c>
      <c r="C1751" s="6" t="s">
        <v>3636</v>
      </c>
      <c r="D1751" s="6" t="s">
        <v>538</v>
      </c>
      <c r="E1751" s="14">
        <v>46091.76458333333</v>
      </c>
      <c r="F1751" s="8">
        <f>IF(HOUR(Table1[[#This Row],[CORREO]])&gt;=11,WORKDAY(Table1[[#This Row],[CORREO]],1,Table2[Dias no laborales]),E1751)</f>
        <v>46092</v>
      </c>
      <c r="G1751" s="8">
        <v>46093</v>
      </c>
      <c r="H1751" s="6">
        <f t="shared" si="67"/>
        <v>10</v>
      </c>
      <c r="I1751" s="6">
        <f>MAX(1, NETWORKDAYS(A1751, G1751,Table2[Dias no laborales]))</f>
        <v>3</v>
      </c>
      <c r="J1751" s="6" t="str">
        <f>IF(Table1[[#This Row],[FIN]]="","Acumulado",IF(ISNUMBER(SEARCH("ASAP",C1751)),"ASAP",IF(NETWORKDAYS.INTL(F1751,G1751,1,Table2[Dias no laborales]) &lt;= 7, "Dentro", IF(A1751&gt;F1751,"Programado","Fuera"))))</f>
        <v>ASAP</v>
      </c>
      <c r="K1751" s="6" t="str">
        <f t="shared" si="68"/>
        <v>Mismo día</v>
      </c>
      <c r="L1751" s="8">
        <v>46093</v>
      </c>
      <c r="M1751" s="17">
        <f>MAX(1,NETWORKDAYS(A1751,L1751,Table2[Dias no laborales]))</f>
        <v>3</v>
      </c>
    </row>
    <row r="1752" spans="1:13" hidden="1" x14ac:dyDescent="0.3">
      <c r="A1752" s="8">
        <v>46092</v>
      </c>
      <c r="B1752" s="16" t="s">
        <v>3494</v>
      </c>
      <c r="C1752" s="6" t="s">
        <v>3637</v>
      </c>
      <c r="D1752" s="6" t="s">
        <v>2471</v>
      </c>
      <c r="E1752" s="14">
        <v>46091.559027777781</v>
      </c>
      <c r="F1752" s="8">
        <f>IF(HOUR(Table1[[#This Row],[CORREO]])&gt;=11,WORKDAY(Table1[[#This Row],[CORREO]],1,Table2[Dias no laborales]),E1752)</f>
        <v>46092</v>
      </c>
      <c r="G1752" s="8">
        <v>46100</v>
      </c>
      <c r="H1752" s="6">
        <f t="shared" si="67"/>
        <v>10</v>
      </c>
      <c r="I1752" s="6">
        <f>MAX(1, NETWORKDAYS(A1752, G1752,Table2[Dias no laborales]))</f>
        <v>6</v>
      </c>
      <c r="J1752" s="6" t="str">
        <f>IF(Table1[[#This Row],[FIN]]="","Acumulado",IF(ISNUMBER(SEARCH("ASAP",C1752)),"ASAP",IF(NETWORKDAYS.INTL(F1752,G1752,1,Table2[Dias no laborales]) &lt;= 7, "Dentro", IF(A1752&gt;F1752,"Programado","Fuera"))))</f>
        <v>Dentro</v>
      </c>
      <c r="K1752" s="6" t="str">
        <f t="shared" si="68"/>
        <v>A tiempo</v>
      </c>
      <c r="L1752" s="8">
        <v>46092</v>
      </c>
      <c r="M1752" s="17">
        <f>MAX(1,NETWORKDAYS(A1752,L1752,Table2[Dias no laborales]))</f>
        <v>1</v>
      </c>
    </row>
    <row r="1753" spans="1:13" hidden="1" x14ac:dyDescent="0.3">
      <c r="A1753" s="8">
        <v>46092</v>
      </c>
      <c r="B1753" s="16" t="s">
        <v>3495</v>
      </c>
      <c r="C1753" s="6" t="s">
        <v>3638</v>
      </c>
      <c r="D1753" s="6" t="s">
        <v>1333</v>
      </c>
      <c r="E1753" s="14">
        <v>46091.574305555558</v>
      </c>
      <c r="F1753" s="8">
        <f>IF(HOUR(Table1[[#This Row],[CORREO]])&gt;=11,WORKDAY(Table1[[#This Row],[CORREO]],1,Table2[Dias no laborales]),E1753)</f>
        <v>46092</v>
      </c>
      <c r="G1753" s="8">
        <v>46092</v>
      </c>
      <c r="H1753" s="6">
        <f t="shared" si="67"/>
        <v>10</v>
      </c>
      <c r="I1753" s="6">
        <f>MAX(1, NETWORKDAYS(A1753, G1753,Table2[Dias no laborales]))</f>
        <v>1</v>
      </c>
      <c r="J1753" s="6" t="str">
        <f>IF(Table1[[#This Row],[FIN]]="","Acumulado",IF(ISNUMBER(SEARCH("ASAP",C1753)),"ASAP",IF(NETWORKDAYS.INTL(F1753,G1753,1,Table2[Dias no laborales]) &lt;= 7, "Dentro", IF(A1753&gt;F1753,"Programado","Fuera"))))</f>
        <v>Dentro</v>
      </c>
      <c r="K1753" s="6" t="str">
        <f t="shared" si="68"/>
        <v>A tiempo</v>
      </c>
      <c r="L1753" s="8">
        <v>46092</v>
      </c>
      <c r="M1753" s="17">
        <f>MAX(1,NETWORKDAYS(A1753,L1753,Table2[Dias no laborales]))</f>
        <v>1</v>
      </c>
    </row>
    <row r="1754" spans="1:13" hidden="1" x14ac:dyDescent="0.3">
      <c r="A1754" s="8">
        <v>46092</v>
      </c>
      <c r="B1754" s="16" t="s">
        <v>3496</v>
      </c>
      <c r="C1754" s="6" t="s">
        <v>3639</v>
      </c>
      <c r="D1754" s="6" t="s">
        <v>3640</v>
      </c>
      <c r="E1754" s="14">
        <v>46091.71875</v>
      </c>
      <c r="F1754" s="8">
        <f>IF(HOUR(Table1[[#This Row],[CORREO]])&gt;=11,WORKDAY(Table1[[#This Row],[CORREO]],1,Table2[Dias no laborales]),E1754)</f>
        <v>46092</v>
      </c>
      <c r="G1754" s="8">
        <v>46106</v>
      </c>
      <c r="H1754" s="6">
        <f t="shared" si="67"/>
        <v>10</v>
      </c>
      <c r="I1754" s="6">
        <f>MAX(1, NETWORKDAYS(A1754, G1754,Table2[Dias no laborales]))</f>
        <v>10</v>
      </c>
      <c r="J1754" s="6" t="str">
        <f>IF(Table1[[#This Row],[FIN]]="","Acumulado",IF(ISNUMBER(SEARCH("ASAP",C1754)),"ASAP",IF(NETWORKDAYS.INTL(F1754,G1754,1,Table2[Dias no laborales]) &lt;= 7, "Dentro", IF(A1754&gt;F1754,"Programado","Fuera"))))</f>
        <v>Fuera</v>
      </c>
      <c r="K1754" s="6" t="str">
        <f t="shared" si="68"/>
        <v>A tiempo</v>
      </c>
      <c r="L1754" s="8">
        <v>46094</v>
      </c>
      <c r="M1754" s="17">
        <f>MAX(1,NETWORKDAYS(A1754,L1754,Table2[Dias no laborales]))</f>
        <v>3</v>
      </c>
    </row>
    <row r="1755" spans="1:13" hidden="1" x14ac:dyDescent="0.3">
      <c r="A1755" s="8">
        <v>46092</v>
      </c>
      <c r="B1755" s="16" t="s">
        <v>3497</v>
      </c>
      <c r="C1755" s="6" t="s">
        <v>3641</v>
      </c>
      <c r="D1755" s="6" t="s">
        <v>238</v>
      </c>
      <c r="E1755" s="14">
        <v>46092.359027777777</v>
      </c>
      <c r="F1755" s="8">
        <f>IF(HOUR(Table1[[#This Row],[CORREO]])&gt;=11,WORKDAY(Table1[[#This Row],[CORREO]],1,Table2[Dias no laborales]),E1755)</f>
        <v>46092.359027777777</v>
      </c>
      <c r="G1755" s="8">
        <v>46098</v>
      </c>
      <c r="H1755" s="6">
        <f t="shared" si="67"/>
        <v>10</v>
      </c>
      <c r="I1755" s="6">
        <f>MAX(1, NETWORKDAYS(A1755, G1755,Table2[Dias no laborales]))</f>
        <v>4</v>
      </c>
      <c r="J1755" s="6" t="str">
        <f>IF(Table1[[#This Row],[FIN]]="","Acumulado",IF(ISNUMBER(SEARCH("ASAP",C1755)),"ASAP",IF(NETWORKDAYS.INTL(F1755,G1755,1,Table2[Dias no laborales]) &lt;= 7, "Dentro", IF(A1755&gt;F1755,"Programado","Fuera"))))</f>
        <v>Dentro</v>
      </c>
      <c r="K1755" s="6" t="str">
        <f t="shared" si="68"/>
        <v>A tiempo</v>
      </c>
      <c r="L1755" s="8">
        <v>46092</v>
      </c>
      <c r="M1755" s="17">
        <f>MAX(1,NETWORKDAYS(A1755,L1755,Table2[Dias no laborales]))</f>
        <v>1</v>
      </c>
    </row>
    <row r="1756" spans="1:13" hidden="1" x14ac:dyDescent="0.3">
      <c r="A1756" s="8">
        <v>46092</v>
      </c>
      <c r="B1756" s="16" t="s">
        <v>3498</v>
      </c>
      <c r="C1756" s="6" t="s">
        <v>3642</v>
      </c>
      <c r="D1756" s="6" t="s">
        <v>628</v>
      </c>
      <c r="E1756" s="14"/>
      <c r="F1756" s="8">
        <f>IF(HOUR(Table1[[#This Row],[CORREO]])&gt;=11,WORKDAY(Table1[[#This Row],[CORREO]],1,Table2[Dias no laborales]),E1756)</f>
        <v>0</v>
      </c>
      <c r="G1756" s="8">
        <v>46093</v>
      </c>
      <c r="H1756" s="6">
        <f t="shared" si="67"/>
        <v>10</v>
      </c>
      <c r="I1756" s="6">
        <f>MAX(1, NETWORKDAYS(A1756, G1756,Table2[Dias no laborales]))</f>
        <v>2</v>
      </c>
      <c r="J1756" s="6" t="str">
        <f>IF(Table1[[#This Row],[FIN]]="","Acumulado",IF(ISNUMBER(SEARCH("ASAP",C1756)),"ASAP",IF(NETWORKDAYS.INTL(F1756,G1756,1,Table2[Dias no laborales]) &lt;= 7, "Dentro", IF(A1756&gt;F1756,"Programado","Fuera"))))</f>
        <v>Programado</v>
      </c>
      <c r="K1756" s="6" t="str">
        <f t="shared" si="68"/>
        <v>Programados</v>
      </c>
      <c r="L1756" s="8">
        <v>46092</v>
      </c>
      <c r="M1756" s="17">
        <f>MAX(1,NETWORKDAYS(A1756,L1756,Table2[Dias no laborales]))</f>
        <v>1</v>
      </c>
    </row>
    <row r="1757" spans="1:13" hidden="1" x14ac:dyDescent="0.3">
      <c r="A1757" s="8">
        <v>46092</v>
      </c>
      <c r="B1757" s="16" t="s">
        <v>3499</v>
      </c>
      <c r="C1757" s="6" t="s">
        <v>3643</v>
      </c>
      <c r="D1757" s="6" t="s">
        <v>162</v>
      </c>
      <c r="E1757" s="14">
        <v>46092.475694444445</v>
      </c>
      <c r="F1757" s="8">
        <f>IF(HOUR(Table1[[#This Row],[CORREO]])&gt;=11,WORKDAY(Table1[[#This Row],[CORREO]],1,Table2[Dias no laborales]),E1757)</f>
        <v>46093</v>
      </c>
      <c r="G1757" s="8">
        <v>46093</v>
      </c>
      <c r="H1757" s="6">
        <f t="shared" si="67"/>
        <v>10</v>
      </c>
      <c r="I1757" s="6">
        <f>MAX(1, NETWORKDAYS(A1757, G1757,Table2[Dias no laborales]))</f>
        <v>2</v>
      </c>
      <c r="J1757" s="6" t="str">
        <f>IF(Table1[[#This Row],[FIN]]="","Acumulado",IF(ISNUMBER(SEARCH("ASAP",C1757)),"ASAP",IF(NETWORKDAYS.INTL(F1757,G1757,1,Table2[Dias no laborales]) &lt;= 7, "Dentro", IF(A1757&gt;F1757,"Programado","Fuera"))))</f>
        <v>Dentro</v>
      </c>
      <c r="K1757" s="6" t="str">
        <f t="shared" si="68"/>
        <v>Mismo día</v>
      </c>
      <c r="L1757" s="8">
        <v>46092</v>
      </c>
      <c r="M1757" s="17">
        <f>MAX(1,NETWORKDAYS(A1757,L1757,Table2[Dias no laborales]))</f>
        <v>1</v>
      </c>
    </row>
    <row r="1758" spans="1:13" hidden="1" x14ac:dyDescent="0.3">
      <c r="A1758" s="8">
        <v>46093</v>
      </c>
      <c r="B1758" s="16" t="s">
        <v>3503</v>
      </c>
      <c r="C1758" s="6" t="s">
        <v>3644</v>
      </c>
      <c r="D1758" s="6" t="s">
        <v>3041</v>
      </c>
      <c r="E1758" s="14">
        <v>46092.477777777778</v>
      </c>
      <c r="F1758" s="8">
        <f>IF(HOUR(Table1[[#This Row],[CORREO]])&gt;=11,WORKDAY(Table1[[#This Row],[CORREO]],1,Table2[Dias no laborales]),E1758)</f>
        <v>46093</v>
      </c>
      <c r="G1758" s="8">
        <v>46111</v>
      </c>
      <c r="H1758" s="6">
        <f t="shared" ref="H1758:H1789" si="69">INT((A1758-DATE(YEAR(A1758),1,1))/7) + 1</f>
        <v>11</v>
      </c>
      <c r="I1758" s="6">
        <f>MAX(1, NETWORKDAYS(A1758, G1758,Table2[Dias no laborales]))</f>
        <v>12</v>
      </c>
      <c r="J1758" s="6" t="str">
        <f>IF(Table1[[#This Row],[FIN]]="","Acumulado",IF(ISNUMBER(SEARCH("ASAP",C1758)),"ASAP",IF(NETWORKDAYS.INTL(F1758,G1758,1,Table2[Dias no laborales]) &lt;= 7, "Dentro", IF(A1758&gt;F1758,"Programado","Fuera"))))</f>
        <v>Fuera</v>
      </c>
      <c r="K1758" s="6" t="str">
        <f t="shared" ref="K1758:K1789" si="70">IF(INT(A1758)=INT(F1758),"A tiempo", IF(A1758&lt;F1758,"Mismo día","Programados"))</f>
        <v>A tiempo</v>
      </c>
      <c r="L1758" s="8">
        <v>46093</v>
      </c>
      <c r="M1758" s="17">
        <f>MAX(1,NETWORKDAYS(A1758,L1758,Table2[Dias no laborales]))</f>
        <v>1</v>
      </c>
    </row>
    <row r="1759" spans="1:13" hidden="1" x14ac:dyDescent="0.3">
      <c r="A1759" s="8">
        <v>46093</v>
      </c>
      <c r="B1759" s="16" t="s">
        <v>3504</v>
      </c>
      <c r="C1759" s="6" t="s">
        <v>3645</v>
      </c>
      <c r="D1759" s="6" t="s">
        <v>18</v>
      </c>
      <c r="E1759" s="14">
        <v>46092.688888888886</v>
      </c>
      <c r="F1759" s="8">
        <f>IF(HOUR(Table1[[#This Row],[CORREO]])&gt;=11,WORKDAY(Table1[[#This Row],[CORREO]],1,Table2[Dias no laborales]),E1759)</f>
        <v>46093</v>
      </c>
      <c r="G1759" s="8">
        <v>46105</v>
      </c>
      <c r="H1759" s="6">
        <f t="shared" si="69"/>
        <v>11</v>
      </c>
      <c r="I1759" s="6">
        <f>MAX(1, NETWORKDAYS(A1759, G1759,Table2[Dias no laborales]))</f>
        <v>8</v>
      </c>
      <c r="J1759" s="6" t="str">
        <f>IF(Table1[[#This Row],[FIN]]="","Acumulado",IF(ISNUMBER(SEARCH("ASAP",C1759)),"ASAP",IF(NETWORKDAYS.INTL(F1759,G1759,1,Table2[Dias no laborales]) &lt;= 7, "Dentro", IF(A1759&gt;F1759,"Programado","Fuera"))))</f>
        <v>Fuera</v>
      </c>
      <c r="K1759" s="6" t="str">
        <f t="shared" si="70"/>
        <v>A tiempo</v>
      </c>
      <c r="L1759" s="8">
        <v>46093</v>
      </c>
      <c r="M1759" s="17">
        <f>MAX(1,NETWORKDAYS(A1759,L1759,Table2[Dias no laborales]))</f>
        <v>1</v>
      </c>
    </row>
    <row r="1760" spans="1:13" hidden="1" x14ac:dyDescent="0.3">
      <c r="A1760" s="8">
        <v>46093</v>
      </c>
      <c r="B1760" s="16" t="s">
        <v>3505</v>
      </c>
      <c r="C1760" s="6" t="s">
        <v>3646</v>
      </c>
      <c r="D1760" s="6" t="s">
        <v>24</v>
      </c>
      <c r="E1760" s="14">
        <v>46092.706944444442</v>
      </c>
      <c r="F1760" s="8">
        <f>IF(HOUR(Table1[[#This Row],[CORREO]])&gt;=11,WORKDAY(Table1[[#This Row],[CORREO]],1,Table2[Dias no laborales]),E1760)</f>
        <v>46093</v>
      </c>
      <c r="G1760" s="8">
        <v>46184</v>
      </c>
      <c r="H1760" s="6">
        <f t="shared" si="69"/>
        <v>11</v>
      </c>
      <c r="I1760" s="6">
        <f>MAX(1, NETWORKDAYS(A1760, G1760,Table2[Dias no laborales]))</f>
        <v>61</v>
      </c>
      <c r="J1760" s="6" t="str">
        <f>IF(Table1[[#This Row],[FIN]]="","Acumulado",IF(ISNUMBER(SEARCH("ASAP",C1760)),"ASAP",IF(NETWORKDAYS.INTL(F1760,G1760,1,Table2[Dias no laborales]) &lt;= 7, "Dentro", IF(A1760&gt;F1760,"Programado","Fuera"))))</f>
        <v>Fuera</v>
      </c>
      <c r="K1760" s="6" t="str">
        <f t="shared" si="70"/>
        <v>A tiempo</v>
      </c>
      <c r="L1760" s="8">
        <v>46093</v>
      </c>
      <c r="M1760" s="17">
        <f>MAX(1,NETWORKDAYS(A1760,L1760,Table2[Dias no laborales]))</f>
        <v>1</v>
      </c>
    </row>
    <row r="1761" spans="1:13" hidden="1" x14ac:dyDescent="0.3">
      <c r="A1761" s="8">
        <v>46093</v>
      </c>
      <c r="B1761" s="16" t="s">
        <v>3506</v>
      </c>
      <c r="C1761" s="6" t="s">
        <v>3647</v>
      </c>
      <c r="D1761" s="6" t="s">
        <v>3649</v>
      </c>
      <c r="E1761" s="14">
        <v>46093.34375</v>
      </c>
      <c r="F1761" s="8">
        <f>IF(HOUR(Table1[[#This Row],[CORREO]])&gt;=11,WORKDAY(Table1[[#This Row],[CORREO]],1,Table2[Dias no laborales]),E1761)</f>
        <v>46093.34375</v>
      </c>
      <c r="G1761" s="8">
        <v>46105</v>
      </c>
      <c r="H1761" s="6">
        <f t="shared" si="69"/>
        <v>11</v>
      </c>
      <c r="I1761" s="6">
        <f>MAX(1, NETWORKDAYS(A1761, G1761,Table2[Dias no laborales]))</f>
        <v>8</v>
      </c>
      <c r="J1761" s="6" t="str">
        <f>IF(Table1[[#This Row],[FIN]]="","Acumulado",IF(ISNUMBER(SEARCH("ASAP",C1761)),"ASAP",IF(NETWORKDAYS.INTL(F1761,G1761,1,Table2[Dias no laborales]) &lt;= 7, "Dentro", IF(A1761&gt;F1761,"Programado","Fuera"))))</f>
        <v>Fuera</v>
      </c>
      <c r="K1761" s="6" t="str">
        <f t="shared" si="70"/>
        <v>A tiempo</v>
      </c>
      <c r="L1761" s="8">
        <v>46093</v>
      </c>
      <c r="M1761" s="17">
        <f>MAX(1,NETWORKDAYS(A1761,L1761,Table2[Dias no laborales]))</f>
        <v>1</v>
      </c>
    </row>
    <row r="1762" spans="1:13" hidden="1" x14ac:dyDescent="0.3">
      <c r="A1762" s="8">
        <v>46093</v>
      </c>
      <c r="B1762" s="16" t="s">
        <v>3507</v>
      </c>
      <c r="C1762" s="6" t="s">
        <v>3648</v>
      </c>
      <c r="D1762" s="6" t="s">
        <v>1644</v>
      </c>
      <c r="E1762" s="14">
        <v>46093.381944444445</v>
      </c>
      <c r="F1762" s="8">
        <f>IF(HOUR(Table1[[#This Row],[CORREO]])&gt;=11,WORKDAY(Table1[[#This Row],[CORREO]],1,Table2[Dias no laborales]),E1762)</f>
        <v>46093.381944444445</v>
      </c>
      <c r="G1762" s="8">
        <v>46094</v>
      </c>
      <c r="H1762" s="6">
        <f t="shared" si="69"/>
        <v>11</v>
      </c>
      <c r="I1762" s="6">
        <f>MAX(1, NETWORKDAYS(A1762, G1762,Table2[Dias no laborales]))</f>
        <v>2</v>
      </c>
      <c r="J1762" s="6" t="str">
        <f>IF(Table1[[#This Row],[FIN]]="","Acumulado",IF(ISNUMBER(SEARCH("ASAP",C1762)),"ASAP",IF(NETWORKDAYS.INTL(F1762,G1762,1,Table2[Dias no laborales]) &lt;= 7, "Dentro", IF(A1762&gt;F1762,"Programado","Fuera"))))</f>
        <v>Dentro</v>
      </c>
      <c r="K1762" s="6" t="str">
        <f t="shared" si="70"/>
        <v>A tiempo</v>
      </c>
      <c r="L1762" s="8">
        <v>46093</v>
      </c>
      <c r="M1762" s="17">
        <f>MAX(1,NETWORKDAYS(A1762,L1762,Table2[Dias no laborales]))</f>
        <v>1</v>
      </c>
    </row>
    <row r="1763" spans="1:13" hidden="1" x14ac:dyDescent="0.3">
      <c r="A1763" s="8">
        <v>46093</v>
      </c>
      <c r="B1763" s="16" t="s">
        <v>3508</v>
      </c>
      <c r="C1763" s="6" t="s">
        <v>3650</v>
      </c>
      <c r="D1763" s="6" t="s">
        <v>186</v>
      </c>
      <c r="E1763" s="14">
        <v>46093.395833333336</v>
      </c>
      <c r="F1763" s="8">
        <f>IF(HOUR(Table1[[#This Row],[CORREO]])&gt;=11,WORKDAY(Table1[[#This Row],[CORREO]],1,Table2[Dias no laborales]),E1763)</f>
        <v>46093.395833333336</v>
      </c>
      <c r="G1763" s="8">
        <v>46099</v>
      </c>
      <c r="H1763" s="6">
        <f t="shared" si="69"/>
        <v>11</v>
      </c>
      <c r="I1763" s="6">
        <f>MAX(1, NETWORKDAYS(A1763, G1763,Table2[Dias no laborales]))</f>
        <v>4</v>
      </c>
      <c r="J1763" s="6" t="str">
        <f>IF(Table1[[#This Row],[FIN]]="","Acumulado",IF(ISNUMBER(SEARCH("ASAP",C1763)),"ASAP",IF(NETWORKDAYS.INTL(F1763,G1763,1,Table2[Dias no laborales]) &lt;= 7, "Dentro", IF(A1763&gt;F1763,"Programado","Fuera"))))</f>
        <v>Dentro</v>
      </c>
      <c r="K1763" s="6" t="str">
        <f t="shared" si="70"/>
        <v>A tiempo</v>
      </c>
      <c r="L1763" s="8">
        <v>46093</v>
      </c>
      <c r="M1763" s="17">
        <f>MAX(1,NETWORKDAYS(A1763,L1763,Table2[Dias no laborales]))</f>
        <v>1</v>
      </c>
    </row>
    <row r="1764" spans="1:13" hidden="1" x14ac:dyDescent="0.3">
      <c r="A1764" s="8">
        <v>46093</v>
      </c>
      <c r="B1764" s="16" t="s">
        <v>3509</v>
      </c>
      <c r="C1764" s="6" t="s">
        <v>3651</v>
      </c>
      <c r="D1764" s="6" t="s">
        <v>3652</v>
      </c>
      <c r="E1764" s="14">
        <v>46093.399305555555</v>
      </c>
      <c r="F1764" s="8">
        <f>IF(HOUR(Table1[[#This Row],[CORREO]])&gt;=11,WORKDAY(Table1[[#This Row],[CORREO]],1,Table2[Dias no laborales]),E1764)</f>
        <v>46093.399305555555</v>
      </c>
      <c r="G1764" s="8">
        <v>46111</v>
      </c>
      <c r="H1764" s="6">
        <f t="shared" si="69"/>
        <v>11</v>
      </c>
      <c r="I1764" s="6">
        <f>MAX(1, NETWORKDAYS(A1764, G1764,Table2[Dias no laborales]))</f>
        <v>12</v>
      </c>
      <c r="J1764" s="6" t="str">
        <f>IF(Table1[[#This Row],[FIN]]="","Acumulado",IF(ISNUMBER(SEARCH("ASAP",C1764)),"ASAP",IF(NETWORKDAYS.INTL(F1764,G1764,1,Table2[Dias no laborales]) &lt;= 7, "Dentro", IF(A1764&gt;F1764,"Programado","Fuera"))))</f>
        <v>Fuera</v>
      </c>
      <c r="K1764" s="6" t="str">
        <f t="shared" si="70"/>
        <v>A tiempo</v>
      </c>
      <c r="L1764" s="8">
        <v>46093</v>
      </c>
      <c r="M1764" s="17">
        <f>MAX(1,NETWORKDAYS(A1764,L1764,Table2[Dias no laborales]))</f>
        <v>1</v>
      </c>
    </row>
    <row r="1765" spans="1:13" hidden="1" x14ac:dyDescent="0.3">
      <c r="A1765" s="8">
        <v>46093</v>
      </c>
      <c r="B1765" s="16" t="s">
        <v>3510</v>
      </c>
      <c r="C1765" s="6" t="s">
        <v>3653</v>
      </c>
      <c r="D1765" s="6" t="s">
        <v>53</v>
      </c>
      <c r="E1765" s="14">
        <v>46093.444444444445</v>
      </c>
      <c r="F1765" s="8">
        <f>IF(HOUR(Table1[[#This Row],[CORREO]])&gt;=11,WORKDAY(Table1[[#This Row],[CORREO]],1,Table2[Dias no laborales]),E1765)</f>
        <v>46093.444444444445</v>
      </c>
      <c r="G1765" s="8">
        <v>46100</v>
      </c>
      <c r="H1765" s="6">
        <f t="shared" si="69"/>
        <v>11</v>
      </c>
      <c r="I1765" s="6">
        <f>MAX(1, NETWORKDAYS(A1765, G1765,Table2[Dias no laborales]))</f>
        <v>5</v>
      </c>
      <c r="J1765" s="6" t="str">
        <f>IF(Table1[[#This Row],[FIN]]="","Acumulado",IF(ISNUMBER(SEARCH("ASAP",C1765)),"ASAP",IF(NETWORKDAYS.INTL(F1765,G1765,1,Table2[Dias no laborales]) &lt;= 7, "Dentro", IF(A1765&gt;F1765,"Programado","Fuera"))))</f>
        <v>Dentro</v>
      </c>
      <c r="K1765" s="6" t="str">
        <f t="shared" si="70"/>
        <v>A tiempo</v>
      </c>
      <c r="L1765" s="8">
        <v>46093</v>
      </c>
      <c r="M1765" s="17">
        <f>MAX(1,NETWORKDAYS(A1765,L1765,Table2[Dias no laborales]))</f>
        <v>1</v>
      </c>
    </row>
    <row r="1766" spans="1:13" hidden="1" x14ac:dyDescent="0.3">
      <c r="A1766" s="8">
        <v>46093</v>
      </c>
      <c r="B1766" s="16" t="s">
        <v>3511</v>
      </c>
      <c r="C1766" s="6" t="s">
        <v>3654</v>
      </c>
      <c r="D1766" s="6" t="s">
        <v>2994</v>
      </c>
      <c r="E1766" s="14">
        <v>46093.463888888888</v>
      </c>
      <c r="F1766" s="8">
        <f>IF(HOUR(Table1[[#This Row],[CORREO]])&gt;=11,WORKDAY(Table1[[#This Row],[CORREO]],1,Table2[Dias no laborales]),E1766)</f>
        <v>46094</v>
      </c>
      <c r="G1766" s="8">
        <v>46100</v>
      </c>
      <c r="H1766" s="6">
        <f t="shared" si="69"/>
        <v>11</v>
      </c>
      <c r="I1766" s="6">
        <f>MAX(1, NETWORKDAYS(A1766, G1766,Table2[Dias no laborales]))</f>
        <v>5</v>
      </c>
      <c r="J1766" s="6" t="str">
        <f>IF(Table1[[#This Row],[FIN]]="","Acumulado",IF(ISNUMBER(SEARCH("ASAP",C1766)),"ASAP",IF(NETWORKDAYS.INTL(F1766,G1766,1,Table2[Dias no laborales]) &lt;= 7, "Dentro", IF(A1766&gt;F1766,"Programado","Fuera"))))</f>
        <v>Dentro</v>
      </c>
      <c r="K1766" s="6" t="str">
        <f t="shared" si="70"/>
        <v>Mismo día</v>
      </c>
      <c r="L1766" s="8">
        <v>46093</v>
      </c>
      <c r="M1766" s="17">
        <f>MAX(1,NETWORKDAYS(A1766,L1766,Table2[Dias no laborales]))</f>
        <v>1</v>
      </c>
    </row>
    <row r="1767" spans="1:13" hidden="1" x14ac:dyDescent="0.3">
      <c r="A1767" s="8">
        <v>46093</v>
      </c>
      <c r="B1767" s="16" t="s">
        <v>3512</v>
      </c>
      <c r="C1767" s="6" t="s">
        <v>3008</v>
      </c>
      <c r="D1767" s="6" t="s">
        <v>3655</v>
      </c>
      <c r="E1767" s="14">
        <v>46093.473611111112</v>
      </c>
      <c r="F1767" s="8">
        <f>IF(HOUR(Table1[[#This Row],[CORREO]])&gt;=11,WORKDAY(Table1[[#This Row],[CORREO]],1,Table2[Dias no laborales]),E1767)</f>
        <v>46094</v>
      </c>
      <c r="G1767" s="8">
        <v>46104</v>
      </c>
      <c r="H1767" s="6">
        <f t="shared" si="69"/>
        <v>11</v>
      </c>
      <c r="I1767" s="6">
        <f>MAX(1, NETWORKDAYS(A1767, G1767,Table2[Dias no laborales]))</f>
        <v>7</v>
      </c>
      <c r="J1767" s="6" t="str">
        <f>IF(Table1[[#This Row],[FIN]]="","Acumulado",IF(ISNUMBER(SEARCH("ASAP",C1767)),"ASAP",IF(NETWORKDAYS.INTL(F1767,G1767,1,Table2[Dias no laborales]) &lt;= 7, "Dentro", IF(A1767&gt;F1767,"Programado","Fuera"))))</f>
        <v>Dentro</v>
      </c>
      <c r="K1767" s="6" t="str">
        <f t="shared" si="70"/>
        <v>Mismo día</v>
      </c>
      <c r="L1767" s="8">
        <v>46093</v>
      </c>
      <c r="M1767" s="17">
        <f>MAX(1,NETWORKDAYS(A1767,L1767,Table2[Dias no laborales]))</f>
        <v>1</v>
      </c>
    </row>
    <row r="1768" spans="1:13" hidden="1" x14ac:dyDescent="0.3">
      <c r="A1768" s="8">
        <v>46093</v>
      </c>
      <c r="B1768" s="16" t="s">
        <v>3513</v>
      </c>
      <c r="C1768" s="6" t="s">
        <v>3656</v>
      </c>
      <c r="D1768" s="6" t="s">
        <v>628</v>
      </c>
      <c r="E1768" s="14"/>
      <c r="F1768" s="8">
        <f>IF(HOUR(Table1[[#This Row],[CORREO]])&gt;=11,WORKDAY(Table1[[#This Row],[CORREO]],1,Table2[Dias no laborales]),E1768)</f>
        <v>0</v>
      </c>
      <c r="G1768" s="8">
        <v>46100</v>
      </c>
      <c r="H1768" s="6">
        <f t="shared" si="69"/>
        <v>11</v>
      </c>
      <c r="I1768" s="6">
        <f>MAX(1, NETWORKDAYS(A1768, G1768,Table2[Dias no laborales]))</f>
        <v>5</v>
      </c>
      <c r="J1768" s="6" t="str">
        <f>IF(Table1[[#This Row],[FIN]]="","Acumulado",IF(ISNUMBER(SEARCH("ASAP",C1768)),"ASAP",IF(NETWORKDAYS.INTL(F1768,G1768,1,Table2[Dias no laborales]) &lt;= 7, "Dentro", IF(A1768&gt;F1768,"Programado","Fuera"))))</f>
        <v>Programado</v>
      </c>
      <c r="K1768" s="6" t="str">
        <f t="shared" si="70"/>
        <v>Programados</v>
      </c>
      <c r="L1768" s="8">
        <v>46093</v>
      </c>
      <c r="M1768" s="17">
        <f>MAX(1,NETWORKDAYS(A1768,L1768,Table2[Dias no laborales]))</f>
        <v>1</v>
      </c>
    </row>
    <row r="1769" spans="1:13" hidden="1" x14ac:dyDescent="0.3">
      <c r="A1769" s="8">
        <v>46094</v>
      </c>
      <c r="B1769" s="16" t="s">
        <v>3514</v>
      </c>
      <c r="C1769" s="6" t="s">
        <v>3657</v>
      </c>
      <c r="D1769" s="6" t="s">
        <v>154</v>
      </c>
      <c r="E1769" s="14">
        <v>46093.667361111111</v>
      </c>
      <c r="F1769" s="8">
        <f>IF(HOUR(Table1[[#This Row],[CORREO]])&gt;=11,WORKDAY(Table1[[#This Row],[CORREO]],1,Table2[Dias no laborales]),E1769)</f>
        <v>46094</v>
      </c>
      <c r="G1769" s="8">
        <v>46094</v>
      </c>
      <c r="H1769" s="6">
        <f t="shared" si="69"/>
        <v>11</v>
      </c>
      <c r="I1769" s="6">
        <f>MAX(1, NETWORKDAYS(A1769, G1769,Table2[Dias no laborales]))</f>
        <v>1</v>
      </c>
      <c r="J1769" s="6" t="str">
        <f>IF(Table1[[#This Row],[FIN]]="","Acumulado",IF(ISNUMBER(SEARCH("ASAP",C1769)),"ASAP",IF(NETWORKDAYS.INTL(F1769,G1769,1,Table2[Dias no laborales]) &lt;= 7, "Dentro", IF(A1769&gt;F1769,"Programado","Fuera"))))</f>
        <v>Dentro</v>
      </c>
      <c r="K1769" s="6" t="str">
        <f t="shared" si="70"/>
        <v>A tiempo</v>
      </c>
      <c r="L1769" s="8">
        <v>46094</v>
      </c>
      <c r="M1769" s="17">
        <f>MAX(1,NETWORKDAYS(A1769,L1769,Table2[Dias no laborales]))</f>
        <v>1</v>
      </c>
    </row>
    <row r="1770" spans="1:13" hidden="1" x14ac:dyDescent="0.3">
      <c r="A1770" s="8">
        <v>46094</v>
      </c>
      <c r="B1770" s="16" t="s">
        <v>3515</v>
      </c>
      <c r="C1770" s="6" t="s">
        <v>3658</v>
      </c>
      <c r="D1770" s="6" t="s">
        <v>3659</v>
      </c>
      <c r="E1770" s="14">
        <v>46093.836805555555</v>
      </c>
      <c r="F1770" s="8">
        <f>IF(HOUR(Table1[[#This Row],[CORREO]])&gt;=11,WORKDAY(Table1[[#This Row],[CORREO]],1,Table2[Dias no laborales]),E1770)</f>
        <v>46094</v>
      </c>
      <c r="G1770" s="8">
        <v>46105</v>
      </c>
      <c r="H1770" s="6">
        <f t="shared" si="69"/>
        <v>11</v>
      </c>
      <c r="I1770" s="6">
        <f>MAX(1, NETWORKDAYS(A1770, G1770,Table2[Dias no laborales]))</f>
        <v>7</v>
      </c>
      <c r="J1770" s="6" t="str">
        <f>IF(Table1[[#This Row],[FIN]]="","Acumulado",IF(ISNUMBER(SEARCH("ASAP",C1770)),"ASAP",IF(NETWORKDAYS.INTL(F1770,G1770,1,Table2[Dias no laborales]) &lt;= 7, "Dentro", IF(A1770&gt;F1770,"Programado","Fuera"))))</f>
        <v>Dentro</v>
      </c>
      <c r="K1770" s="6" t="str">
        <f t="shared" si="70"/>
        <v>A tiempo</v>
      </c>
      <c r="L1770" s="8">
        <v>46094</v>
      </c>
      <c r="M1770" s="17">
        <f>MAX(1,NETWORKDAYS(A1770,L1770,Table2[Dias no laborales]))</f>
        <v>1</v>
      </c>
    </row>
    <row r="1771" spans="1:13" hidden="1" x14ac:dyDescent="0.3">
      <c r="A1771" s="8">
        <v>46098</v>
      </c>
      <c r="B1771" s="16" t="s">
        <v>3516</v>
      </c>
      <c r="C1771" s="6" t="s">
        <v>3660</v>
      </c>
      <c r="D1771" s="6" t="s">
        <v>3039</v>
      </c>
      <c r="E1771" s="14">
        <v>46094.490972222222</v>
      </c>
      <c r="F1771" s="8">
        <f>IF(HOUR(Table1[[#This Row],[CORREO]])&gt;=11,WORKDAY(Table1[[#This Row],[CORREO]],1,Table2[Dias no laborales]),E1771)</f>
        <v>46098</v>
      </c>
      <c r="G1771" s="8">
        <v>46099</v>
      </c>
      <c r="H1771" s="6">
        <f t="shared" si="69"/>
        <v>11</v>
      </c>
      <c r="I1771" s="6">
        <f>MAX(1, NETWORKDAYS(A1771, G1771,Table2[Dias no laborales]))</f>
        <v>2</v>
      </c>
      <c r="J1771" s="6" t="str">
        <f>IF(Table1[[#This Row],[FIN]]="","Acumulado",IF(ISNUMBER(SEARCH("ASAP",C1771)),"ASAP",IF(NETWORKDAYS.INTL(F1771,G1771,1,Table2[Dias no laborales]) &lt;= 7, "Dentro", IF(A1771&gt;F1771,"Programado","Fuera"))))</f>
        <v>Dentro</v>
      </c>
      <c r="K1771" s="6" t="str">
        <f t="shared" si="70"/>
        <v>A tiempo</v>
      </c>
      <c r="L1771" s="8">
        <v>46099</v>
      </c>
      <c r="M1771" s="17">
        <f>MAX(1,NETWORKDAYS(A1771,L1771,Table2[Dias no laborales]))</f>
        <v>2</v>
      </c>
    </row>
    <row r="1772" spans="1:13" hidden="1" x14ac:dyDescent="0.3">
      <c r="A1772" s="8">
        <v>46098</v>
      </c>
      <c r="B1772" s="16" t="s">
        <v>3517</v>
      </c>
      <c r="C1772" s="6" t="s">
        <v>3661</v>
      </c>
      <c r="D1772" s="6" t="s">
        <v>571</v>
      </c>
      <c r="E1772" s="14">
        <v>46094.51666666667</v>
      </c>
      <c r="F1772" s="8">
        <f>IF(HOUR(Table1[[#This Row],[CORREO]])&gt;=11,WORKDAY(Table1[[#This Row],[CORREO]],1,Table2[Dias no laborales]),E1772)</f>
        <v>46098</v>
      </c>
      <c r="G1772" s="8">
        <v>46106</v>
      </c>
      <c r="H1772" s="6">
        <f t="shared" si="69"/>
        <v>11</v>
      </c>
      <c r="I1772" s="6">
        <f>MAX(1, NETWORKDAYS(A1772, G1772,Table2[Dias no laborales]))</f>
        <v>7</v>
      </c>
      <c r="J1772" s="6" t="str">
        <f>IF(Table1[[#This Row],[FIN]]="","Acumulado",IF(ISNUMBER(SEARCH("ASAP",C1772)),"ASAP",IF(NETWORKDAYS.INTL(F1772,G1772,1,Table2[Dias no laborales]) &lt;= 7, "Dentro", IF(A1772&gt;F1772,"Programado","Fuera"))))</f>
        <v>Dentro</v>
      </c>
      <c r="K1772" s="6" t="str">
        <f t="shared" si="70"/>
        <v>A tiempo</v>
      </c>
      <c r="L1772" s="8">
        <v>46098</v>
      </c>
      <c r="M1772" s="17">
        <f>MAX(1,NETWORKDAYS(A1772,L1772,Table2[Dias no laborales]))</f>
        <v>1</v>
      </c>
    </row>
    <row r="1773" spans="1:13" hidden="1" x14ac:dyDescent="0.3">
      <c r="A1773" s="8">
        <v>46098</v>
      </c>
      <c r="B1773" s="16" t="s">
        <v>3518</v>
      </c>
      <c r="C1773" s="6" t="s">
        <v>3662</v>
      </c>
      <c r="D1773" s="6" t="s">
        <v>3663</v>
      </c>
      <c r="E1773" s="14">
        <v>46094.73541666667</v>
      </c>
      <c r="F1773" s="8">
        <f>IF(HOUR(Table1[[#This Row],[CORREO]])&gt;=11,WORKDAY(Table1[[#This Row],[CORREO]],1,Table2[Dias no laborales]),E1773)</f>
        <v>46098</v>
      </c>
      <c r="G1773" s="8">
        <v>46105</v>
      </c>
      <c r="H1773" s="6">
        <f t="shared" si="69"/>
        <v>11</v>
      </c>
      <c r="I1773" s="6">
        <f>MAX(1, NETWORKDAYS(A1773, G1773,Table2[Dias no laborales]))</f>
        <v>6</v>
      </c>
      <c r="J1773" s="6" t="str">
        <f>IF(Table1[[#This Row],[FIN]]="","Acumulado",IF(ISNUMBER(SEARCH("ASAP",C1773)),"ASAP",IF(NETWORKDAYS.INTL(F1773,G1773,1,Table2[Dias no laborales]) &lt;= 7, "Dentro", IF(A1773&gt;F1773,"Programado","Fuera"))))</f>
        <v>Dentro</v>
      </c>
      <c r="K1773" s="6" t="str">
        <f t="shared" si="70"/>
        <v>A tiempo</v>
      </c>
      <c r="L1773" s="8">
        <v>46098</v>
      </c>
      <c r="M1773" s="17">
        <f>MAX(1,NETWORKDAYS(A1773,L1773,Table2[Dias no laborales]))</f>
        <v>1</v>
      </c>
    </row>
    <row r="1774" spans="1:13" hidden="1" x14ac:dyDescent="0.3">
      <c r="A1774" s="8">
        <v>46098</v>
      </c>
      <c r="B1774" s="16" t="s">
        <v>3519</v>
      </c>
      <c r="C1774" s="6" t="s">
        <v>3664</v>
      </c>
      <c r="D1774" s="6" t="s">
        <v>24</v>
      </c>
      <c r="E1774" s="14"/>
      <c r="F1774" s="8">
        <f>IF(HOUR(Table1[[#This Row],[CORREO]])&gt;=11,WORKDAY(Table1[[#This Row],[CORREO]],1,Table2[Dias no laborales]),E1774)</f>
        <v>0</v>
      </c>
      <c r="G1774" s="8">
        <v>46101</v>
      </c>
      <c r="H1774" s="6">
        <f t="shared" si="69"/>
        <v>11</v>
      </c>
      <c r="I1774" s="6">
        <f>MAX(1, NETWORKDAYS(A1774, G1774,Table2[Dias no laborales]))</f>
        <v>4</v>
      </c>
      <c r="J1774" s="6" t="str">
        <f>IF(Table1[[#This Row],[FIN]]="","Acumulado",IF(ISNUMBER(SEARCH("ASAP",C1774)),"ASAP",IF(NETWORKDAYS.INTL(F1774,G1774,1,Table2[Dias no laborales]) &lt;= 7, "Dentro", IF(A1774&gt;F1774,"Programado","Fuera"))))</f>
        <v>Programado</v>
      </c>
      <c r="K1774" s="6" t="str">
        <f t="shared" si="70"/>
        <v>Programados</v>
      </c>
      <c r="L1774" s="8">
        <v>46098</v>
      </c>
      <c r="M1774" s="17">
        <f>MAX(1,NETWORKDAYS(A1774,L1774,Table2[Dias no laborales]))</f>
        <v>1</v>
      </c>
    </row>
    <row r="1775" spans="1:13" hidden="1" x14ac:dyDescent="0.3">
      <c r="A1775" s="8">
        <v>46098</v>
      </c>
      <c r="B1775" s="16" t="s">
        <v>3520</v>
      </c>
      <c r="C1775" s="6" t="s">
        <v>3665</v>
      </c>
      <c r="D1775" s="6" t="s">
        <v>372</v>
      </c>
      <c r="E1775" s="14">
        <v>46098.414583333331</v>
      </c>
      <c r="F1775" s="8">
        <f>IF(HOUR(Table1[[#This Row],[CORREO]])&gt;=11,WORKDAY(Table1[[#This Row],[CORREO]],1,Table2[Dias no laborales]),E1775)</f>
        <v>46098.414583333331</v>
      </c>
      <c r="G1775" s="8">
        <v>46106</v>
      </c>
      <c r="H1775" s="6">
        <f t="shared" si="69"/>
        <v>11</v>
      </c>
      <c r="I1775" s="6">
        <f>MAX(1, NETWORKDAYS(A1775, G1775,Table2[Dias no laborales]))</f>
        <v>7</v>
      </c>
      <c r="J1775" s="6" t="str">
        <f>IF(Table1[[#This Row],[FIN]]="","Acumulado",IF(ISNUMBER(SEARCH("ASAP",C1775)),"ASAP",IF(NETWORKDAYS.INTL(F1775,G1775,1,Table2[Dias no laborales]) &lt;= 7, "Dentro", IF(A1775&gt;F1775,"Programado","Fuera"))))</f>
        <v>Dentro</v>
      </c>
      <c r="K1775" s="6" t="str">
        <f t="shared" si="70"/>
        <v>A tiempo</v>
      </c>
      <c r="L1775" s="8">
        <v>46098</v>
      </c>
      <c r="M1775" s="17">
        <f>MAX(1,NETWORKDAYS(A1775,L1775,Table2[Dias no laborales]))</f>
        <v>1</v>
      </c>
    </row>
    <row r="1776" spans="1:13" hidden="1" x14ac:dyDescent="0.3">
      <c r="A1776" s="8">
        <v>46098</v>
      </c>
      <c r="B1776" s="16" t="s">
        <v>3521</v>
      </c>
      <c r="C1776" s="6" t="s">
        <v>3666</v>
      </c>
      <c r="D1776" s="6" t="s">
        <v>538</v>
      </c>
      <c r="E1776" s="14">
        <v>46098.423611111109</v>
      </c>
      <c r="F1776" s="8">
        <f>IF(HOUR(Table1[[#This Row],[CORREO]])&gt;=11,WORKDAY(Table1[[#This Row],[CORREO]],1,Table2[Dias no laborales]),E1776)</f>
        <v>46098.423611111109</v>
      </c>
      <c r="G1776" s="8">
        <v>46101</v>
      </c>
      <c r="H1776" s="6">
        <f t="shared" si="69"/>
        <v>11</v>
      </c>
      <c r="I1776" s="6">
        <f>MAX(1, NETWORKDAYS(A1776, G1776,Table2[Dias no laborales]))</f>
        <v>4</v>
      </c>
      <c r="J1776" s="6" t="str">
        <f>IF(Table1[[#This Row],[FIN]]="","Acumulado",IF(ISNUMBER(SEARCH("ASAP",C1776)),"ASAP",IF(NETWORKDAYS.INTL(F1776,G1776,1,Table2[Dias no laborales]) &lt;= 7, "Dentro", IF(A1776&gt;F1776,"Programado","Fuera"))))</f>
        <v>Dentro</v>
      </c>
      <c r="K1776" s="6" t="str">
        <f t="shared" si="70"/>
        <v>A tiempo</v>
      </c>
      <c r="L1776" s="8">
        <v>46099</v>
      </c>
      <c r="M1776" s="17">
        <f>MAX(1,NETWORKDAYS(A1776,L1776,Table2[Dias no laborales]))</f>
        <v>2</v>
      </c>
    </row>
    <row r="1777" spans="1:13" hidden="1" x14ac:dyDescent="0.3">
      <c r="A1777" s="8">
        <v>46098</v>
      </c>
      <c r="B1777" s="16" t="s">
        <v>3522</v>
      </c>
      <c r="C1777" s="6" t="s">
        <v>3667</v>
      </c>
      <c r="D1777" s="6" t="s">
        <v>24</v>
      </c>
      <c r="E1777" s="14">
        <v>46098.452777777777</v>
      </c>
      <c r="F1777" s="8">
        <f>IF(HOUR(Table1[[#This Row],[CORREO]])&gt;=11,WORKDAY(Table1[[#This Row],[CORREO]],1,Table2[Dias no laborales]),E1777)</f>
        <v>46098.452777777777</v>
      </c>
      <c r="G1777" s="8">
        <v>46101</v>
      </c>
      <c r="H1777" s="6">
        <f t="shared" si="69"/>
        <v>11</v>
      </c>
      <c r="I1777" s="6">
        <f>MAX(1, NETWORKDAYS(A1777, G1777,Table2[Dias no laborales]))</f>
        <v>4</v>
      </c>
      <c r="J1777" s="6" t="str">
        <f>IF(Table1[[#This Row],[FIN]]="","Acumulado",IF(ISNUMBER(SEARCH("ASAP",C1777)),"ASAP",IF(NETWORKDAYS.INTL(F1777,G1777,1,Table2[Dias no laborales]) &lt;= 7, "Dentro", IF(A1777&gt;F1777,"Programado","Fuera"))))</f>
        <v>Dentro</v>
      </c>
      <c r="K1777" s="6" t="str">
        <f t="shared" si="70"/>
        <v>A tiempo</v>
      </c>
      <c r="L1777" s="8">
        <v>46098</v>
      </c>
      <c r="M1777" s="17">
        <f>MAX(1,NETWORKDAYS(A1777,L1777,Table2[Dias no laborales]))</f>
        <v>1</v>
      </c>
    </row>
    <row r="1778" spans="1:13" hidden="1" x14ac:dyDescent="0.3">
      <c r="A1778" s="8">
        <v>46098</v>
      </c>
      <c r="B1778" s="16" t="s">
        <v>3523</v>
      </c>
      <c r="C1778" s="6" t="s">
        <v>3668</v>
      </c>
      <c r="D1778" s="6" t="s">
        <v>3669</v>
      </c>
      <c r="E1778" s="14">
        <v>46098.634027777778</v>
      </c>
      <c r="F1778" s="8">
        <f>IF(HOUR(Table1[[#This Row],[CORREO]])&gt;=11,WORKDAY(Table1[[#This Row],[CORREO]],1,Table2[Dias no laborales]),E1778)</f>
        <v>46099</v>
      </c>
      <c r="G1778" s="8">
        <v>46100</v>
      </c>
      <c r="H1778" s="6">
        <f t="shared" si="69"/>
        <v>11</v>
      </c>
      <c r="I1778" s="6">
        <f>MAX(1, NETWORKDAYS(A1778, G1778,Table2[Dias no laborales]))</f>
        <v>3</v>
      </c>
      <c r="J1778" s="6" t="str">
        <f>IF(Table1[[#This Row],[FIN]]="","Acumulado",IF(ISNUMBER(SEARCH("ASAP",C1778)),"ASAP",IF(NETWORKDAYS.INTL(F1778,G1778,1,Table2[Dias no laborales]) &lt;= 7, "Dentro", IF(A1778&gt;F1778,"Programado","Fuera"))))</f>
        <v>Dentro</v>
      </c>
      <c r="K1778" s="6" t="str">
        <f t="shared" si="70"/>
        <v>Mismo día</v>
      </c>
      <c r="L1778" s="8">
        <v>46098</v>
      </c>
      <c r="M1778" s="17">
        <f>MAX(1,NETWORKDAYS(A1778,L1778,Table2[Dias no laborales]))</f>
        <v>1</v>
      </c>
    </row>
    <row r="1779" spans="1:13" hidden="1" x14ac:dyDescent="0.3">
      <c r="A1779" s="8">
        <v>46099</v>
      </c>
      <c r="B1779" s="16" t="s">
        <v>3524</v>
      </c>
      <c r="C1779" s="6" t="s">
        <v>3670</v>
      </c>
      <c r="D1779" s="6" t="s">
        <v>24</v>
      </c>
      <c r="E1779" s="14">
        <v>46098.703472222223</v>
      </c>
      <c r="F1779" s="8">
        <f>IF(HOUR(Table1[[#This Row],[CORREO]])&gt;=11,WORKDAY(Table1[[#This Row],[CORREO]],1,Table2[Dias no laborales]),E1779)</f>
        <v>46099</v>
      </c>
      <c r="G1779" s="8">
        <v>46107</v>
      </c>
      <c r="H1779" s="6">
        <f t="shared" si="69"/>
        <v>11</v>
      </c>
      <c r="I1779" s="6">
        <f>MAX(1, NETWORKDAYS(A1779, G1779,Table2[Dias no laborales]))</f>
        <v>7</v>
      </c>
      <c r="J1779" s="6" t="str">
        <f>IF(Table1[[#This Row],[FIN]]="","Acumulado",IF(ISNUMBER(SEARCH("ASAP",C1779)),"ASAP",IF(NETWORKDAYS.INTL(F1779,G1779,1,Table2[Dias no laborales]) &lt;= 7, "Dentro", IF(A1779&gt;F1779,"Programado","Fuera"))))</f>
        <v>Dentro</v>
      </c>
      <c r="K1779" s="6" t="str">
        <f t="shared" si="70"/>
        <v>A tiempo</v>
      </c>
      <c r="L1779" s="8">
        <v>46099</v>
      </c>
      <c r="M1779" s="17">
        <f>MAX(1,NETWORKDAYS(A1779,L1779,Table2[Dias no laborales]))</f>
        <v>1</v>
      </c>
    </row>
    <row r="1780" spans="1:13" hidden="1" x14ac:dyDescent="0.3">
      <c r="A1780" s="8">
        <v>46099</v>
      </c>
      <c r="B1780" s="16" t="s">
        <v>3525</v>
      </c>
      <c r="C1780" s="6" t="s">
        <v>3671</v>
      </c>
      <c r="D1780" s="6" t="s">
        <v>1136</v>
      </c>
      <c r="E1780" s="14"/>
      <c r="F1780" s="8">
        <f>IF(HOUR(Table1[[#This Row],[CORREO]])&gt;=11,WORKDAY(Table1[[#This Row],[CORREO]],1,Table2[Dias no laborales]),E1780)</f>
        <v>0</v>
      </c>
      <c r="G1780" s="8">
        <v>46111</v>
      </c>
      <c r="H1780" s="6">
        <f t="shared" si="69"/>
        <v>11</v>
      </c>
      <c r="I1780" s="6">
        <f>MAX(1, NETWORKDAYS(A1780, G1780,Table2[Dias no laborales]))</f>
        <v>9</v>
      </c>
      <c r="J1780" s="6" t="str">
        <f>IF(Table1[[#This Row],[FIN]]="","Acumulado",IF(ISNUMBER(SEARCH("ASAP",C1780)),"ASAP",IF(NETWORKDAYS.INTL(F1780,G1780,1,Table2[Dias no laborales]) &lt;= 7, "Dentro", IF(A1780&gt;F1780,"Programado","Fuera"))))</f>
        <v>Programado</v>
      </c>
      <c r="K1780" s="6" t="str">
        <f t="shared" si="70"/>
        <v>Programados</v>
      </c>
      <c r="L1780" s="8">
        <v>46099</v>
      </c>
      <c r="M1780" s="17">
        <f>MAX(1,NETWORKDAYS(A1780,L1780,Table2[Dias no laborales]))</f>
        <v>1</v>
      </c>
    </row>
    <row r="1781" spans="1:13" hidden="1" x14ac:dyDescent="0.3">
      <c r="A1781" s="8">
        <v>46099</v>
      </c>
      <c r="B1781" s="16" t="s">
        <v>3526</v>
      </c>
      <c r="C1781" s="6" t="s">
        <v>3672</v>
      </c>
      <c r="D1781" s="6" t="s">
        <v>3673</v>
      </c>
      <c r="E1781" s="14">
        <v>46098.904861111114</v>
      </c>
      <c r="F1781" s="8">
        <f>IF(HOUR(Table1[[#This Row],[CORREO]])&gt;=11,WORKDAY(Table1[[#This Row],[CORREO]],1,Table2[Dias no laborales]),E1781)</f>
        <v>46099</v>
      </c>
      <c r="G1781" s="8">
        <v>46104</v>
      </c>
      <c r="H1781" s="6">
        <f t="shared" si="69"/>
        <v>11</v>
      </c>
      <c r="I1781" s="6">
        <f>MAX(1, NETWORKDAYS(A1781, G1781,Table2[Dias no laborales]))</f>
        <v>4</v>
      </c>
      <c r="J1781" s="6" t="str">
        <f>IF(Table1[[#This Row],[FIN]]="","Acumulado",IF(ISNUMBER(SEARCH("ASAP",C1781)),"ASAP",IF(NETWORKDAYS.INTL(F1781,G1781,1,Table2[Dias no laborales]) &lt;= 7, "Dentro", IF(A1781&gt;F1781,"Programado","Fuera"))))</f>
        <v>Dentro</v>
      </c>
      <c r="K1781" s="6" t="str">
        <f t="shared" si="70"/>
        <v>A tiempo</v>
      </c>
      <c r="L1781" s="8">
        <v>46099</v>
      </c>
      <c r="M1781" s="17">
        <f>MAX(1,NETWORKDAYS(A1781,L1781,Table2[Dias no laborales]))</f>
        <v>1</v>
      </c>
    </row>
    <row r="1782" spans="1:13" hidden="1" x14ac:dyDescent="0.3">
      <c r="A1782" s="8">
        <v>46099</v>
      </c>
      <c r="B1782" s="16" t="s">
        <v>3527</v>
      </c>
      <c r="C1782" s="6" t="s">
        <v>3674</v>
      </c>
      <c r="D1782" s="6" t="s">
        <v>85</v>
      </c>
      <c r="E1782" s="14">
        <v>46099.357638888891</v>
      </c>
      <c r="F1782" s="8">
        <f>IF(HOUR(Table1[[#This Row],[CORREO]])&gt;=11,WORKDAY(Table1[[#This Row],[CORREO]],1,Table2[Dias no laborales]),E1782)</f>
        <v>46099.357638888891</v>
      </c>
      <c r="G1782" s="8">
        <v>46104</v>
      </c>
      <c r="H1782" s="6">
        <f t="shared" si="69"/>
        <v>11</v>
      </c>
      <c r="I1782" s="6">
        <f>MAX(1, NETWORKDAYS(A1782, G1782,Table2[Dias no laborales]))</f>
        <v>4</v>
      </c>
      <c r="J1782" s="6" t="str">
        <f>IF(Table1[[#This Row],[FIN]]="","Acumulado",IF(ISNUMBER(SEARCH("ASAP",C1782)),"ASAP",IF(NETWORKDAYS.INTL(F1782,G1782,1,Table2[Dias no laborales]) &lt;= 7, "Dentro", IF(A1782&gt;F1782,"Programado","Fuera"))))</f>
        <v>Dentro</v>
      </c>
      <c r="K1782" s="6" t="str">
        <f t="shared" si="70"/>
        <v>A tiempo</v>
      </c>
      <c r="L1782" s="8">
        <v>46099</v>
      </c>
      <c r="M1782" s="17">
        <f>MAX(1,NETWORKDAYS(A1782,L1782,Table2[Dias no laborales]))</f>
        <v>1</v>
      </c>
    </row>
    <row r="1783" spans="1:13" hidden="1" x14ac:dyDescent="0.3">
      <c r="A1783" s="8">
        <v>46099</v>
      </c>
      <c r="B1783" s="16" t="s">
        <v>3528</v>
      </c>
      <c r="C1783" s="6" t="s">
        <v>3675</v>
      </c>
      <c r="D1783" s="6" t="s">
        <v>2994</v>
      </c>
      <c r="E1783" s="14">
        <v>46099.385416666664</v>
      </c>
      <c r="F1783" s="8">
        <f>IF(HOUR(Table1[[#This Row],[CORREO]])&gt;=11,WORKDAY(Table1[[#This Row],[CORREO]],1,Table2[Dias no laborales]),E1783)</f>
        <v>46099.385416666664</v>
      </c>
      <c r="G1783" s="8">
        <v>46111</v>
      </c>
      <c r="H1783" s="6">
        <f t="shared" si="69"/>
        <v>11</v>
      </c>
      <c r="I1783" s="6">
        <f>MAX(1, NETWORKDAYS(A1783, G1783,Table2[Dias no laborales]))</f>
        <v>9</v>
      </c>
      <c r="J1783" s="6" t="str">
        <f>IF(Table1[[#This Row],[FIN]]="","Acumulado",IF(ISNUMBER(SEARCH("ASAP",C1783)),"ASAP",IF(NETWORKDAYS.INTL(F1783,G1783,1,Table2[Dias no laborales]) &lt;= 7, "Dentro", IF(A1783&gt;F1783,"Programado","Fuera"))))</f>
        <v>Fuera</v>
      </c>
      <c r="K1783" s="6" t="str">
        <f t="shared" si="70"/>
        <v>A tiempo</v>
      </c>
      <c r="L1783" s="8">
        <v>46099</v>
      </c>
      <c r="M1783" s="17">
        <f>MAX(1,NETWORKDAYS(A1783,L1783,Table2[Dias no laborales]))</f>
        <v>1</v>
      </c>
    </row>
    <row r="1784" spans="1:13" hidden="1" x14ac:dyDescent="0.3">
      <c r="A1784" s="8">
        <v>46099</v>
      </c>
      <c r="B1784" s="16" t="s">
        <v>3529</v>
      </c>
      <c r="C1784" s="6" t="s">
        <v>3676</v>
      </c>
      <c r="D1784" s="6" t="s">
        <v>1360</v>
      </c>
      <c r="E1784" s="14">
        <v>46099.388194444444</v>
      </c>
      <c r="F1784" s="8">
        <f>IF(HOUR(Table1[[#This Row],[CORREO]])&gt;=11,WORKDAY(Table1[[#This Row],[CORREO]],1,Table2[Dias no laborales]),E1784)</f>
        <v>46099.388194444444</v>
      </c>
      <c r="G1784" s="8">
        <v>46122</v>
      </c>
      <c r="H1784" s="6">
        <f t="shared" si="69"/>
        <v>11</v>
      </c>
      <c r="I1784" s="6">
        <f>MAX(1, NETWORKDAYS(A1784, G1784,Table2[Dias no laborales]))</f>
        <v>16</v>
      </c>
      <c r="J1784" s="6" t="str">
        <f>IF(Table1[[#This Row],[FIN]]="","Acumulado",IF(ISNUMBER(SEARCH("ASAP",C1784)),"ASAP",IF(NETWORKDAYS.INTL(F1784,G1784,1,Table2[Dias no laborales]) &lt;= 7, "Dentro", IF(A1784&gt;F1784,"Programado","Fuera"))))</f>
        <v>Fuera</v>
      </c>
      <c r="K1784" s="6" t="str">
        <f t="shared" si="70"/>
        <v>A tiempo</v>
      </c>
      <c r="L1784" s="8">
        <v>46099</v>
      </c>
      <c r="M1784" s="17">
        <f>MAX(1,NETWORKDAYS(A1784,L1784,Table2[Dias no laborales]))</f>
        <v>1</v>
      </c>
    </row>
    <row r="1785" spans="1:13" hidden="1" x14ac:dyDescent="0.3">
      <c r="A1785" s="8">
        <v>46099</v>
      </c>
      <c r="B1785" s="16" t="s">
        <v>3530</v>
      </c>
      <c r="C1785" s="6" t="s">
        <v>3677</v>
      </c>
      <c r="D1785" s="6" t="s">
        <v>2586</v>
      </c>
      <c r="E1785" s="14">
        <v>46099.396527777775</v>
      </c>
      <c r="F1785" s="8">
        <f>IF(HOUR(Table1[[#This Row],[CORREO]])&gt;=11,WORKDAY(Table1[[#This Row],[CORREO]],1,Table2[Dias no laborales]),E1785)</f>
        <v>46099.396527777775</v>
      </c>
      <c r="G1785" s="8">
        <v>46105</v>
      </c>
      <c r="H1785" s="6">
        <f t="shared" si="69"/>
        <v>11</v>
      </c>
      <c r="I1785" s="6">
        <f>MAX(1, NETWORKDAYS(A1785, G1785,Table2[Dias no laborales]))</f>
        <v>5</v>
      </c>
      <c r="J1785" s="6" t="str">
        <f>IF(Table1[[#This Row],[FIN]]="","Acumulado",IF(ISNUMBER(SEARCH("ASAP",C1785)),"ASAP",IF(NETWORKDAYS.INTL(F1785,G1785,1,Table2[Dias no laborales]) &lt;= 7, "Dentro", IF(A1785&gt;F1785,"Programado","Fuera"))))</f>
        <v>Dentro</v>
      </c>
      <c r="K1785" s="6" t="str">
        <f t="shared" si="70"/>
        <v>A tiempo</v>
      </c>
      <c r="L1785" s="8">
        <v>46099</v>
      </c>
      <c r="M1785" s="17">
        <f>MAX(1,NETWORKDAYS(A1785,L1785,Table2[Dias no laborales]))</f>
        <v>1</v>
      </c>
    </row>
    <row r="1786" spans="1:13" hidden="1" x14ac:dyDescent="0.3">
      <c r="A1786" s="8">
        <v>46099</v>
      </c>
      <c r="B1786" s="16" t="s">
        <v>3531</v>
      </c>
      <c r="C1786" s="6" t="s">
        <v>3678</v>
      </c>
      <c r="D1786" s="6" t="s">
        <v>24</v>
      </c>
      <c r="E1786" s="14">
        <v>46099.45</v>
      </c>
      <c r="F1786" s="8">
        <f>IF(HOUR(Table1[[#This Row],[CORREO]])&gt;=11,WORKDAY(Table1[[#This Row],[CORREO]],1,Table2[Dias no laborales]),E1786)</f>
        <v>46099.45</v>
      </c>
      <c r="G1786" s="8">
        <v>46099</v>
      </c>
      <c r="H1786" s="6">
        <f t="shared" si="69"/>
        <v>11</v>
      </c>
      <c r="I1786" s="6">
        <f>MAX(1, NETWORKDAYS(A1786, G1786,Table2[Dias no laborales]))</f>
        <v>1</v>
      </c>
      <c r="J1786" s="6" t="str">
        <f>IF(Table1[[#This Row],[FIN]]="","Acumulado",IF(ISNUMBER(SEARCH("ASAP",C1786)),"ASAP",IF(NETWORKDAYS.INTL(F1786,G1786,1,Table2[Dias no laborales]) &lt;= 7, "Dentro", IF(A1786&gt;F1786,"Programado","Fuera"))))</f>
        <v>Dentro</v>
      </c>
      <c r="K1786" s="6" t="str">
        <f t="shared" si="70"/>
        <v>A tiempo</v>
      </c>
      <c r="L1786" s="8">
        <v>46099</v>
      </c>
      <c r="M1786" s="17">
        <f>MAX(1,NETWORKDAYS(A1786,L1786,Table2[Dias no laborales]))</f>
        <v>1</v>
      </c>
    </row>
    <row r="1787" spans="1:13" hidden="1" x14ac:dyDescent="0.3">
      <c r="A1787" s="8">
        <v>46099</v>
      </c>
      <c r="B1787" s="16" t="s">
        <v>3532</v>
      </c>
      <c r="C1787" s="6" t="s">
        <v>3679</v>
      </c>
      <c r="D1787" s="6" t="s">
        <v>3680</v>
      </c>
      <c r="E1787" s="14">
        <v>46099.477083333331</v>
      </c>
      <c r="F1787" s="8">
        <f>IF(HOUR(Table1[[#This Row],[CORREO]])&gt;=11,WORKDAY(Table1[[#This Row],[CORREO]],1,Table2[Dias no laborales]),E1787)</f>
        <v>46100</v>
      </c>
      <c r="G1787" s="8">
        <v>46111</v>
      </c>
      <c r="H1787" s="6">
        <f t="shared" si="69"/>
        <v>11</v>
      </c>
      <c r="I1787" s="6">
        <f>MAX(1, NETWORKDAYS(A1787, G1787,Table2[Dias no laborales]))</f>
        <v>9</v>
      </c>
      <c r="J1787" s="6" t="str">
        <f>IF(Table1[[#This Row],[FIN]]="","Acumulado",IF(ISNUMBER(SEARCH("ASAP",C1787)),"ASAP",IF(NETWORKDAYS.INTL(F1787,G1787,1,Table2[Dias no laborales]) &lt;= 7, "Dentro", IF(A1787&gt;F1787,"Programado","Fuera"))))</f>
        <v>Fuera</v>
      </c>
      <c r="K1787" s="6" t="str">
        <f t="shared" si="70"/>
        <v>Mismo día</v>
      </c>
      <c r="L1787" s="8">
        <v>46099</v>
      </c>
      <c r="M1787" s="17">
        <f>MAX(1,NETWORKDAYS(A1787,L1787,Table2[Dias no laborales]))</f>
        <v>1</v>
      </c>
    </row>
    <row r="1788" spans="1:13" hidden="1" x14ac:dyDescent="0.3">
      <c r="A1788" s="8">
        <v>46099</v>
      </c>
      <c r="B1788" s="16" t="s">
        <v>3533</v>
      </c>
      <c r="C1788" s="6" t="s">
        <v>3662</v>
      </c>
      <c r="D1788" s="6" t="s">
        <v>3663</v>
      </c>
      <c r="E1788" s="14">
        <v>46099.501388888886</v>
      </c>
      <c r="F1788" s="8">
        <f>IF(HOUR(Table1[[#This Row],[CORREO]])&gt;=11,WORKDAY(Table1[[#This Row],[CORREO]],1,Table2[Dias no laborales]),E1788)</f>
        <v>46100</v>
      </c>
      <c r="G1788" s="8">
        <v>46105</v>
      </c>
      <c r="H1788" s="6">
        <f t="shared" si="69"/>
        <v>11</v>
      </c>
      <c r="I1788" s="6">
        <f>MAX(1, NETWORKDAYS(A1788, G1788,Table2[Dias no laborales]))</f>
        <v>5</v>
      </c>
      <c r="J1788" s="6" t="str">
        <f>IF(Table1[[#This Row],[FIN]]="","Acumulado",IF(ISNUMBER(SEARCH("ASAP",C1788)),"ASAP",IF(NETWORKDAYS.INTL(F1788,G1788,1,Table2[Dias no laborales]) &lt;= 7, "Dentro", IF(A1788&gt;F1788,"Programado","Fuera"))))</f>
        <v>Dentro</v>
      </c>
      <c r="K1788" s="6" t="str">
        <f t="shared" si="70"/>
        <v>Mismo día</v>
      </c>
      <c r="L1788" s="8">
        <v>46099</v>
      </c>
      <c r="M1788" s="17">
        <f>MAX(1,NETWORKDAYS(A1788,L1788,Table2[Dias no laborales]))</f>
        <v>1</v>
      </c>
    </row>
    <row r="1789" spans="1:13" hidden="1" x14ac:dyDescent="0.3">
      <c r="A1789" s="8">
        <v>46100</v>
      </c>
      <c r="B1789" s="16" t="s">
        <v>3534</v>
      </c>
      <c r="C1789" s="6" t="s">
        <v>3681</v>
      </c>
      <c r="D1789" s="6" t="s">
        <v>61</v>
      </c>
      <c r="E1789" s="14">
        <v>46099.501388888886</v>
      </c>
      <c r="F1789" s="8">
        <f>IF(HOUR(Table1[[#This Row],[CORREO]])&gt;=11,WORKDAY(Table1[[#This Row],[CORREO]],1,Table2[Dias no laborales]),E1789)</f>
        <v>46100</v>
      </c>
      <c r="G1789" s="8">
        <v>46101</v>
      </c>
      <c r="H1789" s="6">
        <f t="shared" si="69"/>
        <v>12</v>
      </c>
      <c r="I1789" s="6">
        <f>MAX(1, NETWORKDAYS(A1789, G1789,Table2[Dias no laborales]))</f>
        <v>2</v>
      </c>
      <c r="J1789" s="6" t="str">
        <f>IF(Table1[[#This Row],[FIN]]="","Acumulado",IF(ISNUMBER(SEARCH("ASAP",C1789)),"ASAP",IF(NETWORKDAYS.INTL(F1789,G1789,1,Table2[Dias no laborales]) &lt;= 7, "Dentro", IF(A1789&gt;F1789,"Programado","Fuera"))))</f>
        <v>Dentro</v>
      </c>
      <c r="K1789" s="6" t="str">
        <f t="shared" si="70"/>
        <v>A tiempo</v>
      </c>
      <c r="L1789" s="8">
        <v>46100</v>
      </c>
      <c r="M1789" s="17">
        <f>MAX(1,NETWORKDAYS(A1789,L1789,Table2[Dias no laborales]))</f>
        <v>1</v>
      </c>
    </row>
    <row r="1790" spans="1:13" hidden="1" x14ac:dyDescent="0.3">
      <c r="A1790" s="8">
        <v>46100</v>
      </c>
      <c r="B1790" s="16" t="s">
        <v>3535</v>
      </c>
      <c r="C1790" s="6" t="s">
        <v>3682</v>
      </c>
      <c r="D1790" s="6" t="s">
        <v>139</v>
      </c>
      <c r="E1790" s="14"/>
      <c r="F1790" s="8">
        <f>IF(HOUR(Table1[[#This Row],[CORREO]])&gt;=11,WORKDAY(Table1[[#This Row],[CORREO]],1,Table2[Dias no laborales]),E1790)</f>
        <v>0</v>
      </c>
      <c r="G1790" s="8">
        <v>46118</v>
      </c>
      <c r="H1790" s="6">
        <f t="shared" ref="H1790:H1821" si="71">INT((A1790-DATE(YEAR(A1790),1,1))/7) + 1</f>
        <v>12</v>
      </c>
      <c r="I1790" s="6">
        <f>MAX(1, NETWORKDAYS(A1790, G1790,Table2[Dias no laborales]))</f>
        <v>11</v>
      </c>
      <c r="J1790" s="6" t="str">
        <f>IF(Table1[[#This Row],[FIN]]="","Acumulado",IF(ISNUMBER(SEARCH("ASAP",C1790)),"ASAP",IF(NETWORKDAYS.INTL(F1790,G1790,1,Table2[Dias no laborales]) &lt;= 7, "Dentro", IF(A1790&gt;F1790,"Programado","Fuera"))))</f>
        <v>Programado</v>
      </c>
      <c r="K1790" s="6" t="str">
        <f t="shared" ref="K1790:K1821" si="72">IF(INT(A1790)=INT(F1790),"A tiempo", IF(A1790&lt;F1790,"Mismo día","Programados"))</f>
        <v>Programados</v>
      </c>
      <c r="L1790" s="8">
        <v>46100</v>
      </c>
      <c r="M1790" s="17">
        <f>MAX(1,NETWORKDAYS(A1790,L1790,Table2[Dias no laborales]))</f>
        <v>1</v>
      </c>
    </row>
    <row r="1791" spans="1:13" hidden="1" x14ac:dyDescent="0.3">
      <c r="A1791" s="8">
        <v>46100</v>
      </c>
      <c r="B1791" s="16" t="s">
        <v>3536</v>
      </c>
      <c r="C1791" s="6" t="s">
        <v>3683</v>
      </c>
      <c r="D1791" s="6" t="s">
        <v>351</v>
      </c>
      <c r="E1791" s="14">
        <v>46099.550694444442</v>
      </c>
      <c r="F1791" s="8">
        <f>IF(HOUR(Table1[[#This Row],[CORREO]])&gt;=11,WORKDAY(Table1[[#This Row],[CORREO]],1,Table2[Dias no laborales]),E1791)</f>
        <v>46100</v>
      </c>
      <c r="G1791" s="8">
        <v>46108</v>
      </c>
      <c r="H1791" s="6">
        <f t="shared" si="71"/>
        <v>12</v>
      </c>
      <c r="I1791" s="6">
        <f>MAX(1, NETWORKDAYS(A1791, G1791,Table2[Dias no laborales]))</f>
        <v>7</v>
      </c>
      <c r="J1791" s="6" t="str">
        <f>IF(Table1[[#This Row],[FIN]]="","Acumulado",IF(ISNUMBER(SEARCH("ASAP",C1791)),"ASAP",IF(NETWORKDAYS.INTL(F1791,G1791,1,Table2[Dias no laborales]) &lt;= 7, "Dentro", IF(A1791&gt;F1791,"Programado","Fuera"))))</f>
        <v>Dentro</v>
      </c>
      <c r="K1791" s="6" t="str">
        <f t="shared" si="72"/>
        <v>A tiempo</v>
      </c>
      <c r="L1791" s="8">
        <v>46100</v>
      </c>
      <c r="M1791" s="17">
        <f>MAX(1,NETWORKDAYS(A1791,L1791,Table2[Dias no laborales]))</f>
        <v>1</v>
      </c>
    </row>
    <row r="1792" spans="1:13" hidden="1" x14ac:dyDescent="0.3">
      <c r="A1792" s="8">
        <v>46100</v>
      </c>
      <c r="B1792" s="16" t="s">
        <v>3537</v>
      </c>
      <c r="C1792" s="6" t="s">
        <v>3684</v>
      </c>
      <c r="D1792" s="6" t="s">
        <v>24</v>
      </c>
      <c r="E1792" s="14">
        <v>46071.606944444444</v>
      </c>
      <c r="F1792" s="8">
        <f>IF(HOUR(Table1[[#This Row],[CORREO]])&gt;=11,WORKDAY(Table1[[#This Row],[CORREO]],1,Table2[Dias no laborales]),E1792)</f>
        <v>46072</v>
      </c>
      <c r="G1792" s="8">
        <v>46108</v>
      </c>
      <c r="H1792" s="6">
        <f t="shared" si="71"/>
        <v>12</v>
      </c>
      <c r="I1792" s="6">
        <f>MAX(1, NETWORKDAYS(A1792, G1792,Table2[Dias no laborales]))</f>
        <v>7</v>
      </c>
      <c r="J1792" s="6" t="str">
        <f>IF(Table1[[#This Row],[FIN]]="","Acumulado",IF(ISNUMBER(SEARCH("ASAP",C1792)),"ASAP",IF(NETWORKDAYS.INTL(F1792,G1792,1,Table2[Dias no laborales]) &lt;= 7, "Dentro", IF(A1792&gt;F1792,"Programado","Fuera"))))</f>
        <v>Programado</v>
      </c>
      <c r="K1792" s="6" t="str">
        <f t="shared" si="72"/>
        <v>Programados</v>
      </c>
      <c r="L1792" s="8">
        <v>46100</v>
      </c>
      <c r="M1792" s="17">
        <f>MAX(1,NETWORKDAYS(A1792,L1792,Table2[Dias no laborales]))</f>
        <v>1</v>
      </c>
    </row>
    <row r="1793" spans="1:13" hidden="1" x14ac:dyDescent="0.3">
      <c r="A1793" s="8">
        <v>46100</v>
      </c>
      <c r="B1793" s="16" t="s">
        <v>3538</v>
      </c>
      <c r="C1793" s="6" t="s">
        <v>3685</v>
      </c>
      <c r="D1793" s="6" t="s">
        <v>623</v>
      </c>
      <c r="E1793" s="14">
        <v>46099.734027777777</v>
      </c>
      <c r="F1793" s="8">
        <f>IF(HOUR(Table1[[#This Row],[CORREO]])&gt;=11,WORKDAY(Table1[[#This Row],[CORREO]],1,Table2[Dias no laborales]),E1793)</f>
        <v>46100</v>
      </c>
      <c r="G1793" s="8">
        <v>46101</v>
      </c>
      <c r="H1793" s="6">
        <f t="shared" si="71"/>
        <v>12</v>
      </c>
      <c r="I1793" s="6">
        <f>MAX(1, NETWORKDAYS(A1793, G1793,Table2[Dias no laborales]))</f>
        <v>2</v>
      </c>
      <c r="J1793" s="6" t="str">
        <f>IF(Table1[[#This Row],[FIN]]="","Acumulado",IF(ISNUMBER(SEARCH("ASAP",C1793)),"ASAP",IF(NETWORKDAYS.INTL(F1793,G1793,1,Table2[Dias no laborales]) &lt;= 7, "Dentro", IF(A1793&gt;F1793,"Programado","Fuera"))))</f>
        <v>Dentro</v>
      </c>
      <c r="K1793" s="6" t="str">
        <f t="shared" si="72"/>
        <v>A tiempo</v>
      </c>
      <c r="L1793" s="8">
        <v>46100</v>
      </c>
      <c r="M1793" s="17">
        <f>MAX(1,NETWORKDAYS(A1793,L1793,Table2[Dias no laborales]))</f>
        <v>1</v>
      </c>
    </row>
    <row r="1794" spans="1:13" hidden="1" x14ac:dyDescent="0.3">
      <c r="A1794" s="8">
        <v>46100</v>
      </c>
      <c r="B1794" s="16" t="s">
        <v>3539</v>
      </c>
      <c r="C1794" s="6" t="s">
        <v>3695</v>
      </c>
      <c r="D1794" s="6" t="s">
        <v>2586</v>
      </c>
      <c r="E1794" s="14">
        <v>46100.40902777778</v>
      </c>
      <c r="F1794" s="8">
        <f>IF(HOUR(Table1[[#This Row],[CORREO]])&gt;=11,WORKDAY(Table1[[#This Row],[CORREO]],1,Table2[Dias no laborales]),E1794)</f>
        <v>46100.40902777778</v>
      </c>
      <c r="G1794" s="8">
        <v>46101</v>
      </c>
      <c r="H1794" s="6">
        <f t="shared" si="71"/>
        <v>12</v>
      </c>
      <c r="I1794" s="6">
        <f>MAX(1, NETWORKDAYS(A1794, G1794,Table2[Dias no laborales]))</f>
        <v>2</v>
      </c>
      <c r="J1794" s="6" t="str">
        <f>IF(Table1[[#This Row],[FIN]]="","Acumulado",IF(ISNUMBER(SEARCH("ASAP",C1794)),"ASAP",IF(NETWORKDAYS.INTL(F1794,G1794,1,Table2[Dias no laborales]) &lt;= 7, "Dentro", IF(A1794&gt;F1794,"Programado","Fuera"))))</f>
        <v>Dentro</v>
      </c>
      <c r="K1794" s="6" t="str">
        <f t="shared" si="72"/>
        <v>A tiempo</v>
      </c>
      <c r="L1794" s="8">
        <v>46100</v>
      </c>
      <c r="M1794" s="17">
        <f>MAX(1,NETWORKDAYS(A1794,L1794,Table2[Dias no laborales]))</f>
        <v>1</v>
      </c>
    </row>
    <row r="1795" spans="1:13" hidden="1" x14ac:dyDescent="0.3">
      <c r="A1795" s="8">
        <v>46100</v>
      </c>
      <c r="B1795" s="16" t="s">
        <v>3540</v>
      </c>
      <c r="C1795" s="6" t="s">
        <v>3696</v>
      </c>
      <c r="D1795" s="6" t="s">
        <v>3697</v>
      </c>
      <c r="E1795" s="14">
        <v>46099.540972222225</v>
      </c>
      <c r="F1795" s="8">
        <f>IF(HOUR(Table1[[#This Row],[CORREO]])&gt;=11,WORKDAY(Table1[[#This Row],[CORREO]],1,Table2[Dias no laborales]),E1795)</f>
        <v>46100</v>
      </c>
      <c r="G1795" s="8">
        <v>46111</v>
      </c>
      <c r="H1795" s="6">
        <f t="shared" si="71"/>
        <v>12</v>
      </c>
      <c r="I1795" s="6">
        <f>MAX(1, NETWORKDAYS(A1795, G1795,Table2[Dias no laborales]))</f>
        <v>8</v>
      </c>
      <c r="J1795" s="6" t="str">
        <f>IF(Table1[[#This Row],[FIN]]="","Acumulado",IF(ISNUMBER(SEARCH("ASAP",C1795)),"ASAP",IF(NETWORKDAYS.INTL(F1795,G1795,1,Table2[Dias no laborales]) &lt;= 7, "Dentro", IF(A1795&gt;F1795,"Programado","Fuera"))))</f>
        <v>Fuera</v>
      </c>
      <c r="K1795" s="6" t="str">
        <f t="shared" si="72"/>
        <v>A tiempo</v>
      </c>
      <c r="L1795" s="8">
        <v>46100</v>
      </c>
      <c r="M1795" s="17">
        <f>MAX(1,NETWORKDAYS(A1795,L1795,Table2[Dias no laborales]))</f>
        <v>1</v>
      </c>
    </row>
    <row r="1796" spans="1:13" hidden="1" x14ac:dyDescent="0.3">
      <c r="A1796" s="8">
        <v>46100</v>
      </c>
      <c r="B1796" s="16" t="s">
        <v>3541</v>
      </c>
      <c r="C1796" s="6" t="s">
        <v>3698</v>
      </c>
      <c r="D1796" s="6" t="s">
        <v>1360</v>
      </c>
      <c r="E1796" s="14"/>
      <c r="F1796" s="8">
        <f>IF(HOUR(Table1[[#This Row],[CORREO]])&gt;=11,WORKDAY(Table1[[#This Row],[CORREO]],1,Table2[Dias no laborales]),E1796)</f>
        <v>0</v>
      </c>
      <c r="G1796" s="8">
        <v>46101</v>
      </c>
      <c r="H1796" s="6">
        <f t="shared" si="71"/>
        <v>12</v>
      </c>
      <c r="I1796" s="6">
        <f>MAX(1, NETWORKDAYS(A1796, G1796,Table2[Dias no laborales]))</f>
        <v>2</v>
      </c>
      <c r="J1796" s="6" t="str">
        <f>IF(Table1[[#This Row],[FIN]]="","Acumulado",IF(ISNUMBER(SEARCH("ASAP",C1796)),"ASAP",IF(NETWORKDAYS.INTL(F1796,G1796,1,Table2[Dias no laborales]) &lt;= 7, "Dentro", IF(A1796&gt;F1796,"Programado","Fuera"))))</f>
        <v>Programado</v>
      </c>
      <c r="K1796" s="6" t="str">
        <f t="shared" si="72"/>
        <v>Programados</v>
      </c>
      <c r="L1796" s="8">
        <v>46100</v>
      </c>
      <c r="M1796" s="17">
        <f>MAX(1,NETWORKDAYS(A1796,L1796,Table2[Dias no laborales]))</f>
        <v>1</v>
      </c>
    </row>
    <row r="1797" spans="1:13" hidden="1" x14ac:dyDescent="0.3">
      <c r="A1797" s="8">
        <v>46100</v>
      </c>
      <c r="B1797" s="16" t="s">
        <v>3542</v>
      </c>
      <c r="C1797" s="6" t="s">
        <v>3699</v>
      </c>
      <c r="D1797" s="6" t="s">
        <v>623</v>
      </c>
      <c r="E1797" s="14">
        <v>46100.515277777777</v>
      </c>
      <c r="F1797" s="8">
        <f>IF(HOUR(Table1[[#This Row],[CORREO]])&gt;=11,WORKDAY(Table1[[#This Row],[CORREO]],1,Table2[Dias no laborales]),E1797)</f>
        <v>46101</v>
      </c>
      <c r="G1797" s="8">
        <v>46104</v>
      </c>
      <c r="H1797" s="6">
        <f t="shared" si="71"/>
        <v>12</v>
      </c>
      <c r="I1797" s="6">
        <f>MAX(1, NETWORKDAYS(A1797, G1797,Table2[Dias no laborales]))</f>
        <v>3</v>
      </c>
      <c r="J1797" s="6" t="str">
        <f>IF(Table1[[#This Row],[FIN]]="","Acumulado",IF(ISNUMBER(SEARCH("ASAP",C1797)),"ASAP",IF(NETWORKDAYS.INTL(F1797,G1797,1,Table2[Dias no laborales]) &lt;= 7, "Dentro", IF(A1797&gt;F1797,"Programado","Fuera"))))</f>
        <v>Dentro</v>
      </c>
      <c r="K1797" s="6" t="str">
        <f t="shared" si="72"/>
        <v>Mismo día</v>
      </c>
      <c r="L1797" s="8">
        <v>46104</v>
      </c>
      <c r="M1797" s="17">
        <f>MAX(1,NETWORKDAYS(A1797,L1797,Table2[Dias no laborales]))</f>
        <v>3</v>
      </c>
    </row>
    <row r="1798" spans="1:13" hidden="1" x14ac:dyDescent="0.3">
      <c r="A1798" s="8">
        <v>46100</v>
      </c>
      <c r="B1798" s="16" t="s">
        <v>3543</v>
      </c>
      <c r="C1798" s="6" t="s">
        <v>3700</v>
      </c>
      <c r="D1798" s="6" t="s">
        <v>1333</v>
      </c>
      <c r="E1798" s="14">
        <v>46100.42083333333</v>
      </c>
      <c r="F1798" s="8">
        <f>IF(HOUR(Table1[[#This Row],[CORREO]])&gt;=11,WORKDAY(Table1[[#This Row],[CORREO]],1,Table2[Dias no laborales]),E1798)</f>
        <v>46100.42083333333</v>
      </c>
      <c r="G1798" s="8">
        <v>46104</v>
      </c>
      <c r="H1798" s="6">
        <f t="shared" si="71"/>
        <v>12</v>
      </c>
      <c r="I1798" s="6">
        <f>MAX(1, NETWORKDAYS(A1798, G1798,Table2[Dias no laborales]))</f>
        <v>3</v>
      </c>
      <c r="J1798" s="6" t="str">
        <f>IF(Table1[[#This Row],[FIN]]="","Acumulado",IF(ISNUMBER(SEARCH("ASAP",C1798)),"ASAP",IF(NETWORKDAYS.INTL(F1798,G1798,1,Table2[Dias no laborales]) &lt;= 7, "Dentro", IF(A1798&gt;F1798,"Programado","Fuera"))))</f>
        <v>Dentro</v>
      </c>
      <c r="K1798" s="6" t="str">
        <f t="shared" si="72"/>
        <v>A tiempo</v>
      </c>
      <c r="L1798" s="8">
        <v>46100</v>
      </c>
      <c r="M1798" s="17">
        <f>MAX(1,NETWORKDAYS(A1798,L1798,Table2[Dias no laborales]))</f>
        <v>1</v>
      </c>
    </row>
    <row r="1799" spans="1:13" hidden="1" x14ac:dyDescent="0.3">
      <c r="A1799" s="8">
        <v>46100</v>
      </c>
      <c r="B1799" s="16" t="s">
        <v>3544</v>
      </c>
      <c r="C1799" s="6" t="s">
        <v>3701</v>
      </c>
      <c r="D1799" s="6" t="s">
        <v>2994</v>
      </c>
      <c r="E1799" s="14">
        <v>46100.591666666667</v>
      </c>
      <c r="F1799" s="8">
        <f>IF(HOUR(Table1[[#This Row],[CORREO]])&gt;=11,WORKDAY(Table1[[#This Row],[CORREO]],1,Table2[Dias no laborales]),E1799)</f>
        <v>46101</v>
      </c>
      <c r="G1799" s="8">
        <v>46110</v>
      </c>
      <c r="H1799" s="6">
        <f t="shared" si="71"/>
        <v>12</v>
      </c>
      <c r="I1799" s="6">
        <f>MAX(1, NETWORKDAYS(A1799, G1799,Table2[Dias no laborales]))</f>
        <v>7</v>
      </c>
      <c r="J1799" s="6" t="str">
        <f>IF(Table1[[#This Row],[FIN]]="","Acumulado",IF(ISNUMBER(SEARCH("ASAP",C1799)),"ASAP",IF(NETWORKDAYS.INTL(F1799,G1799,1,Table2[Dias no laborales]) &lt;= 7, "Dentro", IF(A1799&gt;F1799,"Programado","Fuera"))))</f>
        <v>Dentro</v>
      </c>
      <c r="K1799" s="6" t="str">
        <f t="shared" si="72"/>
        <v>Mismo día</v>
      </c>
      <c r="L1799" s="8">
        <v>46100</v>
      </c>
      <c r="M1799" s="17">
        <f>MAX(1,NETWORKDAYS(A1799,L1799,Table2[Dias no laborales]))</f>
        <v>1</v>
      </c>
    </row>
    <row r="1800" spans="1:13" hidden="1" x14ac:dyDescent="0.3">
      <c r="A1800" s="8">
        <v>46100</v>
      </c>
      <c r="B1800" s="16" t="s">
        <v>3545</v>
      </c>
      <c r="C1800" s="6" t="s">
        <v>3702</v>
      </c>
      <c r="D1800" s="6" t="s">
        <v>24</v>
      </c>
      <c r="E1800" s="14">
        <v>46100.65347222222</v>
      </c>
      <c r="F1800" s="8">
        <f>IF(HOUR(Table1[[#This Row],[CORREO]])&gt;=11,WORKDAY(Table1[[#This Row],[CORREO]],1,Table2[Dias no laborales]),E1800)</f>
        <v>46101</v>
      </c>
      <c r="G1800" s="8">
        <v>46101</v>
      </c>
      <c r="H1800" s="6">
        <f t="shared" si="71"/>
        <v>12</v>
      </c>
      <c r="I1800" s="6">
        <f>MAX(1, NETWORKDAYS(A1800, G1800,Table2[Dias no laborales]))</f>
        <v>2</v>
      </c>
      <c r="J1800" s="6" t="str">
        <f>IF(Table1[[#This Row],[FIN]]="","Acumulado",IF(ISNUMBER(SEARCH("ASAP",C1800)),"ASAP",IF(NETWORKDAYS.INTL(F1800,G1800,1,Table2[Dias no laborales]) &lt;= 7, "Dentro", IF(A1800&gt;F1800,"Programado","Fuera"))))</f>
        <v>Dentro</v>
      </c>
      <c r="K1800" s="6" t="str">
        <f t="shared" si="72"/>
        <v>Mismo día</v>
      </c>
      <c r="L1800" s="8">
        <v>46100</v>
      </c>
      <c r="M1800" s="17">
        <f>MAX(1,NETWORKDAYS(A1800,L1800,Table2[Dias no laborales]))</f>
        <v>1</v>
      </c>
    </row>
    <row r="1801" spans="1:13" hidden="1" x14ac:dyDescent="0.3">
      <c r="A1801" s="8">
        <v>46101</v>
      </c>
      <c r="B1801" s="16" t="s">
        <v>3546</v>
      </c>
      <c r="C1801" s="6" t="s">
        <v>3703</v>
      </c>
      <c r="D1801" s="6" t="s">
        <v>1726</v>
      </c>
      <c r="E1801" s="14"/>
      <c r="F1801" s="8">
        <f>IF(HOUR(Table1[[#This Row],[CORREO]])&gt;=11,WORKDAY(Table1[[#This Row],[CORREO]],1,Table2[Dias no laborales]),E1801)</f>
        <v>0</v>
      </c>
      <c r="G1801" s="8">
        <v>46118</v>
      </c>
      <c r="H1801" s="6">
        <f t="shared" si="71"/>
        <v>12</v>
      </c>
      <c r="I1801" s="6">
        <f>MAX(1, NETWORKDAYS(A1801, G1801,Table2[Dias no laborales]))</f>
        <v>10</v>
      </c>
      <c r="J1801" s="6" t="str">
        <f>IF(Table1[[#This Row],[FIN]]="","Acumulado",IF(ISNUMBER(SEARCH("ASAP",C1801)),"ASAP",IF(NETWORKDAYS.INTL(F1801,G1801,1,Table2[Dias no laborales]) &lt;= 7, "Dentro", IF(A1801&gt;F1801,"Programado","Fuera"))))</f>
        <v>Programado</v>
      </c>
      <c r="K1801" s="6" t="str">
        <f t="shared" si="72"/>
        <v>Programados</v>
      </c>
      <c r="L1801" s="8">
        <v>46101</v>
      </c>
      <c r="M1801" s="17">
        <f>MAX(1,NETWORKDAYS(A1801,L1801,Table2[Dias no laborales]))</f>
        <v>1</v>
      </c>
    </row>
    <row r="1802" spans="1:13" hidden="1" x14ac:dyDescent="0.3">
      <c r="A1802" s="8">
        <v>46101</v>
      </c>
      <c r="B1802" s="16" t="s">
        <v>3547</v>
      </c>
      <c r="C1802" s="6" t="s">
        <v>3704</v>
      </c>
      <c r="D1802" s="6" t="s">
        <v>1176</v>
      </c>
      <c r="E1802" s="14"/>
      <c r="F1802" s="8">
        <f>IF(HOUR(Table1[[#This Row],[CORREO]])&gt;=11,WORKDAY(Table1[[#This Row],[CORREO]],1,Table2[Dias no laborales]),E1802)</f>
        <v>0</v>
      </c>
      <c r="G1802" s="8">
        <v>46105</v>
      </c>
      <c r="H1802" s="6">
        <f t="shared" si="71"/>
        <v>12</v>
      </c>
      <c r="I1802" s="6">
        <f>MAX(1, NETWORKDAYS(A1802, G1802,Table2[Dias no laborales]))</f>
        <v>3</v>
      </c>
      <c r="J1802" s="6" t="str">
        <f>IF(Table1[[#This Row],[FIN]]="","Acumulado",IF(ISNUMBER(SEARCH("ASAP",C1802)),"ASAP",IF(NETWORKDAYS.INTL(F1802,G1802,1,Table2[Dias no laborales]) &lt;= 7, "Dentro", IF(A1802&gt;F1802,"Programado","Fuera"))))</f>
        <v>Programado</v>
      </c>
      <c r="K1802" s="6" t="str">
        <f t="shared" si="72"/>
        <v>Programados</v>
      </c>
      <c r="L1802" s="8">
        <v>46101</v>
      </c>
      <c r="M1802" s="17">
        <f>MAX(1,NETWORKDAYS(A1802,L1802,Table2[Dias no laborales]))</f>
        <v>1</v>
      </c>
    </row>
    <row r="1803" spans="1:13" hidden="1" x14ac:dyDescent="0.3">
      <c r="A1803" s="8">
        <v>46101</v>
      </c>
      <c r="B1803" s="16" t="s">
        <v>3548</v>
      </c>
      <c r="C1803" s="6" t="s">
        <v>3705</v>
      </c>
      <c r="D1803" s="6" t="s">
        <v>3706</v>
      </c>
      <c r="E1803" s="14">
        <v>46101.355555555558</v>
      </c>
      <c r="F1803" s="8">
        <f>IF(HOUR(Table1[[#This Row],[CORREO]])&gt;=11,WORKDAY(Table1[[#This Row],[CORREO]],1,Table2[Dias no laborales]),E1803)</f>
        <v>46101.355555555558</v>
      </c>
      <c r="G1803" s="8">
        <v>46101</v>
      </c>
      <c r="H1803" s="6">
        <f t="shared" si="71"/>
        <v>12</v>
      </c>
      <c r="I1803" s="6">
        <f>MAX(1, NETWORKDAYS(A1803, G1803,Table2[Dias no laborales]))</f>
        <v>1</v>
      </c>
      <c r="J1803" s="6" t="str">
        <f>IF(Table1[[#This Row],[FIN]]="","Acumulado",IF(ISNUMBER(SEARCH("ASAP",C1803)),"ASAP",IF(NETWORKDAYS.INTL(F1803,G1803,1,Table2[Dias no laborales]) &lt;= 7, "Dentro", IF(A1803&gt;F1803,"Programado","Fuera"))))</f>
        <v>Dentro</v>
      </c>
      <c r="K1803" s="6" t="str">
        <f t="shared" si="72"/>
        <v>A tiempo</v>
      </c>
      <c r="L1803" s="8">
        <v>46101</v>
      </c>
      <c r="M1803" s="17">
        <f>MAX(1,NETWORKDAYS(A1803,L1803,Table2[Dias no laborales]))</f>
        <v>1</v>
      </c>
    </row>
    <row r="1804" spans="1:13" hidden="1" x14ac:dyDescent="0.3">
      <c r="A1804" s="8">
        <v>46101</v>
      </c>
      <c r="B1804" s="16" t="s">
        <v>3549</v>
      </c>
      <c r="C1804" s="6" t="s">
        <v>3707</v>
      </c>
      <c r="D1804" s="6" t="s">
        <v>2786</v>
      </c>
      <c r="E1804" s="14"/>
      <c r="F1804" s="8">
        <f>IF(HOUR(Table1[[#This Row],[CORREO]])&gt;=11,WORKDAY(Table1[[#This Row],[CORREO]],1,Table2[Dias no laborales]),E1804)</f>
        <v>0</v>
      </c>
      <c r="G1804" s="8">
        <v>46104</v>
      </c>
      <c r="H1804" s="6">
        <f t="shared" si="71"/>
        <v>12</v>
      </c>
      <c r="I1804" s="6">
        <f>MAX(1, NETWORKDAYS(A1804, G1804,Table2[Dias no laborales]))</f>
        <v>2</v>
      </c>
      <c r="J1804" s="6" t="str">
        <f>IF(Table1[[#This Row],[FIN]]="","Acumulado",IF(ISNUMBER(SEARCH("ASAP",C1804)),"ASAP",IF(NETWORKDAYS.INTL(F1804,G1804,1,Table2[Dias no laborales]) &lt;= 7, "Dentro", IF(A1804&gt;F1804,"Programado","Fuera"))))</f>
        <v>Programado</v>
      </c>
      <c r="K1804" s="6" t="str">
        <f t="shared" si="72"/>
        <v>Programados</v>
      </c>
      <c r="L1804" s="8">
        <v>46101</v>
      </c>
      <c r="M1804" s="17">
        <f>MAX(1,NETWORKDAYS(A1804,L1804,Table2[Dias no laborales]))</f>
        <v>1</v>
      </c>
    </row>
    <row r="1805" spans="1:13" hidden="1" x14ac:dyDescent="0.3">
      <c r="A1805" s="8">
        <v>46101</v>
      </c>
      <c r="B1805" s="16" t="s">
        <v>3550</v>
      </c>
      <c r="C1805" s="6" t="s">
        <v>3708</v>
      </c>
      <c r="D1805" s="6" t="s">
        <v>392</v>
      </c>
      <c r="E1805" s="14">
        <v>46101.432638888888</v>
      </c>
      <c r="F1805" s="8">
        <f>IF(HOUR(Table1[[#This Row],[CORREO]])&gt;=11,WORKDAY(Table1[[#This Row],[CORREO]],1,Table2[Dias no laborales]),E1805)</f>
        <v>46101.432638888888</v>
      </c>
      <c r="G1805" s="8">
        <v>46105</v>
      </c>
      <c r="H1805" s="6">
        <f t="shared" si="71"/>
        <v>12</v>
      </c>
      <c r="I1805" s="6">
        <f>MAX(1, NETWORKDAYS(A1805, G1805,Table2[Dias no laborales]))</f>
        <v>3</v>
      </c>
      <c r="J1805" s="6" t="str">
        <f>IF(Table1[[#This Row],[FIN]]="","Acumulado",IF(ISNUMBER(SEARCH("ASAP",C1805)),"ASAP",IF(NETWORKDAYS.INTL(F1805,G1805,1,Table2[Dias no laborales]) &lt;= 7, "Dentro", IF(A1805&gt;F1805,"Programado","Fuera"))))</f>
        <v>Dentro</v>
      </c>
      <c r="K1805" s="6" t="str">
        <f t="shared" si="72"/>
        <v>A tiempo</v>
      </c>
      <c r="L1805" s="8">
        <v>46101</v>
      </c>
      <c r="M1805" s="17">
        <f>MAX(1,NETWORKDAYS(A1805,L1805,Table2[Dias no laborales]))</f>
        <v>1</v>
      </c>
    </row>
    <row r="1806" spans="1:13" hidden="1" x14ac:dyDescent="0.3">
      <c r="A1806" s="8">
        <v>46101</v>
      </c>
      <c r="B1806" s="16" t="s">
        <v>3551</v>
      </c>
      <c r="C1806" s="6" t="s">
        <v>196</v>
      </c>
      <c r="D1806" s="6" t="s">
        <v>27</v>
      </c>
      <c r="E1806" s="14"/>
      <c r="F1806" s="8">
        <f>IF(HOUR(Table1[[#This Row],[CORREO]])&gt;=11,WORKDAY(Table1[[#This Row],[CORREO]],1,Table2[Dias no laborales]),E1806)</f>
        <v>0</v>
      </c>
      <c r="G1806" s="8">
        <v>46108</v>
      </c>
      <c r="H1806" s="6">
        <f t="shared" si="71"/>
        <v>12</v>
      </c>
      <c r="I1806" s="6">
        <f>MAX(1, NETWORKDAYS(A1806, G1806,Table2[Dias no laborales]))</f>
        <v>6</v>
      </c>
      <c r="J1806" s="6" t="str">
        <f>IF(Table1[[#This Row],[FIN]]="","Acumulado",IF(ISNUMBER(SEARCH("ASAP",C1806)),"ASAP",IF(NETWORKDAYS.INTL(F1806,G1806,1,Table2[Dias no laborales]) &lt;= 7, "Dentro", IF(A1806&gt;F1806,"Programado","Fuera"))))</f>
        <v>Programado</v>
      </c>
      <c r="K1806" s="6" t="str">
        <f t="shared" si="72"/>
        <v>Programados</v>
      </c>
      <c r="L1806" s="8">
        <v>46101</v>
      </c>
      <c r="M1806" s="17">
        <f>MAX(1,NETWORKDAYS(A1806,L1806,Table2[Dias no laborales]))</f>
        <v>1</v>
      </c>
    </row>
    <row r="1807" spans="1:13" hidden="1" x14ac:dyDescent="0.3">
      <c r="A1807" s="8">
        <v>46101</v>
      </c>
      <c r="B1807" s="16" t="s">
        <v>3552</v>
      </c>
      <c r="C1807" s="6" t="s">
        <v>188</v>
      </c>
      <c r="D1807" s="6" t="s">
        <v>27</v>
      </c>
      <c r="E1807" s="14"/>
      <c r="F1807" s="8">
        <f>IF(HOUR(Table1[[#This Row],[CORREO]])&gt;=11,WORKDAY(Table1[[#This Row],[CORREO]],1,Table2[Dias no laborales]),E1807)</f>
        <v>0</v>
      </c>
      <c r="G1807" s="8">
        <v>46105</v>
      </c>
      <c r="H1807" s="6">
        <f t="shared" si="71"/>
        <v>12</v>
      </c>
      <c r="I1807" s="6">
        <f>MAX(1, NETWORKDAYS(A1807, G1807,Table2[Dias no laborales]))</f>
        <v>3</v>
      </c>
      <c r="J1807" s="6" t="str">
        <f>IF(Table1[[#This Row],[FIN]]="","Acumulado",IF(ISNUMBER(SEARCH("ASAP",C1807)),"ASAP",IF(NETWORKDAYS.INTL(F1807,G1807,1,Table2[Dias no laborales]) &lt;= 7, "Dentro", IF(A1807&gt;F1807,"Programado","Fuera"))))</f>
        <v>Programado</v>
      </c>
      <c r="K1807" s="6" t="str">
        <f t="shared" si="72"/>
        <v>Programados</v>
      </c>
      <c r="L1807" s="8">
        <v>46101</v>
      </c>
      <c r="M1807" s="17">
        <f>MAX(1,NETWORKDAYS(A1807,L1807,Table2[Dias no laborales]))</f>
        <v>1</v>
      </c>
    </row>
    <row r="1808" spans="1:13" hidden="1" x14ac:dyDescent="0.3">
      <c r="A1808" s="8">
        <v>46104</v>
      </c>
      <c r="B1808" s="16" t="s">
        <v>3553</v>
      </c>
      <c r="C1808" s="6" t="s">
        <v>3709</v>
      </c>
      <c r="D1808" s="6" t="s">
        <v>24</v>
      </c>
      <c r="E1808" s="14"/>
      <c r="F1808" s="8">
        <f>IF(HOUR(Table1[[#This Row],[CORREO]])&gt;=11,WORKDAY(Table1[[#This Row],[CORREO]],1,Table2[Dias no laborales]),E1808)</f>
        <v>0</v>
      </c>
      <c r="G1808" s="8">
        <v>46108</v>
      </c>
      <c r="H1808" s="6">
        <f t="shared" si="71"/>
        <v>12</v>
      </c>
      <c r="I1808" s="6">
        <f>MAX(1, NETWORKDAYS(A1808, G1808,Table2[Dias no laborales]))</f>
        <v>5</v>
      </c>
      <c r="J1808" s="6" t="str">
        <f>IF(Table1[[#This Row],[FIN]]="","Acumulado",IF(ISNUMBER(SEARCH("ASAP",C1808)),"ASAP",IF(NETWORKDAYS.INTL(F1808,G1808,1,Table2[Dias no laborales]) &lt;= 7, "Dentro", IF(A1808&gt;F1808,"Programado","Fuera"))))</f>
        <v>Programado</v>
      </c>
      <c r="K1808" s="6" t="str">
        <f t="shared" si="72"/>
        <v>Programados</v>
      </c>
      <c r="L1808" s="8">
        <v>46104</v>
      </c>
      <c r="M1808" s="17">
        <f>MAX(1,NETWORKDAYS(A1808,L1808,Table2[Dias no laborales]))</f>
        <v>1</v>
      </c>
    </row>
    <row r="1809" spans="1:13" hidden="1" x14ac:dyDescent="0.3">
      <c r="A1809" s="8">
        <v>46104</v>
      </c>
      <c r="B1809" s="16" t="s">
        <v>3554</v>
      </c>
      <c r="C1809" s="6" t="s">
        <v>3710</v>
      </c>
      <c r="D1809" s="6" t="s">
        <v>103</v>
      </c>
      <c r="E1809" s="14">
        <v>46101.478472222225</v>
      </c>
      <c r="F1809" s="8">
        <f>IF(HOUR(Table1[[#This Row],[CORREO]])&gt;=11,WORKDAY(Table1[[#This Row],[CORREO]],1,Table2[Dias no laborales]),E1809)</f>
        <v>46104</v>
      </c>
      <c r="G1809" s="8">
        <v>46106</v>
      </c>
      <c r="H1809" s="6">
        <f t="shared" si="71"/>
        <v>12</v>
      </c>
      <c r="I1809" s="6">
        <f>MAX(1, NETWORKDAYS(A1809, G1809,Table2[Dias no laborales]))</f>
        <v>3</v>
      </c>
      <c r="J1809" s="6" t="str">
        <f>IF(Table1[[#This Row],[FIN]]="","Acumulado",IF(ISNUMBER(SEARCH("ASAP",C1809)),"ASAP",IF(NETWORKDAYS.INTL(F1809,G1809,1,Table2[Dias no laborales]) &lt;= 7, "Dentro", IF(A1809&gt;F1809,"Programado","Fuera"))))</f>
        <v>Dentro</v>
      </c>
      <c r="K1809" s="6" t="str">
        <f t="shared" si="72"/>
        <v>A tiempo</v>
      </c>
      <c r="L1809" s="8">
        <v>46104</v>
      </c>
      <c r="M1809" s="17">
        <f>MAX(1,NETWORKDAYS(A1809,L1809,Table2[Dias no laborales]))</f>
        <v>1</v>
      </c>
    </row>
    <row r="1810" spans="1:13" hidden="1" x14ac:dyDescent="0.3">
      <c r="A1810" s="8">
        <v>46104</v>
      </c>
      <c r="B1810" s="16" t="s">
        <v>3555</v>
      </c>
      <c r="C1810" s="6" t="s">
        <v>3711</v>
      </c>
      <c r="D1810" s="6" t="s">
        <v>1360</v>
      </c>
      <c r="E1810" s="14"/>
      <c r="F1810" s="8">
        <f>IF(HOUR(Table1[[#This Row],[CORREO]])&gt;=11,WORKDAY(Table1[[#This Row],[CORREO]],1,Table2[Dias no laborales]),E1810)</f>
        <v>0</v>
      </c>
      <c r="G1810" s="8">
        <v>46105</v>
      </c>
      <c r="H1810" s="6">
        <f t="shared" si="71"/>
        <v>12</v>
      </c>
      <c r="I1810" s="6">
        <f>MAX(1, NETWORKDAYS(A1810, G1810,Table2[Dias no laborales]))</f>
        <v>2</v>
      </c>
      <c r="J1810" s="6" t="str">
        <f>IF(Table1[[#This Row],[FIN]]="","Acumulado",IF(ISNUMBER(SEARCH("ASAP",C1810)),"ASAP",IF(NETWORKDAYS.INTL(F1810,G1810,1,Table2[Dias no laborales]) &lt;= 7, "Dentro", IF(A1810&gt;F1810,"Programado","Fuera"))))</f>
        <v>Programado</v>
      </c>
      <c r="K1810" s="6" t="str">
        <f t="shared" si="72"/>
        <v>Programados</v>
      </c>
      <c r="L1810" s="8">
        <v>46104</v>
      </c>
      <c r="M1810" s="17">
        <f>MAX(1,NETWORKDAYS(A1810,L1810,Table2[Dias no laborales]))</f>
        <v>1</v>
      </c>
    </row>
    <row r="1811" spans="1:13" hidden="1" x14ac:dyDescent="0.3">
      <c r="A1811" s="8">
        <v>46104</v>
      </c>
      <c r="B1811" s="16" t="s">
        <v>3556</v>
      </c>
      <c r="C1811" s="6" t="s">
        <v>3008</v>
      </c>
      <c r="D1811" s="6" t="s">
        <v>3712</v>
      </c>
      <c r="E1811" s="14">
        <v>46101.543749999997</v>
      </c>
      <c r="F1811" s="8">
        <f>IF(HOUR(Table1[[#This Row],[CORREO]])&gt;=11,WORKDAY(Table1[[#This Row],[CORREO]],1,Table2[Dias no laborales]),E1811)</f>
        <v>46104</v>
      </c>
      <c r="G1811" s="8">
        <v>46111</v>
      </c>
      <c r="H1811" s="6">
        <f t="shared" si="71"/>
        <v>12</v>
      </c>
      <c r="I1811" s="6">
        <f>MAX(1, NETWORKDAYS(A1811, G1811,Table2[Dias no laborales]))</f>
        <v>6</v>
      </c>
      <c r="J1811" s="6" t="str">
        <f>IF(Table1[[#This Row],[FIN]]="","Acumulado",IF(ISNUMBER(SEARCH("ASAP",C1811)),"ASAP",IF(NETWORKDAYS.INTL(F1811,G1811,1,Table2[Dias no laborales]) &lt;= 7, "Dentro", IF(A1811&gt;F1811,"Programado","Fuera"))))</f>
        <v>Dentro</v>
      </c>
      <c r="K1811" s="6" t="str">
        <f t="shared" si="72"/>
        <v>A tiempo</v>
      </c>
      <c r="L1811" s="8">
        <v>46104</v>
      </c>
      <c r="M1811" s="17">
        <f>MAX(1,NETWORKDAYS(A1811,L1811,Table2[Dias no laborales]))</f>
        <v>1</v>
      </c>
    </row>
    <row r="1812" spans="1:13" hidden="1" x14ac:dyDescent="0.3">
      <c r="A1812" s="8">
        <v>46104</v>
      </c>
      <c r="B1812" s="16" t="s">
        <v>3557</v>
      </c>
      <c r="C1812" s="6" t="s">
        <v>3713</v>
      </c>
      <c r="D1812" s="6" t="s">
        <v>199</v>
      </c>
      <c r="E1812" s="14">
        <v>46104.4375</v>
      </c>
      <c r="F1812" s="8">
        <f>IF(HOUR(Table1[[#This Row],[CORREO]])&gt;=11,WORKDAY(Table1[[#This Row],[CORREO]],1,Table2[Dias no laborales]),E1812)</f>
        <v>46104.4375</v>
      </c>
      <c r="G1812" s="8">
        <v>46129</v>
      </c>
      <c r="H1812" s="6">
        <f t="shared" si="71"/>
        <v>12</v>
      </c>
      <c r="I1812" s="6">
        <f>MAX(1, NETWORKDAYS(A1812, G1812,Table2[Dias no laborales]))</f>
        <v>18</v>
      </c>
      <c r="J1812" s="6" t="str">
        <f>IF(Table1[[#This Row],[FIN]]="","Acumulado",IF(ISNUMBER(SEARCH("ASAP",C1812)),"ASAP",IF(NETWORKDAYS.INTL(F1812,G1812,1,Table2[Dias no laborales]) &lt;= 7, "Dentro", IF(A1812&gt;F1812,"Programado","Fuera"))))</f>
        <v>Fuera</v>
      </c>
      <c r="K1812" s="6" t="str">
        <f t="shared" si="72"/>
        <v>A tiempo</v>
      </c>
      <c r="L1812" s="8">
        <v>46104</v>
      </c>
      <c r="M1812" s="17">
        <f>MAX(1,NETWORKDAYS(A1812,L1812,Table2[Dias no laborales]))</f>
        <v>1</v>
      </c>
    </row>
    <row r="1813" spans="1:13" hidden="1" x14ac:dyDescent="0.3">
      <c r="A1813" s="8">
        <v>46104</v>
      </c>
      <c r="B1813" s="16" t="s">
        <v>3558</v>
      </c>
      <c r="C1813" s="6" t="s">
        <v>3714</v>
      </c>
      <c r="D1813" s="6" t="s">
        <v>538</v>
      </c>
      <c r="E1813" s="14">
        <v>46104.484722222223</v>
      </c>
      <c r="F1813" s="8">
        <f>IF(HOUR(Table1[[#This Row],[CORREO]])&gt;=11,WORKDAY(Table1[[#This Row],[CORREO]],1,Table2[Dias no laborales]),E1813)</f>
        <v>46105</v>
      </c>
      <c r="G1813" s="8">
        <v>46111</v>
      </c>
      <c r="H1813" s="6">
        <f t="shared" si="71"/>
        <v>12</v>
      </c>
      <c r="I1813" s="6">
        <f>MAX(1, NETWORKDAYS(A1813, G1813,Table2[Dias no laborales]))</f>
        <v>6</v>
      </c>
      <c r="J1813" s="6" t="str">
        <f>IF(Table1[[#This Row],[FIN]]="","Acumulado",IF(ISNUMBER(SEARCH("ASAP",C1813)),"ASAP",IF(NETWORKDAYS.INTL(F1813,G1813,1,Table2[Dias no laborales]) &lt;= 7, "Dentro", IF(A1813&gt;F1813,"Programado","Fuera"))))</f>
        <v>Dentro</v>
      </c>
      <c r="K1813" s="6" t="str">
        <f t="shared" si="72"/>
        <v>Mismo día</v>
      </c>
      <c r="L1813" s="8">
        <v>46104</v>
      </c>
      <c r="M1813" s="17">
        <f>MAX(1,NETWORKDAYS(A1813,L1813,Table2[Dias no laborales]))</f>
        <v>1</v>
      </c>
    </row>
    <row r="1814" spans="1:13" hidden="1" x14ac:dyDescent="0.3">
      <c r="A1814" s="8">
        <v>46104</v>
      </c>
      <c r="B1814" s="16" t="s">
        <v>3559</v>
      </c>
      <c r="C1814" s="6" t="s">
        <v>3715</v>
      </c>
      <c r="D1814" s="6" t="s">
        <v>2994</v>
      </c>
      <c r="E1814" s="14">
        <v>46101.477083333331</v>
      </c>
      <c r="F1814" s="8">
        <f>IF(HOUR(Table1[[#This Row],[CORREO]])&gt;=11,WORKDAY(Table1[[#This Row],[CORREO]],1,Table2[Dias no laborales]),E1814)</f>
        <v>46104</v>
      </c>
      <c r="G1814" s="8">
        <v>46105</v>
      </c>
      <c r="H1814" s="6">
        <f t="shared" si="71"/>
        <v>12</v>
      </c>
      <c r="I1814" s="6">
        <f>MAX(1, NETWORKDAYS(A1814, G1814,Table2[Dias no laborales]))</f>
        <v>2</v>
      </c>
      <c r="J1814" s="6" t="str">
        <f>IF(Table1[[#This Row],[FIN]]="","Acumulado",IF(ISNUMBER(SEARCH("ASAP",C1814)),"ASAP",IF(NETWORKDAYS.INTL(F1814,G1814,1,Table2[Dias no laborales]) &lt;= 7, "Dentro", IF(A1814&gt;F1814,"Programado","Fuera"))))</f>
        <v>Dentro</v>
      </c>
      <c r="K1814" s="6" t="str">
        <f t="shared" si="72"/>
        <v>A tiempo</v>
      </c>
      <c r="L1814" s="8">
        <v>46104</v>
      </c>
      <c r="M1814" s="17">
        <f>MAX(1,NETWORKDAYS(A1814,L1814,Table2[Dias no laborales]))</f>
        <v>1</v>
      </c>
    </row>
    <row r="1815" spans="1:13" hidden="1" x14ac:dyDescent="0.3">
      <c r="A1815" s="8">
        <v>46104</v>
      </c>
      <c r="B1815" s="16" t="s">
        <v>3560</v>
      </c>
      <c r="C1815" s="6" t="s">
        <v>3008</v>
      </c>
      <c r="D1815" s="6" t="s">
        <v>3635</v>
      </c>
      <c r="E1815" s="14">
        <v>46104.53402777778</v>
      </c>
      <c r="F1815" s="8">
        <f>IF(HOUR(Table1[[#This Row],[CORREO]])&gt;=11,WORKDAY(Table1[[#This Row],[CORREO]],1,Table2[Dias no laborales]),E1815)</f>
        <v>46105</v>
      </c>
      <c r="G1815" s="8">
        <v>46111</v>
      </c>
      <c r="H1815" s="6">
        <f t="shared" si="71"/>
        <v>12</v>
      </c>
      <c r="I1815" s="6">
        <f>MAX(1, NETWORKDAYS(A1815, G1815,Table2[Dias no laborales]))</f>
        <v>6</v>
      </c>
      <c r="J1815" s="6" t="str">
        <f>IF(Table1[[#This Row],[FIN]]="","Acumulado",IF(ISNUMBER(SEARCH("ASAP",C1815)),"ASAP",IF(NETWORKDAYS.INTL(F1815,G1815,1,Table2[Dias no laborales]) &lt;= 7, "Dentro", IF(A1815&gt;F1815,"Programado","Fuera"))))</f>
        <v>Dentro</v>
      </c>
      <c r="K1815" s="6" t="str">
        <f t="shared" si="72"/>
        <v>Mismo día</v>
      </c>
      <c r="L1815" s="8">
        <v>46104</v>
      </c>
      <c r="M1815" s="17">
        <f>MAX(1,NETWORKDAYS(A1815,L1815,Table2[Dias no laborales]))</f>
        <v>1</v>
      </c>
    </row>
    <row r="1816" spans="1:13" hidden="1" x14ac:dyDescent="0.3">
      <c r="A1816" s="8">
        <v>46104</v>
      </c>
      <c r="B1816" s="16" t="s">
        <v>3561</v>
      </c>
      <c r="C1816" s="6" t="s">
        <v>3716</v>
      </c>
      <c r="D1816" s="6" t="s">
        <v>1333</v>
      </c>
      <c r="E1816" s="14">
        <v>46104.374305555553</v>
      </c>
      <c r="F1816" s="8">
        <f>IF(HOUR(Table1[[#This Row],[CORREO]])&gt;=11,WORKDAY(Table1[[#This Row],[CORREO]],1,Table2[Dias no laborales]),E1816)</f>
        <v>46104.374305555553</v>
      </c>
      <c r="G1816" s="8">
        <v>46111</v>
      </c>
      <c r="H1816" s="6">
        <f t="shared" si="71"/>
        <v>12</v>
      </c>
      <c r="I1816" s="6">
        <f>MAX(1, NETWORKDAYS(A1816, G1816,Table2[Dias no laborales]))</f>
        <v>6</v>
      </c>
      <c r="J1816" s="6" t="str">
        <f>IF(Table1[[#This Row],[FIN]]="","Acumulado",IF(ISNUMBER(SEARCH("ASAP",C1816)),"ASAP",IF(NETWORKDAYS.INTL(F1816,G1816,1,Table2[Dias no laborales]) &lt;= 7, "Dentro", IF(A1816&gt;F1816,"Programado","Fuera"))))</f>
        <v>Dentro</v>
      </c>
      <c r="K1816" s="6" t="str">
        <f t="shared" si="72"/>
        <v>A tiempo</v>
      </c>
      <c r="L1816" s="8">
        <v>46104</v>
      </c>
      <c r="M1816" s="17">
        <f>MAX(1,NETWORKDAYS(A1816,L1816,Table2[Dias no laborales]))</f>
        <v>1</v>
      </c>
    </row>
    <row r="1817" spans="1:13" hidden="1" x14ac:dyDescent="0.3">
      <c r="A1817" s="8">
        <v>46104</v>
      </c>
      <c r="B1817" s="16" t="s">
        <v>3562</v>
      </c>
      <c r="C1817" s="6" t="s">
        <v>3717</v>
      </c>
      <c r="D1817" s="6" t="s">
        <v>3718</v>
      </c>
      <c r="E1817" s="14">
        <v>46104.599305555559</v>
      </c>
      <c r="F1817" s="8">
        <f>IF(HOUR(Table1[[#This Row],[CORREO]])&gt;=11,WORKDAY(Table1[[#This Row],[CORREO]],1,Table2[Dias no laborales]),E1817)</f>
        <v>46105</v>
      </c>
      <c r="G1817" s="8">
        <v>46105</v>
      </c>
      <c r="H1817" s="6">
        <f t="shared" si="71"/>
        <v>12</v>
      </c>
      <c r="I1817" s="6">
        <f>MAX(1, NETWORKDAYS(A1817, G1817,Table2[Dias no laborales]))</f>
        <v>2</v>
      </c>
      <c r="J1817" s="6" t="str">
        <f>IF(Table1[[#This Row],[FIN]]="","Acumulado",IF(ISNUMBER(SEARCH("ASAP",C1817)),"ASAP",IF(NETWORKDAYS.INTL(F1817,G1817,1,Table2[Dias no laborales]) &lt;= 7, "Dentro", IF(A1817&gt;F1817,"Programado","Fuera"))))</f>
        <v>Dentro</v>
      </c>
      <c r="K1817" s="6" t="str">
        <f t="shared" si="72"/>
        <v>Mismo día</v>
      </c>
      <c r="L1817" s="8">
        <v>46105</v>
      </c>
      <c r="M1817" s="17">
        <f>MAX(1,NETWORKDAYS(A1817,L1817,Table2[Dias no laborales]))</f>
        <v>2</v>
      </c>
    </row>
    <row r="1818" spans="1:13" hidden="1" x14ac:dyDescent="0.3">
      <c r="A1818" s="8">
        <v>46104</v>
      </c>
      <c r="B1818" s="16" t="s">
        <v>3563</v>
      </c>
      <c r="C1818" s="6" t="s">
        <v>3719</v>
      </c>
      <c r="D1818" s="6" t="s">
        <v>623</v>
      </c>
      <c r="E1818" s="14">
        <v>46104.661805555559</v>
      </c>
      <c r="F1818" s="8">
        <f>IF(HOUR(Table1[[#This Row],[CORREO]])&gt;=11,WORKDAY(Table1[[#This Row],[CORREO]],1,Table2[Dias no laborales]),E1818)</f>
        <v>46105</v>
      </c>
      <c r="G1818" s="8">
        <v>46104</v>
      </c>
      <c r="H1818" s="6">
        <f t="shared" si="71"/>
        <v>12</v>
      </c>
      <c r="I1818" s="6">
        <f>MAX(1, NETWORKDAYS(A1818, G1818,Table2[Dias no laborales]))</f>
        <v>1</v>
      </c>
      <c r="J1818" s="6" t="str">
        <f>IF(Table1[[#This Row],[FIN]]="","Acumulado",IF(ISNUMBER(SEARCH("ASAP",C1818)),"ASAP",IF(NETWORKDAYS.INTL(F1818,G1818,1,Table2[Dias no laborales]) &lt;= 7, "Dentro", IF(A1818&gt;F1818,"Programado","Fuera"))))</f>
        <v>Dentro</v>
      </c>
      <c r="K1818" s="6" t="str">
        <f t="shared" si="72"/>
        <v>Mismo día</v>
      </c>
      <c r="L1818" s="8">
        <v>46104</v>
      </c>
      <c r="M1818" s="17">
        <f>MAX(1,NETWORKDAYS(A1818,L1818,Table2[Dias no laborales]))</f>
        <v>1</v>
      </c>
    </row>
    <row r="1819" spans="1:13" hidden="1" x14ac:dyDescent="0.3">
      <c r="A1819" s="8">
        <v>46104</v>
      </c>
      <c r="B1819" s="16" t="s">
        <v>3564</v>
      </c>
      <c r="C1819" s="6" t="s">
        <v>3720</v>
      </c>
      <c r="D1819" s="6" t="s">
        <v>538</v>
      </c>
      <c r="E1819" s="14">
        <v>46104.667361111111</v>
      </c>
      <c r="F1819" s="8">
        <f>IF(HOUR(Table1[[#This Row],[CORREO]])&gt;=11,WORKDAY(Table1[[#This Row],[CORREO]],1,Table2[Dias no laborales]),E1819)</f>
        <v>46105</v>
      </c>
      <c r="G1819" s="8">
        <v>46111</v>
      </c>
      <c r="H1819" s="6">
        <f t="shared" si="71"/>
        <v>12</v>
      </c>
      <c r="I1819" s="6">
        <f>MAX(1, NETWORKDAYS(A1819, G1819,Table2[Dias no laborales]))</f>
        <v>6</v>
      </c>
      <c r="J1819" s="6" t="str">
        <f>IF(Table1[[#This Row],[FIN]]="","Acumulado",IF(ISNUMBER(SEARCH("ASAP",C1819)),"ASAP",IF(NETWORKDAYS.INTL(F1819,G1819,1,Table2[Dias no laborales]) &lt;= 7, "Dentro", IF(A1819&gt;F1819,"Programado","Fuera"))))</f>
        <v>Dentro</v>
      </c>
      <c r="K1819" s="6" t="str">
        <f t="shared" si="72"/>
        <v>Mismo día</v>
      </c>
      <c r="L1819" s="8">
        <v>46105</v>
      </c>
      <c r="M1819" s="17">
        <f>MAX(1,NETWORKDAYS(A1819,L1819,Table2[Dias no laborales]))</f>
        <v>2</v>
      </c>
    </row>
    <row r="1820" spans="1:13" hidden="1" x14ac:dyDescent="0.3">
      <c r="A1820" s="8">
        <v>46104</v>
      </c>
      <c r="B1820" s="16" t="s">
        <v>3565</v>
      </c>
      <c r="C1820" s="6" t="s">
        <v>3721</v>
      </c>
      <c r="D1820" s="6" t="s">
        <v>1540</v>
      </c>
      <c r="E1820" s="14">
        <v>46104.680555555555</v>
      </c>
      <c r="F1820" s="8">
        <f>IF(HOUR(Table1[[#This Row],[CORREO]])&gt;=11,WORKDAY(Table1[[#This Row],[CORREO]],1,Table2[Dias no laborales]),E1820)</f>
        <v>46105</v>
      </c>
      <c r="G1820" s="8">
        <v>46105</v>
      </c>
      <c r="H1820" s="6">
        <f t="shared" si="71"/>
        <v>12</v>
      </c>
      <c r="I1820" s="6">
        <f>MAX(1, NETWORKDAYS(A1820, G1820,Table2[Dias no laborales]))</f>
        <v>2</v>
      </c>
      <c r="J1820" s="6" t="str">
        <f>IF(Table1[[#This Row],[FIN]]="","Acumulado",IF(ISNUMBER(SEARCH("ASAP",C1820)),"ASAP",IF(NETWORKDAYS.INTL(F1820,G1820,1,Table2[Dias no laborales]) &lt;= 7, "Dentro", IF(A1820&gt;F1820,"Programado","Fuera"))))</f>
        <v>Dentro</v>
      </c>
      <c r="K1820" s="6" t="str">
        <f t="shared" si="72"/>
        <v>Mismo día</v>
      </c>
      <c r="L1820" s="8">
        <v>46104</v>
      </c>
      <c r="M1820" s="17">
        <f>MAX(1,NETWORKDAYS(A1820,L1820,Table2[Dias no laborales]))</f>
        <v>1</v>
      </c>
    </row>
    <row r="1821" spans="1:13" hidden="1" x14ac:dyDescent="0.3">
      <c r="A1821" s="8">
        <v>46105</v>
      </c>
      <c r="B1821" s="16" t="s">
        <v>3566</v>
      </c>
      <c r="C1821" s="6" t="s">
        <v>3722</v>
      </c>
      <c r="D1821" s="6" t="s">
        <v>449</v>
      </c>
      <c r="E1821" s="14">
        <v>46104.461805555555</v>
      </c>
      <c r="F1821" s="8">
        <f>IF(HOUR(Table1[[#This Row],[CORREO]])&gt;=11,WORKDAY(Table1[[#This Row],[CORREO]],1,Table2[Dias no laborales]),E1821)</f>
        <v>46105</v>
      </c>
      <c r="G1821" s="8">
        <v>46105</v>
      </c>
      <c r="H1821" s="6">
        <f t="shared" si="71"/>
        <v>12</v>
      </c>
      <c r="I1821" s="6">
        <f>MAX(1, NETWORKDAYS(A1821, G1821,Table2[Dias no laborales]))</f>
        <v>1</v>
      </c>
      <c r="J1821" s="6" t="str">
        <f>IF(Table1[[#This Row],[FIN]]="","Acumulado",IF(ISNUMBER(SEARCH("ASAP",C1821)),"ASAP",IF(NETWORKDAYS.INTL(F1821,G1821,1,Table2[Dias no laborales]) &lt;= 7, "Dentro", IF(A1821&gt;F1821,"Programado","Fuera"))))</f>
        <v>Dentro</v>
      </c>
      <c r="K1821" s="6" t="str">
        <f t="shared" si="72"/>
        <v>A tiempo</v>
      </c>
      <c r="L1821" s="8">
        <v>46105</v>
      </c>
      <c r="M1821" s="17">
        <f>MAX(1,NETWORKDAYS(A1821,L1821,Table2[Dias no laborales]))</f>
        <v>1</v>
      </c>
    </row>
    <row r="1822" spans="1:13" hidden="1" x14ac:dyDescent="0.3">
      <c r="A1822" s="8">
        <v>46105</v>
      </c>
      <c r="B1822" s="16" t="s">
        <v>3567</v>
      </c>
      <c r="C1822" s="6" t="s">
        <v>325</v>
      </c>
      <c r="D1822" s="6" t="s">
        <v>151</v>
      </c>
      <c r="E1822" s="14">
        <v>46104.463888888888</v>
      </c>
      <c r="F1822" s="8">
        <f>IF(HOUR(Table1[[#This Row],[CORREO]])&gt;=11,WORKDAY(Table1[[#This Row],[CORREO]],1,Table2[Dias no laborales]),E1822)</f>
        <v>46105</v>
      </c>
      <c r="G1822" s="8">
        <v>46105</v>
      </c>
      <c r="H1822" s="6">
        <f t="shared" ref="H1822:H1857" si="73">INT((A1822-DATE(YEAR(A1822),1,1))/7) + 1</f>
        <v>12</v>
      </c>
      <c r="I1822" s="6">
        <f>MAX(1, NETWORKDAYS(A1822, G1822,Table2[Dias no laborales]))</f>
        <v>1</v>
      </c>
      <c r="J1822" s="6" t="str">
        <f>IF(Table1[[#This Row],[FIN]]="","Acumulado",IF(ISNUMBER(SEARCH("ASAP",C1822)),"ASAP",IF(NETWORKDAYS.INTL(F1822,G1822,1,Table2[Dias no laborales]) &lt;= 7, "Dentro", IF(A1822&gt;F1822,"Programado","Fuera"))))</f>
        <v>Dentro</v>
      </c>
      <c r="K1822" s="6" t="str">
        <f t="shared" ref="K1822:K1857" si="74">IF(INT(A1822)=INT(F1822),"A tiempo", IF(A1822&lt;F1822,"Mismo día","Programados"))</f>
        <v>A tiempo</v>
      </c>
      <c r="L1822" s="8">
        <v>46105</v>
      </c>
      <c r="M1822" s="17">
        <f>MAX(1,NETWORKDAYS(A1822,L1822,Table2[Dias no laborales]))</f>
        <v>1</v>
      </c>
    </row>
    <row r="1823" spans="1:13" hidden="1" x14ac:dyDescent="0.3">
      <c r="A1823" s="8">
        <v>46105</v>
      </c>
      <c r="B1823" s="16" t="s">
        <v>3568</v>
      </c>
      <c r="C1823" s="6" t="s">
        <v>3723</v>
      </c>
      <c r="D1823" s="6" t="s">
        <v>2586</v>
      </c>
      <c r="E1823" s="14">
        <v>46105.526388888888</v>
      </c>
      <c r="F1823" s="8">
        <f>IF(HOUR(Table1[[#This Row],[CORREO]])&gt;=11,WORKDAY(Table1[[#This Row],[CORREO]],1,Table2[Dias no laborales]),E1823)</f>
        <v>46106</v>
      </c>
      <c r="G1823" s="8">
        <v>46107</v>
      </c>
      <c r="H1823" s="6">
        <f t="shared" si="73"/>
        <v>12</v>
      </c>
      <c r="I1823" s="6">
        <f>MAX(1, NETWORKDAYS(A1823, G1823,Table2[Dias no laborales]))</f>
        <v>3</v>
      </c>
      <c r="J1823" s="6" t="str">
        <f>IF(Table1[[#This Row],[FIN]]="","Acumulado",IF(ISNUMBER(SEARCH("ASAP",C1823)),"ASAP",IF(NETWORKDAYS.INTL(F1823,G1823,1,Table2[Dias no laborales]) &lt;= 7, "Dentro", IF(A1823&gt;F1823,"Programado","Fuera"))))</f>
        <v>Dentro</v>
      </c>
      <c r="K1823" s="6" t="str">
        <f t="shared" si="74"/>
        <v>Mismo día</v>
      </c>
      <c r="L1823" s="8">
        <v>46105</v>
      </c>
      <c r="M1823" s="17">
        <f>MAX(1,NETWORKDAYS(A1823,L1823,Table2[Dias no laborales]))</f>
        <v>1</v>
      </c>
    </row>
    <row r="1824" spans="1:13" hidden="1" x14ac:dyDescent="0.3">
      <c r="A1824" s="8">
        <v>46105</v>
      </c>
      <c r="B1824" s="16" t="s">
        <v>3569</v>
      </c>
      <c r="C1824" s="6" t="s">
        <v>3724</v>
      </c>
      <c r="D1824" s="6" t="s">
        <v>3725</v>
      </c>
      <c r="E1824" s="14">
        <v>46104.701388888891</v>
      </c>
      <c r="F1824" s="8">
        <f>IF(HOUR(Table1[[#This Row],[CORREO]])&gt;=11,WORKDAY(Table1[[#This Row],[CORREO]],1,Table2[Dias no laborales]),E1824)</f>
        <v>46105</v>
      </c>
      <c r="G1824" s="8">
        <v>46105</v>
      </c>
      <c r="H1824" s="6">
        <f t="shared" si="73"/>
        <v>12</v>
      </c>
      <c r="I1824" s="6">
        <f>MAX(1, NETWORKDAYS(A1824, G1824,Table2[Dias no laborales]))</f>
        <v>1</v>
      </c>
      <c r="J1824" s="6" t="str">
        <f>IF(Table1[[#This Row],[FIN]]="","Acumulado",IF(ISNUMBER(SEARCH("ASAP",C1824)),"ASAP",IF(NETWORKDAYS.INTL(F1824,G1824,1,Table2[Dias no laborales]) &lt;= 7, "Dentro", IF(A1824&gt;F1824,"Programado","Fuera"))))</f>
        <v>Dentro</v>
      </c>
      <c r="K1824" s="6" t="str">
        <f t="shared" si="74"/>
        <v>A tiempo</v>
      </c>
      <c r="L1824" s="8">
        <v>46105</v>
      </c>
      <c r="M1824" s="17">
        <f>MAX(1,NETWORKDAYS(A1824,L1824,Table2[Dias no laborales]))</f>
        <v>1</v>
      </c>
    </row>
    <row r="1825" spans="1:13" hidden="1" x14ac:dyDescent="0.3">
      <c r="A1825" s="8">
        <v>46105</v>
      </c>
      <c r="B1825" s="16" t="s">
        <v>3570</v>
      </c>
      <c r="C1825" s="6" t="s">
        <v>3726</v>
      </c>
      <c r="D1825" s="6" t="s">
        <v>37</v>
      </c>
      <c r="E1825" s="14">
        <v>46105.303472222222</v>
      </c>
      <c r="F1825" s="8">
        <f>IF(HOUR(Table1[[#This Row],[CORREO]])&gt;=11,WORKDAY(Table1[[#This Row],[CORREO]],1,Table2[Dias no laborales]),E1825)</f>
        <v>46105.303472222222</v>
      </c>
      <c r="G1825" s="8">
        <v>46107</v>
      </c>
      <c r="H1825" s="6">
        <f t="shared" si="73"/>
        <v>12</v>
      </c>
      <c r="I1825" s="6">
        <f>MAX(1, NETWORKDAYS(A1825, G1825,Table2[Dias no laborales]))</f>
        <v>3</v>
      </c>
      <c r="J1825" s="6" t="str">
        <f>IF(Table1[[#This Row],[FIN]]="","Acumulado",IF(ISNUMBER(SEARCH("ASAP",C1825)),"ASAP",IF(NETWORKDAYS.INTL(F1825,G1825,1,Table2[Dias no laborales]) &lt;= 7, "Dentro", IF(A1825&gt;F1825,"Programado","Fuera"))))</f>
        <v>Dentro</v>
      </c>
      <c r="K1825" s="6" t="str">
        <f t="shared" si="74"/>
        <v>A tiempo</v>
      </c>
      <c r="L1825" s="8">
        <v>46105</v>
      </c>
      <c r="M1825" s="17">
        <f>MAX(1,NETWORKDAYS(A1825,L1825,Table2[Dias no laborales]))</f>
        <v>1</v>
      </c>
    </row>
    <row r="1826" spans="1:13" hidden="1" x14ac:dyDescent="0.3">
      <c r="A1826" s="8">
        <v>46105</v>
      </c>
      <c r="B1826" s="16" t="s">
        <v>3571</v>
      </c>
      <c r="C1826" s="6" t="s">
        <v>3727</v>
      </c>
      <c r="D1826" s="6" t="s">
        <v>24</v>
      </c>
      <c r="E1826" s="14">
        <v>46105.404166666667</v>
      </c>
      <c r="F1826" s="8">
        <f>IF(HOUR(Table1[[#This Row],[CORREO]])&gt;=11,WORKDAY(Table1[[#This Row],[CORREO]],1,Table2[Dias no laborales]),E1826)</f>
        <v>46105.404166666667</v>
      </c>
      <c r="G1826" s="8">
        <v>46113</v>
      </c>
      <c r="H1826" s="6">
        <f t="shared" si="73"/>
        <v>12</v>
      </c>
      <c r="I1826" s="6">
        <f>MAX(1, NETWORKDAYS(A1826, G1826,Table2[Dias no laborales]))</f>
        <v>7</v>
      </c>
      <c r="J1826" s="6" t="str">
        <f>IF(Table1[[#This Row],[FIN]]="","Acumulado",IF(ISNUMBER(SEARCH("ASAP",C1826)),"ASAP",IF(NETWORKDAYS.INTL(F1826,G1826,1,Table2[Dias no laborales]) &lt;= 7, "Dentro", IF(A1826&gt;F1826,"Programado","Fuera"))))</f>
        <v>Dentro</v>
      </c>
      <c r="K1826" s="6" t="str">
        <f t="shared" si="74"/>
        <v>A tiempo</v>
      </c>
      <c r="L1826" s="8">
        <v>46105</v>
      </c>
      <c r="M1826" s="17">
        <f>MAX(1,NETWORKDAYS(A1826,L1826,Table2[Dias no laborales]))</f>
        <v>1</v>
      </c>
    </row>
    <row r="1827" spans="1:13" hidden="1" x14ac:dyDescent="0.3">
      <c r="A1827" s="8">
        <v>46105</v>
      </c>
      <c r="B1827" s="16" t="s">
        <v>3572</v>
      </c>
      <c r="C1827" s="6" t="s">
        <v>3728</v>
      </c>
      <c r="D1827" s="6" t="s">
        <v>24</v>
      </c>
      <c r="E1827" s="14">
        <v>46105.404166666667</v>
      </c>
      <c r="F1827" s="8">
        <f>IF(HOUR(Table1[[#This Row],[CORREO]])&gt;=11,WORKDAY(Table1[[#This Row],[CORREO]],1,Table2[Dias no laborales]),E1827)</f>
        <v>46105.404166666667</v>
      </c>
      <c r="G1827" s="8">
        <v>46118</v>
      </c>
      <c r="H1827" s="6">
        <f t="shared" si="73"/>
        <v>12</v>
      </c>
      <c r="I1827" s="6">
        <f>MAX(1, NETWORKDAYS(A1827, G1827,Table2[Dias no laborales]))</f>
        <v>8</v>
      </c>
      <c r="J1827" s="6" t="str">
        <f>IF(Table1[[#This Row],[FIN]]="","Acumulado",IF(ISNUMBER(SEARCH("ASAP",C1827)),"ASAP",IF(NETWORKDAYS.INTL(F1827,G1827,1,Table2[Dias no laborales]) &lt;= 7, "Dentro", IF(A1827&gt;F1827,"Programado","Fuera"))))</f>
        <v>Fuera</v>
      </c>
      <c r="K1827" s="6" t="str">
        <f t="shared" si="74"/>
        <v>A tiempo</v>
      </c>
      <c r="L1827" s="8">
        <v>46105</v>
      </c>
      <c r="M1827" s="17">
        <f>MAX(1,NETWORKDAYS(A1827,L1827,Table2[Dias no laborales]))</f>
        <v>1</v>
      </c>
    </row>
    <row r="1828" spans="1:13" hidden="1" x14ac:dyDescent="0.3">
      <c r="A1828" s="8">
        <v>46105</v>
      </c>
      <c r="B1828" s="16" t="s">
        <v>3573</v>
      </c>
      <c r="C1828" s="6" t="s">
        <v>3733</v>
      </c>
      <c r="D1828" s="6" t="s">
        <v>194</v>
      </c>
      <c r="E1828" s="14">
        <v>46105.702777777777</v>
      </c>
      <c r="F1828" s="8">
        <f>IF(HOUR(Table1[[#This Row],[CORREO]])&gt;=11,WORKDAY(Table1[[#This Row],[CORREO]],1,Table2[Dias no laborales]),E1828)</f>
        <v>46106</v>
      </c>
      <c r="G1828" s="8">
        <v>46107</v>
      </c>
      <c r="H1828" s="6">
        <f t="shared" si="73"/>
        <v>12</v>
      </c>
      <c r="I1828" s="6">
        <f>MAX(1, NETWORKDAYS(A1828, G1828,Table2[Dias no laborales]))</f>
        <v>3</v>
      </c>
      <c r="J1828" s="6" t="str">
        <f>IF(Table1[[#This Row],[FIN]]="","Acumulado",IF(ISNUMBER(SEARCH("ASAP",C1828)),"ASAP",IF(NETWORKDAYS.INTL(F1828,G1828,1,Table2[Dias no laborales]) &lt;= 7, "Dentro", IF(A1828&gt;F1828,"Programado","Fuera"))))</f>
        <v>Dentro</v>
      </c>
      <c r="K1828" s="6" t="str">
        <f t="shared" si="74"/>
        <v>Mismo día</v>
      </c>
      <c r="L1828" s="8">
        <v>46105</v>
      </c>
      <c r="M1828" s="17">
        <f>MAX(1,NETWORKDAYS(A1828,L1828,Table2[Dias no laborales]))</f>
        <v>1</v>
      </c>
    </row>
    <row r="1829" spans="1:13" hidden="1" x14ac:dyDescent="0.3">
      <c r="A1829" s="8">
        <v>46105</v>
      </c>
      <c r="B1829" s="16" t="s">
        <v>3574</v>
      </c>
      <c r="C1829" s="6" t="s">
        <v>3734</v>
      </c>
      <c r="D1829" s="6" t="s">
        <v>2994</v>
      </c>
      <c r="E1829" s="14">
        <v>46105.704861111109</v>
      </c>
      <c r="F1829" s="8">
        <f>IF(HOUR(Table1[[#This Row],[CORREO]])&gt;=11,WORKDAY(Table1[[#This Row],[CORREO]],1,Table2[Dias no laborales]),E1829)</f>
        <v>46106</v>
      </c>
      <c r="G1829" s="8">
        <v>46111</v>
      </c>
      <c r="H1829" s="6">
        <f t="shared" si="73"/>
        <v>12</v>
      </c>
      <c r="I1829" s="6">
        <f>MAX(1, NETWORKDAYS(A1829, G1829,Table2[Dias no laborales]))</f>
        <v>5</v>
      </c>
      <c r="J1829" s="6" t="str">
        <f>IF(Table1[[#This Row],[FIN]]="","Acumulado",IF(ISNUMBER(SEARCH("ASAP",C1829)),"ASAP",IF(NETWORKDAYS.INTL(F1829,G1829,1,Table2[Dias no laborales]) &lt;= 7, "Dentro", IF(A1829&gt;F1829,"Programado","Fuera"))))</f>
        <v>Dentro</v>
      </c>
      <c r="K1829" s="6" t="str">
        <f t="shared" si="74"/>
        <v>Mismo día</v>
      </c>
      <c r="L1829" s="8">
        <v>46105</v>
      </c>
      <c r="M1829" s="17">
        <f>MAX(1,NETWORKDAYS(A1829,L1829,Table2[Dias no laborales]))</f>
        <v>1</v>
      </c>
    </row>
    <row r="1830" spans="1:13" hidden="1" x14ac:dyDescent="0.3">
      <c r="A1830" s="8">
        <v>46106</v>
      </c>
      <c r="B1830" s="16" t="s">
        <v>3575</v>
      </c>
      <c r="C1830" s="6" t="s">
        <v>3735</v>
      </c>
      <c r="D1830" s="6" t="s">
        <v>3706</v>
      </c>
      <c r="E1830" s="14">
        <v>46105.492361111108</v>
      </c>
      <c r="F1830" s="8">
        <f>IF(HOUR(Table1[[#This Row],[CORREO]])&gt;=11,WORKDAY(Table1[[#This Row],[CORREO]],1,Table2[Dias no laborales]),E1830)</f>
        <v>46106</v>
      </c>
      <c r="G1830" s="8">
        <v>46114</v>
      </c>
      <c r="H1830" s="6">
        <f t="shared" si="73"/>
        <v>12</v>
      </c>
      <c r="I1830" s="6">
        <f>MAX(1, NETWORKDAYS(A1830, G1830,Table2[Dias no laborales]))</f>
        <v>6</v>
      </c>
      <c r="J1830" s="6" t="str">
        <f>IF(Table1[[#This Row],[FIN]]="","Acumulado",IF(ISNUMBER(SEARCH("ASAP",C1830)),"ASAP",IF(NETWORKDAYS.INTL(F1830,G1830,1,Table2[Dias no laborales]) &lt;= 7, "Dentro", IF(A1830&gt;F1830,"Programado","Fuera"))))</f>
        <v>Dentro</v>
      </c>
      <c r="K1830" s="6" t="str">
        <f t="shared" si="74"/>
        <v>A tiempo</v>
      </c>
      <c r="L1830" s="8">
        <v>46106</v>
      </c>
      <c r="M1830" s="17">
        <f>MAX(1,NETWORKDAYS(A1830,L1830,Table2[Dias no laborales]))</f>
        <v>1</v>
      </c>
    </row>
    <row r="1831" spans="1:13" hidden="1" x14ac:dyDescent="0.3">
      <c r="A1831" s="8">
        <v>46106</v>
      </c>
      <c r="B1831" s="16" t="s">
        <v>3576</v>
      </c>
      <c r="C1831" s="6" t="s">
        <v>2302</v>
      </c>
      <c r="D1831" s="6" t="s">
        <v>3736</v>
      </c>
      <c r="E1831" s="14">
        <v>46105.623611111114</v>
      </c>
      <c r="F1831" s="8">
        <f>IF(HOUR(Table1[[#This Row],[CORREO]])&gt;=11,WORKDAY(Table1[[#This Row],[CORREO]],1,Table2[Dias no laborales]),E1831)</f>
        <v>46106</v>
      </c>
      <c r="G1831" s="8">
        <v>46106</v>
      </c>
      <c r="H1831" s="6">
        <f t="shared" si="73"/>
        <v>12</v>
      </c>
      <c r="I1831" s="6">
        <f>MAX(1, NETWORKDAYS(A1831, G1831,Table2[Dias no laborales]))</f>
        <v>1</v>
      </c>
      <c r="J1831" s="6" t="str">
        <f>IF(Table1[[#This Row],[FIN]]="","Acumulado",IF(ISNUMBER(SEARCH("ASAP",C1831)),"ASAP",IF(NETWORKDAYS.INTL(F1831,G1831,1,Table2[Dias no laborales]) &lt;= 7, "Dentro", IF(A1831&gt;F1831,"Programado","Fuera"))))</f>
        <v>Dentro</v>
      </c>
      <c r="K1831" s="6" t="str">
        <f t="shared" si="74"/>
        <v>A tiempo</v>
      </c>
      <c r="L1831" s="8">
        <v>46106</v>
      </c>
      <c r="M1831" s="17">
        <f>MAX(1,NETWORKDAYS(A1831,L1831,Table2[Dias no laborales]))</f>
        <v>1</v>
      </c>
    </row>
    <row r="1832" spans="1:13" hidden="1" x14ac:dyDescent="0.3">
      <c r="A1832" s="8">
        <v>46106</v>
      </c>
      <c r="B1832" s="16" t="s">
        <v>3577</v>
      </c>
      <c r="C1832" s="6" t="s">
        <v>3737</v>
      </c>
      <c r="D1832" s="6" t="s">
        <v>3736</v>
      </c>
      <c r="E1832" s="14">
        <v>46105.645138888889</v>
      </c>
      <c r="F1832" s="8">
        <f>IF(HOUR(Table1[[#This Row],[CORREO]])&gt;=11,WORKDAY(Table1[[#This Row],[CORREO]],1,Table2[Dias no laborales]),E1832)</f>
        <v>46106</v>
      </c>
      <c r="G1832" s="8">
        <v>46113</v>
      </c>
      <c r="H1832" s="6">
        <f t="shared" si="73"/>
        <v>12</v>
      </c>
      <c r="I1832" s="6">
        <f>MAX(1, NETWORKDAYS(A1832, G1832,Table2[Dias no laborales]))</f>
        <v>6</v>
      </c>
      <c r="J1832" s="6" t="str">
        <f>IF(Table1[[#This Row],[FIN]]="","Acumulado",IF(ISNUMBER(SEARCH("ASAP",C1832)),"ASAP",IF(NETWORKDAYS.INTL(F1832,G1832,1,Table2[Dias no laborales]) &lt;= 7, "Dentro", IF(A1832&gt;F1832,"Programado","Fuera"))))</f>
        <v>Dentro</v>
      </c>
      <c r="K1832" s="6" t="str">
        <f t="shared" si="74"/>
        <v>A tiempo</v>
      </c>
      <c r="L1832" s="8">
        <v>46106</v>
      </c>
      <c r="M1832" s="17">
        <f>MAX(1,NETWORKDAYS(A1832,L1832,Table2[Dias no laborales]))</f>
        <v>1</v>
      </c>
    </row>
    <row r="1833" spans="1:13" hidden="1" x14ac:dyDescent="0.3">
      <c r="A1833" s="8">
        <v>46106</v>
      </c>
      <c r="B1833" s="16" t="s">
        <v>3578</v>
      </c>
      <c r="C1833" s="6" t="s">
        <v>3738</v>
      </c>
      <c r="D1833" s="6" t="s">
        <v>154</v>
      </c>
      <c r="E1833" s="14">
        <v>46105.668055555558</v>
      </c>
      <c r="F1833" s="8">
        <f>IF(HOUR(Table1[[#This Row],[CORREO]])&gt;=11,WORKDAY(Table1[[#This Row],[CORREO]],1,Table2[Dias no laborales]),E1833)</f>
        <v>46106</v>
      </c>
      <c r="G1833" s="8">
        <v>46119</v>
      </c>
      <c r="H1833" s="6">
        <f t="shared" si="73"/>
        <v>12</v>
      </c>
      <c r="I1833" s="6">
        <f>MAX(1, NETWORKDAYS(A1833, G1833,Table2[Dias no laborales]))</f>
        <v>8</v>
      </c>
      <c r="J1833" s="6" t="str">
        <f>IF(Table1[[#This Row],[FIN]]="","Acumulado",IF(ISNUMBER(SEARCH("ASAP",C1833)),"ASAP",IF(NETWORKDAYS.INTL(F1833,G1833,1,Table2[Dias no laborales]) &lt;= 7, "Dentro", IF(A1833&gt;F1833,"Programado","Fuera"))))</f>
        <v>Fuera</v>
      </c>
      <c r="K1833" s="6" t="str">
        <f t="shared" si="74"/>
        <v>A tiempo</v>
      </c>
      <c r="L1833" s="8">
        <v>46106</v>
      </c>
      <c r="M1833" s="17">
        <f>MAX(1,NETWORKDAYS(A1833,L1833,Table2[Dias no laborales]))</f>
        <v>1</v>
      </c>
    </row>
    <row r="1834" spans="1:13" hidden="1" x14ac:dyDescent="0.3">
      <c r="A1834" s="8">
        <v>46106</v>
      </c>
      <c r="B1834" s="16" t="s">
        <v>3791</v>
      </c>
      <c r="C1834" s="6" t="s">
        <v>3739</v>
      </c>
      <c r="D1834" s="6" t="s">
        <v>2586</v>
      </c>
      <c r="E1834" s="14">
        <v>46105.847916666666</v>
      </c>
      <c r="F1834" s="8">
        <f>IF(HOUR(Table1[[#This Row],[CORREO]])&gt;=11,WORKDAY(Table1[[#This Row],[CORREO]],1,Table2[Dias no laborales]),E1834)</f>
        <v>46106</v>
      </c>
      <c r="G1834" s="8">
        <v>46112</v>
      </c>
      <c r="H1834" s="6">
        <f t="shared" si="73"/>
        <v>12</v>
      </c>
      <c r="I1834" s="6">
        <f>MAX(1, NETWORKDAYS(A1834, G1834,Table2[Dias no laborales]))</f>
        <v>5</v>
      </c>
      <c r="J1834" s="6" t="str">
        <f>IF(Table1[[#This Row],[FIN]]="","Acumulado",IF(ISNUMBER(SEARCH("ASAP",C1834)),"ASAP",IF(NETWORKDAYS.INTL(F1834,G1834,1,Table2[Dias no laborales]) &lt;= 7, "Dentro", IF(A1834&gt;F1834,"Programado","Fuera"))))</f>
        <v>Dentro</v>
      </c>
      <c r="K1834" s="6" t="str">
        <f t="shared" si="74"/>
        <v>A tiempo</v>
      </c>
      <c r="L1834" s="8">
        <v>46106</v>
      </c>
      <c r="M1834" s="17">
        <f>MAX(1,NETWORKDAYS(A1834,L1834,Table2[Dias no laborales]))</f>
        <v>1</v>
      </c>
    </row>
    <row r="1835" spans="1:13" hidden="1" x14ac:dyDescent="0.3">
      <c r="A1835" s="8">
        <v>46106</v>
      </c>
      <c r="B1835" s="16" t="s">
        <v>3579</v>
      </c>
      <c r="C1835" s="6" t="s">
        <v>3740</v>
      </c>
      <c r="D1835" s="6" t="s">
        <v>2981</v>
      </c>
      <c r="E1835" s="14">
        <v>46106.375694444447</v>
      </c>
      <c r="F1835" s="8">
        <f>IF(HOUR(Table1[[#This Row],[CORREO]])&gt;=11,WORKDAY(Table1[[#This Row],[CORREO]],1,Table2[Dias no laborales]),E1835)</f>
        <v>46106.375694444447</v>
      </c>
      <c r="G1835" s="8">
        <v>46106</v>
      </c>
      <c r="H1835" s="6">
        <f t="shared" si="73"/>
        <v>12</v>
      </c>
      <c r="I1835" s="6">
        <f>MAX(1, NETWORKDAYS(A1835, G1835,Table2[Dias no laborales]))</f>
        <v>1</v>
      </c>
      <c r="J1835" s="6" t="str">
        <f>IF(Table1[[#This Row],[FIN]]="","Acumulado",IF(ISNUMBER(SEARCH("ASAP",C1835)),"ASAP",IF(NETWORKDAYS.INTL(F1835,G1835,1,Table2[Dias no laborales]) &lt;= 7, "Dentro", IF(A1835&gt;F1835,"Programado","Fuera"))))</f>
        <v>Dentro</v>
      </c>
      <c r="K1835" s="6" t="str">
        <f t="shared" si="74"/>
        <v>A tiempo</v>
      </c>
      <c r="L1835" s="8">
        <v>46106</v>
      </c>
      <c r="M1835" s="17">
        <f>MAX(1,NETWORKDAYS(A1835,L1835,Table2[Dias no laborales]))</f>
        <v>1</v>
      </c>
    </row>
    <row r="1836" spans="1:13" hidden="1" x14ac:dyDescent="0.3">
      <c r="A1836" s="8">
        <v>46106</v>
      </c>
      <c r="B1836" s="16" t="s">
        <v>3580</v>
      </c>
      <c r="C1836" s="6" t="s">
        <v>3741</v>
      </c>
      <c r="D1836" s="6" t="s">
        <v>24</v>
      </c>
      <c r="E1836" s="14"/>
      <c r="F1836" s="8">
        <f>IF(HOUR(Table1[[#This Row],[CORREO]])&gt;=11,WORKDAY(Table1[[#This Row],[CORREO]],1,Table2[Dias no laborales]),E1836)</f>
        <v>0</v>
      </c>
      <c r="G1836" s="8">
        <v>46108</v>
      </c>
      <c r="H1836" s="6">
        <f t="shared" si="73"/>
        <v>12</v>
      </c>
      <c r="I1836" s="6">
        <f>MAX(1, NETWORKDAYS(A1836, G1836,Table2[Dias no laborales]))</f>
        <v>3</v>
      </c>
      <c r="J1836" s="6" t="str">
        <f>IF(Table1[[#This Row],[FIN]]="","Acumulado",IF(ISNUMBER(SEARCH("ASAP",C1836)),"ASAP",IF(NETWORKDAYS.INTL(F1836,G1836,1,Table2[Dias no laborales]) &lt;= 7, "Dentro", IF(A1836&gt;F1836,"Programado","Fuera"))))</f>
        <v>Programado</v>
      </c>
      <c r="K1836" s="6" t="str">
        <f t="shared" si="74"/>
        <v>Programados</v>
      </c>
      <c r="L1836" s="8">
        <v>46106</v>
      </c>
      <c r="M1836" s="17">
        <f>MAX(1,NETWORKDAYS(A1836,L1836,Table2[Dias no laborales]))</f>
        <v>1</v>
      </c>
    </row>
    <row r="1837" spans="1:13" hidden="1" x14ac:dyDescent="0.3">
      <c r="A1837" s="8">
        <v>46106</v>
      </c>
      <c r="B1837" s="16" t="s">
        <v>3581</v>
      </c>
      <c r="C1837" s="6" t="s">
        <v>3742</v>
      </c>
      <c r="D1837" s="6" t="s">
        <v>3743</v>
      </c>
      <c r="E1837" s="14">
        <v>46105.802083333336</v>
      </c>
      <c r="F1837" s="8">
        <f>IF(HOUR(Table1[[#This Row],[CORREO]])&gt;=11,WORKDAY(Table1[[#This Row],[CORREO]],1,Table2[Dias no laborales]),E1837)</f>
        <v>46106</v>
      </c>
      <c r="G1837" s="8">
        <v>46111</v>
      </c>
      <c r="H1837" s="6">
        <f t="shared" si="73"/>
        <v>12</v>
      </c>
      <c r="I1837" s="6">
        <f>MAX(1, NETWORKDAYS(A1837, G1837,Table2[Dias no laborales]))</f>
        <v>4</v>
      </c>
      <c r="J1837" s="6" t="str">
        <f>IF(Table1[[#This Row],[FIN]]="","Acumulado",IF(ISNUMBER(SEARCH("ASAP",C1837)),"ASAP",IF(NETWORKDAYS.INTL(F1837,G1837,1,Table2[Dias no laborales]) &lt;= 7, "Dentro", IF(A1837&gt;F1837,"Programado","Fuera"))))</f>
        <v>Dentro</v>
      </c>
      <c r="K1837" s="6" t="str">
        <f t="shared" si="74"/>
        <v>A tiempo</v>
      </c>
      <c r="L1837" s="8">
        <v>46106</v>
      </c>
      <c r="M1837" s="17">
        <f>MAX(1,NETWORKDAYS(A1837,L1837,Table2[Dias no laborales]))</f>
        <v>1</v>
      </c>
    </row>
    <row r="1838" spans="1:13" hidden="1" x14ac:dyDescent="0.3">
      <c r="A1838" s="8">
        <v>46106</v>
      </c>
      <c r="B1838" s="16" t="s">
        <v>3582</v>
      </c>
      <c r="C1838" s="6" t="s">
        <v>3744</v>
      </c>
      <c r="D1838" s="6" t="s">
        <v>2586</v>
      </c>
      <c r="E1838" s="14">
        <v>46106.380555555559</v>
      </c>
      <c r="F1838" s="8">
        <f>IF(HOUR(Table1[[#This Row],[CORREO]])&gt;=11,WORKDAY(Table1[[#This Row],[CORREO]],1,Table2[Dias no laborales]),E1838)</f>
        <v>46106.380555555559</v>
      </c>
      <c r="G1838" s="8">
        <v>46106</v>
      </c>
      <c r="H1838" s="6">
        <f t="shared" si="73"/>
        <v>12</v>
      </c>
      <c r="I1838" s="6">
        <f>MAX(1, NETWORKDAYS(A1838, G1838,Table2[Dias no laborales]))</f>
        <v>1</v>
      </c>
      <c r="J1838" s="6" t="str">
        <f>IF(Table1[[#This Row],[FIN]]="","Acumulado",IF(ISNUMBER(SEARCH("ASAP",C1838)),"ASAP",IF(NETWORKDAYS.INTL(F1838,G1838,1,Table2[Dias no laborales]) &lt;= 7, "Dentro", IF(A1838&gt;F1838,"Programado","Fuera"))))</f>
        <v>Dentro</v>
      </c>
      <c r="K1838" s="6" t="str">
        <f t="shared" si="74"/>
        <v>A tiempo</v>
      </c>
      <c r="L1838" s="8">
        <v>46106</v>
      </c>
      <c r="M1838" s="17">
        <f>MAX(1,NETWORKDAYS(A1838,L1838,Table2[Dias no laborales]))</f>
        <v>1</v>
      </c>
    </row>
    <row r="1839" spans="1:13" hidden="1" x14ac:dyDescent="0.3">
      <c r="A1839" s="8">
        <v>46106</v>
      </c>
      <c r="B1839" s="16" t="s">
        <v>3583</v>
      </c>
      <c r="C1839" s="6" t="s">
        <v>2302</v>
      </c>
      <c r="D1839" s="6" t="s">
        <v>3736</v>
      </c>
      <c r="E1839" s="14">
        <v>46106.438888888886</v>
      </c>
      <c r="F1839" s="8">
        <f>IF(HOUR(Table1[[#This Row],[CORREO]])&gt;=11,WORKDAY(Table1[[#This Row],[CORREO]],1,Table2[Dias no laborales]),E1839)</f>
        <v>46106.438888888886</v>
      </c>
      <c r="G1839" s="8">
        <v>46106</v>
      </c>
      <c r="H1839" s="6">
        <f t="shared" si="73"/>
        <v>12</v>
      </c>
      <c r="I1839" s="6">
        <f>MAX(1, NETWORKDAYS(A1839, G1839,Table2[Dias no laborales]))</f>
        <v>1</v>
      </c>
      <c r="J1839" s="6" t="str">
        <f>IF(Table1[[#This Row],[FIN]]="","Acumulado",IF(ISNUMBER(SEARCH("ASAP",C1839)),"ASAP",IF(NETWORKDAYS.INTL(F1839,G1839,1,Table2[Dias no laborales]) &lt;= 7, "Dentro", IF(A1839&gt;F1839,"Programado","Fuera"))))</f>
        <v>Dentro</v>
      </c>
      <c r="K1839" s="6" t="str">
        <f t="shared" si="74"/>
        <v>A tiempo</v>
      </c>
      <c r="L1839" s="8">
        <v>46106</v>
      </c>
      <c r="M1839" s="17">
        <f>MAX(1,NETWORKDAYS(A1839,L1839,Table2[Dias no laborales]))</f>
        <v>1</v>
      </c>
    </row>
    <row r="1840" spans="1:13" hidden="1" x14ac:dyDescent="0.3">
      <c r="A1840" s="8">
        <v>46106</v>
      </c>
      <c r="B1840" s="16" t="s">
        <v>3584</v>
      </c>
      <c r="C1840" s="6" t="s">
        <v>3745</v>
      </c>
      <c r="D1840" s="6" t="s">
        <v>269</v>
      </c>
      <c r="E1840" s="14">
        <v>46106.420138888891</v>
      </c>
      <c r="F1840" s="8">
        <f>IF(HOUR(Table1[[#This Row],[CORREO]])&gt;=11,WORKDAY(Table1[[#This Row],[CORREO]],1,Table2[Dias no laborales]),E1840)</f>
        <v>46106.420138888891</v>
      </c>
      <c r="G1840" s="8">
        <v>46120</v>
      </c>
      <c r="H1840" s="6">
        <f t="shared" si="73"/>
        <v>12</v>
      </c>
      <c r="I1840" s="6">
        <f>MAX(1, NETWORKDAYS(A1840, G1840,Table2[Dias no laborales]))</f>
        <v>9</v>
      </c>
      <c r="J1840" s="6" t="str">
        <f>IF(Table1[[#This Row],[FIN]]="","Acumulado",IF(ISNUMBER(SEARCH("ASAP",C1840)),"ASAP",IF(NETWORKDAYS.INTL(F1840,G1840,1,Table2[Dias no laborales]) &lt;= 7, "Dentro", IF(A1840&gt;F1840,"Programado","Fuera"))))</f>
        <v>Fuera</v>
      </c>
      <c r="K1840" s="6" t="str">
        <f t="shared" si="74"/>
        <v>A tiempo</v>
      </c>
      <c r="L1840" s="8">
        <v>46106</v>
      </c>
      <c r="M1840" s="17">
        <f>MAX(1,NETWORKDAYS(A1840,L1840,Table2[Dias no laborales]))</f>
        <v>1</v>
      </c>
    </row>
    <row r="1841" spans="1:13" hidden="1" x14ac:dyDescent="0.3">
      <c r="A1841" s="8">
        <v>46106</v>
      </c>
      <c r="B1841" s="16" t="s">
        <v>3585</v>
      </c>
      <c r="C1841" s="6" t="s">
        <v>3746</v>
      </c>
      <c r="D1841" s="6" t="s">
        <v>3747</v>
      </c>
      <c r="E1841" s="14">
        <v>46106.478472222225</v>
      </c>
      <c r="F1841" s="8">
        <f>IF(HOUR(Table1[[#This Row],[CORREO]])&gt;=11,WORKDAY(Table1[[#This Row],[CORREO]],1,Table2[Dias no laborales]),E1841)</f>
        <v>46107</v>
      </c>
      <c r="G1841" s="8">
        <v>46113</v>
      </c>
      <c r="H1841" s="6">
        <f t="shared" si="73"/>
        <v>12</v>
      </c>
      <c r="I1841" s="6">
        <f>MAX(1, NETWORKDAYS(A1841, G1841,Table2[Dias no laborales]))</f>
        <v>6</v>
      </c>
      <c r="J1841" s="6" t="str">
        <f>IF(Table1[[#This Row],[FIN]]="","Acumulado",IF(ISNUMBER(SEARCH("ASAP",C1841)),"ASAP",IF(NETWORKDAYS.INTL(F1841,G1841,1,Table2[Dias no laborales]) &lt;= 7, "Dentro", IF(A1841&gt;F1841,"Programado","Fuera"))))</f>
        <v>Dentro</v>
      </c>
      <c r="K1841" s="6" t="str">
        <f t="shared" si="74"/>
        <v>Mismo día</v>
      </c>
      <c r="L1841" s="8">
        <v>46106</v>
      </c>
      <c r="M1841" s="17">
        <f>MAX(1,NETWORKDAYS(A1841,L1841,Table2[Dias no laborales]))</f>
        <v>1</v>
      </c>
    </row>
    <row r="1842" spans="1:13" hidden="1" x14ac:dyDescent="0.3">
      <c r="A1842" s="8">
        <v>46106</v>
      </c>
      <c r="B1842" s="16" t="s">
        <v>3586</v>
      </c>
      <c r="C1842" s="6" t="s">
        <v>3748</v>
      </c>
      <c r="D1842" s="6" t="s">
        <v>3749</v>
      </c>
      <c r="E1842" s="14">
        <v>46106.529861111114</v>
      </c>
      <c r="F1842" s="8">
        <f>IF(HOUR(Table1[[#This Row],[CORREO]])&gt;=11,WORKDAY(Table1[[#This Row],[CORREO]],1,Table2[Dias no laborales]),E1842)</f>
        <v>46107</v>
      </c>
      <c r="G1842" s="8">
        <v>46111</v>
      </c>
      <c r="H1842" s="6">
        <f t="shared" si="73"/>
        <v>12</v>
      </c>
      <c r="I1842" s="6">
        <f>MAX(1, NETWORKDAYS(A1842, G1842,Table2[Dias no laborales]))</f>
        <v>4</v>
      </c>
      <c r="J1842" s="6" t="str">
        <f>IF(Table1[[#This Row],[FIN]]="","Acumulado",IF(ISNUMBER(SEARCH("ASAP",C1842)),"ASAP",IF(NETWORKDAYS.INTL(F1842,G1842,1,Table2[Dias no laborales]) &lt;= 7, "Dentro", IF(A1842&gt;F1842,"Programado","Fuera"))))</f>
        <v>Dentro</v>
      </c>
      <c r="K1842" s="6" t="str">
        <f t="shared" si="74"/>
        <v>Mismo día</v>
      </c>
      <c r="L1842" s="8">
        <v>46106</v>
      </c>
      <c r="M1842" s="17">
        <f>MAX(1,NETWORKDAYS(A1842,L1842,Table2[Dias no laborales]))</f>
        <v>1</v>
      </c>
    </row>
    <row r="1843" spans="1:13" hidden="1" x14ac:dyDescent="0.3">
      <c r="A1843" s="8">
        <v>46107</v>
      </c>
      <c r="B1843" s="16" t="s">
        <v>3587</v>
      </c>
      <c r="C1843" s="6" t="s">
        <v>3750</v>
      </c>
      <c r="D1843" s="6" t="s">
        <v>392</v>
      </c>
      <c r="E1843" s="14">
        <v>46106.498611111114</v>
      </c>
      <c r="F1843" s="8">
        <f>IF(HOUR(Table1[[#This Row],[CORREO]])&gt;=11,WORKDAY(Table1[[#This Row],[CORREO]],1,Table2[Dias no laborales]),E1843)</f>
        <v>46107</v>
      </c>
      <c r="G1843" s="8">
        <v>46108</v>
      </c>
      <c r="H1843" s="6">
        <f t="shared" si="73"/>
        <v>13</v>
      </c>
      <c r="I1843" s="6">
        <f>MAX(1, NETWORKDAYS(A1843, G1843,Table2[Dias no laborales]))</f>
        <v>2</v>
      </c>
      <c r="J1843" s="6" t="str">
        <f>IF(Table1[[#This Row],[FIN]]="","Acumulado",IF(ISNUMBER(SEARCH("ASAP",C1843)),"ASAP",IF(NETWORKDAYS.INTL(F1843,G1843,1,Table2[Dias no laborales]) &lt;= 7, "Dentro", IF(A1843&gt;F1843,"Programado","Fuera"))))</f>
        <v>Dentro</v>
      </c>
      <c r="K1843" s="6" t="str">
        <f t="shared" si="74"/>
        <v>A tiempo</v>
      </c>
      <c r="L1843" s="8">
        <v>46107</v>
      </c>
      <c r="M1843" s="17">
        <f>MAX(1,NETWORKDAYS(A1843,L1843,Table2[Dias no laborales]))</f>
        <v>1</v>
      </c>
    </row>
    <row r="1844" spans="1:13" hidden="1" x14ac:dyDescent="0.3">
      <c r="A1844" s="8">
        <v>46107</v>
      </c>
      <c r="B1844" s="16" t="s">
        <v>3588</v>
      </c>
      <c r="C1844" s="6" t="s">
        <v>3751</v>
      </c>
      <c r="D1844" s="6" t="s">
        <v>586</v>
      </c>
      <c r="E1844" s="14">
        <v>46106.638194444444</v>
      </c>
      <c r="F1844" s="8">
        <f>IF(HOUR(Table1[[#This Row],[CORREO]])&gt;=11,WORKDAY(Table1[[#This Row],[CORREO]],1,Table2[Dias no laborales]),E1844)</f>
        <v>46107</v>
      </c>
      <c r="G1844" s="8">
        <v>46127</v>
      </c>
      <c r="H1844" s="6">
        <f t="shared" si="73"/>
        <v>13</v>
      </c>
      <c r="I1844" s="6">
        <f>MAX(1, NETWORKDAYS(A1844, G1844,Table2[Dias no laborales]))</f>
        <v>13</v>
      </c>
      <c r="J1844" s="6" t="str">
        <f>IF(Table1[[#This Row],[FIN]]="","Acumulado",IF(ISNUMBER(SEARCH("ASAP",C1844)),"ASAP",IF(NETWORKDAYS.INTL(F1844,G1844,1,Table2[Dias no laborales]) &lt;= 7, "Dentro", IF(A1844&gt;F1844,"Programado","Fuera"))))</f>
        <v>Fuera</v>
      </c>
      <c r="K1844" s="6" t="str">
        <f t="shared" si="74"/>
        <v>A tiempo</v>
      </c>
      <c r="L1844" s="8">
        <v>46107</v>
      </c>
      <c r="M1844" s="17">
        <f>MAX(1,NETWORKDAYS(A1844,L1844,Table2[Dias no laborales]))</f>
        <v>1</v>
      </c>
    </row>
    <row r="1845" spans="1:13" hidden="1" x14ac:dyDescent="0.3">
      <c r="A1845" s="8">
        <v>46107</v>
      </c>
      <c r="B1845" s="16" t="s">
        <v>3589</v>
      </c>
      <c r="C1845" s="6" t="s">
        <v>3752</v>
      </c>
      <c r="D1845" s="6" t="s">
        <v>24</v>
      </c>
      <c r="E1845" s="14">
        <v>46106.751388888886</v>
      </c>
      <c r="F1845" s="8">
        <f>IF(HOUR(Table1[[#This Row],[CORREO]])&gt;=11,WORKDAY(Table1[[#This Row],[CORREO]],1,Table2[Dias no laborales]),E1845)</f>
        <v>46107</v>
      </c>
      <c r="G1845" s="8">
        <v>46108</v>
      </c>
      <c r="H1845" s="6">
        <f t="shared" si="73"/>
        <v>13</v>
      </c>
      <c r="I1845" s="6">
        <f>MAX(1, NETWORKDAYS(A1845, G1845,Table2[Dias no laborales]))</f>
        <v>2</v>
      </c>
      <c r="J1845" s="6" t="str">
        <f>IF(Table1[[#This Row],[FIN]]="","Acumulado",IF(ISNUMBER(SEARCH("ASAP",C1845)),"ASAP",IF(NETWORKDAYS.INTL(F1845,G1845,1,Table2[Dias no laborales]) &lt;= 7, "Dentro", IF(A1845&gt;F1845,"Programado","Fuera"))))</f>
        <v>Dentro</v>
      </c>
      <c r="K1845" s="6" t="str">
        <f t="shared" si="74"/>
        <v>A tiempo</v>
      </c>
      <c r="L1845" s="8">
        <v>46107</v>
      </c>
      <c r="M1845" s="17">
        <f>MAX(1,NETWORKDAYS(A1845,L1845,Table2[Dias no laborales]))</f>
        <v>1</v>
      </c>
    </row>
    <row r="1846" spans="1:13" hidden="1" x14ac:dyDescent="0.3">
      <c r="A1846" s="8">
        <v>46107</v>
      </c>
      <c r="B1846" s="16" t="s">
        <v>3590</v>
      </c>
      <c r="C1846" s="6" t="s">
        <v>3753</v>
      </c>
      <c r="D1846" s="6" t="s">
        <v>3649</v>
      </c>
      <c r="E1846" s="14">
        <v>46106.685416666667</v>
      </c>
      <c r="F1846" s="8">
        <f>IF(HOUR(Table1[[#This Row],[CORREO]])&gt;=11,WORKDAY(Table1[[#This Row],[CORREO]],1,Table2[Dias no laborales]),E1846)</f>
        <v>46107</v>
      </c>
      <c r="G1846" s="8">
        <v>46111</v>
      </c>
      <c r="H1846" s="6">
        <f t="shared" si="73"/>
        <v>13</v>
      </c>
      <c r="I1846" s="6">
        <f>MAX(1, NETWORKDAYS(A1846, G1846,Table2[Dias no laborales]))</f>
        <v>3</v>
      </c>
      <c r="J1846" s="6" t="str">
        <f>IF(Table1[[#This Row],[FIN]]="","Acumulado",IF(ISNUMBER(SEARCH("ASAP",C1846)),"ASAP",IF(NETWORKDAYS.INTL(F1846,G1846,1,Table2[Dias no laborales]) &lt;= 7, "Dentro", IF(A1846&gt;F1846,"Programado","Fuera"))))</f>
        <v>Dentro</v>
      </c>
      <c r="K1846" s="6" t="str">
        <f t="shared" si="74"/>
        <v>A tiempo</v>
      </c>
      <c r="L1846" s="8">
        <v>46107</v>
      </c>
      <c r="M1846" s="17">
        <f>MAX(1,NETWORKDAYS(A1846,L1846,Table2[Dias no laborales]))</f>
        <v>1</v>
      </c>
    </row>
    <row r="1847" spans="1:13" hidden="1" x14ac:dyDescent="0.3">
      <c r="A1847" s="8">
        <v>46107</v>
      </c>
      <c r="B1847" s="16" t="s">
        <v>3591</v>
      </c>
      <c r="C1847" s="6" t="s">
        <v>3754</v>
      </c>
      <c r="D1847" s="6" t="s">
        <v>1136</v>
      </c>
      <c r="E1847" s="14">
        <v>46106.698611111111</v>
      </c>
      <c r="F1847" s="8">
        <f>IF(HOUR(Table1[[#This Row],[CORREO]])&gt;=11,WORKDAY(Table1[[#This Row],[CORREO]],1,Table2[Dias no laborales]),E1847)</f>
        <v>46107</v>
      </c>
      <c r="G1847" s="8">
        <v>46107</v>
      </c>
      <c r="H1847" s="6">
        <f t="shared" si="73"/>
        <v>13</v>
      </c>
      <c r="I1847" s="6">
        <f>MAX(1, NETWORKDAYS(A1847, G1847,Table2[Dias no laborales]))</f>
        <v>1</v>
      </c>
      <c r="J1847" s="6" t="str">
        <f>IF(Table1[[#This Row],[FIN]]="","Acumulado",IF(ISNUMBER(SEARCH("ASAP",C1847)),"ASAP",IF(NETWORKDAYS.INTL(F1847,G1847,1,Table2[Dias no laborales]) &lt;= 7, "Dentro", IF(A1847&gt;F1847,"Programado","Fuera"))))</f>
        <v>Dentro</v>
      </c>
      <c r="K1847" s="6" t="str">
        <f t="shared" si="74"/>
        <v>A tiempo</v>
      </c>
      <c r="L1847" s="8">
        <v>46107</v>
      </c>
      <c r="M1847" s="17">
        <f>MAX(1,NETWORKDAYS(A1847,L1847,Table2[Dias no laborales]))</f>
        <v>1</v>
      </c>
    </row>
    <row r="1848" spans="1:13" hidden="1" x14ac:dyDescent="0.3">
      <c r="A1848" s="8">
        <v>46107</v>
      </c>
      <c r="B1848" s="16" t="s">
        <v>3592</v>
      </c>
      <c r="C1848" s="6" t="s">
        <v>3755</v>
      </c>
      <c r="D1848" s="6" t="s">
        <v>2981</v>
      </c>
      <c r="E1848" s="14">
        <v>46107.376388888886</v>
      </c>
      <c r="F1848" s="8">
        <f>IF(HOUR(Table1[[#This Row],[CORREO]])&gt;=11,WORKDAY(Table1[[#This Row],[CORREO]],1,Table2[Dias no laborales]),E1848)</f>
        <v>46107.376388888886</v>
      </c>
      <c r="G1848" s="8">
        <v>46113</v>
      </c>
      <c r="H1848" s="6">
        <f t="shared" si="73"/>
        <v>13</v>
      </c>
      <c r="I1848" s="6">
        <f>MAX(1, NETWORKDAYS(A1848, G1848,Table2[Dias no laborales]))</f>
        <v>5</v>
      </c>
      <c r="J1848" s="6" t="str">
        <f>IF(Table1[[#This Row],[FIN]]="","Acumulado",IF(ISNUMBER(SEARCH("ASAP",C1848)),"ASAP",IF(NETWORKDAYS.INTL(F1848,G1848,1,Table2[Dias no laborales]) &lt;= 7, "Dentro", IF(A1848&gt;F1848,"Programado","Fuera"))))</f>
        <v>Dentro</v>
      </c>
      <c r="K1848" s="6" t="str">
        <f t="shared" si="74"/>
        <v>A tiempo</v>
      </c>
      <c r="L1848" s="8">
        <v>46107</v>
      </c>
      <c r="M1848" s="17">
        <f>MAX(1,NETWORKDAYS(A1848,L1848,Table2[Dias no laborales]))</f>
        <v>1</v>
      </c>
    </row>
    <row r="1849" spans="1:13" hidden="1" x14ac:dyDescent="0.3">
      <c r="A1849" s="8">
        <v>46107</v>
      </c>
      <c r="B1849" s="16" t="s">
        <v>3593</v>
      </c>
      <c r="C1849" s="6" t="s">
        <v>3756</v>
      </c>
      <c r="D1849" s="6" t="s">
        <v>3680</v>
      </c>
      <c r="E1849" s="14">
        <v>46107.347916666666</v>
      </c>
      <c r="F1849" s="8">
        <f>IF(HOUR(Table1[[#This Row],[CORREO]])&gt;=11,WORKDAY(Table1[[#This Row],[CORREO]],1,Table2[Dias no laborales]),E1849)</f>
        <v>46107.347916666666</v>
      </c>
      <c r="G1849" s="8">
        <v>46107</v>
      </c>
      <c r="H1849" s="6">
        <f t="shared" si="73"/>
        <v>13</v>
      </c>
      <c r="I1849" s="6">
        <f>MAX(1, NETWORKDAYS(A1849, G1849,Table2[Dias no laborales]))</f>
        <v>1</v>
      </c>
      <c r="J1849" s="6" t="str">
        <f>IF(Table1[[#This Row],[FIN]]="","Acumulado",IF(ISNUMBER(SEARCH("ASAP",C1849)),"ASAP",IF(NETWORKDAYS.INTL(F1849,G1849,1,Table2[Dias no laborales]) &lt;= 7, "Dentro", IF(A1849&gt;F1849,"Programado","Fuera"))))</f>
        <v>Dentro</v>
      </c>
      <c r="K1849" s="6" t="str">
        <f t="shared" si="74"/>
        <v>A tiempo</v>
      </c>
      <c r="L1849" s="8">
        <v>46107</v>
      </c>
      <c r="M1849" s="17">
        <f>MAX(1,NETWORKDAYS(A1849,L1849,Table2[Dias no laborales]))</f>
        <v>1</v>
      </c>
    </row>
    <row r="1850" spans="1:13" hidden="1" x14ac:dyDescent="0.3">
      <c r="A1850" s="8">
        <v>46107</v>
      </c>
      <c r="B1850" s="16" t="s">
        <v>3594</v>
      </c>
      <c r="C1850" s="6" t="s">
        <v>3757</v>
      </c>
      <c r="D1850" s="6" t="s">
        <v>24</v>
      </c>
      <c r="E1850" s="14"/>
      <c r="F1850" s="8">
        <f>IF(HOUR(Table1[[#This Row],[CORREO]])&gt;=11,WORKDAY(Table1[[#This Row],[CORREO]],1,Table2[Dias no laborales]),E1850)</f>
        <v>0</v>
      </c>
      <c r="G1850" s="8">
        <v>46121</v>
      </c>
      <c r="H1850" s="6">
        <f t="shared" si="73"/>
        <v>13</v>
      </c>
      <c r="I1850" s="6">
        <f>MAX(1, NETWORKDAYS(A1850, G1850,Table2[Dias no laborales]))</f>
        <v>9</v>
      </c>
      <c r="J1850" s="6" t="str">
        <f>IF(Table1[[#This Row],[FIN]]="","Acumulado",IF(ISNUMBER(SEARCH("ASAP",C1850)),"ASAP",IF(NETWORKDAYS.INTL(F1850,G1850,1,Table2[Dias no laborales]) &lt;= 7, "Dentro", IF(A1850&gt;F1850,"Programado","Fuera"))))</f>
        <v>Programado</v>
      </c>
      <c r="K1850" s="6" t="str">
        <f t="shared" si="74"/>
        <v>Programados</v>
      </c>
      <c r="L1850" s="8">
        <v>46108</v>
      </c>
      <c r="M1850" s="17">
        <f>MAX(1,NETWORKDAYS(A1850,L1850,Table2[Dias no laborales]))</f>
        <v>2</v>
      </c>
    </row>
    <row r="1851" spans="1:13" hidden="1" x14ac:dyDescent="0.3">
      <c r="A1851" s="8">
        <v>46108</v>
      </c>
      <c r="B1851" s="16" t="s">
        <v>3595</v>
      </c>
      <c r="C1851" s="6" t="s">
        <v>3758</v>
      </c>
      <c r="D1851" s="6" t="s">
        <v>392</v>
      </c>
      <c r="E1851" s="14">
        <v>46107.571527777778</v>
      </c>
      <c r="F1851" s="8">
        <f>IF(HOUR(Table1[[#This Row],[CORREO]])&gt;=11,WORKDAY(Table1[[#This Row],[CORREO]],1,Table2[Dias no laborales]),E1851)</f>
        <v>46108</v>
      </c>
      <c r="G1851" s="8">
        <v>46132</v>
      </c>
      <c r="H1851" s="6">
        <f t="shared" si="73"/>
        <v>13</v>
      </c>
      <c r="I1851" s="6">
        <f>MAX(1, NETWORKDAYS(A1851, G1851,Table2[Dias no laborales]))</f>
        <v>15</v>
      </c>
      <c r="J1851" s="6" t="str">
        <f>IF(Table1[[#This Row],[FIN]]="","Acumulado",IF(ISNUMBER(SEARCH("ASAP",C1851)),"ASAP",IF(NETWORKDAYS.INTL(F1851,G1851,1,Table2[Dias no laborales]) &lt;= 7, "Dentro", IF(A1851&gt;F1851,"Programado","Fuera"))))</f>
        <v>Fuera</v>
      </c>
      <c r="K1851" s="6" t="str">
        <f t="shared" si="74"/>
        <v>A tiempo</v>
      </c>
      <c r="L1851" s="8">
        <v>46108</v>
      </c>
      <c r="M1851" s="17">
        <f>MAX(1,NETWORKDAYS(A1851,L1851,Table2[Dias no laborales]))</f>
        <v>1</v>
      </c>
    </row>
    <row r="1852" spans="1:13" hidden="1" x14ac:dyDescent="0.3">
      <c r="A1852" s="8">
        <v>46108</v>
      </c>
      <c r="B1852" s="16" t="s">
        <v>3596</v>
      </c>
      <c r="C1852" s="6" t="s">
        <v>3759</v>
      </c>
      <c r="D1852" s="6" t="s">
        <v>538</v>
      </c>
      <c r="E1852" s="14">
        <v>46107.742361111108</v>
      </c>
      <c r="F1852" s="8">
        <f>IF(HOUR(Table1[[#This Row],[CORREO]])&gt;=11,WORKDAY(Table1[[#This Row],[CORREO]],1,Table2[Dias no laborales]),E1852)</f>
        <v>46108</v>
      </c>
      <c r="G1852" s="8">
        <v>46111</v>
      </c>
      <c r="H1852" s="6">
        <f t="shared" si="73"/>
        <v>13</v>
      </c>
      <c r="I1852" s="6">
        <f>MAX(1, NETWORKDAYS(A1852, G1852,Table2[Dias no laborales]))</f>
        <v>2</v>
      </c>
      <c r="J1852" s="6" t="str">
        <f>IF(Table1[[#This Row],[FIN]]="","Acumulado",IF(ISNUMBER(SEARCH("ASAP",C1852)),"ASAP",IF(NETWORKDAYS.INTL(F1852,G1852,1,Table2[Dias no laborales]) &lt;= 7, "Dentro", IF(A1852&gt;F1852,"Programado","Fuera"))))</f>
        <v>Dentro</v>
      </c>
      <c r="K1852" s="6" t="str">
        <f t="shared" si="74"/>
        <v>A tiempo</v>
      </c>
      <c r="L1852" s="8">
        <v>46108</v>
      </c>
      <c r="M1852" s="17">
        <f>MAX(1,NETWORKDAYS(A1852,L1852,Table2[Dias no laborales]))</f>
        <v>1</v>
      </c>
    </row>
    <row r="1853" spans="1:13" hidden="1" x14ac:dyDescent="0.3">
      <c r="A1853" s="8">
        <v>46108</v>
      </c>
      <c r="B1853" s="16" t="s">
        <v>3597</v>
      </c>
      <c r="C1853" s="6" t="s">
        <v>3760</v>
      </c>
      <c r="D1853" s="6" t="s">
        <v>27</v>
      </c>
      <c r="E1853" s="14">
        <v>46108.427083333336</v>
      </c>
      <c r="F1853" s="8">
        <f>IF(HOUR(Table1[[#This Row],[CORREO]])&gt;=11,WORKDAY(Table1[[#This Row],[CORREO]],1,Table2[Dias no laborales]),E1853)</f>
        <v>46108.427083333336</v>
      </c>
      <c r="G1853" s="8">
        <v>46122</v>
      </c>
      <c r="H1853" s="6">
        <f t="shared" si="73"/>
        <v>13</v>
      </c>
      <c r="I1853" s="6">
        <f>MAX(1, NETWORKDAYS(A1853, G1853,Table2[Dias no laborales]))</f>
        <v>9</v>
      </c>
      <c r="J1853" s="6" t="str">
        <f>IF(Table1[[#This Row],[FIN]]="","Acumulado",IF(ISNUMBER(SEARCH("ASAP",C1853)),"ASAP",IF(NETWORKDAYS.INTL(F1853,G1853,1,Table2[Dias no laborales]) &lt;= 7, "Dentro", IF(A1853&gt;F1853,"Programado","Fuera"))))</f>
        <v>Fuera</v>
      </c>
      <c r="K1853" s="6" t="str">
        <f t="shared" si="74"/>
        <v>A tiempo</v>
      </c>
      <c r="L1853" s="8">
        <v>46108</v>
      </c>
      <c r="M1853" s="17">
        <f>MAX(1,NETWORKDAYS(A1853,L1853,Table2[Dias no laborales]))</f>
        <v>1</v>
      </c>
    </row>
    <row r="1854" spans="1:13" hidden="1" x14ac:dyDescent="0.3">
      <c r="A1854" s="8">
        <v>46108</v>
      </c>
      <c r="B1854" s="16" t="s">
        <v>3598</v>
      </c>
      <c r="C1854" s="6" t="s">
        <v>3761</v>
      </c>
      <c r="D1854" s="6" t="s">
        <v>1333</v>
      </c>
      <c r="E1854" s="14"/>
      <c r="F1854" s="8">
        <f>IF(HOUR(Table1[[#This Row],[CORREO]])&gt;=11,WORKDAY(Table1[[#This Row],[CORREO]],1,Table2[Dias no laborales]),E1854)</f>
        <v>0</v>
      </c>
      <c r="G1854" s="8">
        <v>46129</v>
      </c>
      <c r="H1854" s="6">
        <f t="shared" si="73"/>
        <v>13</v>
      </c>
      <c r="I1854" s="6">
        <f>MAX(1, NETWORKDAYS(A1854, G1854,Table2[Dias no laborales]))</f>
        <v>14</v>
      </c>
      <c r="J1854" s="6" t="str">
        <f>IF(Table1[[#This Row],[FIN]]="","Acumulado",IF(ISNUMBER(SEARCH("ASAP",C1854)),"ASAP",IF(NETWORKDAYS.INTL(F1854,G1854,1,Table2[Dias no laborales]) &lt;= 7, "Dentro", IF(A1854&gt;F1854,"Programado","Fuera"))))</f>
        <v>Programado</v>
      </c>
      <c r="K1854" s="6" t="str">
        <f t="shared" si="74"/>
        <v>Programados</v>
      </c>
      <c r="L1854" s="8">
        <v>46108</v>
      </c>
      <c r="M1854" s="17">
        <f>MAX(1,NETWORKDAYS(A1854,L1854,Table2[Dias no laborales]))</f>
        <v>1</v>
      </c>
    </row>
    <row r="1855" spans="1:13" hidden="1" x14ac:dyDescent="0.3">
      <c r="A1855" s="8">
        <v>46108</v>
      </c>
      <c r="B1855" s="16" t="s">
        <v>3599</v>
      </c>
      <c r="C1855" s="6" t="s">
        <v>3762</v>
      </c>
      <c r="D1855" s="6" t="s">
        <v>61</v>
      </c>
      <c r="E1855" s="14"/>
      <c r="F1855" s="8">
        <f>IF(HOUR(Table1[[#This Row],[CORREO]])&gt;=11,WORKDAY(Table1[[#This Row],[CORREO]],1,Table2[Dias no laborales]),E1855)</f>
        <v>0</v>
      </c>
      <c r="G1855" s="8">
        <v>46129</v>
      </c>
      <c r="H1855" s="6">
        <f t="shared" si="73"/>
        <v>13</v>
      </c>
      <c r="I1855" s="6">
        <f>MAX(1, NETWORKDAYS(A1855, G1855,Table2[Dias no laborales]))</f>
        <v>14</v>
      </c>
      <c r="J1855" s="6" t="str">
        <f>IF(Table1[[#This Row],[FIN]]="","Acumulado",IF(ISNUMBER(SEARCH("ASAP",C1855)),"ASAP",IF(NETWORKDAYS.INTL(F1855,G1855,1,Table2[Dias no laborales]) &lt;= 7, "Dentro", IF(A1855&gt;F1855,"Programado","Fuera"))))</f>
        <v>Programado</v>
      </c>
      <c r="K1855" s="6" t="str">
        <f t="shared" si="74"/>
        <v>Programados</v>
      </c>
      <c r="L1855" s="8">
        <v>46108</v>
      </c>
      <c r="M1855" s="17">
        <f>MAX(1,NETWORKDAYS(A1855,L1855,Table2[Dias no laborales]))</f>
        <v>1</v>
      </c>
    </row>
    <row r="1856" spans="1:13" hidden="1" x14ac:dyDescent="0.3">
      <c r="A1856" s="8">
        <v>46111</v>
      </c>
      <c r="B1856" s="16" t="s">
        <v>3600</v>
      </c>
      <c r="C1856" s="6" t="s">
        <v>3709</v>
      </c>
      <c r="D1856" s="6" t="s">
        <v>24</v>
      </c>
      <c r="E1856" s="14"/>
      <c r="F1856" s="8">
        <f>IF(HOUR(Table1[[#This Row],[CORREO]])&gt;=11,WORKDAY(Table1[[#This Row],[CORREO]],1,Table2[Dias no laborales]),E1856)</f>
        <v>0</v>
      </c>
      <c r="G1856" s="8">
        <v>46118</v>
      </c>
      <c r="H1856" s="6">
        <f t="shared" si="73"/>
        <v>13</v>
      </c>
      <c r="I1856" s="6">
        <f>MAX(1, NETWORKDAYS(A1856, G1856,Table2[Dias no laborales]))</f>
        <v>4</v>
      </c>
      <c r="J1856" s="6" t="str">
        <f>IF(Table1[[#This Row],[FIN]]="","Acumulado",IF(ISNUMBER(SEARCH("ASAP",C1856)),"ASAP",IF(NETWORKDAYS.INTL(F1856,G1856,1,Table2[Dias no laborales]) &lt;= 7, "Dentro", IF(A1856&gt;F1856,"Programado","Fuera"))))</f>
        <v>Programado</v>
      </c>
      <c r="K1856" s="6" t="str">
        <f t="shared" si="74"/>
        <v>Programados</v>
      </c>
      <c r="L1856" s="8">
        <v>46111</v>
      </c>
      <c r="M1856" s="17">
        <f>MAX(1,NETWORKDAYS(A1856,L1856,Table2[Dias no laborales]))</f>
        <v>1</v>
      </c>
    </row>
    <row r="1857" spans="1:13" hidden="1" x14ac:dyDescent="0.3">
      <c r="A1857" s="8">
        <v>46111</v>
      </c>
      <c r="B1857" s="16" t="s">
        <v>3601</v>
      </c>
      <c r="C1857" s="6" t="s">
        <v>3763</v>
      </c>
      <c r="D1857" s="6" t="s">
        <v>1644</v>
      </c>
      <c r="E1857" s="14">
        <v>46108.48333333333</v>
      </c>
      <c r="F1857" s="8">
        <f>IF(HOUR(Table1[[#This Row],[CORREO]])&gt;=11,WORKDAY(Table1[[#This Row],[CORREO]],1,Table2[Dias no laborales]),E1857)</f>
        <v>46111</v>
      </c>
      <c r="G1857" s="8">
        <v>46113</v>
      </c>
      <c r="H1857" s="6">
        <f t="shared" si="73"/>
        <v>13</v>
      </c>
      <c r="I1857" s="6">
        <f>MAX(1, NETWORKDAYS(A1857, G1857,Table2[Dias no laborales]))</f>
        <v>3</v>
      </c>
      <c r="J1857" s="6" t="str">
        <f>IF(Table1[[#This Row],[FIN]]="","Acumulado",IF(ISNUMBER(SEARCH("ASAP",C1857)),"ASAP",IF(NETWORKDAYS.INTL(F1857,G1857,1,Table2[Dias no laborales]) &lt;= 7, "Dentro", IF(A1857&gt;F1857,"Programado","Fuera"))))</f>
        <v>Dentro</v>
      </c>
      <c r="K1857" s="6" t="str">
        <f t="shared" si="74"/>
        <v>A tiempo</v>
      </c>
      <c r="L1857" s="8">
        <v>46111</v>
      </c>
      <c r="M1857" s="17">
        <f>MAX(1,NETWORKDAYS(A1857,L1857,Table2[Dias no laborales]))</f>
        <v>1</v>
      </c>
    </row>
    <row r="1858" spans="1:13" hidden="1" x14ac:dyDescent="0.3">
      <c r="A1858" s="8">
        <v>46111</v>
      </c>
      <c r="B1858" s="16" t="s">
        <v>3687</v>
      </c>
      <c r="C1858" s="6" t="s">
        <v>3764</v>
      </c>
      <c r="D1858" s="6" t="s">
        <v>194</v>
      </c>
      <c r="E1858" s="14">
        <v>46108.554166666669</v>
      </c>
      <c r="F1858" s="8">
        <f>IF(HOUR(Table1[[#This Row],[CORREO]])&gt;=11,WORKDAY(Table1[[#This Row],[CORREO]],1,Table2[Dias no laborales]),E1858)</f>
        <v>46111</v>
      </c>
      <c r="G1858" s="8">
        <v>46112</v>
      </c>
      <c r="H1858" s="6">
        <f t="shared" ref="H1858:H1865" si="75">INT((A1858-DATE(YEAR(A1858),1,1))/7) + 1</f>
        <v>13</v>
      </c>
      <c r="I1858" s="6">
        <f>MAX(1, NETWORKDAYS(A1858, G1858,Table2[Dias no laborales]))</f>
        <v>2</v>
      </c>
      <c r="J1858" s="6" t="str">
        <f>IF(Table1[[#This Row],[FIN]]="","Acumulado",IF(ISNUMBER(SEARCH("ASAP",C1858)),"ASAP",IF(NETWORKDAYS.INTL(F1858,G1858,1,Table2[Dias no laborales]) &lt;= 7, "Dentro", IF(A1858&gt;F1858,"Programado","Fuera"))))</f>
        <v>Dentro</v>
      </c>
      <c r="K1858" s="6" t="str">
        <f t="shared" ref="K1858:K1865" si="76">IF(INT(A1858)=INT(F1858),"A tiempo", IF(A1858&lt;F1858,"Mismo día","Programados"))</f>
        <v>A tiempo</v>
      </c>
      <c r="L1858" s="8">
        <v>46111</v>
      </c>
      <c r="M1858" s="17">
        <f>MAX(1,NETWORKDAYS(A1858,L1858,Table2[Dias no laborales]))</f>
        <v>1</v>
      </c>
    </row>
    <row r="1859" spans="1:13" hidden="1" x14ac:dyDescent="0.3">
      <c r="A1859" s="8">
        <v>46111</v>
      </c>
      <c r="B1859" s="16" t="s">
        <v>3688</v>
      </c>
      <c r="C1859" s="6" t="s">
        <v>3765</v>
      </c>
      <c r="D1859" s="6" t="s">
        <v>154</v>
      </c>
      <c r="E1859" s="14">
        <v>46108.5625</v>
      </c>
      <c r="F1859" s="8">
        <f>IF(HOUR(Table1[[#This Row],[CORREO]])&gt;=11,WORKDAY(Table1[[#This Row],[CORREO]],1,Table2[Dias no laborales]),E1859)</f>
        <v>46111</v>
      </c>
      <c r="G1859" s="8">
        <v>46113</v>
      </c>
      <c r="H1859" s="6">
        <f t="shared" si="75"/>
        <v>13</v>
      </c>
      <c r="I1859" s="6">
        <f>MAX(1, NETWORKDAYS(A1859, G1859,Table2[Dias no laborales]))</f>
        <v>3</v>
      </c>
      <c r="J1859" s="6" t="str">
        <f>IF(Table1[[#This Row],[FIN]]="","Acumulado",IF(ISNUMBER(SEARCH("ASAP",C1859)),"ASAP",IF(NETWORKDAYS.INTL(F1859,G1859,1,Table2[Dias no laborales]) &lt;= 7, "Dentro", IF(A1859&gt;F1859,"Programado","Fuera"))))</f>
        <v>Dentro</v>
      </c>
      <c r="K1859" s="6" t="str">
        <f t="shared" si="76"/>
        <v>A tiempo</v>
      </c>
      <c r="L1859" s="8">
        <v>46111</v>
      </c>
      <c r="M1859" s="17">
        <f>MAX(1,NETWORKDAYS(A1859,L1859,Table2[Dias no laborales]))</f>
        <v>1</v>
      </c>
    </row>
    <row r="1860" spans="1:13" hidden="1" x14ac:dyDescent="0.3">
      <c r="A1860" s="8">
        <v>46111</v>
      </c>
      <c r="B1860" s="16" t="s">
        <v>3689</v>
      </c>
      <c r="C1860" s="6" t="s">
        <v>3766</v>
      </c>
      <c r="D1860" s="6" t="s">
        <v>24</v>
      </c>
      <c r="E1860" s="14">
        <v>46108.9375</v>
      </c>
      <c r="F1860" s="8">
        <f>IF(HOUR(Table1[[#This Row],[CORREO]])&gt;=11,WORKDAY(Table1[[#This Row],[CORREO]],1,Table2[Dias no laborales]),E1860)</f>
        <v>46111</v>
      </c>
      <c r="G1860" s="8">
        <v>46121</v>
      </c>
      <c r="H1860" s="6">
        <f t="shared" si="75"/>
        <v>13</v>
      </c>
      <c r="I1860" s="6">
        <f>MAX(1, NETWORKDAYS(A1860, G1860,Table2[Dias no laborales]))</f>
        <v>7</v>
      </c>
      <c r="J1860" s="6" t="str">
        <f>IF(Table1[[#This Row],[FIN]]="","Acumulado",IF(ISNUMBER(SEARCH("ASAP",C1860)),"ASAP",IF(NETWORKDAYS.INTL(F1860,G1860,1,Table2[Dias no laborales]) &lt;= 7, "Dentro", IF(A1860&gt;F1860,"Programado","Fuera"))))</f>
        <v>Dentro</v>
      </c>
      <c r="K1860" s="6" t="str">
        <f t="shared" si="76"/>
        <v>A tiempo</v>
      </c>
      <c r="L1860" s="8">
        <v>46111</v>
      </c>
      <c r="M1860" s="17">
        <f>MAX(1,NETWORKDAYS(A1860,L1860,Table2[Dias no laborales]))</f>
        <v>1</v>
      </c>
    </row>
    <row r="1861" spans="1:13" hidden="1" x14ac:dyDescent="0.3">
      <c r="A1861" s="8">
        <v>46111</v>
      </c>
      <c r="B1861" s="16" t="s">
        <v>3690</v>
      </c>
      <c r="C1861" s="6" t="s">
        <v>3767</v>
      </c>
      <c r="D1861" s="6" t="s">
        <v>3163</v>
      </c>
      <c r="E1861" s="14">
        <v>46111.306944444441</v>
      </c>
      <c r="F1861" s="8">
        <f>IF(HOUR(Table1[[#This Row],[CORREO]])&gt;=11,WORKDAY(Table1[[#This Row],[CORREO]],1,Table2[Dias no laborales]),E1861)</f>
        <v>46111.306944444441</v>
      </c>
      <c r="G1861" s="8">
        <v>46112</v>
      </c>
      <c r="H1861" s="6">
        <f t="shared" si="75"/>
        <v>13</v>
      </c>
      <c r="I1861" s="6">
        <f>MAX(1, NETWORKDAYS(A1861, G1861,Table2[Dias no laborales]))</f>
        <v>2</v>
      </c>
      <c r="J1861" s="6" t="str">
        <f>IF(Table1[[#This Row],[FIN]]="","Acumulado",IF(ISNUMBER(SEARCH("ASAP",C1861)),"ASAP",IF(NETWORKDAYS.INTL(F1861,G1861,1,Table2[Dias no laborales]) &lt;= 7, "Dentro", IF(A1861&gt;F1861,"Programado","Fuera"))))</f>
        <v>Dentro</v>
      </c>
      <c r="K1861" s="6" t="str">
        <f t="shared" si="76"/>
        <v>A tiempo</v>
      </c>
      <c r="L1861" s="8">
        <v>46111</v>
      </c>
      <c r="M1861" s="17">
        <f>MAX(1,NETWORKDAYS(A1861,L1861,Table2[Dias no laborales]))</f>
        <v>1</v>
      </c>
    </row>
    <row r="1862" spans="1:13" hidden="1" x14ac:dyDescent="0.3">
      <c r="A1862" s="8">
        <v>46111</v>
      </c>
      <c r="B1862" s="16" t="s">
        <v>3691</v>
      </c>
      <c r="C1862" s="6" t="s">
        <v>3730</v>
      </c>
      <c r="D1862" s="6" t="s">
        <v>3163</v>
      </c>
      <c r="E1862" s="14">
        <v>46111.401388888888</v>
      </c>
      <c r="F1862" s="8">
        <f>IF(HOUR(Table1[[#This Row],[CORREO]])&gt;=11,WORKDAY(Table1[[#This Row],[CORREO]],1,Table2[Dias no laborales]),E1862)</f>
        <v>46111.401388888888</v>
      </c>
      <c r="G1862" s="8">
        <v>46111</v>
      </c>
      <c r="H1862" s="6">
        <f t="shared" si="75"/>
        <v>13</v>
      </c>
      <c r="I1862" s="6">
        <f>MAX(1, NETWORKDAYS(A1862, G1862,Table2[Dias no laborales]))</f>
        <v>1</v>
      </c>
      <c r="J1862" s="6" t="str">
        <f>IF(Table1[[#This Row],[FIN]]="","Acumulado",IF(ISNUMBER(SEARCH("ASAP",C1862)),"ASAP",IF(NETWORKDAYS.INTL(F1862,G1862,1,Table2[Dias no laborales]) &lt;= 7, "Dentro", IF(A1862&gt;F1862,"Programado","Fuera"))))</f>
        <v>Dentro</v>
      </c>
      <c r="K1862" s="6" t="str">
        <f t="shared" si="76"/>
        <v>A tiempo</v>
      </c>
      <c r="L1862" s="8">
        <v>46111</v>
      </c>
      <c r="M1862" s="17">
        <f>MAX(1,NETWORKDAYS(A1862,L1862,Table2[Dias no laborales]))</f>
        <v>1</v>
      </c>
    </row>
    <row r="1863" spans="1:13" hidden="1" x14ac:dyDescent="0.3">
      <c r="A1863" s="8">
        <v>46111</v>
      </c>
      <c r="B1863" s="16" t="s">
        <v>3692</v>
      </c>
      <c r="C1863" s="6" t="s">
        <v>3729</v>
      </c>
      <c r="D1863" s="6" t="s">
        <v>2586</v>
      </c>
      <c r="E1863" s="14">
        <v>46111.470138888886</v>
      </c>
      <c r="F1863" s="8">
        <f>IF(HOUR(Table1[[#This Row],[CORREO]])&gt;=11,WORKDAY(Table1[[#This Row],[CORREO]],1,Table2[Dias no laborales]),E1863)</f>
        <v>46112</v>
      </c>
      <c r="G1863" s="8">
        <v>46111</v>
      </c>
      <c r="H1863" s="6">
        <f t="shared" si="75"/>
        <v>13</v>
      </c>
      <c r="I1863" s="6">
        <f>MAX(1, NETWORKDAYS(A1863, G1863,Table2[Dias no laborales]))</f>
        <v>1</v>
      </c>
      <c r="J1863" s="6" t="str">
        <f>IF(Table1[[#This Row],[FIN]]="","Acumulado",IF(ISNUMBER(SEARCH("ASAP",C1863)),"ASAP",IF(NETWORKDAYS.INTL(F1863,G1863,1,Table2[Dias no laborales]) &lt;= 7, "Dentro", IF(A1863&gt;F1863,"Programado","Fuera"))))</f>
        <v>Dentro</v>
      </c>
      <c r="K1863" s="6" t="str">
        <f t="shared" si="76"/>
        <v>Mismo día</v>
      </c>
      <c r="L1863" s="8">
        <v>46111</v>
      </c>
      <c r="M1863" s="17">
        <f>MAX(1,NETWORKDAYS(A1863,L1863,Table2[Dias no laborales]))</f>
        <v>1</v>
      </c>
    </row>
    <row r="1864" spans="1:13" hidden="1" x14ac:dyDescent="0.3">
      <c r="A1864" s="8">
        <v>46111</v>
      </c>
      <c r="B1864" s="16" t="s">
        <v>3693</v>
      </c>
      <c r="C1864" s="6" t="s">
        <v>3662</v>
      </c>
      <c r="D1864" s="6" t="s">
        <v>3731</v>
      </c>
      <c r="E1864" s="14"/>
      <c r="F1864" s="8">
        <f>IF(HOUR(Table1[[#This Row],[CORREO]])&gt;=11,WORKDAY(Table1[[#This Row],[CORREO]],1,Table2[Dias no laborales]),E1864)</f>
        <v>0</v>
      </c>
      <c r="G1864" s="8">
        <v>46120</v>
      </c>
      <c r="H1864" s="6">
        <f t="shared" si="75"/>
        <v>13</v>
      </c>
      <c r="I1864" s="6">
        <f>MAX(1, NETWORKDAYS(A1864, G1864,Table2[Dias no laborales]))</f>
        <v>6</v>
      </c>
      <c r="J1864" s="6" t="str">
        <f>IF(Table1[[#This Row],[FIN]]="","Acumulado",IF(ISNUMBER(SEARCH("ASAP",C1864)),"ASAP",IF(NETWORKDAYS.INTL(F1864,G1864,1,Table2[Dias no laborales]) &lt;= 7, "Dentro", IF(A1864&gt;F1864,"Programado","Fuera"))))</f>
        <v>Programado</v>
      </c>
      <c r="K1864" s="6" t="str">
        <f t="shared" si="76"/>
        <v>Programados</v>
      </c>
      <c r="L1864" s="8">
        <v>46111</v>
      </c>
      <c r="M1864" s="17">
        <f>MAX(1,NETWORKDAYS(A1864,L1864,Table2[Dias no laborales]))</f>
        <v>1</v>
      </c>
    </row>
    <row r="1865" spans="1:13" hidden="1" x14ac:dyDescent="0.3">
      <c r="A1865" s="8">
        <v>46111</v>
      </c>
      <c r="B1865" s="16" t="s">
        <v>3694</v>
      </c>
      <c r="C1865" s="6" t="s">
        <v>3732</v>
      </c>
      <c r="D1865" s="6" t="s">
        <v>1333</v>
      </c>
      <c r="E1865" s="14">
        <v>46101.490972222222</v>
      </c>
      <c r="F1865" s="8">
        <f>IF(HOUR(Table1[[#This Row],[CORREO]])&gt;=11,WORKDAY(Table1[[#This Row],[CORREO]],1,Table2[Dias no laborales]),E1865)</f>
        <v>46104</v>
      </c>
      <c r="G1865" s="8">
        <v>46112</v>
      </c>
      <c r="H1865" s="6">
        <f t="shared" si="75"/>
        <v>13</v>
      </c>
      <c r="I1865" s="6">
        <f>MAX(1, NETWORKDAYS(A1865, G1865,Table2[Dias no laborales]))</f>
        <v>2</v>
      </c>
      <c r="J1865" s="6" t="str">
        <f>IF(Table1[[#This Row],[FIN]]="","Acumulado",IF(ISNUMBER(SEARCH("ASAP",C1865)),"ASAP",IF(NETWORKDAYS.INTL(F1865,G1865,1,Table2[Dias no laborales]) &lt;= 7, "Dentro", IF(A1865&gt;F1865,"Programado","Fuera"))))</f>
        <v>Dentro</v>
      </c>
      <c r="K1865" s="6" t="str">
        <f t="shared" si="76"/>
        <v>Programados</v>
      </c>
      <c r="L1865" s="8">
        <v>46111</v>
      </c>
      <c r="M1865" s="17">
        <f>MAX(1,NETWORKDAYS(A1865,L1865,Table2[Dias no laborales]))</f>
        <v>1</v>
      </c>
    </row>
    <row r="1866" spans="1:13" hidden="1" x14ac:dyDescent="0.3">
      <c r="A1866" s="8">
        <v>46111</v>
      </c>
      <c r="B1866" s="16" t="s">
        <v>3768</v>
      </c>
      <c r="C1866" s="6" t="s">
        <v>3775</v>
      </c>
      <c r="D1866" s="6" t="s">
        <v>1136</v>
      </c>
      <c r="E1866" s="14">
        <v>46111.701388888891</v>
      </c>
      <c r="F1866" s="8">
        <f>IF(HOUR(Table1[[#This Row],[CORREO]])&gt;=11,WORKDAY(Table1[[#This Row],[CORREO]],1,Table2[Dias no laborales]),E1866)</f>
        <v>46112</v>
      </c>
      <c r="G1866" s="8">
        <v>46111</v>
      </c>
      <c r="H1866" s="6">
        <f t="shared" ref="H1866:H1872" si="77">INT((A1866-DATE(YEAR(A1866),1,1))/7) + 1</f>
        <v>13</v>
      </c>
      <c r="I1866" s="6">
        <f>MAX(1, NETWORKDAYS(A1866, G1866,Table2[Dias no laborales]))</f>
        <v>1</v>
      </c>
      <c r="J1866" s="6" t="str">
        <f>IF(Table1[[#This Row],[FIN]]="","Acumulado",IF(ISNUMBER(SEARCH("ASAP",C1866)),"ASAP",IF(NETWORKDAYS.INTL(F1866,G1866,1,Table2[Dias no laborales]) &lt;= 7, "Dentro", IF(A1866&gt;F1866,"Programado","Fuera"))))</f>
        <v>Dentro</v>
      </c>
      <c r="K1866" s="6" t="str">
        <f t="shared" ref="K1866:K1872" si="78">IF(INT(A1866)=INT(F1866),"A tiempo", IF(A1866&lt;F1866,"Mismo día","Programados"))</f>
        <v>Mismo día</v>
      </c>
      <c r="L1866" s="8">
        <v>46111</v>
      </c>
      <c r="M1866" s="17">
        <f>MAX(1,NETWORKDAYS(A1866,L1866,Table2[Dias no laborales]))</f>
        <v>1</v>
      </c>
    </row>
    <row r="1867" spans="1:13" hidden="1" x14ac:dyDescent="0.3">
      <c r="A1867" s="8">
        <v>46112</v>
      </c>
      <c r="B1867" s="16" t="s">
        <v>3769</v>
      </c>
      <c r="C1867" s="6" t="s">
        <v>3776</v>
      </c>
      <c r="D1867" s="6" t="s">
        <v>151</v>
      </c>
      <c r="E1867" s="14">
        <v>46111.572222222225</v>
      </c>
      <c r="F1867" s="8">
        <f>IF(HOUR(Table1[[#This Row],[CORREO]])&gt;=11,WORKDAY(Table1[[#This Row],[CORREO]],1,Table2[Dias no laborales]),E1867)</f>
        <v>46112</v>
      </c>
      <c r="G1867" s="8">
        <v>46112</v>
      </c>
      <c r="H1867" s="6">
        <f t="shared" si="77"/>
        <v>13</v>
      </c>
      <c r="I1867" s="6">
        <f>MAX(1, NETWORKDAYS(A1867, G1867,Table2[Dias no laborales]))</f>
        <v>1</v>
      </c>
      <c r="J1867" s="6" t="str">
        <f>IF(Table1[[#This Row],[FIN]]="","Acumulado",IF(ISNUMBER(SEARCH("ASAP",C1867)),"ASAP",IF(NETWORKDAYS.INTL(F1867,G1867,1,Table2[Dias no laborales]) &lt;= 7, "Dentro", IF(A1867&gt;F1867,"Programado","Fuera"))))</f>
        <v>Dentro</v>
      </c>
      <c r="K1867" s="6" t="str">
        <f t="shared" si="78"/>
        <v>A tiempo</v>
      </c>
      <c r="L1867" s="8">
        <v>46112</v>
      </c>
      <c r="M1867" s="17">
        <f>MAX(1,NETWORKDAYS(A1867,L1867,Table2[Dias no laborales]))</f>
        <v>1</v>
      </c>
    </row>
    <row r="1868" spans="1:13" hidden="1" x14ac:dyDescent="0.3">
      <c r="A1868" s="8">
        <v>46112</v>
      </c>
      <c r="B1868" s="16" t="s">
        <v>3770</v>
      </c>
      <c r="C1868" s="6" t="s">
        <v>3729</v>
      </c>
      <c r="D1868" s="6" t="s">
        <v>191</v>
      </c>
      <c r="E1868" s="14">
        <v>46112.083333333336</v>
      </c>
      <c r="F1868" s="8">
        <f>IF(HOUR(Table1[[#This Row],[CORREO]])&gt;=11,WORKDAY(Table1[[#This Row],[CORREO]],1,Table2[Dias no laborales]),E1868)</f>
        <v>46112.083333333336</v>
      </c>
      <c r="G1868" s="8">
        <v>46112</v>
      </c>
      <c r="H1868" s="6">
        <f t="shared" si="77"/>
        <v>13</v>
      </c>
      <c r="I1868" s="6">
        <f>MAX(1, NETWORKDAYS(A1868, G1868,Table2[Dias no laborales]))</f>
        <v>1</v>
      </c>
      <c r="J1868" s="6" t="str">
        <f>IF(Table1[[#This Row],[FIN]]="","Acumulado",IF(ISNUMBER(SEARCH("ASAP",C1868)),"ASAP",IF(NETWORKDAYS.INTL(F1868,G1868,1,Table2[Dias no laborales]) &lt;= 7, "Dentro", IF(A1868&gt;F1868,"Programado","Fuera"))))</f>
        <v>Dentro</v>
      </c>
      <c r="K1868" s="6" t="str">
        <f t="shared" si="78"/>
        <v>A tiempo</v>
      </c>
      <c r="L1868" s="8">
        <v>46112</v>
      </c>
      <c r="M1868" s="17">
        <f>MAX(1,NETWORKDAYS(A1868,L1868,Table2[Dias no laborales]))</f>
        <v>1</v>
      </c>
    </row>
    <row r="1869" spans="1:13" hidden="1" x14ac:dyDescent="0.3">
      <c r="A1869" s="8">
        <v>46112</v>
      </c>
      <c r="B1869" s="16" t="s">
        <v>3771</v>
      </c>
      <c r="C1869" s="6" t="s">
        <v>3729</v>
      </c>
      <c r="D1869" s="6" t="s">
        <v>108</v>
      </c>
      <c r="E1869" s="14">
        <v>46112.088888888888</v>
      </c>
      <c r="F1869" s="8">
        <f>IF(HOUR(Table1[[#This Row],[CORREO]])&gt;=11,WORKDAY(Table1[[#This Row],[CORREO]],1,Table2[Dias no laborales]),E1869)</f>
        <v>46112.088888888888</v>
      </c>
      <c r="G1869" s="8">
        <v>46112</v>
      </c>
      <c r="H1869" s="6">
        <f t="shared" si="77"/>
        <v>13</v>
      </c>
      <c r="I1869" s="6">
        <f>MAX(1, NETWORKDAYS(A1869, G1869,Table2[Dias no laborales]))</f>
        <v>1</v>
      </c>
      <c r="J1869" s="6" t="str">
        <f>IF(Table1[[#This Row],[FIN]]="","Acumulado",IF(ISNUMBER(SEARCH("ASAP",C1869)),"ASAP",IF(NETWORKDAYS.INTL(F1869,G1869,1,Table2[Dias no laborales]) &lt;= 7, "Dentro", IF(A1869&gt;F1869,"Programado","Fuera"))))</f>
        <v>Dentro</v>
      </c>
      <c r="K1869" s="6" t="str">
        <f t="shared" si="78"/>
        <v>A tiempo</v>
      </c>
      <c r="L1869" s="8">
        <v>46112</v>
      </c>
      <c r="M1869" s="17">
        <f>MAX(1,NETWORKDAYS(A1869,L1869,Table2[Dias no laborales]))</f>
        <v>1</v>
      </c>
    </row>
    <row r="1870" spans="1:13" hidden="1" x14ac:dyDescent="0.3">
      <c r="A1870" s="8">
        <v>46112</v>
      </c>
      <c r="B1870" s="16" t="s">
        <v>3772</v>
      </c>
      <c r="C1870" s="6" t="s">
        <v>3777</v>
      </c>
      <c r="D1870" s="6" t="s">
        <v>1333</v>
      </c>
      <c r="E1870" s="14">
        <v>46111.924305555556</v>
      </c>
      <c r="F1870" s="8">
        <f>IF(HOUR(Table1[[#This Row],[CORREO]])&gt;=11,WORKDAY(Table1[[#This Row],[CORREO]],1,Table2[Dias no laborales]),E1870)</f>
        <v>46112</v>
      </c>
      <c r="G1870" s="8">
        <v>46118</v>
      </c>
      <c r="H1870" s="6">
        <f t="shared" si="77"/>
        <v>13</v>
      </c>
      <c r="I1870" s="6">
        <f>MAX(1, NETWORKDAYS(A1870, G1870,Table2[Dias no laborales]))</f>
        <v>3</v>
      </c>
      <c r="J1870" s="6" t="str">
        <f>IF(Table1[[#This Row],[FIN]]="","Acumulado",IF(ISNUMBER(SEARCH("ASAP",C1870)),"ASAP",IF(NETWORKDAYS.INTL(F1870,G1870,1,Table2[Dias no laborales]) &lt;= 7, "Dentro", IF(A1870&gt;F1870,"Programado","Fuera"))))</f>
        <v>Dentro</v>
      </c>
      <c r="K1870" s="6" t="str">
        <f t="shared" si="78"/>
        <v>A tiempo</v>
      </c>
      <c r="L1870" s="8">
        <v>46112</v>
      </c>
      <c r="M1870" s="17">
        <f>MAX(1,NETWORKDAYS(A1870,L1870,Table2[Dias no laborales]))</f>
        <v>1</v>
      </c>
    </row>
    <row r="1871" spans="1:13" hidden="1" x14ac:dyDescent="0.3">
      <c r="A1871" s="8">
        <v>46112</v>
      </c>
      <c r="B1871" s="16" t="s">
        <v>3773</v>
      </c>
      <c r="C1871" s="6" t="s">
        <v>3778</v>
      </c>
      <c r="D1871" s="14" t="s">
        <v>650</v>
      </c>
      <c r="E1871" s="14">
        <v>46112.302777777775</v>
      </c>
      <c r="F1871" s="8">
        <f>IF(HOUR(Table1[[#This Row],[CORREO]])&gt;=11,WORKDAY(Table1[[#This Row],[CORREO]],1,Table2[Dias no laborales]),E1871)</f>
        <v>46112.302777777775</v>
      </c>
      <c r="G1871" s="8">
        <v>46112</v>
      </c>
      <c r="H1871" s="6">
        <f t="shared" si="77"/>
        <v>13</v>
      </c>
      <c r="I1871" s="6">
        <f>MAX(1, NETWORKDAYS(A1871, G1871,Table2[Dias no laborales]))</f>
        <v>1</v>
      </c>
      <c r="J1871" s="6" t="str">
        <f>IF(Table1[[#This Row],[FIN]]="","Acumulado",IF(ISNUMBER(SEARCH("ASAP",C1871)),"ASAP",IF(NETWORKDAYS.INTL(F1871,G1871,1,Table2[Dias no laborales]) &lt;= 7, "Dentro", IF(A1871&gt;F1871,"Programado","Fuera"))))</f>
        <v>Dentro</v>
      </c>
      <c r="K1871" s="6" t="str">
        <f t="shared" si="78"/>
        <v>A tiempo</v>
      </c>
      <c r="L1871" s="8">
        <v>46112</v>
      </c>
      <c r="M1871" s="17">
        <f>MAX(1,NETWORKDAYS(A1871,L1871,Table2[Dias no laborales]))</f>
        <v>1</v>
      </c>
    </row>
    <row r="1872" spans="1:13" hidden="1" x14ac:dyDescent="0.3">
      <c r="A1872" s="8">
        <v>46112</v>
      </c>
      <c r="B1872" s="16" t="s">
        <v>3774</v>
      </c>
      <c r="C1872" s="6" t="s">
        <v>3779</v>
      </c>
      <c r="D1872" s="6" t="s">
        <v>37</v>
      </c>
      <c r="E1872" s="14">
        <v>46112.320833333331</v>
      </c>
      <c r="F1872" s="8">
        <f>IF(HOUR(Table1[[#This Row],[CORREO]])&gt;=11,WORKDAY(Table1[[#This Row],[CORREO]],1,Table2[Dias no laborales]),E1872)</f>
        <v>46112.320833333331</v>
      </c>
      <c r="G1872" s="8">
        <v>46112</v>
      </c>
      <c r="H1872" s="6">
        <f t="shared" si="77"/>
        <v>13</v>
      </c>
      <c r="I1872" s="6">
        <f>MAX(1, NETWORKDAYS(A1872, G1872,Table2[Dias no laborales]))</f>
        <v>1</v>
      </c>
      <c r="J1872" s="6" t="str">
        <f>IF(Table1[[#This Row],[FIN]]="","Acumulado",IF(ISNUMBER(SEARCH("ASAP",C1872)),"ASAP",IF(NETWORKDAYS.INTL(F1872,G1872,1,Table2[Dias no laborales]) &lt;= 7, "Dentro", IF(A1872&gt;F1872,"Programado","Fuera"))))</f>
        <v>Dentro</v>
      </c>
      <c r="K1872" s="6" t="str">
        <f t="shared" si="78"/>
        <v>A tiempo</v>
      </c>
      <c r="L1872" s="8">
        <v>46112</v>
      </c>
      <c r="M1872" s="17">
        <f>MAX(1,NETWORKDAYS(A1872,L1872,Table2[Dias no laborales]))</f>
        <v>1</v>
      </c>
    </row>
    <row r="1873" spans="1:13" hidden="1" x14ac:dyDescent="0.3">
      <c r="A1873" s="8">
        <v>46112</v>
      </c>
      <c r="B1873" s="16" t="s">
        <v>3780</v>
      </c>
      <c r="C1873" s="6" t="s">
        <v>325</v>
      </c>
      <c r="D1873" s="6" t="s">
        <v>151</v>
      </c>
      <c r="E1873" s="14">
        <v>46112.370833333334</v>
      </c>
      <c r="F1873" s="8">
        <f>IF(HOUR(Table1[[#This Row],[CORREO]])&gt;=11,WORKDAY(Table1[[#This Row],[CORREO]],1,Table2[Dias no laborales]),E1873)</f>
        <v>46112.370833333334</v>
      </c>
      <c r="G1873" s="8">
        <v>46112</v>
      </c>
      <c r="H1873" s="6">
        <f t="shared" ref="H1873:H1875" si="79">INT((A1873-DATE(YEAR(A1873),1,1))/7) + 1</f>
        <v>13</v>
      </c>
      <c r="I1873" s="6">
        <f>MAX(1, NETWORKDAYS(A1873, G1873,Table2[Dias no laborales]))</f>
        <v>1</v>
      </c>
      <c r="J1873" s="6" t="str">
        <f>IF(Table1[[#This Row],[FIN]]="","Acumulado",IF(ISNUMBER(SEARCH("ASAP",C1873)),"ASAP",IF(NETWORKDAYS.INTL(F1873,G1873,1,Table2[Dias no laborales]) &lt;= 7, "Dentro", IF(A1873&gt;F1873,"Programado","Fuera"))))</f>
        <v>Dentro</v>
      </c>
      <c r="K1873" s="6" t="str">
        <f t="shared" ref="K1873:K1875" si="80">IF(INT(A1873)=INT(F1873),"A tiempo", IF(A1873&lt;F1873,"Mismo día","Programados"))</f>
        <v>A tiempo</v>
      </c>
      <c r="L1873" s="8">
        <v>46112</v>
      </c>
      <c r="M1873" s="17">
        <f>MAX(1,NETWORKDAYS(A1873,L1873,Table2[Dias no laborales]))</f>
        <v>1</v>
      </c>
    </row>
    <row r="1874" spans="1:13" hidden="1" x14ac:dyDescent="0.3">
      <c r="A1874" s="8">
        <v>46112</v>
      </c>
      <c r="B1874" s="16" t="s">
        <v>3781</v>
      </c>
      <c r="C1874" s="6" t="s">
        <v>3783</v>
      </c>
      <c r="D1874" s="6" t="s">
        <v>3020</v>
      </c>
      <c r="E1874" s="14">
        <v>46112.40347222222</v>
      </c>
      <c r="F1874" s="8">
        <f>IF(HOUR(Table1[[#This Row],[CORREO]])&gt;=11,WORKDAY(Table1[[#This Row],[CORREO]],1,Table2[Dias no laborales]),E1874)</f>
        <v>46112.40347222222</v>
      </c>
      <c r="G1874" s="8">
        <v>46112</v>
      </c>
      <c r="H1874" s="6">
        <f t="shared" si="79"/>
        <v>13</v>
      </c>
      <c r="I1874" s="6">
        <f>MAX(1, NETWORKDAYS(A1874, G1874,Table2[Dias no laborales]))</f>
        <v>1</v>
      </c>
      <c r="J1874" s="6" t="str">
        <f>IF(Table1[[#This Row],[FIN]]="","Acumulado",IF(ISNUMBER(SEARCH("ASAP",C1874)),"ASAP",IF(NETWORKDAYS.INTL(F1874,G1874,1,Table2[Dias no laborales]) &lt;= 7, "Dentro", IF(A1874&gt;F1874,"Programado","Fuera"))))</f>
        <v>Dentro</v>
      </c>
      <c r="K1874" s="6" t="str">
        <f t="shared" si="80"/>
        <v>A tiempo</v>
      </c>
      <c r="L1874" s="8">
        <v>46112</v>
      </c>
      <c r="M1874" s="17">
        <f>MAX(1,NETWORKDAYS(A1874,L1874,Table2[Dias no laborales]))</f>
        <v>1</v>
      </c>
    </row>
    <row r="1875" spans="1:13" hidden="1" x14ac:dyDescent="0.3">
      <c r="A1875" s="8">
        <v>46112</v>
      </c>
      <c r="B1875" s="16" t="s">
        <v>3782</v>
      </c>
      <c r="C1875" s="6" t="s">
        <v>3784</v>
      </c>
      <c r="D1875" s="6" t="s">
        <v>916</v>
      </c>
      <c r="E1875" s="14">
        <v>46112.431944444441</v>
      </c>
      <c r="F1875" s="8">
        <f>IF(HOUR(Table1[[#This Row],[CORREO]])&gt;=11,WORKDAY(Table1[[#This Row],[CORREO]],1,Table2[Dias no laborales]),E1875)</f>
        <v>46112.431944444441</v>
      </c>
      <c r="G1875" s="8">
        <v>46112</v>
      </c>
      <c r="H1875" s="6">
        <f t="shared" si="79"/>
        <v>13</v>
      </c>
      <c r="I1875" s="6">
        <f>MAX(1, NETWORKDAYS(A1875, G1875,Table2[Dias no laborales]))</f>
        <v>1</v>
      </c>
      <c r="J1875" s="6" t="str">
        <f>IF(Table1[[#This Row],[FIN]]="","Acumulado",IF(ISNUMBER(SEARCH("ASAP",C1875)),"ASAP",IF(NETWORKDAYS.INTL(F1875,G1875,1,Table2[Dias no laborales]) &lt;= 7, "Dentro", IF(A1875&gt;F1875,"Programado","Fuera"))))</f>
        <v>Dentro</v>
      </c>
      <c r="K1875" s="6" t="str">
        <f t="shared" si="80"/>
        <v>A tiempo</v>
      </c>
      <c r="L1875" s="8">
        <v>46112</v>
      </c>
      <c r="M1875" s="17">
        <f>MAX(1,NETWORKDAYS(A1875,L1875,Table2[Dias no laborales]))</f>
        <v>1</v>
      </c>
    </row>
    <row r="1876" spans="1:13" hidden="1" x14ac:dyDescent="0.3">
      <c r="A1876" s="8">
        <v>46113</v>
      </c>
      <c r="B1876" s="16" t="s">
        <v>3785</v>
      </c>
      <c r="C1876" s="6" t="s">
        <v>3788</v>
      </c>
      <c r="D1876" s="6" t="s">
        <v>2586</v>
      </c>
      <c r="E1876" s="14">
        <v>46112.972916666666</v>
      </c>
      <c r="F1876" s="8">
        <f>IF(HOUR(Table1[[#This Row],[CORREO]])&gt;=11,WORKDAY(Table1[[#This Row],[CORREO]],1,Table2[Dias no laborales]),E1876)</f>
        <v>46113</v>
      </c>
      <c r="G1876" s="8">
        <v>46134</v>
      </c>
      <c r="H1876" s="6">
        <f t="shared" ref="H1876:H1878" si="81">INT((A1876-DATE(YEAR(A1876),1,1))/7) + 1</f>
        <v>13</v>
      </c>
      <c r="I1876" s="6">
        <f>MAX(1, NETWORKDAYS(A1876, G1876,Table2[Dias no laborales]))</f>
        <v>14</v>
      </c>
      <c r="J1876" s="6" t="str">
        <f>IF(Table1[[#This Row],[FIN]]="","Acumulado",IF(ISNUMBER(SEARCH("ASAP",C1876)),"ASAP",IF(NETWORKDAYS.INTL(F1876,G1876,1,Table2[Dias no laborales]) &lt;= 7, "Dentro", IF(A1876&gt;F1876,"Programado","Fuera"))))</f>
        <v>Fuera</v>
      </c>
      <c r="K1876" s="6" t="str">
        <f t="shared" ref="K1876:K1878" si="82">IF(INT(A1876)=INT(F1876),"A tiempo", IF(A1876&lt;F1876,"Mismo día","Programados"))</f>
        <v>A tiempo</v>
      </c>
      <c r="L1876" s="8">
        <v>46113</v>
      </c>
      <c r="M1876" s="17">
        <f>MAX(1,NETWORKDAYS(A1876,L1876,Table2[Dias no laborales]))</f>
        <v>1</v>
      </c>
    </row>
    <row r="1877" spans="1:13" hidden="1" x14ac:dyDescent="0.3">
      <c r="A1877" s="8">
        <v>46113</v>
      </c>
      <c r="B1877" s="16" t="s">
        <v>3786</v>
      </c>
      <c r="C1877" s="6" t="s">
        <v>3789</v>
      </c>
      <c r="D1877" s="6" t="s">
        <v>133</v>
      </c>
      <c r="E1877" s="14">
        <v>46113.352083333331</v>
      </c>
      <c r="F1877" s="8">
        <f>IF(HOUR(Table1[[#This Row],[CORREO]])&gt;=11,WORKDAY(Table1[[#This Row],[CORREO]],1,Table2[Dias no laborales]),E1877)</f>
        <v>46113.352083333331</v>
      </c>
      <c r="G1877" s="8">
        <v>46118</v>
      </c>
      <c r="H1877" s="6">
        <f t="shared" si="81"/>
        <v>13</v>
      </c>
      <c r="I1877" s="6">
        <f>MAX(1, NETWORKDAYS(A1877, G1877,Table2[Dias no laborales]))</f>
        <v>2</v>
      </c>
      <c r="J1877" s="6" t="str">
        <f>IF(Table1[[#This Row],[FIN]]="","Acumulado",IF(ISNUMBER(SEARCH("ASAP",C1877)),"ASAP",IF(NETWORKDAYS.INTL(F1877,G1877,1,Table2[Dias no laborales]) &lt;= 7, "Dentro", IF(A1877&gt;F1877,"Programado","Fuera"))))</f>
        <v>Dentro</v>
      </c>
      <c r="K1877" s="6" t="str">
        <f t="shared" si="82"/>
        <v>A tiempo</v>
      </c>
      <c r="L1877" s="8">
        <v>46113</v>
      </c>
      <c r="M1877" s="17">
        <f>MAX(1,NETWORKDAYS(A1877,L1877,Table2[Dias no laborales]))</f>
        <v>1</v>
      </c>
    </row>
    <row r="1878" spans="1:13" hidden="1" x14ac:dyDescent="0.3">
      <c r="A1878" s="8">
        <v>46113</v>
      </c>
      <c r="B1878" s="16" t="s">
        <v>3787</v>
      </c>
      <c r="C1878" s="6" t="s">
        <v>3790</v>
      </c>
      <c r="D1878" s="6" t="s">
        <v>2786</v>
      </c>
      <c r="E1878" s="14"/>
      <c r="F1878" s="8">
        <f>IF(HOUR(Table1[[#This Row],[CORREO]])&gt;=11,WORKDAY(Table1[[#This Row],[CORREO]],1,Table2[Dias no laborales]),E1878)</f>
        <v>0</v>
      </c>
      <c r="G1878" s="8">
        <v>46113</v>
      </c>
      <c r="H1878" s="6">
        <f t="shared" si="81"/>
        <v>13</v>
      </c>
      <c r="I1878" s="6">
        <f>MAX(1, NETWORKDAYS(A1878, G1878,Table2[Dias no laborales]))</f>
        <v>1</v>
      </c>
      <c r="J1878" s="6" t="str">
        <f>IF(Table1[[#This Row],[FIN]]="","Acumulado",IF(ISNUMBER(SEARCH("ASAP",C1878)),"ASAP",IF(NETWORKDAYS.INTL(F1878,G1878,1,Table2[Dias no laborales]) &lt;= 7, "Dentro", IF(A1878&gt;F1878,"Programado","Fuera"))))</f>
        <v>Programado</v>
      </c>
      <c r="K1878" s="6" t="str">
        <f t="shared" si="82"/>
        <v>Programados</v>
      </c>
      <c r="L1878" s="8">
        <v>46113</v>
      </c>
      <c r="M1878" s="17">
        <f>MAX(1,NETWORKDAYS(A1878,L1878,Table2[Dias no laborales]))</f>
        <v>1</v>
      </c>
    </row>
    <row r="1879" spans="1:13" hidden="1" x14ac:dyDescent="0.3">
      <c r="A1879" s="12">
        <v>46113</v>
      </c>
      <c r="B1879" s="16" t="s">
        <v>3792</v>
      </c>
      <c r="C1879" s="16" t="s">
        <v>3793</v>
      </c>
      <c r="D1879" s="16" t="s">
        <v>3794</v>
      </c>
      <c r="E1879" s="14">
        <v>46113.457638888889</v>
      </c>
      <c r="F1879" s="12">
        <f>IF(HOUR(Table1[[#This Row],[CORREO]])&gt;=11,WORKDAY(Table1[[#This Row],[CORREO]],1,Table2[Dias no laborales]),E1879)</f>
        <v>46113.457638888889</v>
      </c>
      <c r="G1879" s="12">
        <v>46118</v>
      </c>
      <c r="H1879" s="16">
        <f>INT((A1879-DATE(YEAR(A1879),1,1))/7) + 1</f>
        <v>13</v>
      </c>
      <c r="I1879" s="16">
        <f>MAX(1, NETWORKDAYS(A1879, G1879,Table2[Dias no laborales]))</f>
        <v>2</v>
      </c>
      <c r="J1879" s="16" t="str">
        <f>IF(Table1[[#This Row],[FIN]]="","Acumulado",IF(ISNUMBER(SEARCH("ASAP",C1879)),"ASAP",IF(NETWORKDAYS.INTL(F1879,G1879,1,Table2[Dias no laborales]) &lt;= 7, "Dentro", IF(A1879&gt;F1879,"Programado","Fuera"))))</f>
        <v>Dentro</v>
      </c>
      <c r="K1879" s="16" t="str">
        <f>IF(INT(A1879)=INT(F1879),"A tiempo", IF(A1879&lt;F1879,"Mismo día","Programados"))</f>
        <v>A tiempo</v>
      </c>
      <c r="L1879" s="12">
        <v>46113</v>
      </c>
      <c r="M1879" s="18">
        <f>MAX(1,NETWORKDAYS(A1879,L1879,Table2[Dias no laborales]))</f>
        <v>1</v>
      </c>
    </row>
    <row r="1880" spans="1:13" hidden="1" x14ac:dyDescent="0.3">
      <c r="A1880" s="12">
        <v>46118</v>
      </c>
      <c r="B1880" s="16" t="s">
        <v>3795</v>
      </c>
      <c r="C1880" s="16" t="s">
        <v>3796</v>
      </c>
      <c r="D1880" s="16" t="s">
        <v>24</v>
      </c>
      <c r="E1880" s="14"/>
      <c r="F1880" s="12">
        <f>IF(HOUR(Table1[[#This Row],[CORREO]])&gt;=11,WORKDAY(Table1[[#This Row],[CORREO]],1,Table2[Dias no laborales]),E1880)</f>
        <v>0</v>
      </c>
      <c r="G1880" s="12">
        <v>46122</v>
      </c>
      <c r="H1880" s="16">
        <f>INT((A1880-DATE(YEAR(A1880),1,1))/7) + 1</f>
        <v>14</v>
      </c>
      <c r="I1880" s="16">
        <f>MAX(1, NETWORKDAYS(A1880, G1880,Table2[Dias no laborales]))</f>
        <v>5</v>
      </c>
      <c r="J1880" s="16" t="str">
        <f>IF(Table1[[#This Row],[FIN]]="","Acumulado",IF(ISNUMBER(SEARCH("ASAP",C1880)),"ASAP",IF(NETWORKDAYS.INTL(F1880,G1880,1,Table2[Dias no laborales]) &lt;= 7, "Dentro", IF(A1880&gt;F1880,"Programado","Fuera"))))</f>
        <v>Programado</v>
      </c>
      <c r="K1880" s="16" t="str">
        <f>IF(INT(A1880)=INT(F1880),"A tiempo", IF(A1880&lt;F1880,"Mismo día","Programados"))</f>
        <v>Programados</v>
      </c>
      <c r="L1880" s="12">
        <v>46118</v>
      </c>
      <c r="M1880" s="18">
        <f>MAX(1,NETWORKDAYS(A1880,L1880,Table2[Dias no laborales]))</f>
        <v>1</v>
      </c>
    </row>
    <row r="1881" spans="1:13" hidden="1" x14ac:dyDescent="0.3">
      <c r="A1881" s="8">
        <v>46118</v>
      </c>
      <c r="B1881" s="16" t="s">
        <v>3797</v>
      </c>
      <c r="C1881" s="6" t="s">
        <v>3809</v>
      </c>
      <c r="D1881" s="6" t="s">
        <v>3163</v>
      </c>
      <c r="E1881" s="14">
        <v>46113.49722222222</v>
      </c>
      <c r="F1881" s="8">
        <f>IF(HOUR(Table1[[#This Row],[CORREO]])&gt;=11,WORKDAY(Table1[[#This Row],[CORREO]],1,Table2[Dias no laborales]),E1881)</f>
        <v>46118</v>
      </c>
      <c r="G1881" s="8">
        <v>46121</v>
      </c>
      <c r="H1881" s="6">
        <f t="shared" ref="H1881:H1892" si="83">INT((A1881-DATE(YEAR(A1881),1,1))/7) + 1</f>
        <v>14</v>
      </c>
      <c r="I1881" s="6">
        <f>MAX(1, NETWORKDAYS(A1881, G1881,Table2[Dias no laborales]))</f>
        <v>4</v>
      </c>
      <c r="J1881" s="6" t="str">
        <f>IF(Table1[[#This Row],[FIN]]="","Acumulado",IF(ISNUMBER(SEARCH("ASAP",C1881)),"ASAP",IF(NETWORKDAYS.INTL(F1881,G1881,1,Table2[Dias no laborales]) &lt;= 7, "Dentro", IF(A1881&gt;F1881,"Programado","Fuera"))))</f>
        <v>Dentro</v>
      </c>
      <c r="K1881" s="6" t="str">
        <f t="shared" ref="K1881:K1892" si="84">IF(INT(A1881)=INT(F1881),"A tiempo", IF(A1881&lt;F1881,"Mismo día","Programados"))</f>
        <v>A tiempo</v>
      </c>
      <c r="L1881" s="8">
        <v>46118</v>
      </c>
      <c r="M1881" s="17">
        <f>MAX(1,NETWORKDAYS(A1881,L1881,Table2[Dias no laborales]))</f>
        <v>1</v>
      </c>
    </row>
    <row r="1882" spans="1:13" hidden="1" x14ac:dyDescent="0.3">
      <c r="A1882" s="12">
        <v>46118</v>
      </c>
      <c r="B1882" s="16" t="s">
        <v>3798</v>
      </c>
      <c r="C1882" s="6" t="s">
        <v>3008</v>
      </c>
      <c r="D1882" s="6" t="s">
        <v>3810</v>
      </c>
      <c r="E1882" s="14">
        <v>46113.732638888891</v>
      </c>
      <c r="F1882" s="8">
        <f>IF(HOUR(Table1[[#This Row],[CORREO]])&gt;=11,WORKDAY(Table1[[#This Row],[CORREO]],1,Table2[Dias no laborales]),E1882)</f>
        <v>46118</v>
      </c>
      <c r="G1882" s="8">
        <v>46121</v>
      </c>
      <c r="H1882" s="6">
        <f t="shared" si="83"/>
        <v>14</v>
      </c>
      <c r="I1882" s="6">
        <f>MAX(1, NETWORKDAYS(A1882, G1882,Table2[Dias no laborales]))</f>
        <v>4</v>
      </c>
      <c r="J1882" s="6" t="str">
        <f>IF(Table1[[#This Row],[FIN]]="","Acumulado",IF(ISNUMBER(SEARCH("ASAP",C1882)),"ASAP",IF(NETWORKDAYS.INTL(F1882,G1882,1,Table2[Dias no laborales]) &lt;= 7, "Dentro", IF(A1882&gt;F1882,"Programado","Fuera"))))</f>
        <v>Dentro</v>
      </c>
      <c r="K1882" s="6" t="str">
        <f t="shared" si="84"/>
        <v>A tiempo</v>
      </c>
      <c r="L1882" s="8">
        <v>46118</v>
      </c>
      <c r="M1882" s="17">
        <f>MAX(1,NETWORKDAYS(A1882,L1882,Table2[Dias no laborales]))</f>
        <v>1</v>
      </c>
    </row>
    <row r="1883" spans="1:13" hidden="1" x14ac:dyDescent="0.3">
      <c r="A1883" s="8">
        <v>46118</v>
      </c>
      <c r="B1883" s="16" t="s">
        <v>3799</v>
      </c>
      <c r="C1883" s="6" t="s">
        <v>3008</v>
      </c>
      <c r="D1883" s="6" t="s">
        <v>3812</v>
      </c>
      <c r="E1883" s="14">
        <v>46113.865277777775</v>
      </c>
      <c r="F1883" s="8">
        <f>IF(HOUR(Table1[[#This Row],[CORREO]])&gt;=11,WORKDAY(Table1[[#This Row],[CORREO]],1,Table2[Dias no laborales]),E1883)</f>
        <v>46118</v>
      </c>
      <c r="G1883" s="8">
        <v>46122</v>
      </c>
      <c r="H1883" s="6">
        <f t="shared" si="83"/>
        <v>14</v>
      </c>
      <c r="I1883" s="6">
        <f>MAX(1, NETWORKDAYS(A1883, G1883,Table2[Dias no laborales]))</f>
        <v>5</v>
      </c>
      <c r="J1883" s="6" t="str">
        <f>IF(Table1[[#This Row],[FIN]]="","Acumulado",IF(ISNUMBER(SEARCH("ASAP",C1883)),"ASAP",IF(NETWORKDAYS.INTL(F1883,G1883,1,Table2[Dias no laborales]) &lt;= 7, "Dentro", IF(A1883&gt;F1883,"Programado","Fuera"))))</f>
        <v>Dentro</v>
      </c>
      <c r="K1883" s="6" t="str">
        <f t="shared" si="84"/>
        <v>A tiempo</v>
      </c>
      <c r="L1883" s="8">
        <v>46118</v>
      </c>
      <c r="M1883" s="17">
        <f>MAX(1,NETWORKDAYS(A1883,L1883,Table2[Dias no laborales]))</f>
        <v>1</v>
      </c>
    </row>
    <row r="1884" spans="1:13" hidden="1" x14ac:dyDescent="0.3">
      <c r="A1884" s="12">
        <v>46118</v>
      </c>
      <c r="B1884" s="16" t="s">
        <v>3800</v>
      </c>
      <c r="C1884" s="6" t="s">
        <v>3813</v>
      </c>
      <c r="D1884" s="6" t="s">
        <v>3814</v>
      </c>
      <c r="E1884" s="14">
        <v>46113.884027777778</v>
      </c>
      <c r="F1884" s="8">
        <f>IF(HOUR(Table1[[#This Row],[CORREO]])&gt;=11,WORKDAY(Table1[[#This Row],[CORREO]],1,Table2[Dias no laborales]),E1884)</f>
        <v>46118</v>
      </c>
      <c r="G1884" s="8">
        <v>46122</v>
      </c>
      <c r="H1884" s="6">
        <f t="shared" si="83"/>
        <v>14</v>
      </c>
      <c r="I1884" s="6">
        <f>MAX(1, NETWORKDAYS(A1884, G1884,Table2[Dias no laborales]))</f>
        <v>5</v>
      </c>
      <c r="J1884" s="6" t="str">
        <f>IF(Table1[[#This Row],[FIN]]="","Acumulado",IF(ISNUMBER(SEARCH("ASAP",C1884)),"ASAP",IF(NETWORKDAYS.INTL(F1884,G1884,1,Table2[Dias no laborales]) &lt;= 7, "Dentro", IF(A1884&gt;F1884,"Programado","Fuera"))))</f>
        <v>Dentro</v>
      </c>
      <c r="K1884" s="6" t="str">
        <f t="shared" si="84"/>
        <v>A tiempo</v>
      </c>
      <c r="L1884" s="8">
        <v>46118</v>
      </c>
      <c r="M1884" s="17">
        <f>MAX(1,NETWORKDAYS(A1884,L1884,Table2[Dias no laborales]))</f>
        <v>1</v>
      </c>
    </row>
    <row r="1885" spans="1:13" hidden="1" x14ac:dyDescent="0.3">
      <c r="A1885" s="8">
        <v>46118</v>
      </c>
      <c r="B1885" s="16" t="s">
        <v>3801</v>
      </c>
      <c r="C1885" s="6" t="s">
        <v>3008</v>
      </c>
      <c r="D1885" s="6" t="s">
        <v>3815</v>
      </c>
      <c r="E1885" s="14"/>
      <c r="F1885" s="8">
        <f>IF(HOUR(Table1[[#This Row],[CORREO]])&gt;=11,WORKDAY(Table1[[#This Row],[CORREO]],1,Table2[Dias no laborales]),E1885)</f>
        <v>0</v>
      </c>
      <c r="G1885" s="8">
        <v>46119</v>
      </c>
      <c r="H1885" s="6">
        <f t="shared" si="83"/>
        <v>14</v>
      </c>
      <c r="I1885" s="6">
        <f>MAX(1, NETWORKDAYS(A1885, G1885,Table2[Dias no laborales]))</f>
        <v>2</v>
      </c>
      <c r="J1885" s="6" t="str">
        <f>IF(Table1[[#This Row],[FIN]]="","Acumulado",IF(ISNUMBER(SEARCH("ASAP",C1885)),"ASAP",IF(NETWORKDAYS.INTL(F1885,G1885,1,Table2[Dias no laborales]) &lt;= 7, "Dentro", IF(A1885&gt;F1885,"Programado","Fuera"))))</f>
        <v>Programado</v>
      </c>
      <c r="K1885" s="6" t="str">
        <f t="shared" si="84"/>
        <v>Programados</v>
      </c>
      <c r="L1885" s="8">
        <v>46118</v>
      </c>
      <c r="M1885" s="17">
        <f>MAX(1,NETWORKDAYS(A1885,L1885,Table2[Dias no laborales]))</f>
        <v>1</v>
      </c>
    </row>
    <row r="1886" spans="1:13" hidden="1" x14ac:dyDescent="0.3">
      <c r="A1886" s="12">
        <v>46118</v>
      </c>
      <c r="B1886" s="16" t="s">
        <v>3802</v>
      </c>
      <c r="C1886" s="6" t="s">
        <v>3816</v>
      </c>
      <c r="D1886" s="6" t="s">
        <v>136</v>
      </c>
      <c r="E1886" s="14">
        <v>46118.341666666667</v>
      </c>
      <c r="F1886" s="8">
        <f>IF(HOUR(Table1[[#This Row],[CORREO]])&gt;=11,WORKDAY(Table1[[#This Row],[CORREO]],1,Table2[Dias no laborales]),E1886)</f>
        <v>46118.341666666667</v>
      </c>
      <c r="G1886" s="8">
        <v>46118</v>
      </c>
      <c r="H1886" s="6">
        <f t="shared" si="83"/>
        <v>14</v>
      </c>
      <c r="I1886" s="6">
        <f>MAX(1, NETWORKDAYS(A1886, G1886,Table2[Dias no laborales]))</f>
        <v>1</v>
      </c>
      <c r="J1886" s="6" t="str">
        <f>IF(Table1[[#This Row],[FIN]]="","Acumulado",IF(ISNUMBER(SEARCH("ASAP",C1886)),"ASAP",IF(NETWORKDAYS.INTL(F1886,G1886,1,Table2[Dias no laborales]) &lt;= 7, "Dentro", IF(A1886&gt;F1886,"Programado","Fuera"))))</f>
        <v>Dentro</v>
      </c>
      <c r="K1886" s="6" t="str">
        <f t="shared" si="84"/>
        <v>A tiempo</v>
      </c>
      <c r="L1886" s="8">
        <v>46118</v>
      </c>
      <c r="M1886" s="17">
        <f>MAX(1,NETWORKDAYS(A1886,L1886,Table2[Dias no laborales]))</f>
        <v>1</v>
      </c>
    </row>
    <row r="1887" spans="1:13" hidden="1" x14ac:dyDescent="0.3">
      <c r="A1887" s="8">
        <v>46118</v>
      </c>
      <c r="B1887" s="16" t="s">
        <v>3803</v>
      </c>
      <c r="C1887" s="6" t="s">
        <v>3817</v>
      </c>
      <c r="D1887" s="6" t="s">
        <v>61</v>
      </c>
      <c r="E1887" s="14">
        <v>46118.378472222219</v>
      </c>
      <c r="F1887" s="8">
        <f>IF(HOUR(Table1[[#This Row],[CORREO]])&gt;=11,WORKDAY(Table1[[#This Row],[CORREO]],1,Table2[Dias no laborales]),E1887)</f>
        <v>46118.378472222219</v>
      </c>
      <c r="G1887" s="8">
        <v>46119</v>
      </c>
      <c r="H1887" s="6">
        <f t="shared" si="83"/>
        <v>14</v>
      </c>
      <c r="I1887" s="6">
        <f>MAX(1, NETWORKDAYS(A1887, G1887,Table2[Dias no laborales]))</f>
        <v>2</v>
      </c>
      <c r="J1887" s="6" t="str">
        <f>IF(Table1[[#This Row],[FIN]]="","Acumulado",IF(ISNUMBER(SEARCH("ASAP",C1887)),"ASAP",IF(NETWORKDAYS.INTL(F1887,G1887,1,Table2[Dias no laborales]) &lt;= 7, "Dentro", IF(A1887&gt;F1887,"Programado","Fuera"))))</f>
        <v>Dentro</v>
      </c>
      <c r="K1887" s="6" t="str">
        <f t="shared" si="84"/>
        <v>A tiempo</v>
      </c>
      <c r="L1887" s="8">
        <v>46118</v>
      </c>
      <c r="M1887" s="17">
        <f>MAX(1,NETWORKDAYS(A1887,L1887,Table2[Dias no laborales]))</f>
        <v>1</v>
      </c>
    </row>
    <row r="1888" spans="1:13" hidden="1" x14ac:dyDescent="0.3">
      <c r="A1888" s="12">
        <v>46118</v>
      </c>
      <c r="B1888" s="16" t="s">
        <v>3804</v>
      </c>
      <c r="C1888" s="6" t="s">
        <v>3818</v>
      </c>
      <c r="D1888" s="6" t="s">
        <v>133</v>
      </c>
      <c r="E1888" s="14">
        <v>46118.436805555553</v>
      </c>
      <c r="F1888" s="8">
        <f>IF(HOUR(Table1[[#This Row],[CORREO]])&gt;=11,WORKDAY(Table1[[#This Row],[CORREO]],1,Table2[Dias no laborales]),E1888)</f>
        <v>46118.436805555553</v>
      </c>
      <c r="G1888" s="8">
        <v>46119</v>
      </c>
      <c r="H1888" s="6">
        <f t="shared" si="83"/>
        <v>14</v>
      </c>
      <c r="I1888" s="6">
        <f>MAX(1, NETWORKDAYS(A1888, G1888,Table2[Dias no laborales]))</f>
        <v>2</v>
      </c>
      <c r="J1888" s="6" t="str">
        <f>IF(Table1[[#This Row],[FIN]]="","Acumulado",IF(ISNUMBER(SEARCH("ASAP",C1888)),"ASAP",IF(NETWORKDAYS.INTL(F1888,G1888,1,Table2[Dias no laborales]) &lt;= 7, "Dentro", IF(A1888&gt;F1888,"Programado","Fuera"))))</f>
        <v>Dentro</v>
      </c>
      <c r="K1888" s="6" t="str">
        <f t="shared" si="84"/>
        <v>A tiempo</v>
      </c>
      <c r="L1888" s="8">
        <v>46118</v>
      </c>
      <c r="M1888" s="17">
        <f>MAX(1,NETWORKDAYS(A1888,L1888,Table2[Dias no laborales]))</f>
        <v>1</v>
      </c>
    </row>
    <row r="1889" spans="1:13" hidden="1" x14ac:dyDescent="0.3">
      <c r="A1889" s="8">
        <v>46118</v>
      </c>
      <c r="B1889" s="16" t="s">
        <v>3805</v>
      </c>
      <c r="C1889" s="6" t="s">
        <v>3008</v>
      </c>
      <c r="D1889" s="6" t="s">
        <v>3819</v>
      </c>
      <c r="E1889" s="14">
        <v>46118.440972222219</v>
      </c>
      <c r="F1889" s="8">
        <f>IF(HOUR(Table1[[#This Row],[CORREO]])&gt;=11,WORKDAY(Table1[[#This Row],[CORREO]],1,Table2[Dias no laborales]),E1889)</f>
        <v>46118.440972222219</v>
      </c>
      <c r="G1889" s="8">
        <v>46127</v>
      </c>
      <c r="H1889" s="6">
        <f t="shared" si="83"/>
        <v>14</v>
      </c>
      <c r="I1889" s="6">
        <f>MAX(1, NETWORKDAYS(A1889, G1889,Table2[Dias no laborales]))</f>
        <v>8</v>
      </c>
      <c r="J1889" s="6" t="str">
        <f>IF(Table1[[#This Row],[FIN]]="","Acumulado",IF(ISNUMBER(SEARCH("ASAP",C1889)),"ASAP",IF(NETWORKDAYS.INTL(F1889,G1889,1,Table2[Dias no laborales]) &lt;= 7, "Dentro", IF(A1889&gt;F1889,"Programado","Fuera"))))</f>
        <v>Fuera</v>
      </c>
      <c r="K1889" s="6" t="str">
        <f t="shared" si="84"/>
        <v>A tiempo</v>
      </c>
      <c r="L1889" s="8">
        <v>46118</v>
      </c>
      <c r="M1889" s="17">
        <f>MAX(1,NETWORKDAYS(A1889,L1889,Table2[Dias no laborales]))</f>
        <v>1</v>
      </c>
    </row>
    <row r="1890" spans="1:13" hidden="1" x14ac:dyDescent="0.3">
      <c r="A1890" s="12">
        <v>46118</v>
      </c>
      <c r="B1890" s="16" t="s">
        <v>3806</v>
      </c>
      <c r="C1890" s="6" t="s">
        <v>3820</v>
      </c>
      <c r="D1890" s="6" t="s">
        <v>2981</v>
      </c>
      <c r="E1890" s="14">
        <v>46118.447222222225</v>
      </c>
      <c r="F1890" s="8">
        <f>IF(HOUR(Table1[[#This Row],[CORREO]])&gt;=11,WORKDAY(Table1[[#This Row],[CORREO]],1,Table2[Dias no laborales]),E1890)</f>
        <v>46118.447222222225</v>
      </c>
      <c r="G1890" s="8">
        <v>46119</v>
      </c>
      <c r="H1890" s="6">
        <f t="shared" si="83"/>
        <v>14</v>
      </c>
      <c r="I1890" s="6">
        <f>MAX(1, NETWORKDAYS(A1890, G1890,Table2[Dias no laborales]))</f>
        <v>2</v>
      </c>
      <c r="J1890" s="6" t="str">
        <f>IF(Table1[[#This Row],[FIN]]="","Acumulado",IF(ISNUMBER(SEARCH("ASAP",C1890)),"ASAP",IF(NETWORKDAYS.INTL(F1890,G1890,1,Table2[Dias no laborales]) &lt;= 7, "Dentro", IF(A1890&gt;F1890,"Programado","Fuera"))))</f>
        <v>Dentro</v>
      </c>
      <c r="K1890" s="6" t="str">
        <f t="shared" si="84"/>
        <v>A tiempo</v>
      </c>
      <c r="L1890" s="8">
        <v>46118</v>
      </c>
      <c r="M1890" s="17">
        <f>MAX(1,NETWORKDAYS(A1890,L1890,Table2[Dias no laborales]))</f>
        <v>1</v>
      </c>
    </row>
    <row r="1891" spans="1:13" hidden="1" x14ac:dyDescent="0.3">
      <c r="A1891" s="8">
        <v>46118</v>
      </c>
      <c r="B1891" s="16" t="s">
        <v>3807</v>
      </c>
      <c r="C1891" s="6" t="s">
        <v>3821</v>
      </c>
      <c r="D1891" s="6" t="s">
        <v>3822</v>
      </c>
      <c r="E1891" s="14">
        <v>46118.466666666667</v>
      </c>
      <c r="F1891" s="8">
        <f>IF(HOUR(Table1[[#This Row],[CORREO]])&gt;=11,WORKDAY(Table1[[#This Row],[CORREO]],1,Table2[Dias no laborales]),E1891)</f>
        <v>46119</v>
      </c>
      <c r="G1891" s="8">
        <v>46121</v>
      </c>
      <c r="H1891" s="6">
        <f t="shared" si="83"/>
        <v>14</v>
      </c>
      <c r="I1891" s="6">
        <f>MAX(1, NETWORKDAYS(A1891, G1891,Table2[Dias no laborales]))</f>
        <v>4</v>
      </c>
      <c r="J1891" s="6" t="str">
        <f>IF(Table1[[#This Row],[FIN]]="","Acumulado",IF(ISNUMBER(SEARCH("ASAP",C1891)),"ASAP",IF(NETWORKDAYS.INTL(F1891,G1891,1,Table2[Dias no laborales]) &lt;= 7, "Dentro", IF(A1891&gt;F1891,"Programado","Fuera"))))</f>
        <v>Dentro</v>
      </c>
      <c r="K1891" s="6" t="str">
        <f t="shared" si="84"/>
        <v>Mismo día</v>
      </c>
      <c r="L1891" s="8">
        <v>46118</v>
      </c>
      <c r="M1891" s="17">
        <f>MAX(1,NETWORKDAYS(A1891,L1891,Table2[Dias no laborales]))</f>
        <v>1</v>
      </c>
    </row>
    <row r="1892" spans="1:13" hidden="1" x14ac:dyDescent="0.3">
      <c r="A1892" s="12">
        <v>46118</v>
      </c>
      <c r="B1892" s="16" t="s">
        <v>3808</v>
      </c>
      <c r="C1892" s="6" t="s">
        <v>3811</v>
      </c>
      <c r="D1892" s="6" t="s">
        <v>37</v>
      </c>
      <c r="E1892" s="14">
        <v>46118.47152777778</v>
      </c>
      <c r="F1892" s="8">
        <f>IF(HOUR(Table1[[#This Row],[CORREO]])&gt;=11,WORKDAY(Table1[[#This Row],[CORREO]],1,Table2[Dias no laborales]),E1892)</f>
        <v>46119</v>
      </c>
      <c r="G1892" s="8">
        <v>46118</v>
      </c>
      <c r="H1892" s="6">
        <f t="shared" si="83"/>
        <v>14</v>
      </c>
      <c r="I1892" s="6">
        <f>MAX(1, NETWORKDAYS(A1892, G1892,Table2[Dias no laborales]))</f>
        <v>1</v>
      </c>
      <c r="J1892" s="6" t="str">
        <f>IF(Table1[[#This Row],[FIN]]="","Acumulado",IF(ISNUMBER(SEARCH("ASAP",C1892)),"ASAP",IF(NETWORKDAYS.INTL(F1892,G1892,1,Table2[Dias no laborales]) &lt;= 7, "Dentro", IF(A1892&gt;F1892,"Programado","Fuera"))))</f>
        <v>Dentro</v>
      </c>
      <c r="K1892" s="6" t="str">
        <f t="shared" si="84"/>
        <v>Mismo día</v>
      </c>
      <c r="L1892" s="8">
        <v>46118</v>
      </c>
      <c r="M1892" s="17">
        <f>MAX(1,NETWORKDAYS(A1892,L1892,Table2[Dias no laborales]))</f>
        <v>1</v>
      </c>
    </row>
    <row r="1893" spans="1:13" hidden="1" x14ac:dyDescent="0.3">
      <c r="A1893" s="8">
        <v>46118</v>
      </c>
      <c r="B1893" s="16" t="s">
        <v>3823</v>
      </c>
      <c r="C1893" s="6" t="s">
        <v>3833</v>
      </c>
      <c r="D1893" s="6" t="s">
        <v>3834</v>
      </c>
      <c r="E1893" s="14">
        <v>46118.498611111114</v>
      </c>
      <c r="F1893" s="8">
        <f>IF(HOUR(Table1[[#This Row],[CORREO]])&gt;=11,WORKDAY(Table1[[#This Row],[CORREO]],1,Table2[Dias no laborales]),E1893)</f>
        <v>46119</v>
      </c>
      <c r="G1893" s="8">
        <v>46118</v>
      </c>
      <c r="H1893" s="6">
        <f t="shared" ref="H1893:H1902" si="85">INT((A1893-DATE(YEAR(A1893),1,1))/7) + 1</f>
        <v>14</v>
      </c>
      <c r="I1893" s="6">
        <f>MAX(1, NETWORKDAYS(A1893, G1893,Table2[Dias no laborales]))</f>
        <v>1</v>
      </c>
      <c r="J1893" s="6" t="str">
        <f>IF(Table1[[#This Row],[FIN]]="","Acumulado",IF(ISNUMBER(SEARCH("ASAP",C1893)),"ASAP",IF(NETWORKDAYS.INTL(F1893,G1893,1,Table2[Dias no laborales]) &lt;= 7, "Dentro", IF(A1893&gt;F1893,"Programado","Fuera"))))</f>
        <v>Dentro</v>
      </c>
      <c r="K1893" s="6" t="str">
        <f>IF(INT(A1893)=INT(F1893),"A tiempo", IF(A1893&lt;F1893,"Mismo día","Programados"))</f>
        <v>Mismo día</v>
      </c>
      <c r="L1893" s="8">
        <v>46118</v>
      </c>
      <c r="M1893" s="17">
        <f>MAX(1,NETWORKDAYS(A1893,L1893,Table2[Dias no laborales]))</f>
        <v>1</v>
      </c>
    </row>
    <row r="1894" spans="1:13" hidden="1" x14ac:dyDescent="0.3">
      <c r="A1894" s="8">
        <v>46119</v>
      </c>
      <c r="B1894" s="16" t="s">
        <v>3824</v>
      </c>
      <c r="C1894" s="6" t="s">
        <v>3835</v>
      </c>
      <c r="D1894" s="6" t="s">
        <v>3039</v>
      </c>
      <c r="E1894" s="14">
        <v>46118.573611111111</v>
      </c>
      <c r="F1894" s="8">
        <f>IF(HOUR(Table1[[#This Row],[CORREO]])&gt;=11,WORKDAY(Table1[[#This Row],[CORREO]],1,Table2[Dias no laborales]),E1894)</f>
        <v>46119</v>
      </c>
      <c r="G1894" s="8">
        <v>46119</v>
      </c>
      <c r="H1894" s="6">
        <f t="shared" si="85"/>
        <v>14</v>
      </c>
      <c r="I1894" s="6">
        <f>MAX(1, NETWORKDAYS(A1894, G1894,Table2[Dias no laborales]))</f>
        <v>1</v>
      </c>
      <c r="J1894" s="6" t="str">
        <f>IF(Table1[[#This Row],[FIN]]="","Acumulado",IF(ISNUMBER(SEARCH("ASAP",C1894)),"ASAP",IF(NETWORKDAYS.INTL(F1894,G1894,1,Table2[Dias no laborales]) &lt;= 7, "Dentro", IF(A1894&gt;F1894,"Programado","Fuera"))))</f>
        <v>Dentro</v>
      </c>
      <c r="K1894" s="6" t="str">
        <f t="shared" ref="K1894:K1902" si="86">IF(INT(A1894)=INT(F1894),"A tiempo", IF(A1894&lt;F1894,"Mismo día","Programados"))</f>
        <v>A tiempo</v>
      </c>
      <c r="L1894" s="8">
        <v>46119</v>
      </c>
      <c r="M1894" s="17">
        <f>MAX(1,NETWORKDAYS(A1894,L1894,Table2[Dias no laborales]))</f>
        <v>1</v>
      </c>
    </row>
    <row r="1895" spans="1:13" hidden="1" x14ac:dyDescent="0.3">
      <c r="A1895" s="8">
        <v>46119</v>
      </c>
      <c r="B1895" s="16" t="s">
        <v>3825</v>
      </c>
      <c r="C1895" s="6" t="s">
        <v>3836</v>
      </c>
      <c r="D1895" s="6" t="s">
        <v>3837</v>
      </c>
      <c r="E1895" s="14">
        <v>46118.643750000003</v>
      </c>
      <c r="F1895" s="8">
        <f>IF(HOUR(Table1[[#This Row],[CORREO]])&gt;=11,WORKDAY(Table1[[#This Row],[CORREO]],1,Table2[Dias no laborales]),E1895)</f>
        <v>46119</v>
      </c>
      <c r="G1895" s="8">
        <v>46121</v>
      </c>
      <c r="H1895" s="6">
        <f t="shared" si="85"/>
        <v>14</v>
      </c>
      <c r="I1895" s="6">
        <f>MAX(1, NETWORKDAYS(A1895, G1895,Table2[Dias no laborales]))</f>
        <v>3</v>
      </c>
      <c r="J1895" s="6" t="str">
        <f>IF(Table1[[#This Row],[FIN]]="","Acumulado",IF(ISNUMBER(SEARCH("ASAP",C1895)),"ASAP",IF(NETWORKDAYS.INTL(F1895,G1895,1,Table2[Dias no laborales]) &lt;= 7, "Dentro", IF(A1895&gt;F1895,"Programado","Fuera"))))</f>
        <v>Dentro</v>
      </c>
      <c r="K1895" s="6" t="str">
        <f t="shared" si="86"/>
        <v>A tiempo</v>
      </c>
      <c r="L1895" s="8">
        <v>46119</v>
      </c>
      <c r="M1895" s="17">
        <f>MAX(1,NETWORKDAYS(A1895,L1895,Table2[Dias no laborales]))</f>
        <v>1</v>
      </c>
    </row>
    <row r="1896" spans="1:13" hidden="1" x14ac:dyDescent="0.3">
      <c r="A1896" s="8">
        <v>46119</v>
      </c>
      <c r="B1896" s="16" t="s">
        <v>3826</v>
      </c>
      <c r="C1896" s="6" t="s">
        <v>3838</v>
      </c>
      <c r="D1896" s="6" t="s">
        <v>103</v>
      </c>
      <c r="E1896" s="14">
        <v>46118.681944444441</v>
      </c>
      <c r="F1896" s="8">
        <f>IF(HOUR(Table1[[#This Row],[CORREO]])&gt;=11,WORKDAY(Table1[[#This Row],[CORREO]],1,Table2[Dias no laborales]),E1896)</f>
        <v>46119</v>
      </c>
      <c r="G1896" s="8">
        <v>46120</v>
      </c>
      <c r="H1896" s="6">
        <f t="shared" si="85"/>
        <v>14</v>
      </c>
      <c r="I1896" s="6">
        <f>MAX(1, NETWORKDAYS(A1896, G1896,Table2[Dias no laborales]))</f>
        <v>2</v>
      </c>
      <c r="J1896" s="6" t="str">
        <f>IF(Table1[[#This Row],[FIN]]="","Acumulado",IF(ISNUMBER(SEARCH("ASAP",C1896)),"ASAP",IF(NETWORKDAYS.INTL(F1896,G1896,1,Table2[Dias no laborales]) &lt;= 7, "Dentro", IF(A1896&gt;F1896,"Programado","Fuera"))))</f>
        <v>Dentro</v>
      </c>
      <c r="K1896" s="6" t="str">
        <f t="shared" si="86"/>
        <v>A tiempo</v>
      </c>
      <c r="L1896" s="8">
        <v>46119</v>
      </c>
      <c r="M1896" s="17">
        <f>MAX(1,NETWORKDAYS(A1896,L1896,Table2[Dias no laborales]))</f>
        <v>1</v>
      </c>
    </row>
    <row r="1897" spans="1:13" hidden="1" x14ac:dyDescent="0.3">
      <c r="A1897" s="8">
        <v>46119</v>
      </c>
      <c r="B1897" s="16" t="s">
        <v>3827</v>
      </c>
      <c r="C1897" s="6" t="s">
        <v>3839</v>
      </c>
      <c r="D1897" s="6" t="s">
        <v>24</v>
      </c>
      <c r="E1897" s="14">
        <v>46118.756249999999</v>
      </c>
      <c r="F1897" s="8">
        <f>IF(HOUR(Table1[[#This Row],[CORREO]])&gt;=11,WORKDAY(Table1[[#This Row],[CORREO]],1,Table2[Dias no laborales]),E1897)</f>
        <v>46119</v>
      </c>
      <c r="G1897" s="8">
        <v>46119</v>
      </c>
      <c r="H1897" s="6">
        <f t="shared" si="85"/>
        <v>14</v>
      </c>
      <c r="I1897" s="6">
        <f>MAX(1, NETWORKDAYS(A1897, G1897,Table2[Dias no laborales]))</f>
        <v>1</v>
      </c>
      <c r="J1897" s="6" t="str">
        <f>IF(Table1[[#This Row],[FIN]]="","Acumulado",IF(ISNUMBER(SEARCH("ASAP",C1897)),"ASAP",IF(NETWORKDAYS.INTL(F1897,G1897,1,Table2[Dias no laborales]) &lt;= 7, "Dentro", IF(A1897&gt;F1897,"Programado","Fuera"))))</f>
        <v>Dentro</v>
      </c>
      <c r="K1897" s="6" t="str">
        <f t="shared" si="86"/>
        <v>A tiempo</v>
      </c>
      <c r="L1897" s="8">
        <v>46119</v>
      </c>
      <c r="M1897" s="17">
        <f>MAX(1,NETWORKDAYS(A1897,L1897,Table2[Dias no laborales]))</f>
        <v>1</v>
      </c>
    </row>
    <row r="1898" spans="1:13" hidden="1" x14ac:dyDescent="0.3">
      <c r="A1898" s="8">
        <v>46119</v>
      </c>
      <c r="B1898" s="16" t="s">
        <v>3828</v>
      </c>
      <c r="C1898" s="6" t="s">
        <v>3840</v>
      </c>
      <c r="D1898" s="6" t="s">
        <v>171</v>
      </c>
      <c r="E1898" s="14">
        <v>46119.339583333334</v>
      </c>
      <c r="F1898" s="8">
        <f>IF(HOUR(Table1[[#This Row],[CORREO]])&gt;=11,WORKDAY(Table1[[#This Row],[CORREO]],1,Table2[Dias no laborales]),E1898)</f>
        <v>46119.339583333334</v>
      </c>
      <c r="G1898" s="8">
        <v>46120</v>
      </c>
      <c r="H1898" s="6">
        <f t="shared" si="85"/>
        <v>14</v>
      </c>
      <c r="I1898" s="6">
        <f>MAX(1, NETWORKDAYS(A1898, G1898,Table2[Dias no laborales]))</f>
        <v>2</v>
      </c>
      <c r="J1898" s="6" t="str">
        <f>IF(Table1[[#This Row],[FIN]]="","Acumulado",IF(ISNUMBER(SEARCH("ASAP",C1898)),"ASAP",IF(NETWORKDAYS.INTL(F1898,G1898,1,Table2[Dias no laborales]) &lt;= 7, "Dentro", IF(A1898&gt;F1898,"Programado","Fuera"))))</f>
        <v>Dentro</v>
      </c>
      <c r="K1898" s="6" t="str">
        <f t="shared" si="86"/>
        <v>A tiempo</v>
      </c>
      <c r="L1898" s="8">
        <v>46119</v>
      </c>
      <c r="M1898" s="17">
        <f>MAX(1,NETWORKDAYS(A1898,L1898,Table2[Dias no laborales]))</f>
        <v>1</v>
      </c>
    </row>
    <row r="1899" spans="1:13" hidden="1" x14ac:dyDescent="0.3">
      <c r="A1899" s="8">
        <v>46119</v>
      </c>
      <c r="B1899" s="16" t="s">
        <v>3829</v>
      </c>
      <c r="C1899" s="6" t="s">
        <v>3841</v>
      </c>
      <c r="D1899" s="6" t="s">
        <v>24</v>
      </c>
      <c r="E1899" s="14">
        <v>46119.392361111109</v>
      </c>
      <c r="F1899" s="8">
        <f>IF(HOUR(Table1[[#This Row],[CORREO]])&gt;=11,WORKDAY(Table1[[#This Row],[CORREO]],1,Table2[Dias no laborales]),E1899)</f>
        <v>46119.392361111109</v>
      </c>
      <c r="G1899" s="8">
        <v>46127</v>
      </c>
      <c r="H1899" s="6">
        <f t="shared" si="85"/>
        <v>14</v>
      </c>
      <c r="I1899" s="6">
        <f>MAX(1, NETWORKDAYS(A1899, G1899,Table2[Dias no laborales]))</f>
        <v>7</v>
      </c>
      <c r="J1899" s="6" t="str">
        <f>IF(Table1[[#This Row],[FIN]]="","Acumulado",IF(ISNUMBER(SEARCH("ASAP",C1899)),"ASAP",IF(NETWORKDAYS.INTL(F1899,G1899,1,Table2[Dias no laborales]) &lt;= 7, "Dentro", IF(A1899&gt;F1899,"Programado","Fuera"))))</f>
        <v>Dentro</v>
      </c>
      <c r="K1899" s="6" t="str">
        <f t="shared" si="86"/>
        <v>A tiempo</v>
      </c>
      <c r="L1899" s="8">
        <v>46119</v>
      </c>
      <c r="M1899" s="17">
        <f>MAX(1,NETWORKDAYS(A1899,L1899,Table2[Dias no laborales]))</f>
        <v>1</v>
      </c>
    </row>
    <row r="1900" spans="1:13" hidden="1" x14ac:dyDescent="0.3">
      <c r="A1900" s="8">
        <v>46119</v>
      </c>
      <c r="B1900" s="16" t="s">
        <v>3830</v>
      </c>
      <c r="C1900" s="6" t="s">
        <v>3842</v>
      </c>
      <c r="D1900" s="6" t="s">
        <v>89</v>
      </c>
      <c r="E1900" s="14">
        <v>46119.395138888889</v>
      </c>
      <c r="F1900" s="8">
        <f>IF(HOUR(Table1[[#This Row],[CORREO]])&gt;=11,WORKDAY(Table1[[#This Row],[CORREO]],1,Table2[Dias no laborales]),E1900)</f>
        <v>46119.395138888889</v>
      </c>
      <c r="G1900" s="8">
        <v>46120</v>
      </c>
      <c r="H1900" s="6">
        <f t="shared" si="85"/>
        <v>14</v>
      </c>
      <c r="I1900" s="6">
        <f>MAX(1, NETWORKDAYS(A1900, G1900,Table2[Dias no laborales]))</f>
        <v>2</v>
      </c>
      <c r="J1900" s="6" t="str">
        <f>IF(Table1[[#This Row],[FIN]]="","Acumulado",IF(ISNUMBER(SEARCH("ASAP",C1900)),"ASAP",IF(NETWORKDAYS.INTL(F1900,G1900,1,Table2[Dias no laborales]) &lt;= 7, "Dentro", IF(A1900&gt;F1900,"Programado","Fuera"))))</f>
        <v>Dentro</v>
      </c>
      <c r="K1900" s="6" t="str">
        <f t="shared" si="86"/>
        <v>A tiempo</v>
      </c>
      <c r="L1900" s="8">
        <v>46119</v>
      </c>
      <c r="M1900" s="17">
        <f>MAX(1,NETWORKDAYS(A1900,L1900,Table2[Dias no laborales]))</f>
        <v>1</v>
      </c>
    </row>
    <row r="1901" spans="1:13" hidden="1" x14ac:dyDescent="0.3">
      <c r="A1901" s="8">
        <v>46119</v>
      </c>
      <c r="B1901" s="16" t="s">
        <v>3831</v>
      </c>
      <c r="C1901" s="6" t="s">
        <v>3843</v>
      </c>
      <c r="D1901" s="6" t="s">
        <v>2963</v>
      </c>
      <c r="E1901" s="14">
        <v>46119.395833333336</v>
      </c>
      <c r="F1901" s="8">
        <f>IF(HOUR(Table1[[#This Row],[CORREO]])&gt;=11,WORKDAY(Table1[[#This Row],[CORREO]],1,Table2[Dias no laborales]),E1901)</f>
        <v>46119.395833333336</v>
      </c>
      <c r="G1901" s="8">
        <v>46119</v>
      </c>
      <c r="H1901" s="6">
        <f t="shared" si="85"/>
        <v>14</v>
      </c>
      <c r="I1901" s="6">
        <f>MAX(1, NETWORKDAYS(A1901, G1901,Table2[Dias no laborales]))</f>
        <v>1</v>
      </c>
      <c r="J1901" s="6" t="str">
        <f>IF(Table1[[#This Row],[FIN]]="","Acumulado",IF(ISNUMBER(SEARCH("ASAP",C1901)),"ASAP",IF(NETWORKDAYS.INTL(F1901,G1901,1,Table2[Dias no laborales]) &lt;= 7, "Dentro", IF(A1901&gt;F1901,"Programado","Fuera"))))</f>
        <v>Dentro</v>
      </c>
      <c r="K1901" s="6" t="str">
        <f t="shared" si="86"/>
        <v>A tiempo</v>
      </c>
      <c r="L1901" s="8">
        <v>46119</v>
      </c>
      <c r="M1901" s="17">
        <f>MAX(1,NETWORKDAYS(A1901,L1901,Table2[Dias no laborales]))</f>
        <v>1</v>
      </c>
    </row>
    <row r="1902" spans="1:13" hidden="1" x14ac:dyDescent="0.3">
      <c r="A1902" s="8">
        <v>46119</v>
      </c>
      <c r="B1902" s="16" t="s">
        <v>3832</v>
      </c>
      <c r="C1902" s="6" t="s">
        <v>3844</v>
      </c>
      <c r="D1902" s="6" t="s">
        <v>3845</v>
      </c>
      <c r="E1902" s="14">
        <v>46118.571527777778</v>
      </c>
      <c r="F1902" s="8">
        <f>IF(HOUR(Table1[[#This Row],[CORREO]])&gt;=11,WORKDAY(Table1[[#This Row],[CORREO]],1,Table2[Dias no laborales]),E1902)</f>
        <v>46119</v>
      </c>
      <c r="G1902" s="8">
        <v>46120</v>
      </c>
      <c r="H1902" s="6">
        <f t="shared" si="85"/>
        <v>14</v>
      </c>
      <c r="I1902" s="6">
        <f>MAX(1, NETWORKDAYS(A1902, G1902,Table2[Dias no laborales]))</f>
        <v>2</v>
      </c>
      <c r="J1902" s="6" t="str">
        <f>IF(Table1[[#This Row],[FIN]]="","Acumulado",IF(ISNUMBER(SEARCH("ASAP",C1902)),"ASAP",IF(NETWORKDAYS.INTL(F1902,G1902,1,Table2[Dias no laborales]) &lt;= 7, "Dentro", IF(A1902&gt;F1902,"Programado","Fuera"))))</f>
        <v>Dentro</v>
      </c>
      <c r="K1902" s="6" t="str">
        <f t="shared" si="86"/>
        <v>A tiempo</v>
      </c>
      <c r="L1902" s="8">
        <v>46119</v>
      </c>
      <c r="M1902" s="17">
        <f>MAX(1,NETWORKDAYS(A1902,L1902,Table2[Dias no laborales]))</f>
        <v>1</v>
      </c>
    </row>
    <row r="1903" spans="1:13" hidden="1" x14ac:dyDescent="0.3">
      <c r="A1903" s="8">
        <v>46119</v>
      </c>
      <c r="B1903" s="16" t="s">
        <v>3846</v>
      </c>
      <c r="C1903" s="6" t="s">
        <v>3855</v>
      </c>
      <c r="D1903" s="6" t="s">
        <v>269</v>
      </c>
      <c r="E1903" s="14">
        <v>46119.539583333331</v>
      </c>
      <c r="F1903" s="8">
        <f>IF(HOUR(Table1[[#This Row],[CORREO]])&gt;=11,WORKDAY(Table1[[#This Row],[CORREO]],1,Table2[Dias no laborales]),E1903)</f>
        <v>46120</v>
      </c>
      <c r="G1903" s="8">
        <v>46120</v>
      </c>
      <c r="H1903" s="6">
        <f t="shared" ref="H1903:H1909" si="87">INT((A1903-DATE(YEAR(A1903),1,1))/7) + 1</f>
        <v>14</v>
      </c>
      <c r="I1903" s="6">
        <f>MAX(1, NETWORKDAYS(A1903, G1903,Table2[Dias no laborales]))</f>
        <v>2</v>
      </c>
      <c r="J1903" s="6" t="str">
        <f>IF(Table1[[#This Row],[FIN]]="","Acumulado",IF(ISNUMBER(SEARCH("ASAP",C1903)),"ASAP",IF(NETWORKDAYS.INTL(F1903,G1903,1,Table2[Dias no laborales]) &lt;= 7, "Dentro", IF(A1903&gt;F1903,"Programado","Fuera"))))</f>
        <v>Dentro</v>
      </c>
      <c r="K1903" s="6" t="str">
        <f t="shared" ref="K1903:K1909" si="88">IF(INT(A1903)=INT(F1903),"A tiempo", IF(A1903&lt;F1903,"Mismo día","Programados"))</f>
        <v>Mismo día</v>
      </c>
      <c r="L1903" s="8">
        <v>46119</v>
      </c>
      <c r="M1903" s="17">
        <f>MAX(1,NETWORKDAYS(A1903,L1903,Table2[Dias no laborales]))</f>
        <v>1</v>
      </c>
    </row>
    <row r="1904" spans="1:13" hidden="1" x14ac:dyDescent="0.3">
      <c r="A1904" s="8">
        <v>46119</v>
      </c>
      <c r="B1904" s="16" t="s">
        <v>3847</v>
      </c>
      <c r="C1904" s="6" t="s">
        <v>3856</v>
      </c>
      <c r="D1904" s="6" t="s">
        <v>194</v>
      </c>
      <c r="E1904" s="14">
        <v>46119.678472222222</v>
      </c>
      <c r="F1904" s="8">
        <f>IF(HOUR(Table1[[#This Row],[CORREO]])&gt;=11,WORKDAY(Table1[[#This Row],[CORREO]],1,Table2[Dias no laborales]),E1904)</f>
        <v>46120</v>
      </c>
      <c r="G1904" s="8">
        <v>46127</v>
      </c>
      <c r="H1904" s="6">
        <f t="shared" si="87"/>
        <v>14</v>
      </c>
      <c r="I1904" s="6">
        <f>MAX(1, NETWORKDAYS(A1904, G1904,Table2[Dias no laborales]))</f>
        <v>7</v>
      </c>
      <c r="J1904" s="6" t="str">
        <f>IF(Table1[[#This Row],[FIN]]="","Acumulado",IF(ISNUMBER(SEARCH("ASAP",C1904)),"ASAP",IF(NETWORKDAYS.INTL(F1904,G1904,1,Table2[Dias no laborales]) &lt;= 7, "Dentro", IF(A1904&gt;F1904,"Programado","Fuera"))))</f>
        <v>Dentro</v>
      </c>
      <c r="K1904" s="6" t="str">
        <f t="shared" si="88"/>
        <v>Mismo día</v>
      </c>
      <c r="L1904" s="8">
        <v>46119</v>
      </c>
      <c r="M1904" s="17">
        <f>MAX(1,NETWORKDAYS(A1904,L1904,Table2[Dias no laborales]))</f>
        <v>1</v>
      </c>
    </row>
    <row r="1905" spans="1:13" hidden="1" x14ac:dyDescent="0.3">
      <c r="A1905" s="8">
        <v>46120</v>
      </c>
      <c r="B1905" s="16" t="s">
        <v>3848</v>
      </c>
      <c r="C1905" s="6" t="s">
        <v>3857</v>
      </c>
      <c r="D1905" s="6" t="s">
        <v>89</v>
      </c>
      <c r="E1905" s="14"/>
      <c r="F1905" s="8">
        <f>IF(HOUR(Table1[[#This Row],[CORREO]])&gt;=11,WORKDAY(Table1[[#This Row],[CORREO]],1,Table2[Dias no laborales]),E1905)</f>
        <v>0</v>
      </c>
      <c r="G1905" s="8">
        <v>46120</v>
      </c>
      <c r="H1905" s="6">
        <f t="shared" si="87"/>
        <v>14</v>
      </c>
      <c r="I1905" s="6">
        <f>MAX(1, NETWORKDAYS(A1905, G1905,Table2[Dias no laborales]))</f>
        <v>1</v>
      </c>
      <c r="J1905" s="6" t="str">
        <f>IF(Table1[[#This Row],[FIN]]="","Acumulado",IF(ISNUMBER(SEARCH("ASAP",C1905)),"ASAP",IF(NETWORKDAYS.INTL(F1905,G1905,1,Table2[Dias no laborales]) &lt;= 7, "Dentro", IF(A1905&gt;F1905,"Programado","Fuera"))))</f>
        <v>Programado</v>
      </c>
      <c r="K1905" s="6" t="str">
        <f t="shared" si="88"/>
        <v>Programados</v>
      </c>
      <c r="L1905" s="8">
        <v>46120</v>
      </c>
      <c r="M1905" s="17">
        <f>MAX(1,NETWORKDAYS(A1905,L1905,Table2[Dias no laborales]))</f>
        <v>1</v>
      </c>
    </row>
    <row r="1906" spans="1:13" hidden="1" x14ac:dyDescent="0.3">
      <c r="A1906" s="8">
        <v>46120</v>
      </c>
      <c r="B1906" s="16" t="s">
        <v>3849</v>
      </c>
      <c r="C1906" s="6" t="s">
        <v>3858</v>
      </c>
      <c r="D1906" s="6" t="s">
        <v>24</v>
      </c>
      <c r="E1906" s="14"/>
      <c r="F1906" s="8">
        <f>IF(HOUR(Table1[[#This Row],[CORREO]])&gt;=11,WORKDAY(Table1[[#This Row],[CORREO]],1,Table2[Dias no laborales]),E1906)</f>
        <v>0</v>
      </c>
      <c r="G1906" s="8">
        <v>46127</v>
      </c>
      <c r="H1906" s="6">
        <f t="shared" si="87"/>
        <v>14</v>
      </c>
      <c r="I1906" s="6">
        <f>MAX(1, NETWORKDAYS(A1906, G1906,Table2[Dias no laborales]))</f>
        <v>6</v>
      </c>
      <c r="J1906" s="6" t="str">
        <f>IF(Table1[[#This Row],[FIN]]="","Acumulado",IF(ISNUMBER(SEARCH("ASAP",C1906)),"ASAP",IF(NETWORKDAYS.INTL(F1906,G1906,1,Table2[Dias no laborales]) &lt;= 7, "Dentro", IF(A1906&gt;F1906,"Programado","Fuera"))))</f>
        <v>Programado</v>
      </c>
      <c r="K1906" s="6" t="str">
        <f t="shared" si="88"/>
        <v>Programados</v>
      </c>
      <c r="L1906" s="8">
        <v>46120</v>
      </c>
      <c r="M1906" s="17">
        <f>MAX(1,NETWORKDAYS(A1906,L1906,Table2[Dias no laborales]))</f>
        <v>1</v>
      </c>
    </row>
    <row r="1907" spans="1:13" hidden="1" x14ac:dyDescent="0.3">
      <c r="A1907" s="8">
        <v>46120</v>
      </c>
      <c r="B1907" s="16" t="s">
        <v>3850</v>
      </c>
      <c r="C1907" s="6" t="s">
        <v>3859</v>
      </c>
      <c r="D1907" s="6" t="s">
        <v>2963</v>
      </c>
      <c r="E1907" s="14"/>
      <c r="F1907" s="8">
        <f>IF(HOUR(Table1[[#This Row],[CORREO]])&gt;=11,WORKDAY(Table1[[#This Row],[CORREO]],1,Table2[Dias no laborales]),E1907)</f>
        <v>0</v>
      </c>
      <c r="G1907" s="8">
        <v>46120</v>
      </c>
      <c r="H1907" s="6">
        <f t="shared" si="87"/>
        <v>14</v>
      </c>
      <c r="I1907" s="6">
        <f>MAX(1, NETWORKDAYS(A1907, G1907,Table2[Dias no laborales]))</f>
        <v>1</v>
      </c>
      <c r="J1907" s="6" t="str">
        <f>IF(Table1[[#This Row],[FIN]]="","Acumulado",IF(ISNUMBER(SEARCH("ASAP",C1907)),"ASAP",IF(NETWORKDAYS.INTL(F1907,G1907,1,Table2[Dias no laborales]) &lt;= 7, "Dentro", IF(A1907&gt;F1907,"Programado","Fuera"))))</f>
        <v>Programado</v>
      </c>
      <c r="K1907" s="6" t="str">
        <f t="shared" si="88"/>
        <v>Programados</v>
      </c>
      <c r="L1907" s="8">
        <v>46120</v>
      </c>
      <c r="M1907" s="17">
        <f>MAX(1,NETWORKDAYS(A1907,L1907,Table2[Dias no laborales]))</f>
        <v>1</v>
      </c>
    </row>
    <row r="1908" spans="1:13" hidden="1" x14ac:dyDescent="0.3">
      <c r="A1908" s="8">
        <v>46120</v>
      </c>
      <c r="B1908" s="16" t="s">
        <v>3851</v>
      </c>
      <c r="C1908" s="6" t="s">
        <v>3860</v>
      </c>
      <c r="D1908" s="6" t="s">
        <v>27</v>
      </c>
      <c r="E1908" s="14"/>
      <c r="F1908" s="8">
        <f>IF(HOUR(Table1[[#This Row],[CORREO]])&gt;=11,WORKDAY(Table1[[#This Row],[CORREO]],1,Table2[Dias no laborales]),E1908)</f>
        <v>0</v>
      </c>
      <c r="G1908" s="8">
        <v>46129</v>
      </c>
      <c r="H1908" s="6">
        <f t="shared" si="87"/>
        <v>14</v>
      </c>
      <c r="I1908" s="6">
        <f>MAX(1, NETWORKDAYS(A1908, G1908,Table2[Dias no laborales]))</f>
        <v>8</v>
      </c>
      <c r="J1908" s="6" t="str">
        <f>IF(Table1[[#This Row],[FIN]]="","Acumulado",IF(ISNUMBER(SEARCH("ASAP",C1908)),"ASAP",IF(NETWORKDAYS.INTL(F1908,G1908,1,Table2[Dias no laborales]) &lt;= 7, "Dentro", IF(A1908&gt;F1908,"Programado","Fuera"))))</f>
        <v>Programado</v>
      </c>
      <c r="K1908" s="6" t="str">
        <f t="shared" si="88"/>
        <v>Programados</v>
      </c>
      <c r="L1908" s="8">
        <v>46120</v>
      </c>
      <c r="M1908" s="17">
        <f>MAX(1,NETWORKDAYS(A1908,L1908,Table2[Dias no laborales]))</f>
        <v>1</v>
      </c>
    </row>
    <row r="1909" spans="1:13" hidden="1" x14ac:dyDescent="0.3">
      <c r="A1909" s="8">
        <v>46120</v>
      </c>
      <c r="B1909" s="16" t="s">
        <v>3852</v>
      </c>
      <c r="C1909" s="6" t="s">
        <v>3861</v>
      </c>
      <c r="D1909" s="6" t="s">
        <v>27</v>
      </c>
      <c r="E1909" s="14"/>
      <c r="F1909" s="8">
        <f>IF(HOUR(Table1[[#This Row],[CORREO]])&gt;=11,WORKDAY(Table1[[#This Row],[CORREO]],1,Table2[Dias no laborales]),E1909)</f>
        <v>0</v>
      </c>
      <c r="G1909" s="8">
        <v>46127</v>
      </c>
      <c r="H1909" s="6">
        <f t="shared" si="87"/>
        <v>14</v>
      </c>
      <c r="I1909" s="6">
        <f>MAX(1, NETWORKDAYS(A1909, G1909,Table2[Dias no laborales]))</f>
        <v>6</v>
      </c>
      <c r="J1909" s="6" t="str">
        <f>IF(Table1[[#This Row],[FIN]]="","Acumulado",IF(ISNUMBER(SEARCH("ASAP",C1909)),"ASAP",IF(NETWORKDAYS.INTL(F1909,G1909,1,Table2[Dias no laborales]) &lt;= 7, "Dentro", IF(A1909&gt;F1909,"Programado","Fuera"))))</f>
        <v>Programado</v>
      </c>
      <c r="K1909" s="6" t="str">
        <f t="shared" si="88"/>
        <v>Programados</v>
      </c>
      <c r="L1909" s="8">
        <v>46120</v>
      </c>
      <c r="M1909" s="17">
        <f>MAX(1,NETWORKDAYS(A1909,L1909,Table2[Dias no laborales]))</f>
        <v>1</v>
      </c>
    </row>
    <row r="1910" spans="1:13" hidden="1" x14ac:dyDescent="0.3">
      <c r="A1910" s="8">
        <v>46120</v>
      </c>
      <c r="B1910" s="16" t="s">
        <v>3853</v>
      </c>
      <c r="C1910" s="6" t="s">
        <v>3862</v>
      </c>
      <c r="D1910" s="6" t="s">
        <v>27</v>
      </c>
      <c r="E1910" s="14"/>
      <c r="F1910" s="8">
        <f>IF(HOUR(Table1[[#This Row],[CORREO]])&gt;=11,WORKDAY(Table1[[#This Row],[CORREO]],1,Table2[Dias no laborales]),E1910)</f>
        <v>0</v>
      </c>
      <c r="G1910" s="8">
        <v>46127</v>
      </c>
      <c r="H1910" s="6">
        <f t="shared" ref="H1910:H1911" si="89">INT((A1910-DATE(YEAR(A1910),1,1))/7) + 1</f>
        <v>14</v>
      </c>
      <c r="I1910" s="6">
        <f>MAX(1, NETWORKDAYS(A1910, G1910,Table2[Dias no laborales]))</f>
        <v>6</v>
      </c>
      <c r="J1910" s="6" t="str">
        <f>IF(Table1[[#This Row],[FIN]]="","Acumulado",IF(ISNUMBER(SEARCH("ASAP",C1910)),"ASAP",IF(NETWORKDAYS.INTL(F1910,G1910,1,Table2[Dias no laborales]) &lt;= 7, "Dentro", IF(A1910&gt;F1910,"Programado","Fuera"))))</f>
        <v>Programado</v>
      </c>
      <c r="K1910" s="6" t="str">
        <f t="shared" ref="K1910:K1911" si="90">IF(INT(A1910)=INT(F1910),"A tiempo", IF(A1910&lt;F1910,"Mismo día","Programados"))</f>
        <v>Programados</v>
      </c>
      <c r="L1910" s="8">
        <v>46120</v>
      </c>
      <c r="M1910" s="17">
        <f>MAX(1,NETWORKDAYS(A1910,L1910,Table2[Dias no laborales]))</f>
        <v>1</v>
      </c>
    </row>
    <row r="1911" spans="1:13" hidden="1" x14ac:dyDescent="0.3">
      <c r="A1911" s="8">
        <v>46120</v>
      </c>
      <c r="B1911" s="16" t="s">
        <v>3854</v>
      </c>
      <c r="C1911" s="6" t="s">
        <v>3863</v>
      </c>
      <c r="D1911" s="6" t="s">
        <v>27</v>
      </c>
      <c r="E1911" s="14"/>
      <c r="F1911" s="8">
        <f>IF(HOUR(Table1[[#This Row],[CORREO]])&gt;=11,WORKDAY(Table1[[#This Row],[CORREO]],1,Table2[Dias no laborales]),E1911)</f>
        <v>0</v>
      </c>
      <c r="G1911" s="8">
        <v>46127</v>
      </c>
      <c r="H1911" s="6">
        <f t="shared" si="89"/>
        <v>14</v>
      </c>
      <c r="I1911" s="6">
        <f>MAX(1, NETWORKDAYS(A1911, G1911,Table2[Dias no laborales]))</f>
        <v>6</v>
      </c>
      <c r="J1911" s="6" t="str">
        <f>IF(Table1[[#This Row],[FIN]]="","Acumulado",IF(ISNUMBER(SEARCH("ASAP",C1911)),"ASAP",IF(NETWORKDAYS.INTL(F1911,G1911,1,Table2[Dias no laborales]) &lt;= 7, "Dentro", IF(A1911&gt;F1911,"Programado","Fuera"))))</f>
        <v>Programado</v>
      </c>
      <c r="K1911" s="6" t="str">
        <f t="shared" si="90"/>
        <v>Programados</v>
      </c>
      <c r="L1911" s="8">
        <v>46120</v>
      </c>
      <c r="M1911" s="17">
        <f>MAX(1,NETWORKDAYS(A1911,L1911,Table2[Dias no laborales]))</f>
        <v>1</v>
      </c>
    </row>
    <row r="1912" spans="1:13" hidden="1" x14ac:dyDescent="0.3">
      <c r="A1912" s="8">
        <v>46121</v>
      </c>
      <c r="B1912" s="16" t="s">
        <v>3864</v>
      </c>
      <c r="C1912" s="6" t="s">
        <v>3909</v>
      </c>
      <c r="D1912" s="6" t="s">
        <v>154</v>
      </c>
      <c r="E1912" s="14">
        <v>46120.613194444442</v>
      </c>
      <c r="F1912" s="8">
        <f>IF(HOUR(Table1[[#This Row],[CORREO]])&gt;=11,WORKDAY(Table1[[#This Row],[CORREO]],1,Table2[Dias no laborales]),E1912)</f>
        <v>46121</v>
      </c>
      <c r="G1912" s="8">
        <v>46127</v>
      </c>
      <c r="H1912" s="6">
        <f t="shared" ref="H1912:H1956" si="91">INT((A1912-DATE(YEAR(A1912),1,1))/7) + 1</f>
        <v>15</v>
      </c>
      <c r="I1912" s="6">
        <f>MAX(1, NETWORKDAYS(A1912, G1912,Table2[Dias no laborales]))</f>
        <v>5</v>
      </c>
      <c r="J1912" s="6" t="str">
        <f>IF(Table1[[#This Row],[FIN]]="","Acumulado",IF(ISNUMBER(SEARCH("ASAP",C1912)),"ASAP",IF(NETWORKDAYS.INTL(F1912,G1912,1,Table2[Dias no laborales]) &lt;= 7, "Dentro", IF(A1912&gt;F1912,"Programado","Fuera"))))</f>
        <v>Dentro</v>
      </c>
      <c r="K1912" s="6" t="str">
        <f t="shared" ref="K1912:K1956" si="92">IF(INT(A1912)=INT(F1912),"A tiempo", IF(A1912&lt;F1912,"Mismo día","Programados"))</f>
        <v>A tiempo</v>
      </c>
      <c r="L1912" s="8">
        <v>46121</v>
      </c>
      <c r="M1912" s="17">
        <f>MAX(1,NETWORKDAYS(A1912,L1912,Table2[Dias no laborales]))</f>
        <v>1</v>
      </c>
    </row>
    <row r="1913" spans="1:13" hidden="1" x14ac:dyDescent="0.3">
      <c r="A1913" s="8">
        <v>46121</v>
      </c>
      <c r="B1913" s="16" t="s">
        <v>3865</v>
      </c>
      <c r="C1913" s="6" t="s">
        <v>3910</v>
      </c>
      <c r="D1913" s="6" t="s">
        <v>61</v>
      </c>
      <c r="E1913" s="14">
        <v>46120.545138888891</v>
      </c>
      <c r="F1913" s="8">
        <f>IF(HOUR(Table1[[#This Row],[CORREO]])&gt;=11,WORKDAY(Table1[[#This Row],[CORREO]],1,Table2[Dias no laborales]),E1913)</f>
        <v>46121</v>
      </c>
      <c r="G1913" s="8">
        <v>46121</v>
      </c>
      <c r="H1913" s="6">
        <f t="shared" si="91"/>
        <v>15</v>
      </c>
      <c r="I1913" s="6">
        <f>MAX(1, NETWORKDAYS(A1913, G1913,Table2[Dias no laborales]))</f>
        <v>1</v>
      </c>
      <c r="J1913" s="6" t="str">
        <f>IF(Table1[[#This Row],[FIN]]="","Acumulado",IF(ISNUMBER(SEARCH("ASAP",C1913)),"ASAP",IF(NETWORKDAYS.INTL(F1913,G1913,1,Table2[Dias no laborales]) &lt;= 7, "Dentro", IF(A1913&gt;F1913,"Programado","Fuera"))))</f>
        <v>Dentro</v>
      </c>
      <c r="K1913" s="6" t="str">
        <f t="shared" si="92"/>
        <v>A tiempo</v>
      </c>
      <c r="L1913" s="8">
        <v>46121</v>
      </c>
      <c r="M1913" s="17">
        <f>MAX(1,NETWORKDAYS(A1913,L1913,Table2[Dias no laborales]))</f>
        <v>1</v>
      </c>
    </row>
    <row r="1914" spans="1:13" hidden="1" x14ac:dyDescent="0.3">
      <c r="A1914" s="8">
        <v>46121</v>
      </c>
      <c r="B1914" s="16" t="s">
        <v>3866</v>
      </c>
      <c r="C1914" s="6" t="s">
        <v>3911</v>
      </c>
      <c r="D1914" s="6" t="s">
        <v>372</v>
      </c>
      <c r="E1914" s="14">
        <v>46120.706250000003</v>
      </c>
      <c r="F1914" s="8">
        <f>IF(HOUR(Table1[[#This Row],[CORREO]])&gt;=11,WORKDAY(Table1[[#This Row],[CORREO]],1,Table2[Dias no laborales]),E1914)</f>
        <v>46121</v>
      </c>
      <c r="G1914" s="8">
        <v>46126</v>
      </c>
      <c r="H1914" s="6">
        <f t="shared" si="91"/>
        <v>15</v>
      </c>
      <c r="I1914" s="6">
        <f>MAX(1, NETWORKDAYS(A1914, G1914,Table2[Dias no laborales]))</f>
        <v>4</v>
      </c>
      <c r="J1914" s="6" t="str">
        <f>IF(Table1[[#This Row],[FIN]]="","Acumulado",IF(ISNUMBER(SEARCH("ASAP",C1914)),"ASAP",IF(NETWORKDAYS.INTL(F1914,G1914,1,Table2[Dias no laborales]) &lt;= 7, "Dentro", IF(A1914&gt;F1914,"Programado","Fuera"))))</f>
        <v>Dentro</v>
      </c>
      <c r="K1914" s="6" t="str">
        <f t="shared" si="92"/>
        <v>A tiempo</v>
      </c>
      <c r="L1914" s="8">
        <v>46121</v>
      </c>
      <c r="M1914" s="17">
        <f>MAX(1,NETWORKDAYS(A1914,L1914,Table2[Dias no laborales]))</f>
        <v>1</v>
      </c>
    </row>
    <row r="1915" spans="1:13" hidden="1" x14ac:dyDescent="0.3">
      <c r="A1915" s="8">
        <v>46121</v>
      </c>
      <c r="B1915" s="16" t="s">
        <v>3867</v>
      </c>
      <c r="C1915" s="6" t="s">
        <v>3912</v>
      </c>
      <c r="D1915" s="6" t="s">
        <v>372</v>
      </c>
      <c r="E1915" s="14">
        <v>46120.709027777775</v>
      </c>
      <c r="F1915" s="8">
        <f>IF(HOUR(Table1[[#This Row],[CORREO]])&gt;=11,WORKDAY(Table1[[#This Row],[CORREO]],1,Table2[Dias no laborales]),E1915)</f>
        <v>46121</v>
      </c>
      <c r="G1915" s="8">
        <v>46126</v>
      </c>
      <c r="H1915" s="6">
        <f t="shared" si="91"/>
        <v>15</v>
      </c>
      <c r="I1915" s="6">
        <f>MAX(1, NETWORKDAYS(A1915, G1915,Table2[Dias no laborales]))</f>
        <v>4</v>
      </c>
      <c r="J1915" s="6" t="str">
        <f>IF(Table1[[#This Row],[FIN]]="","Acumulado",IF(ISNUMBER(SEARCH("ASAP",C1915)),"ASAP",IF(NETWORKDAYS.INTL(F1915,G1915,1,Table2[Dias no laborales]) &lt;= 7, "Dentro", IF(A1915&gt;F1915,"Programado","Fuera"))))</f>
        <v>Dentro</v>
      </c>
      <c r="K1915" s="6" t="str">
        <f t="shared" si="92"/>
        <v>A tiempo</v>
      </c>
      <c r="L1915" s="8">
        <v>46121</v>
      </c>
      <c r="M1915" s="17">
        <f>MAX(1,NETWORKDAYS(A1915,L1915,Table2[Dias no laborales]))</f>
        <v>1</v>
      </c>
    </row>
    <row r="1916" spans="1:13" hidden="1" x14ac:dyDescent="0.3">
      <c r="A1916" s="8">
        <v>46121</v>
      </c>
      <c r="B1916" s="16" t="s">
        <v>3868</v>
      </c>
      <c r="C1916" s="6" t="s">
        <v>1262</v>
      </c>
      <c r="D1916" s="6" t="s">
        <v>623</v>
      </c>
      <c r="E1916" s="14">
        <v>46120.913194444445</v>
      </c>
      <c r="F1916" s="8">
        <f>IF(HOUR(Table1[[#This Row],[CORREO]])&gt;=11,WORKDAY(Table1[[#This Row],[CORREO]],1,Table2[Dias no laborales]),E1916)</f>
        <v>46121</v>
      </c>
      <c r="G1916" s="8">
        <v>46121</v>
      </c>
      <c r="H1916" s="6">
        <f t="shared" si="91"/>
        <v>15</v>
      </c>
      <c r="I1916" s="6">
        <f>MAX(1, NETWORKDAYS(A1916, G1916,Table2[Dias no laborales]))</f>
        <v>1</v>
      </c>
      <c r="J1916" s="6" t="str">
        <f>IF(Table1[[#This Row],[FIN]]="","Acumulado",IF(ISNUMBER(SEARCH("ASAP",C1916)),"ASAP",IF(NETWORKDAYS.INTL(F1916,G1916,1,Table2[Dias no laborales]) &lt;= 7, "Dentro", IF(A1916&gt;F1916,"Programado","Fuera"))))</f>
        <v>Dentro</v>
      </c>
      <c r="K1916" s="6" t="str">
        <f t="shared" si="92"/>
        <v>A tiempo</v>
      </c>
      <c r="L1916" s="8">
        <v>46121</v>
      </c>
      <c r="M1916" s="17">
        <f>MAX(1,NETWORKDAYS(A1916,L1916,Table2[Dias no laborales]))</f>
        <v>1</v>
      </c>
    </row>
    <row r="1917" spans="1:13" hidden="1" x14ac:dyDescent="0.3">
      <c r="A1917" s="8">
        <v>46121</v>
      </c>
      <c r="B1917" s="16" t="s">
        <v>3869</v>
      </c>
      <c r="C1917" s="6" t="s">
        <v>3821</v>
      </c>
      <c r="D1917" s="6" t="s">
        <v>3822</v>
      </c>
      <c r="E1917" s="14">
        <v>46121.338888888888</v>
      </c>
      <c r="F1917" s="8">
        <f>IF(HOUR(Table1[[#This Row],[CORREO]])&gt;=11,WORKDAY(Table1[[#This Row],[CORREO]],1,Table2[Dias no laborales]),E1917)</f>
        <v>46121.338888888888</v>
      </c>
      <c r="G1917" s="8">
        <v>46121</v>
      </c>
      <c r="H1917" s="6">
        <f t="shared" si="91"/>
        <v>15</v>
      </c>
      <c r="I1917" s="6">
        <f>MAX(1, NETWORKDAYS(A1917, G1917,Table2[Dias no laborales]))</f>
        <v>1</v>
      </c>
      <c r="J1917" s="6" t="str">
        <f>IF(Table1[[#This Row],[FIN]]="","Acumulado",IF(ISNUMBER(SEARCH("ASAP",C1917)),"ASAP",IF(NETWORKDAYS.INTL(F1917,G1917,1,Table2[Dias no laborales]) &lt;= 7, "Dentro", IF(A1917&gt;F1917,"Programado","Fuera"))))</f>
        <v>Dentro</v>
      </c>
      <c r="K1917" s="6" t="str">
        <f t="shared" si="92"/>
        <v>A tiempo</v>
      </c>
      <c r="L1917" s="8">
        <v>46121</v>
      </c>
      <c r="M1917" s="17">
        <f>MAX(1,NETWORKDAYS(A1917,L1917,Table2[Dias no laborales]))</f>
        <v>1</v>
      </c>
    </row>
    <row r="1918" spans="1:13" hidden="1" x14ac:dyDescent="0.3">
      <c r="A1918" s="8">
        <v>46121</v>
      </c>
      <c r="B1918" s="16" t="s">
        <v>3870</v>
      </c>
      <c r="C1918" s="6" t="s">
        <v>3913</v>
      </c>
      <c r="D1918" s="6" t="s">
        <v>538</v>
      </c>
      <c r="E1918" s="14">
        <v>46121.417361111111</v>
      </c>
      <c r="F1918" s="8">
        <f>IF(HOUR(Table1[[#This Row],[CORREO]])&gt;=11,WORKDAY(Table1[[#This Row],[CORREO]],1,Table2[Dias no laborales]),E1918)</f>
        <v>46121.417361111111</v>
      </c>
      <c r="G1918" s="8">
        <v>46139</v>
      </c>
      <c r="H1918" s="6">
        <f t="shared" si="91"/>
        <v>15</v>
      </c>
      <c r="I1918" s="6">
        <f>MAX(1, NETWORKDAYS(A1918, G1918,Table2[Dias no laborales]))</f>
        <v>13</v>
      </c>
      <c r="J1918" s="6" t="str">
        <f>IF(Table1[[#This Row],[FIN]]="","Acumulado",IF(ISNUMBER(SEARCH("ASAP",C1918)),"ASAP",IF(NETWORKDAYS.INTL(F1918,G1918,1,Table2[Dias no laborales]) &lt;= 7, "Dentro", IF(A1918&gt;F1918,"Programado","Fuera"))))</f>
        <v>Fuera</v>
      </c>
      <c r="K1918" s="6" t="str">
        <f t="shared" si="92"/>
        <v>A tiempo</v>
      </c>
      <c r="L1918" s="8">
        <v>46121</v>
      </c>
      <c r="M1918" s="17">
        <f>MAX(1,NETWORKDAYS(A1918,L1918,Table2[Dias no laborales]))</f>
        <v>1</v>
      </c>
    </row>
    <row r="1919" spans="1:13" hidden="1" x14ac:dyDescent="0.3">
      <c r="A1919" s="8">
        <v>46121</v>
      </c>
      <c r="B1919" s="16" t="s">
        <v>3871</v>
      </c>
      <c r="C1919" s="6" t="s">
        <v>3914</v>
      </c>
      <c r="D1919" s="6" t="s">
        <v>1333</v>
      </c>
      <c r="E1919" s="14">
        <v>46121.566666666666</v>
      </c>
      <c r="F1919" s="8">
        <f>IF(HOUR(Table1[[#This Row],[CORREO]])&gt;=11,WORKDAY(Table1[[#This Row],[CORREO]],1,Table2[Dias no laborales]),E1919)</f>
        <v>46122</v>
      </c>
      <c r="G1919" s="8">
        <v>46125</v>
      </c>
      <c r="H1919" s="6">
        <f t="shared" si="91"/>
        <v>15</v>
      </c>
      <c r="I1919" s="6">
        <f>MAX(1, NETWORKDAYS(A1919, G1919,Table2[Dias no laborales]))</f>
        <v>3</v>
      </c>
      <c r="J1919" s="6" t="str">
        <f>IF(Table1[[#This Row],[FIN]]="","Acumulado",IF(ISNUMBER(SEARCH("ASAP",C1919)),"ASAP",IF(NETWORKDAYS.INTL(F1919,G1919,1,Table2[Dias no laborales]) &lt;= 7, "Dentro", IF(A1919&gt;F1919,"Programado","Fuera"))))</f>
        <v>Dentro</v>
      </c>
      <c r="K1919" s="6" t="str">
        <f t="shared" si="92"/>
        <v>Mismo día</v>
      </c>
      <c r="L1919" s="8">
        <v>46121</v>
      </c>
      <c r="M1919" s="17">
        <f>MAX(1,NETWORKDAYS(A1919,L1919,Table2[Dias no laborales]))</f>
        <v>1</v>
      </c>
    </row>
    <row r="1920" spans="1:13" hidden="1" x14ac:dyDescent="0.3">
      <c r="A1920" s="8">
        <v>46122</v>
      </c>
      <c r="B1920" s="16" t="s">
        <v>3872</v>
      </c>
      <c r="C1920" s="6" t="s">
        <v>3915</v>
      </c>
      <c r="D1920" s="6" t="s">
        <v>913</v>
      </c>
      <c r="E1920" s="14">
        <v>46121.57916666667</v>
      </c>
      <c r="F1920" s="8">
        <f>IF(HOUR(Table1[[#This Row],[CORREO]])&gt;=11,WORKDAY(Table1[[#This Row],[CORREO]],1,Table2[Dias no laborales]),E1920)</f>
        <v>46122</v>
      </c>
      <c r="G1920" s="8">
        <v>46126</v>
      </c>
      <c r="H1920" s="6">
        <f t="shared" si="91"/>
        <v>15</v>
      </c>
      <c r="I1920" s="6">
        <f>MAX(1, NETWORKDAYS(A1920, G1920,Table2[Dias no laborales]))</f>
        <v>3</v>
      </c>
      <c r="J1920" s="6" t="str">
        <f>IF(Table1[[#This Row],[FIN]]="","Acumulado",IF(ISNUMBER(SEARCH("ASAP",C1920)),"ASAP",IF(NETWORKDAYS.INTL(F1920,G1920,1,Table2[Dias no laborales]) &lt;= 7, "Dentro", IF(A1920&gt;F1920,"Programado","Fuera"))))</f>
        <v>Dentro</v>
      </c>
      <c r="K1920" s="6" t="str">
        <f t="shared" si="92"/>
        <v>A tiempo</v>
      </c>
      <c r="L1920" s="8">
        <v>46122</v>
      </c>
      <c r="M1920" s="17">
        <f>MAX(1,NETWORKDAYS(A1920,L1920,Table2[Dias no laborales]))</f>
        <v>1</v>
      </c>
    </row>
    <row r="1921" spans="1:13" hidden="1" x14ac:dyDescent="0.3">
      <c r="A1921" s="8">
        <v>46122</v>
      </c>
      <c r="B1921" s="16" t="s">
        <v>3873</v>
      </c>
      <c r="C1921" s="6" t="s">
        <v>3916</v>
      </c>
      <c r="D1921" s="6" t="s">
        <v>3020</v>
      </c>
      <c r="E1921" s="14">
        <v>46122.331944444442</v>
      </c>
      <c r="F1921" s="8">
        <f>IF(HOUR(Table1[[#This Row],[CORREO]])&gt;=11,WORKDAY(Table1[[#This Row],[CORREO]],1,Table2[Dias no laborales]),E1921)</f>
        <v>46122.331944444442</v>
      </c>
      <c r="G1921" s="8">
        <v>46122</v>
      </c>
      <c r="H1921" s="6">
        <f t="shared" si="91"/>
        <v>15</v>
      </c>
      <c r="I1921" s="6">
        <f>MAX(1, NETWORKDAYS(A1921, G1921,Table2[Dias no laborales]))</f>
        <v>1</v>
      </c>
      <c r="J1921" s="6" t="str">
        <f>IF(Table1[[#This Row],[FIN]]="","Acumulado",IF(ISNUMBER(SEARCH("ASAP",C1921)),"ASAP",IF(NETWORKDAYS.INTL(F1921,G1921,1,Table2[Dias no laborales]) &lt;= 7, "Dentro", IF(A1921&gt;F1921,"Programado","Fuera"))))</f>
        <v>Dentro</v>
      </c>
      <c r="K1921" s="6" t="str">
        <f t="shared" si="92"/>
        <v>A tiempo</v>
      </c>
      <c r="L1921" s="8">
        <v>46122</v>
      </c>
      <c r="M1921" s="17">
        <f>MAX(1,NETWORKDAYS(A1921,L1921,Table2[Dias no laborales]))</f>
        <v>1</v>
      </c>
    </row>
    <row r="1922" spans="1:13" hidden="1" x14ac:dyDescent="0.3">
      <c r="A1922" s="8">
        <v>46122</v>
      </c>
      <c r="B1922" s="16" t="s">
        <v>3874</v>
      </c>
      <c r="C1922" s="6" t="s">
        <v>3284</v>
      </c>
      <c r="D1922" s="6" t="s">
        <v>27</v>
      </c>
      <c r="E1922" s="14"/>
      <c r="F1922" s="8">
        <f>IF(HOUR(Table1[[#This Row],[CORREO]])&gt;=11,WORKDAY(Table1[[#This Row],[CORREO]],1,Table2[Dias no laborales]),E1922)</f>
        <v>0</v>
      </c>
      <c r="G1922" s="8">
        <v>46134</v>
      </c>
      <c r="H1922" s="6">
        <f t="shared" si="91"/>
        <v>15</v>
      </c>
      <c r="I1922" s="6">
        <f>MAX(1, NETWORKDAYS(A1922, G1922,Table2[Dias no laborales]))</f>
        <v>9</v>
      </c>
      <c r="J1922" s="6" t="str">
        <f>IF(Table1[[#This Row],[FIN]]="","Acumulado",IF(ISNUMBER(SEARCH("ASAP",C1922)),"ASAP",IF(NETWORKDAYS.INTL(F1922,G1922,1,Table2[Dias no laborales]) &lt;= 7, "Dentro", IF(A1922&gt;F1922,"Programado","Fuera"))))</f>
        <v>Programado</v>
      </c>
      <c r="K1922" s="6" t="str">
        <f t="shared" si="92"/>
        <v>Programados</v>
      </c>
      <c r="L1922" s="8">
        <v>46122</v>
      </c>
      <c r="M1922" s="17">
        <f>MAX(1,NETWORKDAYS(A1922,L1922,Table2[Dias no laborales]))</f>
        <v>1</v>
      </c>
    </row>
    <row r="1923" spans="1:13" hidden="1" x14ac:dyDescent="0.3">
      <c r="A1923" s="8">
        <v>46122</v>
      </c>
      <c r="B1923" s="16" t="s">
        <v>3875</v>
      </c>
      <c r="C1923" s="6" t="s">
        <v>170</v>
      </c>
      <c r="D1923" s="6" t="s">
        <v>171</v>
      </c>
      <c r="E1923" s="14">
        <v>46122.380555555559</v>
      </c>
      <c r="F1923" s="8">
        <f>IF(HOUR(Table1[[#This Row],[CORREO]])&gt;=11,WORKDAY(Table1[[#This Row],[CORREO]],1,Table2[Dias no laborales]),E1923)</f>
        <v>46122.380555555559</v>
      </c>
      <c r="G1923" s="8">
        <v>46122</v>
      </c>
      <c r="H1923" s="6">
        <f t="shared" si="91"/>
        <v>15</v>
      </c>
      <c r="I1923" s="6">
        <f>MAX(1, NETWORKDAYS(A1923, G1923,Table2[Dias no laborales]))</f>
        <v>1</v>
      </c>
      <c r="J1923" s="6" t="str">
        <f>IF(Table1[[#This Row],[FIN]]="","Acumulado",IF(ISNUMBER(SEARCH("ASAP",C1923)),"ASAP",IF(NETWORKDAYS.INTL(F1923,G1923,1,Table2[Dias no laborales]) &lt;= 7, "Dentro", IF(A1923&gt;F1923,"Programado","Fuera"))))</f>
        <v>Dentro</v>
      </c>
      <c r="K1923" s="6" t="str">
        <f t="shared" si="92"/>
        <v>A tiempo</v>
      </c>
      <c r="L1923" s="8">
        <v>46122</v>
      </c>
      <c r="M1923" s="17">
        <f>MAX(1,NETWORKDAYS(A1923,L1923,Table2[Dias no laborales]))</f>
        <v>1</v>
      </c>
    </row>
    <row r="1924" spans="1:13" hidden="1" x14ac:dyDescent="0.3">
      <c r="A1924" s="8">
        <v>46122</v>
      </c>
      <c r="B1924" s="16" t="s">
        <v>3876</v>
      </c>
      <c r="C1924" s="6" t="s">
        <v>3917</v>
      </c>
      <c r="D1924" s="6" t="s">
        <v>623</v>
      </c>
      <c r="E1924" s="14">
        <v>46122.386111111111</v>
      </c>
      <c r="F1924" s="8">
        <f>IF(HOUR(Table1[[#This Row],[CORREO]])&gt;=11,WORKDAY(Table1[[#This Row],[CORREO]],1,Table2[Dias no laborales]),E1924)</f>
        <v>46122.386111111111</v>
      </c>
      <c r="G1924" s="8">
        <v>46125</v>
      </c>
      <c r="H1924" s="6">
        <f t="shared" si="91"/>
        <v>15</v>
      </c>
      <c r="I1924" s="6">
        <f>MAX(1, NETWORKDAYS(A1924, G1924,Table2[Dias no laborales]))</f>
        <v>2</v>
      </c>
      <c r="J1924" s="6" t="str">
        <f>IF(Table1[[#This Row],[FIN]]="","Acumulado",IF(ISNUMBER(SEARCH("ASAP",C1924)),"ASAP",IF(NETWORKDAYS.INTL(F1924,G1924,1,Table2[Dias no laborales]) &lt;= 7, "Dentro", IF(A1924&gt;F1924,"Programado","Fuera"))))</f>
        <v>Dentro</v>
      </c>
      <c r="K1924" s="6" t="str">
        <f t="shared" si="92"/>
        <v>A tiempo</v>
      </c>
      <c r="L1924" s="8">
        <v>46122</v>
      </c>
      <c r="M1924" s="17">
        <f>MAX(1,NETWORKDAYS(A1924,L1924,Table2[Dias no laborales]))</f>
        <v>1</v>
      </c>
    </row>
    <row r="1925" spans="1:13" hidden="1" x14ac:dyDescent="0.3">
      <c r="A1925" s="8">
        <v>46122</v>
      </c>
      <c r="B1925" s="16" t="s">
        <v>3877</v>
      </c>
      <c r="C1925" s="6" t="s">
        <v>3918</v>
      </c>
      <c r="D1925" s="6" t="s">
        <v>1333</v>
      </c>
      <c r="E1925" s="14">
        <v>46122</v>
      </c>
      <c r="F1925" s="8">
        <f>IF(HOUR(Table1[[#This Row],[CORREO]])&gt;=11,WORKDAY(Table1[[#This Row],[CORREO]],1,Table2[Dias no laborales]),E1925)</f>
        <v>46122</v>
      </c>
      <c r="G1925" s="8">
        <v>46122</v>
      </c>
      <c r="H1925" s="6">
        <f t="shared" si="91"/>
        <v>15</v>
      </c>
      <c r="I1925" s="6">
        <f>MAX(1, NETWORKDAYS(A1925, G1925,Table2[Dias no laborales]))</f>
        <v>1</v>
      </c>
      <c r="J1925" s="6" t="str">
        <f>IF(Table1[[#This Row],[FIN]]="","Acumulado",IF(ISNUMBER(SEARCH("ASAP",C1925)),"ASAP",IF(NETWORKDAYS.INTL(F1925,G1925,1,Table2[Dias no laborales]) &lt;= 7, "Dentro", IF(A1925&gt;F1925,"Programado","Fuera"))))</f>
        <v>Dentro</v>
      </c>
      <c r="K1925" s="6" t="str">
        <f t="shared" si="92"/>
        <v>A tiempo</v>
      </c>
      <c r="L1925" s="8">
        <v>46122</v>
      </c>
      <c r="M1925" s="17">
        <f>MAX(1,NETWORKDAYS(A1925,L1925,Table2[Dias no laborales]))</f>
        <v>1</v>
      </c>
    </row>
    <row r="1926" spans="1:13" hidden="1" x14ac:dyDescent="0.3">
      <c r="A1926" s="8">
        <v>46125</v>
      </c>
      <c r="B1926" s="16" t="s">
        <v>3878</v>
      </c>
      <c r="C1926" s="6" t="s">
        <v>3919</v>
      </c>
      <c r="D1926" s="6" t="s">
        <v>24</v>
      </c>
      <c r="E1926" s="14"/>
      <c r="F1926" s="8">
        <f>IF(HOUR(Table1[[#This Row],[CORREO]])&gt;=11,WORKDAY(Table1[[#This Row],[CORREO]],1,Table2[Dias no laborales]),E1926)</f>
        <v>0</v>
      </c>
      <c r="G1926" s="8">
        <v>46129</v>
      </c>
      <c r="H1926" s="6">
        <f t="shared" si="91"/>
        <v>15</v>
      </c>
      <c r="I1926" s="6">
        <f>MAX(1, NETWORKDAYS(A1926, G1926,Table2[Dias no laborales]))</f>
        <v>5</v>
      </c>
      <c r="J1926" s="6" t="str">
        <f>IF(Table1[[#This Row],[FIN]]="","Acumulado",IF(ISNUMBER(SEARCH("ASAP",C1926)),"ASAP",IF(NETWORKDAYS.INTL(F1926,G1926,1,Table2[Dias no laborales]) &lt;= 7, "Dentro", IF(A1926&gt;F1926,"Programado","Fuera"))))</f>
        <v>Programado</v>
      </c>
      <c r="K1926" s="6" t="str">
        <f t="shared" si="92"/>
        <v>Programados</v>
      </c>
      <c r="L1926" s="8">
        <v>46125</v>
      </c>
      <c r="M1926" s="17">
        <f>MAX(1,NETWORKDAYS(A1926,L1926,Table2[Dias no laborales]))</f>
        <v>1</v>
      </c>
    </row>
    <row r="1927" spans="1:13" hidden="1" x14ac:dyDescent="0.3">
      <c r="A1927" s="8">
        <v>46125</v>
      </c>
      <c r="B1927" s="16" t="s">
        <v>3879</v>
      </c>
      <c r="C1927" s="6" t="s">
        <v>3920</v>
      </c>
      <c r="D1927" s="6" t="s">
        <v>1644</v>
      </c>
      <c r="E1927" s="14">
        <v>46122.504861111112</v>
      </c>
      <c r="F1927" s="8">
        <f>IF(HOUR(Table1[[#This Row],[CORREO]])&gt;=11,WORKDAY(Table1[[#This Row],[CORREO]],1,Table2[Dias no laborales]),E1927)</f>
        <v>46125</v>
      </c>
      <c r="G1927" s="8">
        <v>46126</v>
      </c>
      <c r="H1927" s="6">
        <f t="shared" si="91"/>
        <v>15</v>
      </c>
      <c r="I1927" s="6">
        <f>MAX(1, NETWORKDAYS(A1927, G1927,Table2[Dias no laborales]))</f>
        <v>2</v>
      </c>
      <c r="J1927" s="6" t="str">
        <f>IF(Table1[[#This Row],[FIN]]="","Acumulado",IF(ISNUMBER(SEARCH("ASAP",C1927)),"ASAP",IF(NETWORKDAYS.INTL(F1927,G1927,1,Table2[Dias no laborales]) &lt;= 7, "Dentro", IF(A1927&gt;F1927,"Programado","Fuera"))))</f>
        <v>Dentro</v>
      </c>
      <c r="K1927" s="6" t="str">
        <f t="shared" si="92"/>
        <v>A tiempo</v>
      </c>
      <c r="L1927" s="8">
        <v>46125</v>
      </c>
      <c r="M1927" s="17">
        <f>MAX(1,NETWORKDAYS(A1927,L1927,Table2[Dias no laborales]))</f>
        <v>1</v>
      </c>
    </row>
    <row r="1928" spans="1:13" hidden="1" x14ac:dyDescent="0.3">
      <c r="A1928" s="8">
        <v>46125</v>
      </c>
      <c r="B1928" s="16" t="s">
        <v>3880</v>
      </c>
      <c r="C1928" s="6" t="s">
        <v>3921</v>
      </c>
      <c r="D1928" s="6" t="s">
        <v>171</v>
      </c>
      <c r="E1928" s="14">
        <v>46122.539583333331</v>
      </c>
      <c r="F1928" s="8">
        <f>IF(HOUR(Table1[[#This Row],[CORREO]])&gt;=11,WORKDAY(Table1[[#This Row],[CORREO]],1,Table2[Dias no laborales]),E1928)</f>
        <v>46125</v>
      </c>
      <c r="G1928" s="8">
        <v>46125</v>
      </c>
      <c r="H1928" s="6">
        <f t="shared" si="91"/>
        <v>15</v>
      </c>
      <c r="I1928" s="6">
        <f>MAX(1, NETWORKDAYS(A1928, G1928,Table2[Dias no laborales]))</f>
        <v>1</v>
      </c>
      <c r="J1928" s="6" t="str">
        <f>IF(Table1[[#This Row],[FIN]]="","Acumulado",IF(ISNUMBER(SEARCH("ASAP",C1928)),"ASAP",IF(NETWORKDAYS.INTL(F1928,G1928,1,Table2[Dias no laborales]) &lt;= 7, "Dentro", IF(A1928&gt;F1928,"Programado","Fuera"))))</f>
        <v>Dentro</v>
      </c>
      <c r="K1928" s="6" t="str">
        <f t="shared" si="92"/>
        <v>A tiempo</v>
      </c>
      <c r="L1928" s="8">
        <v>46125</v>
      </c>
      <c r="M1928" s="17">
        <f>MAX(1,NETWORKDAYS(A1928,L1928,Table2[Dias no laborales]))</f>
        <v>1</v>
      </c>
    </row>
    <row r="1929" spans="1:13" hidden="1" x14ac:dyDescent="0.3">
      <c r="A1929" s="8">
        <v>46125</v>
      </c>
      <c r="B1929" s="16" t="s">
        <v>3881</v>
      </c>
      <c r="C1929" s="6" t="s">
        <v>3922</v>
      </c>
      <c r="D1929" s="14" t="s">
        <v>2981</v>
      </c>
      <c r="E1929" s="14">
        <v>46122.654166666667</v>
      </c>
      <c r="F1929" s="8">
        <f>IF(HOUR(Table1[[#This Row],[CORREO]])&gt;=11,WORKDAY(Table1[[#This Row],[CORREO]],1,Table2[Dias no laborales]),E1929)</f>
        <v>46125</v>
      </c>
      <c r="G1929" s="8">
        <v>46125</v>
      </c>
      <c r="H1929" s="6">
        <f t="shared" si="91"/>
        <v>15</v>
      </c>
      <c r="I1929" s="6">
        <f>MAX(1, NETWORKDAYS(A1929, G1929,Table2[Dias no laborales]))</f>
        <v>1</v>
      </c>
      <c r="J1929" s="6" t="str">
        <f>IF(Table1[[#This Row],[FIN]]="","Acumulado",IF(ISNUMBER(SEARCH("ASAP",C1929)),"ASAP",IF(NETWORKDAYS.INTL(F1929,G1929,1,Table2[Dias no laborales]) &lt;= 7, "Dentro", IF(A1929&gt;F1929,"Programado","Fuera"))))</f>
        <v>Dentro</v>
      </c>
      <c r="K1929" s="6" t="str">
        <f t="shared" si="92"/>
        <v>A tiempo</v>
      </c>
      <c r="L1929" s="8">
        <v>46125</v>
      </c>
      <c r="M1929" s="17">
        <f>MAX(1,NETWORKDAYS(A1929,L1929,Table2[Dias no laborales]))</f>
        <v>1</v>
      </c>
    </row>
    <row r="1930" spans="1:13" hidden="1" x14ac:dyDescent="0.3">
      <c r="A1930" s="8">
        <v>46125</v>
      </c>
      <c r="B1930" s="16" t="s">
        <v>3882</v>
      </c>
      <c r="C1930" s="6" t="s">
        <v>3923</v>
      </c>
      <c r="D1930" s="6" t="s">
        <v>3794</v>
      </c>
      <c r="E1930" s="14">
        <v>46125.318749999999</v>
      </c>
      <c r="F1930" s="8">
        <f>IF(HOUR(Table1[[#This Row],[CORREO]])&gt;=11,WORKDAY(Table1[[#This Row],[CORREO]],1,Table2[Dias no laborales]),E1930)</f>
        <v>46125.318749999999</v>
      </c>
      <c r="G1930" s="8">
        <v>46125</v>
      </c>
      <c r="H1930" s="6">
        <f t="shared" si="91"/>
        <v>15</v>
      </c>
      <c r="I1930" s="6">
        <f>MAX(1, NETWORKDAYS(A1930, G1930,Table2[Dias no laborales]))</f>
        <v>1</v>
      </c>
      <c r="J1930" s="6" t="str">
        <f>IF(Table1[[#This Row],[FIN]]="","Acumulado",IF(ISNUMBER(SEARCH("ASAP",C1930)),"ASAP",IF(NETWORKDAYS.INTL(F1930,G1930,1,Table2[Dias no laborales]) &lt;= 7, "Dentro", IF(A1930&gt;F1930,"Programado","Fuera"))))</f>
        <v>Dentro</v>
      </c>
      <c r="K1930" s="6" t="str">
        <f t="shared" si="92"/>
        <v>A tiempo</v>
      </c>
      <c r="L1930" s="8">
        <v>46125</v>
      </c>
      <c r="M1930" s="17">
        <f>MAX(1,NETWORKDAYS(A1930,L1930,Table2[Dias no laborales]))</f>
        <v>1</v>
      </c>
    </row>
    <row r="1931" spans="1:13" hidden="1" x14ac:dyDescent="0.3">
      <c r="A1931" s="8">
        <v>46125</v>
      </c>
      <c r="B1931" s="16" t="s">
        <v>3883</v>
      </c>
      <c r="C1931" s="6" t="s">
        <v>3924</v>
      </c>
      <c r="D1931" s="6" t="s">
        <v>24</v>
      </c>
      <c r="E1931" s="14">
        <v>46125.32708333333</v>
      </c>
      <c r="F1931" s="8">
        <f>IF(HOUR(Table1[[#This Row],[CORREO]])&gt;=11,WORKDAY(Table1[[#This Row],[CORREO]],1,Table2[Dias no laborales]),E1931)</f>
        <v>46125.32708333333</v>
      </c>
      <c r="G1931" s="8">
        <v>46129</v>
      </c>
      <c r="H1931" s="6">
        <f t="shared" si="91"/>
        <v>15</v>
      </c>
      <c r="I1931" s="6">
        <f>MAX(1, NETWORKDAYS(A1931, G1931,Table2[Dias no laborales]))</f>
        <v>5</v>
      </c>
      <c r="J1931" s="6" t="str">
        <f>IF(Table1[[#This Row],[FIN]]="","Acumulado",IF(ISNUMBER(SEARCH("ASAP",C1931)),"ASAP",IF(NETWORKDAYS.INTL(F1931,G1931,1,Table2[Dias no laborales]) &lt;= 7, "Dentro", IF(A1931&gt;F1931,"Programado","Fuera"))))</f>
        <v>Dentro</v>
      </c>
      <c r="K1931" s="6" t="str">
        <f t="shared" si="92"/>
        <v>A tiempo</v>
      </c>
      <c r="L1931" s="8">
        <v>46125</v>
      </c>
      <c r="M1931" s="17">
        <f>MAX(1,NETWORKDAYS(A1931,L1931,Table2[Dias no laborales]))</f>
        <v>1</v>
      </c>
    </row>
    <row r="1932" spans="1:13" hidden="1" x14ac:dyDescent="0.3">
      <c r="A1932" s="8">
        <v>46125</v>
      </c>
      <c r="B1932" s="16" t="s">
        <v>3884</v>
      </c>
      <c r="C1932" s="6" t="s">
        <v>3910</v>
      </c>
      <c r="D1932" s="6" t="s">
        <v>61</v>
      </c>
      <c r="E1932" s="14">
        <v>46125.331944444442</v>
      </c>
      <c r="F1932" s="8">
        <f>IF(HOUR(Table1[[#This Row],[CORREO]])&gt;=11,WORKDAY(Table1[[#This Row],[CORREO]],1,Table2[Dias no laborales]),E1932)</f>
        <v>46125.331944444442</v>
      </c>
      <c r="G1932" s="8">
        <v>46125</v>
      </c>
      <c r="H1932" s="6">
        <f t="shared" si="91"/>
        <v>15</v>
      </c>
      <c r="I1932" s="6">
        <f>MAX(1, NETWORKDAYS(A1932, G1932,Table2[Dias no laborales]))</f>
        <v>1</v>
      </c>
      <c r="J1932" s="6" t="str">
        <f>IF(Table1[[#This Row],[FIN]]="","Acumulado",IF(ISNUMBER(SEARCH("ASAP",C1932)),"ASAP",IF(NETWORKDAYS.INTL(F1932,G1932,1,Table2[Dias no laborales]) &lt;= 7, "Dentro", IF(A1932&gt;F1932,"Programado","Fuera"))))</f>
        <v>Dentro</v>
      </c>
      <c r="K1932" s="6" t="str">
        <f t="shared" si="92"/>
        <v>A tiempo</v>
      </c>
      <c r="L1932" s="8">
        <v>46125</v>
      </c>
      <c r="M1932" s="17">
        <f>MAX(1,NETWORKDAYS(A1932,L1932,Table2[Dias no laborales]))</f>
        <v>1</v>
      </c>
    </row>
    <row r="1933" spans="1:13" hidden="1" x14ac:dyDescent="0.3">
      <c r="A1933" s="8">
        <v>46125</v>
      </c>
      <c r="B1933" s="16" t="s">
        <v>3885</v>
      </c>
      <c r="C1933" s="6" t="s">
        <v>3735</v>
      </c>
      <c r="D1933" s="6" t="s">
        <v>3706</v>
      </c>
      <c r="E1933" s="14">
        <v>46125.35833333333</v>
      </c>
      <c r="F1933" s="8">
        <f>IF(HOUR(Table1[[#This Row],[CORREO]])&gt;=11,WORKDAY(Table1[[#This Row],[CORREO]],1,Table2[Dias no laborales]),E1933)</f>
        <v>46125.35833333333</v>
      </c>
      <c r="G1933" s="8">
        <v>46126</v>
      </c>
      <c r="H1933" s="6">
        <f t="shared" si="91"/>
        <v>15</v>
      </c>
      <c r="I1933" s="6">
        <f>MAX(1, NETWORKDAYS(A1933, G1933,Table2[Dias no laborales]))</f>
        <v>2</v>
      </c>
      <c r="J1933" s="6" t="str">
        <f>IF(Table1[[#This Row],[FIN]]="","Acumulado",IF(ISNUMBER(SEARCH("ASAP",C1933)),"ASAP",IF(NETWORKDAYS.INTL(F1933,G1933,1,Table2[Dias no laborales]) &lt;= 7, "Dentro", IF(A1933&gt;F1933,"Programado","Fuera"))))</f>
        <v>Dentro</v>
      </c>
      <c r="K1933" s="6" t="str">
        <f t="shared" si="92"/>
        <v>A tiempo</v>
      </c>
      <c r="L1933" s="8">
        <v>46125</v>
      </c>
      <c r="M1933" s="17">
        <f>MAX(1,NETWORKDAYS(A1933,L1933,Table2[Dias no laborales]))</f>
        <v>1</v>
      </c>
    </row>
    <row r="1934" spans="1:13" hidden="1" x14ac:dyDescent="0.3">
      <c r="A1934" s="8">
        <v>46125</v>
      </c>
      <c r="B1934" s="16" t="s">
        <v>3886</v>
      </c>
      <c r="C1934" s="6" t="s">
        <v>3925</v>
      </c>
      <c r="D1934" s="6" t="s">
        <v>3926</v>
      </c>
      <c r="E1934" s="14"/>
      <c r="F1934" s="8">
        <f>IF(HOUR(Table1[[#This Row],[CORREO]])&gt;=11,WORKDAY(Table1[[#This Row],[CORREO]],1,Table2[Dias no laborales]),E1934)</f>
        <v>0</v>
      </c>
      <c r="G1934" s="8">
        <v>46129</v>
      </c>
      <c r="H1934" s="6">
        <f t="shared" si="91"/>
        <v>15</v>
      </c>
      <c r="I1934" s="6">
        <f>MAX(1, NETWORKDAYS(A1934, G1934,Table2[Dias no laborales]))</f>
        <v>5</v>
      </c>
      <c r="J1934" s="6" t="str">
        <f>IF(Table1[[#This Row],[FIN]]="","Acumulado",IF(ISNUMBER(SEARCH("ASAP",C1934)),"ASAP",IF(NETWORKDAYS.INTL(F1934,G1934,1,Table2[Dias no laborales]) &lt;= 7, "Dentro", IF(A1934&gt;F1934,"Programado","Fuera"))))</f>
        <v>Programado</v>
      </c>
      <c r="K1934" s="6" t="str">
        <f t="shared" si="92"/>
        <v>Programados</v>
      </c>
      <c r="L1934" s="8">
        <v>46125</v>
      </c>
      <c r="M1934" s="17">
        <f>MAX(1,NETWORKDAYS(A1934,L1934,Table2[Dias no laborales]))</f>
        <v>1</v>
      </c>
    </row>
    <row r="1935" spans="1:13" hidden="1" x14ac:dyDescent="0.3">
      <c r="A1935" s="8">
        <v>46126</v>
      </c>
      <c r="B1935" s="16" t="s">
        <v>3887</v>
      </c>
      <c r="C1935" s="6" t="s">
        <v>3927</v>
      </c>
      <c r="D1935" s="6" t="s">
        <v>2994</v>
      </c>
      <c r="E1935" s="14">
        <v>46125.585416666669</v>
      </c>
      <c r="F1935" s="8">
        <f>IF(HOUR(Table1[[#This Row],[CORREO]])&gt;=11,WORKDAY(Table1[[#This Row],[CORREO]],1,Table2[Dias no laborales]),E1935)</f>
        <v>46126</v>
      </c>
      <c r="G1935" s="8">
        <v>46129</v>
      </c>
      <c r="H1935" s="6">
        <f t="shared" si="91"/>
        <v>15</v>
      </c>
      <c r="I1935" s="6">
        <f>MAX(1, NETWORKDAYS(A1935, G1935,Table2[Dias no laborales]))</f>
        <v>4</v>
      </c>
      <c r="J1935" s="6" t="str">
        <f>IF(Table1[[#This Row],[FIN]]="","Acumulado",IF(ISNUMBER(SEARCH("ASAP",C1935)),"ASAP",IF(NETWORKDAYS.INTL(F1935,G1935,1,Table2[Dias no laborales]) &lt;= 7, "Dentro", IF(A1935&gt;F1935,"Programado","Fuera"))))</f>
        <v>Dentro</v>
      </c>
      <c r="K1935" s="6" t="str">
        <f t="shared" si="92"/>
        <v>A tiempo</v>
      </c>
      <c r="L1935" s="8">
        <v>46125</v>
      </c>
      <c r="M1935" s="17">
        <f>MAX(1,NETWORKDAYS(A1935,L1935,Table2[Dias no laborales]))</f>
        <v>1</v>
      </c>
    </row>
    <row r="1936" spans="1:13" hidden="1" x14ac:dyDescent="0.3">
      <c r="A1936" s="8">
        <v>46125</v>
      </c>
      <c r="B1936" s="16" t="s">
        <v>3888</v>
      </c>
      <c r="C1936" s="6" t="s">
        <v>3928</v>
      </c>
      <c r="D1936" s="6" t="s">
        <v>2994</v>
      </c>
      <c r="E1936" s="14">
        <v>46125.604861111111</v>
      </c>
      <c r="F1936" s="8">
        <f>IF(HOUR(Table1[[#This Row],[CORREO]])&gt;=11,WORKDAY(Table1[[#This Row],[CORREO]],1,Table2[Dias no laborales]),E1936)</f>
        <v>46126</v>
      </c>
      <c r="G1936" s="8">
        <v>46129</v>
      </c>
      <c r="H1936" s="6">
        <f t="shared" si="91"/>
        <v>15</v>
      </c>
      <c r="I1936" s="6">
        <f>MAX(1, NETWORKDAYS(A1936, G1936,Table2[Dias no laborales]))</f>
        <v>5</v>
      </c>
      <c r="J1936" s="6" t="str">
        <f>IF(Table1[[#This Row],[FIN]]="","Acumulado",IF(ISNUMBER(SEARCH("ASAP",C1936)),"ASAP",IF(NETWORKDAYS.INTL(F1936,G1936,1,Table2[Dias no laborales]) &lt;= 7, "Dentro", IF(A1936&gt;F1936,"Programado","Fuera"))))</f>
        <v>Dentro</v>
      </c>
      <c r="K1936" s="6" t="str">
        <f t="shared" si="92"/>
        <v>Mismo día</v>
      </c>
      <c r="L1936" s="8">
        <v>46125</v>
      </c>
      <c r="M1936" s="17">
        <f>MAX(1,NETWORKDAYS(A1936,L1936,Table2[Dias no laborales]))</f>
        <v>1</v>
      </c>
    </row>
    <row r="1937" spans="1:13" hidden="1" x14ac:dyDescent="0.3">
      <c r="A1937" s="8">
        <v>46125</v>
      </c>
      <c r="B1937" s="16" t="s">
        <v>3889</v>
      </c>
      <c r="C1937" s="6" t="s">
        <v>3929</v>
      </c>
      <c r="D1937" s="6" t="s">
        <v>2994</v>
      </c>
      <c r="E1937" s="14">
        <v>46125.627083333333</v>
      </c>
      <c r="F1937" s="8">
        <f>IF(HOUR(Table1[[#This Row],[CORREO]])&gt;=11,WORKDAY(Table1[[#This Row],[CORREO]],1,Table2[Dias no laborales]),E1937)</f>
        <v>46126</v>
      </c>
      <c r="G1937" s="8">
        <v>46133</v>
      </c>
      <c r="H1937" s="6">
        <f t="shared" si="91"/>
        <v>15</v>
      </c>
      <c r="I1937" s="6">
        <f>MAX(1, NETWORKDAYS(A1937, G1937,Table2[Dias no laborales]))</f>
        <v>7</v>
      </c>
      <c r="J1937" s="6" t="str">
        <f>IF(Table1[[#This Row],[FIN]]="","Acumulado",IF(ISNUMBER(SEARCH("ASAP",C1937)),"ASAP",IF(NETWORKDAYS.INTL(F1937,G1937,1,Table2[Dias no laborales]) &lt;= 7, "Dentro", IF(A1937&gt;F1937,"Programado","Fuera"))))</f>
        <v>Dentro</v>
      </c>
      <c r="K1937" s="6" t="str">
        <f t="shared" si="92"/>
        <v>Mismo día</v>
      </c>
      <c r="L1937" s="8">
        <v>46125</v>
      </c>
      <c r="M1937" s="17">
        <f>MAX(1,NETWORKDAYS(A1937,L1937,Table2[Dias no laborales]))</f>
        <v>1</v>
      </c>
    </row>
    <row r="1938" spans="1:13" hidden="1" x14ac:dyDescent="0.3">
      <c r="A1938" s="8">
        <v>46125</v>
      </c>
      <c r="B1938" s="16" t="s">
        <v>3890</v>
      </c>
      <c r="C1938" s="6" t="s">
        <v>3930</v>
      </c>
      <c r="D1938" s="6" t="s">
        <v>56</v>
      </c>
      <c r="E1938" s="14">
        <v>46125.704861111109</v>
      </c>
      <c r="F1938" s="8">
        <f>IF(HOUR(Table1[[#This Row],[CORREO]])&gt;=11,WORKDAY(Table1[[#This Row],[CORREO]],1,Table2[Dias no laborales]),E1938)</f>
        <v>46126</v>
      </c>
      <c r="G1938" s="8">
        <v>46129</v>
      </c>
      <c r="H1938" s="6">
        <f t="shared" si="91"/>
        <v>15</v>
      </c>
      <c r="I1938" s="6">
        <f>MAX(1, NETWORKDAYS(A1938, G1938,Table2[Dias no laborales]))</f>
        <v>5</v>
      </c>
      <c r="J1938" s="6" t="str">
        <f>IF(Table1[[#This Row],[FIN]]="","Acumulado",IF(ISNUMBER(SEARCH("ASAP",C1938)),"ASAP",IF(NETWORKDAYS.INTL(F1938,G1938,1,Table2[Dias no laborales]) &lt;= 7, "Dentro", IF(A1938&gt;F1938,"Programado","Fuera"))))</f>
        <v>Dentro</v>
      </c>
      <c r="K1938" s="6" t="str">
        <f t="shared" si="92"/>
        <v>Mismo día</v>
      </c>
      <c r="L1938" s="8">
        <v>46125</v>
      </c>
      <c r="M1938" s="17">
        <f>MAX(1,NETWORKDAYS(A1938,L1938,Table2[Dias no laborales]))</f>
        <v>1</v>
      </c>
    </row>
    <row r="1939" spans="1:13" hidden="1" x14ac:dyDescent="0.3">
      <c r="A1939" s="8">
        <v>46126</v>
      </c>
      <c r="B1939" s="16" t="s">
        <v>3891</v>
      </c>
      <c r="C1939" s="6" t="s">
        <v>3931</v>
      </c>
      <c r="D1939" s="6" t="s">
        <v>2981</v>
      </c>
      <c r="E1939" s="14">
        <v>46125.574999999997</v>
      </c>
      <c r="F1939" s="8">
        <f>IF(HOUR(Table1[[#This Row],[CORREO]])&gt;=11,WORKDAY(Table1[[#This Row],[CORREO]],1,Table2[Dias no laborales]),E1939)</f>
        <v>46126</v>
      </c>
      <c r="G1939" s="8">
        <v>46127</v>
      </c>
      <c r="H1939" s="6">
        <f t="shared" si="91"/>
        <v>15</v>
      </c>
      <c r="I1939" s="6">
        <f>MAX(1, NETWORKDAYS(A1939, G1939,Table2[Dias no laborales]))</f>
        <v>2</v>
      </c>
      <c r="J1939" s="6" t="str">
        <f>IF(Table1[[#This Row],[FIN]]="","Acumulado",IF(ISNUMBER(SEARCH("ASAP",C1939)),"ASAP",IF(NETWORKDAYS.INTL(F1939,G1939,1,Table2[Dias no laborales]) &lt;= 7, "Dentro", IF(A1939&gt;F1939,"Programado","Fuera"))))</f>
        <v>Dentro</v>
      </c>
      <c r="K1939" s="6" t="str">
        <f t="shared" si="92"/>
        <v>A tiempo</v>
      </c>
      <c r="L1939" s="8">
        <v>46126</v>
      </c>
      <c r="M1939" s="17">
        <f>MAX(1,NETWORKDAYS(A1939,L1939,Table2[Dias no laborales]))</f>
        <v>1</v>
      </c>
    </row>
    <row r="1940" spans="1:13" hidden="1" x14ac:dyDescent="0.3">
      <c r="A1940" s="8">
        <v>46126</v>
      </c>
      <c r="B1940" s="16" t="s">
        <v>3892</v>
      </c>
      <c r="C1940" s="6" t="s">
        <v>3932</v>
      </c>
      <c r="D1940" s="6" t="s">
        <v>24</v>
      </c>
      <c r="E1940" s="14">
        <v>46126.339583333334</v>
      </c>
      <c r="F1940" s="8">
        <f>IF(HOUR(Table1[[#This Row],[CORREO]])&gt;=11,WORKDAY(Table1[[#This Row],[CORREO]],1,Table2[Dias no laborales]),E1940)</f>
        <v>46126.339583333334</v>
      </c>
      <c r="G1940" s="8">
        <v>46126</v>
      </c>
      <c r="H1940" s="6">
        <f t="shared" si="91"/>
        <v>15</v>
      </c>
      <c r="I1940" s="6">
        <f>MAX(1, NETWORKDAYS(A1940, G1940,Table2[Dias no laborales]))</f>
        <v>1</v>
      </c>
      <c r="J1940" s="6" t="str">
        <f>IF(Table1[[#This Row],[FIN]]="","Acumulado",IF(ISNUMBER(SEARCH("ASAP",C1940)),"ASAP",IF(NETWORKDAYS.INTL(F1940,G1940,1,Table2[Dias no laborales]) &lt;= 7, "Dentro", IF(A1940&gt;F1940,"Programado","Fuera"))))</f>
        <v>Dentro</v>
      </c>
      <c r="K1940" s="6" t="str">
        <f t="shared" si="92"/>
        <v>A tiempo</v>
      </c>
      <c r="L1940" s="8">
        <v>46126</v>
      </c>
      <c r="M1940" s="17">
        <f>MAX(1,NETWORKDAYS(A1940,L1940,Table2[Dias no laborales]))</f>
        <v>1</v>
      </c>
    </row>
    <row r="1941" spans="1:13" hidden="1" x14ac:dyDescent="0.3">
      <c r="A1941" s="8">
        <v>46126</v>
      </c>
      <c r="B1941" s="16" t="s">
        <v>3893</v>
      </c>
      <c r="C1941" s="6" t="s">
        <v>3933</v>
      </c>
      <c r="D1941" s="6" t="s">
        <v>139</v>
      </c>
      <c r="E1941" s="14">
        <v>46126.395833333336</v>
      </c>
      <c r="F1941" s="8">
        <f>IF(HOUR(Table1[[#This Row],[CORREO]])&gt;=11,WORKDAY(Table1[[#This Row],[CORREO]],1,Table2[Dias no laborales]),E1941)</f>
        <v>46126.395833333336</v>
      </c>
      <c r="G1941" s="8">
        <v>46135</v>
      </c>
      <c r="H1941" s="6">
        <f t="shared" si="91"/>
        <v>15</v>
      </c>
      <c r="I1941" s="6">
        <f>MAX(1, NETWORKDAYS(A1941, G1941,Table2[Dias no laborales]))</f>
        <v>8</v>
      </c>
      <c r="J1941" s="6" t="str">
        <f>IF(Table1[[#This Row],[FIN]]="","Acumulado",IF(ISNUMBER(SEARCH("ASAP",C1941)),"ASAP",IF(NETWORKDAYS.INTL(F1941,G1941,1,Table2[Dias no laborales]) &lt;= 7, "Dentro", IF(A1941&gt;F1941,"Programado","Fuera"))))</f>
        <v>Fuera</v>
      </c>
      <c r="K1941" s="6" t="str">
        <f t="shared" si="92"/>
        <v>A tiempo</v>
      </c>
      <c r="L1941" s="8">
        <v>46126</v>
      </c>
      <c r="M1941" s="17">
        <f>MAX(1,NETWORKDAYS(A1941,L1941,Table2[Dias no laborales]))</f>
        <v>1</v>
      </c>
    </row>
    <row r="1942" spans="1:13" hidden="1" x14ac:dyDescent="0.3">
      <c r="A1942" s="8">
        <v>46126</v>
      </c>
      <c r="B1942" s="16" t="s">
        <v>3894</v>
      </c>
      <c r="C1942" s="6" t="s">
        <v>3934</v>
      </c>
      <c r="D1942" s="6" t="s">
        <v>269</v>
      </c>
      <c r="E1942" s="14">
        <v>46126.538194444445</v>
      </c>
      <c r="F1942" s="8">
        <f>IF(HOUR(Table1[[#This Row],[CORREO]])&gt;=11,WORKDAY(Table1[[#This Row],[CORREO]],1,Table2[Dias no laborales]),E1942)</f>
        <v>46127</v>
      </c>
      <c r="G1942" s="8">
        <v>46129</v>
      </c>
      <c r="H1942" s="6">
        <f t="shared" si="91"/>
        <v>15</v>
      </c>
      <c r="I1942" s="6">
        <f>MAX(1, NETWORKDAYS(A1942, G1942,Table2[Dias no laborales]))</f>
        <v>4</v>
      </c>
      <c r="J1942" s="6" t="str">
        <f>IF(Table1[[#This Row],[FIN]]="","Acumulado",IF(ISNUMBER(SEARCH("ASAP",C1942)),"ASAP",IF(NETWORKDAYS.INTL(F1942,G1942,1,Table2[Dias no laborales]) &lt;= 7, "Dentro", IF(A1942&gt;F1942,"Programado","Fuera"))))</f>
        <v>Dentro</v>
      </c>
      <c r="K1942" s="6" t="str">
        <f t="shared" si="92"/>
        <v>Mismo día</v>
      </c>
      <c r="L1942" s="8">
        <v>46126</v>
      </c>
      <c r="M1942" s="17">
        <f>MAX(1,NETWORKDAYS(A1942,L1942,Table2[Dias no laborales]))</f>
        <v>1</v>
      </c>
    </row>
    <row r="1943" spans="1:13" hidden="1" x14ac:dyDescent="0.3">
      <c r="A1943" s="8">
        <v>46126</v>
      </c>
      <c r="B1943" s="16" t="s">
        <v>3895</v>
      </c>
      <c r="C1943" s="6" t="s">
        <v>3935</v>
      </c>
      <c r="D1943" s="6" t="s">
        <v>27</v>
      </c>
      <c r="E1943" s="14">
        <v>46126.714583333334</v>
      </c>
      <c r="F1943" s="8">
        <f>IF(HOUR(Table1[[#This Row],[CORREO]])&gt;=11,WORKDAY(Table1[[#This Row],[CORREO]],1,Table2[Dias no laborales]),E1943)</f>
        <v>46127</v>
      </c>
      <c r="G1943" s="8">
        <v>46129</v>
      </c>
      <c r="H1943" s="6">
        <f t="shared" si="91"/>
        <v>15</v>
      </c>
      <c r="I1943" s="6">
        <f>MAX(1, NETWORKDAYS(A1943, G1943,Table2[Dias no laborales]))</f>
        <v>4</v>
      </c>
      <c r="J1943" s="6" t="str">
        <f>IF(Table1[[#This Row],[FIN]]="","Acumulado",IF(ISNUMBER(SEARCH("ASAP",C1943)),"ASAP",IF(NETWORKDAYS.INTL(F1943,G1943,1,Table2[Dias no laborales]) &lt;= 7, "Dentro", IF(A1943&gt;F1943,"Programado","Fuera"))))</f>
        <v>Dentro</v>
      </c>
      <c r="K1943" s="6" t="str">
        <f t="shared" si="92"/>
        <v>Mismo día</v>
      </c>
      <c r="L1943" s="8">
        <v>46126</v>
      </c>
      <c r="M1943" s="17">
        <f>MAX(1,NETWORKDAYS(A1943,L1943,Table2[Dias no laborales]))</f>
        <v>1</v>
      </c>
    </row>
    <row r="1944" spans="1:13" hidden="1" x14ac:dyDescent="0.3">
      <c r="A1944" s="8">
        <v>46127</v>
      </c>
      <c r="B1944" s="16" t="s">
        <v>3896</v>
      </c>
      <c r="C1944" s="6" t="s">
        <v>3936</v>
      </c>
      <c r="D1944" s="6" t="s">
        <v>423</v>
      </c>
      <c r="E1944" s="14">
        <v>46127.329861111109</v>
      </c>
      <c r="F1944" s="8">
        <f>IF(HOUR(Table1[[#This Row],[CORREO]])&gt;=11,WORKDAY(Table1[[#This Row],[CORREO]],1,Table2[Dias no laborales]),E1944)</f>
        <v>46127.329861111109</v>
      </c>
      <c r="G1944" s="8">
        <v>46129</v>
      </c>
      <c r="H1944" s="6">
        <f t="shared" si="91"/>
        <v>15</v>
      </c>
      <c r="I1944" s="6">
        <f>MAX(1, NETWORKDAYS(A1944, G1944,Table2[Dias no laborales]))</f>
        <v>3</v>
      </c>
      <c r="J1944" s="6" t="str">
        <f>IF(Table1[[#This Row],[FIN]]="","Acumulado",IF(ISNUMBER(SEARCH("ASAP",C1944)),"ASAP",IF(NETWORKDAYS.INTL(F1944,G1944,1,Table2[Dias no laborales]) &lt;= 7, "Dentro", IF(A1944&gt;F1944,"Programado","Fuera"))))</f>
        <v>Dentro</v>
      </c>
      <c r="K1944" s="6" t="str">
        <f t="shared" si="92"/>
        <v>A tiempo</v>
      </c>
      <c r="L1944" s="8">
        <v>46127</v>
      </c>
      <c r="M1944" s="17">
        <f>MAX(1,NETWORKDAYS(A1944,L1944,Table2[Dias no laborales]))</f>
        <v>1</v>
      </c>
    </row>
    <row r="1945" spans="1:13" hidden="1" x14ac:dyDescent="0.3">
      <c r="A1945" s="8">
        <v>46127</v>
      </c>
      <c r="B1945" s="16" t="s">
        <v>3897</v>
      </c>
      <c r="C1945" s="6" t="s">
        <v>3937</v>
      </c>
      <c r="D1945" s="6" t="s">
        <v>538</v>
      </c>
      <c r="E1945" s="14">
        <v>46127.336805555555</v>
      </c>
      <c r="F1945" s="8">
        <f>IF(HOUR(Table1[[#This Row],[CORREO]])&gt;=11,WORKDAY(Table1[[#This Row],[CORREO]],1,Table2[Dias no laborales]),E1945)</f>
        <v>46127.336805555555</v>
      </c>
      <c r="G1945" s="8">
        <v>46135</v>
      </c>
      <c r="H1945" s="6">
        <f t="shared" si="91"/>
        <v>15</v>
      </c>
      <c r="I1945" s="6">
        <f>MAX(1, NETWORKDAYS(A1945, G1945,Table2[Dias no laborales]))</f>
        <v>7</v>
      </c>
      <c r="J1945" s="6" t="str">
        <f>IF(Table1[[#This Row],[FIN]]="","Acumulado",IF(ISNUMBER(SEARCH("ASAP",C1945)),"ASAP",IF(NETWORKDAYS.INTL(F1945,G1945,1,Table2[Dias no laborales]) &lt;= 7, "Dentro", IF(A1945&gt;F1945,"Programado","Fuera"))))</f>
        <v>Dentro</v>
      </c>
      <c r="K1945" s="6" t="str">
        <f t="shared" si="92"/>
        <v>A tiempo</v>
      </c>
      <c r="L1945" s="8">
        <v>46127</v>
      </c>
      <c r="M1945" s="17">
        <f>MAX(1,NETWORKDAYS(A1945,L1945,Table2[Dias no laborales]))</f>
        <v>1</v>
      </c>
    </row>
    <row r="1946" spans="1:13" hidden="1" x14ac:dyDescent="0.3">
      <c r="A1946" s="8">
        <v>46127</v>
      </c>
      <c r="B1946" s="16" t="s">
        <v>3898</v>
      </c>
      <c r="C1946" s="6" t="s">
        <v>3008</v>
      </c>
      <c r="D1946" s="6" t="s">
        <v>3812</v>
      </c>
      <c r="E1946" s="14">
        <v>46126.474305555559</v>
      </c>
      <c r="F1946" s="8">
        <f>IF(HOUR(Table1[[#This Row],[CORREO]])&gt;=11,WORKDAY(Table1[[#This Row],[CORREO]],1,Table2[Dias no laborales]),E1946)</f>
        <v>46127</v>
      </c>
      <c r="G1946" s="8">
        <v>46129</v>
      </c>
      <c r="H1946" s="6">
        <f t="shared" si="91"/>
        <v>15</v>
      </c>
      <c r="I1946" s="6">
        <f>MAX(1, NETWORKDAYS(A1946, G1946,Table2[Dias no laborales]))</f>
        <v>3</v>
      </c>
      <c r="J1946" s="6" t="str">
        <f>IF(Table1[[#This Row],[FIN]]="","Acumulado",IF(ISNUMBER(SEARCH("ASAP",C1946)),"ASAP",IF(NETWORKDAYS.INTL(F1946,G1946,1,Table2[Dias no laborales]) &lt;= 7, "Dentro", IF(A1946&gt;F1946,"Programado","Fuera"))))</f>
        <v>Dentro</v>
      </c>
      <c r="K1946" s="6" t="str">
        <f t="shared" si="92"/>
        <v>A tiempo</v>
      </c>
      <c r="L1946" s="8">
        <v>46127</v>
      </c>
      <c r="M1946" s="17">
        <f>MAX(1,NETWORKDAYS(A1946,L1946,Table2[Dias no laborales]))</f>
        <v>1</v>
      </c>
    </row>
    <row r="1947" spans="1:13" hidden="1" x14ac:dyDescent="0.3">
      <c r="A1947" s="8">
        <v>46127</v>
      </c>
      <c r="B1947" s="16" t="s">
        <v>3899</v>
      </c>
      <c r="C1947" s="6" t="s">
        <v>3938</v>
      </c>
      <c r="D1947" s="6" t="s">
        <v>3939</v>
      </c>
      <c r="E1947" s="14">
        <v>46126.477083333331</v>
      </c>
      <c r="F1947" s="8">
        <f>IF(HOUR(Table1[[#This Row],[CORREO]])&gt;=11,WORKDAY(Table1[[#This Row],[CORREO]],1,Table2[Dias no laborales]),E1947)</f>
        <v>46127</v>
      </c>
      <c r="G1947" s="8">
        <v>46127</v>
      </c>
      <c r="H1947" s="6">
        <f t="shared" si="91"/>
        <v>15</v>
      </c>
      <c r="I1947" s="6">
        <f>MAX(1, NETWORKDAYS(A1947, G1947,Table2[Dias no laborales]))</f>
        <v>1</v>
      </c>
      <c r="J1947" s="6" t="str">
        <f>IF(Table1[[#This Row],[FIN]]="","Acumulado",IF(ISNUMBER(SEARCH("ASAP",C1947)),"ASAP",IF(NETWORKDAYS.INTL(F1947,G1947,1,Table2[Dias no laborales]) &lt;= 7, "Dentro", IF(A1947&gt;F1947,"Programado","Fuera"))))</f>
        <v>Dentro</v>
      </c>
      <c r="K1947" s="6" t="str">
        <f t="shared" si="92"/>
        <v>A tiempo</v>
      </c>
      <c r="L1947" s="8">
        <v>46127</v>
      </c>
      <c r="M1947" s="17">
        <f>MAX(1,NETWORKDAYS(A1947,L1947,Table2[Dias no laborales]))</f>
        <v>1</v>
      </c>
    </row>
    <row r="1948" spans="1:13" hidden="1" x14ac:dyDescent="0.3">
      <c r="A1948" s="8">
        <v>46127</v>
      </c>
      <c r="B1948" s="16" t="s">
        <v>3900</v>
      </c>
      <c r="C1948" s="6" t="s">
        <v>3940</v>
      </c>
      <c r="D1948" s="6" t="s">
        <v>3941</v>
      </c>
      <c r="E1948" s="14">
        <v>46126.74722222222</v>
      </c>
      <c r="F1948" s="8">
        <f>IF(HOUR(Table1[[#This Row],[CORREO]])&gt;=11,WORKDAY(Table1[[#This Row],[CORREO]],1,Table2[Dias no laborales]),E1948)</f>
        <v>46127</v>
      </c>
      <c r="G1948" s="8">
        <v>46129</v>
      </c>
      <c r="H1948" s="6">
        <f t="shared" si="91"/>
        <v>15</v>
      </c>
      <c r="I1948" s="6">
        <f>MAX(1, NETWORKDAYS(A1948, G1948,Table2[Dias no laborales]))</f>
        <v>3</v>
      </c>
      <c r="J1948" s="6" t="str">
        <f>IF(Table1[[#This Row],[FIN]]="","Acumulado",IF(ISNUMBER(SEARCH("ASAP",C1948)),"ASAP",IF(NETWORKDAYS.INTL(F1948,G1948,1,Table2[Dias no laborales]) &lt;= 7, "Dentro", IF(A1948&gt;F1948,"Programado","Fuera"))))</f>
        <v>Dentro</v>
      </c>
      <c r="K1948" s="6" t="str">
        <f t="shared" si="92"/>
        <v>A tiempo</v>
      </c>
      <c r="L1948" s="8">
        <v>46127</v>
      </c>
      <c r="M1948" s="17">
        <f>MAX(1,NETWORKDAYS(A1948,L1948,Table2[Dias no laborales]))</f>
        <v>1</v>
      </c>
    </row>
    <row r="1949" spans="1:13" hidden="1" x14ac:dyDescent="0.3">
      <c r="A1949" s="8">
        <v>46127</v>
      </c>
      <c r="B1949" s="16" t="s">
        <v>3901</v>
      </c>
      <c r="C1949" s="6" t="s">
        <v>3008</v>
      </c>
      <c r="D1949" s="6" t="s">
        <v>3942</v>
      </c>
      <c r="E1949" s="14">
        <v>46127.269444444442</v>
      </c>
      <c r="F1949" s="8">
        <f>IF(HOUR(Table1[[#This Row],[CORREO]])&gt;=11,WORKDAY(Table1[[#This Row],[CORREO]],1,Table2[Dias no laborales]),E1949)</f>
        <v>46127.269444444442</v>
      </c>
      <c r="G1949" s="8">
        <v>46132</v>
      </c>
      <c r="H1949" s="6">
        <f t="shared" si="91"/>
        <v>15</v>
      </c>
      <c r="I1949" s="6">
        <f>MAX(1, NETWORKDAYS(A1949, G1949,Table2[Dias no laborales]))</f>
        <v>4</v>
      </c>
      <c r="J1949" s="6" t="str">
        <f>IF(Table1[[#This Row],[FIN]]="","Acumulado",IF(ISNUMBER(SEARCH("ASAP",C1949)),"ASAP",IF(NETWORKDAYS.INTL(F1949,G1949,1,Table2[Dias no laborales]) &lt;= 7, "Dentro", IF(A1949&gt;F1949,"Programado","Fuera"))))</f>
        <v>Dentro</v>
      </c>
      <c r="K1949" s="6" t="str">
        <f t="shared" si="92"/>
        <v>A tiempo</v>
      </c>
      <c r="L1949" s="8">
        <v>46127</v>
      </c>
      <c r="M1949" s="17">
        <f>MAX(1,NETWORKDAYS(A1949,L1949,Table2[Dias no laborales]))</f>
        <v>1</v>
      </c>
    </row>
    <row r="1950" spans="1:13" hidden="1" x14ac:dyDescent="0.3">
      <c r="A1950" s="8">
        <v>46127</v>
      </c>
      <c r="B1950" s="16" t="s">
        <v>3902</v>
      </c>
      <c r="C1950" s="6" t="s">
        <v>3943</v>
      </c>
      <c r="D1950" s="6" t="s">
        <v>61</v>
      </c>
      <c r="E1950" s="14">
        <v>46127.428472222222</v>
      </c>
      <c r="F1950" s="8">
        <f>IF(HOUR(Table1[[#This Row],[CORREO]])&gt;=11,WORKDAY(Table1[[#This Row],[CORREO]],1,Table2[Dias no laborales]),E1950)</f>
        <v>46127.428472222222</v>
      </c>
      <c r="G1950" s="8">
        <v>46127</v>
      </c>
      <c r="H1950" s="6">
        <f t="shared" si="91"/>
        <v>15</v>
      </c>
      <c r="I1950" s="6">
        <f>MAX(1, NETWORKDAYS(A1950, G1950,Table2[Dias no laborales]))</f>
        <v>1</v>
      </c>
      <c r="J1950" s="6" t="str">
        <f>IF(Table1[[#This Row],[FIN]]="","Acumulado",IF(ISNUMBER(SEARCH("ASAP",C1950)),"ASAP",IF(NETWORKDAYS.INTL(F1950,G1950,1,Table2[Dias no laborales]) &lt;= 7, "Dentro", IF(A1950&gt;F1950,"Programado","Fuera"))))</f>
        <v>Dentro</v>
      </c>
      <c r="K1950" s="6" t="str">
        <f t="shared" si="92"/>
        <v>A tiempo</v>
      </c>
      <c r="L1950" s="8">
        <v>46127</v>
      </c>
      <c r="M1950" s="17">
        <f>MAX(1,NETWORKDAYS(A1950,L1950,Table2[Dias no laborales]))</f>
        <v>1</v>
      </c>
    </row>
    <row r="1951" spans="1:13" hidden="1" x14ac:dyDescent="0.3">
      <c r="A1951" s="8">
        <v>46127</v>
      </c>
      <c r="B1951" s="16" t="s">
        <v>3903</v>
      </c>
      <c r="C1951" s="6" t="s">
        <v>3944</v>
      </c>
      <c r="D1951" s="6" t="s">
        <v>133</v>
      </c>
      <c r="E1951" s="14">
        <v>46127.434027777781</v>
      </c>
      <c r="F1951" s="8">
        <f>IF(HOUR(Table1[[#This Row],[CORREO]])&gt;=11,WORKDAY(Table1[[#This Row],[CORREO]],1,Table2[Dias no laborales]),E1951)</f>
        <v>46127.434027777781</v>
      </c>
      <c r="G1951" s="8">
        <v>46132</v>
      </c>
      <c r="H1951" s="6">
        <f t="shared" si="91"/>
        <v>15</v>
      </c>
      <c r="I1951" s="6">
        <f>MAX(1, NETWORKDAYS(A1951, G1951,Table2[Dias no laborales]))</f>
        <v>4</v>
      </c>
      <c r="J1951" s="6" t="str">
        <f>IF(Table1[[#This Row],[FIN]]="","Acumulado",IF(ISNUMBER(SEARCH("ASAP",C1951)),"ASAP",IF(NETWORKDAYS.INTL(F1951,G1951,1,Table2[Dias no laborales]) &lt;= 7, "Dentro", IF(A1951&gt;F1951,"Programado","Fuera"))))</f>
        <v>Dentro</v>
      </c>
      <c r="K1951" s="6" t="str">
        <f t="shared" si="92"/>
        <v>A tiempo</v>
      </c>
      <c r="L1951" s="8">
        <v>46127</v>
      </c>
      <c r="M1951" s="17">
        <f>MAX(1,NETWORKDAYS(A1951,L1951,Table2[Dias no laborales]))</f>
        <v>1</v>
      </c>
    </row>
    <row r="1952" spans="1:13" hidden="1" x14ac:dyDescent="0.3">
      <c r="A1952" s="8">
        <v>46127</v>
      </c>
      <c r="B1952" s="16" t="s">
        <v>3904</v>
      </c>
      <c r="C1952" s="6" t="s">
        <v>3996</v>
      </c>
      <c r="D1952" s="6" t="s">
        <v>42</v>
      </c>
      <c r="E1952" s="14">
        <v>46127.47152777778</v>
      </c>
      <c r="F1952" s="8">
        <f>IF(HOUR(Table1[[#This Row],[CORREO]])&gt;=11,WORKDAY(Table1[[#This Row],[CORREO]],1,Table2[Dias no laborales]),E1952)</f>
        <v>46128</v>
      </c>
      <c r="G1952" s="8">
        <v>46129</v>
      </c>
      <c r="H1952" s="6">
        <f t="shared" si="91"/>
        <v>15</v>
      </c>
      <c r="I1952" s="6">
        <f>MAX(1, NETWORKDAYS(A1952, G1952,Table2[Dias no laborales]))</f>
        <v>3</v>
      </c>
      <c r="J1952" s="6" t="str">
        <f>IF(Table1[[#This Row],[FIN]]="","Acumulado",IF(ISNUMBER(SEARCH("ASAP",C1952)),"ASAP",IF(NETWORKDAYS.INTL(F1952,G1952,1,Table2[Dias no laborales]) &lt;= 7, "Dentro", IF(A1952&gt;F1952,"Programado","Fuera"))))</f>
        <v>Dentro</v>
      </c>
      <c r="K1952" s="6" t="str">
        <f t="shared" si="92"/>
        <v>Mismo día</v>
      </c>
      <c r="L1952" s="8">
        <v>46127</v>
      </c>
      <c r="M1952" s="17">
        <f>MAX(1,NETWORKDAYS(A1952,L1952,Table2[Dias no laborales]))</f>
        <v>1</v>
      </c>
    </row>
    <row r="1953" spans="1:13" hidden="1" x14ac:dyDescent="0.3">
      <c r="A1953" s="8">
        <v>46127</v>
      </c>
      <c r="B1953" s="16" t="s">
        <v>3905</v>
      </c>
      <c r="C1953" s="6" t="s">
        <v>3008</v>
      </c>
      <c r="D1953" s="6" t="s">
        <v>3997</v>
      </c>
      <c r="E1953" s="14">
        <v>46127.482638888891</v>
      </c>
      <c r="F1953" s="8">
        <f>IF(HOUR(Table1[[#This Row],[CORREO]])&gt;=11,WORKDAY(Table1[[#This Row],[CORREO]],1,Table2[Dias no laborales]),E1953)</f>
        <v>46128</v>
      </c>
      <c r="G1953" s="8">
        <v>46128</v>
      </c>
      <c r="H1953" s="6">
        <f t="shared" si="91"/>
        <v>15</v>
      </c>
      <c r="I1953" s="6">
        <f>MAX(1, NETWORKDAYS(A1953, G1953,Table2[Dias no laborales]))</f>
        <v>2</v>
      </c>
      <c r="J1953" s="6" t="str">
        <f>IF(Table1[[#This Row],[FIN]]="","Acumulado",IF(ISNUMBER(SEARCH("ASAP",C1953)),"ASAP",IF(NETWORKDAYS.INTL(F1953,G1953,1,Table2[Dias no laborales]) &lt;= 7, "Dentro", IF(A1953&gt;F1953,"Programado","Fuera"))))</f>
        <v>Dentro</v>
      </c>
      <c r="K1953" s="6" t="str">
        <f t="shared" si="92"/>
        <v>Mismo día</v>
      </c>
      <c r="L1953" s="8">
        <v>46127</v>
      </c>
      <c r="M1953" s="17">
        <f>MAX(1,NETWORKDAYS(A1953,L1953,Table2[Dias no laborales]))</f>
        <v>1</v>
      </c>
    </row>
    <row r="1954" spans="1:13" hidden="1" x14ac:dyDescent="0.3">
      <c r="A1954" s="8">
        <v>46128</v>
      </c>
      <c r="B1954" s="16" t="s">
        <v>3906</v>
      </c>
      <c r="C1954" s="6" t="s">
        <v>3998</v>
      </c>
      <c r="D1954" s="6" t="s">
        <v>3999</v>
      </c>
      <c r="E1954" s="14">
        <v>46127.477083333331</v>
      </c>
      <c r="F1954" s="8">
        <f>IF(HOUR(Table1[[#This Row],[CORREO]])&gt;=11,WORKDAY(Table1[[#This Row],[CORREO]],1,Table2[Dias no laborales]),E1954)</f>
        <v>46128</v>
      </c>
      <c r="G1954" s="8">
        <v>46129</v>
      </c>
      <c r="H1954" s="6">
        <f t="shared" si="91"/>
        <v>16</v>
      </c>
      <c r="I1954" s="6">
        <f>MAX(1, NETWORKDAYS(A1954, G1954,Table2[Dias no laborales]))</f>
        <v>2</v>
      </c>
      <c r="J1954" s="6" t="str">
        <f>IF(Table1[[#This Row],[FIN]]="","Acumulado",IF(ISNUMBER(SEARCH("ASAP",C1954)),"ASAP",IF(NETWORKDAYS.INTL(F1954,G1954,1,Table2[Dias no laborales]) &lt;= 7, "Dentro", IF(A1954&gt;F1954,"Programado","Fuera"))))</f>
        <v>Dentro</v>
      </c>
      <c r="K1954" s="6" t="str">
        <f t="shared" si="92"/>
        <v>A tiempo</v>
      </c>
      <c r="L1954" s="8">
        <v>46128</v>
      </c>
      <c r="M1954" s="17">
        <f>MAX(1,NETWORKDAYS(A1954,L1954,Table2[Dias no laborales]))</f>
        <v>1</v>
      </c>
    </row>
    <row r="1955" spans="1:13" hidden="1" x14ac:dyDescent="0.3">
      <c r="A1955" s="8">
        <v>46128</v>
      </c>
      <c r="B1955" s="16" t="s">
        <v>3907</v>
      </c>
      <c r="C1955" s="6" t="s">
        <v>4000</v>
      </c>
      <c r="D1955" s="6" t="s">
        <v>3837</v>
      </c>
      <c r="E1955" s="14">
        <v>46127.518750000003</v>
      </c>
      <c r="F1955" s="8">
        <f>IF(HOUR(Table1[[#This Row],[CORREO]])&gt;=11,WORKDAY(Table1[[#This Row],[CORREO]],1,Table2[Dias no laborales]),E1955)</f>
        <v>46128</v>
      </c>
      <c r="G1955" s="8">
        <v>46129</v>
      </c>
      <c r="H1955" s="6">
        <f t="shared" si="91"/>
        <v>16</v>
      </c>
      <c r="I1955" s="6">
        <f>MAX(1, NETWORKDAYS(A1955, G1955,Table2[Dias no laborales]))</f>
        <v>2</v>
      </c>
      <c r="J1955" s="6" t="str">
        <f>IF(Table1[[#This Row],[FIN]]="","Acumulado",IF(ISNUMBER(SEARCH("ASAP",C1955)),"ASAP",IF(NETWORKDAYS.INTL(F1955,G1955,1,Table2[Dias no laborales]) &lt;= 7, "Dentro", IF(A1955&gt;F1955,"Programado","Fuera"))))</f>
        <v>Dentro</v>
      </c>
      <c r="K1955" s="6" t="str">
        <f t="shared" si="92"/>
        <v>A tiempo</v>
      </c>
      <c r="L1955" s="8">
        <v>46128</v>
      </c>
      <c r="M1955" s="17">
        <f>MAX(1,NETWORKDAYS(A1955,L1955,Table2[Dias no laborales]))</f>
        <v>1</v>
      </c>
    </row>
    <row r="1956" spans="1:13" hidden="1" x14ac:dyDescent="0.3">
      <c r="A1956" s="8">
        <v>46128</v>
      </c>
      <c r="B1956" s="16" t="s">
        <v>3908</v>
      </c>
      <c r="C1956" s="6" t="s">
        <v>4001</v>
      </c>
      <c r="D1956" s="6" t="s">
        <v>4002</v>
      </c>
      <c r="E1956" s="14">
        <v>46127.565972222219</v>
      </c>
      <c r="F1956" s="8">
        <f>IF(HOUR(Table1[[#This Row],[CORREO]])&gt;=11,WORKDAY(Table1[[#This Row],[CORREO]],1,Table2[Dias no laborales]),E1956)</f>
        <v>46128</v>
      </c>
      <c r="G1956" s="8">
        <v>46128</v>
      </c>
      <c r="H1956" s="6">
        <f t="shared" si="91"/>
        <v>16</v>
      </c>
      <c r="I1956" s="6">
        <f>MAX(1, NETWORKDAYS(A1956, G1956,Table2[Dias no laborales]))</f>
        <v>1</v>
      </c>
      <c r="J1956" s="6" t="str">
        <f>IF(Table1[[#This Row],[FIN]]="","Acumulado",IF(ISNUMBER(SEARCH("ASAP",C1956)),"ASAP",IF(NETWORKDAYS.INTL(F1956,G1956,1,Table2[Dias no laborales]) &lt;= 7, "Dentro", IF(A1956&gt;F1956,"Programado","Fuera"))))</f>
        <v>Dentro</v>
      </c>
      <c r="K1956" s="6" t="str">
        <f t="shared" si="92"/>
        <v>A tiempo</v>
      </c>
      <c r="L1956" s="8">
        <v>46128</v>
      </c>
      <c r="M1956" s="17">
        <f>MAX(1,NETWORKDAYS(A1956,L1956,Table2[Dias no laborales]))</f>
        <v>1</v>
      </c>
    </row>
    <row r="1957" spans="1:13" hidden="1" x14ac:dyDescent="0.3">
      <c r="A1957" s="8">
        <v>46128</v>
      </c>
      <c r="B1957" s="16" t="s">
        <v>3945</v>
      </c>
      <c r="C1957" s="6" t="s">
        <v>4003</v>
      </c>
      <c r="D1957" s="6" t="s">
        <v>623</v>
      </c>
      <c r="E1957" s="14">
        <v>46127.604861111111</v>
      </c>
      <c r="F1957" s="8">
        <f>IF(HOUR(Table1[[#This Row],[CORREO]])&gt;=11,WORKDAY(Table1[[#This Row],[CORREO]],1,Table2[Dias no laborales]),E1957)</f>
        <v>46128</v>
      </c>
      <c r="G1957" s="8">
        <v>46129</v>
      </c>
      <c r="H1957" s="6">
        <f t="shared" ref="H1957:H1988" si="93">INT((A1957-DATE(YEAR(A1957),1,1))/7) + 1</f>
        <v>16</v>
      </c>
      <c r="I1957" s="6">
        <f>MAX(1, NETWORKDAYS(A1957, G1957,Table2[Dias no laborales]))</f>
        <v>2</v>
      </c>
      <c r="J1957" s="6" t="str">
        <f>IF(Table1[[#This Row],[FIN]]="","Acumulado",IF(ISNUMBER(SEARCH("ASAP",C1957)),"ASAP",IF(NETWORKDAYS.INTL(F1957,G1957,1,Table2[Dias no laborales]) &lt;= 7, "Dentro", IF(A1957&gt;F1957,"Programado","Fuera"))))</f>
        <v>Dentro</v>
      </c>
      <c r="K1957" s="6" t="str">
        <f t="shared" ref="K1957:K1988" si="94">IF(INT(A1957)=INT(F1957),"A tiempo", IF(A1957&lt;F1957,"Mismo día","Programados"))</f>
        <v>A tiempo</v>
      </c>
      <c r="L1957" s="8">
        <v>46128</v>
      </c>
      <c r="M1957" s="17">
        <f>MAX(1,NETWORKDAYS(A1957,L1957,Table2[Dias no laborales]))</f>
        <v>1</v>
      </c>
    </row>
    <row r="1958" spans="1:13" hidden="1" x14ac:dyDescent="0.3">
      <c r="A1958" s="8">
        <v>46128</v>
      </c>
      <c r="B1958" s="16" t="s">
        <v>3946</v>
      </c>
      <c r="C1958" s="6" t="s">
        <v>4004</v>
      </c>
      <c r="D1958" s="6" t="s">
        <v>136</v>
      </c>
      <c r="E1958" s="14">
        <v>46127.70208333333</v>
      </c>
      <c r="F1958" s="8">
        <f>IF(HOUR(Table1[[#This Row],[CORREO]])&gt;=11,WORKDAY(Table1[[#This Row],[CORREO]],1,Table2[Dias no laborales]),E1958)</f>
        <v>46128</v>
      </c>
      <c r="G1958" s="8">
        <v>46132</v>
      </c>
      <c r="H1958" s="6">
        <f t="shared" si="93"/>
        <v>16</v>
      </c>
      <c r="I1958" s="6">
        <f>MAX(1, NETWORKDAYS(A1958, G1958,Table2[Dias no laborales]))</f>
        <v>3</v>
      </c>
      <c r="J1958" s="6" t="str">
        <f>IF(Table1[[#This Row],[FIN]]="","Acumulado",IF(ISNUMBER(SEARCH("ASAP",C1958)),"ASAP",IF(NETWORKDAYS.INTL(F1958,G1958,1,Table2[Dias no laborales]) &lt;= 7, "Dentro", IF(A1958&gt;F1958,"Programado","Fuera"))))</f>
        <v>Dentro</v>
      </c>
      <c r="K1958" s="6" t="str">
        <f t="shared" si="94"/>
        <v>A tiempo</v>
      </c>
      <c r="L1958" s="8">
        <v>46128</v>
      </c>
      <c r="M1958" s="17">
        <f>MAX(1,NETWORKDAYS(A1958,L1958,Table2[Dias no laborales]))</f>
        <v>1</v>
      </c>
    </row>
    <row r="1959" spans="1:13" hidden="1" x14ac:dyDescent="0.3">
      <c r="A1959" s="8">
        <v>46128</v>
      </c>
      <c r="B1959" s="16" t="s">
        <v>3947</v>
      </c>
      <c r="C1959" s="6" t="s">
        <v>4005</v>
      </c>
      <c r="D1959" s="6" t="s">
        <v>61</v>
      </c>
      <c r="E1959" s="14">
        <v>46127.715277777781</v>
      </c>
      <c r="F1959" s="8">
        <f>IF(HOUR(Table1[[#This Row],[CORREO]])&gt;=11,WORKDAY(Table1[[#This Row],[CORREO]],1,Table2[Dias no laborales]),E1959)</f>
        <v>46128</v>
      </c>
      <c r="G1959" s="8">
        <v>46129</v>
      </c>
      <c r="H1959" s="6">
        <f t="shared" si="93"/>
        <v>16</v>
      </c>
      <c r="I1959" s="6">
        <f>MAX(1, NETWORKDAYS(A1959, G1959,Table2[Dias no laborales]))</f>
        <v>2</v>
      </c>
      <c r="J1959" s="6" t="str">
        <f>IF(Table1[[#This Row],[FIN]]="","Acumulado",IF(ISNUMBER(SEARCH("ASAP",C1959)),"ASAP",IF(NETWORKDAYS.INTL(F1959,G1959,1,Table2[Dias no laborales]) &lt;= 7, "Dentro", IF(A1959&gt;F1959,"Programado","Fuera"))))</f>
        <v>Dentro</v>
      </c>
      <c r="K1959" s="6" t="str">
        <f t="shared" si="94"/>
        <v>A tiempo</v>
      </c>
      <c r="L1959" s="8">
        <v>46128</v>
      </c>
      <c r="M1959" s="17">
        <f>MAX(1,NETWORKDAYS(A1959,L1959,Table2[Dias no laborales]))</f>
        <v>1</v>
      </c>
    </row>
    <row r="1960" spans="1:13" hidden="1" x14ac:dyDescent="0.3">
      <c r="A1960" s="8">
        <v>46128</v>
      </c>
      <c r="B1960" s="16" t="s">
        <v>3948</v>
      </c>
      <c r="C1960" s="6" t="s">
        <v>4006</v>
      </c>
      <c r="D1960" s="6" t="s">
        <v>27</v>
      </c>
      <c r="E1960" s="14">
        <v>46127.709027777775</v>
      </c>
      <c r="F1960" s="8">
        <f>IF(HOUR(Table1[[#This Row],[CORREO]])&gt;=11,WORKDAY(Table1[[#This Row],[CORREO]],1,Table2[Dias no laborales]),E1960)</f>
        <v>46128</v>
      </c>
      <c r="G1960" s="8">
        <v>46147</v>
      </c>
      <c r="H1960" s="6">
        <f t="shared" si="93"/>
        <v>16</v>
      </c>
      <c r="I1960" s="6">
        <f>MAX(1, NETWORKDAYS(A1960, G1960,Table2[Dias no laborales]))</f>
        <v>12</v>
      </c>
      <c r="J1960" s="6" t="str">
        <f>IF(Table1[[#This Row],[FIN]]="","Acumulado",IF(ISNUMBER(SEARCH("ASAP",C1960)),"ASAP",IF(NETWORKDAYS.INTL(F1960,G1960,1,Table2[Dias no laborales]) &lt;= 7, "Dentro", IF(A1960&gt;F1960,"Programado","Fuera"))))</f>
        <v>Fuera</v>
      </c>
      <c r="K1960" s="6" t="str">
        <f t="shared" si="94"/>
        <v>A tiempo</v>
      </c>
      <c r="L1960" s="8">
        <v>46129</v>
      </c>
      <c r="M1960" s="17">
        <f>MAX(1,NETWORKDAYS(A1960,L1960,Table2[Dias no laborales]))</f>
        <v>2</v>
      </c>
    </row>
    <row r="1961" spans="1:13" hidden="1" x14ac:dyDescent="0.3">
      <c r="A1961" s="8">
        <v>46128</v>
      </c>
      <c r="B1961" s="16" t="s">
        <v>3949</v>
      </c>
      <c r="C1961" s="6" t="s">
        <v>4007</v>
      </c>
      <c r="D1961" s="6" t="s">
        <v>61</v>
      </c>
      <c r="E1961" s="14">
        <v>46127.716666666667</v>
      </c>
      <c r="F1961" s="8">
        <f>IF(HOUR(Table1[[#This Row],[CORREO]])&gt;=11,WORKDAY(Table1[[#This Row],[CORREO]],1,Table2[Dias no laborales]),E1961)</f>
        <v>46128</v>
      </c>
      <c r="G1961" s="8">
        <v>46134</v>
      </c>
      <c r="H1961" s="6">
        <f t="shared" si="93"/>
        <v>16</v>
      </c>
      <c r="I1961" s="6">
        <f>MAX(1, NETWORKDAYS(A1961, G1961,Table2[Dias no laborales]))</f>
        <v>5</v>
      </c>
      <c r="J1961" s="6" t="str">
        <f>IF(Table1[[#This Row],[FIN]]="","Acumulado",IF(ISNUMBER(SEARCH("ASAP",C1961)),"ASAP",IF(NETWORKDAYS.INTL(F1961,G1961,1,Table2[Dias no laborales]) &lt;= 7, "Dentro", IF(A1961&gt;F1961,"Programado","Fuera"))))</f>
        <v>Dentro</v>
      </c>
      <c r="K1961" s="6" t="str">
        <f t="shared" si="94"/>
        <v>A tiempo</v>
      </c>
      <c r="L1961" s="8">
        <v>46128</v>
      </c>
      <c r="M1961" s="17">
        <f>MAX(1,NETWORKDAYS(A1961,L1961,Table2[Dias no laborales]))</f>
        <v>1</v>
      </c>
    </row>
    <row r="1962" spans="1:13" hidden="1" x14ac:dyDescent="0.3">
      <c r="A1962" s="8">
        <v>46128</v>
      </c>
      <c r="B1962" s="16" t="s">
        <v>3950</v>
      </c>
      <c r="C1962" s="6" t="s">
        <v>4008</v>
      </c>
      <c r="D1962" s="6" t="s">
        <v>42</v>
      </c>
      <c r="E1962" s="14">
        <v>46128.382638888892</v>
      </c>
      <c r="F1962" s="8">
        <f>IF(HOUR(Table1[[#This Row],[CORREO]])&gt;=11,WORKDAY(Table1[[#This Row],[CORREO]],1,Table2[Dias no laborales]),E1962)</f>
        <v>46128.382638888892</v>
      </c>
      <c r="G1962" s="8">
        <v>46133</v>
      </c>
      <c r="H1962" s="6">
        <f t="shared" si="93"/>
        <v>16</v>
      </c>
      <c r="I1962" s="6">
        <f>MAX(1, NETWORKDAYS(A1962, G1962,Table2[Dias no laborales]))</f>
        <v>4</v>
      </c>
      <c r="J1962" s="6" t="str">
        <f>IF(Table1[[#This Row],[FIN]]="","Acumulado",IF(ISNUMBER(SEARCH("ASAP",C1962)),"ASAP",IF(NETWORKDAYS.INTL(F1962,G1962,1,Table2[Dias no laborales]) &lt;= 7, "Dentro", IF(A1962&gt;F1962,"Programado","Fuera"))))</f>
        <v>Dentro</v>
      </c>
      <c r="K1962" s="6" t="str">
        <f t="shared" si="94"/>
        <v>A tiempo</v>
      </c>
      <c r="L1962" s="8">
        <v>46128</v>
      </c>
      <c r="M1962" s="17">
        <f>MAX(1,NETWORKDAYS(A1962,L1962,Table2[Dias no laborales]))</f>
        <v>1</v>
      </c>
    </row>
    <row r="1963" spans="1:13" hidden="1" x14ac:dyDescent="0.3">
      <c r="A1963" s="8">
        <v>46128</v>
      </c>
      <c r="B1963" s="16" t="s">
        <v>3951</v>
      </c>
      <c r="C1963" s="6" t="s">
        <v>4009</v>
      </c>
      <c r="D1963" s="6" t="s">
        <v>15</v>
      </c>
      <c r="E1963" s="14">
        <v>46128.393055555556</v>
      </c>
      <c r="F1963" s="8">
        <f>IF(HOUR(Table1[[#This Row],[CORREO]])&gt;=11,WORKDAY(Table1[[#This Row],[CORREO]],1,Table2[Dias no laborales]),E1963)</f>
        <v>46128.393055555556</v>
      </c>
      <c r="G1963" s="8">
        <v>46129</v>
      </c>
      <c r="H1963" s="6">
        <f t="shared" si="93"/>
        <v>16</v>
      </c>
      <c r="I1963" s="6">
        <f>MAX(1, NETWORKDAYS(A1963, G1963,Table2[Dias no laborales]))</f>
        <v>2</v>
      </c>
      <c r="J1963" s="6" t="str">
        <f>IF(Table1[[#This Row],[FIN]]="","Acumulado",IF(ISNUMBER(SEARCH("ASAP",C1963)),"ASAP",IF(NETWORKDAYS.INTL(F1963,G1963,1,Table2[Dias no laborales]) &lt;= 7, "Dentro", IF(A1963&gt;F1963,"Programado","Fuera"))))</f>
        <v>Dentro</v>
      </c>
      <c r="K1963" s="6" t="str">
        <f t="shared" si="94"/>
        <v>A tiempo</v>
      </c>
      <c r="L1963" s="8">
        <v>46128</v>
      </c>
      <c r="M1963" s="17">
        <f>MAX(1,NETWORKDAYS(A1963,L1963,Table2[Dias no laborales]))</f>
        <v>1</v>
      </c>
    </row>
    <row r="1964" spans="1:13" hidden="1" x14ac:dyDescent="0.3">
      <c r="A1964" s="8">
        <v>46128</v>
      </c>
      <c r="B1964" s="16" t="s">
        <v>3952</v>
      </c>
      <c r="C1964" s="6" t="s">
        <v>4010</v>
      </c>
      <c r="D1964" s="6" t="s">
        <v>24</v>
      </c>
      <c r="E1964" s="14"/>
      <c r="F1964" s="8">
        <f>IF(HOUR(Table1[[#This Row],[CORREO]])&gt;=11,WORKDAY(Table1[[#This Row],[CORREO]],1,Table2[Dias no laborales]),E1964)</f>
        <v>0</v>
      </c>
      <c r="G1964" s="8">
        <v>46129</v>
      </c>
      <c r="H1964" s="6">
        <f t="shared" si="93"/>
        <v>16</v>
      </c>
      <c r="I1964" s="6">
        <f>MAX(1, NETWORKDAYS(A1964, G1964,Table2[Dias no laborales]))</f>
        <v>2</v>
      </c>
      <c r="J1964" s="6" t="str">
        <f>IF(Table1[[#This Row],[FIN]]="","Acumulado",IF(ISNUMBER(SEARCH("ASAP",C1964)),"ASAP",IF(NETWORKDAYS.INTL(F1964,G1964,1,Table2[Dias no laborales]) &lt;= 7, "Dentro", IF(A1964&gt;F1964,"Programado","Fuera"))))</f>
        <v>Programado</v>
      </c>
      <c r="K1964" s="6" t="str">
        <f t="shared" si="94"/>
        <v>Programados</v>
      </c>
      <c r="L1964" s="8">
        <v>46128</v>
      </c>
      <c r="M1964" s="17">
        <f>MAX(1,NETWORKDAYS(A1964,L1964,Table2[Dias no laborales]))</f>
        <v>1</v>
      </c>
    </row>
    <row r="1965" spans="1:13" hidden="1" x14ac:dyDescent="0.3">
      <c r="A1965" s="8">
        <v>46128</v>
      </c>
      <c r="B1965" s="16" t="s">
        <v>3953</v>
      </c>
      <c r="C1965" s="6" t="s">
        <v>4011</v>
      </c>
      <c r="D1965" s="6" t="s">
        <v>423</v>
      </c>
      <c r="E1965" s="14">
        <v>46128.54791666667</v>
      </c>
      <c r="F1965" s="8">
        <f>IF(HOUR(Table1[[#This Row],[CORREO]])&gt;=11,WORKDAY(Table1[[#This Row],[CORREO]],1,Table2[Dias no laborales]),E1965)</f>
        <v>46129</v>
      </c>
      <c r="G1965" s="8">
        <v>46129</v>
      </c>
      <c r="H1965" s="6">
        <f t="shared" si="93"/>
        <v>16</v>
      </c>
      <c r="I1965" s="6">
        <f>MAX(1, NETWORKDAYS(A1965, G1965,Table2[Dias no laborales]))</f>
        <v>2</v>
      </c>
      <c r="J1965" s="6" t="str">
        <f>IF(Table1[[#This Row],[FIN]]="","Acumulado",IF(ISNUMBER(SEARCH("ASAP",C1965)),"ASAP",IF(NETWORKDAYS.INTL(F1965,G1965,1,Table2[Dias no laborales]) &lt;= 7, "Dentro", IF(A1965&gt;F1965,"Programado","Fuera"))))</f>
        <v>Dentro</v>
      </c>
      <c r="K1965" s="6" t="str">
        <f t="shared" si="94"/>
        <v>Mismo día</v>
      </c>
      <c r="L1965" s="8">
        <v>46128</v>
      </c>
      <c r="M1965" s="17">
        <f>MAX(1,NETWORKDAYS(A1965,L1965,Table2[Dias no laborales]))</f>
        <v>1</v>
      </c>
    </row>
    <row r="1966" spans="1:13" hidden="1" x14ac:dyDescent="0.3">
      <c r="A1966" s="8">
        <v>46129</v>
      </c>
      <c r="B1966" s="16" t="s">
        <v>3954</v>
      </c>
      <c r="C1966" s="6" t="s">
        <v>4012</v>
      </c>
      <c r="D1966" s="6" t="s">
        <v>89</v>
      </c>
      <c r="E1966" s="14">
        <v>46128.464583333334</v>
      </c>
      <c r="F1966" s="8">
        <f>IF(HOUR(Table1[[#This Row],[CORREO]])&gt;=11,WORKDAY(Table1[[#This Row],[CORREO]],1,Table2[Dias no laborales]),E1966)</f>
        <v>46129</v>
      </c>
      <c r="G1966" s="8">
        <v>46136</v>
      </c>
      <c r="H1966" s="6">
        <f t="shared" si="93"/>
        <v>16</v>
      </c>
      <c r="I1966" s="6">
        <f>MAX(1, NETWORKDAYS(A1966, G1966,Table2[Dias no laborales]))</f>
        <v>6</v>
      </c>
      <c r="J1966" s="6" t="str">
        <f>IF(Table1[[#This Row],[FIN]]="","Acumulado",IF(ISNUMBER(SEARCH("ASAP",C1966)),"ASAP",IF(NETWORKDAYS.INTL(F1966,G1966,1,Table2[Dias no laborales]) &lt;= 7, "Dentro", IF(A1966&gt;F1966,"Programado","Fuera"))))</f>
        <v>Dentro</v>
      </c>
      <c r="K1966" s="6" t="str">
        <f t="shared" si="94"/>
        <v>A tiempo</v>
      </c>
      <c r="L1966" s="8">
        <v>46129</v>
      </c>
      <c r="M1966" s="17">
        <f>MAX(1,NETWORKDAYS(A1966,L1966,Table2[Dias no laborales]))</f>
        <v>1</v>
      </c>
    </row>
    <row r="1967" spans="1:13" hidden="1" x14ac:dyDescent="0.3">
      <c r="A1967" s="8">
        <v>46129</v>
      </c>
      <c r="B1967" s="16" t="s">
        <v>3955</v>
      </c>
      <c r="C1967" s="6" t="s">
        <v>4013</v>
      </c>
      <c r="D1967" s="6" t="s">
        <v>3837</v>
      </c>
      <c r="E1967" s="14">
        <v>46128.500694444447</v>
      </c>
      <c r="F1967" s="8">
        <f>IF(HOUR(Table1[[#This Row],[CORREO]])&gt;=11,WORKDAY(Table1[[#This Row],[CORREO]],1,Table2[Dias no laborales]),E1967)</f>
        <v>46129</v>
      </c>
      <c r="G1967" s="8">
        <v>46129</v>
      </c>
      <c r="H1967" s="6">
        <f t="shared" si="93"/>
        <v>16</v>
      </c>
      <c r="I1967" s="6">
        <f>MAX(1, NETWORKDAYS(A1967, G1967,Table2[Dias no laborales]))</f>
        <v>1</v>
      </c>
      <c r="J1967" s="6" t="str">
        <f>IF(Table1[[#This Row],[FIN]]="","Acumulado",IF(ISNUMBER(SEARCH("ASAP",C1967)),"ASAP",IF(NETWORKDAYS.INTL(F1967,G1967,1,Table2[Dias no laborales]) &lt;= 7, "Dentro", IF(A1967&gt;F1967,"Programado","Fuera"))))</f>
        <v>Dentro</v>
      </c>
      <c r="K1967" s="6" t="str">
        <f t="shared" si="94"/>
        <v>A tiempo</v>
      </c>
      <c r="L1967" s="8">
        <v>46129</v>
      </c>
      <c r="M1967" s="17">
        <f>MAX(1,NETWORKDAYS(A1967,L1967,Table2[Dias no laborales]))</f>
        <v>1</v>
      </c>
    </row>
    <row r="1968" spans="1:13" hidden="1" x14ac:dyDescent="0.3">
      <c r="A1968" s="8">
        <v>46129</v>
      </c>
      <c r="B1968" s="16" t="s">
        <v>3956</v>
      </c>
      <c r="C1968" s="6" t="s">
        <v>4014</v>
      </c>
      <c r="D1968" s="6" t="s">
        <v>2994</v>
      </c>
      <c r="E1968" s="14">
        <v>46128.671527777777</v>
      </c>
      <c r="F1968" s="8">
        <f>IF(HOUR(Table1[[#This Row],[CORREO]])&gt;=11,WORKDAY(Table1[[#This Row],[CORREO]],1,Table2[Dias no laborales]),E1968)</f>
        <v>46129</v>
      </c>
      <c r="G1968" s="8">
        <v>46139</v>
      </c>
      <c r="H1968" s="6">
        <f t="shared" si="93"/>
        <v>16</v>
      </c>
      <c r="I1968" s="6">
        <f>MAX(1, NETWORKDAYS(A1968, G1968,Table2[Dias no laborales]))</f>
        <v>7</v>
      </c>
      <c r="J1968" s="6" t="str">
        <f>IF(Table1[[#This Row],[FIN]]="","Acumulado",IF(ISNUMBER(SEARCH("ASAP",C1968)),"ASAP",IF(NETWORKDAYS.INTL(F1968,G1968,1,Table2[Dias no laborales]) &lt;= 7, "Dentro", IF(A1968&gt;F1968,"Programado","Fuera"))))</f>
        <v>Dentro</v>
      </c>
      <c r="K1968" s="6" t="str">
        <f t="shared" si="94"/>
        <v>A tiempo</v>
      </c>
      <c r="L1968" s="8">
        <v>46129</v>
      </c>
      <c r="M1968" s="17">
        <f>MAX(1,NETWORKDAYS(A1968,L1968,Table2[Dias no laborales]))</f>
        <v>1</v>
      </c>
    </row>
    <row r="1969" spans="1:13" hidden="1" x14ac:dyDescent="0.3">
      <c r="A1969" s="8">
        <v>46129</v>
      </c>
      <c r="B1969" s="16" t="s">
        <v>3957</v>
      </c>
      <c r="C1969" s="6" t="s">
        <v>4015</v>
      </c>
      <c r="D1969" s="6" t="s">
        <v>423</v>
      </c>
      <c r="E1969" s="14">
        <v>46129.380555555559</v>
      </c>
      <c r="F1969" s="8">
        <f>IF(HOUR(Table1[[#This Row],[CORREO]])&gt;=11,WORKDAY(Table1[[#This Row],[CORREO]],1,Table2[Dias no laborales]),E1969)</f>
        <v>46129.380555555559</v>
      </c>
      <c r="G1969" s="8">
        <v>46133</v>
      </c>
      <c r="H1969" s="6">
        <f t="shared" si="93"/>
        <v>16</v>
      </c>
      <c r="I1969" s="6">
        <f>MAX(1, NETWORKDAYS(A1969, G1969,Table2[Dias no laborales]))</f>
        <v>3</v>
      </c>
      <c r="J1969" s="6" t="str">
        <f>IF(Table1[[#This Row],[FIN]]="","Acumulado",IF(ISNUMBER(SEARCH("ASAP",C1969)),"ASAP",IF(NETWORKDAYS.INTL(F1969,G1969,1,Table2[Dias no laborales]) &lt;= 7, "Dentro", IF(A1969&gt;F1969,"Programado","Fuera"))))</f>
        <v>Dentro</v>
      </c>
      <c r="K1969" s="6" t="str">
        <f t="shared" si="94"/>
        <v>A tiempo</v>
      </c>
      <c r="L1969" s="8">
        <v>46129</v>
      </c>
      <c r="M1969" s="17">
        <f>MAX(1,NETWORKDAYS(A1969,L1969,Table2[Dias no laborales]))</f>
        <v>1</v>
      </c>
    </row>
    <row r="1970" spans="1:13" hidden="1" x14ac:dyDescent="0.3">
      <c r="A1970" s="8">
        <v>46129</v>
      </c>
      <c r="B1970" s="16" t="s">
        <v>3958</v>
      </c>
      <c r="C1970" s="6" t="s">
        <v>4005</v>
      </c>
      <c r="D1970" s="6" t="s">
        <v>4016</v>
      </c>
      <c r="E1970" s="14">
        <v>46190.5</v>
      </c>
      <c r="F1970" s="8">
        <f>IF(HOUR(Table1[[#This Row],[CORREO]])&gt;=11,WORKDAY(Table1[[#This Row],[CORREO]],1,Table2[Dias no laborales]),E1970)</f>
        <v>46191</v>
      </c>
      <c r="G1970" s="8">
        <v>46132</v>
      </c>
      <c r="H1970" s="6">
        <f t="shared" si="93"/>
        <v>16</v>
      </c>
      <c r="I1970" s="6">
        <f>MAX(1, NETWORKDAYS(A1970, G1970,Table2[Dias no laborales]))</f>
        <v>2</v>
      </c>
      <c r="J1970" s="6" t="str">
        <f>IF(Table1[[#This Row],[FIN]]="","Acumulado",IF(ISNUMBER(SEARCH("ASAP",C1970)),"ASAP",IF(NETWORKDAYS.INTL(F1970,G1970,1,Table2[Dias no laborales]) &lt;= 7, "Dentro", IF(A1970&gt;F1970,"Programado","Fuera"))))</f>
        <v>Dentro</v>
      </c>
      <c r="K1970" s="6" t="str">
        <f t="shared" si="94"/>
        <v>Mismo día</v>
      </c>
      <c r="L1970" s="8">
        <v>46129</v>
      </c>
      <c r="M1970" s="17">
        <f>MAX(1,NETWORKDAYS(A1970,L1970,Table2[Dias no laborales]))</f>
        <v>1</v>
      </c>
    </row>
    <row r="1971" spans="1:13" hidden="1" x14ac:dyDescent="0.3">
      <c r="A1971" s="8">
        <v>46129</v>
      </c>
      <c r="B1971" s="16" t="s">
        <v>3959</v>
      </c>
      <c r="C1971" s="6" t="s">
        <v>188</v>
      </c>
      <c r="D1971" s="6" t="s">
        <v>27</v>
      </c>
      <c r="E1971" s="14"/>
      <c r="F1971" s="8">
        <f>IF(HOUR(Table1[[#This Row],[CORREO]])&gt;=11,WORKDAY(Table1[[#This Row],[CORREO]],1,Table2[Dias no laborales]),E1971)</f>
        <v>0</v>
      </c>
      <c r="G1971" s="8">
        <v>46132</v>
      </c>
      <c r="H1971" s="6">
        <f t="shared" si="93"/>
        <v>16</v>
      </c>
      <c r="I1971" s="6">
        <f>MAX(1, NETWORKDAYS(A1971, G1971,Table2[Dias no laborales]))</f>
        <v>2</v>
      </c>
      <c r="J1971" s="6" t="str">
        <f>IF(Table1[[#This Row],[FIN]]="","Acumulado",IF(ISNUMBER(SEARCH("ASAP",C1971)),"ASAP",IF(NETWORKDAYS.INTL(F1971,G1971,1,Table2[Dias no laborales]) &lt;= 7, "Dentro", IF(A1971&gt;F1971,"Programado","Fuera"))))</f>
        <v>Programado</v>
      </c>
      <c r="K1971" s="6" t="str">
        <f t="shared" si="94"/>
        <v>Programados</v>
      </c>
      <c r="L1971" s="8">
        <v>46129</v>
      </c>
      <c r="M1971" s="17">
        <f>MAX(1,NETWORKDAYS(A1971,L1971,Table2[Dias no laborales]))</f>
        <v>1</v>
      </c>
    </row>
    <row r="1972" spans="1:13" hidden="1" x14ac:dyDescent="0.3">
      <c r="A1972" s="8">
        <v>46129</v>
      </c>
      <c r="B1972" s="16" t="s">
        <v>3960</v>
      </c>
      <c r="C1972" s="6" t="s">
        <v>196</v>
      </c>
      <c r="D1972" s="6" t="s">
        <v>27</v>
      </c>
      <c r="E1972" s="14"/>
      <c r="F1972" s="8">
        <f>IF(HOUR(Table1[[#This Row],[CORREO]])&gt;=11,WORKDAY(Table1[[#This Row],[CORREO]],1,Table2[Dias no laborales]),E1972)</f>
        <v>0</v>
      </c>
      <c r="G1972" s="8">
        <v>46133</v>
      </c>
      <c r="H1972" s="6">
        <f t="shared" si="93"/>
        <v>16</v>
      </c>
      <c r="I1972" s="6">
        <f>MAX(1, NETWORKDAYS(A1972, G1972,Table2[Dias no laborales]))</f>
        <v>3</v>
      </c>
      <c r="J1972" s="6" t="str">
        <f>IF(Table1[[#This Row],[FIN]]="","Acumulado",IF(ISNUMBER(SEARCH("ASAP",C1972)),"ASAP",IF(NETWORKDAYS.INTL(F1972,G1972,1,Table2[Dias no laborales]) &lt;= 7, "Dentro", IF(A1972&gt;F1972,"Programado","Fuera"))))</f>
        <v>Programado</v>
      </c>
      <c r="K1972" s="6" t="str">
        <f t="shared" si="94"/>
        <v>Programados</v>
      </c>
      <c r="L1972" s="8">
        <v>46129</v>
      </c>
      <c r="M1972" s="17">
        <f>MAX(1,NETWORKDAYS(A1972,L1972,Table2[Dias no laborales]))</f>
        <v>1</v>
      </c>
    </row>
    <row r="1973" spans="1:13" hidden="1" x14ac:dyDescent="0.3">
      <c r="A1973" s="8">
        <v>46132</v>
      </c>
      <c r="B1973" s="16" t="s">
        <v>3961</v>
      </c>
      <c r="C1973" s="6" t="s">
        <v>4017</v>
      </c>
      <c r="D1973" s="6" t="s">
        <v>24</v>
      </c>
      <c r="E1973" s="14"/>
      <c r="F1973" s="8">
        <f>IF(HOUR(Table1[[#This Row],[CORREO]])&gt;=11,WORKDAY(Table1[[#This Row],[CORREO]],1,Table2[Dias no laborales]),E1973)</f>
        <v>0</v>
      </c>
      <c r="G1973" s="8">
        <v>46136</v>
      </c>
      <c r="H1973" s="6">
        <f t="shared" si="93"/>
        <v>16</v>
      </c>
      <c r="I1973" s="6">
        <f>MAX(1, NETWORKDAYS(A1973, G1973,Table2[Dias no laborales]))</f>
        <v>5</v>
      </c>
      <c r="J1973" s="6" t="str">
        <f>IF(Table1[[#This Row],[FIN]]="","Acumulado",IF(ISNUMBER(SEARCH("ASAP",C1973)),"ASAP",IF(NETWORKDAYS.INTL(F1973,G1973,1,Table2[Dias no laborales]) &lt;= 7, "Dentro", IF(A1973&gt;F1973,"Programado","Fuera"))))</f>
        <v>Programado</v>
      </c>
      <c r="K1973" s="6" t="str">
        <f t="shared" si="94"/>
        <v>Programados</v>
      </c>
      <c r="L1973" s="8">
        <v>46132</v>
      </c>
      <c r="M1973" s="17">
        <f>MAX(1,NETWORKDAYS(A1973,L1973,Table2[Dias no laborales]))</f>
        <v>1</v>
      </c>
    </row>
    <row r="1974" spans="1:13" hidden="1" x14ac:dyDescent="0.3">
      <c r="A1974" s="8">
        <v>46132</v>
      </c>
      <c r="B1974" s="16" t="s">
        <v>3962</v>
      </c>
      <c r="C1974" s="6" t="s">
        <v>4018</v>
      </c>
      <c r="D1974" s="6" t="s">
        <v>2963</v>
      </c>
      <c r="E1974" s="14">
        <v>46129.74722222222</v>
      </c>
      <c r="F1974" s="8">
        <f>IF(HOUR(Table1[[#This Row],[CORREO]])&gt;=11,WORKDAY(Table1[[#This Row],[CORREO]],1,Table2[Dias no laborales]),E1974)</f>
        <v>46132</v>
      </c>
      <c r="G1974" s="8">
        <v>46133</v>
      </c>
      <c r="H1974" s="6">
        <f t="shared" si="93"/>
        <v>16</v>
      </c>
      <c r="I1974" s="6">
        <f>MAX(1, NETWORKDAYS(A1974, G1974,Table2[Dias no laborales]))</f>
        <v>2</v>
      </c>
      <c r="J1974" s="6" t="str">
        <f>IF(Table1[[#This Row],[FIN]]="","Acumulado",IF(ISNUMBER(SEARCH("ASAP",C1974)),"ASAP",IF(NETWORKDAYS.INTL(F1974,G1974,1,Table2[Dias no laborales]) &lt;= 7, "Dentro", IF(A1974&gt;F1974,"Programado","Fuera"))))</f>
        <v>Dentro</v>
      </c>
      <c r="K1974" s="6" t="str">
        <f t="shared" si="94"/>
        <v>A tiempo</v>
      </c>
      <c r="L1974" s="8">
        <v>46132</v>
      </c>
      <c r="M1974" s="17">
        <f>MAX(1,NETWORKDAYS(A1974,L1974,Table2[Dias no laborales]))</f>
        <v>1</v>
      </c>
    </row>
    <row r="1975" spans="1:13" hidden="1" x14ac:dyDescent="0.3">
      <c r="A1975" s="8">
        <v>46132</v>
      </c>
      <c r="B1975" s="16" t="s">
        <v>3963</v>
      </c>
      <c r="C1975" s="6" t="s">
        <v>4019</v>
      </c>
      <c r="D1975" s="6" t="s">
        <v>61</v>
      </c>
      <c r="E1975" s="14">
        <v>46132.45208333333</v>
      </c>
      <c r="F1975" s="8">
        <f>IF(HOUR(Table1[[#This Row],[CORREO]])&gt;=11,WORKDAY(Table1[[#This Row],[CORREO]],1,Table2[Dias no laborales]),E1975)</f>
        <v>46132.45208333333</v>
      </c>
      <c r="G1975" s="8">
        <v>46133</v>
      </c>
      <c r="H1975" s="6">
        <f t="shared" si="93"/>
        <v>16</v>
      </c>
      <c r="I1975" s="6">
        <f>MAX(1, NETWORKDAYS(A1975, G1975,Table2[Dias no laborales]))</f>
        <v>2</v>
      </c>
      <c r="J1975" s="6" t="str">
        <f>IF(Table1[[#This Row],[FIN]]="","Acumulado",IF(ISNUMBER(SEARCH("ASAP",C1975)),"ASAP",IF(NETWORKDAYS.INTL(F1975,G1975,1,Table2[Dias no laborales]) &lt;= 7, "Dentro", IF(A1975&gt;F1975,"Programado","Fuera"))))</f>
        <v>Dentro</v>
      </c>
      <c r="K1975" s="6" t="str">
        <f t="shared" si="94"/>
        <v>A tiempo</v>
      </c>
      <c r="L1975" s="8">
        <v>46132</v>
      </c>
      <c r="M1975" s="17">
        <f>MAX(1,NETWORKDAYS(A1975,L1975,Table2[Dias no laborales]))</f>
        <v>1</v>
      </c>
    </row>
    <row r="1976" spans="1:13" hidden="1" x14ac:dyDescent="0.3">
      <c r="A1976" s="8">
        <v>46132</v>
      </c>
      <c r="B1976" s="16" t="s">
        <v>3964</v>
      </c>
      <c r="C1976" s="6" t="s">
        <v>4020</v>
      </c>
      <c r="D1976" s="6" t="s">
        <v>53</v>
      </c>
      <c r="E1976" s="14">
        <v>46132.470138888886</v>
      </c>
      <c r="F1976" s="8">
        <f>IF(HOUR(Table1[[#This Row],[CORREO]])&gt;=11,WORKDAY(Table1[[#This Row],[CORREO]],1,Table2[Dias no laborales]),E1976)</f>
        <v>46133</v>
      </c>
      <c r="G1976" s="8">
        <v>46132</v>
      </c>
      <c r="H1976" s="6">
        <f t="shared" si="93"/>
        <v>16</v>
      </c>
      <c r="I1976" s="6">
        <f>MAX(1, NETWORKDAYS(A1976, G1976,Table2[Dias no laborales]))</f>
        <v>1</v>
      </c>
      <c r="J1976" s="6" t="str">
        <f>IF(Table1[[#This Row],[FIN]]="","Acumulado",IF(ISNUMBER(SEARCH("ASAP",C1976)),"ASAP",IF(NETWORKDAYS.INTL(F1976,G1976,1,Table2[Dias no laborales]) &lt;= 7, "Dentro", IF(A1976&gt;F1976,"Programado","Fuera"))))</f>
        <v>Dentro</v>
      </c>
      <c r="K1976" s="6" t="str">
        <f t="shared" si="94"/>
        <v>Mismo día</v>
      </c>
      <c r="L1976" s="8">
        <v>46132</v>
      </c>
      <c r="M1976" s="17">
        <f>MAX(1,NETWORKDAYS(A1976,L1976,Table2[Dias no laborales]))</f>
        <v>1</v>
      </c>
    </row>
    <row r="1977" spans="1:13" hidden="1" x14ac:dyDescent="0.3">
      <c r="A1977" s="8">
        <v>46133</v>
      </c>
      <c r="B1977" s="16" t="s">
        <v>3965</v>
      </c>
      <c r="C1977" s="6" t="s">
        <v>4022</v>
      </c>
      <c r="D1977" s="6" t="s">
        <v>154</v>
      </c>
      <c r="E1977" s="14">
        <v>46132.638888888891</v>
      </c>
      <c r="F1977" s="8">
        <f>IF(HOUR(Table1[[#This Row],[CORREO]])&gt;=11,WORKDAY(Table1[[#This Row],[CORREO]],1,Table2[Dias no laborales]),E1977)</f>
        <v>46133</v>
      </c>
      <c r="G1977" s="8">
        <v>46135</v>
      </c>
      <c r="H1977" s="6">
        <f t="shared" si="93"/>
        <v>16</v>
      </c>
      <c r="I1977" s="6">
        <f>MAX(1, NETWORKDAYS(A1977, G1977,Table2[Dias no laborales]))</f>
        <v>3</v>
      </c>
      <c r="J1977" s="6" t="str">
        <f>IF(Table1[[#This Row],[FIN]]="","Acumulado",IF(ISNUMBER(SEARCH("ASAP",C1977)),"ASAP",IF(NETWORKDAYS.INTL(F1977,G1977,1,Table2[Dias no laborales]) &lt;= 7, "Dentro", IF(A1977&gt;F1977,"Programado","Fuera"))))</f>
        <v>Dentro</v>
      </c>
      <c r="K1977" s="6" t="str">
        <f t="shared" si="94"/>
        <v>A tiempo</v>
      </c>
      <c r="L1977" s="8">
        <v>46132</v>
      </c>
      <c r="M1977" s="17">
        <f>MAX(1,NETWORKDAYS(A1977,L1977,Table2[Dias no laborales]))</f>
        <v>1</v>
      </c>
    </row>
    <row r="1978" spans="1:13" hidden="1" x14ac:dyDescent="0.3">
      <c r="A1978" s="8">
        <v>46133</v>
      </c>
      <c r="B1978" s="16" t="s">
        <v>3966</v>
      </c>
      <c r="C1978" s="6" t="s">
        <v>4023</v>
      </c>
      <c r="D1978" s="6" t="s">
        <v>2981</v>
      </c>
      <c r="E1978" s="14">
        <v>46132.704861111109</v>
      </c>
      <c r="F1978" s="8">
        <f>IF(HOUR(Table1[[#This Row],[CORREO]])&gt;=11,WORKDAY(Table1[[#This Row],[CORREO]],1,Table2[Dias no laborales]),E1978)</f>
        <v>46133</v>
      </c>
      <c r="G1978" s="8">
        <v>46133</v>
      </c>
      <c r="H1978" s="6">
        <f t="shared" si="93"/>
        <v>16</v>
      </c>
      <c r="I1978" s="6">
        <f>MAX(1, NETWORKDAYS(A1978, G1978,Table2[Dias no laborales]))</f>
        <v>1</v>
      </c>
      <c r="J1978" s="6" t="str">
        <f>IF(Table1[[#This Row],[FIN]]="","Acumulado",IF(ISNUMBER(SEARCH("ASAP",C1978)),"ASAP",IF(NETWORKDAYS.INTL(F1978,G1978,1,Table2[Dias no laborales]) &lt;= 7, "Dentro", IF(A1978&gt;F1978,"Programado","Fuera"))))</f>
        <v>Dentro</v>
      </c>
      <c r="K1978" s="6" t="str">
        <f t="shared" si="94"/>
        <v>A tiempo</v>
      </c>
      <c r="L1978" s="8">
        <v>46133</v>
      </c>
      <c r="M1978" s="17">
        <f>MAX(1,NETWORKDAYS(A1978,L1978,Table2[Dias no laborales]))</f>
        <v>1</v>
      </c>
    </row>
    <row r="1979" spans="1:13" hidden="1" x14ac:dyDescent="0.3">
      <c r="A1979" s="8">
        <v>46133</v>
      </c>
      <c r="B1979" s="16" t="s">
        <v>3967</v>
      </c>
      <c r="C1979" s="6" t="s">
        <v>4024</v>
      </c>
      <c r="D1979" s="6" t="s">
        <v>24</v>
      </c>
      <c r="E1979" s="14">
        <v>46133.457638888889</v>
      </c>
      <c r="F1979" s="8">
        <f>IF(HOUR(Table1[[#This Row],[CORREO]])&gt;=11,WORKDAY(Table1[[#This Row],[CORREO]],1,Table2[Dias no laborales]),E1979)</f>
        <v>46133.457638888889</v>
      </c>
      <c r="G1979" s="8">
        <v>46133</v>
      </c>
      <c r="H1979" s="6">
        <f t="shared" si="93"/>
        <v>16</v>
      </c>
      <c r="I1979" s="6">
        <f>MAX(1, NETWORKDAYS(A1979, G1979,Table2[Dias no laborales]))</f>
        <v>1</v>
      </c>
      <c r="J1979" s="6" t="str">
        <f>IF(Table1[[#This Row],[FIN]]="","Acumulado",IF(ISNUMBER(SEARCH("ASAP",C1979)),"ASAP",IF(NETWORKDAYS.INTL(F1979,G1979,1,Table2[Dias no laborales]) &lt;= 7, "Dentro", IF(A1979&gt;F1979,"Programado","Fuera"))))</f>
        <v>Dentro</v>
      </c>
      <c r="K1979" s="6" t="str">
        <f t="shared" si="94"/>
        <v>A tiempo</v>
      </c>
      <c r="L1979" s="8">
        <v>46133</v>
      </c>
      <c r="M1979" s="17">
        <f>MAX(1,NETWORKDAYS(A1979,L1979,Table2[Dias no laborales]))</f>
        <v>1</v>
      </c>
    </row>
    <row r="1980" spans="1:13" hidden="1" x14ac:dyDescent="0.3">
      <c r="A1980" s="8">
        <v>46133</v>
      </c>
      <c r="B1980" s="16" t="s">
        <v>3968</v>
      </c>
      <c r="C1980" s="6" t="s">
        <v>4025</v>
      </c>
      <c r="D1980" s="6" t="s">
        <v>53</v>
      </c>
      <c r="E1980" s="14">
        <v>46133.459027777775</v>
      </c>
      <c r="F1980" s="8">
        <f>IF(HOUR(Table1[[#This Row],[CORREO]])&gt;=11,WORKDAY(Table1[[#This Row],[CORREO]],1,Table2[Dias no laborales]),E1980)</f>
        <v>46134</v>
      </c>
      <c r="G1980" s="8">
        <v>46133</v>
      </c>
      <c r="H1980" s="6">
        <f t="shared" si="93"/>
        <v>16</v>
      </c>
      <c r="I1980" s="6">
        <f>MAX(1, NETWORKDAYS(A1980, G1980,Table2[Dias no laborales]))</f>
        <v>1</v>
      </c>
      <c r="J1980" s="6" t="str">
        <f>IF(Table1[[#This Row],[FIN]]="","Acumulado",IF(ISNUMBER(SEARCH("ASAP",C1980)),"ASAP",IF(NETWORKDAYS.INTL(F1980,G1980,1,Table2[Dias no laborales]) &lt;= 7, "Dentro", IF(A1980&gt;F1980,"Programado","Fuera"))))</f>
        <v>Dentro</v>
      </c>
      <c r="K1980" s="6" t="str">
        <f t="shared" si="94"/>
        <v>Mismo día</v>
      </c>
      <c r="L1980" s="8">
        <v>46133</v>
      </c>
      <c r="M1980" s="17">
        <f>MAX(1,NETWORKDAYS(A1980,L1980,Table2[Dias no laborales]))</f>
        <v>1</v>
      </c>
    </row>
    <row r="1981" spans="1:13" hidden="1" x14ac:dyDescent="0.3">
      <c r="A1981" s="8">
        <v>46133</v>
      </c>
      <c r="B1981" s="16" t="s">
        <v>3969</v>
      </c>
      <c r="C1981" s="6" t="s">
        <v>4026</v>
      </c>
      <c r="D1981" s="6" t="s">
        <v>24</v>
      </c>
      <c r="E1981" s="14">
        <v>46133.461805555555</v>
      </c>
      <c r="F1981" s="8">
        <f>IF(HOUR(Table1[[#This Row],[CORREO]])&gt;=11,WORKDAY(Table1[[#This Row],[CORREO]],1,Table2[Dias no laborales]),E1981)</f>
        <v>46134</v>
      </c>
      <c r="G1981" s="8">
        <v>46134</v>
      </c>
      <c r="H1981" s="6">
        <f t="shared" si="93"/>
        <v>16</v>
      </c>
      <c r="I1981" s="6">
        <f>MAX(1, NETWORKDAYS(A1981, G1981,Table2[Dias no laborales]))</f>
        <v>2</v>
      </c>
      <c r="J1981" s="6" t="str">
        <f>IF(Table1[[#This Row],[FIN]]="","Acumulado",IF(ISNUMBER(SEARCH("ASAP",C1981)),"ASAP",IF(NETWORKDAYS.INTL(F1981,G1981,1,Table2[Dias no laborales]) &lt;= 7, "Dentro", IF(A1981&gt;F1981,"Programado","Fuera"))))</f>
        <v>Dentro</v>
      </c>
      <c r="K1981" s="6" t="str">
        <f t="shared" si="94"/>
        <v>Mismo día</v>
      </c>
      <c r="L1981" s="8">
        <v>46133</v>
      </c>
      <c r="M1981" s="17">
        <f>MAX(1,NETWORKDAYS(A1981,L1981,Table2[Dias no laborales]))</f>
        <v>1</v>
      </c>
    </row>
    <row r="1982" spans="1:13" hidden="1" x14ac:dyDescent="0.3">
      <c r="A1982" s="8">
        <v>46133</v>
      </c>
      <c r="B1982" s="16" t="s">
        <v>3970</v>
      </c>
      <c r="C1982" s="6" t="s">
        <v>4027</v>
      </c>
      <c r="D1982" s="6" t="s">
        <v>1136</v>
      </c>
      <c r="E1982" s="14">
        <v>46133.706250000003</v>
      </c>
      <c r="F1982" s="8">
        <f>IF(HOUR(Table1[[#This Row],[CORREO]])&gt;=11,WORKDAY(Table1[[#This Row],[CORREO]],1,Table2[Dias no laborales]),E1982)</f>
        <v>46134</v>
      </c>
      <c r="G1982" s="8">
        <v>46139</v>
      </c>
      <c r="H1982" s="6">
        <f t="shared" si="93"/>
        <v>16</v>
      </c>
      <c r="I1982" s="6">
        <f>MAX(1, NETWORKDAYS(A1982, G1982,Table2[Dias no laborales]))</f>
        <v>5</v>
      </c>
      <c r="J1982" s="6" t="str">
        <f>IF(Table1[[#This Row],[FIN]]="","Acumulado",IF(ISNUMBER(SEARCH("ASAP",C1982)),"ASAP",IF(NETWORKDAYS.INTL(F1982,G1982,1,Table2[Dias no laborales]) &lt;= 7, "Dentro", IF(A1982&gt;F1982,"Programado","Fuera"))))</f>
        <v>Dentro</v>
      </c>
      <c r="K1982" s="6" t="str">
        <f t="shared" si="94"/>
        <v>Mismo día</v>
      </c>
      <c r="L1982" s="8">
        <v>46133</v>
      </c>
      <c r="M1982" s="17">
        <f>MAX(1,NETWORKDAYS(A1982,L1982,Table2[Dias no laborales]))</f>
        <v>1</v>
      </c>
    </row>
    <row r="1983" spans="1:13" hidden="1" x14ac:dyDescent="0.3">
      <c r="A1983" s="8">
        <v>46134</v>
      </c>
      <c r="B1983" s="16" t="s">
        <v>3971</v>
      </c>
      <c r="C1983" s="6" t="s">
        <v>4028</v>
      </c>
      <c r="D1983" s="6" t="s">
        <v>4029</v>
      </c>
      <c r="E1983" s="14"/>
      <c r="F1983" s="8">
        <f>IF(HOUR(Table1[[#This Row],[CORREO]])&gt;=11,WORKDAY(Table1[[#This Row],[CORREO]],1,Table2[Dias no laborales]),E1983)</f>
        <v>0</v>
      </c>
      <c r="G1983" s="8">
        <v>46134</v>
      </c>
      <c r="H1983" s="6">
        <f t="shared" si="93"/>
        <v>16</v>
      </c>
      <c r="I1983" s="6">
        <f>MAX(1, NETWORKDAYS(A1983, G1983,Table2[Dias no laborales]))</f>
        <v>1</v>
      </c>
      <c r="J1983" s="6" t="str">
        <f>IF(Table1[[#This Row],[FIN]]="","Acumulado",IF(ISNUMBER(SEARCH("ASAP",C1983)),"ASAP",IF(NETWORKDAYS.INTL(F1983,G1983,1,Table2[Dias no laborales]) &lt;= 7, "Dentro", IF(A1983&gt;F1983,"Programado","Fuera"))))</f>
        <v>Programado</v>
      </c>
      <c r="K1983" s="6" t="str">
        <f t="shared" si="94"/>
        <v>Programados</v>
      </c>
      <c r="L1983" s="8">
        <v>46134</v>
      </c>
      <c r="M1983" s="17">
        <f>MAX(1,NETWORKDAYS(A1983,L1983,Table2[Dias no laborales]))</f>
        <v>1</v>
      </c>
    </row>
    <row r="1984" spans="1:13" hidden="1" x14ac:dyDescent="0.3">
      <c r="A1984" s="8">
        <v>46134</v>
      </c>
      <c r="B1984" s="16" t="s">
        <v>3972</v>
      </c>
      <c r="C1984" s="6" t="s">
        <v>4030</v>
      </c>
      <c r="D1984" s="6" t="s">
        <v>839</v>
      </c>
      <c r="E1984" s="14"/>
      <c r="F1984" s="8">
        <f>IF(HOUR(Table1[[#This Row],[CORREO]])&gt;=11,WORKDAY(Table1[[#This Row],[CORREO]],1,Table2[Dias no laborales]),E1984)</f>
        <v>0</v>
      </c>
      <c r="G1984" s="8">
        <v>46139</v>
      </c>
      <c r="H1984" s="6">
        <f t="shared" si="93"/>
        <v>16</v>
      </c>
      <c r="I1984" s="6">
        <f>MAX(1, NETWORKDAYS(A1984, G1984,Table2[Dias no laborales]))</f>
        <v>4</v>
      </c>
      <c r="J1984" s="6" t="str">
        <f>IF(Table1[[#This Row],[FIN]]="","Acumulado",IF(ISNUMBER(SEARCH("ASAP",C1984)),"ASAP",IF(NETWORKDAYS.INTL(F1984,G1984,1,Table2[Dias no laborales]) &lt;= 7, "Dentro", IF(A1984&gt;F1984,"Programado","Fuera"))))</f>
        <v>Programado</v>
      </c>
      <c r="K1984" s="6" t="str">
        <f t="shared" si="94"/>
        <v>Programados</v>
      </c>
      <c r="L1984" s="8">
        <v>46134</v>
      </c>
      <c r="M1984" s="17">
        <f>MAX(1,NETWORKDAYS(A1984,L1984,Table2[Dias no laborales]))</f>
        <v>1</v>
      </c>
    </row>
    <row r="1985" spans="1:13" hidden="1" x14ac:dyDescent="0.3">
      <c r="A1985" s="8">
        <v>46134</v>
      </c>
      <c r="B1985" s="16" t="s">
        <v>3973</v>
      </c>
      <c r="C1985" s="6" t="s">
        <v>4031</v>
      </c>
      <c r="D1985" s="6" t="s">
        <v>53</v>
      </c>
      <c r="E1985" s="14">
        <v>46133.765277777777</v>
      </c>
      <c r="F1985" s="8">
        <f>IF(HOUR(Table1[[#This Row],[CORREO]])&gt;=11,WORKDAY(Table1[[#This Row],[CORREO]],1,Table2[Dias no laborales]),E1985)</f>
        <v>46134</v>
      </c>
      <c r="G1985" s="8">
        <v>46142</v>
      </c>
      <c r="H1985" s="6">
        <f t="shared" si="93"/>
        <v>16</v>
      </c>
      <c r="I1985" s="6">
        <f>MAX(1, NETWORKDAYS(A1985, G1985,Table2[Dias no laborales]))</f>
        <v>7</v>
      </c>
      <c r="J1985" s="6" t="str">
        <f>IF(Table1[[#This Row],[FIN]]="","Acumulado",IF(ISNUMBER(SEARCH("ASAP",C1985)),"ASAP",IF(NETWORKDAYS.INTL(F1985,G1985,1,Table2[Dias no laborales]) &lt;= 7, "Dentro", IF(A1985&gt;F1985,"Programado","Fuera"))))</f>
        <v>Dentro</v>
      </c>
      <c r="K1985" s="6" t="str">
        <f t="shared" si="94"/>
        <v>A tiempo</v>
      </c>
      <c r="L1985" s="8">
        <v>46134</v>
      </c>
      <c r="M1985" s="17">
        <f>MAX(1,NETWORKDAYS(A1985,L1985,Table2[Dias no laborales]))</f>
        <v>1</v>
      </c>
    </row>
    <row r="1986" spans="1:13" hidden="1" x14ac:dyDescent="0.3">
      <c r="A1986" s="8">
        <v>46134</v>
      </c>
      <c r="B1986" s="16" t="s">
        <v>3974</v>
      </c>
      <c r="C1986" s="6" t="s">
        <v>4032</v>
      </c>
      <c r="D1986" s="6" t="s">
        <v>269</v>
      </c>
      <c r="E1986" s="14">
        <v>44673.348611111112</v>
      </c>
      <c r="F1986" s="8">
        <f>IF(HOUR(Table1[[#This Row],[CORREO]])&gt;=11,WORKDAY(Table1[[#This Row],[CORREO]],1,Table2[Dias no laborales]),E1986)</f>
        <v>44673.348611111112</v>
      </c>
      <c r="G1986" s="8">
        <v>46134</v>
      </c>
      <c r="H1986" s="6">
        <f t="shared" si="93"/>
        <v>16</v>
      </c>
      <c r="I1986" s="6">
        <f>MAX(1, NETWORKDAYS(A1986, G1986,Table2[Dias no laborales]))</f>
        <v>1</v>
      </c>
      <c r="J1986" s="6" t="str">
        <f>IF(Table1[[#This Row],[FIN]]="","Acumulado",IF(ISNUMBER(SEARCH("ASAP",C1986)),"ASAP",IF(NETWORKDAYS.INTL(F1986,G1986,1,Table2[Dias no laborales]) &lt;= 7, "Dentro", IF(A1986&gt;F1986,"Programado","Fuera"))))</f>
        <v>Programado</v>
      </c>
      <c r="K1986" s="6" t="str">
        <f t="shared" si="94"/>
        <v>Programados</v>
      </c>
      <c r="L1986" s="8">
        <v>46134</v>
      </c>
      <c r="M1986" s="17">
        <f>MAX(1,NETWORKDAYS(A1986,L1986,Table2[Dias no laborales]))</f>
        <v>1</v>
      </c>
    </row>
    <row r="1987" spans="1:13" hidden="1" x14ac:dyDescent="0.3">
      <c r="A1987" s="8">
        <v>46134</v>
      </c>
      <c r="B1987" s="16" t="s">
        <v>3975</v>
      </c>
      <c r="C1987" s="6" t="s">
        <v>4033</v>
      </c>
      <c r="D1987" s="6" t="s">
        <v>56</v>
      </c>
      <c r="E1987" s="14">
        <v>46134.45416666667</v>
      </c>
      <c r="F1987" s="8">
        <f>IF(HOUR(Table1[[#This Row],[CORREO]])&gt;=11,WORKDAY(Table1[[#This Row],[CORREO]],1,Table2[Dias no laborales]),E1987)</f>
        <v>46134.45416666667</v>
      </c>
      <c r="G1987" s="8">
        <v>46134</v>
      </c>
      <c r="H1987" s="6">
        <f t="shared" si="93"/>
        <v>16</v>
      </c>
      <c r="I1987" s="6">
        <f>MAX(1, NETWORKDAYS(A1987, G1987,Table2[Dias no laborales]))</f>
        <v>1</v>
      </c>
      <c r="J1987" s="6" t="str">
        <f>IF(Table1[[#This Row],[FIN]]="","Acumulado",IF(ISNUMBER(SEARCH("ASAP",C1987)),"ASAP",IF(NETWORKDAYS.INTL(F1987,G1987,1,Table2[Dias no laborales]) &lt;= 7, "Dentro", IF(A1987&gt;F1987,"Programado","Fuera"))))</f>
        <v>Dentro</v>
      </c>
      <c r="K1987" s="6" t="str">
        <f t="shared" si="94"/>
        <v>A tiempo</v>
      </c>
      <c r="L1987" s="8">
        <v>46134</v>
      </c>
      <c r="M1987" s="17">
        <f>MAX(1,NETWORKDAYS(A1987,L1987,Table2[Dias no laborales]))</f>
        <v>1</v>
      </c>
    </row>
    <row r="1988" spans="1:13" hidden="1" x14ac:dyDescent="0.3">
      <c r="A1988" s="8">
        <v>46134</v>
      </c>
      <c r="B1988" s="16" t="s">
        <v>3976</v>
      </c>
      <c r="C1988" s="6" t="s">
        <v>4034</v>
      </c>
      <c r="D1988" s="6" t="s">
        <v>4035</v>
      </c>
      <c r="E1988" s="14">
        <v>46134.506249999999</v>
      </c>
      <c r="F1988" s="8">
        <f>IF(HOUR(Table1[[#This Row],[CORREO]])&gt;=11,WORKDAY(Table1[[#This Row],[CORREO]],1,Table2[Dias no laborales]),E1988)</f>
        <v>46135</v>
      </c>
      <c r="G1988" s="8">
        <v>46135</v>
      </c>
      <c r="H1988" s="6">
        <f t="shared" si="93"/>
        <v>16</v>
      </c>
      <c r="I1988" s="6">
        <f>MAX(1, NETWORKDAYS(A1988, G1988,Table2[Dias no laborales]))</f>
        <v>2</v>
      </c>
      <c r="J1988" s="6" t="str">
        <f>IF(Table1[[#This Row],[FIN]]="","Acumulado",IF(ISNUMBER(SEARCH("ASAP",C1988)),"ASAP",IF(NETWORKDAYS.INTL(F1988,G1988,1,Table2[Dias no laborales]) &lt;= 7, "Dentro", IF(A1988&gt;F1988,"Programado","Fuera"))))</f>
        <v>Dentro</v>
      </c>
      <c r="K1988" s="6" t="str">
        <f t="shared" si="94"/>
        <v>Mismo día</v>
      </c>
      <c r="L1988" s="8">
        <v>46134</v>
      </c>
      <c r="M1988" s="17">
        <f>MAX(1,NETWORKDAYS(A1988,L1988,Table2[Dias no laborales]))</f>
        <v>1</v>
      </c>
    </row>
    <row r="1989" spans="1:13" hidden="1" x14ac:dyDescent="0.3">
      <c r="A1989" s="8">
        <v>46134</v>
      </c>
      <c r="B1989" s="16" t="s">
        <v>3977</v>
      </c>
      <c r="C1989" s="6" t="s">
        <v>4032</v>
      </c>
      <c r="D1989" s="6" t="s">
        <v>4036</v>
      </c>
      <c r="E1989" s="14">
        <v>46134.543749999997</v>
      </c>
      <c r="F1989" s="8">
        <f>IF(HOUR(Table1[[#This Row],[CORREO]])&gt;=11,WORKDAY(Table1[[#This Row],[CORREO]],1,Table2[Dias no laborales]),E1989)</f>
        <v>46135</v>
      </c>
      <c r="G1989" s="8">
        <v>46135</v>
      </c>
      <c r="H1989" s="6">
        <f t="shared" ref="H1989:H2007" si="95">INT((A1989-DATE(YEAR(A1989),1,1))/7) + 1</f>
        <v>16</v>
      </c>
      <c r="I1989" s="6">
        <f>MAX(1, NETWORKDAYS(A1989, G1989,Table2[Dias no laborales]))</f>
        <v>2</v>
      </c>
      <c r="J1989" s="6" t="str">
        <f>IF(Table1[[#This Row],[FIN]]="","Acumulado",IF(ISNUMBER(SEARCH("ASAP",C1989)),"ASAP",IF(NETWORKDAYS.INTL(F1989,G1989,1,Table2[Dias no laborales]) &lt;= 7, "Dentro", IF(A1989&gt;F1989,"Programado","Fuera"))))</f>
        <v>Dentro</v>
      </c>
      <c r="K1989" s="6" t="str">
        <f t="shared" ref="K1989:K2007" si="96">IF(INT(A1989)=INT(F1989),"A tiempo", IF(A1989&lt;F1989,"Mismo día","Programados"))</f>
        <v>Mismo día</v>
      </c>
      <c r="L1989" s="8">
        <v>46134</v>
      </c>
      <c r="M1989" s="17">
        <f>MAX(1,NETWORKDAYS(A1989,L1989,Table2[Dias no laborales]))</f>
        <v>1</v>
      </c>
    </row>
    <row r="1990" spans="1:13" hidden="1" x14ac:dyDescent="0.3">
      <c r="A1990" s="8">
        <v>46135</v>
      </c>
      <c r="B1990" s="16" t="s">
        <v>3978</v>
      </c>
      <c r="C1990" s="6" t="s">
        <v>4037</v>
      </c>
      <c r="D1990" s="6" t="s">
        <v>2963</v>
      </c>
      <c r="E1990" s="14"/>
      <c r="F1990" s="8">
        <f>IF(HOUR(Table1[[#This Row],[CORREO]])&gt;=11,WORKDAY(Table1[[#This Row],[CORREO]],1,Table2[Dias no laborales]),E1990)</f>
        <v>0</v>
      </c>
      <c r="G1990" s="8">
        <v>46136</v>
      </c>
      <c r="H1990" s="6">
        <f t="shared" si="95"/>
        <v>17</v>
      </c>
      <c r="I1990" s="6">
        <f>MAX(1, NETWORKDAYS(A1990, G1990,Table2[Dias no laborales]))</f>
        <v>2</v>
      </c>
      <c r="J1990" s="6" t="str">
        <f>IF(Table1[[#This Row],[FIN]]="","Acumulado",IF(ISNUMBER(SEARCH("ASAP",C1990)),"ASAP",IF(NETWORKDAYS.INTL(F1990,G1990,1,Table2[Dias no laborales]) &lt;= 7, "Dentro", IF(A1990&gt;F1990,"Programado","Fuera"))))</f>
        <v>Programado</v>
      </c>
      <c r="K1990" s="6" t="str">
        <f t="shared" si="96"/>
        <v>Programados</v>
      </c>
      <c r="L1990" s="8">
        <v>46135</v>
      </c>
      <c r="M1990" s="17">
        <f>MAX(1,NETWORKDAYS(A1990,L1990,Table2[Dias no laborales]))</f>
        <v>1</v>
      </c>
    </row>
    <row r="1991" spans="1:13" hidden="1" x14ac:dyDescent="0.3">
      <c r="A1991" s="8">
        <v>46135</v>
      </c>
      <c r="B1991" s="16" t="s">
        <v>3979</v>
      </c>
      <c r="C1991" s="6" t="s">
        <v>4038</v>
      </c>
      <c r="D1991" s="6" t="s">
        <v>75</v>
      </c>
      <c r="E1991" s="14"/>
      <c r="F1991" s="8">
        <f>IF(HOUR(Table1[[#This Row],[CORREO]])&gt;=11,WORKDAY(Table1[[#This Row],[CORREO]],1,Table2[Dias no laborales]),E1991)</f>
        <v>0</v>
      </c>
      <c r="G1991" s="8">
        <v>46136</v>
      </c>
      <c r="H1991" s="6">
        <f t="shared" si="95"/>
        <v>17</v>
      </c>
      <c r="I1991" s="6">
        <f>MAX(1, NETWORKDAYS(A1991, G1991,Table2[Dias no laborales]))</f>
        <v>2</v>
      </c>
      <c r="J1991" s="6" t="str">
        <f>IF(Table1[[#This Row],[FIN]]="","Acumulado",IF(ISNUMBER(SEARCH("ASAP",C1991)),"ASAP",IF(NETWORKDAYS.INTL(F1991,G1991,1,Table2[Dias no laborales]) &lt;= 7, "Dentro", IF(A1991&gt;F1991,"Programado","Fuera"))))</f>
        <v>Programado</v>
      </c>
      <c r="K1991" s="6" t="str">
        <f t="shared" si="96"/>
        <v>Programados</v>
      </c>
      <c r="L1991" s="8">
        <v>46135</v>
      </c>
      <c r="M1991" s="17">
        <f>MAX(1,NETWORKDAYS(A1991,L1991,Table2[Dias no laborales]))</f>
        <v>1</v>
      </c>
    </row>
    <row r="1992" spans="1:13" hidden="1" x14ac:dyDescent="0.3">
      <c r="A1992" s="8">
        <v>46135</v>
      </c>
      <c r="B1992" s="16" t="s">
        <v>3980</v>
      </c>
      <c r="C1992" s="6" t="s">
        <v>4039</v>
      </c>
      <c r="D1992" s="6" t="s">
        <v>2994</v>
      </c>
      <c r="E1992" s="14"/>
      <c r="F1992" s="8">
        <f>IF(HOUR(Table1[[#This Row],[CORREO]])&gt;=11,WORKDAY(Table1[[#This Row],[CORREO]],1,Table2[Dias no laborales]),E1992)</f>
        <v>0</v>
      </c>
      <c r="G1992" s="8">
        <v>46139</v>
      </c>
      <c r="H1992" s="6">
        <f t="shared" si="95"/>
        <v>17</v>
      </c>
      <c r="I1992" s="6">
        <f>MAX(1, NETWORKDAYS(A1992, G1992,Table2[Dias no laborales]))</f>
        <v>3</v>
      </c>
      <c r="J1992" s="6" t="str">
        <f>IF(Table1[[#This Row],[FIN]]="","Acumulado",IF(ISNUMBER(SEARCH("ASAP",C1992)),"ASAP",IF(NETWORKDAYS.INTL(F1992,G1992,1,Table2[Dias no laborales]) &lt;= 7, "Dentro", IF(A1992&gt;F1992,"Programado","Fuera"))))</f>
        <v>Programado</v>
      </c>
      <c r="K1992" s="6" t="str">
        <f t="shared" si="96"/>
        <v>Programados</v>
      </c>
      <c r="L1992" s="8">
        <v>46135</v>
      </c>
      <c r="M1992" s="17">
        <f>MAX(1,NETWORKDAYS(A1992,L1992,Table2[Dias no laborales]))</f>
        <v>1</v>
      </c>
    </row>
    <row r="1993" spans="1:13" hidden="1" x14ac:dyDescent="0.3">
      <c r="A1993" s="8">
        <v>46135</v>
      </c>
      <c r="B1993" s="16" t="s">
        <v>3981</v>
      </c>
      <c r="C1993" s="6" t="s">
        <v>4040</v>
      </c>
      <c r="D1993" s="6" t="s">
        <v>562</v>
      </c>
      <c r="E1993" s="14"/>
      <c r="F1993" s="8">
        <f>IF(HOUR(Table1[[#This Row],[CORREO]])&gt;=11,WORKDAY(Table1[[#This Row],[CORREO]],1,Table2[Dias no laborales]),E1993)</f>
        <v>0</v>
      </c>
      <c r="G1993" s="8">
        <v>46142</v>
      </c>
      <c r="H1993" s="6">
        <f t="shared" si="95"/>
        <v>17</v>
      </c>
      <c r="I1993" s="6">
        <f>MAX(1, NETWORKDAYS(A1993, G1993,Table2[Dias no laborales]))</f>
        <v>6</v>
      </c>
      <c r="J1993" s="6" t="str">
        <f>IF(Table1[[#This Row],[FIN]]="","Acumulado",IF(ISNUMBER(SEARCH("ASAP",C1993)),"ASAP",IF(NETWORKDAYS.INTL(F1993,G1993,1,Table2[Dias no laborales]) &lt;= 7, "Dentro", IF(A1993&gt;F1993,"Programado","Fuera"))))</f>
        <v>Programado</v>
      </c>
      <c r="K1993" s="6" t="str">
        <f t="shared" si="96"/>
        <v>Programados</v>
      </c>
      <c r="L1993" s="8">
        <v>46135</v>
      </c>
      <c r="M1993" s="17">
        <f>MAX(1,NETWORKDAYS(A1993,L1993,Table2[Dias no laborales]))</f>
        <v>1</v>
      </c>
    </row>
    <row r="1994" spans="1:13" hidden="1" x14ac:dyDescent="0.3">
      <c r="A1994" s="8">
        <v>46135</v>
      </c>
      <c r="B1994" s="16" t="s">
        <v>3982</v>
      </c>
      <c r="C1994" s="6" t="s">
        <v>4041</v>
      </c>
      <c r="D1994" s="6" t="s">
        <v>3794</v>
      </c>
      <c r="E1994" s="14">
        <v>46135.424305555556</v>
      </c>
      <c r="F1994" s="8">
        <f>IF(HOUR(Table1[[#This Row],[CORREO]])&gt;=11,WORKDAY(Table1[[#This Row],[CORREO]],1,Table2[Dias no laborales]),E1994)</f>
        <v>46135.424305555556</v>
      </c>
      <c r="G1994" s="8">
        <v>46135</v>
      </c>
      <c r="H1994" s="6">
        <f t="shared" si="95"/>
        <v>17</v>
      </c>
      <c r="I1994" s="6">
        <f>MAX(1, NETWORKDAYS(A1994, G1994,Table2[Dias no laborales]))</f>
        <v>1</v>
      </c>
      <c r="J1994" s="6" t="str">
        <f>IF(Table1[[#This Row],[FIN]]="","Acumulado",IF(ISNUMBER(SEARCH("ASAP",C1994)),"ASAP",IF(NETWORKDAYS.INTL(F1994,G1994,1,Table2[Dias no laborales]) &lt;= 7, "Dentro", IF(A1994&gt;F1994,"Programado","Fuera"))))</f>
        <v>Dentro</v>
      </c>
      <c r="K1994" s="6" t="str">
        <f t="shared" si="96"/>
        <v>A tiempo</v>
      </c>
      <c r="L1994" s="8">
        <v>46135</v>
      </c>
      <c r="M1994" s="17">
        <f>MAX(1,NETWORKDAYS(A1994,L1994,Table2[Dias no laborales]))</f>
        <v>1</v>
      </c>
    </row>
    <row r="1995" spans="1:13" hidden="1" x14ac:dyDescent="0.3">
      <c r="A1995" s="8">
        <v>46135</v>
      </c>
      <c r="B1995" s="16" t="s">
        <v>3983</v>
      </c>
      <c r="C1995" s="6" t="s">
        <v>4042</v>
      </c>
      <c r="D1995" s="6" t="s">
        <v>191</v>
      </c>
      <c r="E1995" s="14">
        <v>46135.436805555553</v>
      </c>
      <c r="F1995" s="8">
        <f>IF(HOUR(Table1[[#This Row],[CORREO]])&gt;=11,WORKDAY(Table1[[#This Row],[CORREO]],1,Table2[Dias no laborales]),E1995)</f>
        <v>46135.436805555553</v>
      </c>
      <c r="G1995" s="8">
        <v>46139</v>
      </c>
      <c r="H1995" s="6">
        <f t="shared" si="95"/>
        <v>17</v>
      </c>
      <c r="I1995" s="6">
        <f>MAX(1, NETWORKDAYS(A1995, G1995,Table2[Dias no laborales]))</f>
        <v>3</v>
      </c>
      <c r="J1995" s="6" t="str">
        <f>IF(Table1[[#This Row],[FIN]]="","Acumulado",IF(ISNUMBER(SEARCH("ASAP",C1995)),"ASAP",IF(NETWORKDAYS.INTL(F1995,G1995,1,Table2[Dias no laborales]) &lt;= 7, "Dentro", IF(A1995&gt;F1995,"Programado","Fuera"))))</f>
        <v>Dentro</v>
      </c>
      <c r="K1995" s="6" t="str">
        <f t="shared" si="96"/>
        <v>A tiempo</v>
      </c>
      <c r="L1995" s="8">
        <v>46135</v>
      </c>
      <c r="M1995" s="17">
        <f>MAX(1,NETWORKDAYS(A1995,L1995,Table2[Dias no laborales]))</f>
        <v>1</v>
      </c>
    </row>
    <row r="1996" spans="1:13" hidden="1" x14ac:dyDescent="0.3">
      <c r="A1996" s="8">
        <v>46135</v>
      </c>
      <c r="B1996" s="16" t="s">
        <v>3984</v>
      </c>
      <c r="C1996" s="6" t="s">
        <v>4043</v>
      </c>
      <c r="D1996" s="6" t="s">
        <v>53</v>
      </c>
      <c r="E1996" s="14">
        <v>46135.456944444442</v>
      </c>
      <c r="F1996" s="8">
        <f>IF(HOUR(Table1[[#This Row],[CORREO]])&gt;=11,WORKDAY(Table1[[#This Row],[CORREO]],1,Table2[Dias no laborales]),E1996)</f>
        <v>46135.456944444442</v>
      </c>
      <c r="G1996" s="8">
        <v>46147</v>
      </c>
      <c r="H1996" s="6">
        <f t="shared" si="95"/>
        <v>17</v>
      </c>
      <c r="I1996" s="6">
        <f>MAX(1, NETWORKDAYS(A1996, G1996,Table2[Dias no laborales]))</f>
        <v>7</v>
      </c>
      <c r="J1996" s="6" t="str">
        <f>IF(Table1[[#This Row],[FIN]]="","Acumulado",IF(ISNUMBER(SEARCH("ASAP",C1996)),"ASAP",IF(NETWORKDAYS.INTL(F1996,G1996,1,Table2[Dias no laborales]) &lt;= 7, "Dentro", IF(A1996&gt;F1996,"Programado","Fuera"))))</f>
        <v>Dentro</v>
      </c>
      <c r="K1996" s="6" t="str">
        <f t="shared" si="96"/>
        <v>A tiempo</v>
      </c>
      <c r="L1996" s="8">
        <v>46135</v>
      </c>
      <c r="M1996" s="17">
        <f>MAX(1,NETWORKDAYS(A1996,L1996,Table2[Dias no laborales]))</f>
        <v>1</v>
      </c>
    </row>
    <row r="1997" spans="1:13" hidden="1" x14ac:dyDescent="0.3">
      <c r="A1997" s="8">
        <v>46135</v>
      </c>
      <c r="B1997" s="16" t="s">
        <v>3985</v>
      </c>
      <c r="C1997" s="6" t="s">
        <v>4044</v>
      </c>
      <c r="D1997" s="6" t="s">
        <v>2586</v>
      </c>
      <c r="E1997" s="14">
        <v>46132.402083333334</v>
      </c>
      <c r="F1997" s="8">
        <f>IF(HOUR(Table1[[#This Row],[CORREO]])&gt;=11,WORKDAY(Table1[[#This Row],[CORREO]],1,Table2[Dias no laborales]),E1997)</f>
        <v>46132.402083333334</v>
      </c>
      <c r="G1997" s="8">
        <v>46136</v>
      </c>
      <c r="H1997" s="6">
        <f t="shared" si="95"/>
        <v>17</v>
      </c>
      <c r="I1997" s="6">
        <f>MAX(1, NETWORKDAYS(A1997, G1997,Table2[Dias no laborales]))</f>
        <v>2</v>
      </c>
      <c r="J1997" s="6" t="str">
        <f>IF(Table1[[#This Row],[FIN]]="","Acumulado",IF(ISNUMBER(SEARCH("ASAP",C1997)),"ASAP",IF(NETWORKDAYS.INTL(F1997,G1997,1,Table2[Dias no laborales]) &lt;= 7, "Dentro", IF(A1997&gt;F1997,"Programado","Fuera"))))</f>
        <v>Dentro</v>
      </c>
      <c r="K1997" s="6" t="str">
        <f t="shared" si="96"/>
        <v>Programados</v>
      </c>
      <c r="L1997" s="8">
        <v>46135</v>
      </c>
      <c r="M1997" s="17">
        <f>MAX(1,NETWORKDAYS(A1997,L1997,Table2[Dias no laborales]))</f>
        <v>1</v>
      </c>
    </row>
    <row r="1998" spans="1:13" hidden="1" x14ac:dyDescent="0.3">
      <c r="A1998" s="8">
        <v>46135</v>
      </c>
      <c r="B1998" s="16" t="s">
        <v>3986</v>
      </c>
      <c r="C1998" s="6" t="s">
        <v>4045</v>
      </c>
      <c r="D1998" s="6" t="s">
        <v>1360</v>
      </c>
      <c r="E1998" s="14"/>
      <c r="F1998" s="8">
        <f>IF(HOUR(Table1[[#This Row],[CORREO]])&gt;=11,WORKDAY(Table1[[#This Row],[CORREO]],1,Table2[Dias no laborales]),E1998)</f>
        <v>0</v>
      </c>
      <c r="G1998" s="8">
        <v>46136</v>
      </c>
      <c r="H1998" s="6">
        <f t="shared" si="95"/>
        <v>17</v>
      </c>
      <c r="I1998" s="6">
        <f>MAX(1, NETWORKDAYS(A1998, G1998,Table2[Dias no laborales]))</f>
        <v>2</v>
      </c>
      <c r="J1998" s="6" t="str">
        <f>IF(Table1[[#This Row],[FIN]]="","Acumulado",IF(ISNUMBER(SEARCH("ASAP",C1998)),"ASAP",IF(NETWORKDAYS.INTL(F1998,G1998,1,Table2[Dias no laborales]) &lt;= 7, "Dentro", IF(A1998&gt;F1998,"Programado","Fuera"))))</f>
        <v>Programado</v>
      </c>
      <c r="K1998" s="6" t="str">
        <f t="shared" si="96"/>
        <v>Programados</v>
      </c>
      <c r="L1998" s="8">
        <v>46135</v>
      </c>
      <c r="M1998" s="17">
        <f>MAX(1,NETWORKDAYS(A1998,L1998,Table2[Dias no laborales]))</f>
        <v>1</v>
      </c>
    </row>
    <row r="1999" spans="1:13" hidden="1" x14ac:dyDescent="0.3">
      <c r="A1999" s="8">
        <v>46135</v>
      </c>
      <c r="B1999" s="16" t="s">
        <v>3987</v>
      </c>
      <c r="C1999" s="6" t="s">
        <v>4046</v>
      </c>
      <c r="D1999" s="6" t="s">
        <v>4047</v>
      </c>
      <c r="E1999" s="14">
        <v>46135.611111111109</v>
      </c>
      <c r="F1999" s="8">
        <f>IF(HOUR(Table1[[#This Row],[CORREO]])&gt;=11,WORKDAY(Table1[[#This Row],[CORREO]],1,Table2[Dias no laborales]),E1999)</f>
        <v>46136</v>
      </c>
      <c r="G1999" s="8">
        <v>46140</v>
      </c>
      <c r="H1999" s="6">
        <f t="shared" si="95"/>
        <v>17</v>
      </c>
      <c r="I1999" s="6">
        <f>MAX(1, NETWORKDAYS(A1999, G1999,Table2[Dias no laborales]))</f>
        <v>4</v>
      </c>
      <c r="J1999" s="6" t="str">
        <f>IF(Table1[[#This Row],[FIN]]="","Acumulado",IF(ISNUMBER(SEARCH("ASAP",C1999)),"ASAP",IF(NETWORKDAYS.INTL(F1999,G1999,1,Table2[Dias no laborales]) &lt;= 7, "Dentro", IF(A1999&gt;F1999,"Programado","Fuera"))))</f>
        <v>Dentro</v>
      </c>
      <c r="K1999" s="6" t="str">
        <f t="shared" si="96"/>
        <v>Mismo día</v>
      </c>
      <c r="L1999" s="8">
        <v>46135</v>
      </c>
      <c r="M1999" s="17">
        <f>MAX(1,NETWORKDAYS(A1999,L1999,Table2[Dias no laborales]))</f>
        <v>1</v>
      </c>
    </row>
    <row r="2000" spans="1:13" hidden="1" x14ac:dyDescent="0.3">
      <c r="A2000" s="8">
        <v>46135</v>
      </c>
      <c r="B2000" s="16" t="s">
        <v>3988</v>
      </c>
      <c r="C2000" s="6" t="s">
        <v>4048</v>
      </c>
      <c r="D2000" s="6" t="s">
        <v>3039</v>
      </c>
      <c r="E2000" s="14">
        <v>46135.574999999997</v>
      </c>
      <c r="F2000" s="8">
        <f>IF(HOUR(Table1[[#This Row],[CORREO]])&gt;=11,WORKDAY(Table1[[#This Row],[CORREO]],1,Table2[Dias no laborales]),E2000)</f>
        <v>46136</v>
      </c>
      <c r="G2000" s="8">
        <v>46147</v>
      </c>
      <c r="H2000" s="6">
        <f t="shared" si="95"/>
        <v>17</v>
      </c>
      <c r="I2000" s="6">
        <f>MAX(1, NETWORKDAYS(A2000, G2000,Table2[Dias no laborales]))</f>
        <v>7</v>
      </c>
      <c r="J2000" s="6" t="str">
        <f>IF(Table1[[#This Row],[FIN]]="","Acumulado",IF(ISNUMBER(SEARCH("ASAP",C2000)),"ASAP",IF(NETWORKDAYS.INTL(F2000,G2000,1,Table2[Dias no laborales]) &lt;= 7, "Dentro", IF(A2000&gt;F2000,"Programado","Fuera"))))</f>
        <v>Dentro</v>
      </c>
      <c r="K2000" s="6" t="str">
        <f t="shared" si="96"/>
        <v>Mismo día</v>
      </c>
      <c r="L2000" s="8">
        <v>46135</v>
      </c>
      <c r="M2000" s="17">
        <f>MAX(1,NETWORKDAYS(A2000,L2000,Table2[Dias no laborales]))</f>
        <v>1</v>
      </c>
    </row>
    <row r="2001" spans="1:13" hidden="1" x14ac:dyDescent="0.3">
      <c r="A2001" s="8">
        <v>46136</v>
      </c>
      <c r="B2001" s="16" t="s">
        <v>3989</v>
      </c>
      <c r="C2001" s="6" t="s">
        <v>4049</v>
      </c>
      <c r="D2001" s="6" t="s">
        <v>372</v>
      </c>
      <c r="E2001" s="14">
        <v>46136.486805555556</v>
      </c>
      <c r="F2001" s="8">
        <f>IF(HOUR(Table1[[#This Row],[CORREO]])&gt;=11,WORKDAY(Table1[[#This Row],[CORREO]],1,Table2[Dias no laborales]),E2001)</f>
        <v>46139</v>
      </c>
      <c r="G2001" s="8">
        <v>46136</v>
      </c>
      <c r="H2001" s="6">
        <f t="shared" si="95"/>
        <v>17</v>
      </c>
      <c r="I2001" s="6">
        <f>MAX(1, NETWORKDAYS(A2001, G2001,Table2[Dias no laborales]))</f>
        <v>1</v>
      </c>
      <c r="J2001" s="6" t="str">
        <f>IF(Table1[[#This Row],[FIN]]="","Acumulado",IF(ISNUMBER(SEARCH("ASAP",C2001)),"ASAP",IF(NETWORKDAYS.INTL(F2001,G2001,1,Table2[Dias no laborales]) &lt;= 7, "Dentro", IF(A2001&gt;F2001,"Programado","Fuera"))))</f>
        <v>Dentro</v>
      </c>
      <c r="K2001" s="6" t="str">
        <f t="shared" si="96"/>
        <v>Mismo día</v>
      </c>
      <c r="L2001" s="8">
        <v>46136</v>
      </c>
      <c r="M2001" s="17">
        <f>MAX(1,NETWORKDAYS(A2001,L2001,Table2[Dias no laborales]))</f>
        <v>1</v>
      </c>
    </row>
    <row r="2002" spans="1:13" hidden="1" x14ac:dyDescent="0.3">
      <c r="A2002" s="8">
        <v>46136</v>
      </c>
      <c r="B2002" s="16" t="s">
        <v>3990</v>
      </c>
      <c r="C2002" s="6" t="s">
        <v>4051</v>
      </c>
      <c r="D2002" s="6" t="s">
        <v>3794</v>
      </c>
      <c r="E2002" s="14">
        <v>46135.613194444442</v>
      </c>
      <c r="F2002" s="8">
        <f>IF(HOUR(Table1[[#This Row],[CORREO]])&gt;=11,WORKDAY(Table1[[#This Row],[CORREO]],1,Table2[Dias no laborales]),E2002)</f>
        <v>46136</v>
      </c>
      <c r="G2002" s="8">
        <v>46139</v>
      </c>
      <c r="H2002" s="6">
        <f t="shared" si="95"/>
        <v>17</v>
      </c>
      <c r="I2002" s="6">
        <f>MAX(1, NETWORKDAYS(A2002, G2002,Table2[Dias no laborales]))</f>
        <v>2</v>
      </c>
      <c r="J2002" s="6" t="str">
        <f>IF(Table1[[#This Row],[FIN]]="","Acumulado",IF(ISNUMBER(SEARCH("ASAP",C2002)),"ASAP",IF(NETWORKDAYS.INTL(F2002,G2002,1,Table2[Dias no laborales]) &lt;= 7, "Dentro", IF(A2002&gt;F2002,"Programado","Fuera"))))</f>
        <v>Dentro</v>
      </c>
      <c r="K2002" s="6" t="str">
        <f t="shared" si="96"/>
        <v>A tiempo</v>
      </c>
      <c r="L2002" s="8">
        <v>46136</v>
      </c>
      <c r="M2002" s="17">
        <f>MAX(1,NETWORKDAYS(A2002,L2002,Table2[Dias no laborales]))</f>
        <v>1</v>
      </c>
    </row>
    <row r="2003" spans="1:13" hidden="1" x14ac:dyDescent="0.3">
      <c r="A2003" s="8">
        <v>46136</v>
      </c>
      <c r="B2003" s="16" t="s">
        <v>3991</v>
      </c>
      <c r="C2003" s="6" t="s">
        <v>4050</v>
      </c>
      <c r="D2003" s="6" t="s">
        <v>916</v>
      </c>
      <c r="E2003" s="14">
        <v>46135.708333333336</v>
      </c>
      <c r="F2003" s="8">
        <f>IF(HOUR(Table1[[#This Row],[CORREO]])&gt;=11,WORKDAY(Table1[[#This Row],[CORREO]],1,Table2[Dias no laborales]),E2003)</f>
        <v>46136</v>
      </c>
      <c r="G2003" s="8">
        <v>46139</v>
      </c>
      <c r="H2003" s="6">
        <f t="shared" si="95"/>
        <v>17</v>
      </c>
      <c r="I2003" s="6">
        <f>MAX(1, NETWORKDAYS(A2003, G2003,Table2[Dias no laborales]))</f>
        <v>2</v>
      </c>
      <c r="J2003" s="6" t="str">
        <f>IF(Table1[[#This Row],[FIN]]="","Acumulado",IF(ISNUMBER(SEARCH("ASAP",C2003)),"ASAP",IF(NETWORKDAYS.INTL(F2003,G2003,1,Table2[Dias no laborales]) &lt;= 7, "Dentro", IF(A2003&gt;F2003,"Programado","Fuera"))))</f>
        <v>Dentro</v>
      </c>
      <c r="K2003" s="6" t="str">
        <f t="shared" si="96"/>
        <v>A tiempo</v>
      </c>
      <c r="L2003" s="8">
        <v>46136</v>
      </c>
      <c r="M2003" s="17">
        <f>MAX(1,NETWORKDAYS(A2003,L2003,Table2[Dias no laborales]))</f>
        <v>1</v>
      </c>
    </row>
    <row r="2004" spans="1:13" hidden="1" x14ac:dyDescent="0.3">
      <c r="A2004" s="8">
        <v>46136</v>
      </c>
      <c r="B2004" s="16" t="s">
        <v>3992</v>
      </c>
      <c r="C2004" s="6" t="s">
        <v>4052</v>
      </c>
      <c r="D2004" s="6" t="s">
        <v>108</v>
      </c>
      <c r="E2004" s="14">
        <v>46135.390972222223</v>
      </c>
      <c r="F2004" s="8">
        <f>IF(HOUR(Table1[[#This Row],[CORREO]])&gt;=11,WORKDAY(Table1[[#This Row],[CORREO]],1,Table2[Dias no laborales]),E2004)</f>
        <v>46135.390972222223</v>
      </c>
      <c r="G2004" s="8">
        <v>46139</v>
      </c>
      <c r="H2004" s="6">
        <f t="shared" si="95"/>
        <v>17</v>
      </c>
      <c r="I2004" s="6">
        <f>MAX(1, NETWORKDAYS(A2004, G2004,Table2[Dias no laborales]))</f>
        <v>2</v>
      </c>
      <c r="J2004" s="6" t="str">
        <f>IF(Table1[[#This Row],[FIN]]="","Acumulado",IF(ISNUMBER(SEARCH("ASAP",C2004)),"ASAP",IF(NETWORKDAYS.INTL(F2004,G2004,1,Table2[Dias no laborales]) &lt;= 7, "Dentro", IF(A2004&gt;F2004,"Programado","Fuera"))))</f>
        <v>Dentro</v>
      </c>
      <c r="K2004" s="6" t="str">
        <f t="shared" si="96"/>
        <v>Programados</v>
      </c>
      <c r="L2004" s="8">
        <v>46136</v>
      </c>
      <c r="M2004" s="17">
        <f>MAX(1,NETWORKDAYS(A2004,L2004,Table2[Dias no laborales]))</f>
        <v>1</v>
      </c>
    </row>
    <row r="2005" spans="1:13" hidden="1" x14ac:dyDescent="0.3">
      <c r="A2005" s="8">
        <v>46136</v>
      </c>
      <c r="B2005" s="16" t="s">
        <v>3993</v>
      </c>
      <c r="C2005" s="6" t="s">
        <v>4053</v>
      </c>
      <c r="D2005" s="6" t="s">
        <v>61</v>
      </c>
      <c r="E2005" s="14">
        <v>46064.456944444442</v>
      </c>
      <c r="F2005" s="8">
        <f>IF(HOUR(Table1[[#This Row],[CORREO]])&gt;=11,WORKDAY(Table1[[#This Row],[CORREO]],1,Table2[Dias no laborales]),E2005)</f>
        <v>46064.456944444442</v>
      </c>
      <c r="G2005" s="8">
        <v>46140</v>
      </c>
      <c r="H2005" s="6">
        <f t="shared" si="95"/>
        <v>17</v>
      </c>
      <c r="I2005" s="6">
        <f>MAX(1, NETWORKDAYS(A2005, G2005,Table2[Dias no laborales]))</f>
        <v>3</v>
      </c>
      <c r="J2005" s="6" t="str">
        <f>IF(Table1[[#This Row],[FIN]]="","Acumulado",IF(ISNUMBER(SEARCH("ASAP",C2005)),"ASAP",IF(NETWORKDAYS.INTL(F2005,G2005,1,Table2[Dias no laborales]) &lt;= 7, "Dentro", IF(A2005&gt;F2005,"Programado","Fuera"))))</f>
        <v>Programado</v>
      </c>
      <c r="K2005" s="6" t="str">
        <f t="shared" si="96"/>
        <v>Programados</v>
      </c>
      <c r="L2005" s="8">
        <v>46136</v>
      </c>
      <c r="M2005" s="17">
        <f>MAX(1,NETWORKDAYS(A2005,L2005,Table2[Dias no laborales]))</f>
        <v>1</v>
      </c>
    </row>
    <row r="2006" spans="1:13" hidden="1" x14ac:dyDescent="0.3">
      <c r="A2006" s="8">
        <v>46136</v>
      </c>
      <c r="B2006" s="16" t="s">
        <v>3994</v>
      </c>
      <c r="C2006" s="6" t="s">
        <v>3927</v>
      </c>
      <c r="D2006" s="6" t="s">
        <v>2994</v>
      </c>
      <c r="E2006" s="14">
        <v>46135.711805555555</v>
      </c>
      <c r="F2006" s="8">
        <f>IF(HOUR(Table1[[#This Row],[CORREO]])&gt;=11,WORKDAY(Table1[[#This Row],[CORREO]],1,Table2[Dias no laborales]),E2006)</f>
        <v>46136</v>
      </c>
      <c r="G2006" s="8">
        <v>46136</v>
      </c>
      <c r="H2006" s="6">
        <f t="shared" si="95"/>
        <v>17</v>
      </c>
      <c r="I2006" s="6">
        <f>MAX(1, NETWORKDAYS(A2006, G2006,Table2[Dias no laborales]))</f>
        <v>1</v>
      </c>
      <c r="J2006" s="6" t="str">
        <f>IF(Table1[[#This Row],[FIN]]="","Acumulado",IF(ISNUMBER(SEARCH("ASAP",C2006)),"ASAP",IF(NETWORKDAYS.INTL(F2006,G2006,1,Table2[Dias no laborales]) &lt;= 7, "Dentro", IF(A2006&gt;F2006,"Programado","Fuera"))))</f>
        <v>Dentro</v>
      </c>
      <c r="K2006" s="6" t="str">
        <f t="shared" si="96"/>
        <v>A tiempo</v>
      </c>
      <c r="L2006" s="8">
        <v>46136</v>
      </c>
      <c r="M2006" s="17">
        <f>MAX(1,NETWORKDAYS(A2006,L2006,Table2[Dias no laborales]))</f>
        <v>1</v>
      </c>
    </row>
    <row r="2007" spans="1:13" hidden="1" x14ac:dyDescent="0.3">
      <c r="A2007" s="8">
        <v>46136</v>
      </c>
      <c r="B2007" s="16" t="s">
        <v>3995</v>
      </c>
      <c r="C2007" s="6" t="s">
        <v>4021</v>
      </c>
      <c r="D2007" s="6" t="s">
        <v>3999</v>
      </c>
      <c r="E2007" s="14">
        <v>46136.369444444441</v>
      </c>
      <c r="F2007" s="8">
        <f>IF(HOUR(Table1[[#This Row],[CORREO]])&gt;=11,WORKDAY(Table1[[#This Row],[CORREO]],1,Table2[Dias no laborales]),E2007)</f>
        <v>46136.369444444441</v>
      </c>
      <c r="G2007" s="8">
        <v>46136</v>
      </c>
      <c r="H2007" s="6">
        <f t="shared" si="95"/>
        <v>17</v>
      </c>
      <c r="I2007" s="6">
        <f>MAX(1, NETWORKDAYS(A2007, G2007,Table2[Dias no laborales]))</f>
        <v>1</v>
      </c>
      <c r="J2007" s="6" t="str">
        <f>IF(Table1[[#This Row],[FIN]]="","Acumulado",IF(ISNUMBER(SEARCH("ASAP",C2007)),"ASAP",IF(NETWORKDAYS.INTL(F2007,G2007,1,Table2[Dias no laborales]) &lt;= 7, "Dentro", IF(A2007&gt;F2007,"Programado","Fuera"))))</f>
        <v>Dentro</v>
      </c>
      <c r="K2007" s="6" t="str">
        <f t="shared" si="96"/>
        <v>A tiempo</v>
      </c>
      <c r="L2007" s="8">
        <v>46136</v>
      </c>
      <c r="M2007" s="17">
        <f>MAX(1,NETWORKDAYS(A2007,L2007,Table2[Dias no laborales]))</f>
        <v>1</v>
      </c>
    </row>
    <row r="2008" spans="1:13" hidden="1" x14ac:dyDescent="0.3">
      <c r="A2008" s="8">
        <v>46139</v>
      </c>
      <c r="B2008" s="16" t="s">
        <v>4054</v>
      </c>
      <c r="C2008" s="6" t="s">
        <v>4091</v>
      </c>
      <c r="D2008" s="6" t="s">
        <v>133</v>
      </c>
      <c r="E2008" s="14"/>
      <c r="F2008" s="8">
        <f>IF(HOUR(Table1[[#This Row],[CORREO]])&gt;=11,WORKDAY(Table1[[#This Row],[CORREO]],1,Table2[Dias no laborales]),E2008)</f>
        <v>0</v>
      </c>
      <c r="G2008" s="8">
        <v>46139</v>
      </c>
      <c r="H2008" s="6">
        <f t="shared" ref="H2008:H2044" si="97">INT((A2008-DATE(YEAR(A2008),1,1))/7) + 1</f>
        <v>17</v>
      </c>
      <c r="I2008" s="6">
        <f>MAX(1, NETWORKDAYS(A2008, G2008,Table2[Dias no laborales]))</f>
        <v>1</v>
      </c>
      <c r="J2008" s="6" t="str">
        <f>IF(Table1[[#This Row],[FIN]]="","Acumulado",IF(ISNUMBER(SEARCH("ASAP",C2008)),"ASAP",IF(NETWORKDAYS.INTL(F2008,G2008,1,Table2[Dias no laborales]) &lt;= 7, "Dentro", IF(A2008&gt;F2008,"Programado","Fuera"))))</f>
        <v>Programado</v>
      </c>
      <c r="K2008" s="6" t="str">
        <f t="shared" ref="K2008:K2044" si="98">IF(INT(A2008)=INT(F2008),"A tiempo", IF(A2008&lt;F2008,"Mismo día","Programados"))</f>
        <v>Programados</v>
      </c>
      <c r="L2008" s="8">
        <v>46139</v>
      </c>
      <c r="M2008" s="17">
        <f>MAX(1,NETWORKDAYS(A2008,L2008,Table2[Dias no laborales]))</f>
        <v>1</v>
      </c>
    </row>
    <row r="2009" spans="1:13" hidden="1" x14ac:dyDescent="0.3">
      <c r="A2009" s="8">
        <v>46139</v>
      </c>
      <c r="B2009" s="16" t="s">
        <v>4055</v>
      </c>
      <c r="C2009" s="6" t="s">
        <v>4092</v>
      </c>
      <c r="D2009" s="6" t="s">
        <v>24</v>
      </c>
      <c r="E2009" s="14"/>
      <c r="F2009" s="8">
        <f>IF(HOUR(Table1[[#This Row],[CORREO]])&gt;=11,WORKDAY(Table1[[#This Row],[CORREO]],1,Table2[Dias no laborales]),E2009)</f>
        <v>0</v>
      </c>
      <c r="G2009" s="8">
        <v>46142</v>
      </c>
      <c r="H2009" s="6">
        <f t="shared" si="97"/>
        <v>17</v>
      </c>
      <c r="I2009" s="6">
        <f>MAX(1, NETWORKDAYS(A2009, G2009,Table2[Dias no laborales]))</f>
        <v>4</v>
      </c>
      <c r="J2009" s="6" t="str">
        <f>IF(Table1[[#This Row],[FIN]]="","Acumulado",IF(ISNUMBER(SEARCH("ASAP",C2009)),"ASAP",IF(NETWORKDAYS.INTL(F2009,G2009,1,Table2[Dias no laborales]) &lt;= 7, "Dentro", IF(A2009&gt;F2009,"Programado","Fuera"))))</f>
        <v>Programado</v>
      </c>
      <c r="K2009" s="6" t="str">
        <f t="shared" si="98"/>
        <v>Programados</v>
      </c>
      <c r="L2009" s="8">
        <v>46139</v>
      </c>
      <c r="M2009" s="17">
        <f>MAX(1,NETWORKDAYS(A2009,L2009,Table2[Dias no laborales]))</f>
        <v>1</v>
      </c>
    </row>
    <row r="2010" spans="1:13" hidden="1" x14ac:dyDescent="0.3">
      <c r="A2010" s="8">
        <v>46139</v>
      </c>
      <c r="B2010" s="16" t="s">
        <v>4056</v>
      </c>
      <c r="C2010" s="6" t="s">
        <v>4093</v>
      </c>
      <c r="D2010" s="6" t="s">
        <v>3845</v>
      </c>
      <c r="E2010" s="14"/>
      <c r="F2010" s="8">
        <f>IF(HOUR(Table1[[#This Row],[CORREO]])&gt;=11,WORKDAY(Table1[[#This Row],[CORREO]],1,Table2[Dias no laborales]),E2010)</f>
        <v>0</v>
      </c>
      <c r="G2010" s="8">
        <v>46140</v>
      </c>
      <c r="H2010" s="6">
        <f t="shared" si="97"/>
        <v>17</v>
      </c>
      <c r="I2010" s="6">
        <f>MAX(1, NETWORKDAYS(A2010, G2010,Table2[Dias no laborales]))</f>
        <v>2</v>
      </c>
      <c r="J2010" s="6" t="str">
        <f>IF(Table1[[#This Row],[FIN]]="","Acumulado",IF(ISNUMBER(SEARCH("ASAP",C2010)),"ASAP",IF(NETWORKDAYS.INTL(F2010,G2010,1,Table2[Dias no laborales]) &lt;= 7, "Dentro", IF(A2010&gt;F2010,"Programado","Fuera"))))</f>
        <v>Programado</v>
      </c>
      <c r="K2010" s="6" t="str">
        <f t="shared" si="98"/>
        <v>Programados</v>
      </c>
      <c r="L2010" s="8">
        <v>46139</v>
      </c>
      <c r="M2010" s="17">
        <f>MAX(1,NETWORKDAYS(A2010,L2010,Table2[Dias no laborales]))</f>
        <v>1</v>
      </c>
    </row>
    <row r="2011" spans="1:13" hidden="1" x14ac:dyDescent="0.3">
      <c r="A2011" s="8">
        <v>46139</v>
      </c>
      <c r="B2011" s="16" t="s">
        <v>4057</v>
      </c>
      <c r="C2011" s="6" t="s">
        <v>4094</v>
      </c>
      <c r="D2011" s="6" t="s">
        <v>3845</v>
      </c>
      <c r="E2011" s="14"/>
      <c r="F2011" s="8">
        <f>IF(HOUR(Table1[[#This Row],[CORREO]])&gt;=11,WORKDAY(Table1[[#This Row],[CORREO]],1,Table2[Dias no laborales]),E2011)</f>
        <v>0</v>
      </c>
      <c r="G2011" s="8">
        <v>46139</v>
      </c>
      <c r="H2011" s="6">
        <f t="shared" si="97"/>
        <v>17</v>
      </c>
      <c r="I2011" s="6">
        <f>MAX(1, NETWORKDAYS(A2011, G2011,Table2[Dias no laborales]))</f>
        <v>1</v>
      </c>
      <c r="J2011" s="6" t="str">
        <f>IF(Table1[[#This Row],[FIN]]="","Acumulado",IF(ISNUMBER(SEARCH("ASAP",C2011)),"ASAP",IF(NETWORKDAYS.INTL(F2011,G2011,1,Table2[Dias no laborales]) &lt;= 7, "Dentro", IF(A2011&gt;F2011,"Programado","Fuera"))))</f>
        <v>Programado</v>
      </c>
      <c r="K2011" s="6" t="str">
        <f t="shared" si="98"/>
        <v>Programados</v>
      </c>
      <c r="L2011" s="8">
        <v>46139</v>
      </c>
      <c r="M2011" s="17">
        <f>MAX(1,NETWORKDAYS(A2011,L2011,Table2[Dias no laborales]))</f>
        <v>1</v>
      </c>
    </row>
    <row r="2012" spans="1:13" hidden="1" x14ac:dyDescent="0.3">
      <c r="A2012" s="8">
        <v>46139</v>
      </c>
      <c r="B2012" s="16" t="s">
        <v>4058</v>
      </c>
      <c r="C2012" s="6" t="s">
        <v>4095</v>
      </c>
      <c r="D2012" s="6" t="s">
        <v>24</v>
      </c>
      <c r="E2012" s="14"/>
      <c r="F2012" s="8">
        <f>IF(HOUR(Table1[[#This Row],[CORREO]])&gt;=11,WORKDAY(Table1[[#This Row],[CORREO]],1,Table2[Dias no laborales]),E2012)</f>
        <v>0</v>
      </c>
      <c r="G2012" s="8">
        <v>46141</v>
      </c>
      <c r="H2012" s="6">
        <f t="shared" si="97"/>
        <v>17</v>
      </c>
      <c r="I2012" s="6">
        <f>MAX(1, NETWORKDAYS(A2012, G2012,Table2[Dias no laborales]))</f>
        <v>3</v>
      </c>
      <c r="J2012" s="6" t="str">
        <f>IF(Table1[[#This Row],[FIN]]="","Acumulado",IF(ISNUMBER(SEARCH("ASAP",C2012)),"ASAP",IF(NETWORKDAYS.INTL(F2012,G2012,1,Table2[Dias no laborales]) &lt;= 7, "Dentro", IF(A2012&gt;F2012,"Programado","Fuera"))))</f>
        <v>Programado</v>
      </c>
      <c r="K2012" s="6" t="str">
        <f t="shared" si="98"/>
        <v>Programados</v>
      </c>
      <c r="L2012" s="8">
        <v>46139</v>
      </c>
      <c r="M2012" s="17">
        <f>MAX(1,NETWORKDAYS(A2012,L2012,Table2[Dias no laborales]))</f>
        <v>1</v>
      </c>
    </row>
    <row r="2013" spans="1:13" hidden="1" x14ac:dyDescent="0.3">
      <c r="A2013" s="8">
        <v>46139</v>
      </c>
      <c r="B2013" s="16" t="s">
        <v>4059</v>
      </c>
      <c r="C2013" s="6" t="s">
        <v>4096</v>
      </c>
      <c r="D2013" s="6" t="s">
        <v>2520</v>
      </c>
      <c r="E2013" s="14"/>
      <c r="F2013" s="8">
        <f>IF(HOUR(Table1[[#This Row],[CORREO]])&gt;=11,WORKDAY(Table1[[#This Row],[CORREO]],1,Table2[Dias no laborales]),E2013)</f>
        <v>0</v>
      </c>
      <c r="G2013" s="8">
        <v>46146</v>
      </c>
      <c r="H2013" s="6">
        <f t="shared" si="97"/>
        <v>17</v>
      </c>
      <c r="I2013" s="6">
        <f>MAX(1, NETWORKDAYS(A2013, G2013,Table2[Dias no laborales]))</f>
        <v>5</v>
      </c>
      <c r="J2013" s="6" t="str">
        <f>IF(Table1[[#This Row],[FIN]]="","Acumulado",IF(ISNUMBER(SEARCH("ASAP",C2013)),"ASAP",IF(NETWORKDAYS.INTL(F2013,G2013,1,Table2[Dias no laborales]) &lt;= 7, "Dentro", IF(A2013&gt;F2013,"Programado","Fuera"))))</f>
        <v>Programado</v>
      </c>
      <c r="K2013" s="6" t="str">
        <f t="shared" si="98"/>
        <v>Programados</v>
      </c>
      <c r="L2013" s="8">
        <v>46139</v>
      </c>
      <c r="M2013" s="17">
        <f>MAX(1,NETWORKDAYS(A2013,L2013,Table2[Dias no laborales]))</f>
        <v>1</v>
      </c>
    </row>
    <row r="2014" spans="1:13" hidden="1" x14ac:dyDescent="0.3">
      <c r="A2014" s="8">
        <v>46139</v>
      </c>
      <c r="B2014" s="16" t="s">
        <v>4060</v>
      </c>
      <c r="C2014" s="6" t="s">
        <v>4097</v>
      </c>
      <c r="D2014" s="6" t="s">
        <v>191</v>
      </c>
      <c r="E2014" s="14"/>
      <c r="F2014" s="8">
        <f>IF(HOUR(Table1[[#This Row],[CORREO]])&gt;=11,WORKDAY(Table1[[#This Row],[CORREO]],1,Table2[Dias no laborales]),E2014)</f>
        <v>0</v>
      </c>
      <c r="G2014" s="8">
        <v>46139</v>
      </c>
      <c r="H2014" s="6">
        <f t="shared" si="97"/>
        <v>17</v>
      </c>
      <c r="I2014" s="6">
        <f>MAX(1, NETWORKDAYS(A2014, G2014,Table2[Dias no laborales]))</f>
        <v>1</v>
      </c>
      <c r="J2014" s="6" t="str">
        <f>IF(Table1[[#This Row],[FIN]]="","Acumulado",IF(ISNUMBER(SEARCH("ASAP",C2014)),"ASAP",IF(NETWORKDAYS.INTL(F2014,G2014,1,Table2[Dias no laborales]) &lt;= 7, "Dentro", IF(A2014&gt;F2014,"Programado","Fuera"))))</f>
        <v>Programado</v>
      </c>
      <c r="K2014" s="6" t="str">
        <f t="shared" si="98"/>
        <v>Programados</v>
      </c>
      <c r="L2014" s="8">
        <v>46139</v>
      </c>
      <c r="M2014" s="17">
        <f>MAX(1,NETWORKDAYS(A2014,L2014,Table2[Dias no laborales]))</f>
        <v>1</v>
      </c>
    </row>
    <row r="2015" spans="1:13" hidden="1" x14ac:dyDescent="0.3">
      <c r="A2015" s="8">
        <v>46139</v>
      </c>
      <c r="B2015" s="16" t="s">
        <v>4061</v>
      </c>
      <c r="C2015" s="6" t="s">
        <v>4098</v>
      </c>
      <c r="D2015" s="6" t="s">
        <v>89</v>
      </c>
      <c r="E2015" s="14"/>
      <c r="F2015" s="8">
        <f>IF(HOUR(Table1[[#This Row],[CORREO]])&gt;=11,WORKDAY(Table1[[#This Row],[CORREO]],1,Table2[Dias no laborales]),E2015)</f>
        <v>0</v>
      </c>
      <c r="G2015" s="8">
        <v>46141</v>
      </c>
      <c r="H2015" s="6">
        <f t="shared" si="97"/>
        <v>17</v>
      </c>
      <c r="I2015" s="6">
        <f>MAX(1, NETWORKDAYS(A2015, G2015,Table2[Dias no laborales]))</f>
        <v>3</v>
      </c>
      <c r="J2015" s="6" t="str">
        <f>IF(Table1[[#This Row],[FIN]]="","Acumulado",IF(ISNUMBER(SEARCH("ASAP",C2015)),"ASAP",IF(NETWORKDAYS.INTL(F2015,G2015,1,Table2[Dias no laborales]) &lt;= 7, "Dentro", IF(A2015&gt;F2015,"Programado","Fuera"))))</f>
        <v>Programado</v>
      </c>
      <c r="K2015" s="6" t="str">
        <f t="shared" si="98"/>
        <v>Programados</v>
      </c>
      <c r="L2015" s="8">
        <v>46139</v>
      </c>
      <c r="M2015" s="17">
        <f>MAX(1,NETWORKDAYS(A2015,L2015,Table2[Dias no laborales]))</f>
        <v>1</v>
      </c>
    </row>
    <row r="2016" spans="1:13" hidden="1" x14ac:dyDescent="0.3">
      <c r="A2016" s="8">
        <v>46139</v>
      </c>
      <c r="B2016" s="16" t="s">
        <v>4062</v>
      </c>
      <c r="C2016" s="6" t="s">
        <v>4099</v>
      </c>
      <c r="D2016" s="6" t="s">
        <v>89</v>
      </c>
      <c r="E2016" s="14"/>
      <c r="F2016" s="8">
        <f>IF(HOUR(Table1[[#This Row],[CORREO]])&gt;=11,WORKDAY(Table1[[#This Row],[CORREO]],1,Table2[Dias no laborales]),E2016)</f>
        <v>0</v>
      </c>
      <c r="G2016" s="8">
        <v>46141</v>
      </c>
      <c r="H2016" s="6">
        <f t="shared" si="97"/>
        <v>17</v>
      </c>
      <c r="I2016" s="6">
        <f>MAX(1, NETWORKDAYS(A2016, G2016,Table2[Dias no laborales]))</f>
        <v>3</v>
      </c>
      <c r="J2016" s="6" t="str">
        <f>IF(Table1[[#This Row],[FIN]]="","Acumulado",IF(ISNUMBER(SEARCH("ASAP",C2016)),"ASAP",IF(NETWORKDAYS.INTL(F2016,G2016,1,Table2[Dias no laborales]) &lt;= 7, "Dentro", IF(A2016&gt;F2016,"Programado","Fuera"))))</f>
        <v>Programado</v>
      </c>
      <c r="K2016" s="6" t="str">
        <f t="shared" si="98"/>
        <v>Programados</v>
      </c>
      <c r="L2016" s="8">
        <v>46139</v>
      </c>
      <c r="M2016" s="17">
        <f>MAX(1,NETWORKDAYS(A2016,L2016,Table2[Dias no laborales]))</f>
        <v>1</v>
      </c>
    </row>
    <row r="2017" spans="1:13" hidden="1" x14ac:dyDescent="0.3">
      <c r="A2017" s="8">
        <v>46139</v>
      </c>
      <c r="B2017" s="16" t="s">
        <v>4063</v>
      </c>
      <c r="C2017" s="6" t="s">
        <v>4100</v>
      </c>
      <c r="D2017" s="6" t="s">
        <v>89</v>
      </c>
      <c r="E2017" s="14"/>
      <c r="F2017" s="8">
        <f>IF(HOUR(Table1[[#This Row],[CORREO]])&gt;=11,WORKDAY(Table1[[#This Row],[CORREO]],1,Table2[Dias no laborales]),E2017)</f>
        <v>0</v>
      </c>
      <c r="G2017" s="8">
        <v>46142</v>
      </c>
      <c r="H2017" s="6">
        <f t="shared" si="97"/>
        <v>17</v>
      </c>
      <c r="I2017" s="6">
        <f>MAX(1, NETWORKDAYS(A2017, G2017,Table2[Dias no laborales]))</f>
        <v>4</v>
      </c>
      <c r="J2017" s="6" t="str">
        <f>IF(Table1[[#This Row],[FIN]]="","Acumulado",IF(ISNUMBER(SEARCH("ASAP",C2017)),"ASAP",IF(NETWORKDAYS.INTL(F2017,G2017,1,Table2[Dias no laborales]) &lt;= 7, "Dentro", IF(A2017&gt;F2017,"Programado","Fuera"))))</f>
        <v>Programado</v>
      </c>
      <c r="K2017" s="6" t="str">
        <f t="shared" si="98"/>
        <v>Programados</v>
      </c>
      <c r="L2017" s="8">
        <v>46139</v>
      </c>
      <c r="M2017" s="17">
        <f>MAX(1,NETWORKDAYS(A2017,L2017,Table2[Dias no laborales]))</f>
        <v>1</v>
      </c>
    </row>
    <row r="2018" spans="1:13" hidden="1" x14ac:dyDescent="0.3">
      <c r="A2018" s="8">
        <v>46139</v>
      </c>
      <c r="B2018" s="16" t="s">
        <v>4064</v>
      </c>
      <c r="C2018" s="6" t="s">
        <v>4101</v>
      </c>
      <c r="D2018" s="6" t="s">
        <v>238</v>
      </c>
      <c r="E2018" s="14"/>
      <c r="F2018" s="8">
        <f>IF(HOUR(Table1[[#This Row],[CORREO]])&gt;=11,WORKDAY(Table1[[#This Row],[CORREO]],1,Table2[Dias no laborales]),E2018)</f>
        <v>0</v>
      </c>
      <c r="G2018" s="8">
        <v>46142</v>
      </c>
      <c r="H2018" s="6">
        <f t="shared" si="97"/>
        <v>17</v>
      </c>
      <c r="I2018" s="6">
        <f>MAX(1, NETWORKDAYS(A2018, G2018,Table2[Dias no laborales]))</f>
        <v>4</v>
      </c>
      <c r="J2018" s="6" t="str">
        <f>IF(Table1[[#This Row],[FIN]]="","Acumulado",IF(ISNUMBER(SEARCH("ASAP",C2018)),"ASAP",IF(NETWORKDAYS.INTL(F2018,G2018,1,Table2[Dias no laborales]) &lt;= 7, "Dentro", IF(A2018&gt;F2018,"Programado","Fuera"))))</f>
        <v>Programado</v>
      </c>
      <c r="K2018" s="6" t="str">
        <f t="shared" si="98"/>
        <v>Programados</v>
      </c>
      <c r="L2018" s="8">
        <v>46139</v>
      </c>
      <c r="M2018" s="17">
        <f>MAX(1,NETWORKDAYS(A2018,L2018,Table2[Dias no laborales]))</f>
        <v>1</v>
      </c>
    </row>
    <row r="2019" spans="1:13" hidden="1" x14ac:dyDescent="0.3">
      <c r="A2019" s="8">
        <v>46139</v>
      </c>
      <c r="B2019" s="16" t="s">
        <v>4065</v>
      </c>
      <c r="C2019" s="6" t="s">
        <v>4102</v>
      </c>
      <c r="D2019" s="6" t="s">
        <v>4103</v>
      </c>
      <c r="E2019" s="14"/>
      <c r="F2019" s="8">
        <f>IF(HOUR(Table1[[#This Row],[CORREO]])&gt;=11,WORKDAY(Table1[[#This Row],[CORREO]],1,Table2[Dias no laborales]),E2019)</f>
        <v>0</v>
      </c>
      <c r="G2019" s="8">
        <v>46139</v>
      </c>
      <c r="H2019" s="6">
        <f t="shared" si="97"/>
        <v>17</v>
      </c>
      <c r="I2019" s="6">
        <f>MAX(1, NETWORKDAYS(A2019, G2019,Table2[Dias no laborales]))</f>
        <v>1</v>
      </c>
      <c r="J2019" s="6" t="str">
        <f>IF(Table1[[#This Row],[FIN]]="","Acumulado",IF(ISNUMBER(SEARCH("ASAP",C2019)),"ASAP",IF(NETWORKDAYS.INTL(F2019,G2019,1,Table2[Dias no laborales]) &lt;= 7, "Dentro", IF(A2019&gt;F2019,"Programado","Fuera"))))</f>
        <v>Programado</v>
      </c>
      <c r="K2019" s="6" t="str">
        <f t="shared" si="98"/>
        <v>Programados</v>
      </c>
      <c r="L2019" s="8">
        <v>46139</v>
      </c>
      <c r="M2019" s="17">
        <f>MAX(1,NETWORKDAYS(A2019,L2019,Table2[Dias no laborales]))</f>
        <v>1</v>
      </c>
    </row>
    <row r="2020" spans="1:13" hidden="1" x14ac:dyDescent="0.3">
      <c r="A2020" s="8">
        <v>46139</v>
      </c>
      <c r="B2020" s="16" t="s">
        <v>4066</v>
      </c>
      <c r="C2020" s="6" t="s">
        <v>4104</v>
      </c>
      <c r="D2020" s="6" t="s">
        <v>139</v>
      </c>
      <c r="E2020" s="14"/>
      <c r="F2020" s="8">
        <f>IF(HOUR(Table1[[#This Row],[CORREO]])&gt;=11,WORKDAY(Table1[[#This Row],[CORREO]],1,Table2[Dias no laborales]),E2020)</f>
        <v>0</v>
      </c>
      <c r="G2020" s="8">
        <v>46139</v>
      </c>
      <c r="H2020" s="6">
        <f t="shared" si="97"/>
        <v>17</v>
      </c>
      <c r="I2020" s="6">
        <f>MAX(1, NETWORKDAYS(A2020, G2020,Table2[Dias no laborales]))</f>
        <v>1</v>
      </c>
      <c r="J2020" s="6" t="str">
        <f>IF(Table1[[#This Row],[FIN]]="","Acumulado",IF(ISNUMBER(SEARCH("ASAP",C2020)),"ASAP",IF(NETWORKDAYS.INTL(F2020,G2020,1,Table2[Dias no laborales]) &lt;= 7, "Dentro", IF(A2020&gt;F2020,"Programado","Fuera"))))</f>
        <v>Programado</v>
      </c>
      <c r="K2020" s="6" t="str">
        <f t="shared" si="98"/>
        <v>Programados</v>
      </c>
      <c r="L2020" s="8">
        <v>46139</v>
      </c>
      <c r="M2020" s="17">
        <f>MAX(1,NETWORKDAYS(A2020,L2020,Table2[Dias no laborales]))</f>
        <v>1</v>
      </c>
    </row>
    <row r="2021" spans="1:13" hidden="1" x14ac:dyDescent="0.3">
      <c r="A2021" s="8">
        <v>46139</v>
      </c>
      <c r="B2021" s="16" t="s">
        <v>4067</v>
      </c>
      <c r="C2021" s="6" t="s">
        <v>4105</v>
      </c>
      <c r="D2021" s="6" t="s">
        <v>1333</v>
      </c>
      <c r="E2021" s="14"/>
      <c r="F2021" s="8">
        <f>IF(HOUR(Table1[[#This Row],[CORREO]])&gt;=11,WORKDAY(Table1[[#This Row],[CORREO]],1,Table2[Dias no laborales]),E2021)</f>
        <v>0</v>
      </c>
      <c r="G2021" s="8">
        <v>46149</v>
      </c>
      <c r="H2021" s="6">
        <f t="shared" si="97"/>
        <v>17</v>
      </c>
      <c r="I2021" s="6">
        <f>MAX(1, NETWORKDAYS(A2021, G2021,Table2[Dias no laborales]))</f>
        <v>7</v>
      </c>
      <c r="J2021" s="6" t="str">
        <f>IF(Table1[[#This Row],[FIN]]="","Acumulado",IF(ISNUMBER(SEARCH("ASAP",C2021)),"ASAP",IF(NETWORKDAYS.INTL(F2021,G2021,1,Table2[Dias no laborales]) &lt;= 7, "Dentro", IF(A2021&gt;F2021,"Programado","Fuera"))))</f>
        <v>Programado</v>
      </c>
      <c r="K2021" s="6" t="str">
        <f t="shared" si="98"/>
        <v>Programados</v>
      </c>
      <c r="L2021" s="8">
        <v>46139</v>
      </c>
      <c r="M2021" s="17">
        <f>MAX(1,NETWORKDAYS(A2021,L2021,Table2[Dias no laborales]))</f>
        <v>1</v>
      </c>
    </row>
    <row r="2022" spans="1:13" hidden="1" x14ac:dyDescent="0.3">
      <c r="A2022" s="8">
        <v>46139</v>
      </c>
      <c r="B2022" s="16" t="s">
        <v>4068</v>
      </c>
      <c r="C2022" s="6" t="s">
        <v>3008</v>
      </c>
      <c r="D2022" s="6" t="s">
        <v>4047</v>
      </c>
      <c r="E2022" s="14">
        <v>46139.513888888891</v>
      </c>
      <c r="F2022" s="8">
        <f>IF(HOUR(Table1[[#This Row],[CORREO]])&gt;=11,WORKDAY(Table1[[#This Row],[CORREO]],1,Table2[Dias no laborales]),E2022)</f>
        <v>46140</v>
      </c>
      <c r="G2022" s="8">
        <v>46140</v>
      </c>
      <c r="H2022" s="6">
        <f t="shared" si="97"/>
        <v>17</v>
      </c>
      <c r="I2022" s="6">
        <f>MAX(1, NETWORKDAYS(A2022, G2022,Table2[Dias no laborales]))</f>
        <v>2</v>
      </c>
      <c r="J2022" s="6" t="str">
        <f>IF(Table1[[#This Row],[FIN]]="","Acumulado",IF(ISNUMBER(SEARCH("ASAP",C2022)),"ASAP",IF(NETWORKDAYS.INTL(F2022,G2022,1,Table2[Dias no laborales]) &lt;= 7, "Dentro", IF(A2022&gt;F2022,"Programado","Fuera"))))</f>
        <v>Dentro</v>
      </c>
      <c r="K2022" s="6" t="str">
        <f t="shared" si="98"/>
        <v>Mismo día</v>
      </c>
      <c r="L2022" s="8">
        <v>46139</v>
      </c>
      <c r="M2022" s="17">
        <f>MAX(1,NETWORKDAYS(A2022,L2022,Table2[Dias no laborales]))</f>
        <v>1</v>
      </c>
    </row>
    <row r="2023" spans="1:13" hidden="1" x14ac:dyDescent="0.3">
      <c r="A2023" s="8">
        <v>46140</v>
      </c>
      <c r="B2023" s="16" t="s">
        <v>4069</v>
      </c>
      <c r="C2023" s="6" t="s">
        <v>4106</v>
      </c>
      <c r="D2023" s="6" t="s">
        <v>2981</v>
      </c>
      <c r="E2023" s="14">
        <v>46139.51666666667</v>
      </c>
      <c r="F2023" s="8">
        <f>IF(HOUR(Table1[[#This Row],[CORREO]])&gt;=11,WORKDAY(Table1[[#This Row],[CORREO]],1,Table2[Dias no laborales]),E2023)</f>
        <v>46140</v>
      </c>
      <c r="G2023" s="8">
        <v>46140</v>
      </c>
      <c r="H2023" s="6">
        <f t="shared" si="97"/>
        <v>17</v>
      </c>
      <c r="I2023" s="6">
        <f>MAX(1, NETWORKDAYS(A2023, G2023,Table2[Dias no laborales]))</f>
        <v>1</v>
      </c>
      <c r="J2023" s="6" t="str">
        <f>IF(Table1[[#This Row],[FIN]]="","Acumulado",IF(ISNUMBER(SEARCH("ASAP",C2023)),"ASAP",IF(NETWORKDAYS.INTL(F2023,G2023,1,Table2[Dias no laborales]) &lt;= 7, "Dentro", IF(A2023&gt;F2023,"Programado","Fuera"))))</f>
        <v>Dentro</v>
      </c>
      <c r="K2023" s="6" t="str">
        <f t="shared" si="98"/>
        <v>A tiempo</v>
      </c>
      <c r="L2023" s="8">
        <v>46140</v>
      </c>
      <c r="M2023" s="17">
        <f>MAX(1,NETWORKDAYS(A2023,L2023,Table2[Dias no laborales]))</f>
        <v>1</v>
      </c>
    </row>
    <row r="2024" spans="1:13" hidden="1" x14ac:dyDescent="0.3">
      <c r="A2024" s="8">
        <v>46140</v>
      </c>
      <c r="B2024" s="16" t="s">
        <v>4070</v>
      </c>
      <c r="C2024" s="6" t="s">
        <v>4107</v>
      </c>
      <c r="D2024" s="6" t="s">
        <v>1360</v>
      </c>
      <c r="E2024" s="14">
        <v>46139.560416666667</v>
      </c>
      <c r="F2024" s="8">
        <f>IF(HOUR(Table1[[#This Row],[CORREO]])&gt;=11,WORKDAY(Table1[[#This Row],[CORREO]],1,Table2[Dias no laborales]),E2024)</f>
        <v>46140</v>
      </c>
      <c r="G2024" s="8">
        <v>46149</v>
      </c>
      <c r="H2024" s="6">
        <f t="shared" si="97"/>
        <v>17</v>
      </c>
      <c r="I2024" s="6">
        <f>MAX(1, NETWORKDAYS(A2024, G2024,Table2[Dias no laborales]))</f>
        <v>6</v>
      </c>
      <c r="J2024" s="6" t="str">
        <f>IF(Table1[[#This Row],[FIN]]="","Acumulado",IF(ISNUMBER(SEARCH("ASAP",C2024)),"ASAP",IF(NETWORKDAYS.INTL(F2024,G2024,1,Table2[Dias no laborales]) &lt;= 7, "Dentro", IF(A2024&gt;F2024,"Programado","Fuera"))))</f>
        <v>Dentro</v>
      </c>
      <c r="K2024" s="6" t="str">
        <f t="shared" si="98"/>
        <v>A tiempo</v>
      </c>
      <c r="L2024" s="8">
        <v>46140</v>
      </c>
      <c r="M2024" s="17">
        <f>MAX(1,NETWORKDAYS(A2024,L2024,Table2[Dias no laborales]))</f>
        <v>1</v>
      </c>
    </row>
    <row r="2025" spans="1:13" hidden="1" x14ac:dyDescent="0.3">
      <c r="A2025" s="8">
        <v>46140</v>
      </c>
      <c r="B2025" s="16" t="s">
        <v>4071</v>
      </c>
      <c r="C2025" s="6" t="s">
        <v>4108</v>
      </c>
      <c r="D2025" s="6" t="s">
        <v>4109</v>
      </c>
      <c r="E2025" s="14">
        <v>46139.561111111114</v>
      </c>
      <c r="F2025" s="8">
        <f>IF(HOUR(Table1[[#This Row],[CORREO]])&gt;=11,WORKDAY(Table1[[#This Row],[CORREO]],1,Table2[Dias no laborales]),E2025)</f>
        <v>46140</v>
      </c>
      <c r="G2025" s="8">
        <v>46142</v>
      </c>
      <c r="H2025" s="6">
        <f t="shared" si="97"/>
        <v>17</v>
      </c>
      <c r="I2025" s="6">
        <f>MAX(1, NETWORKDAYS(A2025, G2025,Table2[Dias no laborales]))</f>
        <v>3</v>
      </c>
      <c r="J2025" s="6" t="str">
        <f>IF(Table1[[#This Row],[FIN]]="","Acumulado",IF(ISNUMBER(SEARCH("ASAP",C2025)),"ASAP",IF(NETWORKDAYS.INTL(F2025,G2025,1,Table2[Dias no laborales]) &lt;= 7, "Dentro", IF(A2025&gt;F2025,"Programado","Fuera"))))</f>
        <v>Dentro</v>
      </c>
      <c r="K2025" s="6" t="str">
        <f t="shared" si="98"/>
        <v>A tiempo</v>
      </c>
      <c r="L2025" s="8">
        <v>46140</v>
      </c>
      <c r="M2025" s="17">
        <f>MAX(1,NETWORKDAYS(A2025,L2025,Table2[Dias no laborales]))</f>
        <v>1</v>
      </c>
    </row>
    <row r="2026" spans="1:13" hidden="1" x14ac:dyDescent="0.3">
      <c r="A2026" s="8">
        <v>46140</v>
      </c>
      <c r="B2026" s="16" t="s">
        <v>4072</v>
      </c>
      <c r="C2026" s="6" t="s">
        <v>4110</v>
      </c>
      <c r="D2026" s="6" t="s">
        <v>139</v>
      </c>
      <c r="E2026" s="14">
        <v>46139.682638888888</v>
      </c>
      <c r="F2026" s="8">
        <f>IF(HOUR(Table1[[#This Row],[CORREO]])&gt;=11,WORKDAY(Table1[[#This Row],[CORREO]],1,Table2[Dias no laborales]),E2026)</f>
        <v>46140</v>
      </c>
      <c r="G2026" s="8">
        <v>46140</v>
      </c>
      <c r="H2026" s="6">
        <f t="shared" si="97"/>
        <v>17</v>
      </c>
      <c r="I2026" s="6">
        <f>MAX(1, NETWORKDAYS(A2026, G2026,Table2[Dias no laborales]))</f>
        <v>1</v>
      </c>
      <c r="J2026" s="6" t="str">
        <f>IF(Table1[[#This Row],[FIN]]="","Acumulado",IF(ISNUMBER(SEARCH("ASAP",C2026)),"ASAP",IF(NETWORKDAYS.INTL(F2026,G2026,1,Table2[Dias no laborales]) &lt;= 7, "Dentro", IF(A2026&gt;F2026,"Programado","Fuera"))))</f>
        <v>Dentro</v>
      </c>
      <c r="K2026" s="6" t="str">
        <f t="shared" si="98"/>
        <v>A tiempo</v>
      </c>
      <c r="L2026" s="8">
        <v>46140</v>
      </c>
      <c r="M2026" s="17">
        <f>MAX(1,NETWORKDAYS(A2026,L2026,Table2[Dias no laborales]))</f>
        <v>1</v>
      </c>
    </row>
    <row r="2027" spans="1:13" hidden="1" x14ac:dyDescent="0.3">
      <c r="A2027" s="8">
        <v>46140</v>
      </c>
      <c r="B2027" s="16" t="s">
        <v>4073</v>
      </c>
      <c r="C2027" s="6" t="s">
        <v>4111</v>
      </c>
      <c r="D2027" s="6" t="s">
        <v>3041</v>
      </c>
      <c r="E2027" s="14">
        <v>46139.704861111109</v>
      </c>
      <c r="F2027" s="8">
        <f>IF(HOUR(Table1[[#This Row],[CORREO]])&gt;=11,WORKDAY(Table1[[#This Row],[CORREO]],1,Table2[Dias no laborales]),E2027)</f>
        <v>46140</v>
      </c>
      <c r="G2027" s="8">
        <v>46150</v>
      </c>
      <c r="H2027" s="6">
        <f t="shared" si="97"/>
        <v>17</v>
      </c>
      <c r="I2027" s="6">
        <f>MAX(1, NETWORKDAYS(A2027, G2027,Table2[Dias no laborales]))</f>
        <v>7</v>
      </c>
      <c r="J2027" s="6" t="str">
        <f>IF(Table1[[#This Row],[FIN]]="","Acumulado",IF(ISNUMBER(SEARCH("ASAP",C2027)),"ASAP",IF(NETWORKDAYS.INTL(F2027,G2027,1,Table2[Dias no laborales]) &lt;= 7, "Dentro", IF(A2027&gt;F2027,"Programado","Fuera"))))</f>
        <v>Dentro</v>
      </c>
      <c r="K2027" s="6" t="str">
        <f t="shared" si="98"/>
        <v>A tiempo</v>
      </c>
      <c r="L2027" s="8">
        <v>46140</v>
      </c>
      <c r="M2027" s="17">
        <f>MAX(1,NETWORKDAYS(A2027,L2027,Table2[Dias no laborales]))</f>
        <v>1</v>
      </c>
    </row>
    <row r="2028" spans="1:13" hidden="1" x14ac:dyDescent="0.3">
      <c r="A2028" s="8">
        <v>46140</v>
      </c>
      <c r="B2028" s="16" t="s">
        <v>4074</v>
      </c>
      <c r="C2028" s="6" t="s">
        <v>4112</v>
      </c>
      <c r="D2028" s="6" t="s">
        <v>3039</v>
      </c>
      <c r="E2028" s="14">
        <v>46139.753472222219</v>
      </c>
      <c r="F2028" s="8">
        <f>IF(HOUR(Table1[[#This Row],[CORREO]])&gt;=11,WORKDAY(Table1[[#This Row],[CORREO]],1,Table2[Dias no laborales]),E2028)</f>
        <v>46140</v>
      </c>
      <c r="G2028" s="8">
        <v>46140</v>
      </c>
      <c r="H2028" s="6">
        <f t="shared" si="97"/>
        <v>17</v>
      </c>
      <c r="I2028" s="6">
        <f>MAX(1, NETWORKDAYS(A2028, G2028,Table2[Dias no laborales]))</f>
        <v>1</v>
      </c>
      <c r="J2028" s="6" t="str">
        <f>IF(Table1[[#This Row],[FIN]]="","Acumulado",IF(ISNUMBER(SEARCH("ASAP",C2028)),"ASAP",IF(NETWORKDAYS.INTL(F2028,G2028,1,Table2[Dias no laborales]) &lt;= 7, "Dentro", IF(A2028&gt;F2028,"Programado","Fuera"))))</f>
        <v>Dentro</v>
      </c>
      <c r="K2028" s="6" t="str">
        <f t="shared" si="98"/>
        <v>A tiempo</v>
      </c>
      <c r="L2028" s="8">
        <v>46140</v>
      </c>
      <c r="M2028" s="17">
        <f>MAX(1,NETWORKDAYS(A2028,L2028,Table2[Dias no laborales]))</f>
        <v>1</v>
      </c>
    </row>
    <row r="2029" spans="1:13" hidden="1" x14ac:dyDescent="0.3">
      <c r="A2029" s="8">
        <v>46140</v>
      </c>
      <c r="B2029" s="16" t="s">
        <v>4075</v>
      </c>
      <c r="C2029" s="6" t="s">
        <v>4113</v>
      </c>
      <c r="D2029" s="6" t="s">
        <v>4114</v>
      </c>
      <c r="E2029" s="14">
        <v>46139.90625</v>
      </c>
      <c r="F2029" s="8">
        <f>IF(HOUR(Table1[[#This Row],[CORREO]])&gt;=11,WORKDAY(Table1[[#This Row],[CORREO]],1,Table2[Dias no laborales]),E2029)</f>
        <v>46140</v>
      </c>
      <c r="G2029" s="8">
        <v>46141</v>
      </c>
      <c r="H2029" s="6">
        <f t="shared" si="97"/>
        <v>17</v>
      </c>
      <c r="I2029" s="6">
        <f>MAX(1, NETWORKDAYS(A2029, G2029,Table2[Dias no laborales]))</f>
        <v>2</v>
      </c>
      <c r="J2029" s="6" t="str">
        <f>IF(Table1[[#This Row],[FIN]]="","Acumulado",IF(ISNUMBER(SEARCH("ASAP",C2029)),"ASAP",IF(NETWORKDAYS.INTL(F2029,G2029,1,Table2[Dias no laborales]) &lt;= 7, "Dentro", IF(A2029&gt;F2029,"Programado","Fuera"))))</f>
        <v>Dentro</v>
      </c>
      <c r="K2029" s="6" t="str">
        <f t="shared" si="98"/>
        <v>A tiempo</v>
      </c>
      <c r="L2029" s="8">
        <v>46140</v>
      </c>
      <c r="M2029" s="17">
        <f>MAX(1,NETWORKDAYS(A2029,L2029,Table2[Dias no laborales]))</f>
        <v>1</v>
      </c>
    </row>
    <row r="2030" spans="1:13" hidden="1" x14ac:dyDescent="0.3">
      <c r="A2030" s="8">
        <v>46140</v>
      </c>
      <c r="B2030" s="16" t="s">
        <v>4076</v>
      </c>
      <c r="C2030" s="6" t="s">
        <v>4115</v>
      </c>
      <c r="D2030" s="6" t="s">
        <v>4116</v>
      </c>
      <c r="E2030" s="14">
        <v>46139.90625</v>
      </c>
      <c r="F2030" s="8">
        <f>IF(HOUR(Table1[[#This Row],[CORREO]])&gt;=11,WORKDAY(Table1[[#This Row],[CORREO]],1,Table2[Dias no laborales]),E2030)</f>
        <v>46140</v>
      </c>
      <c r="G2030" s="8">
        <v>46141</v>
      </c>
      <c r="H2030" s="6">
        <f t="shared" si="97"/>
        <v>17</v>
      </c>
      <c r="I2030" s="6">
        <f>MAX(1, NETWORKDAYS(A2030, G2030,Table2[Dias no laborales]))</f>
        <v>2</v>
      </c>
      <c r="J2030" s="6" t="str">
        <f>IF(Table1[[#This Row],[FIN]]="","Acumulado",IF(ISNUMBER(SEARCH("ASAP",C2030)),"ASAP",IF(NETWORKDAYS.INTL(F2030,G2030,1,Table2[Dias no laborales]) &lt;= 7, "Dentro", IF(A2030&gt;F2030,"Programado","Fuera"))))</f>
        <v>Dentro</v>
      </c>
      <c r="K2030" s="6" t="str">
        <f t="shared" si="98"/>
        <v>A tiempo</v>
      </c>
      <c r="L2030" s="8">
        <v>46140</v>
      </c>
      <c r="M2030" s="17">
        <f>MAX(1,NETWORKDAYS(A2030,L2030,Table2[Dias no laborales]))</f>
        <v>1</v>
      </c>
    </row>
    <row r="2031" spans="1:13" hidden="1" x14ac:dyDescent="0.3">
      <c r="A2031" s="8">
        <v>46140</v>
      </c>
      <c r="B2031" s="16" t="s">
        <v>4077</v>
      </c>
      <c r="C2031" s="6" t="s">
        <v>4117</v>
      </c>
      <c r="D2031" s="6" t="s">
        <v>133</v>
      </c>
      <c r="E2031" s="14">
        <v>46140.35</v>
      </c>
      <c r="F2031" s="8">
        <f>IF(HOUR(Table1[[#This Row],[CORREO]])&gt;=11,WORKDAY(Table1[[#This Row],[CORREO]],1,Table2[Dias no laborales]),E2031)</f>
        <v>46140.35</v>
      </c>
      <c r="G2031" s="8">
        <v>46141</v>
      </c>
      <c r="H2031" s="6">
        <f t="shared" si="97"/>
        <v>17</v>
      </c>
      <c r="I2031" s="6">
        <f>MAX(1, NETWORKDAYS(A2031, G2031,Table2[Dias no laborales]))</f>
        <v>2</v>
      </c>
      <c r="J2031" s="6" t="str">
        <f>IF(Table1[[#This Row],[FIN]]="","Acumulado",IF(ISNUMBER(SEARCH("ASAP",C2031)),"ASAP",IF(NETWORKDAYS.INTL(F2031,G2031,1,Table2[Dias no laborales]) &lt;= 7, "Dentro", IF(A2031&gt;F2031,"Programado","Fuera"))))</f>
        <v>Dentro</v>
      </c>
      <c r="K2031" s="6" t="str">
        <f t="shared" si="98"/>
        <v>A tiempo</v>
      </c>
      <c r="L2031" s="8">
        <v>46140</v>
      </c>
      <c r="M2031" s="17">
        <f>MAX(1,NETWORKDAYS(A2031,L2031,Table2[Dias no laborales]))</f>
        <v>1</v>
      </c>
    </row>
    <row r="2032" spans="1:13" hidden="1" x14ac:dyDescent="0.3">
      <c r="A2032" s="8">
        <v>46140</v>
      </c>
      <c r="B2032" s="16" t="s">
        <v>4078</v>
      </c>
      <c r="C2032" s="6" t="s">
        <v>4118</v>
      </c>
      <c r="D2032" s="6" t="s">
        <v>24</v>
      </c>
      <c r="E2032" s="14">
        <v>46140.379861111112</v>
      </c>
      <c r="F2032" s="8">
        <f>IF(HOUR(Table1[[#This Row],[CORREO]])&gt;=11,WORKDAY(Table1[[#This Row],[CORREO]],1,Table2[Dias no laborales]),E2032)</f>
        <v>46140.379861111112</v>
      </c>
      <c r="G2032" s="8">
        <v>46141</v>
      </c>
      <c r="H2032" s="6">
        <f t="shared" si="97"/>
        <v>17</v>
      </c>
      <c r="I2032" s="6">
        <f>MAX(1, NETWORKDAYS(A2032, G2032,Table2[Dias no laborales]))</f>
        <v>2</v>
      </c>
      <c r="J2032" s="6" t="str">
        <f>IF(Table1[[#This Row],[FIN]]="","Acumulado",IF(ISNUMBER(SEARCH("ASAP",C2032)),"ASAP",IF(NETWORKDAYS.INTL(F2032,G2032,1,Table2[Dias no laborales]) &lt;= 7, "Dentro", IF(A2032&gt;F2032,"Programado","Fuera"))))</f>
        <v>Dentro</v>
      </c>
      <c r="K2032" s="6" t="str">
        <f t="shared" si="98"/>
        <v>A tiempo</v>
      </c>
      <c r="L2032" s="8">
        <v>46140</v>
      </c>
      <c r="M2032" s="17">
        <f>MAX(1,NETWORKDAYS(A2032,L2032,Table2[Dias no laborales]))</f>
        <v>1</v>
      </c>
    </row>
    <row r="2033" spans="1:13" hidden="1" x14ac:dyDescent="0.3">
      <c r="A2033" s="8">
        <v>46140</v>
      </c>
      <c r="B2033" s="16" t="s">
        <v>4079</v>
      </c>
      <c r="C2033" s="6" t="s">
        <v>4119</v>
      </c>
      <c r="D2033" s="6" t="s">
        <v>4120</v>
      </c>
      <c r="E2033" s="14">
        <v>46139.603472222225</v>
      </c>
      <c r="F2033" s="8">
        <f>IF(HOUR(Table1[[#This Row],[CORREO]])&gt;=11,WORKDAY(Table1[[#This Row],[CORREO]],1,Table2[Dias no laborales]),E2033)</f>
        <v>46140</v>
      </c>
      <c r="G2033" s="8">
        <v>46140</v>
      </c>
      <c r="H2033" s="6">
        <f t="shared" si="97"/>
        <v>17</v>
      </c>
      <c r="I2033" s="6">
        <f>MAX(1, NETWORKDAYS(A2033, G2033,Table2[Dias no laborales]))</f>
        <v>1</v>
      </c>
      <c r="J2033" s="6" t="str">
        <f>IF(Table1[[#This Row],[FIN]]="","Acumulado",IF(ISNUMBER(SEARCH("ASAP",C2033)),"ASAP",IF(NETWORKDAYS.INTL(F2033,G2033,1,Table2[Dias no laborales]) &lt;= 7, "Dentro", IF(A2033&gt;F2033,"Programado","Fuera"))))</f>
        <v>Dentro</v>
      </c>
      <c r="K2033" s="6" t="str">
        <f t="shared" si="98"/>
        <v>A tiempo</v>
      </c>
      <c r="L2033" s="8">
        <v>46140</v>
      </c>
      <c r="M2033" s="17">
        <f>MAX(1,NETWORKDAYS(A2033,L2033,Table2[Dias no laborales]))</f>
        <v>1</v>
      </c>
    </row>
    <row r="2034" spans="1:13" hidden="1" x14ac:dyDescent="0.3">
      <c r="A2034" s="8">
        <v>46141</v>
      </c>
      <c r="B2034" s="16" t="s">
        <v>4080</v>
      </c>
      <c r="C2034" s="6" t="s">
        <v>4121</v>
      </c>
      <c r="D2034" s="6" t="s">
        <v>24</v>
      </c>
      <c r="E2034" s="14">
        <v>46140.527777777781</v>
      </c>
      <c r="F2034" s="8">
        <f>IF(HOUR(Table1[[#This Row],[CORREO]])&gt;=11,WORKDAY(Table1[[#This Row],[CORREO]],1,Table2[Dias no laborales]),E2034)</f>
        <v>46141</v>
      </c>
      <c r="G2034" s="8">
        <v>46142</v>
      </c>
      <c r="H2034" s="6">
        <f t="shared" si="97"/>
        <v>17</v>
      </c>
      <c r="I2034" s="6">
        <f>MAX(1, NETWORKDAYS(A2034, G2034,Table2[Dias no laborales]))</f>
        <v>2</v>
      </c>
      <c r="J2034" s="6" t="str">
        <f>IF(Table1[[#This Row],[FIN]]="","Acumulado",IF(ISNUMBER(SEARCH("ASAP",C2034)),"ASAP",IF(NETWORKDAYS.INTL(F2034,G2034,1,Table2[Dias no laborales]) &lt;= 7, "Dentro", IF(A2034&gt;F2034,"Programado","Fuera"))))</f>
        <v>Dentro</v>
      </c>
      <c r="K2034" s="6" t="str">
        <f t="shared" si="98"/>
        <v>A tiempo</v>
      </c>
      <c r="L2034" s="8">
        <v>46141</v>
      </c>
      <c r="M2034" s="17">
        <f>MAX(1,NETWORKDAYS(A2034,L2034,Table2[Dias no laborales]))</f>
        <v>1</v>
      </c>
    </row>
    <row r="2035" spans="1:13" hidden="1" x14ac:dyDescent="0.3">
      <c r="A2035" s="8">
        <v>46141</v>
      </c>
      <c r="B2035" s="16" t="s">
        <v>4081</v>
      </c>
      <c r="C2035" s="6" t="s">
        <v>1532</v>
      </c>
      <c r="D2035" s="6" t="s">
        <v>571</v>
      </c>
      <c r="E2035" s="14">
        <v>46140.681250000001</v>
      </c>
      <c r="F2035" s="8">
        <f>IF(HOUR(Table1[[#This Row],[CORREO]])&gt;=11,WORKDAY(Table1[[#This Row],[CORREO]],1,Table2[Dias no laborales]),E2035)</f>
        <v>46141</v>
      </c>
      <c r="G2035" s="8">
        <v>46142</v>
      </c>
      <c r="H2035" s="6">
        <f t="shared" si="97"/>
        <v>17</v>
      </c>
      <c r="I2035" s="6">
        <f>MAX(1, NETWORKDAYS(A2035, G2035,Table2[Dias no laborales]))</f>
        <v>2</v>
      </c>
      <c r="J2035" s="6" t="str">
        <f>IF(Table1[[#This Row],[FIN]]="","Acumulado",IF(ISNUMBER(SEARCH("ASAP",C2035)),"ASAP",IF(NETWORKDAYS.INTL(F2035,G2035,1,Table2[Dias no laborales]) &lt;= 7, "Dentro", IF(A2035&gt;F2035,"Programado","Fuera"))))</f>
        <v>Dentro</v>
      </c>
      <c r="K2035" s="6" t="str">
        <f t="shared" si="98"/>
        <v>A tiempo</v>
      </c>
      <c r="L2035" s="8">
        <v>46141</v>
      </c>
      <c r="M2035" s="17">
        <f>MAX(1,NETWORKDAYS(A2035,L2035,Table2[Dias no laborales]))</f>
        <v>1</v>
      </c>
    </row>
    <row r="2036" spans="1:13" hidden="1" x14ac:dyDescent="0.3">
      <c r="A2036" s="8">
        <v>46141</v>
      </c>
      <c r="B2036" s="16" t="s">
        <v>4082</v>
      </c>
      <c r="C2036" s="6" t="s">
        <v>4122</v>
      </c>
      <c r="D2036" s="6" t="s">
        <v>1333</v>
      </c>
      <c r="E2036" s="14">
        <v>46140.710416666669</v>
      </c>
      <c r="F2036" s="8">
        <f>IF(HOUR(Table1[[#This Row],[CORREO]])&gt;=11,WORKDAY(Table1[[#This Row],[CORREO]],1,Table2[Dias no laborales]),E2036)</f>
        <v>46141</v>
      </c>
      <c r="G2036" s="8">
        <v>46150</v>
      </c>
      <c r="H2036" s="6">
        <f t="shared" si="97"/>
        <v>17</v>
      </c>
      <c r="I2036" s="6">
        <f>MAX(1, NETWORKDAYS(A2036, G2036,Table2[Dias no laborales]))</f>
        <v>6</v>
      </c>
      <c r="J2036" s="6" t="str">
        <f>IF(Table1[[#This Row],[FIN]]="","Acumulado",IF(ISNUMBER(SEARCH("ASAP",C2036)),"ASAP",IF(NETWORKDAYS.INTL(F2036,G2036,1,Table2[Dias no laborales]) &lt;= 7, "Dentro", IF(A2036&gt;F2036,"Programado","Fuera"))))</f>
        <v>Dentro</v>
      </c>
      <c r="K2036" s="6" t="str">
        <f t="shared" si="98"/>
        <v>A tiempo</v>
      </c>
      <c r="L2036" s="8">
        <v>46141</v>
      </c>
      <c r="M2036" s="17">
        <f>MAX(1,NETWORKDAYS(A2036,L2036,Table2[Dias no laborales]))</f>
        <v>1</v>
      </c>
    </row>
    <row r="2037" spans="1:13" hidden="1" x14ac:dyDescent="0.3">
      <c r="A2037" s="8">
        <v>46141</v>
      </c>
      <c r="B2037" s="16" t="s">
        <v>4083</v>
      </c>
      <c r="C2037" s="6" t="s">
        <v>4123</v>
      </c>
      <c r="D2037" s="6" t="s">
        <v>4124</v>
      </c>
      <c r="E2037" s="14">
        <v>46140.870833333334</v>
      </c>
      <c r="F2037" s="8">
        <f>IF(HOUR(Table1[[#This Row],[CORREO]])&gt;=11,WORKDAY(Table1[[#This Row],[CORREO]],1,Table2[Dias no laborales]),E2037)</f>
        <v>46141</v>
      </c>
      <c r="G2037" s="8">
        <v>46146</v>
      </c>
      <c r="H2037" s="6">
        <f t="shared" si="97"/>
        <v>17</v>
      </c>
      <c r="I2037" s="6">
        <f>MAX(1, NETWORKDAYS(A2037, G2037,Table2[Dias no laborales]))</f>
        <v>3</v>
      </c>
      <c r="J2037" s="6" t="str">
        <f>IF(Table1[[#This Row],[FIN]]="","Acumulado",IF(ISNUMBER(SEARCH("ASAP",C2037)),"ASAP",IF(NETWORKDAYS.INTL(F2037,G2037,1,Table2[Dias no laborales]) &lt;= 7, "Dentro", IF(A2037&gt;F2037,"Programado","Fuera"))))</f>
        <v>Dentro</v>
      </c>
      <c r="K2037" s="6" t="str">
        <f t="shared" si="98"/>
        <v>A tiempo</v>
      </c>
      <c r="L2037" s="8">
        <v>46142</v>
      </c>
      <c r="M2037" s="17">
        <f>MAX(1,NETWORKDAYS(A2037,L2037,Table2[Dias no laborales]))</f>
        <v>2</v>
      </c>
    </row>
    <row r="2038" spans="1:13" hidden="1" x14ac:dyDescent="0.3">
      <c r="A2038" s="8">
        <v>46141</v>
      </c>
      <c r="B2038" s="16" t="s">
        <v>4084</v>
      </c>
      <c r="C2038" s="6" t="s">
        <v>4125</v>
      </c>
      <c r="D2038" s="6" t="s">
        <v>171</v>
      </c>
      <c r="E2038" s="14">
        <v>46141.29791666667</v>
      </c>
      <c r="F2038" s="8">
        <f>IF(HOUR(Table1[[#This Row],[CORREO]])&gt;=11,WORKDAY(Table1[[#This Row],[CORREO]],1,Table2[Dias no laborales]),E2038)</f>
        <v>46141.29791666667</v>
      </c>
      <c r="G2038" s="8">
        <v>46141</v>
      </c>
      <c r="H2038" s="6">
        <f t="shared" si="97"/>
        <v>17</v>
      </c>
      <c r="I2038" s="6">
        <f>MAX(1, NETWORKDAYS(A2038, G2038,Table2[Dias no laborales]))</f>
        <v>1</v>
      </c>
      <c r="J2038" s="6" t="str">
        <f>IF(Table1[[#This Row],[FIN]]="","Acumulado",IF(ISNUMBER(SEARCH("ASAP",C2038)),"ASAP",IF(NETWORKDAYS.INTL(F2038,G2038,1,Table2[Dias no laborales]) &lt;= 7, "Dentro", IF(A2038&gt;F2038,"Programado","Fuera"))))</f>
        <v>Dentro</v>
      </c>
      <c r="K2038" s="6" t="str">
        <f t="shared" si="98"/>
        <v>A tiempo</v>
      </c>
      <c r="L2038" s="8">
        <v>46141</v>
      </c>
      <c r="M2038" s="17">
        <f>MAX(1,NETWORKDAYS(A2038,L2038,Table2[Dias no laborales]))</f>
        <v>1</v>
      </c>
    </row>
    <row r="2039" spans="1:13" hidden="1" x14ac:dyDescent="0.3">
      <c r="A2039" s="8">
        <v>46141</v>
      </c>
      <c r="B2039" s="16" t="s">
        <v>4085</v>
      </c>
      <c r="C2039" s="6" t="s">
        <v>4126</v>
      </c>
      <c r="D2039" s="6" t="s">
        <v>61</v>
      </c>
      <c r="E2039" s="14">
        <v>49794.32708333333</v>
      </c>
      <c r="F2039" s="8">
        <f>IF(HOUR(Table1[[#This Row],[CORREO]])&gt;=11,WORKDAY(Table1[[#This Row],[CORREO]],1,Table2[Dias no laborales]),E2039)</f>
        <v>49794.32708333333</v>
      </c>
      <c r="G2039" s="8">
        <v>46141</v>
      </c>
      <c r="H2039" s="6">
        <f t="shared" si="97"/>
        <v>17</v>
      </c>
      <c r="I2039" s="6">
        <f>MAX(1, NETWORKDAYS(A2039, G2039,Table2[Dias no laborales]))</f>
        <v>1</v>
      </c>
      <c r="J2039" s="6" t="str">
        <f>IF(Table1[[#This Row],[FIN]]="","Acumulado",IF(ISNUMBER(SEARCH("ASAP",C2039)),"ASAP",IF(NETWORKDAYS.INTL(F2039,G2039,1,Table2[Dias no laborales]) &lt;= 7, "Dentro", IF(A2039&gt;F2039,"Programado","Fuera"))))</f>
        <v>Dentro</v>
      </c>
      <c r="K2039" s="6" t="str">
        <f t="shared" si="98"/>
        <v>Mismo día</v>
      </c>
      <c r="L2039" s="8">
        <v>46141</v>
      </c>
      <c r="M2039" s="17">
        <f>MAX(1,NETWORKDAYS(A2039,L2039,Table2[Dias no laborales]))</f>
        <v>1</v>
      </c>
    </row>
    <row r="2040" spans="1:13" hidden="1" x14ac:dyDescent="0.3">
      <c r="A2040" s="8">
        <v>46141</v>
      </c>
      <c r="B2040" s="16" t="s">
        <v>4086</v>
      </c>
      <c r="C2040" s="6" t="s">
        <v>4127</v>
      </c>
      <c r="D2040" s="6" t="s">
        <v>24</v>
      </c>
      <c r="E2040" s="14"/>
      <c r="F2040" s="8">
        <f>IF(HOUR(Table1[[#This Row],[CORREO]])&gt;=11,WORKDAY(Table1[[#This Row],[CORREO]],1,Table2[Dias no laborales]),E2040)</f>
        <v>0</v>
      </c>
      <c r="G2040" s="8">
        <v>46149</v>
      </c>
      <c r="H2040" s="6">
        <f t="shared" si="97"/>
        <v>17</v>
      </c>
      <c r="I2040" s="6">
        <f>MAX(1, NETWORKDAYS(A2040, G2040,Table2[Dias no laborales]))</f>
        <v>5</v>
      </c>
      <c r="J2040" s="6" t="str">
        <f>IF(Table1[[#This Row],[FIN]]="","Acumulado",IF(ISNUMBER(SEARCH("ASAP",C2040)),"ASAP",IF(NETWORKDAYS.INTL(F2040,G2040,1,Table2[Dias no laborales]) &lt;= 7, "Dentro", IF(A2040&gt;F2040,"Programado","Fuera"))))</f>
        <v>Programado</v>
      </c>
      <c r="K2040" s="6" t="str">
        <f t="shared" si="98"/>
        <v>Programados</v>
      </c>
      <c r="L2040" s="8">
        <v>46141</v>
      </c>
      <c r="M2040" s="17">
        <f>MAX(1,NETWORKDAYS(A2040,L2040,Table2[Dias no laborales]))</f>
        <v>1</v>
      </c>
    </row>
    <row r="2041" spans="1:13" hidden="1" x14ac:dyDescent="0.3">
      <c r="A2041" s="8">
        <v>46141</v>
      </c>
      <c r="B2041" s="16" t="s">
        <v>4087</v>
      </c>
      <c r="C2041" s="6" t="s">
        <v>4128</v>
      </c>
      <c r="D2041" s="6" t="s">
        <v>1099</v>
      </c>
      <c r="E2041" s="14">
        <v>46141.432638888888</v>
      </c>
      <c r="F2041" s="8">
        <f>IF(HOUR(Table1[[#This Row],[CORREO]])&gt;=11,WORKDAY(Table1[[#This Row],[CORREO]],1,Table2[Dias no laborales]),E2041)</f>
        <v>46141.432638888888</v>
      </c>
      <c r="G2041" s="8">
        <v>46146</v>
      </c>
      <c r="H2041" s="6">
        <f t="shared" si="97"/>
        <v>17</v>
      </c>
      <c r="I2041" s="6">
        <f>MAX(1, NETWORKDAYS(A2041, G2041,Table2[Dias no laborales]))</f>
        <v>3</v>
      </c>
      <c r="J2041" s="6" t="str">
        <f>IF(Table1[[#This Row],[FIN]]="","Acumulado",IF(ISNUMBER(SEARCH("ASAP",C2041)),"ASAP",IF(NETWORKDAYS.INTL(F2041,G2041,1,Table2[Dias no laborales]) &lt;= 7, "Dentro", IF(A2041&gt;F2041,"Programado","Fuera"))))</f>
        <v>Dentro</v>
      </c>
      <c r="K2041" s="6" t="str">
        <f t="shared" si="98"/>
        <v>A tiempo</v>
      </c>
      <c r="L2041" s="8">
        <v>46141</v>
      </c>
      <c r="M2041" s="17">
        <f>MAX(1,NETWORKDAYS(A2041,L2041,Table2[Dias no laborales]))</f>
        <v>1</v>
      </c>
    </row>
    <row r="2042" spans="1:13" hidden="1" x14ac:dyDescent="0.3">
      <c r="A2042" s="8">
        <v>46141</v>
      </c>
      <c r="B2042" s="16" t="s">
        <v>4088</v>
      </c>
      <c r="C2042" s="6" t="s">
        <v>4129</v>
      </c>
      <c r="D2042" s="6" t="s">
        <v>1735</v>
      </c>
      <c r="E2042" s="14">
        <v>46141.456944444442</v>
      </c>
      <c r="F2042" s="8">
        <f>IF(HOUR(Table1[[#This Row],[CORREO]])&gt;=11,WORKDAY(Table1[[#This Row],[CORREO]],1,Table2[Dias no laborales]),E2042)</f>
        <v>46141.456944444442</v>
      </c>
      <c r="G2042" s="8">
        <v>46141</v>
      </c>
      <c r="H2042" s="6">
        <f t="shared" si="97"/>
        <v>17</v>
      </c>
      <c r="I2042" s="6">
        <f>MAX(1, NETWORKDAYS(A2042, G2042,Table2[Dias no laborales]))</f>
        <v>1</v>
      </c>
      <c r="J2042" s="6" t="str">
        <f>IF(Table1[[#This Row],[FIN]]="","Acumulado",IF(ISNUMBER(SEARCH("ASAP",C2042)),"ASAP",IF(NETWORKDAYS.INTL(F2042,G2042,1,Table2[Dias no laborales]) &lt;= 7, "Dentro", IF(A2042&gt;F2042,"Programado","Fuera"))))</f>
        <v>Dentro</v>
      </c>
      <c r="K2042" s="6" t="str">
        <f t="shared" si="98"/>
        <v>A tiempo</v>
      </c>
      <c r="L2042" s="8">
        <v>46141</v>
      </c>
      <c r="M2042" s="17">
        <f>MAX(1,NETWORKDAYS(A2042,L2042,Table2[Dias no laborales]))</f>
        <v>1</v>
      </c>
    </row>
    <row r="2043" spans="1:13" hidden="1" x14ac:dyDescent="0.3">
      <c r="A2043" s="8">
        <v>46141</v>
      </c>
      <c r="B2043" s="16" t="s">
        <v>4089</v>
      </c>
      <c r="C2043" s="6" t="s">
        <v>4094</v>
      </c>
      <c r="D2043" s="6" t="s">
        <v>3845</v>
      </c>
      <c r="E2043" s="14">
        <v>46141.419444444444</v>
      </c>
      <c r="F2043" s="8">
        <f>IF(HOUR(Table1[[#This Row],[CORREO]])&gt;=11,WORKDAY(Table1[[#This Row],[CORREO]],1,Table2[Dias no laborales]),E2043)</f>
        <v>46141.419444444444</v>
      </c>
      <c r="G2043" s="8">
        <v>46150</v>
      </c>
      <c r="H2043" s="6">
        <f t="shared" si="97"/>
        <v>17</v>
      </c>
      <c r="I2043" s="6">
        <f>MAX(1, NETWORKDAYS(A2043, G2043,Table2[Dias no laborales]))</f>
        <v>6</v>
      </c>
      <c r="J2043" s="6" t="str">
        <f>IF(Table1[[#This Row],[FIN]]="","Acumulado",IF(ISNUMBER(SEARCH("ASAP",C2043)),"ASAP",IF(NETWORKDAYS.INTL(F2043,G2043,1,Table2[Dias no laborales]) &lt;= 7, "Dentro", IF(A2043&gt;F2043,"Programado","Fuera"))))</f>
        <v>Dentro</v>
      </c>
      <c r="K2043" s="6" t="str">
        <f t="shared" si="98"/>
        <v>A tiempo</v>
      </c>
      <c r="L2043" s="8">
        <v>46142</v>
      </c>
      <c r="M2043" s="17">
        <f>MAX(1,NETWORKDAYS(A2043,L2043,Table2[Dias no laborales]))</f>
        <v>2</v>
      </c>
    </row>
    <row r="2044" spans="1:13" hidden="1" x14ac:dyDescent="0.3">
      <c r="A2044" s="8">
        <v>46141</v>
      </c>
      <c r="B2044" s="16" t="s">
        <v>4090</v>
      </c>
      <c r="C2044" s="6" t="s">
        <v>4130</v>
      </c>
      <c r="D2044" s="6" t="s">
        <v>538</v>
      </c>
      <c r="E2044" s="14">
        <v>46141.449305555558</v>
      </c>
      <c r="F2044" s="8">
        <f>IF(HOUR(Table1[[#This Row],[CORREO]])&gt;=11,WORKDAY(Table1[[#This Row],[CORREO]],1,Table2[Dias no laborales]),E2044)</f>
        <v>46141.449305555558</v>
      </c>
      <c r="G2044" s="8">
        <v>46149</v>
      </c>
      <c r="H2044" s="6">
        <f t="shared" si="97"/>
        <v>17</v>
      </c>
      <c r="I2044" s="6">
        <f>MAX(1, NETWORKDAYS(A2044, G2044,Table2[Dias no laborales]))</f>
        <v>5</v>
      </c>
      <c r="J2044" s="6" t="str">
        <f>IF(Table1[[#This Row],[FIN]]="","Acumulado",IF(ISNUMBER(SEARCH("ASAP",C2044)),"ASAP",IF(NETWORKDAYS.INTL(F2044,G2044,1,Table2[Dias no laborales]) &lt;= 7, "Dentro", IF(A2044&gt;F2044,"Programado","Fuera"))))</f>
        <v>Dentro</v>
      </c>
      <c r="K2044" s="6" t="str">
        <f t="shared" si="98"/>
        <v>A tiempo</v>
      </c>
      <c r="L2044" s="8">
        <v>46141</v>
      </c>
      <c r="M2044" s="17">
        <f>MAX(1,NETWORKDAYS(A2044,L2044,Table2[Dias no laborales]))</f>
        <v>1</v>
      </c>
    </row>
    <row r="2045" spans="1:13" hidden="1" x14ac:dyDescent="0.3">
      <c r="A2045" s="8">
        <v>46142</v>
      </c>
      <c r="B2045" s="16" t="s">
        <v>4131</v>
      </c>
      <c r="C2045" s="6" t="s">
        <v>4178</v>
      </c>
      <c r="D2045" s="6" t="s">
        <v>24</v>
      </c>
      <c r="E2045" s="14">
        <v>46141.583333333336</v>
      </c>
      <c r="F2045" s="8">
        <f>IF(HOUR(Table1[[#This Row],[CORREO]])&gt;=11,WORKDAY(Table1[[#This Row],[CORREO]],1,Table2[Dias no laborales]),E2045)</f>
        <v>46142</v>
      </c>
      <c r="G2045" s="8">
        <v>46150</v>
      </c>
      <c r="H2045" s="6">
        <f t="shared" ref="H2045:H2049" si="99">INT((A2045-DATE(YEAR(A2045),1,1))/7) + 1</f>
        <v>18</v>
      </c>
      <c r="I2045" s="6">
        <f>MAX(1, NETWORKDAYS(A2045, G2045,Table2[Dias no laborales]))</f>
        <v>5</v>
      </c>
      <c r="J2045" s="6" t="str">
        <f>IF(Table1[[#This Row],[FIN]]="","Acumulado",IF(ISNUMBER(SEARCH("ASAP",C2045)),"ASAP",IF(NETWORKDAYS.INTL(F2045,G2045,1,Table2[Dias no laborales]) &lt;= 7, "Dentro", IF(A2045&gt;F2045,"Programado","Fuera"))))</f>
        <v>Dentro</v>
      </c>
      <c r="K2045" s="6" t="str">
        <f t="shared" ref="K2045:K2049" si="100">IF(INT(A2045)=INT(F2045),"A tiempo", IF(A2045&lt;F2045,"Mismo día","Programados"))</f>
        <v>A tiempo</v>
      </c>
      <c r="L2045" s="8">
        <v>46142</v>
      </c>
      <c r="M2045" s="17">
        <f>MAX(1,NETWORKDAYS(A2045,L2045,Table2[Dias no laborales]))</f>
        <v>1</v>
      </c>
    </row>
    <row r="2046" spans="1:13" hidden="1" x14ac:dyDescent="0.3">
      <c r="A2046" s="8">
        <v>46142</v>
      </c>
      <c r="B2046" s="16" t="s">
        <v>4132</v>
      </c>
      <c r="C2046" s="6" t="s">
        <v>4179</v>
      </c>
      <c r="D2046" s="6" t="s">
        <v>1333</v>
      </c>
      <c r="E2046" s="14">
        <v>46141.511805555558</v>
      </c>
      <c r="F2046" s="8">
        <f>IF(HOUR(Table1[[#This Row],[CORREO]])&gt;=11,WORKDAY(Table1[[#This Row],[CORREO]],1,Table2[Dias no laborales]),E2046)</f>
        <v>46142</v>
      </c>
      <c r="G2046" s="8">
        <v>46150</v>
      </c>
      <c r="H2046" s="6">
        <f t="shared" si="99"/>
        <v>18</v>
      </c>
      <c r="I2046" s="6">
        <f>MAX(1, NETWORKDAYS(A2046, G2046,Table2[Dias no laborales]))</f>
        <v>5</v>
      </c>
      <c r="J2046" s="6" t="str">
        <f>IF(Table1[[#This Row],[FIN]]="","Acumulado",IF(ISNUMBER(SEARCH("ASAP",C2046)),"ASAP",IF(NETWORKDAYS.INTL(F2046,G2046,1,Table2[Dias no laborales]) &lt;= 7, "Dentro", IF(A2046&gt;F2046,"Programado","Fuera"))))</f>
        <v>Dentro</v>
      </c>
      <c r="K2046" s="6" t="str">
        <f t="shared" si="100"/>
        <v>A tiempo</v>
      </c>
      <c r="L2046" s="8">
        <v>46142</v>
      </c>
      <c r="M2046" s="17">
        <f>MAX(1,NETWORKDAYS(A2046,L2046,Table2[Dias no laborales]))</f>
        <v>1</v>
      </c>
    </row>
    <row r="2047" spans="1:13" hidden="1" x14ac:dyDescent="0.3">
      <c r="A2047" s="8">
        <v>46142</v>
      </c>
      <c r="B2047" s="16" t="s">
        <v>4133</v>
      </c>
      <c r="C2047" s="6" t="s">
        <v>4180</v>
      </c>
      <c r="D2047" s="6" t="s">
        <v>3039</v>
      </c>
      <c r="E2047" s="14">
        <v>46141.590277777781</v>
      </c>
      <c r="F2047" s="8">
        <f>IF(HOUR(Table1[[#This Row],[CORREO]])&gt;=11,WORKDAY(Table1[[#This Row],[CORREO]],1,Table2[Dias no laborales]),E2047)</f>
        <v>46142</v>
      </c>
      <c r="G2047" s="8">
        <v>46149</v>
      </c>
      <c r="H2047" s="6">
        <f t="shared" si="99"/>
        <v>18</v>
      </c>
      <c r="I2047" s="6">
        <f>MAX(1, NETWORKDAYS(A2047, G2047,Table2[Dias no laborales]))</f>
        <v>4</v>
      </c>
      <c r="J2047" s="6" t="str">
        <f>IF(Table1[[#This Row],[FIN]]="","Acumulado",IF(ISNUMBER(SEARCH("ASAP",C2047)),"ASAP",IF(NETWORKDAYS.INTL(F2047,G2047,1,Table2[Dias no laborales]) &lt;= 7, "Dentro", IF(A2047&gt;F2047,"Programado","Fuera"))))</f>
        <v>Dentro</v>
      </c>
      <c r="K2047" s="6" t="str">
        <f t="shared" si="100"/>
        <v>A tiempo</v>
      </c>
      <c r="L2047" s="8">
        <v>46142</v>
      </c>
      <c r="M2047" s="17">
        <f>MAX(1,NETWORKDAYS(A2047,L2047,Table2[Dias no laborales]))</f>
        <v>1</v>
      </c>
    </row>
    <row r="2048" spans="1:13" hidden="1" x14ac:dyDescent="0.3">
      <c r="A2048" s="8">
        <v>46142</v>
      </c>
      <c r="B2048" s="16" t="s">
        <v>4134</v>
      </c>
      <c r="C2048" s="6" t="s">
        <v>4181</v>
      </c>
      <c r="D2048" s="6" t="s">
        <v>2994</v>
      </c>
      <c r="E2048" s="14">
        <v>45776.697916666664</v>
      </c>
      <c r="F2048" s="8">
        <f>IF(HOUR(Table1[[#This Row],[CORREO]])&gt;=11,WORKDAY(Table1[[#This Row],[CORREO]],1,Table2[Dias no laborales]),E2048)</f>
        <v>45777</v>
      </c>
      <c r="G2048" s="8">
        <v>46142</v>
      </c>
      <c r="H2048" s="6">
        <f t="shared" si="99"/>
        <v>18</v>
      </c>
      <c r="I2048" s="6">
        <f>MAX(1, NETWORKDAYS(A2048, G2048,Table2[Dias no laborales]))</f>
        <v>1</v>
      </c>
      <c r="J2048" s="6" t="str">
        <f>IF(Table1[[#This Row],[FIN]]="","Acumulado",IF(ISNUMBER(SEARCH("ASAP",C2048)),"ASAP",IF(NETWORKDAYS.INTL(F2048,G2048,1,Table2[Dias no laborales]) &lt;= 7, "Dentro", IF(A2048&gt;F2048,"Programado","Fuera"))))</f>
        <v>Programado</v>
      </c>
      <c r="K2048" s="6" t="str">
        <f t="shared" si="100"/>
        <v>Programados</v>
      </c>
      <c r="L2048" s="8">
        <v>46142</v>
      </c>
      <c r="M2048" s="17">
        <f>MAX(1,NETWORKDAYS(A2048,L2048,Table2[Dias no laborales]))</f>
        <v>1</v>
      </c>
    </row>
    <row r="2049" spans="1:13" hidden="1" x14ac:dyDescent="0.3">
      <c r="A2049" s="8">
        <v>46142</v>
      </c>
      <c r="B2049" s="16" t="s">
        <v>4135</v>
      </c>
      <c r="C2049" s="6" t="s">
        <v>4182</v>
      </c>
      <c r="D2049" s="6" t="s">
        <v>1644</v>
      </c>
      <c r="E2049" s="14">
        <v>46141.695138888892</v>
      </c>
      <c r="F2049" s="8">
        <f>IF(HOUR(Table1[[#This Row],[CORREO]])&gt;=11,WORKDAY(Table1[[#This Row],[CORREO]],1,Table2[Dias no laborales]),E2049)</f>
        <v>46142</v>
      </c>
      <c r="G2049" s="8">
        <v>46142</v>
      </c>
      <c r="H2049" s="6">
        <f t="shared" si="99"/>
        <v>18</v>
      </c>
      <c r="I2049" s="6">
        <f>MAX(1, NETWORKDAYS(A2049, G2049,Table2[Dias no laborales]))</f>
        <v>1</v>
      </c>
      <c r="J2049" s="6" t="str">
        <f>IF(Table1[[#This Row],[FIN]]="","Acumulado",IF(ISNUMBER(SEARCH("ASAP",C2049)),"ASAP",IF(NETWORKDAYS.INTL(F2049,G2049,1,Table2[Dias no laborales]) &lt;= 7, "Dentro", IF(A2049&gt;F2049,"Programado","Fuera"))))</f>
        <v>Dentro</v>
      </c>
      <c r="K2049" s="6" t="str">
        <f t="shared" si="100"/>
        <v>A tiempo</v>
      </c>
      <c r="L2049" s="8">
        <v>46142</v>
      </c>
      <c r="M2049" s="17">
        <f>MAX(1,NETWORKDAYS(A2049,L2049,Table2[Dias no laborales]))</f>
        <v>1</v>
      </c>
    </row>
    <row r="2050" spans="1:13" hidden="1" x14ac:dyDescent="0.3">
      <c r="A2050" s="8">
        <v>46142</v>
      </c>
      <c r="B2050" s="16" t="s">
        <v>4136</v>
      </c>
      <c r="C2050" s="6" t="s">
        <v>4183</v>
      </c>
      <c r="D2050" s="6" t="s">
        <v>30</v>
      </c>
      <c r="E2050" s="14">
        <v>46142.324999999997</v>
      </c>
      <c r="F2050" s="8">
        <f>IF(HOUR(Table1[[#This Row],[CORREO]])&gt;=11,WORKDAY(Table1[[#This Row],[CORREO]],1,Table2[Dias no laborales]),E2050)</f>
        <v>46142.324999999997</v>
      </c>
      <c r="G2050" s="8">
        <v>46146</v>
      </c>
      <c r="H2050" s="6">
        <f t="shared" ref="H2050:H2091" si="101">INT((A2050-DATE(YEAR(A2050),1,1))/7) + 1</f>
        <v>18</v>
      </c>
      <c r="I2050" s="6">
        <f>MAX(1, NETWORKDAYS(A2050, G2050,Table2[Dias no laborales]))</f>
        <v>2</v>
      </c>
      <c r="J2050" s="6" t="str">
        <f>IF(Table1[[#This Row],[FIN]]="","Acumulado",IF(ISNUMBER(SEARCH("ASAP",C2050)),"ASAP",IF(NETWORKDAYS.INTL(F2050,G2050,1,Table2[Dias no laborales]) &lt;= 7, "Dentro", IF(A2050&gt;F2050,"Programado","Fuera"))))</f>
        <v>Dentro</v>
      </c>
      <c r="K2050" s="6" t="str">
        <f t="shared" ref="K2050:K2091" si="102">IF(INT(A2050)=INT(F2050),"A tiempo", IF(A2050&lt;F2050,"Mismo día","Programados"))</f>
        <v>A tiempo</v>
      </c>
      <c r="L2050" s="8">
        <v>46142</v>
      </c>
      <c r="M2050" s="17">
        <f>MAX(1,NETWORKDAYS(A2050,L2050,Table2[Dias no laborales]))</f>
        <v>1</v>
      </c>
    </row>
    <row r="2051" spans="1:13" hidden="1" x14ac:dyDescent="0.3">
      <c r="A2051" s="8">
        <v>46142</v>
      </c>
      <c r="B2051" s="16" t="s">
        <v>4137</v>
      </c>
      <c r="C2051" s="6" t="s">
        <v>4184</v>
      </c>
      <c r="D2051" s="6" t="s">
        <v>586</v>
      </c>
      <c r="E2051" s="14">
        <v>46142.375694444447</v>
      </c>
      <c r="F2051" s="8">
        <f>IF(HOUR(Table1[[#This Row],[CORREO]])&gt;=11,WORKDAY(Table1[[#This Row],[CORREO]],1,Table2[Dias no laborales]),E2051)</f>
        <v>46142.375694444447</v>
      </c>
      <c r="G2051" s="8">
        <v>46142</v>
      </c>
      <c r="H2051" s="6">
        <f t="shared" si="101"/>
        <v>18</v>
      </c>
      <c r="I2051" s="6">
        <f>MAX(1, NETWORKDAYS(A2051, G2051,Table2[Dias no laborales]))</f>
        <v>1</v>
      </c>
      <c r="J2051" s="6" t="str">
        <f>IF(Table1[[#This Row],[FIN]]="","Acumulado",IF(ISNUMBER(SEARCH("ASAP",C2051)),"ASAP",IF(NETWORKDAYS.INTL(F2051,G2051,1,Table2[Dias no laborales]) &lt;= 7, "Dentro", IF(A2051&gt;F2051,"Programado","Fuera"))))</f>
        <v>Dentro</v>
      </c>
      <c r="K2051" s="6" t="str">
        <f t="shared" si="102"/>
        <v>A tiempo</v>
      </c>
      <c r="L2051" s="8">
        <v>46142</v>
      </c>
      <c r="M2051" s="17">
        <f>MAX(1,NETWORKDAYS(A2051,L2051,Table2[Dias no laborales]))</f>
        <v>1</v>
      </c>
    </row>
    <row r="2052" spans="1:13" hidden="1" x14ac:dyDescent="0.3">
      <c r="A2052" s="8">
        <v>46142</v>
      </c>
      <c r="B2052" s="16" t="s">
        <v>4138</v>
      </c>
      <c r="C2052" s="6" t="s">
        <v>4185</v>
      </c>
      <c r="D2052" s="6" t="s">
        <v>308</v>
      </c>
      <c r="E2052" s="14">
        <v>46142.400000000001</v>
      </c>
      <c r="F2052" s="8">
        <f>IF(HOUR(Table1[[#This Row],[CORREO]])&gt;=11,WORKDAY(Table1[[#This Row],[CORREO]],1,Table2[Dias no laborales]),E2052)</f>
        <v>46142.400000000001</v>
      </c>
      <c r="G2052" s="8">
        <v>46147</v>
      </c>
      <c r="H2052" s="6">
        <f t="shared" si="101"/>
        <v>18</v>
      </c>
      <c r="I2052" s="6">
        <f>MAX(1, NETWORKDAYS(A2052, G2052,Table2[Dias no laborales]))</f>
        <v>2</v>
      </c>
      <c r="J2052" s="6" t="str">
        <f>IF(Table1[[#This Row],[FIN]]="","Acumulado",IF(ISNUMBER(SEARCH("ASAP",C2052)),"ASAP",IF(NETWORKDAYS.INTL(F2052,G2052,1,Table2[Dias no laborales]) &lt;= 7, "Dentro", IF(A2052&gt;F2052,"Programado","Fuera"))))</f>
        <v>Dentro</v>
      </c>
      <c r="K2052" s="6" t="str">
        <f t="shared" si="102"/>
        <v>A tiempo</v>
      </c>
      <c r="L2052" s="8">
        <v>46142</v>
      </c>
      <c r="M2052" s="17">
        <f>MAX(1,NETWORKDAYS(A2052,L2052,Table2[Dias no laborales]))</f>
        <v>1</v>
      </c>
    </row>
    <row r="2053" spans="1:13" hidden="1" x14ac:dyDescent="0.3">
      <c r="A2053" s="8">
        <v>46142</v>
      </c>
      <c r="B2053" s="16" t="s">
        <v>4139</v>
      </c>
      <c r="C2053" s="6" t="s">
        <v>4186</v>
      </c>
      <c r="D2053" s="6" t="s">
        <v>449</v>
      </c>
      <c r="E2053" s="14">
        <v>46142.396527777775</v>
      </c>
      <c r="F2053" s="8">
        <f>IF(HOUR(Table1[[#This Row],[CORREO]])&gt;=11,WORKDAY(Table1[[#This Row],[CORREO]],1,Table2[Dias no laborales]),E2053)</f>
        <v>46142.396527777775</v>
      </c>
      <c r="G2053" s="8">
        <v>46142</v>
      </c>
      <c r="H2053" s="6">
        <f t="shared" si="101"/>
        <v>18</v>
      </c>
      <c r="I2053" s="6">
        <f>MAX(1, NETWORKDAYS(A2053, G2053,Table2[Dias no laborales]))</f>
        <v>1</v>
      </c>
      <c r="J2053" s="6" t="str">
        <f>IF(Table1[[#This Row],[FIN]]="","Acumulado",IF(ISNUMBER(SEARCH("ASAP",C2053)),"ASAP",IF(NETWORKDAYS.INTL(F2053,G2053,1,Table2[Dias no laborales]) &lt;= 7, "Dentro", IF(A2053&gt;F2053,"Programado","Fuera"))))</f>
        <v>Dentro</v>
      </c>
      <c r="K2053" s="6" t="str">
        <f t="shared" si="102"/>
        <v>A tiempo</v>
      </c>
      <c r="L2053" s="8">
        <v>46142</v>
      </c>
      <c r="M2053" s="17">
        <f>MAX(1,NETWORKDAYS(A2053,L2053,Table2[Dias no laborales]))</f>
        <v>1</v>
      </c>
    </row>
    <row r="2054" spans="1:13" hidden="1" x14ac:dyDescent="0.3">
      <c r="A2054" s="8">
        <v>46142</v>
      </c>
      <c r="B2054" s="16" t="s">
        <v>4140</v>
      </c>
      <c r="C2054" s="6" t="s">
        <v>4187</v>
      </c>
      <c r="D2054" s="6" t="s">
        <v>4188</v>
      </c>
      <c r="E2054" s="14">
        <v>46142.416666666664</v>
      </c>
      <c r="F2054" s="8">
        <f>IF(HOUR(Table1[[#This Row],[CORREO]])&gt;=11,WORKDAY(Table1[[#This Row],[CORREO]],1,Table2[Dias no laborales]),E2054)</f>
        <v>46142.416666666664</v>
      </c>
      <c r="G2054" s="8">
        <v>46150</v>
      </c>
      <c r="H2054" s="6">
        <f t="shared" si="101"/>
        <v>18</v>
      </c>
      <c r="I2054" s="6">
        <f>MAX(1, NETWORKDAYS(A2054, G2054,Table2[Dias no laborales]))</f>
        <v>5</v>
      </c>
      <c r="J2054" s="6" t="str">
        <f>IF(Table1[[#This Row],[FIN]]="","Acumulado",IF(ISNUMBER(SEARCH("ASAP",C2054)),"ASAP",IF(NETWORKDAYS.INTL(F2054,G2054,1,Table2[Dias no laborales]) &lt;= 7, "Dentro", IF(A2054&gt;F2054,"Programado","Fuera"))))</f>
        <v>Dentro</v>
      </c>
      <c r="K2054" s="6" t="str">
        <f t="shared" si="102"/>
        <v>A tiempo</v>
      </c>
      <c r="L2054" s="8">
        <v>46142</v>
      </c>
      <c r="M2054" s="17">
        <f>MAX(1,NETWORKDAYS(A2054,L2054,Table2[Dias no laborales]))</f>
        <v>1</v>
      </c>
    </row>
    <row r="2055" spans="1:13" hidden="1" x14ac:dyDescent="0.3">
      <c r="A2055" s="8">
        <v>46142</v>
      </c>
      <c r="B2055" s="16" t="s">
        <v>4141</v>
      </c>
      <c r="C2055" s="6" t="s">
        <v>4189</v>
      </c>
      <c r="D2055" s="6" t="s">
        <v>4190</v>
      </c>
      <c r="E2055" s="14">
        <v>46142.477777777778</v>
      </c>
      <c r="F2055" s="8">
        <f>IF(HOUR(Table1[[#This Row],[CORREO]])&gt;=11,WORKDAY(Table1[[#This Row],[CORREO]],1,Table2[Dias no laborales]),E2055)</f>
        <v>46146</v>
      </c>
      <c r="G2055" s="8">
        <v>46149</v>
      </c>
      <c r="H2055" s="6">
        <f t="shared" si="101"/>
        <v>18</v>
      </c>
      <c r="I2055" s="6">
        <f>MAX(1, NETWORKDAYS(A2055, G2055,Table2[Dias no laborales]))</f>
        <v>4</v>
      </c>
      <c r="J2055" s="6" t="str">
        <f>IF(Table1[[#This Row],[FIN]]="","Acumulado",IF(ISNUMBER(SEARCH("ASAP",C2055)),"ASAP",IF(NETWORKDAYS.INTL(F2055,G2055,1,Table2[Dias no laborales]) &lt;= 7, "Dentro", IF(A2055&gt;F2055,"Programado","Fuera"))))</f>
        <v>Dentro</v>
      </c>
      <c r="K2055" s="6" t="str">
        <f t="shared" si="102"/>
        <v>Mismo día</v>
      </c>
      <c r="L2055" s="8">
        <v>46142</v>
      </c>
      <c r="M2055" s="17">
        <f>MAX(1,NETWORKDAYS(A2055,L2055,Table2[Dias no laborales]))</f>
        <v>1</v>
      </c>
    </row>
    <row r="2056" spans="1:13" hidden="1" x14ac:dyDescent="0.3">
      <c r="A2056" s="8">
        <v>46142</v>
      </c>
      <c r="B2056" s="16" t="s">
        <v>4142</v>
      </c>
      <c r="C2056" s="6" t="s">
        <v>4189</v>
      </c>
      <c r="D2056" s="6" t="s">
        <v>4191</v>
      </c>
      <c r="E2056" s="14">
        <v>49795.479166666664</v>
      </c>
      <c r="F2056" s="8">
        <f>IF(HOUR(Table1[[#This Row],[CORREO]])&gt;=11,WORKDAY(Table1[[#This Row],[CORREO]],1,Table2[Dias no laborales]),E2056)</f>
        <v>49796</v>
      </c>
      <c r="G2056" s="8">
        <v>46149</v>
      </c>
      <c r="H2056" s="6">
        <f t="shared" si="101"/>
        <v>18</v>
      </c>
      <c r="I2056" s="6">
        <f>MAX(1, NETWORKDAYS(A2056, G2056,Table2[Dias no laborales]))</f>
        <v>4</v>
      </c>
      <c r="J2056" s="6" t="str">
        <f>IF(Table1[[#This Row],[FIN]]="","Acumulado",IF(ISNUMBER(SEARCH("ASAP",C2056)),"ASAP",IF(NETWORKDAYS.INTL(F2056,G2056,1,Table2[Dias no laborales]) &lt;= 7, "Dentro", IF(A2056&gt;F2056,"Programado","Fuera"))))</f>
        <v>Dentro</v>
      </c>
      <c r="K2056" s="6" t="str">
        <f t="shared" si="102"/>
        <v>Mismo día</v>
      </c>
      <c r="L2056" s="8">
        <v>46142</v>
      </c>
      <c r="M2056" s="17">
        <f>MAX(1,NETWORKDAYS(A2056,L2056,Table2[Dias no laborales]))</f>
        <v>1</v>
      </c>
    </row>
    <row r="2057" spans="1:13" hidden="1" x14ac:dyDescent="0.3">
      <c r="A2057" s="8">
        <v>46142</v>
      </c>
      <c r="B2057" s="16" t="s">
        <v>4143</v>
      </c>
      <c r="C2057" s="6" t="s">
        <v>4192</v>
      </c>
      <c r="D2057" s="6" t="s">
        <v>1136</v>
      </c>
      <c r="E2057" s="14">
        <v>46142.51458333333</v>
      </c>
      <c r="F2057" s="8">
        <f>IF(HOUR(Table1[[#This Row],[CORREO]])&gt;=11,WORKDAY(Table1[[#This Row],[CORREO]],1,Table2[Dias no laborales]),E2057)</f>
        <v>46146</v>
      </c>
      <c r="G2057" s="8">
        <v>46142</v>
      </c>
      <c r="H2057" s="6">
        <f t="shared" si="101"/>
        <v>18</v>
      </c>
      <c r="I2057" s="6">
        <f>MAX(1, NETWORKDAYS(A2057, G2057,Table2[Dias no laborales]))</f>
        <v>1</v>
      </c>
      <c r="J2057" s="6" t="str">
        <f>IF(Table1[[#This Row],[FIN]]="","Acumulado",IF(ISNUMBER(SEARCH("ASAP",C2057)),"ASAP",IF(NETWORKDAYS.INTL(F2057,G2057,1,Table2[Dias no laborales]) &lt;= 7, "Dentro", IF(A2057&gt;F2057,"Programado","Fuera"))))</f>
        <v>Dentro</v>
      </c>
      <c r="K2057" s="6" t="str">
        <f t="shared" si="102"/>
        <v>Mismo día</v>
      </c>
      <c r="L2057" s="8">
        <v>46142</v>
      </c>
      <c r="M2057" s="17">
        <f>MAX(1,NETWORKDAYS(A2057,L2057,Table2[Dias no laborales]))</f>
        <v>1</v>
      </c>
    </row>
    <row r="2058" spans="1:13" hidden="1" x14ac:dyDescent="0.3">
      <c r="A2058" s="8">
        <v>46142</v>
      </c>
      <c r="B2058" s="16" t="s">
        <v>4144</v>
      </c>
      <c r="C2058" s="6" t="s">
        <v>4193</v>
      </c>
      <c r="D2058" s="6" t="s">
        <v>18</v>
      </c>
      <c r="E2058" s="14"/>
      <c r="F2058" s="8">
        <f>IF(HOUR(Table1[[#This Row],[CORREO]])&gt;=11,WORKDAY(Table1[[#This Row],[CORREO]],1,Table2[Dias no laborales]),E2058)</f>
        <v>0</v>
      </c>
      <c r="G2058" s="8">
        <v>46149</v>
      </c>
      <c r="H2058" s="6">
        <f t="shared" si="101"/>
        <v>18</v>
      </c>
      <c r="I2058" s="6">
        <f>MAX(1, NETWORKDAYS(A2058, G2058,Table2[Dias no laborales]))</f>
        <v>4</v>
      </c>
      <c r="J2058" s="6" t="str">
        <f>IF(Table1[[#This Row],[FIN]]="","Acumulado",IF(ISNUMBER(SEARCH("ASAP",C2058)),"ASAP",IF(NETWORKDAYS.INTL(F2058,G2058,1,Table2[Dias no laborales]) &lt;= 7, "Dentro", IF(A2058&gt;F2058,"Programado","Fuera"))))</f>
        <v>Programado</v>
      </c>
      <c r="K2058" s="6" t="str">
        <f t="shared" si="102"/>
        <v>Programados</v>
      </c>
      <c r="L2058" s="8">
        <v>46142</v>
      </c>
      <c r="M2058" s="17">
        <f>MAX(1,NETWORKDAYS(A2058,L2058,Table2[Dias no laborales]))</f>
        <v>1</v>
      </c>
    </row>
    <row r="2059" spans="1:13" hidden="1" x14ac:dyDescent="0.3">
      <c r="A2059" s="8">
        <v>46142</v>
      </c>
      <c r="B2059" s="16" t="s">
        <v>4145</v>
      </c>
      <c r="C2059" s="6" t="s">
        <v>4194</v>
      </c>
      <c r="D2059" s="6" t="s">
        <v>3039</v>
      </c>
      <c r="E2059" s="14">
        <v>46142.476388888892</v>
      </c>
      <c r="F2059" s="8">
        <f>IF(HOUR(Table1[[#This Row],[CORREO]])&gt;=11,WORKDAY(Table1[[#This Row],[CORREO]],1,Table2[Dias no laborales]),E2059)</f>
        <v>46146</v>
      </c>
      <c r="G2059" s="8">
        <v>46149</v>
      </c>
      <c r="H2059" s="6">
        <f t="shared" si="101"/>
        <v>18</v>
      </c>
      <c r="I2059" s="6">
        <f>MAX(1, NETWORKDAYS(A2059, G2059,Table2[Dias no laborales]))</f>
        <v>4</v>
      </c>
      <c r="J2059" s="6" t="str">
        <f>IF(Table1[[#This Row],[FIN]]="","Acumulado",IF(ISNUMBER(SEARCH("ASAP",C2059)),"ASAP",IF(NETWORKDAYS.INTL(F2059,G2059,1,Table2[Dias no laborales]) &lt;= 7, "Dentro", IF(A2059&gt;F2059,"Programado","Fuera"))))</f>
        <v>Dentro</v>
      </c>
      <c r="K2059" s="6" t="str">
        <f t="shared" si="102"/>
        <v>Mismo día</v>
      </c>
      <c r="L2059" s="8">
        <v>46142</v>
      </c>
      <c r="M2059" s="17">
        <f>MAX(1,NETWORKDAYS(A2059,L2059,Table2[Dias no laborales]))</f>
        <v>1</v>
      </c>
    </row>
    <row r="2060" spans="1:13" hidden="1" x14ac:dyDescent="0.3">
      <c r="A2060" s="8">
        <v>46146</v>
      </c>
      <c r="B2060" s="16" t="s">
        <v>4146</v>
      </c>
      <c r="C2060" s="6" t="s">
        <v>4195</v>
      </c>
      <c r="D2060" s="6" t="s">
        <v>24</v>
      </c>
      <c r="E2060" s="14">
        <v>46172.477083333331</v>
      </c>
      <c r="F2060" s="8">
        <f>IF(HOUR(Table1[[#This Row],[CORREO]])&gt;=11,WORKDAY(Table1[[#This Row],[CORREO]],1,Table2[Dias no laborales]),E2060)</f>
        <v>46174</v>
      </c>
      <c r="G2060" s="8">
        <v>46149</v>
      </c>
      <c r="H2060" s="6">
        <f t="shared" si="101"/>
        <v>18</v>
      </c>
      <c r="I2060" s="6">
        <f>MAX(1, NETWORKDAYS(A2060, G2060,Table2[Dias no laborales]))</f>
        <v>3</v>
      </c>
      <c r="J2060" s="6" t="str">
        <f>IF(Table1[[#This Row],[FIN]]="","Acumulado",IF(ISNUMBER(SEARCH("ASAP",C2060)),"ASAP",IF(NETWORKDAYS.INTL(F2060,G2060,1,Table2[Dias no laborales]) &lt;= 7, "Dentro", IF(A2060&gt;F2060,"Programado","Fuera"))))</f>
        <v>Dentro</v>
      </c>
      <c r="K2060" s="6" t="str">
        <f t="shared" si="102"/>
        <v>Mismo día</v>
      </c>
      <c r="L2060" s="8">
        <v>46146</v>
      </c>
      <c r="M2060" s="17">
        <f>MAX(1,NETWORKDAYS(A2060,L2060,Table2[Dias no laborales]))</f>
        <v>1</v>
      </c>
    </row>
    <row r="2061" spans="1:13" hidden="1" x14ac:dyDescent="0.3">
      <c r="A2061" s="8">
        <v>46142</v>
      </c>
      <c r="B2061" s="16" t="s">
        <v>4147</v>
      </c>
      <c r="C2061" s="6" t="s">
        <v>4196</v>
      </c>
      <c r="D2061" s="6" t="s">
        <v>148</v>
      </c>
      <c r="E2061" s="14">
        <v>46142.558333333334</v>
      </c>
      <c r="F2061" s="8">
        <f>IF(HOUR(Table1[[#This Row],[CORREO]])&gt;=11,WORKDAY(Table1[[#This Row],[CORREO]],1,Table2[Dias no laborales]),E2061)</f>
        <v>46146</v>
      </c>
      <c r="G2061" s="8">
        <v>46142</v>
      </c>
      <c r="H2061" s="6">
        <f t="shared" si="101"/>
        <v>18</v>
      </c>
      <c r="I2061" s="6">
        <f>MAX(1, NETWORKDAYS(A2061, G2061,Table2[Dias no laborales]))</f>
        <v>1</v>
      </c>
      <c r="J2061" s="6" t="str">
        <f>IF(Table1[[#This Row],[FIN]]="","Acumulado",IF(ISNUMBER(SEARCH("ASAP",C2061)),"ASAP",IF(NETWORKDAYS.INTL(F2061,G2061,1,Table2[Dias no laborales]) &lt;= 7, "Dentro", IF(A2061&gt;F2061,"Programado","Fuera"))))</f>
        <v>Dentro</v>
      </c>
      <c r="K2061" s="6" t="str">
        <f t="shared" si="102"/>
        <v>Mismo día</v>
      </c>
      <c r="L2061" s="8">
        <v>46142</v>
      </c>
      <c r="M2061" s="17">
        <f>MAX(1,NETWORKDAYS(A2061,L2061,Table2[Dias no laborales]))</f>
        <v>1</v>
      </c>
    </row>
    <row r="2062" spans="1:13" hidden="1" x14ac:dyDescent="0.3">
      <c r="A2062" s="8">
        <v>46142</v>
      </c>
      <c r="B2062" s="16" t="s">
        <v>4148</v>
      </c>
      <c r="C2062" s="6" t="s">
        <v>4197</v>
      </c>
      <c r="D2062" s="6" t="s">
        <v>2537</v>
      </c>
      <c r="E2062" s="14">
        <v>46142.597916666666</v>
      </c>
      <c r="F2062" s="8">
        <f>IF(HOUR(Table1[[#This Row],[CORREO]])&gt;=11,WORKDAY(Table1[[#This Row],[CORREO]],1,Table2[Dias no laborales]),E2062)</f>
        <v>46146</v>
      </c>
      <c r="G2062" s="8">
        <v>46149</v>
      </c>
      <c r="H2062" s="6">
        <f t="shared" si="101"/>
        <v>18</v>
      </c>
      <c r="I2062" s="6">
        <f>MAX(1, NETWORKDAYS(A2062, G2062,Table2[Dias no laborales]))</f>
        <v>4</v>
      </c>
      <c r="J2062" s="6" t="str">
        <f>IF(Table1[[#This Row],[FIN]]="","Acumulado",IF(ISNUMBER(SEARCH("ASAP",C2062)),"ASAP",IF(NETWORKDAYS.INTL(F2062,G2062,1,Table2[Dias no laborales]) &lt;= 7, "Dentro", IF(A2062&gt;F2062,"Programado","Fuera"))))</f>
        <v>Dentro</v>
      </c>
      <c r="K2062" s="6" t="str">
        <f t="shared" si="102"/>
        <v>Mismo día</v>
      </c>
      <c r="L2062" s="8">
        <v>46146</v>
      </c>
      <c r="M2062" s="17">
        <f>MAX(1,NETWORKDAYS(A2062,L2062,Table2[Dias no laborales]))</f>
        <v>2</v>
      </c>
    </row>
    <row r="2063" spans="1:13" hidden="1" x14ac:dyDescent="0.3">
      <c r="A2063" s="8">
        <v>46142</v>
      </c>
      <c r="B2063" s="16" t="s">
        <v>4149</v>
      </c>
      <c r="C2063" s="6" t="s">
        <v>4258</v>
      </c>
      <c r="D2063" s="6" t="s">
        <v>24</v>
      </c>
      <c r="E2063" s="14">
        <v>46142.613194444442</v>
      </c>
      <c r="F2063" s="8">
        <f>IF(HOUR(Table1[[#This Row],[CORREO]])&gt;=11,WORKDAY(Table1[[#This Row],[CORREO]],1,Table2[Dias no laborales]),E2063)</f>
        <v>46146</v>
      </c>
      <c r="G2063" s="8">
        <v>46147</v>
      </c>
      <c r="H2063" s="6">
        <f t="shared" si="101"/>
        <v>18</v>
      </c>
      <c r="I2063" s="6">
        <f>MAX(1, NETWORKDAYS(A2063, G2063,Table2[Dias no laborales]))</f>
        <v>2</v>
      </c>
      <c r="J2063" s="6" t="str">
        <f>IF(Table1[[#This Row],[FIN]]="","Acumulado",IF(ISNUMBER(SEARCH("ASAP",C2063)),"ASAP",IF(NETWORKDAYS.INTL(F2063,G2063,1,Table2[Dias no laborales]) &lt;= 7, "Dentro", IF(A2063&gt;F2063,"Programado","Fuera"))))</f>
        <v>Dentro</v>
      </c>
      <c r="K2063" s="6" t="str">
        <f t="shared" si="102"/>
        <v>Mismo día</v>
      </c>
      <c r="L2063" s="8">
        <v>46142</v>
      </c>
      <c r="M2063" s="17">
        <f>MAX(1,NETWORKDAYS(A2063,L2063,Table2[Dias no laborales]))</f>
        <v>1</v>
      </c>
    </row>
    <row r="2064" spans="1:13" hidden="1" x14ac:dyDescent="0.3">
      <c r="A2064" s="8">
        <v>46142</v>
      </c>
      <c r="B2064" s="16" t="s">
        <v>4150</v>
      </c>
      <c r="C2064" s="6" t="s">
        <v>4195</v>
      </c>
      <c r="D2064" s="6" t="s">
        <v>482</v>
      </c>
      <c r="E2064" s="14">
        <v>46142.620833333334</v>
      </c>
      <c r="F2064" s="8">
        <f>IF(HOUR(Table1[[#This Row],[CORREO]])&gt;=11,WORKDAY(Table1[[#This Row],[CORREO]],1,Table2[Dias no laborales]),E2064)</f>
        <v>46146</v>
      </c>
      <c r="G2064" s="8">
        <v>46149</v>
      </c>
      <c r="H2064" s="6">
        <f t="shared" si="101"/>
        <v>18</v>
      </c>
      <c r="I2064" s="6">
        <f>MAX(1, NETWORKDAYS(A2064, G2064,Table2[Dias no laborales]))</f>
        <v>4</v>
      </c>
      <c r="J2064" s="6" t="str">
        <f>IF(Table1[[#This Row],[FIN]]="","Acumulado",IF(ISNUMBER(SEARCH("ASAP",C2064)),"ASAP",IF(NETWORKDAYS.INTL(F2064,G2064,1,Table2[Dias no laborales]) &lt;= 7, "Dentro", IF(A2064&gt;F2064,"Programado","Fuera"))))</f>
        <v>Dentro</v>
      </c>
      <c r="K2064" s="6" t="str">
        <f t="shared" si="102"/>
        <v>Mismo día</v>
      </c>
      <c r="L2064" s="8">
        <v>46142</v>
      </c>
      <c r="M2064" s="17">
        <f>MAX(1,NETWORKDAYS(A2064,L2064,Table2[Dias no laborales]))</f>
        <v>1</v>
      </c>
    </row>
    <row r="2065" spans="1:13" hidden="1" x14ac:dyDescent="0.3">
      <c r="A2065" s="8">
        <v>46142</v>
      </c>
      <c r="B2065" s="16" t="s">
        <v>4151</v>
      </c>
      <c r="C2065" s="6" t="s">
        <v>4259</v>
      </c>
      <c r="D2065" s="6" t="s">
        <v>2981</v>
      </c>
      <c r="E2065" s="14">
        <v>46142.730555555558</v>
      </c>
      <c r="F2065" s="8">
        <f>IF(HOUR(Table1[[#This Row],[CORREO]])&gt;=11,WORKDAY(Table1[[#This Row],[CORREO]],1,Table2[Dias no laborales]),E2065)</f>
        <v>46146</v>
      </c>
      <c r="G2065" s="8">
        <v>46146</v>
      </c>
      <c r="H2065" s="6">
        <f t="shared" si="101"/>
        <v>18</v>
      </c>
      <c r="I2065" s="6">
        <f>MAX(1, NETWORKDAYS(A2065, G2065,Table2[Dias no laborales]))</f>
        <v>2</v>
      </c>
      <c r="J2065" s="6" t="str">
        <f>IF(Table1[[#This Row],[FIN]]="","Acumulado",IF(ISNUMBER(SEARCH("ASAP",C2065)),"ASAP",IF(NETWORKDAYS.INTL(F2065,G2065,1,Table2[Dias no laborales]) &lt;= 7, "Dentro", IF(A2065&gt;F2065,"Programado","Fuera"))))</f>
        <v>Dentro</v>
      </c>
      <c r="K2065" s="6" t="str">
        <f t="shared" si="102"/>
        <v>Mismo día</v>
      </c>
      <c r="L2065" s="8">
        <v>46142</v>
      </c>
      <c r="M2065" s="17">
        <f>MAX(1,NETWORKDAYS(A2065,L2065,Table2[Dias no laborales]))</f>
        <v>1</v>
      </c>
    </row>
    <row r="2066" spans="1:13" hidden="1" x14ac:dyDescent="0.3">
      <c r="A2066" s="8">
        <v>46146</v>
      </c>
      <c r="B2066" s="16" t="s">
        <v>4152</v>
      </c>
      <c r="C2066" s="6" t="s">
        <v>4260</v>
      </c>
      <c r="D2066" s="6" t="s">
        <v>24</v>
      </c>
      <c r="E2066" s="14"/>
      <c r="F2066" s="8">
        <f>IF(HOUR(Table1[[#This Row],[CORREO]])&gt;=11,WORKDAY(Table1[[#This Row],[CORREO]],1,Table2[Dias no laborales]),E2066)</f>
        <v>0</v>
      </c>
      <c r="G2066" s="8">
        <v>46150</v>
      </c>
      <c r="H2066" s="6">
        <f t="shared" si="101"/>
        <v>18</v>
      </c>
      <c r="I2066" s="6">
        <f>MAX(1, NETWORKDAYS(A2066, G2066,Table2[Dias no laborales]))</f>
        <v>4</v>
      </c>
      <c r="J2066" s="6" t="str">
        <f>IF(Table1[[#This Row],[FIN]]="","Acumulado",IF(ISNUMBER(SEARCH("ASAP",C2066)),"ASAP",IF(NETWORKDAYS.INTL(F2066,G2066,1,Table2[Dias no laborales]) &lt;= 7, "Dentro", IF(A2066&gt;F2066,"Programado","Fuera"))))</f>
        <v>Programado</v>
      </c>
      <c r="K2066" s="6" t="str">
        <f t="shared" si="102"/>
        <v>Programados</v>
      </c>
      <c r="L2066" s="8">
        <v>46146</v>
      </c>
      <c r="M2066" s="17">
        <f>MAX(1,NETWORKDAYS(A2066,L2066,Table2[Dias no laborales]))</f>
        <v>1</v>
      </c>
    </row>
    <row r="2067" spans="1:13" hidden="1" x14ac:dyDescent="0.3">
      <c r="A2067" s="8">
        <v>46146</v>
      </c>
      <c r="B2067" s="16" t="s">
        <v>4153</v>
      </c>
      <c r="C2067" s="6" t="s">
        <v>4276</v>
      </c>
      <c r="D2067" s="6" t="s">
        <v>238</v>
      </c>
      <c r="E2067" s="14">
        <v>46142.492361111108</v>
      </c>
      <c r="F2067" s="8">
        <f>IF(HOUR(Table1[[#This Row],[CORREO]])&gt;=11,WORKDAY(Table1[[#This Row],[CORREO]],1,Table2[Dias no laborales]),E2067)</f>
        <v>46146</v>
      </c>
      <c r="G2067" s="8">
        <v>46150</v>
      </c>
      <c r="H2067" s="6">
        <f t="shared" si="101"/>
        <v>18</v>
      </c>
      <c r="I2067" s="6">
        <f>MAX(1, NETWORKDAYS(A2067, G2067,Table2[Dias no laborales]))</f>
        <v>4</v>
      </c>
      <c r="J2067" s="6" t="str">
        <f>IF(Table1[[#This Row],[FIN]]="","Acumulado",IF(ISNUMBER(SEARCH("ASAP",C2067)),"ASAP",IF(NETWORKDAYS.INTL(F2067,G2067,1,Table2[Dias no laborales]) &lt;= 7, "Dentro", IF(A2067&gt;F2067,"Programado","Fuera"))))</f>
        <v>Dentro</v>
      </c>
      <c r="K2067" s="6" t="str">
        <f t="shared" si="102"/>
        <v>A tiempo</v>
      </c>
      <c r="L2067" s="8">
        <v>46146</v>
      </c>
      <c r="M2067" s="17">
        <f>MAX(1,NETWORKDAYS(A2067,L2067,Table2[Dias no laborales]))</f>
        <v>1</v>
      </c>
    </row>
    <row r="2068" spans="1:13" hidden="1" x14ac:dyDescent="0.3">
      <c r="A2068" s="8">
        <v>46146</v>
      </c>
      <c r="B2068" s="16" t="s">
        <v>4154</v>
      </c>
      <c r="C2068" s="6" t="s">
        <v>4277</v>
      </c>
      <c r="D2068" s="6" t="s">
        <v>449</v>
      </c>
      <c r="E2068" s="14">
        <v>46142.547222222223</v>
      </c>
      <c r="F2068" s="8">
        <f>IF(HOUR(Table1[[#This Row],[CORREO]])&gt;=11,WORKDAY(Table1[[#This Row],[CORREO]],1,Table2[Dias no laborales]),E2068)</f>
        <v>46146</v>
      </c>
      <c r="G2068" s="8">
        <v>46149</v>
      </c>
      <c r="H2068" s="6">
        <f t="shared" si="101"/>
        <v>18</v>
      </c>
      <c r="I2068" s="6">
        <f>MAX(1, NETWORKDAYS(A2068, G2068,Table2[Dias no laborales]))</f>
        <v>3</v>
      </c>
      <c r="J2068" s="6" t="str">
        <f>IF(Table1[[#This Row],[FIN]]="","Acumulado",IF(ISNUMBER(SEARCH("ASAP",C2068)),"ASAP",IF(NETWORKDAYS.INTL(F2068,G2068,1,Table2[Dias no laborales]) &lt;= 7, "Dentro", IF(A2068&gt;F2068,"Programado","Fuera"))))</f>
        <v>Dentro</v>
      </c>
      <c r="K2068" s="6" t="str">
        <f t="shared" si="102"/>
        <v>A tiempo</v>
      </c>
      <c r="L2068" s="8">
        <v>46146</v>
      </c>
      <c r="M2068" s="17">
        <f>MAX(1,NETWORKDAYS(A2068,L2068,Table2[Dias no laborales]))</f>
        <v>1</v>
      </c>
    </row>
    <row r="2069" spans="1:13" hidden="1" x14ac:dyDescent="0.3">
      <c r="A2069" s="8">
        <v>46146</v>
      </c>
      <c r="B2069" s="16" t="s">
        <v>4155</v>
      </c>
      <c r="C2069" s="6" t="s">
        <v>4278</v>
      </c>
      <c r="D2069" s="6" t="s">
        <v>89</v>
      </c>
      <c r="E2069" s="14">
        <v>46172.694444444445</v>
      </c>
      <c r="F2069" s="8">
        <f>IF(HOUR(Table1[[#This Row],[CORREO]])&gt;=11,WORKDAY(Table1[[#This Row],[CORREO]],1,Table2[Dias no laborales]),E2069)</f>
        <v>46174</v>
      </c>
      <c r="G2069" s="8">
        <v>46160</v>
      </c>
      <c r="H2069" s="6">
        <f t="shared" si="101"/>
        <v>18</v>
      </c>
      <c r="I2069" s="6">
        <f>MAX(1, NETWORKDAYS(A2069, G2069,Table2[Dias no laborales]))</f>
        <v>10</v>
      </c>
      <c r="J2069" s="6" t="str">
        <f>IF(Table1[[#This Row],[FIN]]="","Acumulado",IF(ISNUMBER(SEARCH("ASAP",C2069)),"ASAP",IF(NETWORKDAYS.INTL(F2069,G2069,1,Table2[Dias no laborales]) &lt;= 7, "Dentro", IF(A2069&gt;F2069,"Programado","Fuera"))))</f>
        <v>Dentro</v>
      </c>
      <c r="K2069" s="6" t="str">
        <f t="shared" si="102"/>
        <v>Mismo día</v>
      </c>
      <c r="L2069" s="8">
        <v>46146</v>
      </c>
      <c r="M2069" s="17">
        <f>MAX(1,NETWORKDAYS(A2069,L2069,Table2[Dias no laborales]))</f>
        <v>1</v>
      </c>
    </row>
    <row r="2070" spans="1:13" hidden="1" x14ac:dyDescent="0.3">
      <c r="A2070" s="8">
        <v>46146</v>
      </c>
      <c r="B2070" s="16" t="s">
        <v>4156</v>
      </c>
      <c r="C2070" s="6" t="s">
        <v>4279</v>
      </c>
      <c r="D2070" s="6" t="s">
        <v>1726</v>
      </c>
      <c r="E2070" s="14">
        <v>46142.761805555558</v>
      </c>
      <c r="F2070" s="8">
        <f>IF(HOUR(Table1[[#This Row],[CORREO]])&gt;=11,WORKDAY(Table1[[#This Row],[CORREO]],1,Table2[Dias no laborales]),E2070)</f>
        <v>46146</v>
      </c>
      <c r="G2070" s="8">
        <v>46149</v>
      </c>
      <c r="H2070" s="6">
        <f t="shared" si="101"/>
        <v>18</v>
      </c>
      <c r="I2070" s="6">
        <f>MAX(1, NETWORKDAYS(A2070, G2070,Table2[Dias no laborales]))</f>
        <v>3</v>
      </c>
      <c r="J2070" s="6" t="str">
        <f>IF(Table1[[#This Row],[FIN]]="","Acumulado",IF(ISNUMBER(SEARCH("ASAP",C2070)),"ASAP",IF(NETWORKDAYS.INTL(F2070,G2070,1,Table2[Dias no laborales]) &lt;= 7, "Dentro", IF(A2070&gt;F2070,"Programado","Fuera"))))</f>
        <v>Dentro</v>
      </c>
      <c r="K2070" s="6" t="str">
        <f t="shared" si="102"/>
        <v>A tiempo</v>
      </c>
      <c r="L2070" s="8">
        <v>46146</v>
      </c>
      <c r="M2070" s="17">
        <f>MAX(1,NETWORKDAYS(A2070,L2070,Table2[Dias no laborales]))</f>
        <v>1</v>
      </c>
    </row>
    <row r="2071" spans="1:13" hidden="1" x14ac:dyDescent="0.3">
      <c r="A2071" s="8">
        <v>46146</v>
      </c>
      <c r="B2071" s="16" t="s">
        <v>4157</v>
      </c>
      <c r="C2071" s="6" t="s">
        <v>4280</v>
      </c>
      <c r="D2071" s="6" t="s">
        <v>392</v>
      </c>
      <c r="E2071" s="14">
        <v>46142.935416666667</v>
      </c>
      <c r="F2071" s="8">
        <f>IF(HOUR(Table1[[#This Row],[CORREO]])&gt;=11,WORKDAY(Table1[[#This Row],[CORREO]],1,Table2[Dias no laborales]),E2071)</f>
        <v>46146</v>
      </c>
      <c r="G2071" s="8">
        <v>46153</v>
      </c>
      <c r="H2071" s="6">
        <f t="shared" si="101"/>
        <v>18</v>
      </c>
      <c r="I2071" s="6">
        <f>MAX(1, NETWORKDAYS(A2071, G2071,Table2[Dias no laborales]))</f>
        <v>5</v>
      </c>
      <c r="J2071" s="6" t="str">
        <f>IF(Table1[[#This Row],[FIN]]="","Acumulado",IF(ISNUMBER(SEARCH("ASAP",C2071)),"ASAP",IF(NETWORKDAYS.INTL(F2071,G2071,1,Table2[Dias no laborales]) &lt;= 7, "Dentro", IF(A2071&gt;F2071,"Programado","Fuera"))))</f>
        <v>Dentro</v>
      </c>
      <c r="K2071" s="6" t="str">
        <f t="shared" si="102"/>
        <v>A tiempo</v>
      </c>
      <c r="L2071" s="8">
        <v>46146</v>
      </c>
      <c r="M2071" s="17">
        <f>MAX(1,NETWORKDAYS(A2071,L2071,Table2[Dias no laborales]))</f>
        <v>1</v>
      </c>
    </row>
    <row r="2072" spans="1:13" hidden="1" x14ac:dyDescent="0.3">
      <c r="A2072" s="8">
        <v>46146</v>
      </c>
      <c r="B2072" s="16" t="s">
        <v>4158</v>
      </c>
      <c r="C2072" s="6" t="s">
        <v>4281</v>
      </c>
      <c r="D2072" s="6" t="s">
        <v>1726</v>
      </c>
      <c r="E2072" s="14">
        <v>46145.418749999997</v>
      </c>
      <c r="F2072" s="8">
        <f>IF(HOUR(Table1[[#This Row],[CORREO]])&gt;=11,WORKDAY(Table1[[#This Row],[CORREO]],1,Table2[Dias no laborales]),E2072)</f>
        <v>46145.418749999997</v>
      </c>
      <c r="G2072" s="8">
        <v>46149</v>
      </c>
      <c r="H2072" s="6">
        <f t="shared" si="101"/>
        <v>18</v>
      </c>
      <c r="I2072" s="6">
        <f>MAX(1, NETWORKDAYS(A2072, G2072,Table2[Dias no laborales]))</f>
        <v>3</v>
      </c>
      <c r="J2072" s="6" t="str">
        <f>IF(Table1[[#This Row],[FIN]]="","Acumulado",IF(ISNUMBER(SEARCH("ASAP",C2072)),"ASAP",IF(NETWORKDAYS.INTL(F2072,G2072,1,Table2[Dias no laborales]) &lt;= 7, "Dentro", IF(A2072&gt;F2072,"Programado","Fuera"))))</f>
        <v>Dentro</v>
      </c>
      <c r="K2072" s="6" t="str">
        <f t="shared" si="102"/>
        <v>Programados</v>
      </c>
      <c r="L2072" s="8">
        <v>46146</v>
      </c>
      <c r="M2072" s="17">
        <f>MAX(1,NETWORKDAYS(A2072,L2072,Table2[Dias no laborales]))</f>
        <v>1</v>
      </c>
    </row>
    <row r="2073" spans="1:13" hidden="1" x14ac:dyDescent="0.3">
      <c r="A2073" s="8">
        <v>46146</v>
      </c>
      <c r="B2073" s="16" t="s">
        <v>4159</v>
      </c>
      <c r="C2073" s="6" t="s">
        <v>4282</v>
      </c>
      <c r="D2073" s="6" t="s">
        <v>1726</v>
      </c>
      <c r="E2073" s="14">
        <v>46145.418749999997</v>
      </c>
      <c r="F2073" s="8">
        <f>IF(HOUR(Table1[[#This Row],[CORREO]])&gt;=11,WORKDAY(Table1[[#This Row],[CORREO]],1,Table2[Dias no laborales]),E2073)</f>
        <v>46145.418749999997</v>
      </c>
      <c r="G2073" s="8">
        <v>46150</v>
      </c>
      <c r="H2073" s="6">
        <f t="shared" si="101"/>
        <v>18</v>
      </c>
      <c r="I2073" s="6">
        <f>MAX(1, NETWORKDAYS(A2073, G2073,Table2[Dias no laborales]))</f>
        <v>4</v>
      </c>
      <c r="J2073" s="6" t="str">
        <f>IF(Table1[[#This Row],[FIN]]="","Acumulado",IF(ISNUMBER(SEARCH("ASAP",C2073)),"ASAP",IF(NETWORKDAYS.INTL(F2073,G2073,1,Table2[Dias no laborales]) &lt;= 7, "Dentro", IF(A2073&gt;F2073,"Programado","Fuera"))))</f>
        <v>Dentro</v>
      </c>
      <c r="K2073" s="6" t="str">
        <f t="shared" si="102"/>
        <v>Programados</v>
      </c>
      <c r="L2073" s="8">
        <v>46146</v>
      </c>
      <c r="M2073" s="17">
        <f>MAX(1,NETWORKDAYS(A2073,L2073,Table2[Dias no laborales]))</f>
        <v>1</v>
      </c>
    </row>
    <row r="2074" spans="1:13" hidden="1" x14ac:dyDescent="0.3">
      <c r="A2074" s="8">
        <v>46146</v>
      </c>
      <c r="B2074" s="16" t="s">
        <v>4160</v>
      </c>
      <c r="C2074" s="6" t="s">
        <v>2481</v>
      </c>
      <c r="D2074" s="6" t="s">
        <v>89</v>
      </c>
      <c r="E2074" s="14">
        <v>46146.353472222225</v>
      </c>
      <c r="F2074" s="8">
        <f>IF(HOUR(Table1[[#This Row],[CORREO]])&gt;=11,WORKDAY(Table1[[#This Row],[CORREO]],1,Table2[Dias no laborales]),E2074)</f>
        <v>46146.353472222225</v>
      </c>
      <c r="G2074" s="8">
        <v>46150</v>
      </c>
      <c r="H2074" s="6">
        <f t="shared" si="101"/>
        <v>18</v>
      </c>
      <c r="I2074" s="6">
        <f>MAX(1, NETWORKDAYS(A2074, G2074,Table2[Dias no laborales]))</f>
        <v>4</v>
      </c>
      <c r="J2074" s="6" t="str">
        <f>IF(Table1[[#This Row],[FIN]]="","Acumulado",IF(ISNUMBER(SEARCH("ASAP",C2074)),"ASAP",IF(NETWORKDAYS.INTL(F2074,G2074,1,Table2[Dias no laborales]) &lt;= 7, "Dentro", IF(A2074&gt;F2074,"Programado","Fuera"))))</f>
        <v>Dentro</v>
      </c>
      <c r="K2074" s="6" t="str">
        <f t="shared" si="102"/>
        <v>A tiempo</v>
      </c>
      <c r="L2074" s="8">
        <v>46146</v>
      </c>
      <c r="M2074" s="17">
        <f>MAX(1,NETWORKDAYS(A2074,L2074,Table2[Dias no laborales]))</f>
        <v>1</v>
      </c>
    </row>
    <row r="2075" spans="1:13" hidden="1" x14ac:dyDescent="0.3">
      <c r="A2075" s="8">
        <v>46146</v>
      </c>
      <c r="B2075" s="16" t="s">
        <v>4161</v>
      </c>
      <c r="C2075" s="6" t="s">
        <v>4283</v>
      </c>
      <c r="D2075" s="6" t="s">
        <v>4016</v>
      </c>
      <c r="E2075" s="14">
        <v>46146.382638888892</v>
      </c>
      <c r="F2075" s="8">
        <f>IF(HOUR(Table1[[#This Row],[CORREO]])&gt;=11,WORKDAY(Table1[[#This Row],[CORREO]],1,Table2[Dias no laborales]),E2075)</f>
        <v>46146.382638888892</v>
      </c>
      <c r="G2075" s="8">
        <v>46147</v>
      </c>
      <c r="H2075" s="6">
        <f t="shared" si="101"/>
        <v>18</v>
      </c>
      <c r="I2075" s="6">
        <f>MAX(1, NETWORKDAYS(A2075, G2075,Table2[Dias no laborales]))</f>
        <v>1</v>
      </c>
      <c r="J2075" s="6" t="str">
        <f>IF(Table1[[#This Row],[FIN]]="","Acumulado",IF(ISNUMBER(SEARCH("ASAP",C2075)),"ASAP",IF(NETWORKDAYS.INTL(F2075,G2075,1,Table2[Dias no laborales]) &lt;= 7, "Dentro", IF(A2075&gt;F2075,"Programado","Fuera"))))</f>
        <v>Dentro</v>
      </c>
      <c r="K2075" s="6" t="str">
        <f t="shared" si="102"/>
        <v>A tiempo</v>
      </c>
      <c r="L2075" s="8">
        <v>46146</v>
      </c>
      <c r="M2075" s="17">
        <f>MAX(1,NETWORKDAYS(A2075,L2075,Table2[Dias no laborales]))</f>
        <v>1</v>
      </c>
    </row>
    <row r="2076" spans="1:13" hidden="1" x14ac:dyDescent="0.3">
      <c r="A2076" s="8">
        <v>46146</v>
      </c>
      <c r="B2076" s="16" t="s">
        <v>4162</v>
      </c>
      <c r="C2076" s="6" t="s">
        <v>4284</v>
      </c>
      <c r="D2076" s="6" t="s">
        <v>406</v>
      </c>
      <c r="E2076" s="14">
        <v>46146.431250000001</v>
      </c>
      <c r="F2076" s="8">
        <f>IF(HOUR(Table1[[#This Row],[CORREO]])&gt;=11,WORKDAY(Table1[[#This Row],[CORREO]],1,Table2[Dias no laborales]),E2076)</f>
        <v>46146.431250000001</v>
      </c>
      <c r="G2076" s="8">
        <v>46153</v>
      </c>
      <c r="H2076" s="6">
        <f t="shared" si="101"/>
        <v>18</v>
      </c>
      <c r="I2076" s="6">
        <f>MAX(1, NETWORKDAYS(A2076, G2076,Table2[Dias no laborales]))</f>
        <v>5</v>
      </c>
      <c r="J2076" s="6" t="str">
        <f>IF(Table1[[#This Row],[FIN]]="","Acumulado",IF(ISNUMBER(SEARCH("ASAP",C2076)),"ASAP",IF(NETWORKDAYS.INTL(F2076,G2076,1,Table2[Dias no laborales]) &lt;= 7, "Dentro", IF(A2076&gt;F2076,"Programado","Fuera"))))</f>
        <v>Dentro</v>
      </c>
      <c r="K2076" s="6" t="str">
        <f t="shared" si="102"/>
        <v>A tiempo</v>
      </c>
      <c r="L2076" s="8">
        <v>46146</v>
      </c>
      <c r="M2076" s="17">
        <f>MAX(1,NETWORKDAYS(A2076,L2076,Table2[Dias no laborales]))</f>
        <v>1</v>
      </c>
    </row>
    <row r="2077" spans="1:13" hidden="1" x14ac:dyDescent="0.3">
      <c r="A2077" s="8">
        <v>46146</v>
      </c>
      <c r="B2077" s="16" t="s">
        <v>4163</v>
      </c>
      <c r="C2077" s="6" t="s">
        <v>4285</v>
      </c>
      <c r="D2077" s="6" t="s">
        <v>24</v>
      </c>
      <c r="E2077" s="14">
        <v>46142.493055555555</v>
      </c>
      <c r="F2077" s="8">
        <f>IF(HOUR(Table1[[#This Row],[CORREO]])&gt;=11,WORKDAY(Table1[[#This Row],[CORREO]],1,Table2[Dias no laborales]),E2077)</f>
        <v>46146</v>
      </c>
      <c r="G2077" s="8">
        <v>46154</v>
      </c>
      <c r="H2077" s="6">
        <f t="shared" si="101"/>
        <v>18</v>
      </c>
      <c r="I2077" s="6">
        <f>MAX(1, NETWORKDAYS(A2077, G2077,Table2[Dias no laborales]))</f>
        <v>6</v>
      </c>
      <c r="J2077" s="6" t="str">
        <f>IF(Table1[[#This Row],[FIN]]="","Acumulado",IF(ISNUMBER(SEARCH("ASAP",C2077)),"ASAP",IF(NETWORKDAYS.INTL(F2077,G2077,1,Table2[Dias no laborales]) &lt;= 7, "Dentro", IF(A2077&gt;F2077,"Programado","Fuera"))))</f>
        <v>Dentro</v>
      </c>
      <c r="K2077" s="6" t="str">
        <f t="shared" si="102"/>
        <v>A tiempo</v>
      </c>
      <c r="L2077" s="8">
        <v>46146</v>
      </c>
      <c r="M2077" s="17">
        <f>MAX(1,NETWORKDAYS(A2077,L2077,Table2[Dias no laborales]))</f>
        <v>1</v>
      </c>
    </row>
    <row r="2078" spans="1:13" hidden="1" x14ac:dyDescent="0.3">
      <c r="A2078" s="8">
        <v>46147</v>
      </c>
      <c r="B2078" s="16" t="s">
        <v>4164</v>
      </c>
      <c r="C2078" s="6" t="s">
        <v>4003</v>
      </c>
      <c r="D2078" s="6" t="s">
        <v>623</v>
      </c>
      <c r="E2078" s="14">
        <v>46146.543749999997</v>
      </c>
      <c r="F2078" s="8">
        <f>IF(HOUR(Table1[[#This Row],[CORREO]])&gt;=11,WORKDAY(Table1[[#This Row],[CORREO]],1,Table2[Dias no laborales]),E2078)</f>
        <v>46148</v>
      </c>
      <c r="G2078" s="8">
        <v>46149</v>
      </c>
      <c r="H2078" s="6">
        <f t="shared" si="101"/>
        <v>18</v>
      </c>
      <c r="I2078" s="6">
        <f>MAX(1, NETWORKDAYS(A2078, G2078,Table2[Dias no laborales]))</f>
        <v>2</v>
      </c>
      <c r="J2078" s="6" t="str">
        <f>IF(Table1[[#This Row],[FIN]]="","Acumulado",IF(ISNUMBER(SEARCH("ASAP",C2078)),"ASAP",IF(NETWORKDAYS.INTL(F2078,G2078,1,Table2[Dias no laborales]) &lt;= 7, "Dentro", IF(A2078&gt;F2078,"Programado","Fuera"))))</f>
        <v>Dentro</v>
      </c>
      <c r="K2078" s="6" t="str">
        <f t="shared" si="102"/>
        <v>Mismo día</v>
      </c>
      <c r="L2078" s="8">
        <v>46147</v>
      </c>
      <c r="M2078" s="17">
        <f>MAX(1,NETWORKDAYS(A2078,L2078,Table2[Dias no laborales]))</f>
        <v>1</v>
      </c>
    </row>
    <row r="2079" spans="1:13" hidden="1" x14ac:dyDescent="0.3">
      <c r="A2079" s="8">
        <v>46147</v>
      </c>
      <c r="B2079" s="16" t="s">
        <v>4165</v>
      </c>
      <c r="C2079" s="6" t="s">
        <v>4286</v>
      </c>
      <c r="D2079" s="6" t="s">
        <v>133</v>
      </c>
      <c r="E2079" s="14">
        <v>46146.712500000001</v>
      </c>
      <c r="F2079" s="8">
        <f>IF(HOUR(Table1[[#This Row],[CORREO]])&gt;=11,WORKDAY(Table1[[#This Row],[CORREO]],1,Table2[Dias no laborales]),E2079)</f>
        <v>46148</v>
      </c>
      <c r="G2079" s="8">
        <v>46149</v>
      </c>
      <c r="H2079" s="6">
        <f t="shared" si="101"/>
        <v>18</v>
      </c>
      <c r="I2079" s="6">
        <f>MAX(1, NETWORKDAYS(A2079, G2079,Table2[Dias no laborales]))</f>
        <v>2</v>
      </c>
      <c r="J2079" s="6" t="str">
        <f>IF(Table1[[#This Row],[FIN]]="","Acumulado",IF(ISNUMBER(SEARCH("ASAP",C2079)),"ASAP",IF(NETWORKDAYS.INTL(F2079,G2079,1,Table2[Dias no laborales]) &lt;= 7, "Dentro", IF(A2079&gt;F2079,"Programado","Fuera"))))</f>
        <v>Dentro</v>
      </c>
      <c r="K2079" s="6" t="str">
        <f t="shared" si="102"/>
        <v>Mismo día</v>
      </c>
      <c r="L2079" s="8">
        <v>46147</v>
      </c>
      <c r="M2079" s="17">
        <f>MAX(1,NETWORKDAYS(A2079,L2079,Table2[Dias no laborales]))</f>
        <v>1</v>
      </c>
    </row>
    <row r="2080" spans="1:13" hidden="1" x14ac:dyDescent="0.3">
      <c r="A2080" s="8">
        <v>46147</v>
      </c>
      <c r="B2080" s="16" t="s">
        <v>4166</v>
      </c>
      <c r="C2080" s="6" t="s">
        <v>4287</v>
      </c>
      <c r="D2080" s="6" t="s">
        <v>2994</v>
      </c>
      <c r="E2080" s="14">
        <v>46147.349305555559</v>
      </c>
      <c r="F2080" s="8">
        <f>IF(HOUR(Table1[[#This Row],[CORREO]])&gt;=11,WORKDAY(Table1[[#This Row],[CORREO]],1,Table2[Dias no laborales]),E2080)</f>
        <v>46147.349305555559</v>
      </c>
      <c r="G2080" s="8">
        <v>46150</v>
      </c>
      <c r="H2080" s="6">
        <f t="shared" si="101"/>
        <v>18</v>
      </c>
      <c r="I2080" s="6">
        <f>MAX(1, NETWORKDAYS(A2080, G2080,Table2[Dias no laborales]))</f>
        <v>3</v>
      </c>
      <c r="J2080" s="6" t="str">
        <f>IF(Table1[[#This Row],[FIN]]="","Acumulado",IF(ISNUMBER(SEARCH("ASAP",C2080)),"ASAP",IF(NETWORKDAYS.INTL(F2080,G2080,1,Table2[Dias no laborales]) &lt;= 7, "Dentro", IF(A2080&gt;F2080,"Programado","Fuera"))))</f>
        <v>Dentro</v>
      </c>
      <c r="K2080" s="6" t="str">
        <f t="shared" si="102"/>
        <v>A tiempo</v>
      </c>
      <c r="L2080" s="8">
        <v>46147</v>
      </c>
      <c r="M2080" s="17">
        <f>MAX(1,NETWORKDAYS(A2080,L2080,Table2[Dias no laborales]))</f>
        <v>1</v>
      </c>
    </row>
    <row r="2081" spans="1:13" hidden="1" x14ac:dyDescent="0.3">
      <c r="A2081" s="8">
        <v>46147</v>
      </c>
      <c r="B2081" s="16" t="s">
        <v>4167</v>
      </c>
      <c r="C2081" s="6" t="s">
        <v>4288</v>
      </c>
      <c r="D2081" s="6" t="s">
        <v>171</v>
      </c>
      <c r="E2081" s="14">
        <v>46147.402777777781</v>
      </c>
      <c r="F2081" s="8">
        <f>IF(HOUR(Table1[[#This Row],[CORREO]])&gt;=11,WORKDAY(Table1[[#This Row],[CORREO]],1,Table2[Dias no laborales]),E2081)</f>
        <v>46147.402777777781</v>
      </c>
      <c r="G2081" s="8">
        <v>46150</v>
      </c>
      <c r="H2081" s="6">
        <f t="shared" si="101"/>
        <v>18</v>
      </c>
      <c r="I2081" s="6">
        <f>MAX(1, NETWORKDAYS(A2081, G2081,Table2[Dias no laborales]))</f>
        <v>3</v>
      </c>
      <c r="J2081" s="6" t="str">
        <f>IF(Table1[[#This Row],[FIN]]="","Acumulado",IF(ISNUMBER(SEARCH("ASAP",C2081)),"ASAP",IF(NETWORKDAYS.INTL(F2081,G2081,1,Table2[Dias no laborales]) &lt;= 7, "Dentro", IF(A2081&gt;F2081,"Programado","Fuera"))))</f>
        <v>Dentro</v>
      </c>
      <c r="K2081" s="6" t="str">
        <f t="shared" si="102"/>
        <v>A tiempo</v>
      </c>
      <c r="L2081" s="8">
        <v>46147</v>
      </c>
      <c r="M2081" s="17">
        <f>MAX(1,NETWORKDAYS(A2081,L2081,Table2[Dias no laborales]))</f>
        <v>1</v>
      </c>
    </row>
    <row r="2082" spans="1:13" hidden="1" x14ac:dyDescent="0.3">
      <c r="A2082" s="8">
        <v>46148</v>
      </c>
      <c r="B2082" s="16" t="s">
        <v>4168</v>
      </c>
      <c r="C2082" s="6" t="s">
        <v>4289</v>
      </c>
      <c r="D2082" s="6" t="s">
        <v>1360</v>
      </c>
      <c r="E2082" s="14"/>
      <c r="F2082" s="8">
        <f>IF(HOUR(Table1[[#This Row],[CORREO]])&gt;=11,WORKDAY(Table1[[#This Row],[CORREO]],1,Table2[Dias no laborales]),E2082)</f>
        <v>0</v>
      </c>
      <c r="G2082" s="8">
        <v>46155</v>
      </c>
      <c r="H2082" s="6">
        <f t="shared" si="101"/>
        <v>18</v>
      </c>
      <c r="I2082" s="6">
        <f>MAX(1, NETWORKDAYS(A2082, G2082,Table2[Dias no laborales]))</f>
        <v>6</v>
      </c>
      <c r="J2082" s="6" t="str">
        <f>IF(Table1[[#This Row],[FIN]]="","Acumulado",IF(ISNUMBER(SEARCH("ASAP",C2082)),"ASAP",IF(NETWORKDAYS.INTL(F2082,G2082,1,Table2[Dias no laborales]) &lt;= 7, "Dentro", IF(A2082&gt;F2082,"Programado","Fuera"))))</f>
        <v>Programado</v>
      </c>
      <c r="K2082" s="6" t="str">
        <f t="shared" si="102"/>
        <v>Programados</v>
      </c>
      <c r="L2082" s="8">
        <v>46148</v>
      </c>
      <c r="M2082" s="17">
        <f>MAX(1,NETWORKDAYS(A2082,L2082,Table2[Dias no laborales]))</f>
        <v>1</v>
      </c>
    </row>
    <row r="2083" spans="1:13" hidden="1" x14ac:dyDescent="0.3">
      <c r="A2083" s="8">
        <v>46148</v>
      </c>
      <c r="B2083" s="16" t="s">
        <v>4169</v>
      </c>
      <c r="C2083" s="6" t="s">
        <v>4290</v>
      </c>
      <c r="D2083" s="6" t="s">
        <v>61</v>
      </c>
      <c r="E2083" s="14"/>
      <c r="F2083" s="8">
        <f>IF(HOUR(Table1[[#This Row],[CORREO]])&gt;=11,WORKDAY(Table1[[#This Row],[CORREO]],1,Table2[Dias no laborales]),E2083)</f>
        <v>0</v>
      </c>
      <c r="G2083" s="8">
        <v>46153</v>
      </c>
      <c r="H2083" s="6">
        <f t="shared" si="101"/>
        <v>18</v>
      </c>
      <c r="I2083" s="6">
        <f>MAX(1, NETWORKDAYS(A2083, G2083,Table2[Dias no laborales]))</f>
        <v>4</v>
      </c>
      <c r="J2083" s="6" t="str">
        <f>IF(Table1[[#This Row],[FIN]]="","Acumulado",IF(ISNUMBER(SEARCH("ASAP",C2083)),"ASAP",IF(NETWORKDAYS.INTL(F2083,G2083,1,Table2[Dias no laborales]) &lt;= 7, "Dentro", IF(A2083&gt;F2083,"Programado","Fuera"))))</f>
        <v>Programado</v>
      </c>
      <c r="K2083" s="6" t="str">
        <f t="shared" si="102"/>
        <v>Programados</v>
      </c>
      <c r="L2083" s="8">
        <v>46148</v>
      </c>
      <c r="M2083" s="17">
        <f>MAX(1,NETWORKDAYS(A2083,L2083,Table2[Dias no laborales]))</f>
        <v>1</v>
      </c>
    </row>
    <row r="2084" spans="1:13" hidden="1" x14ac:dyDescent="0.3">
      <c r="A2084" s="8">
        <v>46148</v>
      </c>
      <c r="B2084" s="16" t="s">
        <v>4170</v>
      </c>
      <c r="C2084" s="6" t="s">
        <v>4291</v>
      </c>
      <c r="D2084" s="6" t="s">
        <v>3999</v>
      </c>
      <c r="E2084" s="14"/>
      <c r="F2084" s="8">
        <f>IF(HOUR(Table1[[#This Row],[CORREO]])&gt;=11,WORKDAY(Table1[[#This Row],[CORREO]],1,Table2[Dias no laborales]),E2084)</f>
        <v>0</v>
      </c>
      <c r="G2084" s="8">
        <v>46150</v>
      </c>
      <c r="H2084" s="6">
        <f t="shared" si="101"/>
        <v>18</v>
      </c>
      <c r="I2084" s="6">
        <f>MAX(1, NETWORKDAYS(A2084, G2084,Table2[Dias no laborales]))</f>
        <v>3</v>
      </c>
      <c r="J2084" s="6" t="str">
        <f>IF(Table1[[#This Row],[FIN]]="","Acumulado",IF(ISNUMBER(SEARCH("ASAP",C2084)),"ASAP",IF(NETWORKDAYS.INTL(F2084,G2084,1,Table2[Dias no laborales]) &lt;= 7, "Dentro", IF(A2084&gt;F2084,"Programado","Fuera"))))</f>
        <v>Programado</v>
      </c>
      <c r="K2084" s="6" t="str">
        <f t="shared" si="102"/>
        <v>Programados</v>
      </c>
      <c r="L2084" s="8">
        <v>46148</v>
      </c>
      <c r="M2084" s="17">
        <f>MAX(1,NETWORKDAYS(A2084,L2084,Table2[Dias no laborales]))</f>
        <v>1</v>
      </c>
    </row>
    <row r="2085" spans="1:13" hidden="1" x14ac:dyDescent="0.3">
      <c r="A2085" s="8">
        <v>46148</v>
      </c>
      <c r="B2085" s="16" t="s">
        <v>4171</v>
      </c>
      <c r="C2085" s="6" t="s">
        <v>4182</v>
      </c>
      <c r="D2085" s="6" t="s">
        <v>3041</v>
      </c>
      <c r="E2085" s="14"/>
      <c r="F2085" s="8">
        <f>IF(HOUR(Table1[[#This Row],[CORREO]])&gt;=11,WORKDAY(Table1[[#This Row],[CORREO]],1,Table2[Dias no laborales]),E2085)</f>
        <v>0</v>
      </c>
      <c r="G2085" s="8">
        <v>46148</v>
      </c>
      <c r="H2085" s="6">
        <f t="shared" si="101"/>
        <v>18</v>
      </c>
      <c r="I2085" s="6">
        <f>MAX(1, NETWORKDAYS(A2085, G2085,Table2[Dias no laborales]))</f>
        <v>1</v>
      </c>
      <c r="J2085" s="6" t="str">
        <f>IF(Table1[[#This Row],[FIN]]="","Acumulado",IF(ISNUMBER(SEARCH("ASAP",C2085)),"ASAP",IF(NETWORKDAYS.INTL(F2085,G2085,1,Table2[Dias no laborales]) &lt;= 7, "Dentro", IF(A2085&gt;F2085,"Programado","Fuera"))))</f>
        <v>Programado</v>
      </c>
      <c r="K2085" s="6" t="str">
        <f t="shared" si="102"/>
        <v>Programados</v>
      </c>
      <c r="L2085" s="8">
        <v>46148</v>
      </c>
      <c r="M2085" s="17">
        <f>MAX(1,NETWORKDAYS(A2085,L2085,Table2[Dias no laborales]))</f>
        <v>1</v>
      </c>
    </row>
    <row r="2086" spans="1:13" hidden="1" x14ac:dyDescent="0.3">
      <c r="A2086" s="8">
        <v>46148</v>
      </c>
      <c r="B2086" s="16" t="s">
        <v>4172</v>
      </c>
      <c r="C2086" s="6" t="s">
        <v>4048</v>
      </c>
      <c r="D2086" s="6" t="s">
        <v>53</v>
      </c>
      <c r="E2086" s="14">
        <v>46147.586111111108</v>
      </c>
      <c r="F2086" s="8">
        <f>IF(HOUR(Table1[[#This Row],[CORREO]])&gt;=11,WORKDAY(Table1[[#This Row],[CORREO]],1,Table2[Dias no laborales]),E2086)</f>
        <v>46148</v>
      </c>
      <c r="G2086" s="8">
        <v>46150</v>
      </c>
      <c r="H2086" s="6">
        <f t="shared" si="101"/>
        <v>18</v>
      </c>
      <c r="I2086" s="6">
        <f>MAX(1, NETWORKDAYS(A2086, G2086,Table2[Dias no laborales]))</f>
        <v>3</v>
      </c>
      <c r="J2086" s="6" t="str">
        <f>IF(Table1[[#This Row],[FIN]]="","Acumulado",IF(ISNUMBER(SEARCH("ASAP",C2086)),"ASAP",IF(NETWORKDAYS.INTL(F2086,G2086,1,Table2[Dias no laborales]) &lt;= 7, "Dentro", IF(A2086&gt;F2086,"Programado","Fuera"))))</f>
        <v>Dentro</v>
      </c>
      <c r="K2086" s="6" t="str">
        <f t="shared" si="102"/>
        <v>A tiempo</v>
      </c>
      <c r="L2086" s="8">
        <v>46148</v>
      </c>
      <c r="M2086" s="17">
        <f>MAX(1,NETWORKDAYS(A2086,L2086,Table2[Dias no laborales]))</f>
        <v>1</v>
      </c>
    </row>
    <row r="2087" spans="1:13" hidden="1" x14ac:dyDescent="0.3">
      <c r="A2087" s="8">
        <v>46148</v>
      </c>
      <c r="B2087" s="16" t="s">
        <v>4173</v>
      </c>
      <c r="C2087" s="6" t="s">
        <v>4048</v>
      </c>
      <c r="D2087" s="14" t="s">
        <v>61</v>
      </c>
      <c r="E2087" s="14">
        <v>46147.588888888888</v>
      </c>
      <c r="F2087" s="8">
        <f>IF(HOUR(Table1[[#This Row],[CORREO]])&gt;=11,WORKDAY(Table1[[#This Row],[CORREO]],1,Table2[Dias no laborales]),E2087)</f>
        <v>46148</v>
      </c>
      <c r="G2087" s="8">
        <v>46148</v>
      </c>
      <c r="H2087" s="6">
        <f t="shared" si="101"/>
        <v>18</v>
      </c>
      <c r="I2087" s="6">
        <f>MAX(1, NETWORKDAYS(A2087, G2087,Table2[Dias no laborales]))</f>
        <v>1</v>
      </c>
      <c r="J2087" s="6" t="str">
        <f>IF(Table1[[#This Row],[FIN]]="","Acumulado",IF(ISNUMBER(SEARCH("ASAP",C2087)),"ASAP",IF(NETWORKDAYS.INTL(F2087,G2087,1,Table2[Dias no laborales]) &lt;= 7, "Dentro", IF(A2087&gt;F2087,"Programado","Fuera"))))</f>
        <v>Dentro</v>
      </c>
      <c r="K2087" s="6" t="str">
        <f t="shared" si="102"/>
        <v>A tiempo</v>
      </c>
      <c r="L2087" s="8">
        <v>46148</v>
      </c>
      <c r="M2087" s="17">
        <f>MAX(1,NETWORKDAYS(A2087,L2087,Table2[Dias no laborales]))</f>
        <v>1</v>
      </c>
    </row>
    <row r="2088" spans="1:13" hidden="1" x14ac:dyDescent="0.3">
      <c r="A2088" s="8">
        <v>46148</v>
      </c>
      <c r="B2088" s="16" t="s">
        <v>4174</v>
      </c>
      <c r="C2088" s="6" t="s">
        <v>4292</v>
      </c>
      <c r="D2088" s="6" t="s">
        <v>449</v>
      </c>
      <c r="E2088" s="14">
        <v>46148.359722222223</v>
      </c>
      <c r="F2088" s="8">
        <f>IF(HOUR(Table1[[#This Row],[CORREO]])&gt;=11,WORKDAY(Table1[[#This Row],[CORREO]],1,Table2[Dias no laborales]),E2088)</f>
        <v>46148.359722222223</v>
      </c>
      <c r="G2088" s="8">
        <v>46149</v>
      </c>
      <c r="H2088" s="6">
        <f t="shared" si="101"/>
        <v>18</v>
      </c>
      <c r="I2088" s="6">
        <f>MAX(1, NETWORKDAYS(A2088, G2088,Table2[Dias no laborales]))</f>
        <v>2</v>
      </c>
      <c r="J2088" s="6" t="str">
        <f>IF(Table1[[#This Row],[FIN]]="","Acumulado",IF(ISNUMBER(SEARCH("ASAP",C2088)),"ASAP",IF(NETWORKDAYS.INTL(F2088,G2088,1,Table2[Dias no laborales]) &lt;= 7, "Dentro", IF(A2088&gt;F2088,"Programado","Fuera"))))</f>
        <v>Dentro</v>
      </c>
      <c r="K2088" s="6" t="str">
        <f t="shared" si="102"/>
        <v>A tiempo</v>
      </c>
      <c r="L2088" s="8">
        <v>46148</v>
      </c>
      <c r="M2088" s="17">
        <f>MAX(1,NETWORKDAYS(A2088,L2088,Table2[Dias no laborales]))</f>
        <v>1</v>
      </c>
    </row>
    <row r="2089" spans="1:13" hidden="1" x14ac:dyDescent="0.3">
      <c r="A2089" s="8">
        <v>46148</v>
      </c>
      <c r="B2089" s="16" t="s">
        <v>4175</v>
      </c>
      <c r="C2089" s="6" t="s">
        <v>3665</v>
      </c>
      <c r="D2089" s="6" t="s">
        <v>372</v>
      </c>
      <c r="E2089" s="14">
        <v>46148.381249999999</v>
      </c>
      <c r="F2089" s="8">
        <f>IF(HOUR(Table1[[#This Row],[CORREO]])&gt;=11,WORKDAY(Table1[[#This Row],[CORREO]],1,Table2[Dias no laborales]),E2089)</f>
        <v>46148.381249999999</v>
      </c>
      <c r="G2089" s="8">
        <v>46150</v>
      </c>
      <c r="H2089" s="6">
        <f t="shared" si="101"/>
        <v>18</v>
      </c>
      <c r="I2089" s="6">
        <f>MAX(1, NETWORKDAYS(A2089, G2089,Table2[Dias no laborales]))</f>
        <v>3</v>
      </c>
      <c r="J2089" s="6" t="str">
        <f>IF(Table1[[#This Row],[FIN]]="","Acumulado",IF(ISNUMBER(SEARCH("ASAP",C2089)),"ASAP",IF(NETWORKDAYS.INTL(F2089,G2089,1,Table2[Dias no laborales]) &lt;= 7, "Dentro", IF(A2089&gt;F2089,"Programado","Fuera"))))</f>
        <v>Dentro</v>
      </c>
      <c r="K2089" s="6" t="str">
        <f t="shared" si="102"/>
        <v>A tiempo</v>
      </c>
      <c r="L2089" s="8">
        <v>46148</v>
      </c>
      <c r="M2089" s="17">
        <f>MAX(1,NETWORKDAYS(A2089,L2089,Table2[Dias no laborales]))</f>
        <v>1</v>
      </c>
    </row>
    <row r="2090" spans="1:13" hidden="1" x14ac:dyDescent="0.3">
      <c r="A2090" s="8">
        <v>46148</v>
      </c>
      <c r="B2090" s="16" t="s">
        <v>4176</v>
      </c>
      <c r="C2090" s="6" t="s">
        <v>4293</v>
      </c>
      <c r="D2090" s="6" t="s">
        <v>1675</v>
      </c>
      <c r="E2090" s="14">
        <v>46148.363194444442</v>
      </c>
      <c r="F2090" s="8">
        <f>IF(HOUR(Table1[[#This Row],[CORREO]])&gt;=11,WORKDAY(Table1[[#This Row],[CORREO]],1,Table2[Dias no laborales]),E2090)</f>
        <v>46148.363194444442</v>
      </c>
      <c r="G2090" s="8">
        <v>46170</v>
      </c>
      <c r="H2090" s="6">
        <f t="shared" si="101"/>
        <v>18</v>
      </c>
      <c r="I2090" s="6">
        <f>MAX(1, NETWORKDAYS(A2090, G2090,Table2[Dias no laborales]))</f>
        <v>17</v>
      </c>
      <c r="J2090" s="6" t="str">
        <f>IF(Table1[[#This Row],[FIN]]="","Acumulado",IF(ISNUMBER(SEARCH("ASAP",C2090)),"ASAP",IF(NETWORKDAYS.INTL(F2090,G2090,1,Table2[Dias no laborales]) &lt;= 7, "Dentro", IF(A2090&gt;F2090,"Programado","Fuera"))))</f>
        <v>Fuera</v>
      </c>
      <c r="K2090" s="6" t="str">
        <f t="shared" si="102"/>
        <v>A tiempo</v>
      </c>
      <c r="L2090" s="8">
        <v>46148</v>
      </c>
      <c r="M2090" s="17">
        <f>MAX(1,NETWORKDAYS(A2090,L2090,Table2[Dias no laborales]))</f>
        <v>1</v>
      </c>
    </row>
    <row r="2091" spans="1:13" hidden="1" x14ac:dyDescent="0.3">
      <c r="A2091" s="8">
        <v>46148</v>
      </c>
      <c r="B2091" s="16" t="s">
        <v>4177</v>
      </c>
      <c r="C2091" s="6" t="s">
        <v>4294</v>
      </c>
      <c r="D2091" s="6" t="s">
        <v>3794</v>
      </c>
      <c r="E2091" s="14">
        <v>46148.383333333331</v>
      </c>
      <c r="F2091" s="8">
        <f>IF(HOUR(Table1[[#This Row],[CORREO]])&gt;=11,WORKDAY(Table1[[#This Row],[CORREO]],1,Table2[Dias no laborales]),E2091)</f>
        <v>46148.383333333331</v>
      </c>
      <c r="G2091" s="8">
        <v>46149</v>
      </c>
      <c r="H2091" s="6">
        <f t="shared" si="101"/>
        <v>18</v>
      </c>
      <c r="I2091" s="6">
        <f>MAX(1, NETWORKDAYS(A2091, G2091,Table2[Dias no laborales]))</f>
        <v>2</v>
      </c>
      <c r="J2091" s="6" t="str">
        <f>IF(Table1[[#This Row],[FIN]]="","Acumulado",IF(ISNUMBER(SEARCH("ASAP",C2091)),"ASAP",IF(NETWORKDAYS.INTL(F2091,G2091,1,Table2[Dias no laborales]) &lt;= 7, "Dentro", IF(A2091&gt;F2091,"Programado","Fuera"))))</f>
        <v>Dentro</v>
      </c>
      <c r="K2091" s="6" t="str">
        <f t="shared" si="102"/>
        <v>A tiempo</v>
      </c>
      <c r="L2091" s="8">
        <v>46148</v>
      </c>
      <c r="M2091" s="17">
        <f>MAX(1,NETWORKDAYS(A2091,L2091,Table2[Dias no laborales]))</f>
        <v>1</v>
      </c>
    </row>
    <row r="2092" spans="1:13" hidden="1" x14ac:dyDescent="0.3">
      <c r="A2092" s="8">
        <v>46148</v>
      </c>
      <c r="B2092" s="16" t="s">
        <v>4198</v>
      </c>
      <c r="C2092" s="6" t="s">
        <v>4119</v>
      </c>
      <c r="D2092" s="6" t="s">
        <v>4120</v>
      </c>
      <c r="E2092" s="14">
        <v>46148.334027777775</v>
      </c>
      <c r="F2092" s="8">
        <f>IF(HOUR(Table1[[#This Row],[CORREO]])&gt;=11,WORKDAY(Table1[[#This Row],[CORREO]],1,Table2[Dias no laborales]),E2092)</f>
        <v>46148.334027777775</v>
      </c>
      <c r="G2092" s="8">
        <v>46150</v>
      </c>
      <c r="H2092" s="6">
        <f t="shared" ref="H2092:H2121" si="103">INT((A2092-DATE(YEAR(A2092),1,1))/7) + 1</f>
        <v>18</v>
      </c>
      <c r="I2092" s="6">
        <f>MAX(1, NETWORKDAYS(A2092, G2092,Table2[Dias no laborales]))</f>
        <v>3</v>
      </c>
      <c r="J2092" s="6" t="str">
        <f>IF(Table1[[#This Row],[FIN]]="","Acumulado",IF(ISNUMBER(SEARCH("ASAP",C2092)),"ASAP",IF(NETWORKDAYS.INTL(F2092,G2092,1,Table2[Dias no laborales]) &lt;= 7, "Dentro", IF(A2092&gt;F2092,"Programado","Fuera"))))</f>
        <v>Dentro</v>
      </c>
      <c r="K2092" s="6" t="str">
        <f t="shared" ref="K2092:K2121" si="104">IF(INT(A2092)=INT(F2092),"A tiempo", IF(A2092&lt;F2092,"Mismo día","Programados"))</f>
        <v>A tiempo</v>
      </c>
      <c r="L2092" s="8">
        <v>46148</v>
      </c>
      <c r="M2092" s="17">
        <f>MAX(1,NETWORKDAYS(A2092,L2092,Table2[Dias no laborales]))</f>
        <v>1</v>
      </c>
    </row>
    <row r="2093" spans="1:13" hidden="1" x14ac:dyDescent="0.3">
      <c r="A2093" s="8">
        <v>46148</v>
      </c>
      <c r="B2093" s="16" t="s">
        <v>4199</v>
      </c>
      <c r="C2093" s="6" t="s">
        <v>4295</v>
      </c>
      <c r="D2093" s="6" t="s">
        <v>1333</v>
      </c>
      <c r="E2093" s="14">
        <v>46148.40902777778</v>
      </c>
      <c r="F2093" s="8">
        <f>IF(HOUR(Table1[[#This Row],[CORREO]])&gt;=11,WORKDAY(Table1[[#This Row],[CORREO]],1,Table2[Dias no laborales]),E2093)</f>
        <v>46148.40902777778</v>
      </c>
      <c r="G2093" s="8">
        <v>46150</v>
      </c>
      <c r="H2093" s="6">
        <f t="shared" si="103"/>
        <v>18</v>
      </c>
      <c r="I2093" s="6">
        <f>MAX(1, NETWORKDAYS(A2093, G2093,Table2[Dias no laborales]))</f>
        <v>3</v>
      </c>
      <c r="J2093" s="6" t="str">
        <f>IF(Table1[[#This Row],[FIN]]="","Acumulado",IF(ISNUMBER(SEARCH("ASAP",C2093)),"ASAP",IF(NETWORKDAYS.INTL(F2093,G2093,1,Table2[Dias no laborales]) &lt;= 7, "Dentro", IF(A2093&gt;F2093,"Programado","Fuera"))))</f>
        <v>Dentro</v>
      </c>
      <c r="K2093" s="6" t="str">
        <f t="shared" si="104"/>
        <v>A tiempo</v>
      </c>
      <c r="L2093" s="8">
        <v>46148</v>
      </c>
      <c r="M2093" s="17">
        <f>MAX(1,NETWORKDAYS(A2093,L2093,Table2[Dias no laborales]))</f>
        <v>1</v>
      </c>
    </row>
    <row r="2094" spans="1:13" hidden="1" x14ac:dyDescent="0.3">
      <c r="A2094" s="8">
        <v>46148</v>
      </c>
      <c r="B2094" s="16" t="s">
        <v>4200</v>
      </c>
      <c r="C2094" s="6" t="s">
        <v>4296</v>
      </c>
      <c r="D2094" s="6" t="s">
        <v>269</v>
      </c>
      <c r="E2094" s="14">
        <v>46148.555555555555</v>
      </c>
      <c r="F2094" s="8">
        <f>IF(HOUR(Table1[[#This Row],[CORREO]])&gt;=11,WORKDAY(Table1[[#This Row],[CORREO]],1,Table2[Dias no laborales]),E2094)</f>
        <v>46149</v>
      </c>
      <c r="G2094" s="8">
        <v>46150</v>
      </c>
      <c r="H2094" s="6">
        <f t="shared" si="103"/>
        <v>18</v>
      </c>
      <c r="I2094" s="6">
        <f>MAX(1, NETWORKDAYS(A2094, G2094,Table2[Dias no laborales]))</f>
        <v>3</v>
      </c>
      <c r="J2094" s="6" t="str">
        <f>IF(Table1[[#This Row],[FIN]]="","Acumulado",IF(ISNUMBER(SEARCH("ASAP",C2094)),"ASAP",IF(NETWORKDAYS.INTL(F2094,G2094,1,Table2[Dias no laborales]) &lt;= 7, "Dentro", IF(A2094&gt;F2094,"Programado","Fuera"))))</f>
        <v>Dentro</v>
      </c>
      <c r="K2094" s="6" t="str">
        <f t="shared" si="104"/>
        <v>Mismo día</v>
      </c>
      <c r="L2094" s="8">
        <v>46148</v>
      </c>
      <c r="M2094" s="17">
        <f>MAX(1,NETWORKDAYS(A2094,L2094,Table2[Dias no laborales]))</f>
        <v>1</v>
      </c>
    </row>
    <row r="2095" spans="1:13" hidden="1" x14ac:dyDescent="0.3">
      <c r="A2095" s="8">
        <v>46148</v>
      </c>
      <c r="B2095" s="16" t="s">
        <v>4201</v>
      </c>
      <c r="C2095" s="6" t="s">
        <v>4297</v>
      </c>
      <c r="D2095" s="6" t="s">
        <v>89</v>
      </c>
      <c r="E2095" s="14"/>
      <c r="F2095" s="8">
        <f>IF(HOUR(Table1[[#This Row],[CORREO]])&gt;=11,WORKDAY(Table1[[#This Row],[CORREO]],1,Table2[Dias no laborales]),E2095)</f>
        <v>0</v>
      </c>
      <c r="G2095" s="8">
        <v>46153</v>
      </c>
      <c r="H2095" s="6">
        <f t="shared" si="103"/>
        <v>18</v>
      </c>
      <c r="I2095" s="6">
        <f>MAX(1, NETWORKDAYS(A2095, G2095,Table2[Dias no laborales]))</f>
        <v>4</v>
      </c>
      <c r="J2095" s="6" t="str">
        <f>IF(Table1[[#This Row],[FIN]]="","Acumulado",IF(ISNUMBER(SEARCH("ASAP",C2095)),"ASAP",IF(NETWORKDAYS.INTL(F2095,G2095,1,Table2[Dias no laborales]) &lt;= 7, "Dentro", IF(A2095&gt;F2095,"Programado","Fuera"))))</f>
        <v>Programado</v>
      </c>
      <c r="K2095" s="6" t="str">
        <f t="shared" si="104"/>
        <v>Programados</v>
      </c>
      <c r="L2095" s="8">
        <v>46149</v>
      </c>
      <c r="M2095" s="17">
        <f>MAX(1,NETWORKDAYS(A2095,L2095,Table2[Dias no laborales]))</f>
        <v>2</v>
      </c>
    </row>
    <row r="2096" spans="1:13" hidden="1" x14ac:dyDescent="0.3">
      <c r="A2096" s="8">
        <v>46149</v>
      </c>
      <c r="B2096" s="16" t="s">
        <v>4202</v>
      </c>
      <c r="C2096" s="6" t="s">
        <v>4298</v>
      </c>
      <c r="D2096" s="6" t="s">
        <v>4299</v>
      </c>
      <c r="E2096" s="14"/>
      <c r="F2096" s="8">
        <f>IF(HOUR(Table1[[#This Row],[CORREO]])&gt;=11,WORKDAY(Table1[[#This Row],[CORREO]],1,Table2[Dias no laborales]),E2096)</f>
        <v>0</v>
      </c>
      <c r="G2096" s="8">
        <v>46149</v>
      </c>
      <c r="H2096" s="6">
        <f t="shared" si="103"/>
        <v>19</v>
      </c>
      <c r="I2096" s="6">
        <f>MAX(1, NETWORKDAYS(A2096, G2096,Table2[Dias no laborales]))</f>
        <v>1</v>
      </c>
      <c r="J2096" s="6" t="str">
        <f>IF(Table1[[#This Row],[FIN]]="","Acumulado",IF(ISNUMBER(SEARCH("ASAP",C2096)),"ASAP",IF(NETWORKDAYS.INTL(F2096,G2096,1,Table2[Dias no laborales]) &lt;= 7, "Dentro", IF(A2096&gt;F2096,"Programado","Fuera"))))</f>
        <v>Programado</v>
      </c>
      <c r="K2096" s="6" t="str">
        <f t="shared" si="104"/>
        <v>Programados</v>
      </c>
      <c r="L2096" s="8">
        <v>46149</v>
      </c>
      <c r="M2096" s="17">
        <f>MAX(1,NETWORKDAYS(A2096,L2096,Table2[Dias no laborales]))</f>
        <v>1</v>
      </c>
    </row>
    <row r="2097" spans="1:13" hidden="1" x14ac:dyDescent="0.3">
      <c r="A2097" s="8">
        <v>46149</v>
      </c>
      <c r="B2097" s="16" t="s">
        <v>4203</v>
      </c>
      <c r="C2097" s="6" t="s">
        <v>4300</v>
      </c>
      <c r="D2097" s="6" t="s">
        <v>18</v>
      </c>
      <c r="E2097" s="14"/>
      <c r="F2097" s="8">
        <f>IF(HOUR(Table1[[#This Row],[CORREO]])&gt;=11,WORKDAY(Table1[[#This Row],[CORREO]],1,Table2[Dias no laborales]),E2097)</f>
        <v>0</v>
      </c>
      <c r="G2097" s="8">
        <v>46149</v>
      </c>
      <c r="H2097" s="6">
        <f t="shared" si="103"/>
        <v>19</v>
      </c>
      <c r="I2097" s="6">
        <f>MAX(1, NETWORKDAYS(A2097, G2097,Table2[Dias no laborales]))</f>
        <v>1</v>
      </c>
      <c r="J2097" s="6" t="str">
        <f>IF(Table1[[#This Row],[FIN]]="","Acumulado",IF(ISNUMBER(SEARCH("ASAP",C2097)),"ASAP",IF(NETWORKDAYS.INTL(F2097,G2097,1,Table2[Dias no laborales]) &lt;= 7, "Dentro", IF(A2097&gt;F2097,"Programado","Fuera"))))</f>
        <v>Programado</v>
      </c>
      <c r="K2097" s="6" t="str">
        <f t="shared" si="104"/>
        <v>Programados</v>
      </c>
      <c r="L2097" s="8">
        <v>46149</v>
      </c>
      <c r="M2097" s="17">
        <f>MAX(1,NETWORKDAYS(A2097,L2097,Table2[Dias no laborales]))</f>
        <v>1</v>
      </c>
    </row>
    <row r="2098" spans="1:13" hidden="1" x14ac:dyDescent="0.3">
      <c r="A2098" s="8">
        <v>46149</v>
      </c>
      <c r="B2098" s="16" t="s">
        <v>4204</v>
      </c>
      <c r="C2098" s="6" t="s">
        <v>4301</v>
      </c>
      <c r="D2098" s="6" t="s">
        <v>423</v>
      </c>
      <c r="E2098" s="14"/>
      <c r="F2098" s="8">
        <f>IF(HOUR(Table1[[#This Row],[CORREO]])&gt;=11,WORKDAY(Table1[[#This Row],[CORREO]],1,Table2[Dias no laborales]),E2098)</f>
        <v>0</v>
      </c>
      <c r="G2098" s="8">
        <v>46149</v>
      </c>
      <c r="H2098" s="6">
        <f t="shared" si="103"/>
        <v>19</v>
      </c>
      <c r="I2098" s="6">
        <f>MAX(1, NETWORKDAYS(A2098, G2098,Table2[Dias no laborales]))</f>
        <v>1</v>
      </c>
      <c r="J2098" s="6" t="str">
        <f>IF(Table1[[#This Row],[FIN]]="","Acumulado",IF(ISNUMBER(SEARCH("ASAP",C2098)),"ASAP",IF(NETWORKDAYS.INTL(F2098,G2098,1,Table2[Dias no laborales]) &lt;= 7, "Dentro", IF(A2098&gt;F2098,"Programado","Fuera"))))</f>
        <v>Programado</v>
      </c>
      <c r="K2098" s="6" t="str">
        <f t="shared" si="104"/>
        <v>Programados</v>
      </c>
      <c r="L2098" s="8">
        <v>46149</v>
      </c>
      <c r="M2098" s="17">
        <f>MAX(1,NETWORKDAYS(A2098,L2098,Table2[Dias no laborales]))</f>
        <v>1</v>
      </c>
    </row>
    <row r="2099" spans="1:13" hidden="1" x14ac:dyDescent="0.3">
      <c r="A2099" s="8">
        <v>46149</v>
      </c>
      <c r="B2099" s="16" t="s">
        <v>4205</v>
      </c>
      <c r="C2099" s="6" t="s">
        <v>4302</v>
      </c>
      <c r="D2099" s="6" t="s">
        <v>238</v>
      </c>
      <c r="E2099" s="14">
        <v>46149.361111111109</v>
      </c>
      <c r="F2099" s="8">
        <f>IF(HOUR(Table1[[#This Row],[CORREO]])&gt;=11,WORKDAY(Table1[[#This Row],[CORREO]],1,Table2[Dias no laborales]),E2099)</f>
        <v>46149.361111111109</v>
      </c>
      <c r="G2099" s="8">
        <v>46149</v>
      </c>
      <c r="H2099" s="6">
        <f t="shared" si="103"/>
        <v>19</v>
      </c>
      <c r="I2099" s="6">
        <f>MAX(1, NETWORKDAYS(A2099, G2099,Table2[Dias no laborales]))</f>
        <v>1</v>
      </c>
      <c r="J2099" s="6" t="str">
        <f>IF(Table1[[#This Row],[FIN]]="","Acumulado",IF(ISNUMBER(SEARCH("ASAP",C2099)),"ASAP",IF(NETWORKDAYS.INTL(F2099,G2099,1,Table2[Dias no laborales]) &lt;= 7, "Dentro", IF(A2099&gt;F2099,"Programado","Fuera"))))</f>
        <v>Dentro</v>
      </c>
      <c r="K2099" s="6" t="str">
        <f t="shared" si="104"/>
        <v>A tiempo</v>
      </c>
      <c r="L2099" s="8">
        <v>46149</v>
      </c>
      <c r="M2099" s="17">
        <f>MAX(1,NETWORKDAYS(A2099,L2099,Table2[Dias no laborales]))</f>
        <v>1</v>
      </c>
    </row>
    <row r="2100" spans="1:13" hidden="1" x14ac:dyDescent="0.3">
      <c r="A2100" s="8">
        <v>46149</v>
      </c>
      <c r="B2100" s="16" t="s">
        <v>4206</v>
      </c>
      <c r="C2100" s="6" t="s">
        <v>4303</v>
      </c>
      <c r="D2100" s="6" t="s">
        <v>24</v>
      </c>
      <c r="E2100" s="14">
        <v>46148.581944444442</v>
      </c>
      <c r="F2100" s="8">
        <f>IF(HOUR(Table1[[#This Row],[CORREO]])&gt;=11,WORKDAY(Table1[[#This Row],[CORREO]],1,Table2[Dias no laborales]),E2100)</f>
        <v>46149</v>
      </c>
      <c r="G2100" s="8">
        <v>46153</v>
      </c>
      <c r="H2100" s="6">
        <f t="shared" si="103"/>
        <v>19</v>
      </c>
      <c r="I2100" s="6">
        <f>MAX(1, NETWORKDAYS(A2100, G2100,Table2[Dias no laborales]))</f>
        <v>3</v>
      </c>
      <c r="J2100" s="6" t="str">
        <f>IF(Table1[[#This Row],[FIN]]="","Acumulado",IF(ISNUMBER(SEARCH("ASAP",C2100)),"ASAP",IF(NETWORKDAYS.INTL(F2100,G2100,1,Table2[Dias no laborales]) &lt;= 7, "Dentro", IF(A2100&gt;F2100,"Programado","Fuera"))))</f>
        <v>Dentro</v>
      </c>
      <c r="K2100" s="6" t="str">
        <f t="shared" si="104"/>
        <v>A tiempo</v>
      </c>
      <c r="L2100" s="8">
        <v>46149</v>
      </c>
      <c r="M2100" s="17">
        <f>MAX(1,NETWORKDAYS(A2100,L2100,Table2[Dias no laborales]))</f>
        <v>1</v>
      </c>
    </row>
    <row r="2101" spans="1:13" hidden="1" x14ac:dyDescent="0.3">
      <c r="A2101" s="8">
        <v>46149</v>
      </c>
      <c r="B2101" s="16" t="s">
        <v>4207</v>
      </c>
      <c r="C2101" s="6" t="s">
        <v>4304</v>
      </c>
      <c r="D2101" s="6" t="s">
        <v>504</v>
      </c>
      <c r="E2101" s="14"/>
      <c r="F2101" s="8">
        <f>IF(HOUR(Table1[[#This Row],[CORREO]])&gt;=11,WORKDAY(Table1[[#This Row],[CORREO]],1,Table2[Dias no laborales]),E2101)</f>
        <v>0</v>
      </c>
      <c r="G2101" s="8">
        <v>46149</v>
      </c>
      <c r="H2101" s="6">
        <f t="shared" si="103"/>
        <v>19</v>
      </c>
      <c r="I2101" s="6">
        <f>MAX(1, NETWORKDAYS(A2101, G2101,Table2[Dias no laborales]))</f>
        <v>1</v>
      </c>
      <c r="J2101" s="6" t="str">
        <f>IF(Table1[[#This Row],[FIN]]="","Acumulado",IF(ISNUMBER(SEARCH("ASAP",C2101)),"ASAP",IF(NETWORKDAYS.INTL(F2101,G2101,1,Table2[Dias no laborales]) &lt;= 7, "Dentro", IF(A2101&gt;F2101,"Programado","Fuera"))))</f>
        <v>Programado</v>
      </c>
      <c r="K2101" s="6" t="str">
        <f t="shared" si="104"/>
        <v>Programados</v>
      </c>
      <c r="L2101" s="8">
        <v>46149</v>
      </c>
      <c r="M2101" s="17">
        <f>MAX(1,NETWORKDAYS(A2101,L2101,Table2[Dias no laborales]))</f>
        <v>1</v>
      </c>
    </row>
    <row r="2102" spans="1:13" hidden="1" x14ac:dyDescent="0.3">
      <c r="A2102" s="8">
        <v>46149</v>
      </c>
      <c r="B2102" s="16" t="s">
        <v>4208</v>
      </c>
      <c r="C2102" s="6" t="s">
        <v>4305</v>
      </c>
      <c r="D2102" s="6" t="s">
        <v>24</v>
      </c>
      <c r="E2102" s="14">
        <v>46148.708333333336</v>
      </c>
      <c r="F2102" s="8">
        <f>IF(HOUR(Table1[[#This Row],[CORREO]])&gt;=11,WORKDAY(Table1[[#This Row],[CORREO]],1,Table2[Dias no laborales]),E2102)</f>
        <v>46149</v>
      </c>
      <c r="G2102" s="8">
        <v>46157</v>
      </c>
      <c r="H2102" s="6">
        <f t="shared" si="103"/>
        <v>19</v>
      </c>
      <c r="I2102" s="6">
        <f>MAX(1, NETWORKDAYS(A2102, G2102,Table2[Dias no laborales]))</f>
        <v>7</v>
      </c>
      <c r="J2102" s="6" t="str">
        <f>IF(Table1[[#This Row],[FIN]]="","Acumulado",IF(ISNUMBER(SEARCH("ASAP",C2102)),"ASAP",IF(NETWORKDAYS.INTL(F2102,G2102,1,Table2[Dias no laborales]) &lt;= 7, "Dentro", IF(A2102&gt;F2102,"Programado","Fuera"))))</f>
        <v>Dentro</v>
      </c>
      <c r="K2102" s="6" t="str">
        <f t="shared" si="104"/>
        <v>A tiempo</v>
      </c>
      <c r="L2102" s="8">
        <v>46149</v>
      </c>
      <c r="M2102" s="17">
        <f>MAX(1,NETWORKDAYS(A2102,L2102,Table2[Dias no laborales]))</f>
        <v>1</v>
      </c>
    </row>
    <row r="2103" spans="1:13" hidden="1" x14ac:dyDescent="0.3">
      <c r="A2103" s="8">
        <v>46149</v>
      </c>
      <c r="B2103" s="16" t="s">
        <v>4209</v>
      </c>
      <c r="C2103" s="6" t="s">
        <v>4306</v>
      </c>
      <c r="D2103" s="6" t="s">
        <v>139</v>
      </c>
      <c r="E2103" s="14">
        <v>46149.322222222225</v>
      </c>
      <c r="F2103" s="8">
        <f>IF(HOUR(Table1[[#This Row],[CORREO]])&gt;=11,WORKDAY(Table1[[#This Row],[CORREO]],1,Table2[Dias no laborales]),E2103)</f>
        <v>46149.322222222225</v>
      </c>
      <c r="G2103" s="8">
        <v>46154</v>
      </c>
      <c r="H2103" s="6">
        <f t="shared" si="103"/>
        <v>19</v>
      </c>
      <c r="I2103" s="6">
        <f>MAX(1, NETWORKDAYS(A2103, G2103,Table2[Dias no laborales]))</f>
        <v>4</v>
      </c>
      <c r="J2103" s="6" t="str">
        <f>IF(Table1[[#This Row],[FIN]]="","Acumulado",IF(ISNUMBER(SEARCH("ASAP",C2103)),"ASAP",IF(NETWORKDAYS.INTL(F2103,G2103,1,Table2[Dias no laborales]) &lt;= 7, "Dentro", IF(A2103&gt;F2103,"Programado","Fuera"))))</f>
        <v>Dentro</v>
      </c>
      <c r="K2103" s="6" t="str">
        <f t="shared" si="104"/>
        <v>A tiempo</v>
      </c>
      <c r="L2103" s="8">
        <v>46149</v>
      </c>
      <c r="M2103" s="17">
        <f>MAX(1,NETWORKDAYS(A2103,L2103,Table2[Dias no laborales]))</f>
        <v>1</v>
      </c>
    </row>
    <row r="2104" spans="1:13" hidden="1" x14ac:dyDescent="0.3">
      <c r="A2104" s="8">
        <v>46149</v>
      </c>
      <c r="B2104" s="16" t="s">
        <v>4210</v>
      </c>
      <c r="C2104" s="6" t="s">
        <v>4307</v>
      </c>
      <c r="D2104" s="6" t="s">
        <v>571</v>
      </c>
      <c r="E2104" s="14">
        <v>46149.345833333333</v>
      </c>
      <c r="F2104" s="8">
        <f>IF(HOUR(Table1[[#This Row],[CORREO]])&gt;=11,WORKDAY(Table1[[#This Row],[CORREO]],1,Table2[Dias no laborales]),E2104)</f>
        <v>46149.345833333333</v>
      </c>
      <c r="G2104" s="8">
        <v>46150</v>
      </c>
      <c r="H2104" s="6">
        <f t="shared" si="103"/>
        <v>19</v>
      </c>
      <c r="I2104" s="6">
        <f>MAX(1, NETWORKDAYS(A2104, G2104,Table2[Dias no laborales]))</f>
        <v>2</v>
      </c>
      <c r="J2104" s="6" t="str">
        <f>IF(Table1[[#This Row],[FIN]]="","Acumulado",IF(ISNUMBER(SEARCH("ASAP",C2104)),"ASAP",IF(NETWORKDAYS.INTL(F2104,G2104,1,Table2[Dias no laborales]) &lt;= 7, "Dentro", IF(A2104&gt;F2104,"Programado","Fuera"))))</f>
        <v>Dentro</v>
      </c>
      <c r="K2104" s="6" t="str">
        <f t="shared" si="104"/>
        <v>A tiempo</v>
      </c>
      <c r="L2104" s="8">
        <v>46149</v>
      </c>
      <c r="M2104" s="17">
        <f>MAX(1,NETWORKDAYS(A2104,L2104,Table2[Dias no laborales]))</f>
        <v>1</v>
      </c>
    </row>
    <row r="2105" spans="1:13" hidden="1" x14ac:dyDescent="0.3">
      <c r="A2105" s="8">
        <v>46149</v>
      </c>
      <c r="B2105" s="16" t="s">
        <v>4211</v>
      </c>
      <c r="C2105" s="6" t="s">
        <v>4308</v>
      </c>
      <c r="D2105" s="6" t="s">
        <v>989</v>
      </c>
      <c r="E2105" s="14">
        <v>46149.35833333333</v>
      </c>
      <c r="F2105" s="8">
        <f>IF(HOUR(Table1[[#This Row],[CORREO]])&gt;=11,WORKDAY(Table1[[#This Row],[CORREO]],1,Table2[Dias no laborales]),E2105)</f>
        <v>46149.35833333333</v>
      </c>
      <c r="G2105" s="8">
        <v>46149</v>
      </c>
      <c r="H2105" s="6">
        <f t="shared" si="103"/>
        <v>19</v>
      </c>
      <c r="I2105" s="6">
        <f>MAX(1, NETWORKDAYS(A2105, G2105,Table2[Dias no laborales]))</f>
        <v>1</v>
      </c>
      <c r="J2105" s="6" t="str">
        <f>IF(Table1[[#This Row],[FIN]]="","Acumulado",IF(ISNUMBER(SEARCH("ASAP",C2105)),"ASAP",IF(NETWORKDAYS.INTL(F2105,G2105,1,Table2[Dias no laborales]) &lt;= 7, "Dentro", IF(A2105&gt;F2105,"Programado","Fuera"))))</f>
        <v>Dentro</v>
      </c>
      <c r="K2105" s="6" t="str">
        <f t="shared" si="104"/>
        <v>A tiempo</v>
      </c>
      <c r="L2105" s="8">
        <v>46149</v>
      </c>
      <c r="M2105" s="17">
        <f>MAX(1,NETWORKDAYS(A2105,L2105,Table2[Dias no laborales]))</f>
        <v>1</v>
      </c>
    </row>
    <row r="2106" spans="1:13" hidden="1" x14ac:dyDescent="0.3">
      <c r="A2106" s="8">
        <v>46149</v>
      </c>
      <c r="B2106" s="16" t="s">
        <v>4212</v>
      </c>
      <c r="C2106" s="6" t="s">
        <v>4309</v>
      </c>
      <c r="D2106" s="6" t="s">
        <v>61</v>
      </c>
      <c r="E2106" s="14">
        <v>46149.362500000003</v>
      </c>
      <c r="F2106" s="8">
        <f>IF(HOUR(Table1[[#This Row],[CORREO]])&gt;=11,WORKDAY(Table1[[#This Row],[CORREO]],1,Table2[Dias no laborales]),E2106)</f>
        <v>46149.362500000003</v>
      </c>
      <c r="G2106" s="8">
        <v>46154</v>
      </c>
      <c r="H2106" s="6">
        <f t="shared" si="103"/>
        <v>19</v>
      </c>
      <c r="I2106" s="6">
        <f>MAX(1, NETWORKDAYS(A2106, G2106,Table2[Dias no laborales]))</f>
        <v>4</v>
      </c>
      <c r="J2106" s="6" t="str">
        <f>IF(Table1[[#This Row],[FIN]]="","Acumulado",IF(ISNUMBER(SEARCH("ASAP",C2106)),"ASAP",IF(NETWORKDAYS.INTL(F2106,G2106,1,Table2[Dias no laborales]) &lt;= 7, "Dentro", IF(A2106&gt;F2106,"Programado","Fuera"))))</f>
        <v>Dentro</v>
      </c>
      <c r="K2106" s="6" t="str">
        <f t="shared" si="104"/>
        <v>A tiempo</v>
      </c>
      <c r="L2106" s="8">
        <v>46149</v>
      </c>
      <c r="M2106" s="17">
        <f>MAX(1,NETWORKDAYS(A2106,L2106,Table2[Dias no laborales]))</f>
        <v>1</v>
      </c>
    </row>
    <row r="2107" spans="1:13" hidden="1" x14ac:dyDescent="0.3">
      <c r="A2107" s="8">
        <v>46149</v>
      </c>
      <c r="B2107" s="16" t="s">
        <v>4213</v>
      </c>
      <c r="C2107" s="6" t="s">
        <v>4310</v>
      </c>
      <c r="D2107" s="6" t="s">
        <v>1360</v>
      </c>
      <c r="E2107" s="14"/>
      <c r="F2107" s="8">
        <f>IF(HOUR(Table1[[#This Row],[CORREO]])&gt;=11,WORKDAY(Table1[[#This Row],[CORREO]],1,Table2[Dias no laborales]),E2107)</f>
        <v>0</v>
      </c>
      <c r="G2107" s="8">
        <v>46149</v>
      </c>
      <c r="H2107" s="6">
        <f t="shared" si="103"/>
        <v>19</v>
      </c>
      <c r="I2107" s="6">
        <f>MAX(1, NETWORKDAYS(A2107, G2107,Table2[Dias no laborales]))</f>
        <v>1</v>
      </c>
      <c r="J2107" s="6" t="str">
        <f>IF(Table1[[#This Row],[FIN]]="","Acumulado",IF(ISNUMBER(SEARCH("ASAP",C2107)),"ASAP",IF(NETWORKDAYS.INTL(F2107,G2107,1,Table2[Dias no laborales]) &lt;= 7, "Dentro", IF(A2107&gt;F2107,"Programado","Fuera"))))</f>
        <v>Programado</v>
      </c>
      <c r="K2107" s="6" t="str">
        <f t="shared" si="104"/>
        <v>Programados</v>
      </c>
      <c r="L2107" s="8">
        <v>46149</v>
      </c>
      <c r="M2107" s="17">
        <f>MAX(1,NETWORKDAYS(A2107,L2107,Table2[Dias no laborales]))</f>
        <v>1</v>
      </c>
    </row>
    <row r="2108" spans="1:13" hidden="1" x14ac:dyDescent="0.3">
      <c r="A2108" s="8">
        <v>46149</v>
      </c>
      <c r="B2108" s="16" t="s">
        <v>4214</v>
      </c>
      <c r="C2108" s="6" t="s">
        <v>4311</v>
      </c>
      <c r="D2108" s="6" t="s">
        <v>2623</v>
      </c>
      <c r="E2108" s="14"/>
      <c r="F2108" s="8">
        <f>IF(HOUR(Table1[[#This Row],[CORREO]])&gt;=11,WORKDAY(Table1[[#This Row],[CORREO]],1,Table2[Dias no laborales]),E2108)</f>
        <v>0</v>
      </c>
      <c r="G2108" s="8">
        <v>46149</v>
      </c>
      <c r="H2108" s="6">
        <f t="shared" si="103"/>
        <v>19</v>
      </c>
      <c r="I2108" s="6">
        <f>MAX(1, NETWORKDAYS(A2108, G2108,Table2[Dias no laborales]))</f>
        <v>1</v>
      </c>
      <c r="J2108" s="6" t="str">
        <f>IF(Table1[[#This Row],[FIN]]="","Acumulado",IF(ISNUMBER(SEARCH("ASAP",C2108)),"ASAP",IF(NETWORKDAYS.INTL(F2108,G2108,1,Table2[Dias no laborales]) &lt;= 7, "Dentro", IF(A2108&gt;F2108,"Programado","Fuera"))))</f>
        <v>Programado</v>
      </c>
      <c r="K2108" s="6" t="str">
        <f t="shared" si="104"/>
        <v>Programados</v>
      </c>
      <c r="L2108" s="8">
        <v>46149</v>
      </c>
      <c r="M2108" s="17">
        <f>MAX(1,NETWORKDAYS(A2108,L2108,Table2[Dias no laborales]))</f>
        <v>1</v>
      </c>
    </row>
    <row r="2109" spans="1:13" hidden="1" x14ac:dyDescent="0.3">
      <c r="A2109" s="8">
        <v>46149</v>
      </c>
      <c r="B2109" s="16" t="s">
        <v>4215</v>
      </c>
      <c r="C2109" s="6" t="s">
        <v>4312</v>
      </c>
      <c r="D2109" s="6" t="s">
        <v>238</v>
      </c>
      <c r="E2109" s="14"/>
      <c r="F2109" s="8">
        <f>IF(HOUR(Table1[[#This Row],[CORREO]])&gt;=11,WORKDAY(Table1[[#This Row],[CORREO]],1,Table2[Dias no laborales]),E2109)</f>
        <v>0</v>
      </c>
      <c r="G2109" s="8">
        <v>46149</v>
      </c>
      <c r="H2109" s="6">
        <f t="shared" si="103"/>
        <v>19</v>
      </c>
      <c r="I2109" s="6">
        <f>MAX(1, NETWORKDAYS(A2109, G2109,Table2[Dias no laborales]))</f>
        <v>1</v>
      </c>
      <c r="J2109" s="6" t="str">
        <f>IF(Table1[[#This Row],[FIN]]="","Acumulado",IF(ISNUMBER(SEARCH("ASAP",C2109)),"ASAP",IF(NETWORKDAYS.INTL(F2109,G2109,1,Table2[Dias no laborales]) &lt;= 7, "Dentro", IF(A2109&gt;F2109,"Programado","Fuera"))))</f>
        <v>Programado</v>
      </c>
      <c r="K2109" s="6" t="str">
        <f t="shared" si="104"/>
        <v>Programados</v>
      </c>
      <c r="L2109" s="8">
        <v>46149</v>
      </c>
      <c r="M2109" s="17">
        <f>MAX(1,NETWORKDAYS(A2109,L2109,Table2[Dias no laborales]))</f>
        <v>1</v>
      </c>
    </row>
    <row r="2110" spans="1:13" hidden="1" x14ac:dyDescent="0.3">
      <c r="A2110" s="8">
        <v>46150</v>
      </c>
      <c r="B2110" s="16" t="s">
        <v>4216</v>
      </c>
      <c r="C2110" s="6" t="s">
        <v>4293</v>
      </c>
      <c r="D2110" s="6" t="s">
        <v>2561</v>
      </c>
      <c r="E2110" s="14">
        <v>46149.5625</v>
      </c>
      <c r="F2110" s="8">
        <f>IF(HOUR(Table1[[#This Row],[CORREO]])&gt;=11,WORKDAY(Table1[[#This Row],[CORREO]],1,Table2[Dias no laborales]),E2110)</f>
        <v>46150</v>
      </c>
      <c r="G2110" s="8">
        <v>46170</v>
      </c>
      <c r="H2110" s="6">
        <f t="shared" si="103"/>
        <v>19</v>
      </c>
      <c r="I2110" s="6">
        <f>MAX(1, NETWORKDAYS(A2110, G2110,Table2[Dias no laborales]))</f>
        <v>15</v>
      </c>
      <c r="J2110" s="6" t="str">
        <f>IF(Table1[[#This Row],[FIN]]="","Acumulado",IF(ISNUMBER(SEARCH("ASAP",C2110)),"ASAP",IF(NETWORKDAYS.INTL(F2110,G2110,1,Table2[Dias no laborales]) &lt;= 7, "Dentro", IF(A2110&gt;F2110,"Programado","Fuera"))))</f>
        <v>Fuera</v>
      </c>
      <c r="K2110" s="6" t="str">
        <f t="shared" si="104"/>
        <v>A tiempo</v>
      </c>
      <c r="L2110" s="8">
        <v>46150</v>
      </c>
      <c r="M2110" s="17">
        <f>MAX(1,NETWORKDAYS(A2110,L2110,Table2[Dias no laborales]))</f>
        <v>1</v>
      </c>
    </row>
    <row r="2111" spans="1:13" hidden="1" x14ac:dyDescent="0.3">
      <c r="A2111" s="8">
        <v>46150</v>
      </c>
      <c r="B2111" s="16" t="s">
        <v>4217</v>
      </c>
      <c r="C2111" s="6" t="s">
        <v>4313</v>
      </c>
      <c r="D2111" s="6" t="s">
        <v>18</v>
      </c>
      <c r="E2111" s="14">
        <v>46149.740972222222</v>
      </c>
      <c r="F2111" s="8">
        <f>IF(HOUR(Table1[[#This Row],[CORREO]])&gt;=11,WORKDAY(Table1[[#This Row],[CORREO]],1,Table2[Dias no laborales]),E2111)</f>
        <v>46150</v>
      </c>
      <c r="G2111" s="8">
        <v>46150</v>
      </c>
      <c r="H2111" s="6">
        <f t="shared" si="103"/>
        <v>19</v>
      </c>
      <c r="I2111" s="6">
        <f>MAX(1, NETWORKDAYS(A2111, G2111,Table2[Dias no laborales]))</f>
        <v>1</v>
      </c>
      <c r="J2111" s="6" t="str">
        <f>IF(Table1[[#This Row],[FIN]]="","Acumulado",IF(ISNUMBER(SEARCH("ASAP",C2111)),"ASAP",IF(NETWORKDAYS.INTL(F2111,G2111,1,Table2[Dias no laborales]) &lt;= 7, "Dentro", IF(A2111&gt;F2111,"Programado","Fuera"))))</f>
        <v>Dentro</v>
      </c>
      <c r="K2111" s="6" t="str">
        <f t="shared" si="104"/>
        <v>A tiempo</v>
      </c>
      <c r="L2111" s="8">
        <v>46150</v>
      </c>
      <c r="M2111" s="17">
        <f>MAX(1,NETWORKDAYS(A2111,L2111,Table2[Dias no laborales]))</f>
        <v>1</v>
      </c>
    </row>
    <row r="2112" spans="1:13" hidden="1" x14ac:dyDescent="0.3">
      <c r="A2112" s="8">
        <v>46150</v>
      </c>
      <c r="B2112" s="16" t="s">
        <v>4218</v>
      </c>
      <c r="C2112" s="6" t="s">
        <v>4314</v>
      </c>
      <c r="D2112" s="6" t="s">
        <v>139</v>
      </c>
      <c r="E2112" s="14">
        <v>46149.67291666667</v>
      </c>
      <c r="F2112" s="8">
        <f>IF(HOUR(Table1[[#This Row],[CORREO]])&gt;=11,WORKDAY(Table1[[#This Row],[CORREO]],1,Table2[Dias no laborales]),E2112)</f>
        <v>46150</v>
      </c>
      <c r="G2112" s="8">
        <v>46155</v>
      </c>
      <c r="H2112" s="6">
        <f t="shared" si="103"/>
        <v>19</v>
      </c>
      <c r="I2112" s="6">
        <f>MAX(1, NETWORKDAYS(A2112, G2112,Table2[Dias no laborales]))</f>
        <v>4</v>
      </c>
      <c r="J2112" s="6" t="str">
        <f>IF(Table1[[#This Row],[FIN]]="","Acumulado",IF(ISNUMBER(SEARCH("ASAP",C2112)),"ASAP",IF(NETWORKDAYS.INTL(F2112,G2112,1,Table2[Dias no laborales]) &lt;= 7, "Dentro", IF(A2112&gt;F2112,"Programado","Fuera"))))</f>
        <v>Dentro</v>
      </c>
      <c r="K2112" s="6" t="str">
        <f t="shared" si="104"/>
        <v>A tiempo</v>
      </c>
      <c r="L2112" s="8">
        <v>46150</v>
      </c>
      <c r="M2112" s="17">
        <f>MAX(1,NETWORKDAYS(A2112,L2112,Table2[Dias no laborales]))</f>
        <v>1</v>
      </c>
    </row>
    <row r="2113" spans="1:13" hidden="1" x14ac:dyDescent="0.3">
      <c r="A2113" s="8">
        <v>46150</v>
      </c>
      <c r="B2113" s="16" t="s">
        <v>4219</v>
      </c>
      <c r="C2113" s="6" t="s">
        <v>4315</v>
      </c>
      <c r="D2113" s="6" t="s">
        <v>3999</v>
      </c>
      <c r="E2113" s="14">
        <v>46149.719444444447</v>
      </c>
      <c r="F2113" s="8">
        <f>IF(HOUR(Table1[[#This Row],[CORREO]])&gt;=11,WORKDAY(Table1[[#This Row],[CORREO]],1,Table2[Dias no laborales]),E2113)</f>
        <v>46150</v>
      </c>
      <c r="G2113" s="8">
        <v>46154</v>
      </c>
      <c r="H2113" s="6">
        <f t="shared" si="103"/>
        <v>19</v>
      </c>
      <c r="I2113" s="6">
        <f>MAX(1, NETWORKDAYS(A2113, G2113,Table2[Dias no laborales]))</f>
        <v>3</v>
      </c>
      <c r="J2113" s="6" t="str">
        <f>IF(Table1[[#This Row],[FIN]]="","Acumulado",IF(ISNUMBER(SEARCH("ASAP",C2113)),"ASAP",IF(NETWORKDAYS.INTL(F2113,G2113,1,Table2[Dias no laborales]) &lt;= 7, "Dentro", IF(A2113&gt;F2113,"Programado","Fuera"))))</f>
        <v>Dentro</v>
      </c>
      <c r="K2113" s="6" t="str">
        <f t="shared" si="104"/>
        <v>A tiempo</v>
      </c>
      <c r="L2113" s="8">
        <v>46150</v>
      </c>
      <c r="M2113" s="17">
        <f>MAX(1,NETWORKDAYS(A2113,L2113,Table2[Dias no laborales]))</f>
        <v>1</v>
      </c>
    </row>
    <row r="2114" spans="1:13" hidden="1" x14ac:dyDescent="0.3">
      <c r="A2114" s="8">
        <v>46150</v>
      </c>
      <c r="B2114" s="16" t="s">
        <v>4220</v>
      </c>
      <c r="C2114" s="6" t="s">
        <v>4316</v>
      </c>
      <c r="D2114" s="6" t="s">
        <v>3999</v>
      </c>
      <c r="E2114" s="14">
        <v>46150.328472222223</v>
      </c>
      <c r="F2114" s="8">
        <f>IF(HOUR(Table1[[#This Row],[CORREO]])&gt;=11,WORKDAY(Table1[[#This Row],[CORREO]],1,Table2[Dias no laborales]),E2114)</f>
        <v>46150.328472222223</v>
      </c>
      <c r="G2114" s="8">
        <v>46150</v>
      </c>
      <c r="H2114" s="6">
        <f t="shared" si="103"/>
        <v>19</v>
      </c>
      <c r="I2114" s="6">
        <f>MAX(1, NETWORKDAYS(A2114, G2114,Table2[Dias no laborales]))</f>
        <v>1</v>
      </c>
      <c r="J2114" s="6" t="str">
        <f>IF(Table1[[#This Row],[FIN]]="","Acumulado",IF(ISNUMBER(SEARCH("ASAP",C2114)),"ASAP",IF(NETWORKDAYS.INTL(F2114,G2114,1,Table2[Dias no laborales]) &lt;= 7, "Dentro", IF(A2114&gt;F2114,"Programado","Fuera"))))</f>
        <v>Dentro</v>
      </c>
      <c r="K2114" s="6" t="str">
        <f t="shared" si="104"/>
        <v>A tiempo</v>
      </c>
      <c r="L2114" s="8">
        <v>46150</v>
      </c>
      <c r="M2114" s="17">
        <f>MAX(1,NETWORKDAYS(A2114,L2114,Table2[Dias no laborales]))</f>
        <v>1</v>
      </c>
    </row>
    <row r="2115" spans="1:13" hidden="1" x14ac:dyDescent="0.3">
      <c r="A2115" s="8">
        <v>46150</v>
      </c>
      <c r="B2115" s="16" t="s">
        <v>4221</v>
      </c>
      <c r="C2115" s="6" t="s">
        <v>4317</v>
      </c>
      <c r="D2115" s="6" t="s">
        <v>2520</v>
      </c>
      <c r="E2115" s="14">
        <v>46150.381249999999</v>
      </c>
      <c r="F2115" s="8">
        <f>IF(HOUR(Table1[[#This Row],[CORREO]])&gt;=11,WORKDAY(Table1[[#This Row],[CORREO]],1,Table2[Dias no laborales]),E2115)</f>
        <v>46150.381249999999</v>
      </c>
      <c r="G2115" s="8">
        <v>46153</v>
      </c>
      <c r="H2115" s="6">
        <f t="shared" si="103"/>
        <v>19</v>
      </c>
      <c r="I2115" s="6">
        <f>MAX(1, NETWORKDAYS(A2115, G2115,Table2[Dias no laborales]))</f>
        <v>2</v>
      </c>
      <c r="J2115" s="6" t="str">
        <f>IF(Table1[[#This Row],[FIN]]="","Acumulado",IF(ISNUMBER(SEARCH("ASAP",C2115)),"ASAP",IF(NETWORKDAYS.INTL(F2115,G2115,1,Table2[Dias no laborales]) &lt;= 7, "Dentro", IF(A2115&gt;F2115,"Programado","Fuera"))))</f>
        <v>Dentro</v>
      </c>
      <c r="K2115" s="6" t="str">
        <f t="shared" si="104"/>
        <v>A tiempo</v>
      </c>
      <c r="L2115" s="8">
        <v>46150</v>
      </c>
      <c r="M2115" s="17">
        <f>MAX(1,NETWORKDAYS(A2115,L2115,Table2[Dias no laborales]))</f>
        <v>1</v>
      </c>
    </row>
    <row r="2116" spans="1:13" hidden="1" x14ac:dyDescent="0.3">
      <c r="A2116" s="8">
        <v>46150</v>
      </c>
      <c r="B2116" s="16" t="s">
        <v>4222</v>
      </c>
      <c r="C2116" s="6" t="s">
        <v>4318</v>
      </c>
      <c r="D2116" s="6" t="s">
        <v>1333</v>
      </c>
      <c r="E2116" s="14"/>
      <c r="F2116" s="8">
        <f>IF(HOUR(Table1[[#This Row],[CORREO]])&gt;=11,WORKDAY(Table1[[#This Row],[CORREO]],1,Table2[Dias no laborales]),E2116)</f>
        <v>0</v>
      </c>
      <c r="G2116" s="8">
        <v>46156</v>
      </c>
      <c r="H2116" s="6">
        <f t="shared" si="103"/>
        <v>19</v>
      </c>
      <c r="I2116" s="6">
        <f>MAX(1, NETWORKDAYS(A2116, G2116,Table2[Dias no laborales]))</f>
        <v>5</v>
      </c>
      <c r="J2116" s="6" t="str">
        <f>IF(Table1[[#This Row],[FIN]]="","Acumulado",IF(ISNUMBER(SEARCH("ASAP",C2116)),"ASAP",IF(NETWORKDAYS.INTL(F2116,G2116,1,Table2[Dias no laborales]) &lt;= 7, "Dentro", IF(A2116&gt;F2116,"Programado","Fuera"))))</f>
        <v>Programado</v>
      </c>
      <c r="K2116" s="6" t="str">
        <f t="shared" si="104"/>
        <v>Programados</v>
      </c>
      <c r="L2116" s="8">
        <v>46150</v>
      </c>
      <c r="M2116" s="17">
        <f>MAX(1,NETWORKDAYS(A2116,L2116,Table2[Dias no laborales]))</f>
        <v>1</v>
      </c>
    </row>
    <row r="2117" spans="1:13" hidden="1" x14ac:dyDescent="0.3">
      <c r="A2117" s="8">
        <v>46150</v>
      </c>
      <c r="B2117" s="16" t="s">
        <v>4223</v>
      </c>
      <c r="C2117" s="6" t="s">
        <v>4319</v>
      </c>
      <c r="D2117" s="6" t="s">
        <v>2537</v>
      </c>
      <c r="E2117" s="14">
        <v>46150.396527777775</v>
      </c>
      <c r="F2117" s="8">
        <f>IF(HOUR(Table1[[#This Row],[CORREO]])&gt;=11,WORKDAY(Table1[[#This Row],[CORREO]],1,Table2[Dias no laborales]),E2117)</f>
        <v>46150.396527777775</v>
      </c>
      <c r="G2117" s="8">
        <v>46153</v>
      </c>
      <c r="H2117" s="6">
        <f t="shared" si="103"/>
        <v>19</v>
      </c>
      <c r="I2117" s="6">
        <f>MAX(1, NETWORKDAYS(A2117, G2117,Table2[Dias no laborales]))</f>
        <v>2</v>
      </c>
      <c r="J2117" s="6" t="str">
        <f>IF(Table1[[#This Row],[FIN]]="","Acumulado",IF(ISNUMBER(SEARCH("ASAP",C2117)),"ASAP",IF(NETWORKDAYS.INTL(F2117,G2117,1,Table2[Dias no laborales]) &lt;= 7, "Dentro", IF(A2117&gt;F2117,"Programado","Fuera"))))</f>
        <v>Dentro</v>
      </c>
      <c r="K2117" s="6" t="str">
        <f t="shared" si="104"/>
        <v>A tiempo</v>
      </c>
      <c r="L2117" s="8">
        <v>46150</v>
      </c>
      <c r="M2117" s="17">
        <f>MAX(1,NETWORKDAYS(A2117,L2117,Table2[Dias no laborales]))</f>
        <v>1</v>
      </c>
    </row>
    <row r="2118" spans="1:13" hidden="1" x14ac:dyDescent="0.3">
      <c r="A2118" s="8">
        <v>46150</v>
      </c>
      <c r="B2118" s="16" t="s">
        <v>4224</v>
      </c>
      <c r="C2118" s="6" t="s">
        <v>4320</v>
      </c>
      <c r="D2118" s="6" t="s">
        <v>538</v>
      </c>
      <c r="E2118" s="14"/>
      <c r="F2118" s="8">
        <f>IF(HOUR(Table1[[#This Row],[CORREO]])&gt;=11,WORKDAY(Table1[[#This Row],[CORREO]],1,Table2[Dias no laborales]),E2118)</f>
        <v>0</v>
      </c>
      <c r="G2118" s="8">
        <v>46156</v>
      </c>
      <c r="H2118" s="6">
        <f t="shared" si="103"/>
        <v>19</v>
      </c>
      <c r="I2118" s="6">
        <f>MAX(1, NETWORKDAYS(A2118, G2118,Table2[Dias no laborales]))</f>
        <v>5</v>
      </c>
      <c r="J2118" s="6" t="str">
        <f>IF(Table1[[#This Row],[FIN]]="","Acumulado",IF(ISNUMBER(SEARCH("ASAP",C2118)),"ASAP",IF(NETWORKDAYS.INTL(F2118,G2118,1,Table2[Dias no laborales]) &lt;= 7, "Dentro", IF(A2118&gt;F2118,"Programado","Fuera"))))</f>
        <v>Programado</v>
      </c>
      <c r="K2118" s="6" t="str">
        <f t="shared" si="104"/>
        <v>Programados</v>
      </c>
      <c r="L2118" s="8">
        <v>46150</v>
      </c>
      <c r="M2118" s="17">
        <f>MAX(1,NETWORKDAYS(A2118,L2118,Table2[Dias no laborales]))</f>
        <v>1</v>
      </c>
    </row>
    <row r="2119" spans="1:13" hidden="1" x14ac:dyDescent="0.3">
      <c r="A2119" s="8">
        <v>46150</v>
      </c>
      <c r="B2119" s="16" t="s">
        <v>4225</v>
      </c>
      <c r="C2119" s="6" t="s">
        <v>4321</v>
      </c>
      <c r="D2119" s="6" t="s">
        <v>27</v>
      </c>
      <c r="E2119" s="14">
        <v>46150.51458333333</v>
      </c>
      <c r="F2119" s="8">
        <f>IF(HOUR(Table1[[#This Row],[CORREO]])&gt;=11,WORKDAY(Table1[[#This Row],[CORREO]],1,Table2[Dias no laborales]),E2119)</f>
        <v>46153</v>
      </c>
      <c r="G2119" s="8">
        <v>46150</v>
      </c>
      <c r="H2119" s="6">
        <f t="shared" si="103"/>
        <v>19</v>
      </c>
      <c r="I2119" s="6">
        <f>MAX(1, NETWORKDAYS(A2119, G2119,Table2[Dias no laborales]))</f>
        <v>1</v>
      </c>
      <c r="J2119" s="6" t="str">
        <f>IF(Table1[[#This Row],[FIN]]="","Acumulado",IF(ISNUMBER(SEARCH("ASAP",C2119)),"ASAP",IF(NETWORKDAYS.INTL(F2119,G2119,1,Table2[Dias no laborales]) &lt;= 7, "Dentro", IF(A2119&gt;F2119,"Programado","Fuera"))))</f>
        <v>Dentro</v>
      </c>
      <c r="K2119" s="6" t="str">
        <f t="shared" si="104"/>
        <v>Mismo día</v>
      </c>
      <c r="L2119" s="8">
        <v>46150</v>
      </c>
      <c r="M2119" s="17">
        <f>MAX(1,NETWORKDAYS(A2119,L2119,Table2[Dias no laborales]))</f>
        <v>1</v>
      </c>
    </row>
    <row r="2120" spans="1:13" hidden="1" x14ac:dyDescent="0.3">
      <c r="A2120" s="8">
        <v>46150</v>
      </c>
      <c r="B2120" s="16" t="s">
        <v>4226</v>
      </c>
      <c r="C2120" s="6" t="s">
        <v>4322</v>
      </c>
      <c r="D2120" s="6" t="s">
        <v>24</v>
      </c>
      <c r="E2120" s="14">
        <v>46150.336805555555</v>
      </c>
      <c r="F2120" s="8">
        <f>IF(HOUR(Table1[[#This Row],[CORREO]])&gt;=11,WORKDAY(Table1[[#This Row],[CORREO]],1,Table2[Dias no laborales]),E2120)</f>
        <v>46150.336805555555</v>
      </c>
      <c r="G2120" s="8">
        <v>46157</v>
      </c>
      <c r="H2120" s="6">
        <f t="shared" si="103"/>
        <v>19</v>
      </c>
      <c r="I2120" s="6">
        <f>MAX(1, NETWORKDAYS(A2120, G2120,Table2[Dias no laborales]))</f>
        <v>6</v>
      </c>
      <c r="J2120" s="6" t="str">
        <f>IF(Table1[[#This Row],[FIN]]="","Acumulado",IF(ISNUMBER(SEARCH("ASAP",C2120)),"ASAP",IF(NETWORKDAYS.INTL(F2120,G2120,1,Table2[Dias no laborales]) &lt;= 7, "Dentro", IF(A2120&gt;F2120,"Programado","Fuera"))))</f>
        <v>Dentro</v>
      </c>
      <c r="K2120" s="6" t="str">
        <f t="shared" si="104"/>
        <v>A tiempo</v>
      </c>
      <c r="L2120" s="8">
        <v>46150</v>
      </c>
      <c r="M2120" s="17">
        <f>MAX(1,NETWORKDAYS(A2120,L2120,Table2[Dias no laborales]))</f>
        <v>1</v>
      </c>
    </row>
    <row r="2121" spans="1:13" hidden="1" x14ac:dyDescent="0.3">
      <c r="A2121" s="8">
        <v>46153</v>
      </c>
      <c r="B2121" s="16" t="s">
        <v>4227</v>
      </c>
      <c r="C2121" s="6" t="s">
        <v>4323</v>
      </c>
      <c r="D2121" s="6" t="s">
        <v>18</v>
      </c>
      <c r="E2121" s="14"/>
      <c r="F2121" s="8">
        <f>IF(HOUR(Table1[[#This Row],[CORREO]])&gt;=11,WORKDAY(Table1[[#This Row],[CORREO]],1,Table2[Dias no laborales]),E2121)</f>
        <v>0</v>
      </c>
      <c r="G2121" s="8">
        <v>46153</v>
      </c>
      <c r="H2121" s="6">
        <f t="shared" si="103"/>
        <v>19</v>
      </c>
      <c r="I2121" s="6">
        <f>MAX(1, NETWORKDAYS(A2121, G2121,Table2[Dias no laborales]))</f>
        <v>1</v>
      </c>
      <c r="J2121" s="6" t="str">
        <f>IF(Table1[[#This Row],[FIN]]="","Acumulado",IF(ISNUMBER(SEARCH("ASAP",C2121)),"ASAP",IF(NETWORKDAYS.INTL(F2121,G2121,1,Table2[Dias no laborales]) &lt;= 7, "Dentro", IF(A2121&gt;F2121,"Programado","Fuera"))))</f>
        <v>Programado</v>
      </c>
      <c r="K2121" s="6" t="str">
        <f t="shared" si="104"/>
        <v>Programados</v>
      </c>
      <c r="L2121" s="8">
        <v>46153</v>
      </c>
      <c r="M2121" s="17">
        <f>MAX(1,NETWORKDAYS(A2121,L2121,Table2[Dias no laborales]))</f>
        <v>1</v>
      </c>
    </row>
    <row r="2122" spans="1:13" hidden="1" x14ac:dyDescent="0.3">
      <c r="A2122" s="8">
        <v>46153</v>
      </c>
      <c r="B2122" s="16" t="s">
        <v>4228</v>
      </c>
      <c r="C2122" s="6" t="s">
        <v>4311</v>
      </c>
      <c r="D2122" s="6" t="s">
        <v>2623</v>
      </c>
      <c r="E2122" s="14"/>
      <c r="F2122" s="8">
        <f>IF(HOUR(Table1[[#This Row],[CORREO]])&gt;=11,WORKDAY(Table1[[#This Row],[CORREO]],1,Table2[Dias no laborales]),E2122)</f>
        <v>0</v>
      </c>
      <c r="G2122" s="8">
        <v>46153</v>
      </c>
      <c r="H2122" s="6">
        <f t="shared" ref="H2122:H2151" si="105">INT((A2122-DATE(YEAR(A2122),1,1))/7) + 1</f>
        <v>19</v>
      </c>
      <c r="I2122" s="6">
        <f>MAX(1, NETWORKDAYS(A2122, G2122,Table2[Dias no laborales]))</f>
        <v>1</v>
      </c>
      <c r="J2122" s="6" t="str">
        <f>IF(Table1[[#This Row],[FIN]]="","Acumulado",IF(ISNUMBER(SEARCH("ASAP",C2122)),"ASAP",IF(NETWORKDAYS.INTL(F2122,G2122,1,Table2[Dias no laborales]) &lt;= 7, "Dentro", IF(A2122&gt;F2122,"Programado","Fuera"))))</f>
        <v>Programado</v>
      </c>
      <c r="K2122" s="6" t="str">
        <f t="shared" ref="K2122:K2151" si="106">IF(INT(A2122)=INT(F2122),"A tiempo", IF(A2122&lt;F2122,"Mismo día","Programados"))</f>
        <v>Programados</v>
      </c>
      <c r="L2122" s="8">
        <v>46153</v>
      </c>
      <c r="M2122" s="17">
        <f>MAX(1,NETWORKDAYS(A2122,L2122,Table2[Dias no laborales]))</f>
        <v>1</v>
      </c>
    </row>
    <row r="2123" spans="1:13" hidden="1" x14ac:dyDescent="0.3">
      <c r="A2123" s="8">
        <v>46153</v>
      </c>
      <c r="B2123" s="16" t="s">
        <v>4229</v>
      </c>
      <c r="C2123" s="6" t="s">
        <v>4324</v>
      </c>
      <c r="D2123" s="6" t="s">
        <v>482</v>
      </c>
      <c r="E2123" s="14"/>
      <c r="F2123" s="8">
        <f>IF(HOUR(Table1[[#This Row],[CORREO]])&gt;=11,WORKDAY(Table1[[#This Row],[CORREO]],1,Table2[Dias no laborales]),E2123)</f>
        <v>0</v>
      </c>
      <c r="G2123" s="8">
        <v>46156</v>
      </c>
      <c r="H2123" s="6">
        <f t="shared" si="105"/>
        <v>19</v>
      </c>
      <c r="I2123" s="6">
        <f>MAX(1, NETWORKDAYS(A2123, G2123,Table2[Dias no laborales]))</f>
        <v>4</v>
      </c>
      <c r="J2123" s="6" t="str">
        <f>IF(Table1[[#This Row],[FIN]]="","Acumulado",IF(ISNUMBER(SEARCH("ASAP",C2123)),"ASAP",IF(NETWORKDAYS.INTL(F2123,G2123,1,Table2[Dias no laborales]) &lt;= 7, "Dentro", IF(A2123&gt;F2123,"Programado","Fuera"))))</f>
        <v>Programado</v>
      </c>
      <c r="K2123" s="6" t="str">
        <f t="shared" si="106"/>
        <v>Programados</v>
      </c>
      <c r="L2123" s="8">
        <v>46153</v>
      </c>
      <c r="M2123" s="17">
        <f>MAX(1,NETWORKDAYS(A2123,L2123,Table2[Dias no laborales]))</f>
        <v>1</v>
      </c>
    </row>
    <row r="2124" spans="1:13" hidden="1" x14ac:dyDescent="0.3">
      <c r="A2124" s="8">
        <v>46153</v>
      </c>
      <c r="B2124" s="16" t="s">
        <v>4230</v>
      </c>
      <c r="C2124" s="6" t="s">
        <v>4325</v>
      </c>
      <c r="D2124" s="6" t="s">
        <v>89</v>
      </c>
      <c r="E2124" s="14"/>
      <c r="F2124" s="8">
        <f>IF(HOUR(Table1[[#This Row],[CORREO]])&gt;=11,WORKDAY(Table1[[#This Row],[CORREO]],1,Table2[Dias no laborales]),E2124)</f>
        <v>0</v>
      </c>
      <c r="G2124" s="8">
        <v>46153</v>
      </c>
      <c r="H2124" s="6">
        <f t="shared" si="105"/>
        <v>19</v>
      </c>
      <c r="I2124" s="6">
        <f>MAX(1, NETWORKDAYS(A2124, G2124,Table2[Dias no laborales]))</f>
        <v>1</v>
      </c>
      <c r="J2124" s="6" t="str">
        <f>IF(Table1[[#This Row],[FIN]]="","Acumulado",IF(ISNUMBER(SEARCH("ASAP",C2124)),"ASAP",IF(NETWORKDAYS.INTL(F2124,G2124,1,Table2[Dias no laborales]) &lt;= 7, "Dentro", IF(A2124&gt;F2124,"Programado","Fuera"))))</f>
        <v>Programado</v>
      </c>
      <c r="K2124" s="6" t="str">
        <f t="shared" si="106"/>
        <v>Programados</v>
      </c>
      <c r="L2124" s="8">
        <v>46153</v>
      </c>
      <c r="M2124" s="17">
        <f>MAX(1,NETWORKDAYS(A2124,L2124,Table2[Dias no laborales]))</f>
        <v>1</v>
      </c>
    </row>
    <row r="2125" spans="1:13" hidden="1" x14ac:dyDescent="0.3">
      <c r="A2125" s="8">
        <v>46153</v>
      </c>
      <c r="B2125" s="16" t="s">
        <v>4231</v>
      </c>
      <c r="C2125" s="6" t="s">
        <v>4326</v>
      </c>
      <c r="D2125" s="6" t="s">
        <v>191</v>
      </c>
      <c r="E2125" s="14"/>
      <c r="F2125" s="8">
        <f>IF(HOUR(Table1[[#This Row],[CORREO]])&gt;=11,WORKDAY(Table1[[#This Row],[CORREO]],1,Table2[Dias no laborales]),E2125)</f>
        <v>0</v>
      </c>
      <c r="G2125" s="8">
        <v>46154</v>
      </c>
      <c r="H2125" s="6">
        <f t="shared" si="105"/>
        <v>19</v>
      </c>
      <c r="I2125" s="6">
        <f>MAX(1, NETWORKDAYS(A2125, G2125,Table2[Dias no laborales]))</f>
        <v>2</v>
      </c>
      <c r="J2125" s="6" t="str">
        <f>IF(Table1[[#This Row],[FIN]]="","Acumulado",IF(ISNUMBER(SEARCH("ASAP",C2125)),"ASAP",IF(NETWORKDAYS.INTL(F2125,G2125,1,Table2[Dias no laborales]) &lt;= 7, "Dentro", IF(A2125&gt;F2125,"Programado","Fuera"))))</f>
        <v>Programado</v>
      </c>
      <c r="K2125" s="6" t="str">
        <f t="shared" si="106"/>
        <v>Programados</v>
      </c>
      <c r="L2125" s="8">
        <v>46153</v>
      </c>
      <c r="M2125" s="17">
        <f>MAX(1,NETWORKDAYS(A2125,L2125,Table2[Dias no laborales]))</f>
        <v>1</v>
      </c>
    </row>
    <row r="2126" spans="1:13" hidden="1" x14ac:dyDescent="0.3">
      <c r="A2126" s="8">
        <v>46153</v>
      </c>
      <c r="B2126" s="16" t="s">
        <v>4232</v>
      </c>
      <c r="C2126" s="6" t="s">
        <v>1107</v>
      </c>
      <c r="D2126" s="6" t="s">
        <v>37</v>
      </c>
      <c r="E2126" s="14">
        <v>46150.488194444442</v>
      </c>
      <c r="F2126" s="8">
        <f>IF(HOUR(Table1[[#This Row],[CORREO]])&gt;=11,WORKDAY(Table1[[#This Row],[CORREO]],1,Table2[Dias no laborales]),E2126)</f>
        <v>46153</v>
      </c>
      <c r="G2126" s="8">
        <v>46154</v>
      </c>
      <c r="H2126" s="6">
        <f t="shared" si="105"/>
        <v>19</v>
      </c>
      <c r="I2126" s="6">
        <f>MAX(1, NETWORKDAYS(A2126, G2126,Table2[Dias no laborales]))</f>
        <v>2</v>
      </c>
      <c r="J2126" s="6" t="str">
        <f>IF(Table1[[#This Row],[FIN]]="","Acumulado",IF(ISNUMBER(SEARCH("ASAP",C2126)),"ASAP",IF(NETWORKDAYS.INTL(F2126,G2126,1,Table2[Dias no laborales]) &lt;= 7, "Dentro", IF(A2126&gt;F2126,"Programado","Fuera"))))</f>
        <v>Dentro</v>
      </c>
      <c r="K2126" s="6" t="str">
        <f t="shared" si="106"/>
        <v>A tiempo</v>
      </c>
      <c r="L2126" s="8">
        <v>46153</v>
      </c>
      <c r="M2126" s="17">
        <f>MAX(1,NETWORKDAYS(A2126,L2126,Table2[Dias no laborales]))</f>
        <v>1</v>
      </c>
    </row>
    <row r="2127" spans="1:13" hidden="1" x14ac:dyDescent="0.3">
      <c r="A2127" s="8">
        <v>46153</v>
      </c>
      <c r="B2127" s="16" t="s">
        <v>4233</v>
      </c>
      <c r="C2127" s="6" t="s">
        <v>4327</v>
      </c>
      <c r="D2127" s="6" t="s">
        <v>351</v>
      </c>
      <c r="E2127" s="14">
        <v>46153.384722222225</v>
      </c>
      <c r="F2127" s="8">
        <f>IF(HOUR(Table1[[#This Row],[CORREO]])&gt;=11,WORKDAY(Table1[[#This Row],[CORREO]],1,Table2[Dias no laborales]),E2127)</f>
        <v>46153.384722222225</v>
      </c>
      <c r="G2127" s="8">
        <v>46153</v>
      </c>
      <c r="H2127" s="6">
        <f t="shared" si="105"/>
        <v>19</v>
      </c>
      <c r="I2127" s="6">
        <f>MAX(1, NETWORKDAYS(A2127, G2127,Table2[Dias no laborales]))</f>
        <v>1</v>
      </c>
      <c r="J2127" s="6" t="str">
        <f>IF(Table1[[#This Row],[FIN]]="","Acumulado",IF(ISNUMBER(SEARCH("ASAP",C2127)),"ASAP",IF(NETWORKDAYS.INTL(F2127,G2127,1,Table2[Dias no laborales]) &lt;= 7, "Dentro", IF(A2127&gt;F2127,"Programado","Fuera"))))</f>
        <v>Dentro</v>
      </c>
      <c r="K2127" s="6" t="str">
        <f t="shared" si="106"/>
        <v>A tiempo</v>
      </c>
      <c r="L2127" s="8">
        <v>46153</v>
      </c>
      <c r="M2127" s="17">
        <f>MAX(1,NETWORKDAYS(A2127,L2127,Table2[Dias no laborales]))</f>
        <v>1</v>
      </c>
    </row>
    <row r="2128" spans="1:13" hidden="1" x14ac:dyDescent="0.3">
      <c r="A2128" s="8">
        <v>46153</v>
      </c>
      <c r="B2128" s="16" t="s">
        <v>4234</v>
      </c>
      <c r="C2128" s="6" t="s">
        <v>4328</v>
      </c>
      <c r="D2128" s="6" t="s">
        <v>414</v>
      </c>
      <c r="E2128" s="14">
        <v>46153.388888888891</v>
      </c>
      <c r="F2128" s="8">
        <f>IF(HOUR(Table1[[#This Row],[CORREO]])&gt;=11,WORKDAY(Table1[[#This Row],[CORREO]],1,Table2[Dias no laborales]),E2128)</f>
        <v>46153.388888888891</v>
      </c>
      <c r="G2128" s="8">
        <v>46157</v>
      </c>
      <c r="H2128" s="6">
        <f t="shared" si="105"/>
        <v>19</v>
      </c>
      <c r="I2128" s="6">
        <f>MAX(1, NETWORKDAYS(A2128, G2128,Table2[Dias no laborales]))</f>
        <v>5</v>
      </c>
      <c r="J2128" s="6" t="str">
        <f>IF(Table1[[#This Row],[FIN]]="","Acumulado",IF(ISNUMBER(SEARCH("ASAP",C2128)),"ASAP",IF(NETWORKDAYS.INTL(F2128,G2128,1,Table2[Dias no laborales]) &lt;= 7, "Dentro", IF(A2128&gt;F2128,"Programado","Fuera"))))</f>
        <v>Dentro</v>
      </c>
      <c r="K2128" s="6" t="str">
        <f t="shared" si="106"/>
        <v>A tiempo</v>
      </c>
      <c r="L2128" s="8">
        <v>46153</v>
      </c>
      <c r="M2128" s="17">
        <f>MAX(1,NETWORKDAYS(A2128,L2128,Table2[Dias no laborales]))</f>
        <v>1</v>
      </c>
    </row>
    <row r="2129" spans="1:13" hidden="1" x14ac:dyDescent="0.3">
      <c r="A2129" s="8">
        <v>46153</v>
      </c>
      <c r="B2129" s="16" t="s">
        <v>4235</v>
      </c>
      <c r="C2129" s="6" t="s">
        <v>4329</v>
      </c>
      <c r="D2129" s="6" t="s">
        <v>414</v>
      </c>
      <c r="E2129" s="14">
        <v>46153.412499999999</v>
      </c>
      <c r="F2129" s="8">
        <f>IF(HOUR(Table1[[#This Row],[CORREO]])&gt;=11,WORKDAY(Table1[[#This Row],[CORREO]],1,Table2[Dias no laborales]),E2129)</f>
        <v>46153.412499999999</v>
      </c>
      <c r="G2129" s="8">
        <v>46157</v>
      </c>
      <c r="H2129" s="6">
        <f t="shared" si="105"/>
        <v>19</v>
      </c>
      <c r="I2129" s="6">
        <f>MAX(1, NETWORKDAYS(A2129, G2129,Table2[Dias no laborales]))</f>
        <v>5</v>
      </c>
      <c r="J2129" s="6" t="str">
        <f>IF(Table1[[#This Row],[FIN]]="","Acumulado",IF(ISNUMBER(SEARCH("ASAP",C2129)),"ASAP",IF(NETWORKDAYS.INTL(F2129,G2129,1,Table2[Dias no laborales]) &lt;= 7, "Dentro", IF(A2129&gt;F2129,"Programado","Fuera"))))</f>
        <v>Dentro</v>
      </c>
      <c r="K2129" s="6" t="str">
        <f t="shared" si="106"/>
        <v>A tiempo</v>
      </c>
      <c r="L2129" s="8">
        <v>46153</v>
      </c>
      <c r="M2129" s="17">
        <f>MAX(1,NETWORKDAYS(A2129,L2129,Table2[Dias no laborales]))</f>
        <v>1</v>
      </c>
    </row>
    <row r="2130" spans="1:13" hidden="1" x14ac:dyDescent="0.3">
      <c r="A2130" s="8">
        <v>46153</v>
      </c>
      <c r="B2130" s="16" t="s">
        <v>4236</v>
      </c>
      <c r="C2130" s="6" t="s">
        <v>4330</v>
      </c>
      <c r="D2130" s="6" t="s">
        <v>27</v>
      </c>
      <c r="E2130" s="14"/>
      <c r="F2130" s="8">
        <f>IF(HOUR(Table1[[#This Row],[CORREO]])&gt;=11,WORKDAY(Table1[[#This Row],[CORREO]],1,Table2[Dias no laborales]),E2130)</f>
        <v>0</v>
      </c>
      <c r="G2130" s="8">
        <v>46157</v>
      </c>
      <c r="H2130" s="6">
        <f t="shared" si="105"/>
        <v>19</v>
      </c>
      <c r="I2130" s="6">
        <f>MAX(1, NETWORKDAYS(A2130, G2130,Table2[Dias no laborales]))</f>
        <v>5</v>
      </c>
      <c r="J2130" s="6" t="str">
        <f>IF(Table1[[#This Row],[FIN]]="","Acumulado",IF(ISNUMBER(SEARCH("ASAP",C2130)),"ASAP",IF(NETWORKDAYS.INTL(F2130,G2130,1,Table2[Dias no laborales]) &lt;= 7, "Dentro", IF(A2130&gt;F2130,"Programado","Fuera"))))</f>
        <v>Programado</v>
      </c>
      <c r="K2130" s="6" t="str">
        <f t="shared" si="106"/>
        <v>Programados</v>
      </c>
      <c r="L2130" s="8">
        <v>46153</v>
      </c>
      <c r="M2130" s="17">
        <f>MAX(1,NETWORKDAYS(A2130,L2130,Table2[Dias no laborales]))</f>
        <v>1</v>
      </c>
    </row>
    <row r="2131" spans="1:13" hidden="1" x14ac:dyDescent="0.3">
      <c r="A2131" s="8">
        <v>46153</v>
      </c>
      <c r="B2131" s="16" t="s">
        <v>4237</v>
      </c>
      <c r="C2131" s="6" t="s">
        <v>4331</v>
      </c>
      <c r="D2131" s="6" t="s">
        <v>27</v>
      </c>
      <c r="E2131" s="14"/>
      <c r="F2131" s="8">
        <f>IF(HOUR(Table1[[#This Row],[CORREO]])&gt;=11,WORKDAY(Table1[[#This Row],[CORREO]],1,Table2[Dias no laborales]),E2131)</f>
        <v>0</v>
      </c>
      <c r="G2131" s="8">
        <v>46157</v>
      </c>
      <c r="H2131" s="6">
        <f t="shared" si="105"/>
        <v>19</v>
      </c>
      <c r="I2131" s="6">
        <f>MAX(1, NETWORKDAYS(A2131, G2131,Table2[Dias no laborales]))</f>
        <v>5</v>
      </c>
      <c r="J2131" s="6" t="str">
        <f>IF(Table1[[#This Row],[FIN]]="","Acumulado",IF(ISNUMBER(SEARCH("ASAP",C2131)),"ASAP",IF(NETWORKDAYS.INTL(F2131,G2131,1,Table2[Dias no laborales]) &lt;= 7, "Dentro", IF(A2131&gt;F2131,"Programado","Fuera"))))</f>
        <v>Programado</v>
      </c>
      <c r="K2131" s="6" t="str">
        <f t="shared" si="106"/>
        <v>Programados</v>
      </c>
      <c r="L2131" s="8">
        <v>46153</v>
      </c>
      <c r="M2131" s="17">
        <f>MAX(1,NETWORKDAYS(A2131,L2131,Table2[Dias no laborales]))</f>
        <v>1</v>
      </c>
    </row>
    <row r="2132" spans="1:13" hidden="1" x14ac:dyDescent="0.3">
      <c r="A2132" s="8">
        <v>46153</v>
      </c>
      <c r="B2132" s="16" t="s">
        <v>4238</v>
      </c>
      <c r="C2132" s="6" t="s">
        <v>4332</v>
      </c>
      <c r="D2132" s="6" t="s">
        <v>27</v>
      </c>
      <c r="E2132" s="14"/>
      <c r="F2132" s="8">
        <f>IF(HOUR(Table1[[#This Row],[CORREO]])&gt;=11,WORKDAY(Table1[[#This Row],[CORREO]],1,Table2[Dias no laborales]),E2132)</f>
        <v>0</v>
      </c>
      <c r="G2132" s="8">
        <v>46157</v>
      </c>
      <c r="H2132" s="6">
        <f t="shared" si="105"/>
        <v>19</v>
      </c>
      <c r="I2132" s="6">
        <f>MAX(1, NETWORKDAYS(A2132, G2132,Table2[Dias no laborales]))</f>
        <v>5</v>
      </c>
      <c r="J2132" s="6" t="str">
        <f>IF(Table1[[#This Row],[FIN]]="","Acumulado",IF(ISNUMBER(SEARCH("ASAP",C2132)),"ASAP",IF(NETWORKDAYS.INTL(F2132,G2132,1,Table2[Dias no laborales]) &lt;= 7, "Dentro", IF(A2132&gt;F2132,"Programado","Fuera"))))</f>
        <v>Programado</v>
      </c>
      <c r="K2132" s="6" t="str">
        <f t="shared" si="106"/>
        <v>Programados</v>
      </c>
      <c r="L2132" s="8">
        <v>46153</v>
      </c>
      <c r="M2132" s="17">
        <f>MAX(1,NETWORKDAYS(A2132,L2132,Table2[Dias no laborales]))</f>
        <v>1</v>
      </c>
    </row>
    <row r="2133" spans="1:13" hidden="1" x14ac:dyDescent="0.3">
      <c r="A2133" s="8">
        <v>46153</v>
      </c>
      <c r="B2133" s="16" t="s">
        <v>4239</v>
      </c>
      <c r="C2133" s="6" t="s">
        <v>4333</v>
      </c>
      <c r="D2133" s="6" t="s">
        <v>27</v>
      </c>
      <c r="E2133" s="14"/>
      <c r="F2133" s="8">
        <f>IF(HOUR(Table1[[#This Row],[CORREO]])&gt;=11,WORKDAY(Table1[[#This Row],[CORREO]],1,Table2[Dias no laborales]),E2133)</f>
        <v>0</v>
      </c>
      <c r="G2133" s="8">
        <v>46157</v>
      </c>
      <c r="H2133" s="6">
        <f t="shared" si="105"/>
        <v>19</v>
      </c>
      <c r="I2133" s="6">
        <f>MAX(1, NETWORKDAYS(A2133, G2133,Table2[Dias no laborales]))</f>
        <v>5</v>
      </c>
      <c r="J2133" s="6" t="str">
        <f>IF(Table1[[#This Row],[FIN]]="","Acumulado",IF(ISNUMBER(SEARCH("ASAP",C2133)),"ASAP",IF(NETWORKDAYS.INTL(F2133,G2133,1,Table2[Dias no laborales]) &lt;= 7, "Dentro", IF(A2133&gt;F2133,"Programado","Fuera"))))</f>
        <v>Programado</v>
      </c>
      <c r="K2133" s="6" t="str">
        <f t="shared" si="106"/>
        <v>Programados</v>
      </c>
      <c r="L2133" s="8">
        <v>46153</v>
      </c>
      <c r="M2133" s="17">
        <f>MAX(1,NETWORKDAYS(A2133,L2133,Table2[Dias no laborales]))</f>
        <v>1</v>
      </c>
    </row>
    <row r="2134" spans="1:13" hidden="1" x14ac:dyDescent="0.3">
      <c r="A2134" s="8">
        <v>46153</v>
      </c>
      <c r="B2134" s="16" t="s">
        <v>4240</v>
      </c>
      <c r="C2134" s="6" t="s">
        <v>4334</v>
      </c>
      <c r="D2134" s="6" t="s">
        <v>4335</v>
      </c>
      <c r="E2134" s="14">
        <v>46153.425694444442</v>
      </c>
      <c r="F2134" s="8">
        <f>IF(HOUR(Table1[[#This Row],[CORREO]])&gt;=11,WORKDAY(Table1[[#This Row],[CORREO]],1,Table2[Dias no laborales]),E2134)</f>
        <v>46153.425694444442</v>
      </c>
      <c r="G2134" s="8">
        <v>46155</v>
      </c>
      <c r="H2134" s="6">
        <f t="shared" si="105"/>
        <v>19</v>
      </c>
      <c r="I2134" s="6">
        <f>MAX(1, NETWORKDAYS(A2134, G2134,Table2[Dias no laborales]))</f>
        <v>3</v>
      </c>
      <c r="J2134" s="6" t="str">
        <f>IF(Table1[[#This Row],[FIN]]="","Acumulado",IF(ISNUMBER(SEARCH("ASAP",C2134)),"ASAP",IF(NETWORKDAYS.INTL(F2134,G2134,1,Table2[Dias no laborales]) &lt;= 7, "Dentro", IF(A2134&gt;F2134,"Programado","Fuera"))))</f>
        <v>Dentro</v>
      </c>
      <c r="K2134" s="6" t="str">
        <f t="shared" si="106"/>
        <v>A tiempo</v>
      </c>
      <c r="L2134" s="8">
        <v>46154</v>
      </c>
      <c r="M2134" s="17">
        <f>MAX(1,NETWORKDAYS(A2134,L2134,Table2[Dias no laborales]))</f>
        <v>2</v>
      </c>
    </row>
    <row r="2135" spans="1:13" hidden="1" x14ac:dyDescent="0.3">
      <c r="A2135" s="8">
        <v>46153</v>
      </c>
      <c r="B2135" s="16" t="s">
        <v>4241</v>
      </c>
      <c r="C2135" s="6" t="s">
        <v>4336</v>
      </c>
      <c r="D2135" s="6" t="s">
        <v>24</v>
      </c>
      <c r="E2135" s="14"/>
      <c r="F2135" s="8">
        <f>IF(HOUR(Table1[[#This Row],[CORREO]])&gt;=11,WORKDAY(Table1[[#This Row],[CORREO]],1,Table2[Dias no laborales]),E2135)</f>
        <v>0</v>
      </c>
      <c r="G2135" s="8">
        <v>46157</v>
      </c>
      <c r="H2135" s="6">
        <f t="shared" si="105"/>
        <v>19</v>
      </c>
      <c r="I2135" s="6">
        <f>MAX(1, NETWORKDAYS(A2135, G2135,Table2[Dias no laborales]))</f>
        <v>5</v>
      </c>
      <c r="J2135" s="6" t="str">
        <f>IF(Table1[[#This Row],[FIN]]="","Acumulado",IF(ISNUMBER(SEARCH("ASAP",C2135)),"ASAP",IF(NETWORKDAYS.INTL(F2135,G2135,1,Table2[Dias no laborales]) &lt;= 7, "Dentro", IF(A2135&gt;F2135,"Programado","Fuera"))))</f>
        <v>Programado</v>
      </c>
      <c r="K2135" s="6" t="str">
        <f t="shared" si="106"/>
        <v>Programados</v>
      </c>
      <c r="L2135" s="8">
        <v>46153</v>
      </c>
      <c r="M2135" s="17">
        <f>MAX(1,NETWORKDAYS(A2135,L2135,Table2[Dias no laborales]))</f>
        <v>1</v>
      </c>
    </row>
    <row r="2136" spans="1:13" hidden="1" x14ac:dyDescent="0.3">
      <c r="A2136" s="8">
        <v>46154</v>
      </c>
      <c r="B2136" s="16" t="s">
        <v>4242</v>
      </c>
      <c r="C2136" s="6" t="s">
        <v>4323</v>
      </c>
      <c r="D2136" s="6" t="s">
        <v>18</v>
      </c>
      <c r="E2136" s="14"/>
      <c r="F2136" s="8">
        <f>IF(HOUR(Table1[[#This Row],[CORREO]])&gt;=11,WORKDAY(Table1[[#This Row],[CORREO]],1,Table2[Dias no laborales]),E2136)</f>
        <v>0</v>
      </c>
      <c r="G2136" s="8">
        <v>46154</v>
      </c>
      <c r="H2136" s="6">
        <f t="shared" si="105"/>
        <v>19</v>
      </c>
      <c r="I2136" s="6">
        <f>MAX(1, NETWORKDAYS(A2136, G2136,Table2[Dias no laborales]))</f>
        <v>1</v>
      </c>
      <c r="J2136" s="6" t="str">
        <f>IF(Table1[[#This Row],[FIN]]="","Acumulado",IF(ISNUMBER(SEARCH("ASAP",C2136)),"ASAP",IF(NETWORKDAYS.INTL(F2136,G2136,1,Table2[Dias no laborales]) &lt;= 7, "Dentro", IF(A2136&gt;F2136,"Programado","Fuera"))))</f>
        <v>Programado</v>
      </c>
      <c r="K2136" s="6" t="str">
        <f t="shared" si="106"/>
        <v>Programados</v>
      </c>
      <c r="L2136" s="8">
        <v>46154</v>
      </c>
      <c r="M2136" s="17">
        <f>MAX(1,NETWORKDAYS(A2136,L2136,Table2[Dias no laborales]))</f>
        <v>1</v>
      </c>
    </row>
    <row r="2137" spans="1:13" hidden="1" x14ac:dyDescent="0.3">
      <c r="A2137" s="8">
        <v>46154</v>
      </c>
      <c r="B2137" s="16" t="s">
        <v>4243</v>
      </c>
      <c r="C2137" s="6" t="s">
        <v>4337</v>
      </c>
      <c r="D2137" s="6" t="s">
        <v>269</v>
      </c>
      <c r="E2137" s="14">
        <v>46154.333333333336</v>
      </c>
      <c r="F2137" s="8">
        <f>IF(HOUR(Table1[[#This Row],[CORREO]])&gt;=11,WORKDAY(Table1[[#This Row],[CORREO]],1,Table2[Dias no laborales]),E2137)</f>
        <v>46154.333333333336</v>
      </c>
      <c r="G2137" s="8">
        <v>46154</v>
      </c>
      <c r="H2137" s="6">
        <f t="shared" si="105"/>
        <v>19</v>
      </c>
      <c r="I2137" s="6">
        <f>MAX(1, NETWORKDAYS(A2137, G2137,Table2[Dias no laborales]))</f>
        <v>1</v>
      </c>
      <c r="J2137" s="6" t="str">
        <f>IF(Table1[[#This Row],[FIN]]="","Acumulado",IF(ISNUMBER(SEARCH("ASAP",C2137)),"ASAP",IF(NETWORKDAYS.INTL(F2137,G2137,1,Table2[Dias no laborales]) &lt;= 7, "Dentro", IF(A2137&gt;F2137,"Programado","Fuera"))))</f>
        <v>Dentro</v>
      </c>
      <c r="K2137" s="6" t="str">
        <f t="shared" si="106"/>
        <v>A tiempo</v>
      </c>
      <c r="L2137" s="8">
        <v>46154</v>
      </c>
      <c r="M2137" s="17">
        <f>MAX(1,NETWORKDAYS(A2137,L2137,Table2[Dias no laborales]))</f>
        <v>1</v>
      </c>
    </row>
    <row r="2138" spans="1:13" hidden="1" x14ac:dyDescent="0.3">
      <c r="A2138" s="8">
        <v>46154</v>
      </c>
      <c r="B2138" s="16" t="s">
        <v>4244</v>
      </c>
      <c r="C2138" s="6" t="s">
        <v>4338</v>
      </c>
      <c r="D2138" s="6" t="s">
        <v>1136</v>
      </c>
      <c r="E2138" s="14">
        <v>46154.342361111114</v>
      </c>
      <c r="F2138" s="8">
        <f>IF(HOUR(Table1[[#This Row],[CORREO]])&gt;=11,WORKDAY(Table1[[#This Row],[CORREO]],1,Table2[Dias no laborales]),E2138)</f>
        <v>46154.342361111114</v>
      </c>
      <c r="G2138" s="8">
        <v>46154</v>
      </c>
      <c r="H2138" s="6">
        <f t="shared" si="105"/>
        <v>19</v>
      </c>
      <c r="I2138" s="6">
        <f>MAX(1, NETWORKDAYS(A2138, G2138,Table2[Dias no laborales]))</f>
        <v>1</v>
      </c>
      <c r="J2138" s="6" t="str">
        <f>IF(Table1[[#This Row],[FIN]]="","Acumulado",IF(ISNUMBER(SEARCH("ASAP",C2138)),"ASAP",IF(NETWORKDAYS.INTL(F2138,G2138,1,Table2[Dias no laborales]) &lt;= 7, "Dentro", IF(A2138&gt;F2138,"Programado","Fuera"))))</f>
        <v>Dentro</v>
      </c>
      <c r="K2138" s="6" t="str">
        <f t="shared" si="106"/>
        <v>A tiempo</v>
      </c>
      <c r="L2138" s="8">
        <v>46154</v>
      </c>
      <c r="M2138" s="17">
        <f>MAX(1,NETWORKDAYS(A2138,L2138,Table2[Dias no laborales]))</f>
        <v>1</v>
      </c>
    </row>
    <row r="2139" spans="1:13" hidden="1" x14ac:dyDescent="0.3">
      <c r="A2139" s="8">
        <v>46154</v>
      </c>
      <c r="B2139" s="16" t="s">
        <v>4245</v>
      </c>
      <c r="C2139" s="6" t="s">
        <v>4311</v>
      </c>
      <c r="D2139" s="6" t="s">
        <v>2623</v>
      </c>
      <c r="E2139" s="14">
        <v>46154.352777777778</v>
      </c>
      <c r="F2139" s="8">
        <f>IF(HOUR(Table1[[#This Row],[CORREO]])&gt;=11,WORKDAY(Table1[[#This Row],[CORREO]],1,Table2[Dias no laborales]),E2139)</f>
        <v>46154.352777777778</v>
      </c>
      <c r="G2139" s="8">
        <v>46154</v>
      </c>
      <c r="H2139" s="6">
        <f t="shared" si="105"/>
        <v>19</v>
      </c>
      <c r="I2139" s="6">
        <f>MAX(1, NETWORKDAYS(A2139, G2139,Table2[Dias no laborales]))</f>
        <v>1</v>
      </c>
      <c r="J2139" s="6" t="str">
        <f>IF(Table1[[#This Row],[FIN]]="","Acumulado",IF(ISNUMBER(SEARCH("ASAP",C2139)),"ASAP",IF(NETWORKDAYS.INTL(F2139,G2139,1,Table2[Dias no laborales]) &lt;= 7, "Dentro", IF(A2139&gt;F2139,"Programado","Fuera"))))</f>
        <v>Dentro</v>
      </c>
      <c r="K2139" s="6" t="str">
        <f t="shared" si="106"/>
        <v>A tiempo</v>
      </c>
      <c r="L2139" s="8">
        <v>46154</v>
      </c>
      <c r="M2139" s="17">
        <f>MAX(1,NETWORKDAYS(A2139,L2139,Table2[Dias no laborales]))</f>
        <v>1</v>
      </c>
    </row>
    <row r="2140" spans="1:13" hidden="1" x14ac:dyDescent="0.3">
      <c r="A2140" s="8">
        <v>46154</v>
      </c>
      <c r="B2140" s="16" t="s">
        <v>4246</v>
      </c>
      <c r="C2140" s="6" t="s">
        <v>4339</v>
      </c>
      <c r="D2140" s="6" t="s">
        <v>139</v>
      </c>
      <c r="E2140" s="14">
        <v>46154.413888888892</v>
      </c>
      <c r="F2140" s="8">
        <f>IF(HOUR(Table1[[#This Row],[CORREO]])&gt;=11,WORKDAY(Table1[[#This Row],[CORREO]],1,Table2[Dias no laborales]),E2140)</f>
        <v>46154.413888888892</v>
      </c>
      <c r="G2140" s="8">
        <v>46164</v>
      </c>
      <c r="H2140" s="6">
        <f t="shared" si="105"/>
        <v>19</v>
      </c>
      <c r="I2140" s="6">
        <f>MAX(1, NETWORKDAYS(A2140, G2140,Table2[Dias no laborales]))</f>
        <v>9</v>
      </c>
      <c r="J2140" s="6" t="str">
        <f>IF(Table1[[#This Row],[FIN]]="","Acumulado",IF(ISNUMBER(SEARCH("ASAP",C2140)),"ASAP",IF(NETWORKDAYS.INTL(F2140,G2140,1,Table2[Dias no laborales]) &lt;= 7, "Dentro", IF(A2140&gt;F2140,"Programado","Fuera"))))</f>
        <v>Fuera</v>
      </c>
      <c r="K2140" s="6" t="str">
        <f t="shared" si="106"/>
        <v>A tiempo</v>
      </c>
      <c r="L2140" s="8">
        <v>46154</v>
      </c>
      <c r="M2140" s="17">
        <f>MAX(1,NETWORKDAYS(A2140,L2140,Table2[Dias no laborales]))</f>
        <v>1</v>
      </c>
    </row>
    <row r="2141" spans="1:13" hidden="1" x14ac:dyDescent="0.3">
      <c r="A2141" s="8">
        <v>46154</v>
      </c>
      <c r="B2141" s="16" t="s">
        <v>4247</v>
      </c>
      <c r="C2141" s="6" t="s">
        <v>3913</v>
      </c>
      <c r="D2141" s="6" t="s">
        <v>538</v>
      </c>
      <c r="E2141" s="14">
        <v>46153.738194444442</v>
      </c>
      <c r="F2141" s="8">
        <f>IF(HOUR(Table1[[#This Row],[CORREO]])&gt;=11,WORKDAY(Table1[[#This Row],[CORREO]],1,Table2[Dias no laborales]),E2141)</f>
        <v>46154</v>
      </c>
      <c r="G2141" s="8">
        <v>46160</v>
      </c>
      <c r="H2141" s="6">
        <f t="shared" si="105"/>
        <v>19</v>
      </c>
      <c r="I2141" s="6">
        <f>MAX(1, NETWORKDAYS(A2141, G2141,Table2[Dias no laborales]))</f>
        <v>5</v>
      </c>
      <c r="J2141" s="6" t="str">
        <f>IF(Table1[[#This Row],[FIN]]="","Acumulado",IF(ISNUMBER(SEARCH("ASAP",C2141)),"ASAP",IF(NETWORKDAYS.INTL(F2141,G2141,1,Table2[Dias no laborales]) &lt;= 7, "Dentro", IF(A2141&gt;F2141,"Programado","Fuera"))))</f>
        <v>Dentro</v>
      </c>
      <c r="K2141" s="6" t="str">
        <f t="shared" si="106"/>
        <v>A tiempo</v>
      </c>
      <c r="L2141" s="8">
        <v>46154</v>
      </c>
      <c r="M2141" s="17">
        <f>MAX(1,NETWORKDAYS(A2141,L2141,Table2[Dias no laborales]))</f>
        <v>1</v>
      </c>
    </row>
    <row r="2142" spans="1:13" hidden="1" x14ac:dyDescent="0.3">
      <c r="A2142" s="8">
        <v>46154</v>
      </c>
      <c r="B2142" s="16" t="s">
        <v>4248</v>
      </c>
      <c r="C2142" s="6" t="s">
        <v>4119</v>
      </c>
      <c r="D2142" s="6" t="s">
        <v>4120</v>
      </c>
      <c r="E2142" s="14">
        <v>46153.701388888891</v>
      </c>
      <c r="F2142" s="8">
        <f>IF(HOUR(Table1[[#This Row],[CORREO]])&gt;=11,WORKDAY(Table1[[#This Row],[CORREO]],1,Table2[Dias no laborales]),E2142)</f>
        <v>46154</v>
      </c>
      <c r="G2142" s="8">
        <v>46155</v>
      </c>
      <c r="H2142" s="6">
        <f t="shared" si="105"/>
        <v>19</v>
      </c>
      <c r="I2142" s="6">
        <f>MAX(1, NETWORKDAYS(A2142, G2142,Table2[Dias no laborales]))</f>
        <v>2</v>
      </c>
      <c r="J2142" s="6" t="str">
        <f>IF(Table1[[#This Row],[FIN]]="","Acumulado",IF(ISNUMBER(SEARCH("ASAP",C2142)),"ASAP",IF(NETWORKDAYS.INTL(F2142,G2142,1,Table2[Dias no laborales]) &lt;= 7, "Dentro", IF(A2142&gt;F2142,"Programado","Fuera"))))</f>
        <v>Dentro</v>
      </c>
      <c r="K2142" s="6" t="str">
        <f t="shared" si="106"/>
        <v>A tiempo</v>
      </c>
      <c r="L2142" s="8">
        <v>46154</v>
      </c>
      <c r="M2142" s="17">
        <f>MAX(1,NETWORKDAYS(A2142,L2142,Table2[Dias no laborales]))</f>
        <v>1</v>
      </c>
    </row>
    <row r="2143" spans="1:13" hidden="1" x14ac:dyDescent="0.3">
      <c r="A2143" s="8">
        <v>46154</v>
      </c>
      <c r="B2143" s="16" t="s">
        <v>4249</v>
      </c>
      <c r="C2143" s="6" t="s">
        <v>4340</v>
      </c>
      <c r="D2143" s="6" t="s">
        <v>1136</v>
      </c>
      <c r="E2143" s="14">
        <v>46154.606249999997</v>
      </c>
      <c r="F2143" s="8">
        <f>IF(HOUR(Table1[[#This Row],[CORREO]])&gt;=11,WORKDAY(Table1[[#This Row],[CORREO]],1,Table2[Dias no laborales]),E2143)</f>
        <v>46155</v>
      </c>
      <c r="G2143" s="8">
        <v>46155</v>
      </c>
      <c r="H2143" s="6">
        <f t="shared" si="105"/>
        <v>19</v>
      </c>
      <c r="I2143" s="6">
        <f>MAX(1, NETWORKDAYS(A2143, G2143,Table2[Dias no laborales]))</f>
        <v>2</v>
      </c>
      <c r="J2143" s="6" t="str">
        <f>IF(Table1[[#This Row],[FIN]]="","Acumulado",IF(ISNUMBER(SEARCH("ASAP",C2143)),"ASAP",IF(NETWORKDAYS.INTL(F2143,G2143,1,Table2[Dias no laborales]) &lt;= 7, "Dentro", IF(A2143&gt;F2143,"Programado","Fuera"))))</f>
        <v>Dentro</v>
      </c>
      <c r="K2143" s="6" t="str">
        <f t="shared" si="106"/>
        <v>Mismo día</v>
      </c>
      <c r="L2143" s="8">
        <v>46154</v>
      </c>
      <c r="M2143" s="17">
        <f>MAX(1,NETWORKDAYS(A2143,L2143,Table2[Dias no laborales]))</f>
        <v>1</v>
      </c>
    </row>
    <row r="2144" spans="1:13" hidden="1" x14ac:dyDescent="0.3">
      <c r="A2144" s="8">
        <v>46155</v>
      </c>
      <c r="B2144" s="16" t="s">
        <v>4250</v>
      </c>
      <c r="C2144" s="6" t="s">
        <v>4341</v>
      </c>
      <c r="D2144" s="6" t="s">
        <v>27</v>
      </c>
      <c r="E2144" s="14"/>
      <c r="F2144" s="8">
        <f>IF(HOUR(Table1[[#This Row],[CORREO]])&gt;=11,WORKDAY(Table1[[#This Row],[CORREO]],1,Table2[Dias no laborales]),E2144)</f>
        <v>0</v>
      </c>
      <c r="G2144" s="8">
        <v>46162</v>
      </c>
      <c r="H2144" s="6">
        <f t="shared" si="105"/>
        <v>19</v>
      </c>
      <c r="I2144" s="6">
        <f>MAX(1, NETWORKDAYS(A2144, G2144,Table2[Dias no laborales]))</f>
        <v>6</v>
      </c>
      <c r="J2144" s="6" t="str">
        <f>IF(Table1[[#This Row],[FIN]]="","Acumulado",IF(ISNUMBER(SEARCH("ASAP",C2144)),"ASAP",IF(NETWORKDAYS.INTL(F2144,G2144,1,Table2[Dias no laborales]) &lt;= 7, "Dentro", IF(A2144&gt;F2144,"Programado","Fuera"))))</f>
        <v>Programado</v>
      </c>
      <c r="K2144" s="6" t="str">
        <f t="shared" si="106"/>
        <v>Programados</v>
      </c>
      <c r="L2144" s="8">
        <v>46155</v>
      </c>
      <c r="M2144" s="17">
        <f>MAX(1,NETWORKDAYS(A2144,L2144,Table2[Dias no laborales]))</f>
        <v>1</v>
      </c>
    </row>
    <row r="2145" spans="1:13" hidden="1" x14ac:dyDescent="0.3">
      <c r="A2145" s="8">
        <v>46155</v>
      </c>
      <c r="B2145" s="16" t="s">
        <v>4251</v>
      </c>
      <c r="C2145" s="6" t="s">
        <v>4342</v>
      </c>
      <c r="D2145" s="6" t="s">
        <v>18</v>
      </c>
      <c r="E2145" s="14"/>
      <c r="F2145" s="8">
        <f>IF(HOUR(Table1[[#This Row],[CORREO]])&gt;=11,WORKDAY(Table1[[#This Row],[CORREO]],1,Table2[Dias no laborales]),E2145)</f>
        <v>0</v>
      </c>
      <c r="G2145" s="8">
        <v>46155</v>
      </c>
      <c r="H2145" s="6">
        <f t="shared" si="105"/>
        <v>19</v>
      </c>
      <c r="I2145" s="6">
        <f>MAX(1, NETWORKDAYS(A2145, G2145,Table2[Dias no laborales]))</f>
        <v>1</v>
      </c>
      <c r="J2145" s="6" t="str">
        <f>IF(Table1[[#This Row],[FIN]]="","Acumulado",IF(ISNUMBER(SEARCH("ASAP",C2145)),"ASAP",IF(NETWORKDAYS.INTL(F2145,G2145,1,Table2[Dias no laborales]) &lt;= 7, "Dentro", IF(A2145&gt;F2145,"Programado","Fuera"))))</f>
        <v>Programado</v>
      </c>
      <c r="K2145" s="6" t="str">
        <f t="shared" si="106"/>
        <v>Programados</v>
      </c>
      <c r="L2145" s="8">
        <v>46155</v>
      </c>
      <c r="M2145" s="17">
        <f>MAX(1,NETWORKDAYS(A2145,L2145,Table2[Dias no laborales]))</f>
        <v>1</v>
      </c>
    </row>
    <row r="2146" spans="1:13" hidden="1" x14ac:dyDescent="0.3">
      <c r="A2146" s="8">
        <v>46155</v>
      </c>
      <c r="B2146" s="16" t="s">
        <v>4252</v>
      </c>
      <c r="C2146" s="6" t="s">
        <v>4323</v>
      </c>
      <c r="D2146" s="6" t="s">
        <v>18</v>
      </c>
      <c r="E2146" s="14"/>
      <c r="F2146" s="8">
        <f>IF(HOUR(Table1[[#This Row],[CORREO]])&gt;=11,WORKDAY(Table1[[#This Row],[CORREO]],1,Table2[Dias no laborales]),E2146)</f>
        <v>0</v>
      </c>
      <c r="G2146" s="8">
        <v>46155</v>
      </c>
      <c r="H2146" s="6">
        <f t="shared" si="105"/>
        <v>19</v>
      </c>
      <c r="I2146" s="6">
        <f>MAX(1, NETWORKDAYS(A2146, G2146,Table2[Dias no laborales]))</f>
        <v>1</v>
      </c>
      <c r="J2146" s="6" t="str">
        <f>IF(Table1[[#This Row],[FIN]]="","Acumulado",IF(ISNUMBER(SEARCH("ASAP",C2146)),"ASAP",IF(NETWORKDAYS.INTL(F2146,G2146,1,Table2[Dias no laborales]) &lt;= 7, "Dentro", IF(A2146&gt;F2146,"Programado","Fuera"))))</f>
        <v>Programado</v>
      </c>
      <c r="K2146" s="6" t="str">
        <f t="shared" si="106"/>
        <v>Programados</v>
      </c>
      <c r="L2146" s="8">
        <v>46155</v>
      </c>
      <c r="M2146" s="17">
        <f>MAX(1,NETWORKDAYS(A2146,L2146,Table2[Dias no laborales]))</f>
        <v>1</v>
      </c>
    </row>
    <row r="2147" spans="1:13" hidden="1" x14ac:dyDescent="0.3">
      <c r="A2147" s="8">
        <v>46155</v>
      </c>
      <c r="B2147" s="16" t="s">
        <v>4253</v>
      </c>
      <c r="C2147" s="6" t="s">
        <v>4343</v>
      </c>
      <c r="D2147" s="6" t="s">
        <v>423</v>
      </c>
      <c r="E2147" s="14"/>
      <c r="F2147" s="8">
        <f>IF(HOUR(Table1[[#This Row],[CORREO]])&gt;=11,WORKDAY(Table1[[#This Row],[CORREO]],1,Table2[Dias no laborales]),E2147)</f>
        <v>0</v>
      </c>
      <c r="G2147" s="8">
        <v>46155</v>
      </c>
      <c r="H2147" s="6">
        <f t="shared" si="105"/>
        <v>19</v>
      </c>
      <c r="I2147" s="6">
        <f>MAX(1, NETWORKDAYS(A2147, G2147,Table2[Dias no laborales]))</f>
        <v>1</v>
      </c>
      <c r="J2147" s="6" t="str">
        <f>IF(Table1[[#This Row],[FIN]]="","Acumulado",IF(ISNUMBER(SEARCH("ASAP",C2147)),"ASAP",IF(NETWORKDAYS.INTL(F2147,G2147,1,Table2[Dias no laborales]) &lt;= 7, "Dentro", IF(A2147&gt;F2147,"Programado","Fuera"))))</f>
        <v>Programado</v>
      </c>
      <c r="K2147" s="6" t="str">
        <f t="shared" si="106"/>
        <v>Programados</v>
      </c>
      <c r="L2147" s="8">
        <v>46155</v>
      </c>
      <c r="M2147" s="17">
        <f>MAX(1,NETWORKDAYS(A2147,L2147,Table2[Dias no laborales]))</f>
        <v>1</v>
      </c>
    </row>
    <row r="2148" spans="1:13" hidden="1" x14ac:dyDescent="0.3">
      <c r="A2148" s="8">
        <v>46155</v>
      </c>
      <c r="B2148" s="16" t="s">
        <v>4254</v>
      </c>
      <c r="C2148" s="6" t="s">
        <v>4344</v>
      </c>
      <c r="D2148" s="6" t="s">
        <v>571</v>
      </c>
      <c r="E2148" s="14"/>
      <c r="F2148" s="8">
        <f>IF(HOUR(Table1[[#This Row],[CORREO]])&gt;=11,WORKDAY(Table1[[#This Row],[CORREO]],1,Table2[Dias no laborales]),E2148)</f>
        <v>0</v>
      </c>
      <c r="G2148" s="8">
        <v>46155</v>
      </c>
      <c r="H2148" s="6">
        <f t="shared" si="105"/>
        <v>19</v>
      </c>
      <c r="I2148" s="6">
        <f>MAX(1, NETWORKDAYS(A2148, G2148,Table2[Dias no laborales]))</f>
        <v>1</v>
      </c>
      <c r="J2148" s="6" t="str">
        <f>IF(Table1[[#This Row],[FIN]]="","Acumulado",IF(ISNUMBER(SEARCH("ASAP",C2148)),"ASAP",IF(NETWORKDAYS.INTL(F2148,G2148,1,Table2[Dias no laborales]) &lt;= 7, "Dentro", IF(A2148&gt;F2148,"Programado","Fuera"))))</f>
        <v>Programado</v>
      </c>
      <c r="K2148" s="6" t="str">
        <f t="shared" si="106"/>
        <v>Programados</v>
      </c>
      <c r="L2148" s="8">
        <v>46155</v>
      </c>
      <c r="M2148" s="17">
        <f>MAX(1,NETWORKDAYS(A2148,L2148,Table2[Dias no laborales]))</f>
        <v>1</v>
      </c>
    </row>
    <row r="2149" spans="1:13" hidden="1" x14ac:dyDescent="0.3">
      <c r="A2149" s="8">
        <v>46155</v>
      </c>
      <c r="B2149" s="16" t="s">
        <v>4255</v>
      </c>
      <c r="C2149" s="6" t="s">
        <v>4345</v>
      </c>
      <c r="D2149" s="6" t="s">
        <v>133</v>
      </c>
      <c r="E2149" s="14">
        <v>46155.419444444444</v>
      </c>
      <c r="F2149" s="8">
        <f>IF(HOUR(Table1[[#This Row],[CORREO]])&gt;=11,WORKDAY(Table1[[#This Row],[CORREO]],1,Table2[Dias no laborales]),E2149)</f>
        <v>46155.419444444444</v>
      </c>
      <c r="G2149" s="8">
        <v>46160</v>
      </c>
      <c r="H2149" s="6">
        <f t="shared" si="105"/>
        <v>19</v>
      </c>
      <c r="I2149" s="6">
        <f>MAX(1, NETWORKDAYS(A2149, G2149,Table2[Dias no laborales]))</f>
        <v>4</v>
      </c>
      <c r="J2149" s="6" t="str">
        <f>IF(Table1[[#This Row],[FIN]]="","Acumulado",IF(ISNUMBER(SEARCH("ASAP",C2149)),"ASAP",IF(NETWORKDAYS.INTL(F2149,G2149,1,Table2[Dias no laborales]) &lt;= 7, "Dentro", IF(A2149&gt;F2149,"Programado","Fuera"))))</f>
        <v>Dentro</v>
      </c>
      <c r="K2149" s="6" t="str">
        <f t="shared" si="106"/>
        <v>A tiempo</v>
      </c>
      <c r="L2149" s="8">
        <v>46155</v>
      </c>
      <c r="M2149" s="17">
        <f>MAX(1,NETWORKDAYS(A2149,L2149,Table2[Dias no laborales]))</f>
        <v>1</v>
      </c>
    </row>
    <row r="2150" spans="1:13" hidden="1" x14ac:dyDescent="0.3">
      <c r="A2150" s="8">
        <v>46155</v>
      </c>
      <c r="B2150" s="16" t="s">
        <v>4256</v>
      </c>
      <c r="C2150" s="6" t="s">
        <v>3008</v>
      </c>
      <c r="D2150" s="6" t="s">
        <v>4346</v>
      </c>
      <c r="E2150" s="14">
        <v>46155.488888888889</v>
      </c>
      <c r="F2150" s="8">
        <f>IF(HOUR(Table1[[#This Row],[CORREO]])&gt;=11,WORKDAY(Table1[[#This Row],[CORREO]],1,Table2[Dias no laborales]),E2150)</f>
        <v>46156</v>
      </c>
      <c r="G2150" s="8">
        <v>46157</v>
      </c>
      <c r="H2150" s="6">
        <f t="shared" si="105"/>
        <v>19</v>
      </c>
      <c r="I2150" s="6">
        <f>MAX(1, NETWORKDAYS(A2150, G2150,Table2[Dias no laborales]))</f>
        <v>3</v>
      </c>
      <c r="J2150" s="6" t="str">
        <f>IF(Table1[[#This Row],[FIN]]="","Acumulado",IF(ISNUMBER(SEARCH("ASAP",C2150)),"ASAP",IF(NETWORKDAYS.INTL(F2150,G2150,1,Table2[Dias no laborales]) &lt;= 7, "Dentro", IF(A2150&gt;F2150,"Programado","Fuera"))))</f>
        <v>Dentro</v>
      </c>
      <c r="K2150" s="6" t="str">
        <f t="shared" si="106"/>
        <v>Mismo día</v>
      </c>
      <c r="L2150" s="8">
        <v>46155</v>
      </c>
      <c r="M2150" s="17">
        <f>MAX(1,NETWORKDAYS(A2150,L2150,Table2[Dias no laborales]))</f>
        <v>1</v>
      </c>
    </row>
    <row r="2151" spans="1:13" hidden="1" x14ac:dyDescent="0.3">
      <c r="A2151" s="8">
        <v>46156</v>
      </c>
      <c r="B2151" s="16" t="s">
        <v>4257</v>
      </c>
      <c r="C2151" s="6" t="s">
        <v>4347</v>
      </c>
      <c r="D2151" s="6" t="s">
        <v>27</v>
      </c>
      <c r="E2151" s="14"/>
      <c r="F2151" s="8">
        <f>IF(HOUR(Table1[[#This Row],[CORREO]])&gt;=11,WORKDAY(Table1[[#This Row],[CORREO]],1,Table2[Dias no laborales]),E2151)</f>
        <v>0</v>
      </c>
      <c r="G2151" s="8">
        <v>46160</v>
      </c>
      <c r="H2151" s="6">
        <f t="shared" si="105"/>
        <v>20</v>
      </c>
      <c r="I2151" s="6">
        <f>MAX(1, NETWORKDAYS(A2151, G2151,Table2[Dias no laborales]))</f>
        <v>3</v>
      </c>
      <c r="J2151" s="6" t="str">
        <f>IF(Table1[[#This Row],[FIN]]="","Acumulado",IF(ISNUMBER(SEARCH("ASAP",C2151)),"ASAP",IF(NETWORKDAYS.INTL(F2151,G2151,1,Table2[Dias no laborales]) &lt;= 7, "Dentro", IF(A2151&gt;F2151,"Programado","Fuera"))))</f>
        <v>Programado</v>
      </c>
      <c r="K2151" s="6" t="str">
        <f t="shared" si="106"/>
        <v>Programados</v>
      </c>
      <c r="L2151" s="8">
        <v>46156</v>
      </c>
      <c r="M2151" s="17">
        <f>MAX(1,NETWORKDAYS(A2151,L2151,Table2[Dias no laborales]))</f>
        <v>1</v>
      </c>
    </row>
    <row r="2152" spans="1:13" hidden="1" x14ac:dyDescent="0.3">
      <c r="A2152" s="8">
        <v>46155</v>
      </c>
      <c r="B2152" s="16" t="s">
        <v>4261</v>
      </c>
      <c r="C2152" s="6" t="s">
        <v>4348</v>
      </c>
      <c r="D2152" s="6" t="s">
        <v>18</v>
      </c>
      <c r="E2152" s="14"/>
      <c r="F2152" s="8">
        <f>IF(HOUR(Table1[[#This Row],[CORREO]])&gt;=11,WORKDAY(Table1[[#This Row],[CORREO]],1,Table2[Dias no laborales]),E2152)</f>
        <v>0</v>
      </c>
      <c r="G2152" s="8">
        <v>46167</v>
      </c>
      <c r="H2152" s="6">
        <f t="shared" ref="H2152:H2166" si="107">INT((A2152-DATE(YEAR(A2152),1,1))/7) + 1</f>
        <v>19</v>
      </c>
      <c r="I2152" s="6">
        <f>MAX(1, NETWORKDAYS(A2152, G2152,Table2[Dias no laborales]))</f>
        <v>9</v>
      </c>
      <c r="J2152" s="6" t="str">
        <f>IF(Table1[[#This Row],[FIN]]="","Acumulado",IF(ISNUMBER(SEARCH("ASAP",C2152)),"ASAP",IF(NETWORKDAYS.INTL(F2152,G2152,1,Table2[Dias no laborales]) &lt;= 7, "Dentro", IF(A2152&gt;F2152,"Programado","Fuera"))))</f>
        <v>Programado</v>
      </c>
      <c r="K2152" s="6" t="str">
        <f t="shared" ref="K2152:K2166" si="108">IF(INT(A2152)=INT(F2152),"A tiempo", IF(A2152&lt;F2152,"Mismo día","Programados"))</f>
        <v>Programados</v>
      </c>
      <c r="L2152" s="8">
        <v>46155</v>
      </c>
      <c r="M2152" s="17">
        <f>MAX(1,NETWORKDAYS(A2152,L2152,Table2[Dias no laborales]))</f>
        <v>1</v>
      </c>
    </row>
    <row r="2153" spans="1:13" hidden="1" x14ac:dyDescent="0.3">
      <c r="A2153" s="8">
        <v>46156</v>
      </c>
      <c r="B2153" s="16" t="s">
        <v>4262</v>
      </c>
      <c r="C2153" s="6" t="s">
        <v>4327</v>
      </c>
      <c r="D2153" s="6" t="s">
        <v>351</v>
      </c>
      <c r="E2153" s="14"/>
      <c r="F2153" s="8">
        <f>IF(HOUR(Table1[[#This Row],[CORREO]])&gt;=11,WORKDAY(Table1[[#This Row],[CORREO]],1,Table2[Dias no laborales]),E2153)</f>
        <v>0</v>
      </c>
      <c r="G2153" s="8">
        <v>46157</v>
      </c>
      <c r="H2153" s="6">
        <f t="shared" si="107"/>
        <v>20</v>
      </c>
      <c r="I2153" s="6">
        <f>MAX(1, NETWORKDAYS(A2153, G2153,Table2[Dias no laborales]))</f>
        <v>2</v>
      </c>
      <c r="J2153" s="6" t="str">
        <f>IF(Table1[[#This Row],[FIN]]="","Acumulado",IF(ISNUMBER(SEARCH("ASAP",C2153)),"ASAP",IF(NETWORKDAYS.INTL(F2153,G2153,1,Table2[Dias no laborales]) &lt;= 7, "Dentro", IF(A2153&gt;F2153,"Programado","Fuera"))))</f>
        <v>Programado</v>
      </c>
      <c r="K2153" s="6" t="str">
        <f t="shared" si="108"/>
        <v>Programados</v>
      </c>
      <c r="L2153" s="8">
        <v>46156</v>
      </c>
      <c r="M2153" s="17">
        <f>MAX(1,NETWORKDAYS(A2153,L2153,Table2[Dias no laborales]))</f>
        <v>1</v>
      </c>
    </row>
    <row r="2154" spans="1:13" hidden="1" x14ac:dyDescent="0.3">
      <c r="A2154" s="8">
        <v>46156</v>
      </c>
      <c r="B2154" s="16" t="s">
        <v>4263</v>
      </c>
      <c r="C2154" s="6" t="s">
        <v>4349</v>
      </c>
      <c r="D2154" s="6" t="s">
        <v>3039</v>
      </c>
      <c r="E2154" s="14">
        <v>46156.388194444444</v>
      </c>
      <c r="F2154" s="8">
        <f>IF(HOUR(Table1[[#This Row],[CORREO]])&gt;=11,WORKDAY(Table1[[#This Row],[CORREO]],1,Table2[Dias no laborales]),E2154)</f>
        <v>46156.388194444444</v>
      </c>
      <c r="G2154" s="8">
        <v>46157</v>
      </c>
      <c r="H2154" s="6">
        <f t="shared" si="107"/>
        <v>20</v>
      </c>
      <c r="I2154" s="6">
        <f>MAX(1, NETWORKDAYS(A2154, G2154,Table2[Dias no laborales]))</f>
        <v>2</v>
      </c>
      <c r="J2154" s="6" t="str">
        <f>IF(Table1[[#This Row],[FIN]]="","Acumulado",IF(ISNUMBER(SEARCH("ASAP",C2154)),"ASAP",IF(NETWORKDAYS.INTL(F2154,G2154,1,Table2[Dias no laborales]) &lt;= 7, "Dentro", IF(A2154&gt;F2154,"Programado","Fuera"))))</f>
        <v>Dentro</v>
      </c>
      <c r="K2154" s="6" t="str">
        <f t="shared" si="108"/>
        <v>A tiempo</v>
      </c>
      <c r="L2154" s="8">
        <v>46156</v>
      </c>
      <c r="M2154" s="17">
        <f>MAX(1,NETWORKDAYS(A2154,L2154,Table2[Dias no laborales]))</f>
        <v>1</v>
      </c>
    </row>
    <row r="2155" spans="1:13" hidden="1" x14ac:dyDescent="0.3">
      <c r="A2155" s="8">
        <v>46156</v>
      </c>
      <c r="B2155" s="16" t="s">
        <v>4264</v>
      </c>
      <c r="C2155" s="6" t="s">
        <v>2633</v>
      </c>
      <c r="D2155" s="6" t="s">
        <v>2623</v>
      </c>
      <c r="E2155" s="14">
        <v>46156.447916666664</v>
      </c>
      <c r="F2155" s="8">
        <f>IF(HOUR(Table1[[#This Row],[CORREO]])&gt;=11,WORKDAY(Table1[[#This Row],[CORREO]],1,Table2[Dias no laborales]),E2155)</f>
        <v>46156.447916666664</v>
      </c>
      <c r="G2155" s="8">
        <v>46157</v>
      </c>
      <c r="H2155" s="6">
        <f t="shared" si="107"/>
        <v>20</v>
      </c>
      <c r="I2155" s="6">
        <f>MAX(1, NETWORKDAYS(A2155, G2155,Table2[Dias no laborales]))</f>
        <v>2</v>
      </c>
      <c r="J2155" s="6" t="str">
        <f>IF(Table1[[#This Row],[FIN]]="","Acumulado",IF(ISNUMBER(SEARCH("ASAP",C2155)),"ASAP",IF(NETWORKDAYS.INTL(F2155,G2155,1,Table2[Dias no laborales]) &lt;= 7, "Dentro", IF(A2155&gt;F2155,"Programado","Fuera"))))</f>
        <v>Dentro</v>
      </c>
      <c r="K2155" s="6" t="str">
        <f t="shared" si="108"/>
        <v>A tiempo</v>
      </c>
      <c r="L2155" s="8">
        <v>46156</v>
      </c>
      <c r="M2155" s="17">
        <f>MAX(1,NETWORKDAYS(A2155,L2155,Table2[Dias no laborales]))</f>
        <v>1</v>
      </c>
    </row>
    <row r="2156" spans="1:13" hidden="1" x14ac:dyDescent="0.3">
      <c r="A2156" s="8">
        <v>46156</v>
      </c>
      <c r="B2156" s="16" t="s">
        <v>4265</v>
      </c>
      <c r="C2156" s="6" t="s">
        <v>4350</v>
      </c>
      <c r="D2156" s="6" t="s">
        <v>133</v>
      </c>
      <c r="E2156" s="14">
        <v>46156.487500000003</v>
      </c>
      <c r="F2156" s="8">
        <f>IF(HOUR(Table1[[#This Row],[CORREO]])&gt;=11,WORKDAY(Table1[[#This Row],[CORREO]],1,Table2[Dias no laborales]),E2156)</f>
        <v>46157</v>
      </c>
      <c r="G2156" s="8">
        <v>46157</v>
      </c>
      <c r="H2156" s="6">
        <f t="shared" si="107"/>
        <v>20</v>
      </c>
      <c r="I2156" s="6">
        <f>MAX(1, NETWORKDAYS(A2156, G2156,Table2[Dias no laborales]))</f>
        <v>2</v>
      </c>
      <c r="J2156" s="6" t="str">
        <f>IF(Table1[[#This Row],[FIN]]="","Acumulado",IF(ISNUMBER(SEARCH("ASAP",C2156)),"ASAP",IF(NETWORKDAYS.INTL(F2156,G2156,1,Table2[Dias no laborales]) &lt;= 7, "Dentro", IF(A2156&gt;F2156,"Programado","Fuera"))))</f>
        <v>Dentro</v>
      </c>
      <c r="K2156" s="6" t="str">
        <f t="shared" si="108"/>
        <v>Mismo día</v>
      </c>
      <c r="L2156" s="8">
        <v>46156</v>
      </c>
      <c r="M2156" s="17">
        <f>MAX(1,NETWORKDAYS(A2156,L2156,Table2[Dias no laborales]))</f>
        <v>1</v>
      </c>
    </row>
    <row r="2157" spans="1:13" hidden="1" x14ac:dyDescent="0.3">
      <c r="A2157" s="8">
        <v>46156</v>
      </c>
      <c r="B2157" s="16" t="s">
        <v>4266</v>
      </c>
      <c r="C2157" s="6" t="s">
        <v>3008</v>
      </c>
      <c r="D2157" s="6" t="s">
        <v>4351</v>
      </c>
      <c r="E2157" s="14">
        <v>46156.515972222223</v>
      </c>
      <c r="F2157" s="8">
        <f>IF(HOUR(Table1[[#This Row],[CORREO]])&gt;=11,WORKDAY(Table1[[#This Row],[CORREO]],1,Table2[Dias no laborales]),E2157)</f>
        <v>46157</v>
      </c>
      <c r="G2157" s="8">
        <v>46161</v>
      </c>
      <c r="H2157" s="6">
        <f t="shared" si="107"/>
        <v>20</v>
      </c>
      <c r="I2157" s="6">
        <f>MAX(1, NETWORKDAYS(A2157, G2157,Table2[Dias no laborales]))</f>
        <v>4</v>
      </c>
      <c r="J2157" s="6" t="str">
        <f>IF(Table1[[#This Row],[FIN]]="","Acumulado",IF(ISNUMBER(SEARCH("ASAP",C2157)),"ASAP",IF(NETWORKDAYS.INTL(F2157,G2157,1,Table2[Dias no laborales]) &lt;= 7, "Dentro", IF(A2157&gt;F2157,"Programado","Fuera"))))</f>
        <v>Dentro</v>
      </c>
      <c r="K2157" s="6" t="str">
        <f t="shared" si="108"/>
        <v>Mismo día</v>
      </c>
      <c r="L2157" s="8">
        <v>46156</v>
      </c>
      <c r="M2157" s="17">
        <f>MAX(1,NETWORKDAYS(A2157,L2157,Table2[Dias no laborales]))</f>
        <v>1</v>
      </c>
    </row>
    <row r="2158" spans="1:13" hidden="1" x14ac:dyDescent="0.3">
      <c r="A2158" s="8">
        <v>46156</v>
      </c>
      <c r="B2158" s="16" t="s">
        <v>4267</v>
      </c>
      <c r="C2158" s="6" t="s">
        <v>4352</v>
      </c>
      <c r="D2158" s="6" t="s">
        <v>27</v>
      </c>
      <c r="E2158" s="14"/>
      <c r="F2158" s="8">
        <f>IF(HOUR(Table1[[#This Row],[CORREO]])&gt;=11,WORKDAY(Table1[[#This Row],[CORREO]],1,Table2[Dias no laborales]),E2158)</f>
        <v>0</v>
      </c>
      <c r="G2158" s="8">
        <v>46156</v>
      </c>
      <c r="H2158" s="6">
        <f t="shared" si="107"/>
        <v>20</v>
      </c>
      <c r="I2158" s="6">
        <f>MAX(1, NETWORKDAYS(A2158, G2158,Table2[Dias no laborales]))</f>
        <v>1</v>
      </c>
      <c r="J2158" s="6" t="str">
        <f>IF(Table1[[#This Row],[FIN]]="","Acumulado",IF(ISNUMBER(SEARCH("ASAP",C2158)),"ASAP",IF(NETWORKDAYS.INTL(F2158,G2158,1,Table2[Dias no laborales]) &lt;= 7, "Dentro", IF(A2158&gt;F2158,"Programado","Fuera"))))</f>
        <v>Programado</v>
      </c>
      <c r="K2158" s="6" t="str">
        <f t="shared" si="108"/>
        <v>Programados</v>
      </c>
      <c r="L2158" s="8">
        <v>46156</v>
      </c>
      <c r="M2158" s="17">
        <f>MAX(1,NETWORKDAYS(A2158,L2158,Table2[Dias no laborales]))</f>
        <v>1</v>
      </c>
    </row>
    <row r="2159" spans="1:13" hidden="1" x14ac:dyDescent="0.3">
      <c r="A2159" s="8">
        <v>46156</v>
      </c>
      <c r="B2159" s="16" t="s">
        <v>4268</v>
      </c>
      <c r="C2159" s="6" t="s">
        <v>4353</v>
      </c>
      <c r="D2159" s="6" t="s">
        <v>3020</v>
      </c>
      <c r="E2159" s="14">
        <v>46156.680555555555</v>
      </c>
      <c r="F2159" s="8">
        <f>IF(HOUR(Table1[[#This Row],[CORREO]])&gt;=11,WORKDAY(Table1[[#This Row],[CORREO]],1,Table2[Dias no laborales]),E2159)</f>
        <v>46157</v>
      </c>
      <c r="G2159" s="8">
        <v>46164</v>
      </c>
      <c r="H2159" s="6">
        <f t="shared" si="107"/>
        <v>20</v>
      </c>
      <c r="I2159" s="6">
        <f>MAX(1, NETWORKDAYS(A2159, G2159,Table2[Dias no laborales]))</f>
        <v>7</v>
      </c>
      <c r="J2159" s="6" t="str">
        <f>IF(Table1[[#This Row],[FIN]]="","Acumulado",IF(ISNUMBER(SEARCH("ASAP",C2159)),"ASAP",IF(NETWORKDAYS.INTL(F2159,G2159,1,Table2[Dias no laborales]) &lt;= 7, "Dentro", IF(A2159&gt;F2159,"Programado","Fuera"))))</f>
        <v>Dentro</v>
      </c>
      <c r="K2159" s="6" t="str">
        <f t="shared" si="108"/>
        <v>Mismo día</v>
      </c>
      <c r="L2159" s="8">
        <v>46156</v>
      </c>
      <c r="M2159" s="17">
        <f>MAX(1,NETWORKDAYS(A2159,L2159,Table2[Dias no laborales]))</f>
        <v>1</v>
      </c>
    </row>
    <row r="2160" spans="1:13" hidden="1" x14ac:dyDescent="0.3">
      <c r="A2160" s="8">
        <v>46156</v>
      </c>
      <c r="B2160" s="16" t="s">
        <v>4269</v>
      </c>
      <c r="C2160" s="6" t="s">
        <v>4354</v>
      </c>
      <c r="D2160" s="6" t="s">
        <v>171</v>
      </c>
      <c r="E2160" s="14">
        <v>46155.501388888886</v>
      </c>
      <c r="F2160" s="8">
        <f>IF(HOUR(Table1[[#This Row],[CORREO]])&gt;=11,WORKDAY(Table1[[#This Row],[CORREO]],1,Table2[Dias no laborales]),E2160)</f>
        <v>46156</v>
      </c>
      <c r="G2160" s="8">
        <v>46170</v>
      </c>
      <c r="H2160" s="6">
        <f t="shared" si="107"/>
        <v>20</v>
      </c>
      <c r="I2160" s="6">
        <f>MAX(1, NETWORKDAYS(A2160, G2160,Table2[Dias no laborales]))</f>
        <v>11</v>
      </c>
      <c r="J2160" s="6" t="str">
        <f>IF(Table1[[#This Row],[FIN]]="","Acumulado",IF(ISNUMBER(SEARCH("ASAP",C2160)),"ASAP",IF(NETWORKDAYS.INTL(F2160,G2160,1,Table2[Dias no laborales]) &lt;= 7, "Dentro", IF(A2160&gt;F2160,"Programado","Fuera"))))</f>
        <v>Fuera</v>
      </c>
      <c r="K2160" s="6" t="str">
        <f t="shared" si="108"/>
        <v>A tiempo</v>
      </c>
      <c r="L2160" s="8">
        <v>46156</v>
      </c>
      <c r="M2160" s="17">
        <f>MAX(1,NETWORKDAYS(A2160,L2160,Table2[Dias no laborales]))</f>
        <v>1</v>
      </c>
    </row>
    <row r="2161" spans="1:13" hidden="1" x14ac:dyDescent="0.3">
      <c r="A2161" s="8">
        <v>46156</v>
      </c>
      <c r="B2161" s="16" t="s">
        <v>4270</v>
      </c>
      <c r="C2161" s="6" t="s">
        <v>4355</v>
      </c>
      <c r="D2161" s="6" t="s">
        <v>3020</v>
      </c>
      <c r="E2161" s="14">
        <v>46156.68472222222</v>
      </c>
      <c r="F2161" s="8">
        <f>IF(HOUR(Table1[[#This Row],[CORREO]])&gt;=11,WORKDAY(Table1[[#This Row],[CORREO]],1,Table2[Dias no laborales]),E2161)</f>
        <v>46157</v>
      </c>
      <c r="G2161" s="8">
        <v>46164</v>
      </c>
      <c r="H2161" s="6">
        <f t="shared" si="107"/>
        <v>20</v>
      </c>
      <c r="I2161" s="6">
        <f>MAX(1, NETWORKDAYS(A2161, G2161,Table2[Dias no laborales]))</f>
        <v>7</v>
      </c>
      <c r="J2161" s="6" t="str">
        <f>IF(Table1[[#This Row],[FIN]]="","Acumulado",IF(ISNUMBER(SEARCH("ASAP",C2161)),"ASAP",IF(NETWORKDAYS.INTL(F2161,G2161,1,Table2[Dias no laborales]) &lt;= 7, "Dentro", IF(A2161&gt;F2161,"Programado","Fuera"))))</f>
        <v>Dentro</v>
      </c>
      <c r="K2161" s="6" t="str">
        <f t="shared" si="108"/>
        <v>Mismo día</v>
      </c>
      <c r="L2161" s="8">
        <v>46156</v>
      </c>
      <c r="M2161" s="17">
        <f>MAX(1,NETWORKDAYS(A2161,L2161,Table2[Dias no laborales]))</f>
        <v>1</v>
      </c>
    </row>
    <row r="2162" spans="1:13" hidden="1" x14ac:dyDescent="0.3">
      <c r="A2162" s="8">
        <v>46156</v>
      </c>
      <c r="B2162" s="16" t="s">
        <v>4271</v>
      </c>
      <c r="C2162" s="6" t="s">
        <v>4356</v>
      </c>
      <c r="D2162" s="6" t="s">
        <v>3939</v>
      </c>
      <c r="E2162" s="14">
        <v>46156.65347222222</v>
      </c>
      <c r="F2162" s="8">
        <f>IF(HOUR(Table1[[#This Row],[CORREO]])&gt;=11,WORKDAY(Table1[[#This Row],[CORREO]],1,Table2[Dias no laborales]),E2162)</f>
        <v>46157</v>
      </c>
      <c r="G2162" s="8">
        <v>46163</v>
      </c>
      <c r="H2162" s="6">
        <f t="shared" si="107"/>
        <v>20</v>
      </c>
      <c r="I2162" s="6">
        <f>MAX(1, NETWORKDAYS(A2162, G2162,Table2[Dias no laborales]))</f>
        <v>6</v>
      </c>
      <c r="J2162" s="6" t="str">
        <f>IF(Table1[[#This Row],[FIN]]="","Acumulado",IF(ISNUMBER(SEARCH("ASAP",C2162)),"ASAP",IF(NETWORKDAYS.INTL(F2162,G2162,1,Table2[Dias no laborales]) &lt;= 7, "Dentro", IF(A2162&gt;F2162,"Programado","Fuera"))))</f>
        <v>Dentro</v>
      </c>
      <c r="K2162" s="6" t="str">
        <f t="shared" si="108"/>
        <v>Mismo día</v>
      </c>
      <c r="L2162" s="8">
        <v>46156</v>
      </c>
      <c r="M2162" s="17">
        <f>MAX(1,NETWORKDAYS(A2162,L2162,Table2[Dias no laborales]))</f>
        <v>1</v>
      </c>
    </row>
    <row r="2163" spans="1:13" hidden="1" x14ac:dyDescent="0.3">
      <c r="A2163" s="8">
        <v>46157</v>
      </c>
      <c r="B2163" s="16" t="s">
        <v>4272</v>
      </c>
      <c r="C2163" s="6" t="s">
        <v>4357</v>
      </c>
      <c r="D2163" s="6" t="s">
        <v>85</v>
      </c>
      <c r="E2163" s="14">
        <v>46156.691666666666</v>
      </c>
      <c r="F2163" s="8">
        <f>IF(HOUR(Table1[[#This Row],[CORREO]])&gt;=11,WORKDAY(Table1[[#This Row],[CORREO]],1,Table2[Dias no laborales]),E2163)</f>
        <v>46157</v>
      </c>
      <c r="G2163" s="8">
        <v>46157</v>
      </c>
      <c r="H2163" s="6">
        <f t="shared" si="107"/>
        <v>20</v>
      </c>
      <c r="I2163" s="6">
        <f>MAX(1, NETWORKDAYS(A2163, G2163,Table2[Dias no laborales]))</f>
        <v>1</v>
      </c>
      <c r="J2163" s="6" t="str">
        <f>IF(Table1[[#This Row],[FIN]]="","Acumulado",IF(ISNUMBER(SEARCH("ASAP",C2163)),"ASAP",IF(NETWORKDAYS.INTL(F2163,G2163,1,Table2[Dias no laborales]) &lt;= 7, "Dentro", IF(A2163&gt;F2163,"Programado","Fuera"))))</f>
        <v>Dentro</v>
      </c>
      <c r="K2163" s="6" t="str">
        <f t="shared" si="108"/>
        <v>A tiempo</v>
      </c>
      <c r="L2163" s="8">
        <v>46157</v>
      </c>
      <c r="M2163" s="17">
        <f>MAX(1,NETWORKDAYS(A2163,L2163,Table2[Dias no laborales]))</f>
        <v>1</v>
      </c>
    </row>
    <row r="2164" spans="1:13" hidden="1" x14ac:dyDescent="0.3">
      <c r="A2164" s="8">
        <v>46157</v>
      </c>
      <c r="B2164" s="16" t="s">
        <v>4273</v>
      </c>
      <c r="C2164" s="6" t="s">
        <v>4358</v>
      </c>
      <c r="D2164" s="6" t="s">
        <v>1333</v>
      </c>
      <c r="E2164" s="14"/>
      <c r="F2164" s="8">
        <f>IF(HOUR(Table1[[#This Row],[CORREO]])&gt;=11,WORKDAY(Table1[[#This Row],[CORREO]],1,Table2[Dias no laborales]),E2164)</f>
        <v>0</v>
      </c>
      <c r="G2164" s="8">
        <v>46168</v>
      </c>
      <c r="H2164" s="6">
        <f t="shared" si="107"/>
        <v>20</v>
      </c>
      <c r="I2164" s="6">
        <f>MAX(1, NETWORKDAYS(A2164, G2164,Table2[Dias no laborales]))</f>
        <v>8</v>
      </c>
      <c r="J2164" s="6" t="str">
        <f>IF(Table1[[#This Row],[FIN]]="","Acumulado",IF(ISNUMBER(SEARCH("ASAP",C2164)),"ASAP",IF(NETWORKDAYS.INTL(F2164,G2164,1,Table2[Dias no laborales]) &lt;= 7, "Dentro", IF(A2164&gt;F2164,"Programado","Fuera"))))</f>
        <v>Programado</v>
      </c>
      <c r="K2164" s="6" t="str">
        <f t="shared" si="108"/>
        <v>Programados</v>
      </c>
      <c r="L2164" s="8">
        <v>46157</v>
      </c>
      <c r="M2164" s="17">
        <f>MAX(1,NETWORKDAYS(A2164,L2164,Table2[Dias no laborales]))</f>
        <v>1</v>
      </c>
    </row>
    <row r="2165" spans="1:13" hidden="1" x14ac:dyDescent="0.3">
      <c r="A2165" s="8">
        <v>46157</v>
      </c>
      <c r="B2165" s="16" t="s">
        <v>4274</v>
      </c>
      <c r="C2165" s="6" t="s">
        <v>4359</v>
      </c>
      <c r="D2165" s="6" t="s">
        <v>3183</v>
      </c>
      <c r="E2165" s="14">
        <v>46157.374305555553</v>
      </c>
      <c r="F2165" s="8">
        <f>IF(HOUR(Table1[[#This Row],[CORREO]])&gt;=11,WORKDAY(Table1[[#This Row],[CORREO]],1,Table2[Dias no laborales]),E2165)</f>
        <v>46157.374305555553</v>
      </c>
      <c r="G2165" s="8">
        <v>46163</v>
      </c>
      <c r="H2165" s="6">
        <f t="shared" si="107"/>
        <v>20</v>
      </c>
      <c r="I2165" s="6">
        <f>MAX(1, NETWORKDAYS(A2165, G2165,Table2[Dias no laborales]))</f>
        <v>5</v>
      </c>
      <c r="J2165" s="6" t="str">
        <f>IF(Table1[[#This Row],[FIN]]="","Acumulado",IF(ISNUMBER(SEARCH("ASAP",C2165)),"ASAP",IF(NETWORKDAYS.INTL(F2165,G2165,1,Table2[Dias no laborales]) &lt;= 7, "Dentro", IF(A2165&gt;F2165,"Programado","Fuera"))))</f>
        <v>Dentro</v>
      </c>
      <c r="K2165" s="6" t="str">
        <f t="shared" si="108"/>
        <v>A tiempo</v>
      </c>
      <c r="L2165" s="8">
        <v>46157</v>
      </c>
      <c r="M2165" s="17">
        <f>MAX(1,NETWORKDAYS(A2165,L2165,Table2[Dias no laborales]))</f>
        <v>1</v>
      </c>
    </row>
    <row r="2166" spans="1:13" hidden="1" x14ac:dyDescent="0.3">
      <c r="A2166" s="8">
        <v>46157</v>
      </c>
      <c r="B2166" s="16" t="s">
        <v>4275</v>
      </c>
      <c r="C2166" s="6" t="s">
        <v>4360</v>
      </c>
      <c r="D2166" s="6" t="s">
        <v>171</v>
      </c>
      <c r="E2166" s="14">
        <v>46157.434027777781</v>
      </c>
      <c r="F2166" s="8">
        <f>IF(HOUR(Table1[[#This Row],[CORREO]])&gt;=11,WORKDAY(Table1[[#This Row],[CORREO]],1,Table2[Dias no laborales]),E2166)</f>
        <v>46157.434027777781</v>
      </c>
      <c r="G2166" s="8">
        <v>46160</v>
      </c>
      <c r="H2166" s="6">
        <f t="shared" si="107"/>
        <v>20</v>
      </c>
      <c r="I2166" s="6">
        <f>MAX(1, NETWORKDAYS(A2166, G2166,Table2[Dias no laborales]))</f>
        <v>2</v>
      </c>
      <c r="J2166" s="6" t="str">
        <f>IF(Table1[[#This Row],[FIN]]="","Acumulado",IF(ISNUMBER(SEARCH("ASAP",C2166)),"ASAP",IF(NETWORKDAYS.INTL(F2166,G2166,1,Table2[Dias no laborales]) &lt;= 7, "Dentro", IF(A2166&gt;F2166,"Programado","Fuera"))))</f>
        <v>Dentro</v>
      </c>
      <c r="K2166" s="6" t="str">
        <f t="shared" si="108"/>
        <v>A tiempo</v>
      </c>
      <c r="L2166" s="8">
        <v>46157</v>
      </c>
      <c r="M2166" s="17">
        <f>MAX(1,NETWORKDAYS(A2166,L2166,Table2[Dias no laborales]))</f>
        <v>1</v>
      </c>
    </row>
    <row r="2167" spans="1:13" hidden="1" x14ac:dyDescent="0.3">
      <c r="A2167" s="8">
        <v>46157</v>
      </c>
      <c r="B2167" s="16" t="s">
        <v>4361</v>
      </c>
      <c r="C2167" s="6" t="s">
        <v>4362</v>
      </c>
      <c r="D2167" s="6" t="s">
        <v>24</v>
      </c>
      <c r="E2167" s="14">
        <v>46157.746527777781</v>
      </c>
      <c r="F2167" s="8">
        <f>IF(HOUR(Table1[[#This Row],[CORREO]])&gt;=11,WORKDAY(Table1[[#This Row],[CORREO]],1,Table2[Dias no laborales]),E2167)</f>
        <v>46160</v>
      </c>
      <c r="G2167" s="8">
        <v>46171</v>
      </c>
      <c r="H2167" s="6">
        <f>INT((A2167-DATE(YEAR(A2167),1,1))/7) + 1</f>
        <v>20</v>
      </c>
      <c r="I2167" s="6">
        <f>MAX(1, NETWORKDAYS(A2167, G2167,Table2[Dias no laborales]))</f>
        <v>11</v>
      </c>
      <c r="J2167" s="6" t="str">
        <f>IF(Table1[[#This Row],[FIN]]="","Acumulado",IF(ISNUMBER(SEARCH("ASAP",C2167)),"ASAP",IF(NETWORKDAYS.INTL(F2167,G2167,1,Table2[Dias no laborales]) &lt;= 7, "Dentro", IF(A2167&gt;F2167,"Programado","Fuera"))))</f>
        <v>Fuera</v>
      </c>
      <c r="K2167" s="6" t="str">
        <f>IF(INT(A2167)=INT(F2167),"A tiempo", IF(A2167&lt;F2167,"Mismo día","Programados"))</f>
        <v>Mismo día</v>
      </c>
      <c r="L2167" s="8">
        <v>46157</v>
      </c>
      <c r="M2167" s="17">
        <f>MAX(1,NETWORKDAYS(A2167,L2167,Table2[Dias no laborales]))</f>
        <v>1</v>
      </c>
    </row>
    <row r="2168" spans="1:13" hidden="1" x14ac:dyDescent="0.3">
      <c r="A2168" s="8">
        <v>46157</v>
      </c>
      <c r="B2168" s="16" t="s">
        <v>4363</v>
      </c>
      <c r="C2168" s="6" t="s">
        <v>4364</v>
      </c>
      <c r="D2168" s="6" t="s">
        <v>24</v>
      </c>
      <c r="E2168" s="14"/>
      <c r="F2168" s="8">
        <f>IF(HOUR(Table1[[#This Row],[CORREO]])&gt;=11,WORKDAY(Table1[[#This Row],[CORREO]],1,Table2[Dias no laborales]),E2168)</f>
        <v>0</v>
      </c>
      <c r="G2168" s="8">
        <v>46178</v>
      </c>
      <c r="H2168" s="6">
        <f>INT((A2168-DATE(YEAR(A2168),1,1))/7) + 1</f>
        <v>20</v>
      </c>
      <c r="I2168" s="6">
        <f>MAX(1, NETWORKDAYS(A2168, G2168,Table2[Dias no laborales]))</f>
        <v>16</v>
      </c>
      <c r="J2168" s="6" t="str">
        <f>IF(Table1[[#This Row],[FIN]]="","Acumulado",IF(ISNUMBER(SEARCH("ASAP",C2168)),"ASAP",IF(NETWORKDAYS.INTL(F2168,G2168,1,Table2[Dias no laborales]) &lt;= 7, "Dentro", IF(A2168&gt;F2168,"Programado","Fuera"))))</f>
        <v>Programado</v>
      </c>
      <c r="K2168" s="6" t="str">
        <f>IF(INT(A2168)=INT(F2168),"A tiempo", IF(A2168&lt;F2168,"Mismo día","Programados"))</f>
        <v>Programados</v>
      </c>
      <c r="L2168" s="8">
        <v>46157</v>
      </c>
      <c r="M2168" s="17">
        <f>MAX(1,NETWORKDAYS(A2168,L2168,Table2[Dias no laborales]))</f>
        <v>1</v>
      </c>
    </row>
    <row r="2169" spans="1:13" hidden="1" x14ac:dyDescent="0.3">
      <c r="A2169" s="8">
        <v>46160</v>
      </c>
      <c r="B2169" s="16" t="s">
        <v>4365</v>
      </c>
      <c r="C2169" s="6" t="s">
        <v>4389</v>
      </c>
      <c r="D2169" s="6" t="s">
        <v>186</v>
      </c>
      <c r="E2169" s="14"/>
      <c r="F2169" s="8">
        <f>IF(HOUR(Table1[[#This Row],[CORREO]])&gt;=11,WORKDAY(Table1[[#This Row],[CORREO]],1,Table2[Dias no laborales]),E2169)</f>
        <v>0</v>
      </c>
      <c r="G2169" s="8">
        <v>46167</v>
      </c>
      <c r="H2169" s="6">
        <f t="shared" ref="H2169:H2192" si="109">INT((A2169-DATE(YEAR(A2169),1,1))/7) + 1</f>
        <v>20</v>
      </c>
      <c r="I2169" s="6">
        <f>MAX(1, NETWORKDAYS(A2169, G2169,Table2[Dias no laborales]))</f>
        <v>6</v>
      </c>
      <c r="J2169" s="6" t="str">
        <f>IF(Table1[[#This Row],[FIN]]="","Acumulado",IF(ISNUMBER(SEARCH("ASAP",C2169)),"ASAP",IF(NETWORKDAYS.INTL(F2169,G2169,1,Table2[Dias no laborales]) &lt;= 7, "Dentro", IF(A2169&gt;F2169,"Programado","Fuera"))))</f>
        <v>Programado</v>
      </c>
      <c r="K2169" s="6" t="str">
        <f t="shared" ref="K2169:K2192" si="110">IF(INT(A2169)=INT(F2169),"A tiempo", IF(A2169&lt;F2169,"Mismo día","Programados"))</f>
        <v>Programados</v>
      </c>
      <c r="L2169" s="8">
        <v>46160</v>
      </c>
      <c r="M2169" s="17">
        <f>MAX(1,NETWORKDAYS(A2169,L2169,Table2[Dias no laborales]))</f>
        <v>1</v>
      </c>
    </row>
    <row r="2170" spans="1:13" hidden="1" x14ac:dyDescent="0.3">
      <c r="A2170" s="8">
        <v>46160</v>
      </c>
      <c r="B2170" s="16" t="s">
        <v>4366</v>
      </c>
      <c r="C2170" s="6" t="s">
        <v>4390</v>
      </c>
      <c r="D2170" s="6" t="s">
        <v>186</v>
      </c>
      <c r="E2170" s="14"/>
      <c r="F2170" s="8">
        <f>IF(HOUR(Table1[[#This Row],[CORREO]])&gt;=11,WORKDAY(Table1[[#This Row],[CORREO]],1,Table2[Dias no laborales]),E2170)</f>
        <v>0</v>
      </c>
      <c r="G2170" s="8">
        <v>46170</v>
      </c>
      <c r="H2170" s="6">
        <f t="shared" si="109"/>
        <v>20</v>
      </c>
      <c r="I2170" s="6">
        <f>MAX(1, NETWORKDAYS(A2170, G2170,Table2[Dias no laborales]))</f>
        <v>9</v>
      </c>
      <c r="J2170" s="6" t="str">
        <f>IF(Table1[[#This Row],[FIN]]="","Acumulado",IF(ISNUMBER(SEARCH("ASAP",C2170)),"ASAP",IF(NETWORKDAYS.INTL(F2170,G2170,1,Table2[Dias no laborales]) &lt;= 7, "Dentro", IF(A2170&gt;F2170,"Programado","Fuera"))))</f>
        <v>Programado</v>
      </c>
      <c r="K2170" s="6" t="str">
        <f t="shared" si="110"/>
        <v>Programados</v>
      </c>
      <c r="L2170" s="8">
        <v>46160</v>
      </c>
      <c r="M2170" s="17">
        <f>MAX(1,NETWORKDAYS(A2170,L2170,Table2[Dias no laborales]))</f>
        <v>1</v>
      </c>
    </row>
    <row r="2171" spans="1:13" hidden="1" x14ac:dyDescent="0.3">
      <c r="A2171" s="8">
        <v>46160</v>
      </c>
      <c r="B2171" s="16" t="s">
        <v>4367</v>
      </c>
      <c r="C2171" s="6" t="s">
        <v>4391</v>
      </c>
      <c r="D2171" s="6" t="s">
        <v>103</v>
      </c>
      <c r="E2171" s="14"/>
      <c r="F2171" s="8">
        <f>IF(HOUR(Table1[[#This Row],[CORREO]])&gt;=11,WORKDAY(Table1[[#This Row],[CORREO]],1,Table2[Dias no laborales]),E2171)</f>
        <v>0</v>
      </c>
      <c r="G2171" s="8">
        <v>46160</v>
      </c>
      <c r="H2171" s="6">
        <f t="shared" si="109"/>
        <v>20</v>
      </c>
      <c r="I2171" s="6">
        <f>MAX(1, NETWORKDAYS(A2171, G2171,Table2[Dias no laborales]))</f>
        <v>1</v>
      </c>
      <c r="J2171" s="6" t="str">
        <f>IF(Table1[[#This Row],[FIN]]="","Acumulado",IF(ISNUMBER(SEARCH("ASAP",C2171)),"ASAP",IF(NETWORKDAYS.INTL(F2171,G2171,1,Table2[Dias no laborales]) &lt;= 7, "Dentro", IF(A2171&gt;F2171,"Programado","Fuera"))))</f>
        <v>Programado</v>
      </c>
      <c r="K2171" s="6" t="str">
        <f t="shared" si="110"/>
        <v>Programados</v>
      </c>
      <c r="L2171" s="8">
        <v>46160</v>
      </c>
      <c r="M2171" s="17">
        <f>MAX(1,NETWORKDAYS(A2171,L2171,Table2[Dias no laborales]))</f>
        <v>1</v>
      </c>
    </row>
    <row r="2172" spans="1:13" hidden="1" x14ac:dyDescent="0.3">
      <c r="A2172" s="8">
        <v>46160</v>
      </c>
      <c r="B2172" s="16" t="s">
        <v>4368</v>
      </c>
      <c r="C2172" s="6" t="s">
        <v>4392</v>
      </c>
      <c r="D2172" s="6" t="s">
        <v>449</v>
      </c>
      <c r="E2172" s="14"/>
      <c r="F2172" s="8">
        <f>IF(HOUR(Table1[[#This Row],[CORREO]])&gt;=11,WORKDAY(Table1[[#This Row],[CORREO]],1,Table2[Dias no laborales]),E2172)</f>
        <v>0</v>
      </c>
      <c r="G2172" s="8">
        <v>46160</v>
      </c>
      <c r="H2172" s="6">
        <f t="shared" si="109"/>
        <v>20</v>
      </c>
      <c r="I2172" s="6">
        <f>MAX(1, NETWORKDAYS(A2172, G2172,Table2[Dias no laborales]))</f>
        <v>1</v>
      </c>
      <c r="J2172" s="6" t="str">
        <f>IF(Table1[[#This Row],[FIN]]="","Acumulado",IF(ISNUMBER(SEARCH("ASAP",C2172)),"ASAP",IF(NETWORKDAYS.INTL(F2172,G2172,1,Table2[Dias no laborales]) &lt;= 7, "Dentro", IF(A2172&gt;F2172,"Programado","Fuera"))))</f>
        <v>Programado</v>
      </c>
      <c r="K2172" s="6" t="str">
        <f t="shared" si="110"/>
        <v>Programados</v>
      </c>
      <c r="L2172" s="8">
        <v>46160</v>
      </c>
      <c r="M2172" s="17">
        <f>MAX(1,NETWORKDAYS(A2172,L2172,Table2[Dias no laborales]))</f>
        <v>1</v>
      </c>
    </row>
    <row r="2173" spans="1:13" hidden="1" x14ac:dyDescent="0.3">
      <c r="A2173" s="8">
        <v>46160</v>
      </c>
      <c r="B2173" s="16" t="s">
        <v>4369</v>
      </c>
      <c r="C2173" s="6" t="s">
        <v>4393</v>
      </c>
      <c r="D2173" s="6" t="s">
        <v>3048</v>
      </c>
      <c r="E2173" s="14"/>
      <c r="F2173" s="8">
        <f>IF(HOUR(Table1[[#This Row],[CORREO]])&gt;=11,WORKDAY(Table1[[#This Row],[CORREO]],1,Table2[Dias no laborales]),E2173)</f>
        <v>0</v>
      </c>
      <c r="G2173" s="8">
        <v>46160</v>
      </c>
      <c r="H2173" s="6">
        <f t="shared" si="109"/>
        <v>20</v>
      </c>
      <c r="I2173" s="6">
        <f>MAX(1, NETWORKDAYS(A2173, G2173,Table2[Dias no laborales]))</f>
        <v>1</v>
      </c>
      <c r="J2173" s="6" t="str">
        <f>IF(Table1[[#This Row],[FIN]]="","Acumulado",IF(ISNUMBER(SEARCH("ASAP",C2173)),"ASAP",IF(NETWORKDAYS.INTL(F2173,G2173,1,Table2[Dias no laborales]) &lt;= 7, "Dentro", IF(A2173&gt;F2173,"Programado","Fuera"))))</f>
        <v>Programado</v>
      </c>
      <c r="K2173" s="6" t="str">
        <f t="shared" si="110"/>
        <v>Programados</v>
      </c>
      <c r="L2173" s="8">
        <v>46160</v>
      </c>
      <c r="M2173" s="17">
        <f>MAX(1,NETWORKDAYS(A2173,L2173,Table2[Dias no laborales]))</f>
        <v>1</v>
      </c>
    </row>
    <row r="2174" spans="1:13" hidden="1" x14ac:dyDescent="0.3">
      <c r="A2174" s="8">
        <v>46160</v>
      </c>
      <c r="B2174" s="16" t="s">
        <v>4370</v>
      </c>
      <c r="C2174" s="6" t="s">
        <v>4394</v>
      </c>
      <c r="D2174" s="6" t="s">
        <v>1333</v>
      </c>
      <c r="E2174" s="14"/>
      <c r="F2174" s="8">
        <f>IF(HOUR(Table1[[#This Row],[CORREO]])&gt;=11,WORKDAY(Table1[[#This Row],[CORREO]],1,Table2[Dias no laborales]),E2174)</f>
        <v>0</v>
      </c>
      <c r="G2174" s="8">
        <v>46161</v>
      </c>
      <c r="H2174" s="6">
        <f t="shared" si="109"/>
        <v>20</v>
      </c>
      <c r="I2174" s="6">
        <f>MAX(1, NETWORKDAYS(A2174, G2174,Table2[Dias no laborales]))</f>
        <v>2</v>
      </c>
      <c r="J2174" s="6" t="str">
        <f>IF(Table1[[#This Row],[FIN]]="","Acumulado",IF(ISNUMBER(SEARCH("ASAP",C2174)),"ASAP",IF(NETWORKDAYS.INTL(F2174,G2174,1,Table2[Dias no laborales]) &lt;= 7, "Dentro", IF(A2174&gt;F2174,"Programado","Fuera"))))</f>
        <v>Programado</v>
      </c>
      <c r="K2174" s="6" t="str">
        <f t="shared" si="110"/>
        <v>Programados</v>
      </c>
      <c r="L2174" s="8">
        <v>46170</v>
      </c>
      <c r="M2174" s="17">
        <f>MAX(1,NETWORKDAYS(A2174,L2174,Table2[Dias no laborales]))</f>
        <v>9</v>
      </c>
    </row>
    <row r="2175" spans="1:13" hidden="1" x14ac:dyDescent="0.3">
      <c r="A2175" s="8">
        <v>46160</v>
      </c>
      <c r="B2175" s="16" t="s">
        <v>4371</v>
      </c>
      <c r="C2175" s="6" t="s">
        <v>4337</v>
      </c>
      <c r="D2175" s="6" t="s">
        <v>269</v>
      </c>
      <c r="E2175" s="14"/>
      <c r="F2175" s="8">
        <f>IF(HOUR(Table1[[#This Row],[CORREO]])&gt;=11,WORKDAY(Table1[[#This Row],[CORREO]],1,Table2[Dias no laborales]),E2175)</f>
        <v>0</v>
      </c>
      <c r="G2175" s="8">
        <v>46160</v>
      </c>
      <c r="H2175" s="6">
        <f t="shared" si="109"/>
        <v>20</v>
      </c>
      <c r="I2175" s="6">
        <f>MAX(1, NETWORKDAYS(A2175, G2175,Table2[Dias no laborales]))</f>
        <v>1</v>
      </c>
      <c r="J2175" s="6" t="str">
        <f>IF(Table1[[#This Row],[FIN]]="","Acumulado",IF(ISNUMBER(SEARCH("ASAP",C2175)),"ASAP",IF(NETWORKDAYS.INTL(F2175,G2175,1,Table2[Dias no laborales]) &lt;= 7, "Dentro", IF(A2175&gt;F2175,"Programado","Fuera"))))</f>
        <v>Programado</v>
      </c>
      <c r="K2175" s="6" t="str">
        <f t="shared" si="110"/>
        <v>Programados</v>
      </c>
      <c r="L2175" s="8">
        <v>46160</v>
      </c>
      <c r="M2175" s="17">
        <f>MAX(1,NETWORKDAYS(A2175,L2175,Table2[Dias no laborales]))</f>
        <v>1</v>
      </c>
    </row>
    <row r="2176" spans="1:13" hidden="1" x14ac:dyDescent="0.3">
      <c r="A2176" s="8">
        <v>46160</v>
      </c>
      <c r="B2176" s="16" t="s">
        <v>4372</v>
      </c>
      <c r="C2176" s="6" t="s">
        <v>4395</v>
      </c>
      <c r="D2176" s="6" t="s">
        <v>24</v>
      </c>
      <c r="E2176" s="14"/>
      <c r="F2176" s="8">
        <f>IF(HOUR(Table1[[#This Row],[CORREO]])&gt;=11,WORKDAY(Table1[[#This Row],[CORREO]],1,Table2[Dias no laborales]),E2176)</f>
        <v>0</v>
      </c>
      <c r="G2176" s="8">
        <v>46164</v>
      </c>
      <c r="H2176" s="6">
        <f t="shared" si="109"/>
        <v>20</v>
      </c>
      <c r="I2176" s="6">
        <f>MAX(1, NETWORKDAYS(A2176, G2176,Table2[Dias no laborales]))</f>
        <v>5</v>
      </c>
      <c r="J2176" s="6" t="str">
        <f>IF(Table1[[#This Row],[FIN]]="","Acumulado",IF(ISNUMBER(SEARCH("ASAP",C2176)),"ASAP",IF(NETWORKDAYS.INTL(F2176,G2176,1,Table2[Dias no laborales]) &lt;= 7, "Dentro", IF(A2176&gt;F2176,"Programado","Fuera"))))</f>
        <v>Programado</v>
      </c>
      <c r="K2176" s="6" t="str">
        <f t="shared" si="110"/>
        <v>Programados</v>
      </c>
      <c r="L2176" s="8">
        <v>46160</v>
      </c>
      <c r="M2176" s="17">
        <f>MAX(1,NETWORKDAYS(A2176,L2176,Table2[Dias no laborales]))</f>
        <v>1</v>
      </c>
    </row>
    <row r="2177" spans="1:13" hidden="1" x14ac:dyDescent="0.3">
      <c r="A2177" s="8">
        <v>46160</v>
      </c>
      <c r="B2177" s="16" t="s">
        <v>4373</v>
      </c>
      <c r="C2177" s="6" t="s">
        <v>4396</v>
      </c>
      <c r="D2177" s="6" t="s">
        <v>186</v>
      </c>
      <c r="E2177" s="14">
        <v>46159.710416666669</v>
      </c>
      <c r="F2177" s="8">
        <f>IF(HOUR(Table1[[#This Row],[CORREO]])&gt;=11,WORKDAY(Table1[[#This Row],[CORREO]],1,Table2[Dias no laborales]),E2177)</f>
        <v>46160</v>
      </c>
      <c r="G2177" s="8">
        <v>46160</v>
      </c>
      <c r="H2177" s="6">
        <f t="shared" si="109"/>
        <v>20</v>
      </c>
      <c r="I2177" s="6">
        <f>MAX(1, NETWORKDAYS(A2177, G2177,Table2[Dias no laborales]))</f>
        <v>1</v>
      </c>
      <c r="J2177" s="6" t="str">
        <f>IF(Table1[[#This Row],[FIN]]="","Acumulado",IF(ISNUMBER(SEARCH("ASAP",C2177)),"ASAP",IF(NETWORKDAYS.INTL(F2177,G2177,1,Table2[Dias no laborales]) &lt;= 7, "Dentro", IF(A2177&gt;F2177,"Programado","Fuera"))))</f>
        <v>Dentro</v>
      </c>
      <c r="K2177" s="6" t="str">
        <f t="shared" si="110"/>
        <v>A tiempo</v>
      </c>
      <c r="L2177" s="8">
        <v>46160</v>
      </c>
      <c r="M2177" s="17">
        <f>MAX(1,NETWORKDAYS(A2177,L2177,Table2[Dias no laborales]))</f>
        <v>1</v>
      </c>
    </row>
    <row r="2178" spans="1:13" hidden="1" x14ac:dyDescent="0.3">
      <c r="A2178" s="8">
        <v>46160</v>
      </c>
      <c r="B2178" s="16" t="s">
        <v>4374</v>
      </c>
      <c r="C2178" s="6" t="s">
        <v>4397</v>
      </c>
      <c r="D2178" s="6" t="s">
        <v>593</v>
      </c>
      <c r="E2178" s="14">
        <v>46157.513194444444</v>
      </c>
      <c r="F2178" s="8">
        <f>IF(HOUR(Table1[[#This Row],[CORREO]])&gt;=11,WORKDAY(Table1[[#This Row],[CORREO]],1,Table2[Dias no laborales]),E2178)</f>
        <v>46160</v>
      </c>
      <c r="G2178" s="8">
        <v>46163</v>
      </c>
      <c r="H2178" s="6">
        <f t="shared" si="109"/>
        <v>20</v>
      </c>
      <c r="I2178" s="6">
        <f>MAX(1, NETWORKDAYS(A2178, G2178,Table2[Dias no laborales]))</f>
        <v>4</v>
      </c>
      <c r="J2178" s="6" t="str">
        <f>IF(Table1[[#This Row],[FIN]]="","Acumulado",IF(ISNUMBER(SEARCH("ASAP",C2178)),"ASAP",IF(NETWORKDAYS.INTL(F2178,G2178,1,Table2[Dias no laborales]) &lt;= 7, "Dentro", IF(A2178&gt;F2178,"Programado","Fuera"))))</f>
        <v>Dentro</v>
      </c>
      <c r="K2178" s="6" t="str">
        <f t="shared" si="110"/>
        <v>A tiempo</v>
      </c>
      <c r="L2178" s="8">
        <v>46160</v>
      </c>
      <c r="M2178" s="17">
        <f>MAX(1,NETWORKDAYS(A2178,L2178,Table2[Dias no laborales]))</f>
        <v>1</v>
      </c>
    </row>
    <row r="2179" spans="1:13" hidden="1" x14ac:dyDescent="0.3">
      <c r="A2179" s="8">
        <v>46160</v>
      </c>
      <c r="B2179" s="16" t="s">
        <v>4375</v>
      </c>
      <c r="C2179" s="6" t="s">
        <v>4293</v>
      </c>
      <c r="D2179" s="6" t="s">
        <v>1840</v>
      </c>
      <c r="E2179" s="14">
        <v>46157.527777777781</v>
      </c>
      <c r="F2179" s="8">
        <f>IF(HOUR(Table1[[#This Row],[CORREO]])&gt;=11,WORKDAY(Table1[[#This Row],[CORREO]],1,Table2[Dias no laborales]),E2179)</f>
        <v>46160</v>
      </c>
      <c r="G2179" s="8">
        <v>46170</v>
      </c>
      <c r="H2179" s="6">
        <f t="shared" si="109"/>
        <v>20</v>
      </c>
      <c r="I2179" s="6">
        <f>MAX(1, NETWORKDAYS(A2179, G2179,Table2[Dias no laborales]))</f>
        <v>9</v>
      </c>
      <c r="J2179" s="6" t="str">
        <f>IF(Table1[[#This Row],[FIN]]="","Acumulado",IF(ISNUMBER(SEARCH("ASAP",C2179)),"ASAP",IF(NETWORKDAYS.INTL(F2179,G2179,1,Table2[Dias no laborales]) &lt;= 7, "Dentro", IF(A2179&gt;F2179,"Programado","Fuera"))))</f>
        <v>Fuera</v>
      </c>
      <c r="K2179" s="6" t="str">
        <f t="shared" si="110"/>
        <v>A tiempo</v>
      </c>
      <c r="L2179" s="8">
        <v>46160</v>
      </c>
      <c r="M2179" s="17">
        <f>MAX(1,NETWORKDAYS(A2179,L2179,Table2[Dias no laborales]))</f>
        <v>1</v>
      </c>
    </row>
    <row r="2180" spans="1:13" hidden="1" x14ac:dyDescent="0.3">
      <c r="A2180" s="8">
        <v>46160</v>
      </c>
      <c r="B2180" s="16" t="s">
        <v>4376</v>
      </c>
      <c r="C2180" s="6" t="s">
        <v>4398</v>
      </c>
      <c r="D2180" s="6" t="s">
        <v>4346</v>
      </c>
      <c r="E2180" s="14">
        <v>46157.474305555559</v>
      </c>
      <c r="F2180" s="8">
        <f>IF(HOUR(Table1[[#This Row],[CORREO]])&gt;=11,WORKDAY(Table1[[#This Row],[CORREO]],1,Table2[Dias no laborales]),E2180)</f>
        <v>46160</v>
      </c>
      <c r="G2180" s="8">
        <v>46160</v>
      </c>
      <c r="H2180" s="6">
        <f t="shared" si="109"/>
        <v>20</v>
      </c>
      <c r="I2180" s="6">
        <f>MAX(1, NETWORKDAYS(A2180, G2180,Table2[Dias no laborales]))</f>
        <v>1</v>
      </c>
      <c r="J2180" s="6" t="str">
        <f>IF(Table1[[#This Row],[FIN]]="","Acumulado",IF(ISNUMBER(SEARCH("ASAP",C2180)),"ASAP",IF(NETWORKDAYS.INTL(F2180,G2180,1,Table2[Dias no laborales]) &lt;= 7, "Dentro", IF(A2180&gt;F2180,"Programado","Fuera"))))</f>
        <v>Dentro</v>
      </c>
      <c r="K2180" s="6" t="str">
        <f t="shared" si="110"/>
        <v>A tiempo</v>
      </c>
      <c r="L2180" s="8">
        <v>46160</v>
      </c>
      <c r="M2180" s="17">
        <f>MAX(1,NETWORKDAYS(A2180,L2180,Table2[Dias no laborales]))</f>
        <v>1</v>
      </c>
    </row>
    <row r="2181" spans="1:13" hidden="1" x14ac:dyDescent="0.3">
      <c r="A2181" s="8">
        <v>46160</v>
      </c>
      <c r="B2181" s="16" t="s">
        <v>4377</v>
      </c>
      <c r="C2181" s="6" t="s">
        <v>4399</v>
      </c>
      <c r="D2181" s="6" t="s">
        <v>2981</v>
      </c>
      <c r="E2181" s="14">
        <v>46160.383333333331</v>
      </c>
      <c r="F2181" s="8">
        <f>IF(HOUR(Table1[[#This Row],[CORREO]])&gt;=11,WORKDAY(Table1[[#This Row],[CORREO]],1,Table2[Dias no laborales]),E2181)</f>
        <v>46160.383333333331</v>
      </c>
      <c r="G2181" s="8">
        <v>46162</v>
      </c>
      <c r="H2181" s="6">
        <f t="shared" si="109"/>
        <v>20</v>
      </c>
      <c r="I2181" s="6">
        <f>MAX(1, NETWORKDAYS(A2181, G2181,Table2[Dias no laborales]))</f>
        <v>3</v>
      </c>
      <c r="J2181" s="6" t="str">
        <f>IF(Table1[[#This Row],[FIN]]="","Acumulado",IF(ISNUMBER(SEARCH("ASAP",C2181)),"ASAP",IF(NETWORKDAYS.INTL(F2181,G2181,1,Table2[Dias no laborales]) &lt;= 7, "Dentro", IF(A2181&gt;F2181,"Programado","Fuera"))))</f>
        <v>Dentro</v>
      </c>
      <c r="K2181" s="6" t="str">
        <f t="shared" si="110"/>
        <v>A tiempo</v>
      </c>
      <c r="L2181" s="8">
        <v>46160</v>
      </c>
      <c r="M2181" s="17">
        <f>MAX(1,NETWORKDAYS(A2181,L2181,Table2[Dias no laborales]))</f>
        <v>1</v>
      </c>
    </row>
    <row r="2182" spans="1:13" hidden="1" x14ac:dyDescent="0.3">
      <c r="A2182" s="8">
        <v>46160</v>
      </c>
      <c r="B2182" s="16" t="s">
        <v>4378</v>
      </c>
      <c r="C2182" s="6" t="s">
        <v>4400</v>
      </c>
      <c r="D2182" s="6" t="s">
        <v>18</v>
      </c>
      <c r="E2182" s="14">
        <v>46160.431250000001</v>
      </c>
      <c r="F2182" s="8">
        <f>IF(HOUR(Table1[[#This Row],[CORREO]])&gt;=11,WORKDAY(Table1[[#This Row],[CORREO]],1,Table2[Dias no laborales]),E2182)</f>
        <v>46160.431250000001</v>
      </c>
      <c r="G2182" s="8">
        <v>46167</v>
      </c>
      <c r="H2182" s="6">
        <f t="shared" si="109"/>
        <v>20</v>
      </c>
      <c r="I2182" s="6">
        <f>MAX(1, NETWORKDAYS(A2182, G2182,Table2[Dias no laborales]))</f>
        <v>6</v>
      </c>
      <c r="J2182" s="6" t="str">
        <f>IF(Table1[[#This Row],[FIN]]="","Acumulado",IF(ISNUMBER(SEARCH("ASAP",C2182)),"ASAP",IF(NETWORKDAYS.INTL(F2182,G2182,1,Table2[Dias no laborales]) &lt;= 7, "Dentro", IF(A2182&gt;F2182,"Programado","Fuera"))))</f>
        <v>Dentro</v>
      </c>
      <c r="K2182" s="6" t="str">
        <f t="shared" si="110"/>
        <v>A tiempo</v>
      </c>
      <c r="L2182" s="8">
        <v>46160</v>
      </c>
      <c r="M2182" s="17">
        <f>MAX(1,NETWORKDAYS(A2182,L2182,Table2[Dias no laborales]))</f>
        <v>1</v>
      </c>
    </row>
    <row r="2183" spans="1:13" hidden="1" x14ac:dyDescent="0.3">
      <c r="A2183" s="8">
        <v>46160</v>
      </c>
      <c r="B2183" s="16" t="s">
        <v>4379</v>
      </c>
      <c r="C2183" s="6" t="s">
        <v>4401</v>
      </c>
      <c r="D2183" s="6" t="s">
        <v>133</v>
      </c>
      <c r="E2183" s="14">
        <v>46160.46597222222</v>
      </c>
      <c r="F2183" s="8">
        <f>IF(HOUR(Table1[[#This Row],[CORREO]])&gt;=11,WORKDAY(Table1[[#This Row],[CORREO]],1,Table2[Dias no laborales]),E2183)</f>
        <v>46161</v>
      </c>
      <c r="G2183" s="8">
        <v>46162</v>
      </c>
      <c r="H2183" s="6">
        <f t="shared" si="109"/>
        <v>20</v>
      </c>
      <c r="I2183" s="6">
        <f>MAX(1, NETWORKDAYS(A2183, G2183,Table2[Dias no laborales]))</f>
        <v>3</v>
      </c>
      <c r="J2183" s="6" t="str">
        <f>IF(Table1[[#This Row],[FIN]]="","Acumulado",IF(ISNUMBER(SEARCH("ASAP",C2183)),"ASAP",IF(NETWORKDAYS.INTL(F2183,G2183,1,Table2[Dias no laborales]) &lt;= 7, "Dentro", IF(A2183&gt;F2183,"Programado","Fuera"))))</f>
        <v>Dentro</v>
      </c>
      <c r="K2183" s="6" t="str">
        <f t="shared" si="110"/>
        <v>Mismo día</v>
      </c>
      <c r="L2183" s="8">
        <v>46160</v>
      </c>
      <c r="M2183" s="17">
        <f>MAX(1,NETWORKDAYS(A2183,L2183,Table2[Dias no laborales]))</f>
        <v>1</v>
      </c>
    </row>
    <row r="2184" spans="1:13" hidden="1" x14ac:dyDescent="0.3">
      <c r="A2184" s="8">
        <v>46160</v>
      </c>
      <c r="B2184" s="16" t="s">
        <v>4380</v>
      </c>
      <c r="C2184" s="6" t="s">
        <v>4322</v>
      </c>
      <c r="D2184" s="6" t="s">
        <v>24</v>
      </c>
      <c r="E2184" s="14"/>
      <c r="F2184" s="8">
        <f>IF(HOUR(Table1[[#This Row],[CORREO]])&gt;=11,WORKDAY(Table1[[#This Row],[CORREO]],1,Table2[Dias no laborales]),E2184)</f>
        <v>0</v>
      </c>
      <c r="G2184" s="8">
        <v>46164</v>
      </c>
      <c r="H2184" s="6">
        <f t="shared" si="109"/>
        <v>20</v>
      </c>
      <c r="I2184" s="6">
        <f>MAX(1, NETWORKDAYS(A2184, G2184,Table2[Dias no laborales]))</f>
        <v>5</v>
      </c>
      <c r="J2184" s="6" t="str">
        <f>IF(Table1[[#This Row],[FIN]]="","Acumulado",IF(ISNUMBER(SEARCH("ASAP",C2184)),"ASAP",IF(NETWORKDAYS.INTL(F2184,G2184,1,Table2[Dias no laborales]) &lt;= 7, "Dentro", IF(A2184&gt;F2184,"Programado","Fuera"))))</f>
        <v>Programado</v>
      </c>
      <c r="K2184" s="6" t="str">
        <f t="shared" si="110"/>
        <v>Programados</v>
      </c>
      <c r="L2184" s="8">
        <v>46160</v>
      </c>
      <c r="M2184" s="17">
        <f>MAX(1,NETWORKDAYS(A2184,L2184,Table2[Dias no laborales]))</f>
        <v>1</v>
      </c>
    </row>
    <row r="2185" spans="1:13" hidden="1" x14ac:dyDescent="0.3">
      <c r="A2185" s="8">
        <v>46161</v>
      </c>
      <c r="B2185" s="16" t="s">
        <v>4381</v>
      </c>
      <c r="C2185" s="6" t="s">
        <v>4402</v>
      </c>
      <c r="D2185" s="6" t="s">
        <v>3814</v>
      </c>
      <c r="E2185" s="14">
        <v>46161.316666666666</v>
      </c>
      <c r="F2185" s="8">
        <f>IF(HOUR(Table1[[#This Row],[CORREO]])&gt;=11,WORKDAY(Table1[[#This Row],[CORREO]],1,Table2[Dias no laborales]),E2185)</f>
        <v>46161.316666666666</v>
      </c>
      <c r="G2185" s="8">
        <v>46162</v>
      </c>
      <c r="H2185" s="6">
        <f t="shared" si="109"/>
        <v>20</v>
      </c>
      <c r="I2185" s="6">
        <f>MAX(1, NETWORKDAYS(A2185, G2185,Table2[Dias no laborales]))</f>
        <v>2</v>
      </c>
      <c r="J2185" s="6" t="str">
        <f>IF(Table1[[#This Row],[FIN]]="","Acumulado",IF(ISNUMBER(SEARCH("ASAP",C2185)),"ASAP",IF(NETWORKDAYS.INTL(F2185,G2185,1,Table2[Dias no laborales]) &lt;= 7, "Dentro", IF(A2185&gt;F2185,"Programado","Fuera"))))</f>
        <v>Dentro</v>
      </c>
      <c r="K2185" s="6" t="str">
        <f t="shared" si="110"/>
        <v>A tiempo</v>
      </c>
      <c r="L2185" s="8">
        <v>46161</v>
      </c>
      <c r="M2185" s="17">
        <f>MAX(1,NETWORKDAYS(A2185,L2185,Table2[Dias no laborales]))</f>
        <v>1</v>
      </c>
    </row>
    <row r="2186" spans="1:13" hidden="1" x14ac:dyDescent="0.3">
      <c r="A2186" s="8">
        <v>46161</v>
      </c>
      <c r="B2186" s="16" t="s">
        <v>4382</v>
      </c>
      <c r="C2186" s="6" t="s">
        <v>4403</v>
      </c>
      <c r="D2186" s="6" t="s">
        <v>194</v>
      </c>
      <c r="E2186" s="14">
        <v>46161.361805555556</v>
      </c>
      <c r="F2186" s="8">
        <f>IF(HOUR(Table1[[#This Row],[CORREO]])&gt;=11,WORKDAY(Table1[[#This Row],[CORREO]],1,Table2[Dias no laborales]),E2186)</f>
        <v>46161.361805555556</v>
      </c>
      <c r="G2186" s="8">
        <v>46167</v>
      </c>
      <c r="H2186" s="6">
        <f t="shared" si="109"/>
        <v>20</v>
      </c>
      <c r="I2186" s="6">
        <f>MAX(1, NETWORKDAYS(A2186, G2186,Table2[Dias no laborales]))</f>
        <v>5</v>
      </c>
      <c r="J2186" s="6" t="str">
        <f>IF(Table1[[#This Row],[FIN]]="","Acumulado",IF(ISNUMBER(SEARCH("ASAP",C2186)),"ASAP",IF(NETWORKDAYS.INTL(F2186,G2186,1,Table2[Dias no laborales]) &lt;= 7, "Dentro", IF(A2186&gt;F2186,"Programado","Fuera"))))</f>
        <v>Dentro</v>
      </c>
      <c r="K2186" s="6" t="str">
        <f t="shared" si="110"/>
        <v>A tiempo</v>
      </c>
      <c r="L2186" s="8">
        <v>46162</v>
      </c>
      <c r="M2186" s="17">
        <f>MAX(1,NETWORKDAYS(A2186,L2186,Table2[Dias no laborales]))</f>
        <v>2</v>
      </c>
    </row>
    <row r="2187" spans="1:13" hidden="1" x14ac:dyDescent="0.3">
      <c r="A2187" s="8">
        <v>46161</v>
      </c>
      <c r="B2187" s="16" t="s">
        <v>4383</v>
      </c>
      <c r="C2187" s="6" t="s">
        <v>4404</v>
      </c>
      <c r="D2187" s="6" t="s">
        <v>1360</v>
      </c>
      <c r="E2187" s="14">
        <v>46161.441666666666</v>
      </c>
      <c r="F2187" s="8">
        <f>IF(HOUR(Table1[[#This Row],[CORREO]])&gt;=11,WORKDAY(Table1[[#This Row],[CORREO]],1,Table2[Dias no laborales]),E2187)</f>
        <v>46161.441666666666</v>
      </c>
      <c r="G2187" s="8">
        <v>46170</v>
      </c>
      <c r="H2187" s="6">
        <f t="shared" si="109"/>
        <v>20</v>
      </c>
      <c r="I2187" s="6">
        <f>MAX(1, NETWORKDAYS(A2187, G2187,Table2[Dias no laborales]))</f>
        <v>8</v>
      </c>
      <c r="J2187" s="6" t="str">
        <f>IF(Table1[[#This Row],[FIN]]="","Acumulado",IF(ISNUMBER(SEARCH("ASAP",C2187)),"ASAP",IF(NETWORKDAYS.INTL(F2187,G2187,1,Table2[Dias no laborales]) &lt;= 7, "Dentro", IF(A2187&gt;F2187,"Programado","Fuera"))))</f>
        <v>Fuera</v>
      </c>
      <c r="K2187" s="6" t="str">
        <f t="shared" si="110"/>
        <v>A tiempo</v>
      </c>
      <c r="L2187" s="8">
        <v>46162</v>
      </c>
      <c r="M2187" s="17">
        <f>MAX(1,NETWORKDAYS(A2187,L2187,Table2[Dias no laborales]))</f>
        <v>2</v>
      </c>
    </row>
    <row r="2188" spans="1:13" hidden="1" x14ac:dyDescent="0.3">
      <c r="A2188" s="8">
        <v>46161</v>
      </c>
      <c r="B2188" s="16" t="s">
        <v>4384</v>
      </c>
      <c r="C2188" s="6" t="s">
        <v>4405</v>
      </c>
      <c r="D2188" s="14" t="s">
        <v>1333</v>
      </c>
      <c r="E2188" s="14">
        <v>46161.567361111112</v>
      </c>
      <c r="F2188" s="8">
        <f>IF(HOUR(Table1[[#This Row],[CORREO]])&gt;=11,WORKDAY(Table1[[#This Row],[CORREO]],1,Table2[Dias no laborales]),E2188)</f>
        <v>46162</v>
      </c>
      <c r="G2188" s="8">
        <v>46164</v>
      </c>
      <c r="H2188" s="6">
        <f t="shared" si="109"/>
        <v>20</v>
      </c>
      <c r="I2188" s="6">
        <f>MAX(1, NETWORKDAYS(A2188, G2188,Table2[Dias no laborales]))</f>
        <v>4</v>
      </c>
      <c r="J2188" s="6" t="str">
        <f>IF(Table1[[#This Row],[FIN]]="","Acumulado",IF(ISNUMBER(SEARCH("ASAP",C2188)),"ASAP",IF(NETWORKDAYS.INTL(F2188,G2188,1,Table2[Dias no laborales]) &lt;= 7, "Dentro", IF(A2188&gt;F2188,"Programado","Fuera"))))</f>
        <v>Dentro</v>
      </c>
      <c r="K2188" s="6" t="str">
        <f t="shared" si="110"/>
        <v>Mismo día</v>
      </c>
      <c r="L2188" s="8">
        <v>46161</v>
      </c>
      <c r="M2188" s="17">
        <f>MAX(1,NETWORKDAYS(A2188,L2188,Table2[Dias no laborales]))</f>
        <v>1</v>
      </c>
    </row>
    <row r="2189" spans="1:13" hidden="1" x14ac:dyDescent="0.3">
      <c r="A2189" s="8">
        <v>46161</v>
      </c>
      <c r="B2189" s="16" t="s">
        <v>4385</v>
      </c>
      <c r="C2189" s="6" t="s">
        <v>4406</v>
      </c>
      <c r="D2189" s="6" t="s">
        <v>230</v>
      </c>
      <c r="E2189" s="14">
        <v>46161.681250000001</v>
      </c>
      <c r="F2189" s="8">
        <f>IF(HOUR(Table1[[#This Row],[CORREO]])&gt;=11,WORKDAY(Table1[[#This Row],[CORREO]],1,Table2[Dias no laborales]),E2189)</f>
        <v>46162</v>
      </c>
      <c r="G2189" s="8">
        <v>46163</v>
      </c>
      <c r="H2189" s="6">
        <f t="shared" si="109"/>
        <v>20</v>
      </c>
      <c r="I2189" s="6">
        <f>MAX(1, NETWORKDAYS(A2189, G2189,Table2[Dias no laborales]))</f>
        <v>3</v>
      </c>
      <c r="J2189" s="6" t="str">
        <f>IF(Table1[[#This Row],[FIN]]="","Acumulado",IF(ISNUMBER(SEARCH("ASAP",C2189)),"ASAP",IF(NETWORKDAYS.INTL(F2189,G2189,1,Table2[Dias no laborales]) &lt;= 7, "Dentro", IF(A2189&gt;F2189,"Programado","Fuera"))))</f>
        <v>Dentro</v>
      </c>
      <c r="K2189" s="6" t="str">
        <f t="shared" si="110"/>
        <v>Mismo día</v>
      </c>
      <c r="L2189" s="8">
        <v>46161</v>
      </c>
      <c r="M2189" s="17">
        <f>MAX(1,NETWORKDAYS(A2189,L2189,Table2[Dias no laborales]))</f>
        <v>1</v>
      </c>
    </row>
    <row r="2190" spans="1:13" hidden="1" x14ac:dyDescent="0.3">
      <c r="A2190" s="8">
        <v>46162</v>
      </c>
      <c r="B2190" s="16" t="s">
        <v>4386</v>
      </c>
      <c r="C2190" s="6" t="s">
        <v>4407</v>
      </c>
      <c r="D2190" s="6" t="s">
        <v>3794</v>
      </c>
      <c r="E2190" s="14">
        <v>46161.575694444444</v>
      </c>
      <c r="F2190" s="8">
        <f>IF(HOUR(Table1[[#This Row],[CORREO]])&gt;=11,WORKDAY(Table1[[#This Row],[CORREO]],1,Table2[Dias no laborales]),E2190)</f>
        <v>46162</v>
      </c>
      <c r="G2190" s="8">
        <v>46170</v>
      </c>
      <c r="H2190" s="6">
        <f t="shared" si="109"/>
        <v>20</v>
      </c>
      <c r="I2190" s="6">
        <f>MAX(1, NETWORKDAYS(A2190, G2190,Table2[Dias no laborales]))</f>
        <v>7</v>
      </c>
      <c r="J2190" s="6" t="str">
        <f>IF(Table1[[#This Row],[FIN]]="","Acumulado",IF(ISNUMBER(SEARCH("ASAP",C2190)),"ASAP",IF(NETWORKDAYS.INTL(F2190,G2190,1,Table2[Dias no laborales]) &lt;= 7, "Dentro", IF(A2190&gt;F2190,"Programado","Fuera"))))</f>
        <v>Dentro</v>
      </c>
      <c r="K2190" s="6" t="str">
        <f t="shared" si="110"/>
        <v>A tiempo</v>
      </c>
      <c r="L2190" s="8">
        <v>46162</v>
      </c>
      <c r="M2190" s="17">
        <f>MAX(1,NETWORKDAYS(A2190,L2190,Table2[Dias no laborales]))</f>
        <v>1</v>
      </c>
    </row>
    <row r="2191" spans="1:13" hidden="1" x14ac:dyDescent="0.3">
      <c r="A2191" s="8">
        <v>46162</v>
      </c>
      <c r="B2191" s="16" t="s">
        <v>4387</v>
      </c>
      <c r="C2191" s="6" t="s">
        <v>4408</v>
      </c>
      <c r="D2191" s="14" t="s">
        <v>351</v>
      </c>
      <c r="E2191" s="14">
        <v>46161.652083333334</v>
      </c>
      <c r="F2191" s="8">
        <f>IF(HOUR(Table1[[#This Row],[CORREO]])&gt;=11,WORKDAY(Table1[[#This Row],[CORREO]],1,Table2[Dias no laborales]),E2191)</f>
        <v>46162</v>
      </c>
      <c r="G2191" s="8">
        <v>46162</v>
      </c>
      <c r="H2191" s="6">
        <f t="shared" si="109"/>
        <v>20</v>
      </c>
      <c r="I2191" s="6">
        <f>MAX(1, NETWORKDAYS(A2191, G2191,Table2[Dias no laborales]))</f>
        <v>1</v>
      </c>
      <c r="J2191" s="6" t="str">
        <f>IF(Table1[[#This Row],[FIN]]="","Acumulado",IF(ISNUMBER(SEARCH("ASAP",C2191)),"ASAP",IF(NETWORKDAYS.INTL(F2191,G2191,1,Table2[Dias no laborales]) &lt;= 7, "Dentro", IF(A2191&gt;F2191,"Programado","Fuera"))))</f>
        <v>Dentro</v>
      </c>
      <c r="K2191" s="6" t="str">
        <f t="shared" si="110"/>
        <v>A tiempo</v>
      </c>
      <c r="L2191" s="8">
        <v>46162</v>
      </c>
      <c r="M2191" s="17">
        <f>MAX(1,NETWORKDAYS(A2191,L2191,Table2[Dias no laborales]))</f>
        <v>1</v>
      </c>
    </row>
    <row r="2192" spans="1:13" hidden="1" x14ac:dyDescent="0.3">
      <c r="A2192" s="8">
        <v>46162</v>
      </c>
      <c r="B2192" s="16" t="s">
        <v>4388</v>
      </c>
      <c r="C2192" s="6" t="s">
        <v>4409</v>
      </c>
      <c r="D2192" s="6" t="s">
        <v>194</v>
      </c>
      <c r="E2192" s="14">
        <v>46162.4375</v>
      </c>
      <c r="F2192" s="8">
        <f>IF(HOUR(Table1[[#This Row],[CORREO]])&gt;=11,WORKDAY(Table1[[#This Row],[CORREO]],1,Table2[Dias no laborales]),E2192)</f>
        <v>46162.4375</v>
      </c>
      <c r="G2192" s="8">
        <v>46162</v>
      </c>
      <c r="H2192" s="6">
        <f t="shared" si="109"/>
        <v>20</v>
      </c>
      <c r="I2192" s="6">
        <f>MAX(1, NETWORKDAYS(A2192, G2192,Table2[Dias no laborales]))</f>
        <v>1</v>
      </c>
      <c r="J2192" s="6" t="str">
        <f>IF(Table1[[#This Row],[FIN]]="","Acumulado",IF(ISNUMBER(SEARCH("ASAP",C2192)),"ASAP",IF(NETWORKDAYS.INTL(F2192,G2192,1,Table2[Dias no laborales]) &lt;= 7, "Dentro", IF(A2192&gt;F2192,"Programado","Fuera"))))</f>
        <v>Dentro</v>
      </c>
      <c r="K2192" s="6" t="str">
        <f t="shared" si="110"/>
        <v>A tiempo</v>
      </c>
      <c r="L2192" s="8">
        <v>46162</v>
      </c>
      <c r="M2192" s="17">
        <f>MAX(1,NETWORKDAYS(A2192,L2192,Table2[Dias no laborales]))</f>
        <v>1</v>
      </c>
    </row>
    <row r="2193" spans="1:13" hidden="1" x14ac:dyDescent="0.3">
      <c r="A2193" s="8">
        <v>46162</v>
      </c>
      <c r="B2193" s="16" t="s">
        <v>4410</v>
      </c>
      <c r="C2193" s="6" t="s">
        <v>4426</v>
      </c>
      <c r="D2193" s="6" t="s">
        <v>1333</v>
      </c>
      <c r="E2193" s="14">
        <v>46162.561805555553</v>
      </c>
      <c r="F2193" s="8">
        <f>IF(HOUR(Table1[[#This Row],[CORREO]])&gt;=11,WORKDAY(Table1[[#This Row],[CORREO]],1,Table2[Dias no laborales]),E2193)</f>
        <v>46163</v>
      </c>
      <c r="G2193" s="8">
        <v>46163</v>
      </c>
      <c r="H2193" s="6">
        <f t="shared" ref="H2193:H2208" si="111">INT((A2193-DATE(YEAR(A2193),1,1))/7) + 1</f>
        <v>20</v>
      </c>
      <c r="I2193" s="6">
        <f>MAX(1, NETWORKDAYS(A2193, G2193,Table2[Dias no laborales]))</f>
        <v>2</v>
      </c>
      <c r="J2193" s="6" t="str">
        <f>IF(Table1[[#This Row],[FIN]]="","Acumulado",IF(ISNUMBER(SEARCH("ASAP",C2193)),"ASAP",IF(NETWORKDAYS.INTL(F2193,G2193,1,Table2[Dias no laborales]) &lt;= 7, "Dentro", IF(A2193&gt;F2193,"Programado","Fuera"))))</f>
        <v>Dentro</v>
      </c>
      <c r="K2193" s="6" t="str">
        <f t="shared" ref="K2193:K2208" si="112">IF(INT(A2193)=INT(F2193),"A tiempo", IF(A2193&lt;F2193,"Mismo día","Programados"))</f>
        <v>Mismo día</v>
      </c>
      <c r="L2193" s="8">
        <v>46162</v>
      </c>
      <c r="M2193" s="17">
        <f>MAX(1,NETWORKDAYS(A2193,L2193,Table2[Dias no laborales]))</f>
        <v>1</v>
      </c>
    </row>
    <row r="2194" spans="1:13" hidden="1" x14ac:dyDescent="0.3">
      <c r="A2194" s="8">
        <v>46163</v>
      </c>
      <c r="B2194" s="16" t="s">
        <v>4411</v>
      </c>
      <c r="C2194" s="6" t="s">
        <v>4427</v>
      </c>
      <c r="D2194" s="6" t="s">
        <v>351</v>
      </c>
      <c r="E2194" s="14">
        <v>46162.529166666667</v>
      </c>
      <c r="F2194" s="8">
        <f>IF(HOUR(Table1[[#This Row],[CORREO]])&gt;=11,WORKDAY(Table1[[#This Row],[CORREO]],1,Table2[Dias no laborales]),E2194)</f>
        <v>46163</v>
      </c>
      <c r="G2194" s="8">
        <v>46164</v>
      </c>
      <c r="H2194" s="6">
        <f t="shared" si="111"/>
        <v>21</v>
      </c>
      <c r="I2194" s="6">
        <f>MAX(1, NETWORKDAYS(A2194, G2194,Table2[Dias no laborales]))</f>
        <v>2</v>
      </c>
      <c r="J2194" s="6" t="str">
        <f>IF(Table1[[#This Row],[FIN]]="","Acumulado",IF(ISNUMBER(SEARCH("ASAP",C2194)),"ASAP",IF(NETWORKDAYS.INTL(F2194,G2194,1,Table2[Dias no laborales]) &lt;= 7, "Dentro", IF(A2194&gt;F2194,"Programado","Fuera"))))</f>
        <v>Dentro</v>
      </c>
      <c r="K2194" s="6" t="str">
        <f t="shared" si="112"/>
        <v>A tiempo</v>
      </c>
      <c r="L2194" s="8">
        <v>46163</v>
      </c>
      <c r="M2194" s="17">
        <f>MAX(1,NETWORKDAYS(A2194,L2194,Table2[Dias no laborales]))</f>
        <v>1</v>
      </c>
    </row>
    <row r="2195" spans="1:13" hidden="1" x14ac:dyDescent="0.3">
      <c r="A2195" s="8">
        <v>46163</v>
      </c>
      <c r="B2195" s="16" t="s">
        <v>4412</v>
      </c>
      <c r="C2195" s="6" t="s">
        <v>4484</v>
      </c>
      <c r="D2195" s="6" t="s">
        <v>1735</v>
      </c>
      <c r="E2195" s="14">
        <v>46162.627083333333</v>
      </c>
      <c r="F2195" s="8">
        <f>IF(HOUR(Table1[[#This Row],[CORREO]])&gt;=11,WORKDAY(Table1[[#This Row],[CORREO]],1,Table2[Dias no laborales]),E2195)</f>
        <v>46163</v>
      </c>
      <c r="G2195" s="8">
        <v>46167</v>
      </c>
      <c r="H2195" s="6">
        <f t="shared" si="111"/>
        <v>21</v>
      </c>
      <c r="I2195" s="6">
        <f>MAX(1, NETWORKDAYS(A2195, G2195,Table2[Dias no laborales]))</f>
        <v>3</v>
      </c>
      <c r="J2195" s="6" t="str">
        <f>IF(Table1[[#This Row],[FIN]]="","Acumulado",IF(ISNUMBER(SEARCH("ASAP",C2195)),"ASAP",IF(NETWORKDAYS.INTL(F2195,G2195,1,Table2[Dias no laborales]) &lt;= 7, "Dentro", IF(A2195&gt;F2195,"Programado","Fuera"))))</f>
        <v>Dentro</v>
      </c>
      <c r="K2195" s="6" t="str">
        <f t="shared" si="112"/>
        <v>A tiempo</v>
      </c>
      <c r="L2195" s="8">
        <v>46163</v>
      </c>
      <c r="M2195" s="17">
        <f>MAX(1,NETWORKDAYS(A2195,L2195,Table2[Dias no laborales]))</f>
        <v>1</v>
      </c>
    </row>
    <row r="2196" spans="1:13" hidden="1" x14ac:dyDescent="0.3">
      <c r="A2196" s="8">
        <v>46163</v>
      </c>
      <c r="B2196" s="16" t="s">
        <v>4413</v>
      </c>
      <c r="C2196" s="6" t="s">
        <v>4485</v>
      </c>
      <c r="D2196" s="6" t="s">
        <v>30</v>
      </c>
      <c r="E2196" s="14">
        <v>46162.686111111114</v>
      </c>
      <c r="F2196" s="8">
        <f>IF(HOUR(Table1[[#This Row],[CORREO]])&gt;=11,WORKDAY(Table1[[#This Row],[CORREO]],1,Table2[Dias no laborales]),E2196)</f>
        <v>46163</v>
      </c>
      <c r="G2196" s="8">
        <v>46164</v>
      </c>
      <c r="H2196" s="6">
        <f t="shared" si="111"/>
        <v>21</v>
      </c>
      <c r="I2196" s="6">
        <f>MAX(1, NETWORKDAYS(A2196, G2196,Table2[Dias no laborales]))</f>
        <v>2</v>
      </c>
      <c r="J2196" s="6" t="str">
        <f>IF(Table1[[#This Row],[FIN]]="","Acumulado",IF(ISNUMBER(SEARCH("ASAP",C2196)),"ASAP",IF(NETWORKDAYS.INTL(F2196,G2196,1,Table2[Dias no laborales]) &lt;= 7, "Dentro", IF(A2196&gt;F2196,"Programado","Fuera"))))</f>
        <v>Dentro</v>
      </c>
      <c r="K2196" s="6" t="str">
        <f t="shared" si="112"/>
        <v>A tiempo</v>
      </c>
      <c r="L2196" s="8">
        <v>46163</v>
      </c>
      <c r="M2196" s="17">
        <f>MAX(1,NETWORKDAYS(A2196,L2196,Table2[Dias no laborales]))</f>
        <v>1</v>
      </c>
    </row>
    <row r="2197" spans="1:13" hidden="1" x14ac:dyDescent="0.3">
      <c r="A2197" s="8">
        <v>46163</v>
      </c>
      <c r="B2197" s="16" t="s">
        <v>4414</v>
      </c>
      <c r="C2197" s="6" t="s">
        <v>4409</v>
      </c>
      <c r="D2197" s="6" t="s">
        <v>194</v>
      </c>
      <c r="E2197" s="14">
        <v>46162.767361111109</v>
      </c>
      <c r="F2197" s="8">
        <f>IF(HOUR(Table1[[#This Row],[CORREO]])&gt;=11,WORKDAY(Table1[[#This Row],[CORREO]],1,Table2[Dias no laborales]),E2197)</f>
        <v>46163</v>
      </c>
      <c r="G2197" s="8">
        <v>46164</v>
      </c>
      <c r="H2197" s="6">
        <f t="shared" si="111"/>
        <v>21</v>
      </c>
      <c r="I2197" s="6">
        <f>MAX(1, NETWORKDAYS(A2197, G2197,Table2[Dias no laborales]))</f>
        <v>2</v>
      </c>
      <c r="J2197" s="6" t="str">
        <f>IF(Table1[[#This Row],[FIN]]="","Acumulado",IF(ISNUMBER(SEARCH("ASAP",C2197)),"ASAP",IF(NETWORKDAYS.INTL(F2197,G2197,1,Table2[Dias no laborales]) &lt;= 7, "Dentro", IF(A2197&gt;F2197,"Programado","Fuera"))))</f>
        <v>Dentro</v>
      </c>
      <c r="K2197" s="6" t="str">
        <f t="shared" si="112"/>
        <v>A tiempo</v>
      </c>
      <c r="L2197" s="8">
        <v>46163</v>
      </c>
      <c r="M2197" s="17">
        <f>MAX(1,NETWORKDAYS(A2197,L2197,Table2[Dias no laborales]))</f>
        <v>1</v>
      </c>
    </row>
    <row r="2198" spans="1:13" hidden="1" x14ac:dyDescent="0.3">
      <c r="A2198" s="8">
        <v>46163</v>
      </c>
      <c r="B2198" s="16" t="s">
        <v>4415</v>
      </c>
      <c r="C2198" s="6" t="s">
        <v>4486</v>
      </c>
      <c r="D2198" s="6" t="s">
        <v>24</v>
      </c>
      <c r="E2198" s="14">
        <v>46163.361805555556</v>
      </c>
      <c r="F2198" s="8">
        <f>IF(HOUR(Table1[[#This Row],[CORREO]])&gt;=11,WORKDAY(Table1[[#This Row],[CORREO]],1,Table2[Dias no laborales]),E2198)</f>
        <v>46163.361805555556</v>
      </c>
      <c r="G2198" s="8">
        <v>46164</v>
      </c>
      <c r="H2198" s="6">
        <f t="shared" si="111"/>
        <v>21</v>
      </c>
      <c r="I2198" s="6">
        <f>MAX(1, NETWORKDAYS(A2198, G2198,Table2[Dias no laborales]))</f>
        <v>2</v>
      </c>
      <c r="J2198" s="6" t="str">
        <f>IF(Table1[[#This Row],[FIN]]="","Acumulado",IF(ISNUMBER(SEARCH("ASAP",C2198)),"ASAP",IF(NETWORKDAYS.INTL(F2198,G2198,1,Table2[Dias no laborales]) &lt;= 7, "Dentro", IF(A2198&gt;F2198,"Programado","Fuera"))))</f>
        <v>Dentro</v>
      </c>
      <c r="K2198" s="6" t="str">
        <f t="shared" si="112"/>
        <v>A tiempo</v>
      </c>
      <c r="L2198" s="8">
        <v>46163</v>
      </c>
      <c r="M2198" s="17">
        <f>MAX(1,NETWORKDAYS(A2198,L2198,Table2[Dias no laborales]))</f>
        <v>1</v>
      </c>
    </row>
    <row r="2199" spans="1:13" hidden="1" x14ac:dyDescent="0.3">
      <c r="A2199" s="8">
        <v>46163</v>
      </c>
      <c r="B2199" s="16" t="s">
        <v>4416</v>
      </c>
      <c r="C2199" s="6" t="s">
        <v>4487</v>
      </c>
      <c r="D2199" s="14" t="s">
        <v>24</v>
      </c>
      <c r="E2199" s="14">
        <v>46163.395138888889</v>
      </c>
      <c r="F2199" s="8">
        <f>IF(HOUR(Table1[[#This Row],[CORREO]])&gt;=11,WORKDAY(Table1[[#This Row],[CORREO]],1,Table2[Dias no laborales]),E2199)</f>
        <v>46163.395138888889</v>
      </c>
      <c r="G2199" s="8">
        <v>46163</v>
      </c>
      <c r="H2199" s="6">
        <f t="shared" si="111"/>
        <v>21</v>
      </c>
      <c r="I2199" s="6">
        <f>MAX(1, NETWORKDAYS(A2199, G2199,Table2[Dias no laborales]))</f>
        <v>1</v>
      </c>
      <c r="J2199" s="6" t="str">
        <f>IF(Table1[[#This Row],[FIN]]="","Acumulado",IF(ISNUMBER(SEARCH("ASAP",C2199)),"ASAP",IF(NETWORKDAYS.INTL(F2199,G2199,1,Table2[Dias no laborales]) &lt;= 7, "Dentro", IF(A2199&gt;F2199,"Programado","Fuera"))))</f>
        <v>Dentro</v>
      </c>
      <c r="K2199" s="6" t="str">
        <f t="shared" si="112"/>
        <v>A tiempo</v>
      </c>
      <c r="L2199" s="8">
        <v>46163</v>
      </c>
      <c r="M2199" s="17">
        <f>MAX(1,NETWORKDAYS(A2199,L2199,Table2[Dias no laborales]))</f>
        <v>1</v>
      </c>
    </row>
    <row r="2200" spans="1:13" hidden="1" x14ac:dyDescent="0.3">
      <c r="A2200" s="8">
        <v>46163</v>
      </c>
      <c r="B2200" s="16" t="s">
        <v>4417</v>
      </c>
      <c r="C2200" s="6" t="s">
        <v>4488</v>
      </c>
      <c r="D2200" s="6" t="s">
        <v>434</v>
      </c>
      <c r="E2200" s="14">
        <v>46163.636805555558</v>
      </c>
      <c r="F2200" s="8">
        <f>IF(HOUR(Table1[[#This Row],[CORREO]])&gt;=11,WORKDAY(Table1[[#This Row],[CORREO]],1,Table2[Dias no laborales]),E2200)</f>
        <v>46164</v>
      </c>
      <c r="G2200" s="8">
        <v>46163</v>
      </c>
      <c r="H2200" s="6">
        <f t="shared" si="111"/>
        <v>21</v>
      </c>
      <c r="I2200" s="6">
        <f>MAX(1, NETWORKDAYS(A2200, G2200,Table2[Dias no laborales]))</f>
        <v>1</v>
      </c>
      <c r="J2200" s="6" t="str">
        <f>IF(Table1[[#This Row],[FIN]]="","Acumulado",IF(ISNUMBER(SEARCH("ASAP",C2200)),"ASAP",IF(NETWORKDAYS.INTL(F2200,G2200,1,Table2[Dias no laborales]) &lt;= 7, "Dentro", IF(A2200&gt;F2200,"Programado","Fuera"))))</f>
        <v>Dentro</v>
      </c>
      <c r="K2200" s="6" t="str">
        <f t="shared" si="112"/>
        <v>Mismo día</v>
      </c>
      <c r="L2200" s="8">
        <v>46163</v>
      </c>
      <c r="M2200" s="17">
        <f>MAX(1,NETWORKDAYS(A2200,L2200,Table2[Dias no laborales]))</f>
        <v>1</v>
      </c>
    </row>
    <row r="2201" spans="1:13" hidden="1" x14ac:dyDescent="0.3">
      <c r="A2201" s="8">
        <v>46163</v>
      </c>
      <c r="B2201" s="16" t="s">
        <v>4418</v>
      </c>
      <c r="C2201" s="6" t="s">
        <v>4489</v>
      </c>
      <c r="D2201" s="6" t="s">
        <v>56</v>
      </c>
      <c r="E2201" s="14">
        <v>46163.568055555559</v>
      </c>
      <c r="F2201" s="8">
        <f>IF(HOUR(Table1[[#This Row],[CORREO]])&gt;=11,WORKDAY(Table1[[#This Row],[CORREO]],1,Table2[Dias no laborales]),E2201)</f>
        <v>46164</v>
      </c>
      <c r="G2201" s="8">
        <v>46168</v>
      </c>
      <c r="H2201" s="6">
        <f t="shared" si="111"/>
        <v>21</v>
      </c>
      <c r="I2201" s="6">
        <f>MAX(1, NETWORKDAYS(A2201, G2201,Table2[Dias no laborales]))</f>
        <v>4</v>
      </c>
      <c r="J2201" s="6" t="str">
        <f>IF(Table1[[#This Row],[FIN]]="","Acumulado",IF(ISNUMBER(SEARCH("ASAP",C2201)),"ASAP",IF(NETWORKDAYS.INTL(F2201,G2201,1,Table2[Dias no laborales]) &lt;= 7, "Dentro", IF(A2201&gt;F2201,"Programado","Fuera"))))</f>
        <v>Dentro</v>
      </c>
      <c r="K2201" s="6" t="str">
        <f t="shared" si="112"/>
        <v>Mismo día</v>
      </c>
      <c r="L2201" s="8">
        <v>46163</v>
      </c>
      <c r="M2201" s="17">
        <f>MAX(1,NETWORKDAYS(A2201,L2201,Table2[Dias no laborales]))</f>
        <v>1</v>
      </c>
    </row>
    <row r="2202" spans="1:13" hidden="1" x14ac:dyDescent="0.3">
      <c r="A2202" s="8">
        <v>46164</v>
      </c>
      <c r="B2202" s="16" t="s">
        <v>4419</v>
      </c>
      <c r="C2202" s="6" t="s">
        <v>4490</v>
      </c>
      <c r="D2202" s="6" t="s">
        <v>623</v>
      </c>
      <c r="E2202" s="14">
        <v>46163.507638888892</v>
      </c>
      <c r="F2202" s="8">
        <f>IF(HOUR(Table1[[#This Row],[CORREO]])&gt;=11,WORKDAY(Table1[[#This Row],[CORREO]],1,Table2[Dias no laborales]),E2202)</f>
        <v>46164</v>
      </c>
      <c r="G2202" s="8">
        <v>46164</v>
      </c>
      <c r="H2202" s="6">
        <f t="shared" si="111"/>
        <v>21</v>
      </c>
      <c r="I2202" s="6">
        <f>MAX(1, NETWORKDAYS(A2202, G2202,Table2[Dias no laborales]))</f>
        <v>1</v>
      </c>
      <c r="J2202" s="6" t="str">
        <f>IF(Table1[[#This Row],[FIN]]="","Acumulado",IF(ISNUMBER(SEARCH("ASAP",C2202)),"ASAP",IF(NETWORKDAYS.INTL(F2202,G2202,1,Table2[Dias no laborales]) &lt;= 7, "Dentro", IF(A2202&gt;F2202,"Programado","Fuera"))))</f>
        <v>Dentro</v>
      </c>
      <c r="K2202" s="6" t="str">
        <f t="shared" si="112"/>
        <v>A tiempo</v>
      </c>
      <c r="L2202" s="8">
        <v>46164</v>
      </c>
      <c r="M2202" s="17">
        <f>MAX(1,NETWORKDAYS(A2202,L2202,Table2[Dias no laborales]))</f>
        <v>1</v>
      </c>
    </row>
    <row r="2203" spans="1:13" hidden="1" x14ac:dyDescent="0.3">
      <c r="A2203" s="8">
        <v>46164</v>
      </c>
      <c r="B2203" s="16" t="s">
        <v>4420</v>
      </c>
      <c r="C2203" s="6" t="s">
        <v>4491</v>
      </c>
      <c r="D2203" s="6" t="s">
        <v>4492</v>
      </c>
      <c r="E2203" s="14">
        <v>46163.67083333333</v>
      </c>
      <c r="F2203" s="8">
        <f>IF(HOUR(Table1[[#This Row],[CORREO]])&gt;=11,WORKDAY(Table1[[#This Row],[CORREO]],1,Table2[Dias no laborales]),E2203)</f>
        <v>46164</v>
      </c>
      <c r="G2203" s="8">
        <v>46164</v>
      </c>
      <c r="H2203" s="6">
        <f t="shared" si="111"/>
        <v>21</v>
      </c>
      <c r="I2203" s="6">
        <f>MAX(1, NETWORKDAYS(A2203, G2203,Table2[Dias no laborales]))</f>
        <v>1</v>
      </c>
      <c r="J2203" s="6" t="str">
        <f>IF(Table1[[#This Row],[FIN]]="","Acumulado",IF(ISNUMBER(SEARCH("ASAP",C2203)),"ASAP",IF(NETWORKDAYS.INTL(F2203,G2203,1,Table2[Dias no laborales]) &lt;= 7, "Dentro", IF(A2203&gt;F2203,"Programado","Fuera"))))</f>
        <v>Dentro</v>
      </c>
      <c r="K2203" s="6" t="str">
        <f t="shared" si="112"/>
        <v>A tiempo</v>
      </c>
      <c r="L2203" s="8">
        <v>46164</v>
      </c>
      <c r="M2203" s="17">
        <f>MAX(1,NETWORKDAYS(A2203,L2203,Table2[Dias no laborales]))</f>
        <v>1</v>
      </c>
    </row>
    <row r="2204" spans="1:13" hidden="1" x14ac:dyDescent="0.3">
      <c r="A2204" s="8">
        <v>46164</v>
      </c>
      <c r="B2204" s="16" t="s">
        <v>4421</v>
      </c>
      <c r="C2204" s="6" t="s">
        <v>4493</v>
      </c>
      <c r="D2204" s="6" t="s">
        <v>4494</v>
      </c>
      <c r="E2204" s="14">
        <v>46164.555555555555</v>
      </c>
      <c r="F2204" s="8">
        <f>IF(HOUR(Table1[[#This Row],[CORREO]])&gt;=11,WORKDAY(Table1[[#This Row],[CORREO]],1,Table2[Dias no laborales]),E2204)</f>
        <v>46167</v>
      </c>
      <c r="G2204" s="8">
        <v>46167</v>
      </c>
      <c r="H2204" s="6">
        <f t="shared" si="111"/>
        <v>21</v>
      </c>
      <c r="I2204" s="6">
        <f>MAX(1, NETWORKDAYS(A2204, G2204,Table2[Dias no laborales]))</f>
        <v>2</v>
      </c>
      <c r="J2204" s="6" t="str">
        <f>IF(Table1[[#This Row],[FIN]]="","Acumulado",IF(ISNUMBER(SEARCH("ASAP",C2204)),"ASAP",IF(NETWORKDAYS.INTL(F2204,G2204,1,Table2[Dias no laborales]) &lt;= 7, "Dentro", IF(A2204&gt;F2204,"Programado","Fuera"))))</f>
        <v>Dentro</v>
      </c>
      <c r="K2204" s="6" t="str">
        <f t="shared" si="112"/>
        <v>Mismo día</v>
      </c>
      <c r="L2204" s="8">
        <v>46164</v>
      </c>
      <c r="M2204" s="17">
        <f>MAX(1,NETWORKDAYS(A2204,L2204,Table2[Dias no laborales]))</f>
        <v>1</v>
      </c>
    </row>
    <row r="2205" spans="1:13" hidden="1" x14ac:dyDescent="0.3">
      <c r="A2205" s="8">
        <v>46164</v>
      </c>
      <c r="B2205" s="16" t="s">
        <v>4422</v>
      </c>
      <c r="C2205" s="6" t="s">
        <v>4495</v>
      </c>
      <c r="D2205" s="6" t="s">
        <v>1333</v>
      </c>
      <c r="E2205" s="14"/>
      <c r="F2205" s="8">
        <f>IF(HOUR(Table1[[#This Row],[CORREO]])&gt;=11,WORKDAY(Table1[[#This Row],[CORREO]],1,Table2[Dias no laborales]),E2205)</f>
        <v>0</v>
      </c>
      <c r="G2205" s="8">
        <v>46174</v>
      </c>
      <c r="H2205" s="6">
        <f t="shared" si="111"/>
        <v>21</v>
      </c>
      <c r="I2205" s="6">
        <f>MAX(1, NETWORKDAYS(A2205, G2205,Table2[Dias no laborales]))</f>
        <v>7</v>
      </c>
      <c r="J2205" s="6" t="str">
        <f>IF(Table1[[#This Row],[FIN]]="","Acumulado",IF(ISNUMBER(SEARCH("ASAP",C2205)),"ASAP",IF(NETWORKDAYS.INTL(F2205,G2205,1,Table2[Dias no laborales]) &lt;= 7, "Dentro", IF(A2205&gt;F2205,"Programado","Fuera"))))</f>
        <v>Programado</v>
      </c>
      <c r="K2205" s="6" t="str">
        <f t="shared" si="112"/>
        <v>Programados</v>
      </c>
      <c r="L2205" s="8">
        <v>46164</v>
      </c>
      <c r="M2205" s="17">
        <f>MAX(1,NETWORKDAYS(A2205,L2205,Table2[Dias no laborales]))</f>
        <v>1</v>
      </c>
    </row>
    <row r="2206" spans="1:13" hidden="1" x14ac:dyDescent="0.3">
      <c r="A2206" s="8">
        <v>46164</v>
      </c>
      <c r="B2206" s="16" t="s">
        <v>4423</v>
      </c>
      <c r="C2206" s="6" t="s">
        <v>188</v>
      </c>
      <c r="D2206" s="6" t="s">
        <v>27</v>
      </c>
      <c r="E2206" s="14"/>
      <c r="F2206" s="8">
        <f>IF(HOUR(Table1[[#This Row],[CORREO]])&gt;=11,WORKDAY(Table1[[#This Row],[CORREO]],1,Table2[Dias no laborales]),E2206)</f>
        <v>0</v>
      </c>
      <c r="G2206" s="8">
        <v>46167</v>
      </c>
      <c r="H2206" s="6">
        <f t="shared" si="111"/>
        <v>21</v>
      </c>
      <c r="I2206" s="6">
        <f>MAX(1, NETWORKDAYS(A2206, G2206,Table2[Dias no laborales]))</f>
        <v>2</v>
      </c>
      <c r="J2206" s="6" t="str">
        <f>IF(Table1[[#This Row],[FIN]]="","Acumulado",IF(ISNUMBER(SEARCH("ASAP",C2206)),"ASAP",IF(NETWORKDAYS.INTL(F2206,G2206,1,Table2[Dias no laborales]) &lt;= 7, "Dentro", IF(A2206&gt;F2206,"Programado","Fuera"))))</f>
        <v>Programado</v>
      </c>
      <c r="K2206" s="6" t="str">
        <f t="shared" si="112"/>
        <v>Programados</v>
      </c>
      <c r="L2206" s="8">
        <v>46164</v>
      </c>
      <c r="M2206" s="17">
        <f>MAX(1,NETWORKDAYS(A2206,L2206,Table2[Dias no laborales]))</f>
        <v>1</v>
      </c>
    </row>
    <row r="2207" spans="1:13" hidden="1" x14ac:dyDescent="0.3">
      <c r="A2207" s="8">
        <v>46164</v>
      </c>
      <c r="B2207" s="16" t="s">
        <v>4424</v>
      </c>
      <c r="C2207" s="6" t="s">
        <v>196</v>
      </c>
      <c r="D2207" s="6" t="s">
        <v>27</v>
      </c>
      <c r="E2207" s="14"/>
      <c r="F2207" s="8">
        <f>IF(HOUR(Table1[[#This Row],[CORREO]])&gt;=11,WORKDAY(Table1[[#This Row],[CORREO]],1,Table2[Dias no laborales]),E2207)</f>
        <v>0</v>
      </c>
      <c r="G2207" s="8">
        <v>46167</v>
      </c>
      <c r="H2207" s="6">
        <f t="shared" si="111"/>
        <v>21</v>
      </c>
      <c r="I2207" s="6">
        <f>MAX(1, NETWORKDAYS(A2207, G2207,Table2[Dias no laborales]))</f>
        <v>2</v>
      </c>
      <c r="J2207" s="6" t="str">
        <f>IF(Table1[[#This Row],[FIN]]="","Acumulado",IF(ISNUMBER(SEARCH("ASAP",C2207)),"ASAP",IF(NETWORKDAYS.INTL(F2207,G2207,1,Table2[Dias no laborales]) &lt;= 7, "Dentro", IF(A2207&gt;F2207,"Programado","Fuera"))))</f>
        <v>Programado</v>
      </c>
      <c r="K2207" s="6" t="str">
        <f t="shared" si="112"/>
        <v>Programados</v>
      </c>
      <c r="L2207" s="8">
        <v>46164</v>
      </c>
      <c r="M2207" s="17">
        <f>MAX(1,NETWORKDAYS(A2207,L2207,Table2[Dias no laborales]))</f>
        <v>1</v>
      </c>
    </row>
    <row r="2208" spans="1:13" hidden="1" x14ac:dyDescent="0.3">
      <c r="A2208" s="8">
        <v>46164</v>
      </c>
      <c r="B2208" s="16" t="s">
        <v>4425</v>
      </c>
      <c r="C2208" s="6" t="s">
        <v>4496</v>
      </c>
      <c r="D2208" s="6" t="s">
        <v>24</v>
      </c>
      <c r="E2208" s="14">
        <v>46164.404166666667</v>
      </c>
      <c r="F2208" s="8">
        <f>IF(HOUR(Table1[[#This Row],[CORREO]])&gt;=11,WORKDAY(Table1[[#This Row],[CORREO]],1,Table2[Dias no laborales]),E2208)</f>
        <v>46164.404166666667</v>
      </c>
      <c r="G2208" s="8">
        <v>46164</v>
      </c>
      <c r="H2208" s="6">
        <f t="shared" si="111"/>
        <v>21</v>
      </c>
      <c r="I2208" s="6">
        <f>MAX(1, NETWORKDAYS(A2208, G2208,Table2[Dias no laborales]))</f>
        <v>1</v>
      </c>
      <c r="J2208" s="6" t="str">
        <f>IF(Table1[[#This Row],[FIN]]="","Acumulado",IF(ISNUMBER(SEARCH("ASAP",C2208)),"ASAP",IF(NETWORKDAYS.INTL(F2208,G2208,1,Table2[Dias no laborales]) &lt;= 7, "Dentro", IF(A2208&gt;F2208,"Programado","Fuera"))))</f>
        <v>Dentro</v>
      </c>
      <c r="K2208" s="6" t="str">
        <f t="shared" si="112"/>
        <v>A tiempo</v>
      </c>
      <c r="L2208" s="8">
        <v>46164</v>
      </c>
      <c r="M2208" s="17">
        <f>MAX(1,NETWORKDAYS(A2208,L2208,Table2[Dias no laborales]))</f>
        <v>1</v>
      </c>
    </row>
    <row r="2209" spans="1:13" hidden="1" x14ac:dyDescent="0.3">
      <c r="A2209" s="8">
        <v>46167</v>
      </c>
      <c r="B2209" s="16" t="s">
        <v>4428</v>
      </c>
      <c r="C2209" s="6" t="s">
        <v>4496</v>
      </c>
      <c r="D2209" s="6" t="s">
        <v>24</v>
      </c>
      <c r="E2209" s="14">
        <v>46164.5625</v>
      </c>
      <c r="F2209" s="8">
        <f>IF(HOUR(Table1[[#This Row],[CORREO]])&gt;=11,WORKDAY(Table1[[#This Row],[CORREO]],1,Table2[Dias no laborales]),E2209)</f>
        <v>46167</v>
      </c>
      <c r="G2209" s="8">
        <v>46168</v>
      </c>
      <c r="H2209" s="6">
        <f t="shared" ref="H2209:H2237" si="113">INT((A2209-DATE(YEAR(A2209),1,1))/7) + 1</f>
        <v>21</v>
      </c>
      <c r="I2209" s="6">
        <f>MAX(1, NETWORKDAYS(A2209, G2209,Table2[Dias no laborales]))</f>
        <v>2</v>
      </c>
      <c r="J2209" s="6" t="str">
        <f>IF(Table1[[#This Row],[FIN]]="","Acumulado",IF(ISNUMBER(SEARCH("ASAP",C2209)),"ASAP",IF(NETWORKDAYS.INTL(F2209,G2209,1,Table2[Dias no laborales]) &lt;= 7, "Dentro", IF(A2209&gt;F2209,"Programado","Fuera"))))</f>
        <v>Dentro</v>
      </c>
      <c r="K2209" s="6" t="str">
        <f t="shared" ref="K2209:K2237" si="114">IF(INT(A2209)=INT(F2209),"A tiempo", IF(A2209&lt;F2209,"Mismo día","Programados"))</f>
        <v>A tiempo</v>
      </c>
      <c r="L2209" s="8">
        <v>46167</v>
      </c>
      <c r="M2209" s="17">
        <f>MAX(1,NETWORKDAYS(A2209,L2209,Table2[Dias no laborales]))</f>
        <v>1</v>
      </c>
    </row>
    <row r="2210" spans="1:13" hidden="1" x14ac:dyDescent="0.3">
      <c r="A2210" s="8">
        <v>46167</v>
      </c>
      <c r="B2210" s="16" t="s">
        <v>4429</v>
      </c>
      <c r="C2210" s="6" t="s">
        <v>4301</v>
      </c>
      <c r="D2210" s="6" t="s">
        <v>477</v>
      </c>
      <c r="E2210" s="14"/>
      <c r="F2210" s="8">
        <f>IF(HOUR(Table1[[#This Row],[CORREO]])&gt;=11,WORKDAY(Table1[[#This Row],[CORREO]],1,Table2[Dias no laborales]),E2210)</f>
        <v>0</v>
      </c>
      <c r="G2210" s="8">
        <v>46167</v>
      </c>
      <c r="H2210" s="6">
        <f t="shared" si="113"/>
        <v>21</v>
      </c>
      <c r="I2210" s="6">
        <f>MAX(1, NETWORKDAYS(A2210, G2210,Table2[Dias no laborales]))</f>
        <v>1</v>
      </c>
      <c r="J2210" s="6" t="str">
        <f>IF(Table1[[#This Row],[FIN]]="","Acumulado",IF(ISNUMBER(SEARCH("ASAP",C2210)),"ASAP",IF(NETWORKDAYS.INTL(F2210,G2210,1,Table2[Dias no laborales]) &lt;= 7, "Dentro", IF(A2210&gt;F2210,"Programado","Fuera"))))</f>
        <v>Programado</v>
      </c>
      <c r="K2210" s="6" t="str">
        <f t="shared" si="114"/>
        <v>Programados</v>
      </c>
      <c r="L2210" s="8">
        <v>46167</v>
      </c>
      <c r="M2210" s="17">
        <f>MAX(1,NETWORKDAYS(A2210,L2210,Table2[Dias no laborales]))</f>
        <v>1</v>
      </c>
    </row>
    <row r="2211" spans="1:13" hidden="1" x14ac:dyDescent="0.3">
      <c r="A2211" s="8">
        <v>46167</v>
      </c>
      <c r="B2211" s="16" t="s">
        <v>4430</v>
      </c>
      <c r="C2211" s="6" t="s">
        <v>4497</v>
      </c>
      <c r="D2211" s="6" t="s">
        <v>392</v>
      </c>
      <c r="E2211" s="14">
        <v>46164.450694444444</v>
      </c>
      <c r="F2211" s="8">
        <f>IF(HOUR(Table1[[#This Row],[CORREO]])&gt;=11,WORKDAY(Table1[[#This Row],[CORREO]],1,Table2[Dias no laborales]),E2211)</f>
        <v>46164.450694444444</v>
      </c>
      <c r="G2211" s="8">
        <v>46167</v>
      </c>
      <c r="H2211" s="6">
        <f t="shared" si="113"/>
        <v>21</v>
      </c>
      <c r="I2211" s="6">
        <f>MAX(1, NETWORKDAYS(A2211, G2211,Table2[Dias no laborales]))</f>
        <v>1</v>
      </c>
      <c r="J2211" s="6" t="str">
        <f>IF(Table1[[#This Row],[FIN]]="","Acumulado",IF(ISNUMBER(SEARCH("ASAP",C2211)),"ASAP",IF(NETWORKDAYS.INTL(F2211,G2211,1,Table2[Dias no laborales]) &lt;= 7, "Dentro", IF(A2211&gt;F2211,"Programado","Fuera"))))</f>
        <v>Dentro</v>
      </c>
      <c r="K2211" s="6" t="str">
        <f t="shared" si="114"/>
        <v>Programados</v>
      </c>
      <c r="L2211" s="8">
        <v>46167</v>
      </c>
      <c r="M2211" s="17">
        <f>MAX(1,NETWORKDAYS(A2211,L2211,Table2[Dias no laborales]))</f>
        <v>1</v>
      </c>
    </row>
    <row r="2212" spans="1:13" hidden="1" x14ac:dyDescent="0.3">
      <c r="A2212" s="8">
        <v>46167</v>
      </c>
      <c r="B2212" s="16" t="s">
        <v>4431</v>
      </c>
      <c r="C2212" s="6" t="s">
        <v>2633</v>
      </c>
      <c r="D2212" s="6" t="s">
        <v>2623</v>
      </c>
      <c r="E2212" s="14"/>
      <c r="F2212" s="8">
        <f>IF(HOUR(Table1[[#This Row],[CORREO]])&gt;=11,WORKDAY(Table1[[#This Row],[CORREO]],1,Table2[Dias no laborales]),E2212)</f>
        <v>0</v>
      </c>
      <c r="G2212" s="8">
        <v>46168</v>
      </c>
      <c r="H2212" s="6">
        <f t="shared" si="113"/>
        <v>21</v>
      </c>
      <c r="I2212" s="6">
        <f>MAX(1, NETWORKDAYS(A2212, G2212,Table2[Dias no laborales]))</f>
        <v>2</v>
      </c>
      <c r="J2212" s="6" t="str">
        <f>IF(Table1[[#This Row],[FIN]]="","Acumulado",IF(ISNUMBER(SEARCH("ASAP",C2212)),"ASAP",IF(NETWORKDAYS.INTL(F2212,G2212,1,Table2[Dias no laborales]) &lt;= 7, "Dentro", IF(A2212&gt;F2212,"Programado","Fuera"))))</f>
        <v>Programado</v>
      </c>
      <c r="K2212" s="6" t="str">
        <f t="shared" si="114"/>
        <v>Programados</v>
      </c>
      <c r="L2212" s="8">
        <v>46167</v>
      </c>
      <c r="M2212" s="17">
        <f>MAX(1,NETWORKDAYS(A2212,L2212,Table2[Dias no laborales]))</f>
        <v>1</v>
      </c>
    </row>
    <row r="2213" spans="1:13" hidden="1" x14ac:dyDescent="0.3">
      <c r="A2213" s="8">
        <v>46167</v>
      </c>
      <c r="B2213" s="16" t="s">
        <v>4432</v>
      </c>
      <c r="C2213" s="6" t="s">
        <v>4550</v>
      </c>
      <c r="D2213" s="6" t="s">
        <v>848</v>
      </c>
      <c r="E2213" s="14"/>
      <c r="F2213" s="8">
        <f>IF(HOUR(Table1[[#This Row],[CORREO]])&gt;=11,WORKDAY(Table1[[#This Row],[CORREO]],1,Table2[Dias no laborales]),E2213)</f>
        <v>0</v>
      </c>
      <c r="G2213" s="8">
        <v>46168</v>
      </c>
      <c r="H2213" s="6">
        <f t="shared" si="113"/>
        <v>21</v>
      </c>
      <c r="I2213" s="6">
        <f>MAX(1, NETWORKDAYS(A2213, G2213,Table2[Dias no laborales]))</f>
        <v>2</v>
      </c>
      <c r="J2213" s="6" t="str">
        <f>IF(Table1[[#This Row],[FIN]]="","Acumulado",IF(ISNUMBER(SEARCH("ASAP",C2213)),"ASAP",IF(NETWORKDAYS.INTL(F2213,G2213,1,Table2[Dias no laborales]) &lt;= 7, "Dentro", IF(A2213&gt;F2213,"Programado","Fuera"))))</f>
        <v>Programado</v>
      </c>
      <c r="K2213" s="6" t="str">
        <f t="shared" si="114"/>
        <v>Programados</v>
      </c>
      <c r="L2213" s="8">
        <v>46167</v>
      </c>
      <c r="M2213" s="17">
        <f>MAX(1,NETWORKDAYS(A2213,L2213,Table2[Dias no laborales]))</f>
        <v>1</v>
      </c>
    </row>
    <row r="2214" spans="1:13" hidden="1" x14ac:dyDescent="0.3">
      <c r="A2214" s="8">
        <v>46167</v>
      </c>
      <c r="B2214" s="16" t="s">
        <v>4433</v>
      </c>
      <c r="C2214" s="6" t="s">
        <v>4551</v>
      </c>
      <c r="D2214" s="6" t="s">
        <v>24</v>
      </c>
      <c r="E2214" s="14"/>
      <c r="F2214" s="8">
        <f>IF(HOUR(Table1[[#This Row],[CORREO]])&gt;=11,WORKDAY(Table1[[#This Row],[CORREO]],1,Table2[Dias no laborales]),E2214)</f>
        <v>0</v>
      </c>
      <c r="G2214" s="8">
        <v>46171</v>
      </c>
      <c r="H2214" s="6">
        <f t="shared" si="113"/>
        <v>21</v>
      </c>
      <c r="I2214" s="6">
        <f>MAX(1, NETWORKDAYS(A2214, G2214,Table2[Dias no laborales]))</f>
        <v>5</v>
      </c>
      <c r="J2214" s="6" t="str">
        <f>IF(Table1[[#This Row],[FIN]]="","Acumulado",IF(ISNUMBER(SEARCH("ASAP",C2214)),"ASAP",IF(NETWORKDAYS.INTL(F2214,G2214,1,Table2[Dias no laborales]) &lt;= 7, "Dentro", IF(A2214&gt;F2214,"Programado","Fuera"))))</f>
        <v>Programado</v>
      </c>
      <c r="K2214" s="6" t="str">
        <f t="shared" si="114"/>
        <v>Programados</v>
      </c>
      <c r="L2214" s="8">
        <v>46167</v>
      </c>
      <c r="M2214" s="17">
        <f>MAX(1,NETWORKDAYS(A2214,L2214,Table2[Dias no laborales]))</f>
        <v>1</v>
      </c>
    </row>
    <row r="2215" spans="1:13" hidden="1" x14ac:dyDescent="0.3">
      <c r="A2215" s="8">
        <v>46167</v>
      </c>
      <c r="B2215" s="16" t="s">
        <v>4434</v>
      </c>
      <c r="C2215" s="6" t="s">
        <v>4342</v>
      </c>
      <c r="D2215" s="6" t="s">
        <v>18</v>
      </c>
      <c r="E2215" s="14"/>
      <c r="F2215" s="8">
        <f>IF(HOUR(Table1[[#This Row],[CORREO]])&gt;=11,WORKDAY(Table1[[#This Row],[CORREO]],1,Table2[Dias no laborales]),E2215)</f>
        <v>0</v>
      </c>
      <c r="G2215" s="8">
        <v>46168</v>
      </c>
      <c r="H2215" s="6">
        <f t="shared" si="113"/>
        <v>21</v>
      </c>
      <c r="I2215" s="6">
        <f>MAX(1, NETWORKDAYS(A2215, G2215,Table2[Dias no laborales]))</f>
        <v>2</v>
      </c>
      <c r="J2215" s="6" t="str">
        <f>IF(Table1[[#This Row],[FIN]]="","Acumulado",IF(ISNUMBER(SEARCH("ASAP",C2215)),"ASAP",IF(NETWORKDAYS.INTL(F2215,G2215,1,Table2[Dias no laborales]) &lt;= 7, "Dentro", IF(A2215&gt;F2215,"Programado","Fuera"))))</f>
        <v>Programado</v>
      </c>
      <c r="K2215" s="6" t="str">
        <f t="shared" si="114"/>
        <v>Programados</v>
      </c>
      <c r="L2215" s="8">
        <v>46167</v>
      </c>
      <c r="M2215" s="17">
        <f>MAX(1,NETWORKDAYS(A2215,L2215,Table2[Dias no laborales]))</f>
        <v>1</v>
      </c>
    </row>
    <row r="2216" spans="1:13" hidden="1" x14ac:dyDescent="0.3">
      <c r="A2216" s="8">
        <v>46167</v>
      </c>
      <c r="B2216" s="16" t="s">
        <v>4435</v>
      </c>
      <c r="C2216" s="6" t="s">
        <v>4322</v>
      </c>
      <c r="D2216" s="6" t="s">
        <v>24</v>
      </c>
      <c r="E2216" s="14"/>
      <c r="F2216" s="8">
        <f>IF(HOUR(Table1[[#This Row],[CORREO]])&gt;=11,WORKDAY(Table1[[#This Row],[CORREO]],1,Table2[Dias no laborales]),E2216)</f>
        <v>0</v>
      </c>
      <c r="G2216" s="8">
        <v>46170</v>
      </c>
      <c r="H2216" s="6">
        <f t="shared" si="113"/>
        <v>21</v>
      </c>
      <c r="I2216" s="6">
        <f>MAX(1, NETWORKDAYS(A2216, G2216,Table2[Dias no laborales]))</f>
        <v>4</v>
      </c>
      <c r="J2216" s="6" t="str">
        <f>IF(Table1[[#This Row],[FIN]]="","Acumulado",IF(ISNUMBER(SEARCH("ASAP",C2216)),"ASAP",IF(NETWORKDAYS.INTL(F2216,G2216,1,Table2[Dias no laborales]) &lt;= 7, "Dentro", IF(A2216&gt;F2216,"Programado","Fuera"))))</f>
        <v>Programado</v>
      </c>
      <c r="K2216" s="6" t="str">
        <f t="shared" si="114"/>
        <v>Programados</v>
      </c>
      <c r="L2216" s="8">
        <v>46167</v>
      </c>
      <c r="M2216" s="17">
        <f>MAX(1,NETWORKDAYS(A2216,L2216,Table2[Dias no laborales]))</f>
        <v>1</v>
      </c>
    </row>
    <row r="2217" spans="1:13" hidden="1" x14ac:dyDescent="0.3">
      <c r="A2217" s="8">
        <v>46167</v>
      </c>
      <c r="B2217" s="16" t="s">
        <v>4436</v>
      </c>
      <c r="C2217" s="6" t="s">
        <v>4496</v>
      </c>
      <c r="D2217" s="6" t="s">
        <v>24</v>
      </c>
      <c r="E2217" s="14">
        <v>46167.364583333336</v>
      </c>
      <c r="F2217" s="8">
        <f>IF(HOUR(Table1[[#This Row],[CORREO]])&gt;=11,WORKDAY(Table1[[#This Row],[CORREO]],1,Table2[Dias no laborales]),E2217)</f>
        <v>46167.364583333336</v>
      </c>
      <c r="G2217" s="8">
        <v>46168</v>
      </c>
      <c r="H2217" s="6">
        <f t="shared" si="113"/>
        <v>21</v>
      </c>
      <c r="I2217" s="6">
        <f>MAX(1, NETWORKDAYS(A2217, G2217,Table2[Dias no laborales]))</f>
        <v>2</v>
      </c>
      <c r="J2217" s="6" t="str">
        <f>IF(Table1[[#This Row],[FIN]]="","Acumulado",IF(ISNUMBER(SEARCH("ASAP",C2217)),"ASAP",IF(NETWORKDAYS.INTL(F2217,G2217,1,Table2[Dias no laborales]) &lt;= 7, "Dentro", IF(A2217&gt;F2217,"Programado","Fuera"))))</f>
        <v>Dentro</v>
      </c>
      <c r="K2217" s="6" t="str">
        <f t="shared" si="114"/>
        <v>A tiempo</v>
      </c>
      <c r="L2217" s="8">
        <v>46167</v>
      </c>
      <c r="M2217" s="17">
        <f>MAX(1,NETWORKDAYS(A2217,L2217,Table2[Dias no laborales]))</f>
        <v>1</v>
      </c>
    </row>
    <row r="2218" spans="1:13" hidden="1" x14ac:dyDescent="0.3">
      <c r="A2218" s="8">
        <v>46167</v>
      </c>
      <c r="B2218" s="16" t="s">
        <v>4437</v>
      </c>
      <c r="C2218" s="6" t="s">
        <v>4552</v>
      </c>
      <c r="D2218" s="6" t="s">
        <v>4553</v>
      </c>
      <c r="E2218" s="14">
        <v>46167.376388888886</v>
      </c>
      <c r="F2218" s="8">
        <f>IF(HOUR(Table1[[#This Row],[CORREO]])&gt;=11,WORKDAY(Table1[[#This Row],[CORREO]],1,Table2[Dias no laborales]),E2218)</f>
        <v>46167.376388888886</v>
      </c>
      <c r="G2218" s="8">
        <v>46169</v>
      </c>
      <c r="H2218" s="6">
        <f t="shared" si="113"/>
        <v>21</v>
      </c>
      <c r="I2218" s="6">
        <f>MAX(1, NETWORKDAYS(A2218, G2218,Table2[Dias no laborales]))</f>
        <v>3</v>
      </c>
      <c r="J2218" s="6" t="str">
        <f>IF(Table1[[#This Row],[FIN]]="","Acumulado",IF(ISNUMBER(SEARCH("ASAP",C2218)),"ASAP",IF(NETWORKDAYS.INTL(F2218,G2218,1,Table2[Dias no laborales]) &lt;= 7, "Dentro", IF(A2218&gt;F2218,"Programado","Fuera"))))</f>
        <v>Dentro</v>
      </c>
      <c r="K2218" s="6" t="str">
        <f t="shared" si="114"/>
        <v>A tiempo</v>
      </c>
      <c r="L2218" s="8">
        <v>46167</v>
      </c>
      <c r="M2218" s="17">
        <f>MAX(1,NETWORKDAYS(A2218,L2218,Table2[Dias no laborales]))</f>
        <v>1</v>
      </c>
    </row>
    <row r="2219" spans="1:13" hidden="1" x14ac:dyDescent="0.3">
      <c r="A2219" s="8">
        <v>46167</v>
      </c>
      <c r="B2219" s="16" t="s">
        <v>4438</v>
      </c>
      <c r="C2219" s="6" t="s">
        <v>4554</v>
      </c>
      <c r="D2219" s="6" t="s">
        <v>538</v>
      </c>
      <c r="E2219" s="14"/>
      <c r="F2219" s="8">
        <f>IF(HOUR(Table1[[#This Row],[CORREO]])&gt;=11,WORKDAY(Table1[[#This Row],[CORREO]],1,Table2[Dias no laborales]),E2219)</f>
        <v>0</v>
      </c>
      <c r="G2219" s="8">
        <v>46167</v>
      </c>
      <c r="H2219" s="6">
        <f t="shared" si="113"/>
        <v>21</v>
      </c>
      <c r="I2219" s="6">
        <f>MAX(1, NETWORKDAYS(A2219, G2219,Table2[Dias no laborales]))</f>
        <v>1</v>
      </c>
      <c r="J2219" s="6" t="str">
        <f>IF(Table1[[#This Row],[FIN]]="","Acumulado",IF(ISNUMBER(SEARCH("ASAP",C2219)),"ASAP",IF(NETWORKDAYS.INTL(F2219,G2219,1,Table2[Dias no laborales]) &lt;= 7, "Dentro", IF(A2219&gt;F2219,"Programado","Fuera"))))</f>
        <v>Programado</v>
      </c>
      <c r="K2219" s="6" t="str">
        <f t="shared" si="114"/>
        <v>Programados</v>
      </c>
      <c r="L2219" s="8">
        <v>46167</v>
      </c>
      <c r="M2219" s="17">
        <f>MAX(1,NETWORKDAYS(A2219,L2219,Table2[Dias no laborales]))</f>
        <v>1</v>
      </c>
    </row>
    <row r="2220" spans="1:13" hidden="1" x14ac:dyDescent="0.3">
      <c r="A2220" s="8">
        <v>46167</v>
      </c>
      <c r="B2220" s="16" t="s">
        <v>4439</v>
      </c>
      <c r="C2220" s="6" t="s">
        <v>4555</v>
      </c>
      <c r="D2220" s="6" t="s">
        <v>392</v>
      </c>
      <c r="E2220" s="14">
        <v>46167.549305555556</v>
      </c>
      <c r="F2220" s="8">
        <f>IF(HOUR(Table1[[#This Row],[CORREO]])&gt;=11,WORKDAY(Table1[[#This Row],[CORREO]],1,Table2[Dias no laborales]),E2220)</f>
        <v>46168</v>
      </c>
      <c r="G2220" s="8">
        <v>46168</v>
      </c>
      <c r="H2220" s="6">
        <f t="shared" si="113"/>
        <v>21</v>
      </c>
      <c r="I2220" s="6">
        <f>MAX(1, NETWORKDAYS(A2220, G2220,Table2[Dias no laborales]))</f>
        <v>2</v>
      </c>
      <c r="J2220" s="6" t="str">
        <f>IF(Table1[[#This Row],[FIN]]="","Acumulado",IF(ISNUMBER(SEARCH("ASAP",C2220)),"ASAP",IF(NETWORKDAYS.INTL(F2220,G2220,1,Table2[Dias no laborales]) &lt;= 7, "Dentro", IF(A2220&gt;F2220,"Programado","Fuera"))))</f>
        <v>Dentro</v>
      </c>
      <c r="K2220" s="6" t="str">
        <f t="shared" si="114"/>
        <v>Mismo día</v>
      </c>
      <c r="L2220" s="8">
        <v>46167</v>
      </c>
      <c r="M2220" s="17">
        <f>MAX(1,NETWORKDAYS(A2220,L2220,Table2[Dias no laborales]))</f>
        <v>1</v>
      </c>
    </row>
    <row r="2221" spans="1:13" hidden="1" x14ac:dyDescent="0.3">
      <c r="A2221" s="8">
        <v>46167</v>
      </c>
      <c r="B2221" s="16" t="s">
        <v>4440</v>
      </c>
      <c r="C2221" s="6" t="s">
        <v>4119</v>
      </c>
      <c r="D2221" s="6" t="s">
        <v>4120</v>
      </c>
      <c r="E2221" s="14">
        <v>46165.491666666669</v>
      </c>
      <c r="F2221" s="8">
        <f>IF(HOUR(Table1[[#This Row],[CORREO]])&gt;=11,WORKDAY(Table1[[#This Row],[CORREO]],1,Table2[Dias no laborales]),E2221)</f>
        <v>46167</v>
      </c>
      <c r="G2221" s="8">
        <v>46176</v>
      </c>
      <c r="H2221" s="6">
        <f t="shared" si="113"/>
        <v>21</v>
      </c>
      <c r="I2221" s="6">
        <f>MAX(1, NETWORKDAYS(A2221, G2221,Table2[Dias no laborales]))</f>
        <v>8</v>
      </c>
      <c r="J2221" s="6" t="str">
        <f>IF(Table1[[#This Row],[FIN]]="","Acumulado",IF(ISNUMBER(SEARCH("ASAP",C2221)),"ASAP",IF(NETWORKDAYS.INTL(F2221,G2221,1,Table2[Dias no laborales]) &lt;= 7, "Dentro", IF(A2221&gt;F2221,"Programado","Fuera"))))</f>
        <v>Fuera</v>
      </c>
      <c r="K2221" s="6" t="str">
        <f t="shared" si="114"/>
        <v>A tiempo</v>
      </c>
      <c r="L2221" s="8">
        <v>46167</v>
      </c>
      <c r="M2221" s="17">
        <f>MAX(1,NETWORKDAYS(A2221,L2221,Table2[Dias no laborales]))</f>
        <v>1</v>
      </c>
    </row>
    <row r="2222" spans="1:13" hidden="1" x14ac:dyDescent="0.3">
      <c r="A2222" s="8">
        <v>46168</v>
      </c>
      <c r="B2222" s="16" t="s">
        <v>4441</v>
      </c>
      <c r="C2222" s="6" t="s">
        <v>4556</v>
      </c>
      <c r="D2222" s="6" t="s">
        <v>27</v>
      </c>
      <c r="E2222" s="14"/>
      <c r="F2222" s="8">
        <f>IF(HOUR(Table1[[#This Row],[CORREO]])&gt;=11,WORKDAY(Table1[[#This Row],[CORREO]],1,Table2[Dias no laborales]),E2222)</f>
        <v>0</v>
      </c>
      <c r="G2222" s="8">
        <v>46170</v>
      </c>
      <c r="H2222" s="6">
        <f t="shared" si="113"/>
        <v>21</v>
      </c>
      <c r="I2222" s="6">
        <f>MAX(1, NETWORKDAYS(A2222, G2222,Table2[Dias no laborales]))</f>
        <v>3</v>
      </c>
      <c r="J2222" s="6" t="str">
        <f>IF(Table1[[#This Row],[FIN]]="","Acumulado",IF(ISNUMBER(SEARCH("ASAP",C2222)),"ASAP",IF(NETWORKDAYS.INTL(F2222,G2222,1,Table2[Dias no laborales]) &lt;= 7, "Dentro", IF(A2222&gt;F2222,"Programado","Fuera"))))</f>
        <v>Programado</v>
      </c>
      <c r="K2222" s="6" t="str">
        <f t="shared" si="114"/>
        <v>Programados</v>
      </c>
      <c r="L2222" s="8">
        <v>46168</v>
      </c>
      <c r="M2222" s="17">
        <f>MAX(1,NETWORKDAYS(A2222,L2222,Table2[Dias no laborales]))</f>
        <v>1</v>
      </c>
    </row>
    <row r="2223" spans="1:13" hidden="1" x14ac:dyDescent="0.3">
      <c r="A2223" s="8">
        <v>46168</v>
      </c>
      <c r="B2223" s="16" t="s">
        <v>4442</v>
      </c>
      <c r="C2223" s="6" t="s">
        <v>4557</v>
      </c>
      <c r="D2223" s="6" t="s">
        <v>18</v>
      </c>
      <c r="E2223" s="14">
        <v>46167.520833333336</v>
      </c>
      <c r="F2223" s="8">
        <f>IF(HOUR(Table1[[#This Row],[CORREO]])&gt;=11,WORKDAY(Table1[[#This Row],[CORREO]],1,Table2[Dias no laborales]),E2223)</f>
        <v>46168</v>
      </c>
      <c r="G2223" s="8">
        <v>46174</v>
      </c>
      <c r="H2223" s="6">
        <f t="shared" si="113"/>
        <v>21</v>
      </c>
      <c r="I2223" s="6">
        <f>MAX(1, NETWORKDAYS(A2223, G2223,Table2[Dias no laborales]))</f>
        <v>5</v>
      </c>
      <c r="J2223" s="6" t="str">
        <f>IF(Table1[[#This Row],[FIN]]="","Acumulado",IF(ISNUMBER(SEARCH("ASAP",C2223)),"ASAP",IF(NETWORKDAYS.INTL(F2223,G2223,1,Table2[Dias no laborales]) &lt;= 7, "Dentro", IF(A2223&gt;F2223,"Programado","Fuera"))))</f>
        <v>Dentro</v>
      </c>
      <c r="K2223" s="6" t="str">
        <f t="shared" si="114"/>
        <v>A tiempo</v>
      </c>
      <c r="L2223" s="8">
        <v>46168</v>
      </c>
      <c r="M2223" s="17">
        <f>MAX(1,NETWORKDAYS(A2223,L2223,Table2[Dias no laborales]))</f>
        <v>1</v>
      </c>
    </row>
    <row r="2224" spans="1:13" hidden="1" x14ac:dyDescent="0.3">
      <c r="A2224" s="8">
        <v>46168</v>
      </c>
      <c r="B2224" s="16" t="s">
        <v>4443</v>
      </c>
      <c r="C2224" s="6" t="s">
        <v>4558</v>
      </c>
      <c r="D2224" s="14" t="s">
        <v>623</v>
      </c>
      <c r="E2224" s="14">
        <v>46167.536111111112</v>
      </c>
      <c r="F2224" s="8">
        <f>IF(HOUR(Table1[[#This Row],[CORREO]])&gt;=11,WORKDAY(Table1[[#This Row],[CORREO]],1,Table2[Dias no laborales]),E2224)</f>
        <v>46168</v>
      </c>
      <c r="G2224" s="8">
        <v>46168</v>
      </c>
      <c r="H2224" s="6">
        <f t="shared" si="113"/>
        <v>21</v>
      </c>
      <c r="I2224" s="6">
        <f>MAX(1, NETWORKDAYS(A2224, G2224,Table2[Dias no laborales]))</f>
        <v>1</v>
      </c>
      <c r="J2224" s="6" t="str">
        <f>IF(Table1[[#This Row],[FIN]]="","Acumulado",IF(ISNUMBER(SEARCH("ASAP",C2224)),"ASAP",IF(NETWORKDAYS.INTL(F2224,G2224,1,Table2[Dias no laborales]) &lt;= 7, "Dentro", IF(A2224&gt;F2224,"Programado","Fuera"))))</f>
        <v>Dentro</v>
      </c>
      <c r="K2224" s="6" t="str">
        <f t="shared" si="114"/>
        <v>A tiempo</v>
      </c>
      <c r="L2224" s="8">
        <v>46168</v>
      </c>
      <c r="M2224" s="17">
        <f>MAX(1,NETWORKDAYS(A2224,L2224,Table2[Dias no laborales]))</f>
        <v>1</v>
      </c>
    </row>
    <row r="2225" spans="1:13" hidden="1" x14ac:dyDescent="0.3">
      <c r="A2225" s="8">
        <v>46168</v>
      </c>
      <c r="B2225" s="16" t="s">
        <v>4444</v>
      </c>
      <c r="C2225" s="6" t="s">
        <v>4559</v>
      </c>
      <c r="D2225" s="6" t="s">
        <v>754</v>
      </c>
      <c r="E2225" s="14">
        <v>46167.574999999997</v>
      </c>
      <c r="F2225" s="8">
        <f>IF(HOUR(Table1[[#This Row],[CORREO]])&gt;=11,WORKDAY(Table1[[#This Row],[CORREO]],1,Table2[Dias no laborales]),E2225)</f>
        <v>46168</v>
      </c>
      <c r="G2225" s="8">
        <v>46171</v>
      </c>
      <c r="H2225" s="6">
        <f t="shared" si="113"/>
        <v>21</v>
      </c>
      <c r="I2225" s="6">
        <f>MAX(1, NETWORKDAYS(A2225, G2225,Table2[Dias no laborales]))</f>
        <v>4</v>
      </c>
      <c r="J2225" s="6" t="str">
        <f>IF(Table1[[#This Row],[FIN]]="","Acumulado",IF(ISNUMBER(SEARCH("ASAP",C2225)),"ASAP",IF(NETWORKDAYS.INTL(F2225,G2225,1,Table2[Dias no laborales]) &lt;= 7, "Dentro", IF(A2225&gt;F2225,"Programado","Fuera"))))</f>
        <v>Dentro</v>
      </c>
      <c r="K2225" s="6" t="str">
        <f t="shared" si="114"/>
        <v>A tiempo</v>
      </c>
      <c r="L2225" s="8">
        <v>46168</v>
      </c>
      <c r="M2225" s="17">
        <f>MAX(1,NETWORKDAYS(A2225,L2225,Table2[Dias no laborales]))</f>
        <v>1</v>
      </c>
    </row>
    <row r="2226" spans="1:13" hidden="1" x14ac:dyDescent="0.3">
      <c r="A2226" s="8">
        <v>46168</v>
      </c>
      <c r="B2226" s="16" t="s">
        <v>4445</v>
      </c>
      <c r="C2226" s="6" t="s">
        <v>4560</v>
      </c>
      <c r="D2226" s="6" t="s">
        <v>24</v>
      </c>
      <c r="E2226" s="14">
        <v>46167.638888888891</v>
      </c>
      <c r="F2226" s="8">
        <f>IF(HOUR(Table1[[#This Row],[CORREO]])&gt;=11,WORKDAY(Table1[[#This Row],[CORREO]],1,Table2[Dias no laborales]),E2226)</f>
        <v>46168</v>
      </c>
      <c r="G2226" s="8">
        <v>46176</v>
      </c>
      <c r="H2226" s="6">
        <f t="shared" si="113"/>
        <v>21</v>
      </c>
      <c r="I2226" s="6">
        <f>MAX(1, NETWORKDAYS(A2226, G2226,Table2[Dias no laborales]))</f>
        <v>7</v>
      </c>
      <c r="J2226" s="6" t="str">
        <f>IF(Table1[[#This Row],[FIN]]="","Acumulado",IF(ISNUMBER(SEARCH("ASAP",C2226)),"ASAP",IF(NETWORKDAYS.INTL(F2226,G2226,1,Table2[Dias no laborales]) &lt;= 7, "Dentro", IF(A2226&gt;F2226,"Programado","Fuera"))))</f>
        <v>Dentro</v>
      </c>
      <c r="K2226" s="6" t="str">
        <f t="shared" si="114"/>
        <v>A tiempo</v>
      </c>
      <c r="L2226" s="8">
        <v>46168</v>
      </c>
      <c r="M2226" s="17">
        <f>MAX(1,NETWORKDAYS(A2226,L2226,Table2[Dias no laborales]))</f>
        <v>1</v>
      </c>
    </row>
    <row r="2227" spans="1:13" hidden="1" x14ac:dyDescent="0.3">
      <c r="A2227" s="8">
        <v>46168</v>
      </c>
      <c r="B2227" s="16" t="s">
        <v>4446</v>
      </c>
      <c r="C2227" s="6" t="s">
        <v>2149</v>
      </c>
      <c r="D2227" s="6" t="s">
        <v>269</v>
      </c>
      <c r="E2227" s="14"/>
      <c r="F2227" s="8">
        <f>IF(HOUR(Table1[[#This Row],[CORREO]])&gt;=11,WORKDAY(Table1[[#This Row],[CORREO]],1,Table2[Dias no laborales]),E2227)</f>
        <v>0</v>
      </c>
      <c r="G2227" s="8">
        <v>46168</v>
      </c>
      <c r="H2227" s="6">
        <f t="shared" si="113"/>
        <v>21</v>
      </c>
      <c r="I2227" s="6">
        <f>MAX(1, NETWORKDAYS(A2227, G2227,Table2[Dias no laborales]))</f>
        <v>1</v>
      </c>
      <c r="J2227" s="6" t="str">
        <f>IF(Table1[[#This Row],[FIN]]="","Acumulado",IF(ISNUMBER(SEARCH("ASAP",C2227)),"ASAP",IF(NETWORKDAYS.INTL(F2227,G2227,1,Table2[Dias no laborales]) &lt;= 7, "Dentro", IF(A2227&gt;F2227,"Programado","Fuera"))))</f>
        <v>Programado</v>
      </c>
      <c r="K2227" s="6" t="str">
        <f t="shared" si="114"/>
        <v>Programados</v>
      </c>
      <c r="L2227" s="8">
        <v>46168</v>
      </c>
      <c r="M2227" s="17">
        <f>MAX(1,NETWORKDAYS(A2227,L2227,Table2[Dias no laborales]))</f>
        <v>1</v>
      </c>
    </row>
    <row r="2228" spans="1:13" hidden="1" x14ac:dyDescent="0.3">
      <c r="A2228" s="8">
        <v>46168</v>
      </c>
      <c r="B2228" s="16" t="s">
        <v>4447</v>
      </c>
      <c r="C2228" s="6" t="s">
        <v>4555</v>
      </c>
      <c r="D2228" s="6" t="s">
        <v>392</v>
      </c>
      <c r="E2228" s="14"/>
      <c r="F2228" s="8">
        <f>IF(HOUR(Table1[[#This Row],[CORREO]])&gt;=11,WORKDAY(Table1[[#This Row],[CORREO]],1,Table2[Dias no laborales]),E2228)</f>
        <v>0</v>
      </c>
      <c r="G2228" s="8">
        <v>46168</v>
      </c>
      <c r="H2228" s="6">
        <f t="shared" si="113"/>
        <v>21</v>
      </c>
      <c r="I2228" s="6">
        <f>MAX(1, NETWORKDAYS(A2228, G2228,Table2[Dias no laborales]))</f>
        <v>1</v>
      </c>
      <c r="J2228" s="6" t="str">
        <f>IF(Table1[[#This Row],[FIN]]="","Acumulado",IF(ISNUMBER(SEARCH("ASAP",C2228)),"ASAP",IF(NETWORKDAYS.INTL(F2228,G2228,1,Table2[Dias no laborales]) &lt;= 7, "Dentro", IF(A2228&gt;F2228,"Programado","Fuera"))))</f>
        <v>Programado</v>
      </c>
      <c r="K2228" s="6" t="str">
        <f t="shared" si="114"/>
        <v>Programados</v>
      </c>
      <c r="L2228" s="8">
        <v>46168</v>
      </c>
      <c r="M2228" s="17">
        <f>MAX(1,NETWORKDAYS(A2228,L2228,Table2[Dias no laborales]))</f>
        <v>1</v>
      </c>
    </row>
    <row r="2229" spans="1:13" hidden="1" x14ac:dyDescent="0.3">
      <c r="A2229" s="8">
        <v>46168</v>
      </c>
      <c r="B2229" s="16" t="s">
        <v>4448</v>
      </c>
      <c r="C2229" s="6" t="s">
        <v>4561</v>
      </c>
      <c r="D2229" s="6" t="s">
        <v>42</v>
      </c>
      <c r="E2229" s="14"/>
      <c r="F2229" s="8">
        <f>IF(HOUR(Table1[[#This Row],[CORREO]])&gt;=11,WORKDAY(Table1[[#This Row],[CORREO]],1,Table2[Dias no laborales]),E2229)</f>
        <v>0</v>
      </c>
      <c r="G2229" s="8">
        <v>46174</v>
      </c>
      <c r="H2229" s="6">
        <f t="shared" si="113"/>
        <v>21</v>
      </c>
      <c r="I2229" s="6">
        <f>MAX(1, NETWORKDAYS(A2229, G2229,Table2[Dias no laborales]))</f>
        <v>5</v>
      </c>
      <c r="J2229" s="6" t="str">
        <f>IF(Table1[[#This Row],[FIN]]="","Acumulado",IF(ISNUMBER(SEARCH("ASAP",C2229)),"ASAP",IF(NETWORKDAYS.INTL(F2229,G2229,1,Table2[Dias no laborales]) &lt;= 7, "Dentro", IF(A2229&gt;F2229,"Programado","Fuera"))))</f>
        <v>Programado</v>
      </c>
      <c r="K2229" s="6" t="str">
        <f t="shared" si="114"/>
        <v>Programados</v>
      </c>
      <c r="L2229" s="8">
        <v>46168</v>
      </c>
      <c r="M2229" s="17">
        <f>MAX(1,NETWORKDAYS(A2229,L2229,Table2[Dias no laborales]))</f>
        <v>1</v>
      </c>
    </row>
    <row r="2230" spans="1:13" hidden="1" x14ac:dyDescent="0.3">
      <c r="A2230" s="8">
        <v>46168</v>
      </c>
      <c r="B2230" s="16" t="s">
        <v>4449</v>
      </c>
      <c r="C2230" s="6" t="s">
        <v>4562</v>
      </c>
      <c r="D2230" s="6" t="s">
        <v>24</v>
      </c>
      <c r="E2230" s="14">
        <v>46168.36041666667</v>
      </c>
      <c r="F2230" s="8">
        <f>IF(HOUR(Table1[[#This Row],[CORREO]])&gt;=11,WORKDAY(Table1[[#This Row],[CORREO]],1,Table2[Dias no laborales]),E2230)</f>
        <v>46168.36041666667</v>
      </c>
      <c r="G2230" s="8">
        <v>46170</v>
      </c>
      <c r="H2230" s="6">
        <f t="shared" si="113"/>
        <v>21</v>
      </c>
      <c r="I2230" s="6">
        <f>MAX(1, NETWORKDAYS(A2230, G2230,Table2[Dias no laborales]))</f>
        <v>3</v>
      </c>
      <c r="J2230" s="6" t="str">
        <f>IF(Table1[[#This Row],[FIN]]="","Acumulado",IF(ISNUMBER(SEARCH("ASAP",C2230)),"ASAP",IF(NETWORKDAYS.INTL(F2230,G2230,1,Table2[Dias no laborales]) &lt;= 7, "Dentro", IF(A2230&gt;F2230,"Programado","Fuera"))))</f>
        <v>Dentro</v>
      </c>
      <c r="K2230" s="6" t="str">
        <f t="shared" si="114"/>
        <v>A tiempo</v>
      </c>
      <c r="L2230" s="8">
        <v>46168</v>
      </c>
      <c r="M2230" s="17">
        <f>MAX(1,NETWORKDAYS(A2230,L2230,Table2[Dias no laborales]))</f>
        <v>1</v>
      </c>
    </row>
    <row r="2231" spans="1:13" hidden="1" x14ac:dyDescent="0.3">
      <c r="A2231" s="8">
        <v>46169</v>
      </c>
      <c r="B2231" s="16" t="s">
        <v>4450</v>
      </c>
      <c r="C2231" s="6" t="s">
        <v>4563</v>
      </c>
      <c r="D2231" s="6" t="s">
        <v>351</v>
      </c>
      <c r="E2231" s="14"/>
      <c r="F2231" s="8">
        <f>IF(HOUR(Table1[[#This Row],[CORREO]])&gt;=11,WORKDAY(Table1[[#This Row],[CORREO]],1,Table2[Dias no laborales]),E2231)</f>
        <v>0</v>
      </c>
      <c r="G2231" s="8">
        <v>46174</v>
      </c>
      <c r="H2231" s="6">
        <f t="shared" si="113"/>
        <v>21</v>
      </c>
      <c r="I2231" s="6">
        <f>MAX(1, NETWORKDAYS(A2231, G2231,Table2[Dias no laborales]))</f>
        <v>4</v>
      </c>
      <c r="J2231" s="6" t="str">
        <f>IF(Table1[[#This Row],[FIN]]="","Acumulado",IF(ISNUMBER(SEARCH("ASAP",C2231)),"ASAP",IF(NETWORKDAYS.INTL(F2231,G2231,1,Table2[Dias no laborales]) &lt;= 7, "Dentro", IF(A2231&gt;F2231,"Programado","Fuera"))))</f>
        <v>Programado</v>
      </c>
      <c r="K2231" s="6" t="str">
        <f t="shared" si="114"/>
        <v>Programados</v>
      </c>
      <c r="L2231" s="8">
        <v>46171</v>
      </c>
      <c r="M2231" s="17">
        <f>MAX(1,NETWORKDAYS(A2231,L2231,Table2[Dias no laborales]))</f>
        <v>3</v>
      </c>
    </row>
    <row r="2232" spans="1:13" hidden="1" x14ac:dyDescent="0.3">
      <c r="A2232" s="8">
        <v>46169</v>
      </c>
      <c r="B2232" s="16" t="s">
        <v>4451</v>
      </c>
      <c r="C2232" s="6" t="s">
        <v>4564</v>
      </c>
      <c r="D2232" s="6" t="s">
        <v>89</v>
      </c>
      <c r="E2232" s="14"/>
      <c r="F2232" s="8">
        <f>IF(HOUR(Table1[[#This Row],[CORREO]])&gt;=11,WORKDAY(Table1[[#This Row],[CORREO]],1,Table2[Dias no laborales]),E2232)</f>
        <v>0</v>
      </c>
      <c r="G2232" s="8">
        <v>46174</v>
      </c>
      <c r="H2232" s="6">
        <f t="shared" si="113"/>
        <v>21</v>
      </c>
      <c r="I2232" s="6">
        <f>MAX(1, NETWORKDAYS(A2232, G2232,Table2[Dias no laborales]))</f>
        <v>4</v>
      </c>
      <c r="J2232" s="6" t="str">
        <f>IF(Table1[[#This Row],[FIN]]="","Acumulado",IF(ISNUMBER(SEARCH("ASAP",C2232)),"ASAP",IF(NETWORKDAYS.INTL(F2232,G2232,1,Table2[Dias no laborales]) &lt;= 7, "Dentro", IF(A2232&gt;F2232,"Programado","Fuera"))))</f>
        <v>Programado</v>
      </c>
      <c r="K2232" s="6" t="str">
        <f t="shared" si="114"/>
        <v>Programados</v>
      </c>
      <c r="L2232" s="8">
        <v>46169</v>
      </c>
      <c r="M2232" s="17">
        <f>MAX(1,NETWORKDAYS(A2232,L2232,Table2[Dias no laborales]))</f>
        <v>1</v>
      </c>
    </row>
    <row r="2233" spans="1:13" hidden="1" x14ac:dyDescent="0.3">
      <c r="A2233" s="8">
        <v>46169</v>
      </c>
      <c r="B2233" s="16" t="s">
        <v>4452</v>
      </c>
      <c r="C2233" s="6" t="s">
        <v>4565</v>
      </c>
      <c r="D2233" s="6" t="s">
        <v>89</v>
      </c>
      <c r="E2233" s="14"/>
      <c r="F2233" s="8">
        <f>IF(HOUR(Table1[[#This Row],[CORREO]])&gt;=11,WORKDAY(Table1[[#This Row],[CORREO]],1,Table2[Dias no laborales]),E2233)</f>
        <v>0</v>
      </c>
      <c r="G2233" s="8">
        <v>46174</v>
      </c>
      <c r="H2233" s="6">
        <f t="shared" si="113"/>
        <v>21</v>
      </c>
      <c r="I2233" s="6">
        <f>MAX(1, NETWORKDAYS(A2233, G2233,Table2[Dias no laborales]))</f>
        <v>4</v>
      </c>
      <c r="J2233" s="6" t="str">
        <f>IF(Table1[[#This Row],[FIN]]="","Acumulado",IF(ISNUMBER(SEARCH("ASAP",C2233)),"ASAP",IF(NETWORKDAYS.INTL(F2233,G2233,1,Table2[Dias no laborales]) &lt;= 7, "Dentro", IF(A2233&gt;F2233,"Programado","Fuera"))))</f>
        <v>Programado</v>
      </c>
      <c r="K2233" s="6" t="str">
        <f t="shared" si="114"/>
        <v>Programados</v>
      </c>
      <c r="L2233" s="8">
        <v>46169</v>
      </c>
      <c r="M2233" s="17">
        <f>MAX(1,NETWORKDAYS(A2233,L2233,Table2[Dias no laborales]))</f>
        <v>1</v>
      </c>
    </row>
    <row r="2234" spans="1:13" hidden="1" x14ac:dyDescent="0.3">
      <c r="A2234" s="8">
        <v>46169</v>
      </c>
      <c r="B2234" s="16" t="s">
        <v>4453</v>
      </c>
      <c r="C2234" s="6" t="s">
        <v>2633</v>
      </c>
      <c r="D2234" s="6" t="s">
        <v>2623</v>
      </c>
      <c r="E2234" s="14">
        <v>46168.993055555555</v>
      </c>
      <c r="F2234" s="8">
        <f>IF(HOUR(Table1[[#This Row],[CORREO]])&gt;=11,WORKDAY(Table1[[#This Row],[CORREO]],1,Table2[Dias no laborales]),E2234)</f>
        <v>46169</v>
      </c>
      <c r="G2234" s="8">
        <v>46169</v>
      </c>
      <c r="H2234" s="6">
        <f t="shared" si="113"/>
        <v>21</v>
      </c>
      <c r="I2234" s="6">
        <f>MAX(1, NETWORKDAYS(A2234, G2234,Table2[Dias no laborales]))</f>
        <v>1</v>
      </c>
      <c r="J2234" s="6" t="str">
        <f>IF(Table1[[#This Row],[FIN]]="","Acumulado",IF(ISNUMBER(SEARCH("ASAP",C2234)),"ASAP",IF(NETWORKDAYS.INTL(F2234,G2234,1,Table2[Dias no laborales]) &lt;= 7, "Dentro", IF(A2234&gt;F2234,"Programado","Fuera"))))</f>
        <v>Dentro</v>
      </c>
      <c r="K2234" s="6" t="str">
        <f t="shared" si="114"/>
        <v>A tiempo</v>
      </c>
      <c r="L2234" s="8">
        <v>46169</v>
      </c>
      <c r="M2234" s="17">
        <f>MAX(1,NETWORKDAYS(A2234,L2234,Table2[Dias no laborales]))</f>
        <v>1</v>
      </c>
    </row>
    <row r="2235" spans="1:13" hidden="1" x14ac:dyDescent="0.3">
      <c r="A2235" s="8">
        <v>46169</v>
      </c>
      <c r="B2235" s="16" t="s">
        <v>4454</v>
      </c>
      <c r="C2235" s="6" t="s">
        <v>4566</v>
      </c>
      <c r="D2235" s="6" t="s">
        <v>4553</v>
      </c>
      <c r="E2235" s="14">
        <v>46168.479166666664</v>
      </c>
      <c r="F2235" s="8">
        <f>IF(HOUR(Table1[[#This Row],[CORREO]])&gt;=11,WORKDAY(Table1[[#This Row],[CORREO]],1,Table2[Dias no laborales]),E2235)</f>
        <v>46169</v>
      </c>
      <c r="G2235" s="8">
        <v>46169</v>
      </c>
      <c r="H2235" s="6">
        <f t="shared" si="113"/>
        <v>21</v>
      </c>
      <c r="I2235" s="6">
        <f>MAX(1, NETWORKDAYS(A2235, G2235,Table2[Dias no laborales]))</f>
        <v>1</v>
      </c>
      <c r="J2235" s="6" t="str">
        <f>IF(Table1[[#This Row],[FIN]]="","Acumulado",IF(ISNUMBER(SEARCH("ASAP",C2235)),"ASAP",IF(NETWORKDAYS.INTL(F2235,G2235,1,Table2[Dias no laborales]) &lt;= 7, "Dentro", IF(A2235&gt;F2235,"Programado","Fuera"))))</f>
        <v>Dentro</v>
      </c>
      <c r="K2235" s="6" t="str">
        <f t="shared" si="114"/>
        <v>A tiempo</v>
      </c>
      <c r="L2235" s="8">
        <v>46169</v>
      </c>
      <c r="M2235" s="17">
        <f>MAX(1,NETWORKDAYS(A2235,L2235,Table2[Dias no laborales]))</f>
        <v>1</v>
      </c>
    </row>
    <row r="2236" spans="1:13" hidden="1" x14ac:dyDescent="0.3">
      <c r="A2236" s="8">
        <v>46169</v>
      </c>
      <c r="B2236" s="16" t="s">
        <v>4455</v>
      </c>
      <c r="C2236" s="6" t="s">
        <v>4567</v>
      </c>
      <c r="D2236" s="6" t="s">
        <v>877</v>
      </c>
      <c r="E2236" s="14">
        <v>46168.763194444444</v>
      </c>
      <c r="F2236" s="8">
        <f>IF(HOUR(Table1[[#This Row],[CORREO]])&gt;=11,WORKDAY(Table1[[#This Row],[CORREO]],1,Table2[Dias no laborales]),E2236)</f>
        <v>46169</v>
      </c>
      <c r="G2236" s="8">
        <v>46169</v>
      </c>
      <c r="H2236" s="6">
        <f t="shared" si="113"/>
        <v>21</v>
      </c>
      <c r="I2236" s="6">
        <f>MAX(1, NETWORKDAYS(A2236, G2236,Table2[Dias no laborales]))</f>
        <v>1</v>
      </c>
      <c r="J2236" s="6" t="str">
        <f>IF(Table1[[#This Row],[FIN]]="","Acumulado",IF(ISNUMBER(SEARCH("ASAP",C2236)),"ASAP",IF(NETWORKDAYS.INTL(F2236,G2236,1,Table2[Dias no laborales]) &lt;= 7, "Dentro", IF(A2236&gt;F2236,"Programado","Fuera"))))</f>
        <v>Dentro</v>
      </c>
      <c r="K2236" s="6" t="str">
        <f t="shared" si="114"/>
        <v>A tiempo</v>
      </c>
      <c r="L2236" s="8">
        <v>46169</v>
      </c>
      <c r="M2236" s="17">
        <f>MAX(1,NETWORKDAYS(A2236,L2236,Table2[Dias no laborales]))</f>
        <v>1</v>
      </c>
    </row>
    <row r="2237" spans="1:13" hidden="1" x14ac:dyDescent="0.3">
      <c r="A2237" s="8">
        <v>46169</v>
      </c>
      <c r="B2237" s="16" t="s">
        <v>4456</v>
      </c>
      <c r="C2237" s="6" t="s">
        <v>4568</v>
      </c>
      <c r="D2237" s="6" t="s">
        <v>655</v>
      </c>
      <c r="E2237" s="14">
        <v>46169.696527777778</v>
      </c>
      <c r="F2237" s="8">
        <f>IF(HOUR(Table1[[#This Row],[CORREO]])&gt;=11,WORKDAY(Table1[[#This Row],[CORREO]],1,Table2[Dias no laborales]),E2237)</f>
        <v>46170</v>
      </c>
      <c r="G2237" s="8">
        <v>46169</v>
      </c>
      <c r="H2237" s="6">
        <f t="shared" si="113"/>
        <v>21</v>
      </c>
      <c r="I2237" s="6">
        <f>MAX(1, NETWORKDAYS(A2237, G2237,Table2[Dias no laborales]))</f>
        <v>1</v>
      </c>
      <c r="J2237" s="6" t="str">
        <f>IF(Table1[[#This Row],[FIN]]="","Acumulado",IF(ISNUMBER(SEARCH("ASAP",C2237)),"ASAP",IF(NETWORKDAYS.INTL(F2237,G2237,1,Table2[Dias no laborales]) &lt;= 7, "Dentro", IF(A2237&gt;F2237,"Programado","Fuera"))))</f>
        <v>Dentro</v>
      </c>
      <c r="K2237" s="6" t="str">
        <f t="shared" si="114"/>
        <v>Mismo día</v>
      </c>
      <c r="L2237" s="8">
        <v>46169</v>
      </c>
      <c r="M2237" s="17">
        <f>MAX(1,NETWORKDAYS(A2237,L2237,Table2[Dias no laborales]))</f>
        <v>1</v>
      </c>
    </row>
    <row r="2238" spans="1:13" hidden="1" x14ac:dyDescent="0.3">
      <c r="A2238" s="8">
        <v>46169</v>
      </c>
      <c r="B2238" s="16" t="s">
        <v>4457</v>
      </c>
      <c r="C2238" s="6" t="s">
        <v>4048</v>
      </c>
      <c r="D2238" s="6" t="s">
        <v>4553</v>
      </c>
      <c r="E2238" s="14">
        <v>46169.32916666667</v>
      </c>
      <c r="F2238" s="8">
        <f>IF(HOUR(Table1[[#This Row],[CORREO]])&gt;=11,WORKDAY(Table1[[#This Row],[CORREO]],1,Table2[Dias no laborales]),E2238)</f>
        <v>46169.32916666667</v>
      </c>
      <c r="G2238" s="8">
        <v>46171</v>
      </c>
      <c r="H2238" s="6">
        <f t="shared" ref="H2238:H2264" si="115">INT((A2238-DATE(YEAR(A2238),1,1))/7) + 1</f>
        <v>21</v>
      </c>
      <c r="I2238" s="6">
        <f>MAX(1, NETWORKDAYS(A2238, G2238,Table2[Dias no laborales]))</f>
        <v>3</v>
      </c>
      <c r="J2238" s="6" t="str">
        <f>IF(Table1[[#This Row],[FIN]]="","Acumulado",IF(ISNUMBER(SEARCH("ASAP",C2238)),"ASAP",IF(NETWORKDAYS.INTL(F2238,G2238,1,Table2[Dias no laborales]) &lt;= 7, "Dentro", IF(A2238&gt;F2238,"Programado","Fuera"))))</f>
        <v>Dentro</v>
      </c>
      <c r="K2238" s="6" t="str">
        <f t="shared" ref="K2238:K2264" si="116">IF(INT(A2238)=INT(F2238),"A tiempo", IF(A2238&lt;F2238,"Mismo día","Programados"))</f>
        <v>A tiempo</v>
      </c>
      <c r="L2238" s="8">
        <v>46169</v>
      </c>
      <c r="M2238" s="17">
        <f>MAX(1,NETWORKDAYS(A2238,L2238,Table2[Dias no laborales]))</f>
        <v>1</v>
      </c>
    </row>
    <row r="2239" spans="1:13" hidden="1" x14ac:dyDescent="0.3">
      <c r="A2239" s="8">
        <v>46169</v>
      </c>
      <c r="B2239" s="16" t="s">
        <v>4458</v>
      </c>
      <c r="C2239" s="6" t="s">
        <v>2149</v>
      </c>
      <c r="D2239" s="6" t="s">
        <v>269</v>
      </c>
      <c r="E2239" s="14">
        <v>46169.333333333336</v>
      </c>
      <c r="F2239" s="8">
        <f>IF(HOUR(Table1[[#This Row],[CORREO]])&gt;=11,WORKDAY(Table1[[#This Row],[CORREO]],1,Table2[Dias no laborales]),E2239)</f>
        <v>46169.333333333336</v>
      </c>
      <c r="G2239" s="8">
        <v>46169</v>
      </c>
      <c r="H2239" s="6">
        <f t="shared" si="115"/>
        <v>21</v>
      </c>
      <c r="I2239" s="6">
        <f>MAX(1, NETWORKDAYS(A2239, G2239,Table2[Dias no laborales]))</f>
        <v>1</v>
      </c>
      <c r="J2239" s="6" t="str">
        <f>IF(Table1[[#This Row],[FIN]]="","Acumulado",IF(ISNUMBER(SEARCH("ASAP",C2239)),"ASAP",IF(NETWORKDAYS.INTL(F2239,G2239,1,Table2[Dias no laborales]) &lt;= 7, "Dentro", IF(A2239&gt;F2239,"Programado","Fuera"))))</f>
        <v>Dentro</v>
      </c>
      <c r="K2239" s="6" t="str">
        <f t="shared" si="116"/>
        <v>A tiempo</v>
      </c>
      <c r="L2239" s="8">
        <v>46169</v>
      </c>
      <c r="M2239" s="17">
        <f>MAX(1,NETWORKDAYS(A2239,L2239,Table2[Dias no laborales]))</f>
        <v>1</v>
      </c>
    </row>
    <row r="2240" spans="1:13" hidden="1" x14ac:dyDescent="0.3">
      <c r="A2240" s="8">
        <v>46169</v>
      </c>
      <c r="B2240" s="16" t="s">
        <v>4459</v>
      </c>
      <c r="C2240" s="6" t="s">
        <v>4555</v>
      </c>
      <c r="D2240" s="6" t="s">
        <v>392</v>
      </c>
      <c r="E2240" s="14">
        <v>46169.335416666669</v>
      </c>
      <c r="F2240" s="8">
        <f>IF(HOUR(Table1[[#This Row],[CORREO]])&gt;=11,WORKDAY(Table1[[#This Row],[CORREO]],1,Table2[Dias no laborales]),E2240)</f>
        <v>46169.335416666669</v>
      </c>
      <c r="G2240" s="8">
        <v>46169</v>
      </c>
      <c r="H2240" s="6">
        <f t="shared" si="115"/>
        <v>21</v>
      </c>
      <c r="I2240" s="6">
        <f>MAX(1, NETWORKDAYS(A2240, G2240,Table2[Dias no laborales]))</f>
        <v>1</v>
      </c>
      <c r="J2240" s="6" t="str">
        <f>IF(Table1[[#This Row],[FIN]]="","Acumulado",IF(ISNUMBER(SEARCH("ASAP",C2240)),"ASAP",IF(NETWORKDAYS.INTL(F2240,G2240,1,Table2[Dias no laborales]) &lt;= 7, "Dentro", IF(A2240&gt;F2240,"Programado","Fuera"))))</f>
        <v>Dentro</v>
      </c>
      <c r="K2240" s="6" t="str">
        <f t="shared" si="116"/>
        <v>A tiempo</v>
      </c>
      <c r="L2240" s="8">
        <v>46169</v>
      </c>
      <c r="M2240" s="17">
        <f>MAX(1,NETWORKDAYS(A2240,L2240,Table2[Dias no laborales]))</f>
        <v>1</v>
      </c>
    </row>
    <row r="2241" spans="1:13" hidden="1" x14ac:dyDescent="0.3">
      <c r="A2241" s="8">
        <v>46169</v>
      </c>
      <c r="B2241" s="16" t="s">
        <v>4460</v>
      </c>
      <c r="C2241" s="6" t="s">
        <v>4327</v>
      </c>
      <c r="D2241" s="6" t="s">
        <v>351</v>
      </c>
      <c r="E2241" s="14">
        <v>46169.342361111114</v>
      </c>
      <c r="F2241" s="8">
        <f>IF(HOUR(Table1[[#This Row],[CORREO]])&gt;=11,WORKDAY(Table1[[#This Row],[CORREO]],1,Table2[Dias no laborales]),E2241)</f>
        <v>46169.342361111114</v>
      </c>
      <c r="G2241" s="8">
        <v>46169</v>
      </c>
      <c r="H2241" s="6">
        <f t="shared" si="115"/>
        <v>21</v>
      </c>
      <c r="I2241" s="6">
        <f>MAX(1, NETWORKDAYS(A2241, G2241,Table2[Dias no laborales]))</f>
        <v>1</v>
      </c>
      <c r="J2241" s="6" t="str">
        <f>IF(Table1[[#This Row],[FIN]]="","Acumulado",IF(ISNUMBER(SEARCH("ASAP",C2241)),"ASAP",IF(NETWORKDAYS.INTL(F2241,G2241,1,Table2[Dias no laborales]) &lt;= 7, "Dentro", IF(A2241&gt;F2241,"Programado","Fuera"))))</f>
        <v>Dentro</v>
      </c>
      <c r="K2241" s="6" t="str">
        <f t="shared" si="116"/>
        <v>A tiempo</v>
      </c>
      <c r="L2241" s="8">
        <v>46169</v>
      </c>
      <c r="M2241" s="17">
        <f>MAX(1,NETWORKDAYS(A2241,L2241,Table2[Dias no laborales]))</f>
        <v>1</v>
      </c>
    </row>
    <row r="2242" spans="1:13" hidden="1" x14ac:dyDescent="0.3">
      <c r="A2242" s="8">
        <v>46169</v>
      </c>
      <c r="B2242" s="16" t="s">
        <v>4461</v>
      </c>
      <c r="C2242" s="6" t="s">
        <v>4569</v>
      </c>
      <c r="D2242" s="6" t="s">
        <v>56</v>
      </c>
      <c r="E2242" s="14">
        <v>46169.361111111109</v>
      </c>
      <c r="F2242" s="8">
        <f>IF(HOUR(Table1[[#This Row],[CORREO]])&gt;=11,WORKDAY(Table1[[#This Row],[CORREO]],1,Table2[Dias no laborales]),E2242)</f>
        <v>46169.361111111109</v>
      </c>
      <c r="G2242" s="8">
        <v>46169</v>
      </c>
      <c r="H2242" s="6">
        <f t="shared" si="115"/>
        <v>21</v>
      </c>
      <c r="I2242" s="6">
        <f>MAX(1, NETWORKDAYS(A2242, G2242,Table2[Dias no laborales]))</f>
        <v>1</v>
      </c>
      <c r="J2242" s="6" t="str">
        <f>IF(Table1[[#This Row],[FIN]]="","Acumulado",IF(ISNUMBER(SEARCH("ASAP",C2242)),"ASAP",IF(NETWORKDAYS.INTL(F2242,G2242,1,Table2[Dias no laborales]) &lt;= 7, "Dentro", IF(A2242&gt;F2242,"Programado","Fuera"))))</f>
        <v>Dentro</v>
      </c>
      <c r="K2242" s="6" t="str">
        <f t="shared" si="116"/>
        <v>A tiempo</v>
      </c>
      <c r="L2242" s="8">
        <v>46169</v>
      </c>
      <c r="M2242" s="17">
        <f>MAX(1,NETWORKDAYS(A2242,L2242,Table2[Dias no laborales]))</f>
        <v>1</v>
      </c>
    </row>
    <row r="2243" spans="1:13" hidden="1" x14ac:dyDescent="0.3">
      <c r="A2243" s="8">
        <v>46169</v>
      </c>
      <c r="B2243" s="16" t="s">
        <v>4462</v>
      </c>
      <c r="C2243" s="6" t="s">
        <v>4580</v>
      </c>
      <c r="D2243" s="6" t="s">
        <v>4581</v>
      </c>
      <c r="E2243" s="14">
        <v>46168.669444444444</v>
      </c>
      <c r="F2243" s="8">
        <f>IF(HOUR(Table1[[#This Row],[CORREO]])&gt;=11,WORKDAY(Table1[[#This Row],[CORREO]],1,Table2[Dias no laborales]),E2243)</f>
        <v>46169</v>
      </c>
      <c r="G2243" s="8">
        <v>46169</v>
      </c>
      <c r="H2243" s="6">
        <f t="shared" si="115"/>
        <v>21</v>
      </c>
      <c r="I2243" s="6">
        <f>MAX(1, NETWORKDAYS(A2243, G2243,Table2[Dias no laborales]))</f>
        <v>1</v>
      </c>
      <c r="J2243" s="6" t="str">
        <f>IF(Table1[[#This Row],[FIN]]="","Acumulado",IF(ISNUMBER(SEARCH("ASAP",C2243)),"ASAP",IF(NETWORKDAYS.INTL(F2243,G2243,1,Table2[Dias no laborales]) &lt;= 7, "Dentro", IF(A2243&gt;F2243,"Programado","Fuera"))))</f>
        <v>Dentro</v>
      </c>
      <c r="K2243" s="6" t="str">
        <f t="shared" si="116"/>
        <v>A tiempo</v>
      </c>
      <c r="L2243" s="8">
        <v>46169</v>
      </c>
      <c r="M2243" s="17">
        <f>MAX(1,NETWORKDAYS(A2243,L2243,Table2[Dias no laborales]))</f>
        <v>1</v>
      </c>
    </row>
    <row r="2244" spans="1:13" hidden="1" x14ac:dyDescent="0.3">
      <c r="A2244" s="8">
        <v>46169</v>
      </c>
      <c r="B2244" s="16" t="s">
        <v>4463</v>
      </c>
      <c r="C2244" s="6" t="s">
        <v>4489</v>
      </c>
      <c r="D2244" s="6" t="s">
        <v>3941</v>
      </c>
      <c r="E2244" s="14">
        <v>46168.870833333334</v>
      </c>
      <c r="F2244" s="8">
        <f>IF(HOUR(Table1[[#This Row],[CORREO]])&gt;=11,WORKDAY(Table1[[#This Row],[CORREO]],1,Table2[Dias no laborales]),E2244)</f>
        <v>46169</v>
      </c>
      <c r="G2244" s="8">
        <v>46175</v>
      </c>
      <c r="H2244" s="6">
        <f t="shared" si="115"/>
        <v>21</v>
      </c>
      <c r="I2244" s="6">
        <f>MAX(1, NETWORKDAYS(A2244, G2244,Table2[Dias no laborales]))</f>
        <v>5</v>
      </c>
      <c r="J2244" s="6" t="str">
        <f>IF(Table1[[#This Row],[FIN]]="","Acumulado",IF(ISNUMBER(SEARCH("ASAP",C2244)),"ASAP",IF(NETWORKDAYS.INTL(F2244,G2244,1,Table2[Dias no laborales]) &lt;= 7, "Dentro", IF(A2244&gt;F2244,"Programado","Fuera"))))</f>
        <v>Dentro</v>
      </c>
      <c r="K2244" s="6" t="str">
        <f t="shared" si="116"/>
        <v>A tiempo</v>
      </c>
      <c r="L2244" s="8">
        <v>46169</v>
      </c>
      <c r="M2244" s="17">
        <f>MAX(1,NETWORKDAYS(A2244,L2244,Table2[Dias no laborales]))</f>
        <v>1</v>
      </c>
    </row>
    <row r="2245" spans="1:13" hidden="1" x14ac:dyDescent="0.3">
      <c r="A2245" s="8">
        <v>46170</v>
      </c>
      <c r="B2245" s="16" t="s">
        <v>4464</v>
      </c>
      <c r="C2245" s="6" t="s">
        <v>4582</v>
      </c>
      <c r="D2245" s="6" t="s">
        <v>151</v>
      </c>
      <c r="E2245" s="14">
        <v>46169.504166666666</v>
      </c>
      <c r="F2245" s="8">
        <f>IF(HOUR(Table1[[#This Row],[CORREO]])&gt;=11,WORKDAY(Table1[[#This Row],[CORREO]],1,Table2[Dias no laborales]),E2245)</f>
        <v>46170</v>
      </c>
      <c r="G2245" s="8">
        <v>46171</v>
      </c>
      <c r="H2245" s="6">
        <f t="shared" si="115"/>
        <v>22</v>
      </c>
      <c r="I2245" s="6">
        <f>MAX(1, NETWORKDAYS(A2245, G2245,Table2[Dias no laborales]))</f>
        <v>2</v>
      </c>
      <c r="J2245" s="6" t="str">
        <f>IF(Table1[[#This Row],[FIN]]="","Acumulado",IF(ISNUMBER(SEARCH("ASAP",C2245)),"ASAP",IF(NETWORKDAYS.INTL(F2245,G2245,1,Table2[Dias no laborales]) &lt;= 7, "Dentro", IF(A2245&gt;F2245,"Programado","Fuera"))))</f>
        <v>Dentro</v>
      </c>
      <c r="K2245" s="6" t="str">
        <f t="shared" si="116"/>
        <v>A tiempo</v>
      </c>
      <c r="L2245" s="8">
        <v>46170</v>
      </c>
      <c r="M2245" s="17">
        <f>MAX(1,NETWORKDAYS(A2245,L2245,Table2[Dias no laborales]))</f>
        <v>1</v>
      </c>
    </row>
    <row r="2246" spans="1:13" hidden="1" x14ac:dyDescent="0.3">
      <c r="A2246" s="8">
        <v>46170</v>
      </c>
      <c r="B2246" s="16" t="s">
        <v>4465</v>
      </c>
      <c r="C2246" s="6" t="s">
        <v>4583</v>
      </c>
      <c r="D2246" s="6" t="s">
        <v>2963</v>
      </c>
      <c r="E2246" s="14">
        <v>46169.508333333331</v>
      </c>
      <c r="F2246" s="8">
        <f>IF(HOUR(Table1[[#This Row],[CORREO]])&gt;=11,WORKDAY(Table1[[#This Row],[CORREO]],1,Table2[Dias no laborales]),E2246)</f>
        <v>46170</v>
      </c>
      <c r="G2246" s="8">
        <v>46171</v>
      </c>
      <c r="H2246" s="6">
        <f t="shared" si="115"/>
        <v>22</v>
      </c>
      <c r="I2246" s="6">
        <f>MAX(1, NETWORKDAYS(A2246, G2246,Table2[Dias no laborales]))</f>
        <v>2</v>
      </c>
      <c r="J2246" s="6" t="str">
        <f>IF(Table1[[#This Row],[FIN]]="","Acumulado",IF(ISNUMBER(SEARCH("ASAP",C2246)),"ASAP",IF(NETWORKDAYS.INTL(F2246,G2246,1,Table2[Dias no laborales]) &lt;= 7, "Dentro", IF(A2246&gt;F2246,"Programado","Fuera"))))</f>
        <v>Dentro</v>
      </c>
      <c r="K2246" s="6" t="str">
        <f t="shared" si="116"/>
        <v>A tiempo</v>
      </c>
      <c r="L2246" s="8">
        <v>46170</v>
      </c>
      <c r="M2246" s="17">
        <f>MAX(1,NETWORKDAYS(A2246,L2246,Table2[Dias no laborales]))</f>
        <v>1</v>
      </c>
    </row>
    <row r="2247" spans="1:13" hidden="1" x14ac:dyDescent="0.3">
      <c r="A2247" s="8">
        <v>46170</v>
      </c>
      <c r="B2247" s="16" t="s">
        <v>4466</v>
      </c>
      <c r="C2247" s="6" t="s">
        <v>4584</v>
      </c>
      <c r="D2247" s="6" t="s">
        <v>2963</v>
      </c>
      <c r="E2247" s="14">
        <v>46169.513888888891</v>
      </c>
      <c r="F2247" s="8">
        <f>IF(HOUR(Table1[[#This Row],[CORREO]])&gt;=11,WORKDAY(Table1[[#This Row],[CORREO]],1,Table2[Dias no laborales]),E2247)</f>
        <v>46170</v>
      </c>
      <c r="G2247" s="8">
        <v>46171</v>
      </c>
      <c r="H2247" s="6">
        <f t="shared" si="115"/>
        <v>22</v>
      </c>
      <c r="I2247" s="6">
        <f>MAX(1, NETWORKDAYS(A2247, G2247,Table2[Dias no laborales]))</f>
        <v>2</v>
      </c>
      <c r="J2247" s="6" t="str">
        <f>IF(Table1[[#This Row],[FIN]]="","Acumulado",IF(ISNUMBER(SEARCH("ASAP",C2247)),"ASAP",IF(NETWORKDAYS.INTL(F2247,G2247,1,Table2[Dias no laborales]) &lt;= 7, "Dentro", IF(A2247&gt;F2247,"Programado","Fuera"))))</f>
        <v>Dentro</v>
      </c>
      <c r="K2247" s="6" t="str">
        <f t="shared" si="116"/>
        <v>A tiempo</v>
      </c>
      <c r="L2247" s="8">
        <v>46170</v>
      </c>
      <c r="M2247" s="17">
        <f>MAX(1,NETWORKDAYS(A2247,L2247,Table2[Dias no laborales]))</f>
        <v>1</v>
      </c>
    </row>
    <row r="2248" spans="1:13" hidden="1" x14ac:dyDescent="0.3">
      <c r="A2248" s="8">
        <v>46170</v>
      </c>
      <c r="B2248" s="16" t="s">
        <v>4467</v>
      </c>
      <c r="C2248" s="6" t="s">
        <v>4585</v>
      </c>
      <c r="D2248" s="6" t="s">
        <v>351</v>
      </c>
      <c r="E2248" s="14">
        <v>46169.701388888891</v>
      </c>
      <c r="F2248" s="8">
        <f>IF(HOUR(Table1[[#This Row],[CORREO]])&gt;=11,WORKDAY(Table1[[#This Row],[CORREO]],1,Table2[Dias no laborales]),E2248)</f>
        <v>46170</v>
      </c>
      <c r="G2248" s="8">
        <v>46171</v>
      </c>
      <c r="H2248" s="6">
        <f t="shared" si="115"/>
        <v>22</v>
      </c>
      <c r="I2248" s="6">
        <f>MAX(1, NETWORKDAYS(A2248, G2248,Table2[Dias no laborales]))</f>
        <v>2</v>
      </c>
      <c r="J2248" s="6" t="str">
        <f>IF(Table1[[#This Row],[FIN]]="","Acumulado",IF(ISNUMBER(SEARCH("ASAP",C2248)),"ASAP",IF(NETWORKDAYS.INTL(F2248,G2248,1,Table2[Dias no laborales]) &lt;= 7, "Dentro", IF(A2248&gt;F2248,"Programado","Fuera"))))</f>
        <v>Dentro</v>
      </c>
      <c r="K2248" s="6" t="str">
        <f t="shared" si="116"/>
        <v>A tiempo</v>
      </c>
      <c r="L2248" s="8">
        <v>46170</v>
      </c>
      <c r="M2248" s="17">
        <f>MAX(1,NETWORKDAYS(A2248,L2248,Table2[Dias no laborales]))</f>
        <v>1</v>
      </c>
    </row>
    <row r="2249" spans="1:13" hidden="1" x14ac:dyDescent="0.3">
      <c r="A2249" s="8">
        <v>46170</v>
      </c>
      <c r="B2249" s="16" t="s">
        <v>4468</v>
      </c>
      <c r="C2249" s="6" t="s">
        <v>4586</v>
      </c>
      <c r="D2249" s="6" t="s">
        <v>4587</v>
      </c>
      <c r="E2249" s="14">
        <v>46169.749305555553</v>
      </c>
      <c r="F2249" s="8">
        <f>IF(HOUR(Table1[[#This Row],[CORREO]])&gt;=11,WORKDAY(Table1[[#This Row],[CORREO]],1,Table2[Dias no laborales]),E2249)</f>
        <v>46170</v>
      </c>
      <c r="G2249" s="8">
        <v>46170</v>
      </c>
      <c r="H2249" s="6">
        <f t="shared" si="115"/>
        <v>22</v>
      </c>
      <c r="I2249" s="6">
        <f>MAX(1, NETWORKDAYS(A2249, G2249,Table2[Dias no laborales]))</f>
        <v>1</v>
      </c>
      <c r="J2249" s="6" t="str">
        <f>IF(Table1[[#This Row],[FIN]]="","Acumulado",IF(ISNUMBER(SEARCH("ASAP",C2249)),"ASAP",IF(NETWORKDAYS.INTL(F2249,G2249,1,Table2[Dias no laborales]) &lt;= 7, "Dentro", IF(A2249&gt;F2249,"Programado","Fuera"))))</f>
        <v>Dentro</v>
      </c>
      <c r="K2249" s="6" t="str">
        <f t="shared" si="116"/>
        <v>A tiempo</v>
      </c>
      <c r="L2249" s="8">
        <v>46170</v>
      </c>
      <c r="M2249" s="17">
        <f>MAX(1,NETWORKDAYS(A2249,L2249,Table2[Dias no laborales]))</f>
        <v>1</v>
      </c>
    </row>
    <row r="2250" spans="1:13" hidden="1" x14ac:dyDescent="0.3">
      <c r="A2250" s="8">
        <v>46170</v>
      </c>
      <c r="B2250" s="16" t="s">
        <v>4469</v>
      </c>
      <c r="C2250" s="6" t="s">
        <v>4588</v>
      </c>
      <c r="D2250" s="6" t="s">
        <v>2520</v>
      </c>
      <c r="E2250" s="14">
        <v>46169.854861111111</v>
      </c>
      <c r="F2250" s="8">
        <f>IF(HOUR(Table1[[#This Row],[CORREO]])&gt;=11,WORKDAY(Table1[[#This Row],[CORREO]],1,Table2[Dias no laborales]),E2250)</f>
        <v>46170</v>
      </c>
      <c r="G2250" s="8">
        <v>46171</v>
      </c>
      <c r="H2250" s="6">
        <f t="shared" si="115"/>
        <v>22</v>
      </c>
      <c r="I2250" s="6">
        <f>MAX(1, NETWORKDAYS(A2250, G2250,Table2[Dias no laborales]))</f>
        <v>2</v>
      </c>
      <c r="J2250" s="6" t="str">
        <f>IF(Table1[[#This Row],[FIN]]="","Acumulado",IF(ISNUMBER(SEARCH("ASAP",C2250)),"ASAP",IF(NETWORKDAYS.INTL(F2250,G2250,1,Table2[Dias no laborales]) &lt;= 7, "Dentro", IF(A2250&gt;F2250,"Programado","Fuera"))))</f>
        <v>Dentro</v>
      </c>
      <c r="K2250" s="6" t="str">
        <f t="shared" si="116"/>
        <v>A tiempo</v>
      </c>
      <c r="L2250" s="8">
        <v>46170</v>
      </c>
      <c r="M2250" s="17">
        <f>MAX(1,NETWORKDAYS(A2250,L2250,Table2[Dias no laborales]))</f>
        <v>1</v>
      </c>
    </row>
    <row r="2251" spans="1:13" hidden="1" x14ac:dyDescent="0.3">
      <c r="A2251" s="8">
        <v>46170</v>
      </c>
      <c r="B2251" s="16" t="s">
        <v>4470</v>
      </c>
      <c r="C2251" s="6" t="s">
        <v>4589</v>
      </c>
      <c r="D2251" s="6" t="s">
        <v>4188</v>
      </c>
      <c r="E2251" s="14">
        <v>46169.96597222222</v>
      </c>
      <c r="F2251" s="8">
        <f>IF(HOUR(Table1[[#This Row],[CORREO]])&gt;=11,WORKDAY(Table1[[#This Row],[CORREO]],1,Table2[Dias no laborales]),E2251)</f>
        <v>46170</v>
      </c>
      <c r="G2251" s="8">
        <v>46171</v>
      </c>
      <c r="H2251" s="6">
        <f t="shared" si="115"/>
        <v>22</v>
      </c>
      <c r="I2251" s="6">
        <f>MAX(1, NETWORKDAYS(A2251, G2251,Table2[Dias no laborales]))</f>
        <v>2</v>
      </c>
      <c r="J2251" s="6" t="str">
        <f>IF(Table1[[#This Row],[FIN]]="","Acumulado",IF(ISNUMBER(SEARCH("ASAP",C2251)),"ASAP",IF(NETWORKDAYS.INTL(F2251,G2251,1,Table2[Dias no laborales]) &lt;= 7, "Dentro", IF(A2251&gt;F2251,"Programado","Fuera"))))</f>
        <v>Dentro</v>
      </c>
      <c r="K2251" s="6" t="str">
        <f t="shared" si="116"/>
        <v>A tiempo</v>
      </c>
      <c r="L2251" s="8">
        <v>46170</v>
      </c>
      <c r="M2251" s="17">
        <f>MAX(1,NETWORKDAYS(A2251,L2251,Table2[Dias no laborales]))</f>
        <v>1</v>
      </c>
    </row>
    <row r="2252" spans="1:13" hidden="1" x14ac:dyDescent="0.3">
      <c r="A2252" s="8">
        <v>46170</v>
      </c>
      <c r="B2252" s="16" t="s">
        <v>4471</v>
      </c>
      <c r="C2252" s="6" t="s">
        <v>4590</v>
      </c>
      <c r="D2252" s="6" t="s">
        <v>916</v>
      </c>
      <c r="E2252" s="14">
        <v>46170.699305555558</v>
      </c>
      <c r="F2252" s="8">
        <f>IF(HOUR(Table1[[#This Row],[CORREO]])&gt;=11,WORKDAY(Table1[[#This Row],[CORREO]],1,Table2[Dias no laborales]),E2252)</f>
        <v>46171</v>
      </c>
      <c r="G2252" s="8">
        <v>46170</v>
      </c>
      <c r="H2252" s="6">
        <f t="shared" si="115"/>
        <v>22</v>
      </c>
      <c r="I2252" s="6">
        <f>MAX(1, NETWORKDAYS(A2252, G2252,Table2[Dias no laborales]))</f>
        <v>1</v>
      </c>
      <c r="J2252" s="6" t="str">
        <f>IF(Table1[[#This Row],[FIN]]="","Acumulado",IF(ISNUMBER(SEARCH("ASAP",C2252)),"ASAP",IF(NETWORKDAYS.INTL(F2252,G2252,1,Table2[Dias no laborales]) &lt;= 7, "Dentro", IF(A2252&gt;F2252,"Programado","Fuera"))))</f>
        <v>Dentro</v>
      </c>
      <c r="K2252" s="6" t="str">
        <f t="shared" si="116"/>
        <v>Mismo día</v>
      </c>
      <c r="L2252" s="8">
        <v>46170</v>
      </c>
      <c r="M2252" s="17">
        <f>MAX(1,NETWORKDAYS(A2252,L2252,Table2[Dias no laborales]))</f>
        <v>1</v>
      </c>
    </row>
    <row r="2253" spans="1:13" hidden="1" x14ac:dyDescent="0.3">
      <c r="A2253" s="8">
        <v>46170</v>
      </c>
      <c r="B2253" s="16" t="s">
        <v>4472</v>
      </c>
      <c r="C2253" s="6" t="s">
        <v>4591</v>
      </c>
      <c r="D2253" s="6" t="s">
        <v>238</v>
      </c>
      <c r="E2253" s="14">
        <v>46170.340277777781</v>
      </c>
      <c r="F2253" s="8">
        <f>IF(HOUR(Table1[[#This Row],[CORREO]])&gt;=11,WORKDAY(Table1[[#This Row],[CORREO]],1,Table2[Dias no laborales]),E2253)</f>
        <v>46170.340277777781</v>
      </c>
      <c r="G2253" s="8">
        <v>46176</v>
      </c>
      <c r="H2253" s="6">
        <f t="shared" si="115"/>
        <v>22</v>
      </c>
      <c r="I2253" s="6">
        <f>MAX(1, NETWORKDAYS(A2253, G2253,Table2[Dias no laborales]))</f>
        <v>5</v>
      </c>
      <c r="J2253" s="6" t="str">
        <f>IF(Table1[[#This Row],[FIN]]="","Acumulado",IF(ISNUMBER(SEARCH("ASAP",C2253)),"ASAP",IF(NETWORKDAYS.INTL(F2253,G2253,1,Table2[Dias no laborales]) &lt;= 7, "Dentro", IF(A2253&gt;F2253,"Programado","Fuera"))))</f>
        <v>Dentro</v>
      </c>
      <c r="K2253" s="6" t="str">
        <f t="shared" si="116"/>
        <v>A tiempo</v>
      </c>
      <c r="L2253" s="8">
        <v>46170</v>
      </c>
      <c r="M2253" s="17">
        <f>MAX(1,NETWORKDAYS(A2253,L2253,Table2[Dias no laborales]))</f>
        <v>1</v>
      </c>
    </row>
    <row r="2254" spans="1:13" hidden="1" x14ac:dyDescent="0.3">
      <c r="A2254" s="8">
        <v>46170</v>
      </c>
      <c r="B2254" s="16" t="s">
        <v>4473</v>
      </c>
      <c r="C2254" s="6" t="s">
        <v>4555</v>
      </c>
      <c r="D2254" s="6" t="s">
        <v>392</v>
      </c>
      <c r="E2254" s="14">
        <v>46170.345138888886</v>
      </c>
      <c r="F2254" s="8">
        <f>IF(HOUR(Table1[[#This Row],[CORREO]])&gt;=11,WORKDAY(Table1[[#This Row],[CORREO]],1,Table2[Dias no laborales]),E2254)</f>
        <v>46170.345138888886</v>
      </c>
      <c r="G2254" s="8">
        <v>46170</v>
      </c>
      <c r="H2254" s="6">
        <f t="shared" si="115"/>
        <v>22</v>
      </c>
      <c r="I2254" s="6">
        <f>MAX(1, NETWORKDAYS(A2254, G2254,Table2[Dias no laborales]))</f>
        <v>1</v>
      </c>
      <c r="J2254" s="6" t="str">
        <f>IF(Table1[[#This Row],[FIN]]="","Acumulado",IF(ISNUMBER(SEARCH("ASAP",C2254)),"ASAP",IF(NETWORKDAYS.INTL(F2254,G2254,1,Table2[Dias no laborales]) &lt;= 7, "Dentro", IF(A2254&gt;F2254,"Programado","Fuera"))))</f>
        <v>Dentro</v>
      </c>
      <c r="K2254" s="6" t="str">
        <f t="shared" si="116"/>
        <v>A tiempo</v>
      </c>
      <c r="L2254" s="8">
        <v>46170</v>
      </c>
      <c r="M2254" s="17">
        <f>MAX(1,NETWORKDAYS(A2254,L2254,Table2[Dias no laborales]))</f>
        <v>1</v>
      </c>
    </row>
    <row r="2255" spans="1:13" hidden="1" x14ac:dyDescent="0.3">
      <c r="A2255" s="8">
        <v>46170</v>
      </c>
      <c r="B2255" s="16" t="s">
        <v>4474</v>
      </c>
      <c r="C2255" s="6" t="s">
        <v>4569</v>
      </c>
      <c r="D2255" s="6" t="s">
        <v>4114</v>
      </c>
      <c r="E2255" s="14">
        <v>46170.354861111111</v>
      </c>
      <c r="F2255" s="8">
        <f>IF(HOUR(Table1[[#This Row],[CORREO]])&gt;=11,WORKDAY(Table1[[#This Row],[CORREO]],1,Table2[Dias no laborales]),E2255)</f>
        <v>46170.354861111111</v>
      </c>
      <c r="G2255" s="8">
        <v>46171</v>
      </c>
      <c r="H2255" s="6">
        <f t="shared" si="115"/>
        <v>22</v>
      </c>
      <c r="I2255" s="6">
        <f>MAX(1, NETWORKDAYS(A2255, G2255,Table2[Dias no laborales]))</f>
        <v>2</v>
      </c>
      <c r="J2255" s="6" t="str">
        <f>IF(Table1[[#This Row],[FIN]]="","Acumulado",IF(ISNUMBER(SEARCH("ASAP",C2255)),"ASAP",IF(NETWORKDAYS.INTL(F2255,G2255,1,Table2[Dias no laborales]) &lt;= 7, "Dentro", IF(A2255&gt;F2255,"Programado","Fuera"))))</f>
        <v>Dentro</v>
      </c>
      <c r="K2255" s="6" t="str">
        <f t="shared" si="116"/>
        <v>A tiempo</v>
      </c>
      <c r="L2255" s="8">
        <v>46170</v>
      </c>
      <c r="M2255" s="17">
        <f>MAX(1,NETWORKDAYS(A2255,L2255,Table2[Dias no laborales]))</f>
        <v>1</v>
      </c>
    </row>
    <row r="2256" spans="1:13" hidden="1" x14ac:dyDescent="0.3">
      <c r="A2256" s="8">
        <v>46170</v>
      </c>
      <c r="B2256" s="16" t="s">
        <v>4475</v>
      </c>
      <c r="C2256" s="6" t="s">
        <v>4592</v>
      </c>
      <c r="D2256" s="6" t="s">
        <v>2586</v>
      </c>
      <c r="E2256" s="14">
        <v>46170.370833333334</v>
      </c>
      <c r="F2256" s="8">
        <f>IF(HOUR(Table1[[#This Row],[CORREO]])&gt;=11,WORKDAY(Table1[[#This Row],[CORREO]],1,Table2[Dias no laborales]),E2256)</f>
        <v>46170.370833333334</v>
      </c>
      <c r="G2256" s="8">
        <v>46174</v>
      </c>
      <c r="H2256" s="6">
        <f t="shared" si="115"/>
        <v>22</v>
      </c>
      <c r="I2256" s="6">
        <f>MAX(1, NETWORKDAYS(A2256, G2256,Table2[Dias no laborales]))</f>
        <v>3</v>
      </c>
      <c r="J2256" s="6" t="str">
        <f>IF(Table1[[#This Row],[FIN]]="","Acumulado",IF(ISNUMBER(SEARCH("ASAP",C2256)),"ASAP",IF(NETWORKDAYS.INTL(F2256,G2256,1,Table2[Dias no laborales]) &lt;= 7, "Dentro", IF(A2256&gt;F2256,"Programado","Fuera"))))</f>
        <v>Dentro</v>
      </c>
      <c r="K2256" s="6" t="str">
        <f t="shared" si="116"/>
        <v>A tiempo</v>
      </c>
      <c r="L2256" s="8">
        <v>46171</v>
      </c>
      <c r="M2256" s="17">
        <f>MAX(1,NETWORKDAYS(A2256,L2256,Table2[Dias no laborales]))</f>
        <v>2</v>
      </c>
    </row>
    <row r="2257" spans="1:13" hidden="1" x14ac:dyDescent="0.3">
      <c r="A2257" s="8">
        <v>46170</v>
      </c>
      <c r="B2257" s="16" t="s">
        <v>4476</v>
      </c>
      <c r="C2257" s="6" t="s">
        <v>4593</v>
      </c>
      <c r="D2257" s="6" t="s">
        <v>24</v>
      </c>
      <c r="E2257" s="14">
        <v>46170.397222222222</v>
      </c>
      <c r="F2257" s="8">
        <f>IF(HOUR(Table1[[#This Row],[CORREO]])&gt;=11,WORKDAY(Table1[[#This Row],[CORREO]],1,Table2[Dias no laborales]),E2257)</f>
        <v>46170.397222222222</v>
      </c>
      <c r="G2257" s="8">
        <v>46171</v>
      </c>
      <c r="H2257" s="6">
        <f t="shared" si="115"/>
        <v>22</v>
      </c>
      <c r="I2257" s="6">
        <f>MAX(1, NETWORKDAYS(A2257, G2257,Table2[Dias no laborales]))</f>
        <v>2</v>
      </c>
      <c r="J2257" s="6" t="str">
        <f>IF(Table1[[#This Row],[FIN]]="","Acumulado",IF(ISNUMBER(SEARCH("ASAP",C2257)),"ASAP",IF(NETWORKDAYS.INTL(F2257,G2257,1,Table2[Dias no laborales]) &lt;= 7, "Dentro", IF(A2257&gt;F2257,"Programado","Fuera"))))</f>
        <v>Dentro</v>
      </c>
      <c r="K2257" s="6" t="str">
        <f t="shared" si="116"/>
        <v>A tiempo</v>
      </c>
      <c r="L2257" s="8">
        <v>46170</v>
      </c>
      <c r="M2257" s="17">
        <f>MAX(1,NETWORKDAYS(A2257,L2257,Table2[Dias no laborales]))</f>
        <v>1</v>
      </c>
    </row>
    <row r="2258" spans="1:13" hidden="1" x14ac:dyDescent="0.3">
      <c r="A2258" s="8">
        <v>46170</v>
      </c>
      <c r="B2258" s="16" t="s">
        <v>4477</v>
      </c>
      <c r="C2258" s="6" t="s">
        <v>4594</v>
      </c>
      <c r="D2258" s="6" t="s">
        <v>650</v>
      </c>
      <c r="E2258" s="14">
        <v>46170.436805555553</v>
      </c>
      <c r="F2258" s="8">
        <f>IF(HOUR(Table1[[#This Row],[CORREO]])&gt;=11,WORKDAY(Table1[[#This Row],[CORREO]],1,Table2[Dias no laborales]),E2258)</f>
        <v>46170.436805555553</v>
      </c>
      <c r="G2258" s="8">
        <v>46170</v>
      </c>
      <c r="H2258" s="6">
        <f t="shared" si="115"/>
        <v>22</v>
      </c>
      <c r="I2258" s="6">
        <f>MAX(1, NETWORKDAYS(A2258, G2258,Table2[Dias no laborales]))</f>
        <v>1</v>
      </c>
      <c r="J2258" s="6" t="str">
        <f>IF(Table1[[#This Row],[FIN]]="","Acumulado",IF(ISNUMBER(SEARCH("ASAP",C2258)),"ASAP",IF(NETWORKDAYS.INTL(F2258,G2258,1,Table2[Dias no laborales]) &lt;= 7, "Dentro", IF(A2258&gt;F2258,"Programado","Fuera"))))</f>
        <v>Dentro</v>
      </c>
      <c r="K2258" s="6" t="str">
        <f t="shared" si="116"/>
        <v>A tiempo</v>
      </c>
      <c r="L2258" s="8">
        <v>46170</v>
      </c>
      <c r="M2258" s="17">
        <f>MAX(1,NETWORKDAYS(A2258,L2258,Table2[Dias no laborales]))</f>
        <v>1</v>
      </c>
    </row>
    <row r="2259" spans="1:13" hidden="1" x14ac:dyDescent="0.3">
      <c r="A2259" s="8">
        <v>46170</v>
      </c>
      <c r="B2259" s="16" t="s">
        <v>4478</v>
      </c>
      <c r="C2259" s="6" t="s">
        <v>4595</v>
      </c>
      <c r="D2259" s="6" t="s">
        <v>151</v>
      </c>
      <c r="E2259" s="14">
        <v>46170.463194444441</v>
      </c>
      <c r="F2259" s="8">
        <f>IF(HOUR(Table1[[#This Row],[CORREO]])&gt;=11,WORKDAY(Table1[[#This Row],[CORREO]],1,Table2[Dias no laborales]),E2259)</f>
        <v>46171</v>
      </c>
      <c r="G2259" s="8">
        <v>46170</v>
      </c>
      <c r="H2259" s="6">
        <f t="shared" si="115"/>
        <v>22</v>
      </c>
      <c r="I2259" s="6">
        <f>MAX(1, NETWORKDAYS(A2259, G2259,Table2[Dias no laborales]))</f>
        <v>1</v>
      </c>
      <c r="J2259" s="6" t="str">
        <f>IF(Table1[[#This Row],[FIN]]="","Acumulado",IF(ISNUMBER(SEARCH("ASAP",C2259)),"ASAP",IF(NETWORKDAYS.INTL(F2259,G2259,1,Table2[Dias no laborales]) &lt;= 7, "Dentro", IF(A2259&gt;F2259,"Programado","Fuera"))))</f>
        <v>Dentro</v>
      </c>
      <c r="K2259" s="6" t="str">
        <f t="shared" si="116"/>
        <v>Mismo día</v>
      </c>
      <c r="L2259" s="8">
        <v>46170</v>
      </c>
      <c r="M2259" s="17">
        <f>MAX(1,NETWORKDAYS(A2259,L2259,Table2[Dias no laborales]))</f>
        <v>1</v>
      </c>
    </row>
    <row r="2260" spans="1:13" hidden="1" x14ac:dyDescent="0.3">
      <c r="A2260" s="8">
        <v>46170</v>
      </c>
      <c r="B2260" s="16" t="s">
        <v>4479</v>
      </c>
      <c r="C2260" s="6" t="s">
        <v>4596</v>
      </c>
      <c r="D2260" s="6" t="s">
        <v>623</v>
      </c>
      <c r="E2260" s="14">
        <v>46170.457638888889</v>
      </c>
      <c r="F2260" s="8">
        <f>IF(HOUR(Table1[[#This Row],[CORREO]])&gt;=11,WORKDAY(Table1[[#This Row],[CORREO]],1,Table2[Dias no laborales]),E2260)</f>
        <v>46170.457638888889</v>
      </c>
      <c r="G2260" s="8">
        <v>46170</v>
      </c>
      <c r="H2260" s="6">
        <f t="shared" si="115"/>
        <v>22</v>
      </c>
      <c r="I2260" s="6">
        <f>MAX(1, NETWORKDAYS(A2260, G2260,Table2[Dias no laborales]))</f>
        <v>1</v>
      </c>
      <c r="J2260" s="6" t="str">
        <f>IF(Table1[[#This Row],[FIN]]="","Acumulado",IF(ISNUMBER(SEARCH("ASAP",C2260)),"ASAP",IF(NETWORKDAYS.INTL(F2260,G2260,1,Table2[Dias no laborales]) &lt;= 7, "Dentro", IF(A2260&gt;F2260,"Programado","Fuera"))))</f>
        <v>Dentro</v>
      </c>
      <c r="K2260" s="6" t="str">
        <f t="shared" si="116"/>
        <v>A tiempo</v>
      </c>
      <c r="L2260" s="8">
        <v>46170</v>
      </c>
      <c r="M2260" s="17">
        <f>MAX(1,NETWORKDAYS(A2260,L2260,Table2[Dias no laborales]))</f>
        <v>1</v>
      </c>
    </row>
    <row r="2261" spans="1:13" hidden="1" x14ac:dyDescent="0.3">
      <c r="A2261" s="8">
        <v>46170</v>
      </c>
      <c r="B2261" s="16" t="s">
        <v>4480</v>
      </c>
      <c r="C2261" s="6" t="s">
        <v>4597</v>
      </c>
      <c r="D2261" s="6" t="s">
        <v>623</v>
      </c>
      <c r="E2261" s="14">
        <v>46170.459722222222</v>
      </c>
      <c r="F2261" s="8">
        <f>IF(HOUR(Table1[[#This Row],[CORREO]])&gt;=11,WORKDAY(Table1[[#This Row],[CORREO]],1,Table2[Dias no laborales]),E2261)</f>
        <v>46171</v>
      </c>
      <c r="G2261" s="8">
        <v>46170</v>
      </c>
      <c r="H2261" s="6">
        <f t="shared" si="115"/>
        <v>22</v>
      </c>
      <c r="I2261" s="6">
        <f>MAX(1, NETWORKDAYS(A2261, G2261,Table2[Dias no laborales]))</f>
        <v>1</v>
      </c>
      <c r="J2261" s="6" t="str">
        <f>IF(Table1[[#This Row],[FIN]]="","Acumulado",IF(ISNUMBER(SEARCH("ASAP",C2261)),"ASAP",IF(NETWORKDAYS.INTL(F2261,G2261,1,Table2[Dias no laborales]) &lt;= 7, "Dentro", IF(A2261&gt;F2261,"Programado","Fuera"))))</f>
        <v>Dentro</v>
      </c>
      <c r="K2261" s="6" t="str">
        <f t="shared" si="116"/>
        <v>Mismo día</v>
      </c>
      <c r="L2261" s="8">
        <v>46170</v>
      </c>
      <c r="M2261" s="17">
        <f>MAX(1,NETWORKDAYS(A2261,L2261,Table2[Dias no laborales]))</f>
        <v>1</v>
      </c>
    </row>
    <row r="2262" spans="1:13" hidden="1" x14ac:dyDescent="0.3">
      <c r="A2262" s="8">
        <v>46171</v>
      </c>
      <c r="B2262" s="16" t="s">
        <v>4481</v>
      </c>
      <c r="C2262" s="6" t="s">
        <v>4599</v>
      </c>
      <c r="D2262" s="6" t="s">
        <v>133</v>
      </c>
      <c r="E2262" s="14">
        <v>46170.55</v>
      </c>
      <c r="F2262" s="8">
        <f>IF(HOUR(Table1[[#This Row],[CORREO]])&gt;=11,WORKDAY(Table1[[#This Row],[CORREO]],1,Table2[Dias no laborales]),E2262)</f>
        <v>46171</v>
      </c>
      <c r="G2262" s="8">
        <v>46176</v>
      </c>
      <c r="H2262" s="6">
        <f t="shared" si="115"/>
        <v>22</v>
      </c>
      <c r="I2262" s="6">
        <f>MAX(1, NETWORKDAYS(A2262, G2262,Table2[Dias no laborales]))</f>
        <v>4</v>
      </c>
      <c r="J2262" s="6" t="str">
        <f>IF(Table1[[#This Row],[FIN]]="","Acumulado",IF(ISNUMBER(SEARCH("ASAP",C2262)),"ASAP",IF(NETWORKDAYS.INTL(F2262,G2262,1,Table2[Dias no laborales]) &lt;= 7, "Dentro", IF(A2262&gt;F2262,"Programado","Fuera"))))</f>
        <v>Dentro</v>
      </c>
      <c r="K2262" s="6" t="str">
        <f t="shared" si="116"/>
        <v>A tiempo</v>
      </c>
      <c r="L2262" s="8">
        <v>46171</v>
      </c>
      <c r="M2262" s="17">
        <f>MAX(1,NETWORKDAYS(A2262,L2262,Table2[Dias no laborales]))</f>
        <v>1</v>
      </c>
    </row>
    <row r="2263" spans="1:13" hidden="1" x14ac:dyDescent="0.3">
      <c r="A2263" s="8">
        <v>46171</v>
      </c>
      <c r="B2263" s="16" t="s">
        <v>4482</v>
      </c>
      <c r="C2263" s="6" t="s">
        <v>4600</v>
      </c>
      <c r="D2263" s="6" t="s">
        <v>199</v>
      </c>
      <c r="E2263" s="14">
        <v>46170.551388888889</v>
      </c>
      <c r="F2263" s="8">
        <f>IF(HOUR(Table1[[#This Row],[CORREO]])&gt;=11,WORKDAY(Table1[[#This Row],[CORREO]],1,Table2[Dias no laborales]),E2263)</f>
        <v>46171</v>
      </c>
      <c r="G2263" s="8">
        <v>46183</v>
      </c>
      <c r="H2263" s="6">
        <f t="shared" si="115"/>
        <v>22</v>
      </c>
      <c r="I2263" s="6">
        <f>MAX(1, NETWORKDAYS(A2263, G2263,Table2[Dias no laborales]))</f>
        <v>9</v>
      </c>
      <c r="J2263" s="6" t="str">
        <f>IF(Table1[[#This Row],[FIN]]="","Acumulado",IF(ISNUMBER(SEARCH("ASAP",C2263)),"ASAP",IF(NETWORKDAYS.INTL(F2263,G2263,1,Table2[Dias no laborales]) &lt;= 7, "Dentro", IF(A2263&gt;F2263,"Programado","Fuera"))))</f>
        <v>Fuera</v>
      </c>
      <c r="K2263" s="6" t="str">
        <f t="shared" si="116"/>
        <v>A tiempo</v>
      </c>
      <c r="L2263" s="8">
        <v>46171</v>
      </c>
      <c r="M2263" s="17">
        <f>MAX(1,NETWORKDAYS(A2263,L2263,Table2[Dias no laborales]))</f>
        <v>1</v>
      </c>
    </row>
    <row r="2264" spans="1:13" hidden="1" x14ac:dyDescent="0.3">
      <c r="A2264" s="8">
        <v>46171</v>
      </c>
      <c r="B2264" s="16" t="s">
        <v>4483</v>
      </c>
      <c r="C2264" s="6" t="s">
        <v>4601</v>
      </c>
      <c r="D2264" s="6" t="s">
        <v>89</v>
      </c>
      <c r="E2264" s="14"/>
      <c r="F2264" s="8">
        <f>IF(HOUR(Table1[[#This Row],[CORREO]])&gt;=11,WORKDAY(Table1[[#This Row],[CORREO]],1,Table2[Dias no laborales]),E2264)</f>
        <v>0</v>
      </c>
      <c r="G2264" s="8">
        <v>46174</v>
      </c>
      <c r="H2264" s="6">
        <f t="shared" si="115"/>
        <v>22</v>
      </c>
      <c r="I2264" s="6">
        <f>MAX(1, NETWORKDAYS(A2264, G2264,Table2[Dias no laborales]))</f>
        <v>2</v>
      </c>
      <c r="J2264" s="6" t="str">
        <f>IF(Table1[[#This Row],[FIN]]="","Acumulado",IF(ISNUMBER(SEARCH("ASAP",C2264)),"ASAP",IF(NETWORKDAYS.INTL(F2264,G2264,1,Table2[Dias no laborales]) &lt;= 7, "Dentro", IF(A2264&gt;F2264,"Programado","Fuera"))))</f>
        <v>Programado</v>
      </c>
      <c r="K2264" s="6" t="str">
        <f t="shared" si="116"/>
        <v>Programados</v>
      </c>
      <c r="L2264" s="8">
        <v>46174</v>
      </c>
      <c r="M2264" s="17">
        <f>MAX(1,NETWORKDAYS(A2264,L2264,Table2[Dias no laborales]))</f>
        <v>2</v>
      </c>
    </row>
    <row r="2265" spans="1:13" hidden="1" x14ac:dyDescent="0.3">
      <c r="A2265" s="8">
        <v>46171</v>
      </c>
      <c r="B2265" s="16" t="s">
        <v>4498</v>
      </c>
      <c r="C2265" s="6" t="s">
        <v>4602</v>
      </c>
      <c r="D2265" s="6" t="s">
        <v>586</v>
      </c>
      <c r="E2265" s="14"/>
      <c r="F2265" s="8">
        <f>IF(HOUR(Table1[[#This Row],[CORREO]])&gt;=11,WORKDAY(Table1[[#This Row],[CORREO]],1,Table2[Dias no laborales]),E2265)</f>
        <v>0</v>
      </c>
      <c r="G2265" s="8">
        <v>46188</v>
      </c>
      <c r="H2265" s="6">
        <f t="shared" ref="H2265:H2296" si="117">INT((A2265-DATE(YEAR(A2265),1,1))/7) + 1</f>
        <v>22</v>
      </c>
      <c r="I2265" s="6">
        <f>MAX(1, NETWORKDAYS(A2265, G2265,Table2[Dias no laborales]))</f>
        <v>12</v>
      </c>
      <c r="J2265" s="6" t="str">
        <f>IF(Table1[[#This Row],[FIN]]="","Acumulado",IF(ISNUMBER(SEARCH("ASAP",C2265)),"ASAP",IF(NETWORKDAYS.INTL(F2265,G2265,1,Table2[Dias no laborales]) &lt;= 7, "Dentro", IF(A2265&gt;F2265,"Programado","Fuera"))))</f>
        <v>Programado</v>
      </c>
      <c r="K2265" s="6" t="str">
        <f t="shared" ref="K2265:K2296" si="118">IF(INT(A2265)=INT(F2265),"A tiempo", IF(A2265&lt;F2265,"Mismo día","Programados"))</f>
        <v>Programados</v>
      </c>
      <c r="L2265" s="8">
        <v>46171</v>
      </c>
      <c r="M2265" s="17">
        <f>MAX(1,NETWORKDAYS(A2265,L2265,Table2[Dias no laborales]))</f>
        <v>1</v>
      </c>
    </row>
    <row r="2266" spans="1:13" hidden="1" x14ac:dyDescent="0.3">
      <c r="A2266" s="8">
        <v>46171</v>
      </c>
      <c r="B2266" s="16" t="s">
        <v>4499</v>
      </c>
      <c r="C2266" s="6" t="s">
        <v>4555</v>
      </c>
      <c r="D2266" s="6" t="s">
        <v>392</v>
      </c>
      <c r="E2266" s="14"/>
      <c r="F2266" s="8">
        <f>IF(HOUR(Table1[[#This Row],[CORREO]])&gt;=11,WORKDAY(Table1[[#This Row],[CORREO]],1,Table2[Dias no laborales]),E2266)</f>
        <v>0</v>
      </c>
      <c r="G2266" s="8">
        <v>46171</v>
      </c>
      <c r="H2266" s="6">
        <f t="shared" si="117"/>
        <v>22</v>
      </c>
      <c r="I2266" s="6">
        <f>MAX(1, NETWORKDAYS(A2266, G2266,Table2[Dias no laborales]))</f>
        <v>1</v>
      </c>
      <c r="J2266" s="6" t="str">
        <f>IF(Table1[[#This Row],[FIN]]="","Acumulado",IF(ISNUMBER(SEARCH("ASAP",C2266)),"ASAP",IF(NETWORKDAYS.INTL(F2266,G2266,1,Table2[Dias no laborales]) &lt;= 7, "Dentro", IF(A2266&gt;F2266,"Programado","Fuera"))))</f>
        <v>Programado</v>
      </c>
      <c r="K2266" s="6" t="str">
        <f t="shared" si="118"/>
        <v>Programados</v>
      </c>
      <c r="L2266" s="8">
        <v>46171</v>
      </c>
      <c r="M2266" s="17">
        <f>MAX(1,NETWORKDAYS(A2266,L2266,Table2[Dias no laborales]))</f>
        <v>1</v>
      </c>
    </row>
    <row r="2267" spans="1:13" hidden="1" x14ac:dyDescent="0.3">
      <c r="A2267" s="8">
        <v>46171</v>
      </c>
      <c r="B2267" s="16" t="s">
        <v>4500</v>
      </c>
      <c r="C2267" s="6" t="s">
        <v>4555</v>
      </c>
      <c r="D2267" s="6" t="s">
        <v>392</v>
      </c>
      <c r="E2267" s="14"/>
      <c r="F2267" s="8">
        <f>IF(HOUR(Table1[[#This Row],[CORREO]])&gt;=11,WORKDAY(Table1[[#This Row],[CORREO]],1,Table2[Dias no laborales]),E2267)</f>
        <v>0</v>
      </c>
      <c r="G2267" s="8">
        <v>46171</v>
      </c>
      <c r="H2267" s="6">
        <f t="shared" si="117"/>
        <v>22</v>
      </c>
      <c r="I2267" s="6">
        <f>MAX(1, NETWORKDAYS(A2267, G2267,Table2[Dias no laborales]))</f>
        <v>1</v>
      </c>
      <c r="J2267" s="6" t="str">
        <f>IF(Table1[[#This Row],[FIN]]="","Acumulado",IF(ISNUMBER(SEARCH("ASAP",C2267)),"ASAP",IF(NETWORKDAYS.INTL(F2267,G2267,1,Table2[Dias no laborales]) &lt;= 7, "Dentro", IF(A2267&gt;F2267,"Programado","Fuera"))))</f>
        <v>Programado</v>
      </c>
      <c r="K2267" s="6" t="str">
        <f t="shared" si="118"/>
        <v>Programados</v>
      </c>
      <c r="L2267" s="8">
        <v>46171</v>
      </c>
      <c r="M2267" s="17">
        <f>MAX(1,NETWORKDAYS(A2267,L2267,Table2[Dias no laborales]))</f>
        <v>1</v>
      </c>
    </row>
    <row r="2268" spans="1:13" hidden="1" x14ac:dyDescent="0.3">
      <c r="A2268" s="8">
        <v>46171</v>
      </c>
      <c r="B2268" s="16" t="s">
        <v>4501</v>
      </c>
      <c r="C2268" s="6" t="s">
        <v>4603</v>
      </c>
      <c r="D2268" s="6" t="s">
        <v>1333</v>
      </c>
      <c r="E2268" s="14"/>
      <c r="F2268" s="8">
        <f>IF(HOUR(Table1[[#This Row],[CORREO]])&gt;=11,WORKDAY(Table1[[#This Row],[CORREO]],1,Table2[Dias no laborales]),E2268)</f>
        <v>0</v>
      </c>
      <c r="G2268" s="8">
        <v>46182</v>
      </c>
      <c r="H2268" s="6">
        <f t="shared" si="117"/>
        <v>22</v>
      </c>
      <c r="I2268" s="6">
        <f>MAX(1, NETWORKDAYS(A2268, G2268,Table2[Dias no laborales]))</f>
        <v>8</v>
      </c>
      <c r="J2268" s="6" t="str">
        <f>IF(Table1[[#This Row],[FIN]]="","Acumulado",IF(ISNUMBER(SEARCH("ASAP",C2268)),"ASAP",IF(NETWORKDAYS.INTL(F2268,G2268,1,Table2[Dias no laborales]) &lt;= 7, "Dentro", IF(A2268&gt;F2268,"Programado","Fuera"))))</f>
        <v>Programado</v>
      </c>
      <c r="K2268" s="6" t="str">
        <f t="shared" si="118"/>
        <v>Programados</v>
      </c>
      <c r="L2268" s="8">
        <v>46171</v>
      </c>
      <c r="M2268" s="17">
        <f>MAX(1,NETWORKDAYS(A2268,L2268,Table2[Dias no laborales]))</f>
        <v>1</v>
      </c>
    </row>
    <row r="2269" spans="1:13" hidden="1" x14ac:dyDescent="0.3">
      <c r="A2269" s="8">
        <v>46171</v>
      </c>
      <c r="B2269" s="16" t="s">
        <v>4502</v>
      </c>
      <c r="C2269" s="6" t="s">
        <v>4604</v>
      </c>
      <c r="D2269" s="6" t="s">
        <v>269</v>
      </c>
      <c r="E2269" s="14">
        <v>42519.352083333331</v>
      </c>
      <c r="F2269" s="8">
        <f>IF(HOUR(Table1[[#This Row],[CORREO]])&gt;=11,WORKDAY(Table1[[#This Row],[CORREO]],1,Table2[Dias no laborales]),E2269)</f>
        <v>42519.352083333331</v>
      </c>
      <c r="G2269" s="8">
        <v>46178</v>
      </c>
      <c r="H2269" s="6">
        <f t="shared" si="117"/>
        <v>22</v>
      </c>
      <c r="I2269" s="6">
        <f>MAX(1, NETWORKDAYS(A2269, G2269,Table2[Dias no laborales]))</f>
        <v>6</v>
      </c>
      <c r="J2269" s="6" t="str">
        <f>IF(Table1[[#This Row],[FIN]]="","Acumulado",IF(ISNUMBER(SEARCH("ASAP",C2269)),"ASAP",IF(NETWORKDAYS.INTL(F2269,G2269,1,Table2[Dias no laborales]) &lt;= 7, "Dentro", IF(A2269&gt;F2269,"Programado","Fuera"))))</f>
        <v>Programado</v>
      </c>
      <c r="K2269" s="6" t="str">
        <f t="shared" si="118"/>
        <v>Programados</v>
      </c>
      <c r="L2269" s="8">
        <v>46171</v>
      </c>
      <c r="M2269" s="17">
        <f>MAX(1,NETWORKDAYS(A2269,L2269,Table2[Dias no laborales]))</f>
        <v>1</v>
      </c>
    </row>
    <row r="2270" spans="1:13" hidden="1" x14ac:dyDescent="0.3">
      <c r="A2270" s="8">
        <v>46171</v>
      </c>
      <c r="B2270" s="16" t="s">
        <v>4503</v>
      </c>
      <c r="C2270" s="6" t="s">
        <v>4605</v>
      </c>
      <c r="D2270" s="6" t="s">
        <v>1333</v>
      </c>
      <c r="E2270" s="14">
        <v>46171.501388888886</v>
      </c>
      <c r="F2270" s="8">
        <f>IF(HOUR(Table1[[#This Row],[CORREO]])&gt;=11,WORKDAY(Table1[[#This Row],[CORREO]],1,Table2[Dias no laborales]),E2270)</f>
        <v>46174</v>
      </c>
      <c r="G2270" s="8">
        <v>46175</v>
      </c>
      <c r="H2270" s="6">
        <f t="shared" si="117"/>
        <v>22</v>
      </c>
      <c r="I2270" s="6">
        <f>MAX(1, NETWORKDAYS(A2270, G2270,Table2[Dias no laborales]))</f>
        <v>3</v>
      </c>
      <c r="J2270" s="6" t="str">
        <f>IF(Table1[[#This Row],[FIN]]="","Acumulado",IF(ISNUMBER(SEARCH("ASAP",C2270)),"ASAP",IF(NETWORKDAYS.INTL(F2270,G2270,1,Table2[Dias no laborales]) &lt;= 7, "Dentro", IF(A2270&gt;F2270,"Programado","Fuera"))))</f>
        <v>Dentro</v>
      </c>
      <c r="K2270" s="6" t="str">
        <f t="shared" si="118"/>
        <v>Mismo día</v>
      </c>
      <c r="L2270" s="8">
        <v>46171</v>
      </c>
      <c r="M2270" s="17">
        <f>MAX(1,NETWORKDAYS(A2270,L2270,Table2[Dias no laborales]))</f>
        <v>1</v>
      </c>
    </row>
    <row r="2271" spans="1:13" hidden="1" x14ac:dyDescent="0.3">
      <c r="A2271" s="8">
        <v>46171</v>
      </c>
      <c r="B2271" s="16" t="s">
        <v>4504</v>
      </c>
      <c r="C2271" s="6" t="s">
        <v>4606</v>
      </c>
      <c r="D2271" s="6" t="s">
        <v>372</v>
      </c>
      <c r="E2271" s="14">
        <v>46171.54583333333</v>
      </c>
      <c r="F2271" s="8">
        <f>IF(HOUR(Table1[[#This Row],[CORREO]])&gt;=11,WORKDAY(Table1[[#This Row],[CORREO]],1,Table2[Dias no laborales]),E2271)</f>
        <v>46174</v>
      </c>
      <c r="G2271" s="8">
        <v>46175</v>
      </c>
      <c r="H2271" s="6">
        <f t="shared" si="117"/>
        <v>22</v>
      </c>
      <c r="I2271" s="6">
        <f>MAX(1, NETWORKDAYS(A2271, G2271,Table2[Dias no laborales]))</f>
        <v>3</v>
      </c>
      <c r="J2271" s="6" t="str">
        <f>IF(Table1[[#This Row],[FIN]]="","Acumulado",IF(ISNUMBER(SEARCH("ASAP",C2271)),"ASAP",IF(NETWORKDAYS.INTL(F2271,G2271,1,Table2[Dias no laborales]) &lt;= 7, "Dentro", IF(A2271&gt;F2271,"Programado","Fuera"))))</f>
        <v>Dentro</v>
      </c>
      <c r="K2271" s="6" t="str">
        <f t="shared" si="118"/>
        <v>Mismo día</v>
      </c>
      <c r="L2271" s="8">
        <v>46171</v>
      </c>
      <c r="M2271" s="17">
        <f>MAX(1,NETWORKDAYS(A2271,L2271,Table2[Dias no laborales]))</f>
        <v>1</v>
      </c>
    </row>
    <row r="2272" spans="1:13" hidden="1" x14ac:dyDescent="0.3">
      <c r="A2272" s="8">
        <v>46171</v>
      </c>
      <c r="B2272" s="16" t="s">
        <v>4505</v>
      </c>
      <c r="C2272" s="6" t="s">
        <v>4607</v>
      </c>
      <c r="D2272" s="6" t="s">
        <v>848</v>
      </c>
      <c r="E2272" s="14">
        <v>46171.70208333333</v>
      </c>
      <c r="F2272" s="8">
        <f>IF(HOUR(Table1[[#This Row],[CORREO]])&gt;=11,WORKDAY(Table1[[#This Row],[CORREO]],1,Table2[Dias no laborales]),E2272)</f>
        <v>46174</v>
      </c>
      <c r="G2272" s="8">
        <v>46174</v>
      </c>
      <c r="H2272" s="6">
        <f t="shared" si="117"/>
        <v>22</v>
      </c>
      <c r="I2272" s="6">
        <f>MAX(1, NETWORKDAYS(A2272, G2272,Table2[Dias no laborales]))</f>
        <v>2</v>
      </c>
      <c r="J2272" s="6" t="str">
        <f>IF(Table1[[#This Row],[FIN]]="","Acumulado",IF(ISNUMBER(SEARCH("ASAP",C2272)),"ASAP",IF(NETWORKDAYS.INTL(F2272,G2272,1,Table2[Dias no laborales]) &lt;= 7, "Dentro", IF(A2272&gt;F2272,"Programado","Fuera"))))</f>
        <v>Dentro</v>
      </c>
      <c r="K2272" s="6" t="str">
        <f t="shared" si="118"/>
        <v>Mismo día</v>
      </c>
      <c r="L2272" s="8">
        <v>46171</v>
      </c>
      <c r="M2272" s="17">
        <f>MAX(1,NETWORKDAYS(A2272,L2272,Table2[Dias no laborales]))</f>
        <v>1</v>
      </c>
    </row>
    <row r="2273" spans="1:13" hidden="1" x14ac:dyDescent="0.3">
      <c r="A2273" s="8">
        <v>46174</v>
      </c>
      <c r="B2273" s="16" t="s">
        <v>4506</v>
      </c>
      <c r="C2273" s="6" t="s">
        <v>4608</v>
      </c>
      <c r="D2273" s="6" t="s">
        <v>24</v>
      </c>
      <c r="E2273" s="14"/>
      <c r="F2273" s="8">
        <f>IF(HOUR(Table1[[#This Row],[CORREO]])&gt;=11,WORKDAY(Table1[[#This Row],[CORREO]],1,Table2[Dias no laborales]),E2273)</f>
        <v>0</v>
      </c>
      <c r="G2273" s="8">
        <v>46178</v>
      </c>
      <c r="H2273" s="6">
        <f t="shared" si="117"/>
        <v>22</v>
      </c>
      <c r="I2273" s="6">
        <f>MAX(1, NETWORKDAYS(A2273, G2273,Table2[Dias no laborales]))</f>
        <v>5</v>
      </c>
      <c r="J2273" s="6" t="str">
        <f>IF(Table1[[#This Row],[FIN]]="","Acumulado",IF(ISNUMBER(SEARCH("ASAP",C2273)),"ASAP",IF(NETWORKDAYS.INTL(F2273,G2273,1,Table2[Dias no laborales]) &lt;= 7, "Dentro", IF(A2273&gt;F2273,"Programado","Fuera"))))</f>
        <v>Programado</v>
      </c>
      <c r="K2273" s="6" t="str">
        <f t="shared" si="118"/>
        <v>Programados</v>
      </c>
      <c r="L2273" s="8">
        <v>46174</v>
      </c>
      <c r="M2273" s="17">
        <f>MAX(1,NETWORKDAYS(A2273,L2273,Table2[Dias no laborales]))</f>
        <v>1</v>
      </c>
    </row>
    <row r="2274" spans="1:13" hidden="1" x14ac:dyDescent="0.3">
      <c r="A2274" s="8">
        <v>46174</v>
      </c>
      <c r="B2274" s="16" t="s">
        <v>4507</v>
      </c>
      <c r="C2274" s="6" t="s">
        <v>4609</v>
      </c>
      <c r="D2274" s="6" t="s">
        <v>85</v>
      </c>
      <c r="E2274" s="14">
        <v>46171.660416666666</v>
      </c>
      <c r="F2274" s="8">
        <f>IF(HOUR(Table1[[#This Row],[CORREO]])&gt;=11,WORKDAY(Table1[[#This Row],[CORREO]],1,Table2[Dias no laborales]),E2274)</f>
        <v>46174</v>
      </c>
      <c r="G2274" s="8">
        <v>46176</v>
      </c>
      <c r="H2274" s="6">
        <f t="shared" si="117"/>
        <v>22</v>
      </c>
      <c r="I2274" s="6">
        <f>MAX(1, NETWORKDAYS(A2274, G2274,Table2[Dias no laborales]))</f>
        <v>3</v>
      </c>
      <c r="J2274" s="6" t="str">
        <f>IF(Table1[[#This Row],[FIN]]="","Acumulado",IF(ISNUMBER(SEARCH("ASAP",C2274)),"ASAP",IF(NETWORKDAYS.INTL(F2274,G2274,1,Table2[Dias no laborales]) &lt;= 7, "Dentro", IF(A2274&gt;F2274,"Programado","Fuera"))))</f>
        <v>Dentro</v>
      </c>
      <c r="K2274" s="6" t="str">
        <f t="shared" si="118"/>
        <v>A tiempo</v>
      </c>
      <c r="L2274" s="8">
        <v>46171</v>
      </c>
      <c r="M2274" s="17">
        <f>MAX(1,NETWORKDAYS(A2274,L2274,Table2[Dias no laborales]))</f>
        <v>1</v>
      </c>
    </row>
    <row r="2275" spans="1:13" hidden="1" x14ac:dyDescent="0.3">
      <c r="A2275" s="8">
        <v>46174</v>
      </c>
      <c r="B2275" s="16" t="s">
        <v>4508</v>
      </c>
      <c r="C2275" s="6" t="s">
        <v>4610</v>
      </c>
      <c r="D2275" s="6" t="s">
        <v>482</v>
      </c>
      <c r="E2275" s="14">
        <v>46171.875</v>
      </c>
      <c r="F2275" s="8">
        <f>IF(HOUR(Table1[[#This Row],[CORREO]])&gt;=11,WORKDAY(Table1[[#This Row],[CORREO]],1,Table2[Dias no laborales]),E2275)</f>
        <v>46174</v>
      </c>
      <c r="G2275" s="8">
        <v>46174</v>
      </c>
      <c r="H2275" s="6">
        <f t="shared" si="117"/>
        <v>22</v>
      </c>
      <c r="I2275" s="6">
        <f>MAX(1, NETWORKDAYS(A2275, G2275,Table2[Dias no laborales]))</f>
        <v>1</v>
      </c>
      <c r="J2275" s="6" t="str">
        <f>IF(Table1[[#This Row],[FIN]]="","Acumulado",IF(ISNUMBER(SEARCH("ASAP",C2275)),"ASAP",IF(NETWORKDAYS.INTL(F2275,G2275,1,Table2[Dias no laborales]) &lt;= 7, "Dentro", IF(A2275&gt;F2275,"Programado","Fuera"))))</f>
        <v>Dentro</v>
      </c>
      <c r="K2275" s="6" t="str">
        <f t="shared" si="118"/>
        <v>A tiempo</v>
      </c>
      <c r="L2275" s="8">
        <v>46174</v>
      </c>
      <c r="M2275" s="17">
        <f>MAX(1,NETWORKDAYS(A2275,L2275,Table2[Dias no laborales]))</f>
        <v>1</v>
      </c>
    </row>
    <row r="2276" spans="1:13" hidden="1" x14ac:dyDescent="0.3">
      <c r="A2276" s="8">
        <v>46174</v>
      </c>
      <c r="B2276" s="16" t="s">
        <v>4509</v>
      </c>
      <c r="C2276" s="6" t="s">
        <v>4611</v>
      </c>
      <c r="D2276" s="6" t="s">
        <v>171</v>
      </c>
      <c r="E2276" s="14">
        <v>46173.479861111111</v>
      </c>
      <c r="F2276" s="8">
        <f>IF(HOUR(Table1[[#This Row],[CORREO]])&gt;=11,WORKDAY(Table1[[#This Row],[CORREO]],1,Table2[Dias no laborales]),E2276)</f>
        <v>46174</v>
      </c>
      <c r="G2276" s="8">
        <v>46175</v>
      </c>
      <c r="H2276" s="6">
        <f t="shared" si="117"/>
        <v>22</v>
      </c>
      <c r="I2276" s="6">
        <f>MAX(1, NETWORKDAYS(A2276, G2276,Table2[Dias no laborales]))</f>
        <v>2</v>
      </c>
      <c r="J2276" s="6" t="str">
        <f>IF(Table1[[#This Row],[FIN]]="","Acumulado",IF(ISNUMBER(SEARCH("ASAP",C2276)),"ASAP",IF(NETWORKDAYS.INTL(F2276,G2276,1,Table2[Dias no laborales]) &lt;= 7, "Dentro", IF(A2276&gt;F2276,"Programado","Fuera"))))</f>
        <v>Dentro</v>
      </c>
      <c r="K2276" s="6" t="str">
        <f t="shared" si="118"/>
        <v>A tiempo</v>
      </c>
      <c r="L2276" s="8">
        <v>46174</v>
      </c>
      <c r="M2276" s="17">
        <f>MAX(1,NETWORKDAYS(A2276,L2276,Table2[Dias no laborales]))</f>
        <v>1</v>
      </c>
    </row>
    <row r="2277" spans="1:13" hidden="1" x14ac:dyDescent="0.3">
      <c r="A2277" s="8">
        <v>46174</v>
      </c>
      <c r="B2277" s="16" t="s">
        <v>4510</v>
      </c>
      <c r="C2277" s="6" t="s">
        <v>4595</v>
      </c>
      <c r="D2277" s="6" t="s">
        <v>151</v>
      </c>
      <c r="E2277" s="14">
        <v>46174.356944444444</v>
      </c>
      <c r="F2277" s="8">
        <f>IF(HOUR(Table1[[#This Row],[CORREO]])&gt;=11,WORKDAY(Table1[[#This Row],[CORREO]],1,Table2[Dias no laborales]),E2277)</f>
        <v>46174.356944444444</v>
      </c>
      <c r="G2277" s="8">
        <v>46175</v>
      </c>
      <c r="H2277" s="6">
        <f t="shared" si="117"/>
        <v>22</v>
      </c>
      <c r="I2277" s="6">
        <f>MAX(1, NETWORKDAYS(A2277, G2277,Table2[Dias no laborales]))</f>
        <v>2</v>
      </c>
      <c r="J2277" s="6" t="str">
        <f>IF(Table1[[#This Row],[FIN]]="","Acumulado",IF(ISNUMBER(SEARCH("ASAP",C2277)),"ASAP",IF(NETWORKDAYS.INTL(F2277,G2277,1,Table2[Dias no laborales]) &lt;= 7, "Dentro", IF(A2277&gt;F2277,"Programado","Fuera"))))</f>
        <v>Dentro</v>
      </c>
      <c r="K2277" s="6" t="str">
        <f t="shared" si="118"/>
        <v>A tiempo</v>
      </c>
      <c r="L2277" s="8">
        <v>46174</v>
      </c>
      <c r="M2277" s="17">
        <f>MAX(1,NETWORKDAYS(A2277,L2277,Table2[Dias no laborales]))</f>
        <v>1</v>
      </c>
    </row>
    <row r="2278" spans="1:13" hidden="1" x14ac:dyDescent="0.3">
      <c r="A2278" s="8">
        <v>46174</v>
      </c>
      <c r="B2278" s="16" t="s">
        <v>4511</v>
      </c>
      <c r="C2278" s="6" t="s">
        <v>4619</v>
      </c>
      <c r="D2278" s="6" t="s">
        <v>18</v>
      </c>
      <c r="E2278" s="14">
        <v>46174.409722222219</v>
      </c>
      <c r="F2278" s="8">
        <f>IF(HOUR(Table1[[#This Row],[CORREO]])&gt;=11,WORKDAY(Table1[[#This Row],[CORREO]],1,Table2[Dias no laborales]),E2278)</f>
        <v>46174.409722222219</v>
      </c>
      <c r="G2278" s="8">
        <v>46176</v>
      </c>
      <c r="H2278" s="6">
        <f t="shared" si="117"/>
        <v>22</v>
      </c>
      <c r="I2278" s="6">
        <f>MAX(1, NETWORKDAYS(A2278, G2278,Table2[Dias no laborales]))</f>
        <v>3</v>
      </c>
      <c r="J2278" s="6" t="str">
        <f>IF(Table1[[#This Row],[FIN]]="","Acumulado",IF(ISNUMBER(SEARCH("ASAP",C2278)),"ASAP",IF(NETWORKDAYS.INTL(F2278,G2278,1,Table2[Dias no laborales]) &lt;= 7, "Dentro", IF(A2278&gt;F2278,"Programado","Fuera"))))</f>
        <v>Dentro</v>
      </c>
      <c r="K2278" s="6" t="str">
        <f t="shared" si="118"/>
        <v>A tiempo</v>
      </c>
      <c r="L2278" s="8">
        <v>46174</v>
      </c>
      <c r="M2278" s="17">
        <f>MAX(1,NETWORKDAYS(A2278,L2278,Table2[Dias no laborales]))</f>
        <v>1</v>
      </c>
    </row>
    <row r="2279" spans="1:13" hidden="1" x14ac:dyDescent="0.3">
      <c r="A2279" s="8">
        <v>46174</v>
      </c>
      <c r="B2279" s="16" t="s">
        <v>4512</v>
      </c>
      <c r="C2279" s="6" t="s">
        <v>4620</v>
      </c>
      <c r="D2279" s="6" t="s">
        <v>3020</v>
      </c>
      <c r="E2279" s="14">
        <v>46174.583333333336</v>
      </c>
      <c r="F2279" s="8">
        <f>IF(HOUR(Table1[[#This Row],[CORREO]])&gt;=11,WORKDAY(Table1[[#This Row],[CORREO]],1,Table2[Dias no laborales]),E2279)</f>
        <v>46175</v>
      </c>
      <c r="G2279" s="8">
        <v>46175</v>
      </c>
      <c r="H2279" s="6">
        <f t="shared" si="117"/>
        <v>22</v>
      </c>
      <c r="I2279" s="6">
        <f>MAX(1, NETWORKDAYS(A2279, G2279,Table2[Dias no laborales]))</f>
        <v>2</v>
      </c>
      <c r="J2279" s="6" t="str">
        <f>IF(Table1[[#This Row],[FIN]]="","Acumulado",IF(ISNUMBER(SEARCH("ASAP",C2279)),"ASAP",IF(NETWORKDAYS.INTL(F2279,G2279,1,Table2[Dias no laborales]) &lt;= 7, "Dentro", IF(A2279&gt;F2279,"Programado","Fuera"))))</f>
        <v>Dentro</v>
      </c>
      <c r="K2279" s="6" t="str">
        <f t="shared" si="118"/>
        <v>Mismo día</v>
      </c>
      <c r="L2279" s="8">
        <v>46174</v>
      </c>
      <c r="M2279" s="17">
        <f>MAX(1,NETWORKDAYS(A2279,L2279,Table2[Dias no laborales]))</f>
        <v>1</v>
      </c>
    </row>
    <row r="2280" spans="1:13" hidden="1" x14ac:dyDescent="0.3">
      <c r="A2280" s="8">
        <v>46174</v>
      </c>
      <c r="B2280" s="16" t="s">
        <v>4513</v>
      </c>
      <c r="C2280" s="6" t="s">
        <v>4621</v>
      </c>
      <c r="D2280" s="6" t="s">
        <v>3020</v>
      </c>
      <c r="E2280" s="14">
        <v>46174.656944444447</v>
      </c>
      <c r="F2280" s="8">
        <f>IF(HOUR(Table1[[#This Row],[CORREO]])&gt;=11,WORKDAY(Table1[[#This Row],[CORREO]],1,Table2[Dias no laborales]),E2280)</f>
        <v>46175</v>
      </c>
      <c r="G2280" s="8">
        <v>46175</v>
      </c>
      <c r="H2280" s="6">
        <f t="shared" si="117"/>
        <v>22</v>
      </c>
      <c r="I2280" s="6">
        <f>MAX(1, NETWORKDAYS(A2280, G2280,Table2[Dias no laborales]))</f>
        <v>2</v>
      </c>
      <c r="J2280" s="6" t="str">
        <f>IF(Table1[[#This Row],[FIN]]="","Acumulado",IF(ISNUMBER(SEARCH("ASAP",C2280)),"ASAP",IF(NETWORKDAYS.INTL(F2280,G2280,1,Table2[Dias no laborales]) &lt;= 7, "Dentro", IF(A2280&gt;F2280,"Programado","Fuera"))))</f>
        <v>Dentro</v>
      </c>
      <c r="K2280" s="6" t="str">
        <f t="shared" si="118"/>
        <v>Mismo día</v>
      </c>
      <c r="L2280" s="8">
        <v>46174</v>
      </c>
      <c r="M2280" s="17">
        <f>MAX(1,NETWORKDAYS(A2280,L2280,Table2[Dias no laborales]))</f>
        <v>1</v>
      </c>
    </row>
    <row r="2281" spans="1:13" hidden="1" x14ac:dyDescent="0.3">
      <c r="A2281" s="8">
        <v>46174</v>
      </c>
      <c r="B2281" s="16" t="s">
        <v>4514</v>
      </c>
      <c r="C2281" s="6" t="s">
        <v>4622</v>
      </c>
      <c r="D2281" s="6" t="s">
        <v>3020</v>
      </c>
      <c r="E2281" s="14">
        <v>46174.661805555559</v>
      </c>
      <c r="F2281" s="8">
        <f>IF(HOUR(Table1[[#This Row],[CORREO]])&gt;=11,WORKDAY(Table1[[#This Row],[CORREO]],1,Table2[Dias no laborales]),E2281)</f>
        <v>46175</v>
      </c>
      <c r="G2281" s="8">
        <v>46175</v>
      </c>
      <c r="H2281" s="6">
        <f t="shared" si="117"/>
        <v>22</v>
      </c>
      <c r="I2281" s="6">
        <f>MAX(1, NETWORKDAYS(A2281, G2281,Table2[Dias no laborales]))</f>
        <v>2</v>
      </c>
      <c r="J2281" s="6" t="str">
        <f>IF(Table1[[#This Row],[FIN]]="","Acumulado",IF(ISNUMBER(SEARCH("ASAP",C2281)),"ASAP",IF(NETWORKDAYS.INTL(F2281,G2281,1,Table2[Dias no laborales]) &lt;= 7, "Dentro", IF(A2281&gt;F2281,"Programado","Fuera"))))</f>
        <v>Dentro</v>
      </c>
      <c r="K2281" s="6" t="str">
        <f t="shared" si="118"/>
        <v>Mismo día</v>
      </c>
      <c r="L2281" s="8">
        <v>46174</v>
      </c>
      <c r="M2281" s="17">
        <f>MAX(1,NETWORKDAYS(A2281,L2281,Table2[Dias no laborales]))</f>
        <v>1</v>
      </c>
    </row>
    <row r="2282" spans="1:13" hidden="1" x14ac:dyDescent="0.3">
      <c r="A2282" s="8">
        <v>46174</v>
      </c>
      <c r="B2282" s="16" t="s">
        <v>4515</v>
      </c>
      <c r="C2282" s="6" t="s">
        <v>4623</v>
      </c>
      <c r="D2282" s="6" t="s">
        <v>3020</v>
      </c>
      <c r="E2282" s="14">
        <v>46174.661805555559</v>
      </c>
      <c r="F2282" s="8">
        <f>IF(HOUR(Table1[[#This Row],[CORREO]])&gt;=11,WORKDAY(Table1[[#This Row],[CORREO]],1,Table2[Dias no laborales]),E2282)</f>
        <v>46175</v>
      </c>
      <c r="G2282" s="8">
        <v>46175</v>
      </c>
      <c r="H2282" s="6">
        <f t="shared" si="117"/>
        <v>22</v>
      </c>
      <c r="I2282" s="6">
        <f>MAX(1, NETWORKDAYS(A2282, G2282,Table2[Dias no laborales]))</f>
        <v>2</v>
      </c>
      <c r="J2282" s="6" t="str">
        <f>IF(Table1[[#This Row],[FIN]]="","Acumulado",IF(ISNUMBER(SEARCH("ASAP",C2282)),"ASAP",IF(NETWORKDAYS.INTL(F2282,G2282,1,Table2[Dias no laborales]) &lt;= 7, "Dentro", IF(A2282&gt;F2282,"Programado","Fuera"))))</f>
        <v>Dentro</v>
      </c>
      <c r="K2282" s="6" t="str">
        <f t="shared" si="118"/>
        <v>Mismo día</v>
      </c>
      <c r="L2282" s="8">
        <v>46175</v>
      </c>
      <c r="M2282" s="17">
        <f>MAX(1,NETWORKDAYS(A2282,L2282,Table2[Dias no laborales]))</f>
        <v>2</v>
      </c>
    </row>
    <row r="2283" spans="1:13" hidden="1" x14ac:dyDescent="0.3">
      <c r="A2283" s="8">
        <v>46174</v>
      </c>
      <c r="B2283" s="16" t="s">
        <v>4516</v>
      </c>
      <c r="C2283" s="6" t="s">
        <v>4624</v>
      </c>
      <c r="D2283" s="6" t="s">
        <v>4625</v>
      </c>
      <c r="E2283" s="14"/>
      <c r="F2283" s="8">
        <f>IF(HOUR(Table1[[#This Row],[CORREO]])&gt;=11,WORKDAY(Table1[[#This Row],[CORREO]],1,Table2[Dias no laborales]),E2283)</f>
        <v>0</v>
      </c>
      <c r="G2283" s="8">
        <v>46184</v>
      </c>
      <c r="H2283" s="6">
        <f t="shared" si="117"/>
        <v>22</v>
      </c>
      <c r="I2283" s="6">
        <f>MAX(1, NETWORKDAYS(A2283, G2283,Table2[Dias no laborales]))</f>
        <v>9</v>
      </c>
      <c r="J2283" s="6" t="str">
        <f>IF(Table1[[#This Row],[FIN]]="","Acumulado",IF(ISNUMBER(SEARCH("ASAP",C2283)),"ASAP",IF(NETWORKDAYS.INTL(F2283,G2283,1,Table2[Dias no laborales]) &lt;= 7, "Dentro", IF(A2283&gt;F2283,"Programado","Fuera"))))</f>
        <v>Programado</v>
      </c>
      <c r="K2283" s="6" t="str">
        <f t="shared" si="118"/>
        <v>Programados</v>
      </c>
      <c r="L2283" s="8">
        <v>46175</v>
      </c>
      <c r="M2283" s="17">
        <f>MAX(1,NETWORKDAYS(A2283,L2283,Table2[Dias no laborales]))</f>
        <v>2</v>
      </c>
    </row>
    <row r="2284" spans="1:13" hidden="1" x14ac:dyDescent="0.3">
      <c r="A2284" s="8">
        <v>46175</v>
      </c>
      <c r="B2284" s="16" t="s">
        <v>4517</v>
      </c>
      <c r="C2284" s="6" t="s">
        <v>4626</v>
      </c>
      <c r="D2284" s="6" t="s">
        <v>449</v>
      </c>
      <c r="E2284" s="14">
        <v>46174.640277777777</v>
      </c>
      <c r="F2284" s="8">
        <f>IF(HOUR(Table1[[#This Row],[CORREO]])&gt;=11,WORKDAY(Table1[[#This Row],[CORREO]],1,Table2[Dias no laborales]),E2284)</f>
        <v>46175</v>
      </c>
      <c r="G2284" s="8">
        <v>46175</v>
      </c>
      <c r="H2284" s="6">
        <f t="shared" si="117"/>
        <v>22</v>
      </c>
      <c r="I2284" s="6">
        <f>MAX(1, NETWORKDAYS(A2284, G2284,Table2[Dias no laborales]))</f>
        <v>1</v>
      </c>
      <c r="J2284" s="6" t="str">
        <f>IF(Table1[[#This Row],[FIN]]="","Acumulado",IF(ISNUMBER(SEARCH("ASAP",C2284)),"ASAP",IF(NETWORKDAYS.INTL(F2284,G2284,1,Table2[Dias no laborales]) &lt;= 7, "Dentro", IF(A2284&gt;F2284,"Programado","Fuera"))))</f>
        <v>Dentro</v>
      </c>
      <c r="K2284" s="6" t="str">
        <f t="shared" si="118"/>
        <v>A tiempo</v>
      </c>
      <c r="L2284" s="8">
        <v>46175</v>
      </c>
      <c r="M2284" s="17">
        <f>MAX(1,NETWORKDAYS(A2284,L2284,Table2[Dias no laborales]))</f>
        <v>1</v>
      </c>
    </row>
    <row r="2285" spans="1:13" hidden="1" x14ac:dyDescent="0.3">
      <c r="A2285" s="8">
        <v>46175</v>
      </c>
      <c r="B2285" s="16" t="s">
        <v>4518</v>
      </c>
      <c r="C2285" s="6" t="s">
        <v>4555</v>
      </c>
      <c r="D2285" s="6" t="s">
        <v>392</v>
      </c>
      <c r="E2285" s="14">
        <v>46174.706250000003</v>
      </c>
      <c r="F2285" s="8">
        <f>IF(HOUR(Table1[[#This Row],[CORREO]])&gt;=11,WORKDAY(Table1[[#This Row],[CORREO]],1,Table2[Dias no laborales]),E2285)</f>
        <v>46175</v>
      </c>
      <c r="G2285" s="8">
        <v>46175</v>
      </c>
      <c r="H2285" s="6">
        <f t="shared" si="117"/>
        <v>22</v>
      </c>
      <c r="I2285" s="6">
        <f>MAX(1, NETWORKDAYS(A2285, G2285,Table2[Dias no laborales]))</f>
        <v>1</v>
      </c>
      <c r="J2285" s="6" t="str">
        <f>IF(Table1[[#This Row],[FIN]]="","Acumulado",IF(ISNUMBER(SEARCH("ASAP",C2285)),"ASAP",IF(NETWORKDAYS.INTL(F2285,G2285,1,Table2[Dias no laborales]) &lt;= 7, "Dentro", IF(A2285&gt;F2285,"Programado","Fuera"))))</f>
        <v>Dentro</v>
      </c>
      <c r="K2285" s="6" t="str">
        <f t="shared" si="118"/>
        <v>A tiempo</v>
      </c>
      <c r="L2285" s="8">
        <v>46175</v>
      </c>
      <c r="M2285" s="17">
        <f>MAX(1,NETWORKDAYS(A2285,L2285,Table2[Dias no laborales]))</f>
        <v>1</v>
      </c>
    </row>
    <row r="2286" spans="1:13" hidden="1" x14ac:dyDescent="0.3">
      <c r="A2286" s="8">
        <v>46175</v>
      </c>
      <c r="B2286" s="16" t="s">
        <v>4519</v>
      </c>
      <c r="C2286" s="6" t="s">
        <v>4627</v>
      </c>
      <c r="D2286" s="6" t="s">
        <v>2963</v>
      </c>
      <c r="E2286" s="14">
        <v>46174.643055555556</v>
      </c>
      <c r="F2286" s="8">
        <f>IF(HOUR(Table1[[#This Row],[CORREO]])&gt;=11,WORKDAY(Table1[[#This Row],[CORREO]],1,Table2[Dias no laborales]),E2286)</f>
        <v>46175</v>
      </c>
      <c r="G2286" s="8">
        <v>46175</v>
      </c>
      <c r="H2286" s="6">
        <f t="shared" si="117"/>
        <v>22</v>
      </c>
      <c r="I2286" s="6">
        <f>MAX(1, NETWORKDAYS(A2286, G2286,Table2[Dias no laborales]))</f>
        <v>1</v>
      </c>
      <c r="J2286" s="6" t="str">
        <f>IF(Table1[[#This Row],[FIN]]="","Acumulado",IF(ISNUMBER(SEARCH("ASAP",C2286)),"ASAP",IF(NETWORKDAYS.INTL(F2286,G2286,1,Table2[Dias no laborales]) &lt;= 7, "Dentro", IF(A2286&gt;F2286,"Programado","Fuera"))))</f>
        <v>Dentro</v>
      </c>
      <c r="K2286" s="6" t="str">
        <f t="shared" si="118"/>
        <v>A tiempo</v>
      </c>
      <c r="L2286" s="8">
        <v>46175</v>
      </c>
      <c r="M2286" s="17">
        <f>MAX(1,NETWORKDAYS(A2286,L2286,Table2[Dias no laborales]))</f>
        <v>1</v>
      </c>
    </row>
    <row r="2287" spans="1:13" hidden="1" x14ac:dyDescent="0.3">
      <c r="A2287" s="8">
        <v>46175</v>
      </c>
      <c r="B2287" s="16" t="s">
        <v>4520</v>
      </c>
      <c r="C2287" s="6" t="s">
        <v>4628</v>
      </c>
      <c r="D2287" s="6" t="s">
        <v>916</v>
      </c>
      <c r="E2287" s="14">
        <v>46175.364583333336</v>
      </c>
      <c r="F2287" s="8">
        <f>IF(HOUR(Table1[[#This Row],[CORREO]])&gt;=11,WORKDAY(Table1[[#This Row],[CORREO]],1,Table2[Dias no laborales]),E2287)</f>
        <v>46175.364583333336</v>
      </c>
      <c r="G2287" s="8">
        <v>46175</v>
      </c>
      <c r="H2287" s="6">
        <f t="shared" si="117"/>
        <v>22</v>
      </c>
      <c r="I2287" s="6">
        <f>MAX(1, NETWORKDAYS(A2287, G2287,Table2[Dias no laborales]))</f>
        <v>1</v>
      </c>
      <c r="J2287" s="6" t="str">
        <f>IF(Table1[[#This Row],[FIN]]="","Acumulado",IF(ISNUMBER(SEARCH("ASAP",C2287)),"ASAP",IF(NETWORKDAYS.INTL(F2287,G2287,1,Table2[Dias no laborales]) &lt;= 7, "Dentro", IF(A2287&gt;F2287,"Programado","Fuera"))))</f>
        <v>Dentro</v>
      </c>
      <c r="K2287" s="6" t="str">
        <f t="shared" si="118"/>
        <v>A tiempo</v>
      </c>
      <c r="L2287" s="8">
        <v>46175</v>
      </c>
      <c r="M2287" s="17">
        <f>MAX(1,NETWORKDAYS(A2287,L2287,Table2[Dias no laborales]))</f>
        <v>1</v>
      </c>
    </row>
    <row r="2288" spans="1:13" hidden="1" x14ac:dyDescent="0.3">
      <c r="A2288" s="8">
        <v>46175</v>
      </c>
      <c r="B2288" s="16" t="s">
        <v>4521</v>
      </c>
      <c r="C2288" s="6" t="s">
        <v>4629</v>
      </c>
      <c r="D2288" s="6" t="s">
        <v>27</v>
      </c>
      <c r="E2288" s="14"/>
      <c r="F2288" s="8">
        <f>IF(HOUR(Table1[[#This Row],[CORREO]])&gt;=11,WORKDAY(Table1[[#This Row],[CORREO]],1,Table2[Dias no laborales]),E2288)</f>
        <v>0</v>
      </c>
      <c r="G2288" s="8">
        <v>46182</v>
      </c>
      <c r="H2288" s="6">
        <f t="shared" si="117"/>
        <v>22</v>
      </c>
      <c r="I2288" s="6">
        <f>MAX(1, NETWORKDAYS(A2288, G2288,Table2[Dias no laborales]))</f>
        <v>6</v>
      </c>
      <c r="J2288" s="6" t="str">
        <f>IF(Table1[[#This Row],[FIN]]="","Acumulado",IF(ISNUMBER(SEARCH("ASAP",C2288)),"ASAP",IF(NETWORKDAYS.INTL(F2288,G2288,1,Table2[Dias no laborales]) &lt;= 7, "Dentro", IF(A2288&gt;F2288,"Programado","Fuera"))))</f>
        <v>Programado</v>
      </c>
      <c r="K2288" s="6" t="str">
        <f t="shared" si="118"/>
        <v>Programados</v>
      </c>
      <c r="L2288" s="8">
        <v>46175</v>
      </c>
      <c r="M2288" s="17">
        <f>MAX(1,NETWORKDAYS(A2288,L2288,Table2[Dias no laborales]))</f>
        <v>1</v>
      </c>
    </row>
    <row r="2289" spans="1:13" hidden="1" x14ac:dyDescent="0.3">
      <c r="A2289" s="8">
        <v>46175</v>
      </c>
      <c r="B2289" s="16" t="s">
        <v>4522</v>
      </c>
      <c r="C2289" s="6" t="s">
        <v>4630</v>
      </c>
      <c r="D2289" s="6" t="s">
        <v>27</v>
      </c>
      <c r="E2289" s="14"/>
      <c r="F2289" s="8">
        <f>IF(HOUR(Table1[[#This Row],[CORREO]])&gt;=11,WORKDAY(Table1[[#This Row],[CORREO]],1,Table2[Dias no laborales]),E2289)</f>
        <v>0</v>
      </c>
      <c r="G2289" s="8">
        <v>46182</v>
      </c>
      <c r="H2289" s="6">
        <f t="shared" si="117"/>
        <v>22</v>
      </c>
      <c r="I2289" s="6">
        <f>MAX(1, NETWORKDAYS(A2289, G2289,Table2[Dias no laborales]))</f>
        <v>6</v>
      </c>
      <c r="J2289" s="6" t="str">
        <f>IF(Table1[[#This Row],[FIN]]="","Acumulado",IF(ISNUMBER(SEARCH("ASAP",C2289)),"ASAP",IF(NETWORKDAYS.INTL(F2289,G2289,1,Table2[Dias no laborales]) &lt;= 7, "Dentro", IF(A2289&gt;F2289,"Programado","Fuera"))))</f>
        <v>Programado</v>
      </c>
      <c r="K2289" s="6" t="str">
        <f t="shared" si="118"/>
        <v>Programados</v>
      </c>
      <c r="L2289" s="8">
        <v>46175</v>
      </c>
      <c r="M2289" s="17">
        <f>MAX(1,NETWORKDAYS(A2289,L2289,Table2[Dias no laborales]))</f>
        <v>1</v>
      </c>
    </row>
    <row r="2290" spans="1:13" hidden="1" x14ac:dyDescent="0.3">
      <c r="A2290" s="8">
        <v>46175</v>
      </c>
      <c r="B2290" s="16" t="s">
        <v>4523</v>
      </c>
      <c r="C2290" s="6" t="s">
        <v>4631</v>
      </c>
      <c r="D2290" s="6" t="s">
        <v>27</v>
      </c>
      <c r="E2290" s="14"/>
      <c r="F2290" s="8">
        <f>IF(HOUR(Table1[[#This Row],[CORREO]])&gt;=11,WORKDAY(Table1[[#This Row],[CORREO]],1,Table2[Dias no laborales]),E2290)</f>
        <v>0</v>
      </c>
      <c r="G2290" s="8">
        <v>46182</v>
      </c>
      <c r="H2290" s="6">
        <f t="shared" si="117"/>
        <v>22</v>
      </c>
      <c r="I2290" s="6">
        <f>MAX(1, NETWORKDAYS(A2290, G2290,Table2[Dias no laborales]))</f>
        <v>6</v>
      </c>
      <c r="J2290" s="6" t="str">
        <f>IF(Table1[[#This Row],[FIN]]="","Acumulado",IF(ISNUMBER(SEARCH("ASAP",C2290)),"ASAP",IF(NETWORKDAYS.INTL(F2290,G2290,1,Table2[Dias no laborales]) &lt;= 7, "Dentro", IF(A2290&gt;F2290,"Programado","Fuera"))))</f>
        <v>Programado</v>
      </c>
      <c r="K2290" s="6" t="str">
        <f t="shared" si="118"/>
        <v>Programados</v>
      </c>
      <c r="L2290" s="8">
        <v>46175</v>
      </c>
      <c r="M2290" s="17">
        <f>MAX(1,NETWORKDAYS(A2290,L2290,Table2[Dias no laborales]))</f>
        <v>1</v>
      </c>
    </row>
    <row r="2291" spans="1:13" hidden="1" x14ac:dyDescent="0.3">
      <c r="A2291" s="8">
        <v>46175</v>
      </c>
      <c r="B2291" s="16" t="s">
        <v>4524</v>
      </c>
      <c r="C2291" s="6" t="s">
        <v>4632</v>
      </c>
      <c r="D2291" s="6" t="s">
        <v>27</v>
      </c>
      <c r="E2291" s="14"/>
      <c r="F2291" s="8">
        <f>IF(HOUR(Table1[[#This Row],[CORREO]])&gt;=11,WORKDAY(Table1[[#This Row],[CORREO]],1,Table2[Dias no laborales]),E2291)</f>
        <v>0</v>
      </c>
      <c r="G2291" s="8">
        <v>46183</v>
      </c>
      <c r="H2291" s="6">
        <f t="shared" si="117"/>
        <v>22</v>
      </c>
      <c r="I2291" s="6">
        <f>MAX(1, NETWORKDAYS(A2291, G2291,Table2[Dias no laborales]))</f>
        <v>7</v>
      </c>
      <c r="J2291" s="6" t="str">
        <f>IF(Table1[[#This Row],[FIN]]="","Acumulado",IF(ISNUMBER(SEARCH("ASAP",C2291)),"ASAP",IF(NETWORKDAYS.INTL(F2291,G2291,1,Table2[Dias no laborales]) &lt;= 7, "Dentro", IF(A2291&gt;F2291,"Programado","Fuera"))))</f>
        <v>Programado</v>
      </c>
      <c r="K2291" s="6" t="str">
        <f t="shared" si="118"/>
        <v>Programados</v>
      </c>
      <c r="L2291" s="8">
        <v>46175</v>
      </c>
      <c r="M2291" s="17">
        <f>MAX(1,NETWORKDAYS(A2291,L2291,Table2[Dias no laborales]))</f>
        <v>1</v>
      </c>
    </row>
    <row r="2292" spans="1:13" hidden="1" x14ac:dyDescent="0.3">
      <c r="A2292" s="8">
        <v>46175</v>
      </c>
      <c r="B2292" s="16" t="s">
        <v>4525</v>
      </c>
      <c r="C2292" s="6" t="s">
        <v>4488</v>
      </c>
      <c r="D2292" s="6" t="s">
        <v>434</v>
      </c>
      <c r="E2292" s="14">
        <v>46175.430555555555</v>
      </c>
      <c r="F2292" s="8">
        <f>IF(HOUR(Table1[[#This Row],[CORREO]])&gt;=11,WORKDAY(Table1[[#This Row],[CORREO]],1,Table2[Dias no laborales]),E2292)</f>
        <v>46175.430555555555</v>
      </c>
      <c r="G2292" s="8">
        <v>46175</v>
      </c>
      <c r="H2292" s="6">
        <f t="shared" si="117"/>
        <v>22</v>
      </c>
      <c r="I2292" s="6">
        <f>MAX(1, NETWORKDAYS(A2292, G2292,Table2[Dias no laborales]))</f>
        <v>1</v>
      </c>
      <c r="J2292" s="6" t="str">
        <f>IF(Table1[[#This Row],[FIN]]="","Acumulado",IF(ISNUMBER(SEARCH("ASAP",C2292)),"ASAP",IF(NETWORKDAYS.INTL(F2292,G2292,1,Table2[Dias no laborales]) &lt;= 7, "Dentro", IF(A2292&gt;F2292,"Programado","Fuera"))))</f>
        <v>Dentro</v>
      </c>
      <c r="K2292" s="6" t="str">
        <f t="shared" si="118"/>
        <v>A tiempo</v>
      </c>
      <c r="L2292" s="8">
        <v>46175</v>
      </c>
      <c r="M2292" s="17">
        <f>MAX(1,NETWORKDAYS(A2292,L2292,Table2[Dias no laborales]))</f>
        <v>1</v>
      </c>
    </row>
    <row r="2293" spans="1:13" hidden="1" x14ac:dyDescent="0.3">
      <c r="A2293" s="8">
        <v>46175</v>
      </c>
      <c r="B2293" s="16" t="s">
        <v>4526</v>
      </c>
      <c r="C2293" s="6" t="s">
        <v>4633</v>
      </c>
      <c r="D2293" s="6" t="s">
        <v>3020</v>
      </c>
      <c r="E2293" s="14">
        <v>46175.495138888888</v>
      </c>
      <c r="F2293" s="8">
        <f>IF(HOUR(Table1[[#This Row],[CORREO]])&gt;=11,WORKDAY(Table1[[#This Row],[CORREO]],1,Table2[Dias no laborales]),E2293)</f>
        <v>46176</v>
      </c>
      <c r="G2293" s="8">
        <v>46176</v>
      </c>
      <c r="H2293" s="6">
        <f t="shared" si="117"/>
        <v>22</v>
      </c>
      <c r="I2293" s="6">
        <f>MAX(1, NETWORKDAYS(A2293, G2293,Table2[Dias no laborales]))</f>
        <v>2</v>
      </c>
      <c r="J2293" s="6" t="str">
        <f>IF(Table1[[#This Row],[FIN]]="","Acumulado",IF(ISNUMBER(SEARCH("ASAP",C2293)),"ASAP",IF(NETWORKDAYS.INTL(F2293,G2293,1,Table2[Dias no laborales]) &lt;= 7, "Dentro", IF(A2293&gt;F2293,"Programado","Fuera"))))</f>
        <v>Dentro</v>
      </c>
      <c r="K2293" s="6" t="str">
        <f t="shared" si="118"/>
        <v>Mismo día</v>
      </c>
      <c r="L2293" s="8">
        <v>46175</v>
      </c>
      <c r="M2293" s="17">
        <f>MAX(1,NETWORKDAYS(A2293,L2293,Table2[Dias no laborales]))</f>
        <v>1</v>
      </c>
    </row>
    <row r="2294" spans="1:13" hidden="1" x14ac:dyDescent="0.3">
      <c r="A2294" s="8">
        <v>46175</v>
      </c>
      <c r="B2294" s="16" t="s">
        <v>4527</v>
      </c>
      <c r="C2294" s="6" t="s">
        <v>4634</v>
      </c>
      <c r="D2294" s="6" t="s">
        <v>269</v>
      </c>
      <c r="E2294" s="14">
        <v>46175.515277777777</v>
      </c>
      <c r="F2294" s="8">
        <f>IF(HOUR(Table1[[#This Row],[CORREO]])&gt;=11,WORKDAY(Table1[[#This Row],[CORREO]],1,Table2[Dias no laborales]),E2294)</f>
        <v>46176</v>
      </c>
      <c r="G2294" s="8">
        <v>46176</v>
      </c>
      <c r="H2294" s="6">
        <f t="shared" si="117"/>
        <v>22</v>
      </c>
      <c r="I2294" s="6">
        <f>MAX(1, NETWORKDAYS(A2294, G2294,Table2[Dias no laborales]))</f>
        <v>2</v>
      </c>
      <c r="J2294" s="6" t="str">
        <f>IF(Table1[[#This Row],[FIN]]="","Acumulado",IF(ISNUMBER(SEARCH("ASAP",C2294)),"ASAP",IF(NETWORKDAYS.INTL(F2294,G2294,1,Table2[Dias no laborales]) &lt;= 7, "Dentro", IF(A2294&gt;F2294,"Programado","Fuera"))))</f>
        <v>Dentro</v>
      </c>
      <c r="K2294" s="6" t="str">
        <f t="shared" si="118"/>
        <v>Mismo día</v>
      </c>
      <c r="L2294" s="8">
        <v>46175</v>
      </c>
      <c r="M2294" s="17">
        <f>MAX(1,NETWORKDAYS(A2294,L2294,Table2[Dias no laborales]))</f>
        <v>1</v>
      </c>
    </row>
    <row r="2295" spans="1:13" hidden="1" x14ac:dyDescent="0.3">
      <c r="A2295" s="8">
        <v>46175</v>
      </c>
      <c r="B2295" s="16" t="s">
        <v>4528</v>
      </c>
      <c r="C2295" s="6" t="s">
        <v>4635</v>
      </c>
      <c r="D2295" s="6" t="s">
        <v>1726</v>
      </c>
      <c r="E2295" s="14">
        <v>46175.556250000001</v>
      </c>
      <c r="F2295" s="8">
        <f>IF(HOUR(Table1[[#This Row],[CORREO]])&gt;=11,WORKDAY(Table1[[#This Row],[CORREO]],1,Table2[Dias no laborales]),E2295)</f>
        <v>46176</v>
      </c>
      <c r="G2295" s="8">
        <v>46175</v>
      </c>
      <c r="H2295" s="6">
        <f t="shared" si="117"/>
        <v>22</v>
      </c>
      <c r="I2295" s="6">
        <f>MAX(1, NETWORKDAYS(A2295, G2295,Table2[Dias no laborales]))</f>
        <v>1</v>
      </c>
      <c r="J2295" s="6" t="str">
        <f>IF(Table1[[#This Row],[FIN]]="","Acumulado",IF(ISNUMBER(SEARCH("ASAP",C2295)),"ASAP",IF(NETWORKDAYS.INTL(F2295,G2295,1,Table2[Dias no laborales]) &lt;= 7, "Dentro", IF(A2295&gt;F2295,"Programado","Fuera"))))</f>
        <v>Dentro</v>
      </c>
      <c r="K2295" s="6" t="str">
        <f t="shared" si="118"/>
        <v>Mismo día</v>
      </c>
      <c r="L2295" s="8">
        <v>46175</v>
      </c>
      <c r="M2295" s="17">
        <f>MAX(1,NETWORKDAYS(A2295,L2295,Table2[Dias no laborales]))</f>
        <v>1</v>
      </c>
    </row>
    <row r="2296" spans="1:13" hidden="1" x14ac:dyDescent="0.3">
      <c r="A2296" s="8">
        <v>46175</v>
      </c>
      <c r="B2296" s="16" t="s">
        <v>4529</v>
      </c>
      <c r="C2296" s="6" t="s">
        <v>4636</v>
      </c>
      <c r="D2296" s="6" t="s">
        <v>449</v>
      </c>
      <c r="E2296" s="14">
        <v>46174.640277777777</v>
      </c>
      <c r="F2296" s="8">
        <f>IF(HOUR(Table1[[#This Row],[CORREO]])&gt;=11,WORKDAY(Table1[[#This Row],[CORREO]],1,Table2[Dias no laborales]),E2296)</f>
        <v>46175</v>
      </c>
      <c r="G2296" s="8">
        <v>46176</v>
      </c>
      <c r="H2296" s="6">
        <f t="shared" si="117"/>
        <v>22</v>
      </c>
      <c r="I2296" s="6">
        <f>MAX(1, NETWORKDAYS(A2296, G2296,Table2[Dias no laborales]))</f>
        <v>2</v>
      </c>
      <c r="J2296" s="6" t="str">
        <f>IF(Table1[[#This Row],[FIN]]="","Acumulado",IF(ISNUMBER(SEARCH("ASAP",C2296)),"ASAP",IF(NETWORKDAYS.INTL(F2296,G2296,1,Table2[Dias no laborales]) &lt;= 7, "Dentro", IF(A2296&gt;F2296,"Programado","Fuera"))))</f>
        <v>Dentro</v>
      </c>
      <c r="K2296" s="6" t="str">
        <f t="shared" si="118"/>
        <v>A tiempo</v>
      </c>
      <c r="L2296" s="8">
        <v>46175</v>
      </c>
      <c r="M2296" s="17">
        <f>MAX(1,NETWORKDAYS(A2296,L2296,Table2[Dias no laborales]))</f>
        <v>1</v>
      </c>
    </row>
    <row r="2297" spans="1:13" hidden="1" x14ac:dyDescent="0.3">
      <c r="A2297" s="8">
        <v>46175</v>
      </c>
      <c r="B2297" s="16" t="s">
        <v>4530</v>
      </c>
      <c r="C2297" s="6" t="s">
        <v>4637</v>
      </c>
      <c r="D2297" s="6" t="s">
        <v>4625</v>
      </c>
      <c r="E2297" s="14"/>
      <c r="F2297" s="8">
        <f>IF(HOUR(Table1[[#This Row],[CORREO]])&gt;=11,WORKDAY(Table1[[#This Row],[CORREO]],1,Table2[Dias no laborales]),E2297)</f>
        <v>0</v>
      </c>
      <c r="G2297" s="8">
        <v>46177</v>
      </c>
      <c r="H2297" s="6">
        <f t="shared" ref="H2297:H2316" si="119">INT((A2297-DATE(YEAR(A2297),1,1))/7) + 1</f>
        <v>22</v>
      </c>
      <c r="I2297" s="6">
        <f>MAX(1, NETWORKDAYS(A2297, G2297,Table2[Dias no laborales]))</f>
        <v>3</v>
      </c>
      <c r="J2297" s="6" t="str">
        <f>IF(Table1[[#This Row],[FIN]]="","Acumulado",IF(ISNUMBER(SEARCH("ASAP",C2297)),"ASAP",IF(NETWORKDAYS.INTL(F2297,G2297,1,Table2[Dias no laborales]) &lt;= 7, "Dentro", IF(A2297&gt;F2297,"Programado","Fuera"))))</f>
        <v>Programado</v>
      </c>
      <c r="K2297" s="6" t="str">
        <f t="shared" ref="K2297:K2316" si="120">IF(INT(A2297)=INT(F2297),"A tiempo", IF(A2297&lt;F2297,"Mismo día","Programados"))</f>
        <v>Programados</v>
      </c>
      <c r="L2297" s="8">
        <v>46175</v>
      </c>
      <c r="M2297" s="17">
        <f>MAX(1,NETWORKDAYS(A2297,L2297,Table2[Dias no laborales]))</f>
        <v>1</v>
      </c>
    </row>
    <row r="2298" spans="1:13" hidden="1" x14ac:dyDescent="0.3">
      <c r="A2298" s="8">
        <v>46176</v>
      </c>
      <c r="B2298" s="16" t="s">
        <v>4531</v>
      </c>
      <c r="C2298" s="6" t="s">
        <v>4638</v>
      </c>
      <c r="D2298" s="6" t="s">
        <v>61</v>
      </c>
      <c r="E2298" s="14">
        <v>46175.555555555555</v>
      </c>
      <c r="F2298" s="8">
        <f>IF(HOUR(Table1[[#This Row],[CORREO]])&gt;=11,WORKDAY(Table1[[#This Row],[CORREO]],1,Table2[Dias no laborales]),E2298)</f>
        <v>46176</v>
      </c>
      <c r="G2298" s="8">
        <v>46177</v>
      </c>
      <c r="H2298" s="6">
        <f t="shared" si="119"/>
        <v>22</v>
      </c>
      <c r="I2298" s="6">
        <f>MAX(1, NETWORKDAYS(A2298, G2298,Table2[Dias no laborales]))</f>
        <v>2</v>
      </c>
      <c r="J2298" s="6" t="str">
        <f>IF(Table1[[#This Row],[FIN]]="","Acumulado",IF(ISNUMBER(SEARCH("ASAP",C2298)),"ASAP",IF(NETWORKDAYS.INTL(F2298,G2298,1,Table2[Dias no laborales]) &lt;= 7, "Dentro", IF(A2298&gt;F2298,"Programado","Fuera"))))</f>
        <v>Dentro</v>
      </c>
      <c r="K2298" s="6" t="str">
        <f t="shared" si="120"/>
        <v>A tiempo</v>
      </c>
      <c r="L2298" s="8">
        <v>46176</v>
      </c>
      <c r="M2298" s="17">
        <f>MAX(1,NETWORKDAYS(A2298,L2298,Table2[Dias no laborales]))</f>
        <v>1</v>
      </c>
    </row>
    <row r="2299" spans="1:13" hidden="1" x14ac:dyDescent="0.3">
      <c r="A2299" s="8">
        <v>46176</v>
      </c>
      <c r="B2299" s="16" t="s">
        <v>4532</v>
      </c>
      <c r="C2299" s="6" t="s">
        <v>4639</v>
      </c>
      <c r="D2299" s="6" t="s">
        <v>24</v>
      </c>
      <c r="E2299" s="14">
        <v>46176.349305555559</v>
      </c>
      <c r="F2299" s="8">
        <f>IF(HOUR(Table1[[#This Row],[CORREO]])&gt;=11,WORKDAY(Table1[[#This Row],[CORREO]],1,Table2[Dias no laborales]),E2299)</f>
        <v>46176.349305555559</v>
      </c>
      <c r="G2299" s="8">
        <v>46181</v>
      </c>
      <c r="H2299" s="6">
        <f t="shared" si="119"/>
        <v>22</v>
      </c>
      <c r="I2299" s="6">
        <f>MAX(1, NETWORKDAYS(A2299, G2299,Table2[Dias no laborales]))</f>
        <v>4</v>
      </c>
      <c r="J2299" s="6" t="str">
        <f>IF(Table1[[#This Row],[FIN]]="","Acumulado",IF(ISNUMBER(SEARCH("ASAP",C2299)),"ASAP",IF(NETWORKDAYS.INTL(F2299,G2299,1,Table2[Dias no laborales]) &lt;= 7, "Dentro", IF(A2299&gt;F2299,"Programado","Fuera"))))</f>
        <v>Dentro</v>
      </c>
      <c r="K2299" s="6" t="str">
        <f t="shared" si="120"/>
        <v>A tiempo</v>
      </c>
      <c r="L2299" s="8">
        <v>46176</v>
      </c>
      <c r="M2299" s="17">
        <f>MAX(1,NETWORKDAYS(A2299,L2299,Table2[Dias no laborales]))</f>
        <v>1</v>
      </c>
    </row>
    <row r="2300" spans="1:13" hidden="1" x14ac:dyDescent="0.3">
      <c r="A2300" s="8">
        <v>46176</v>
      </c>
      <c r="B2300" s="16" t="s">
        <v>4533</v>
      </c>
      <c r="C2300" s="6" t="s">
        <v>4640</v>
      </c>
      <c r="D2300" s="6" t="s">
        <v>18</v>
      </c>
      <c r="E2300" s="14">
        <v>46176.432638888888</v>
      </c>
      <c r="F2300" s="8">
        <f>IF(HOUR(Table1[[#This Row],[CORREO]])&gt;=11,WORKDAY(Table1[[#This Row],[CORREO]],1,Table2[Dias no laborales]),E2300)</f>
        <v>46176.432638888888</v>
      </c>
      <c r="G2300" s="8">
        <v>46178</v>
      </c>
      <c r="H2300" s="6">
        <f t="shared" si="119"/>
        <v>22</v>
      </c>
      <c r="I2300" s="6">
        <f>MAX(1, NETWORKDAYS(A2300, G2300,Table2[Dias no laborales]))</f>
        <v>3</v>
      </c>
      <c r="J2300" s="6" t="str">
        <f>IF(Table1[[#This Row],[FIN]]="","Acumulado",IF(ISNUMBER(SEARCH("ASAP",C2300)),"ASAP",IF(NETWORKDAYS.INTL(F2300,G2300,1,Table2[Dias no laborales]) &lt;= 7, "Dentro", IF(A2300&gt;F2300,"Programado","Fuera"))))</f>
        <v>Dentro</v>
      </c>
      <c r="K2300" s="6" t="str">
        <f t="shared" si="120"/>
        <v>A tiempo</v>
      </c>
      <c r="L2300" s="8">
        <v>46176</v>
      </c>
      <c r="M2300" s="17">
        <f>MAX(1,NETWORKDAYS(A2300,L2300,Table2[Dias no laborales]))</f>
        <v>1</v>
      </c>
    </row>
    <row r="2301" spans="1:13" hidden="1" x14ac:dyDescent="0.3">
      <c r="A2301" s="8">
        <v>46176</v>
      </c>
      <c r="B2301" s="16" t="s">
        <v>4534</v>
      </c>
      <c r="C2301" s="6" t="s">
        <v>4641</v>
      </c>
      <c r="D2301" s="6" t="s">
        <v>623</v>
      </c>
      <c r="E2301" s="14">
        <v>46176.454861111109</v>
      </c>
      <c r="F2301" s="8">
        <f>IF(HOUR(Table1[[#This Row],[CORREO]])&gt;=11,WORKDAY(Table1[[#This Row],[CORREO]],1,Table2[Dias no laborales]),E2301)</f>
        <v>46176.454861111109</v>
      </c>
      <c r="G2301" s="8">
        <v>46178</v>
      </c>
      <c r="H2301" s="6">
        <f t="shared" si="119"/>
        <v>22</v>
      </c>
      <c r="I2301" s="6">
        <f>MAX(1, NETWORKDAYS(A2301, G2301,Table2[Dias no laborales]))</f>
        <v>3</v>
      </c>
      <c r="J2301" s="6" t="str">
        <f>IF(Table1[[#This Row],[FIN]]="","Acumulado",IF(ISNUMBER(SEARCH("ASAP",C2301)),"ASAP",IF(NETWORKDAYS.INTL(F2301,G2301,1,Table2[Dias no laborales]) &lt;= 7, "Dentro", IF(A2301&gt;F2301,"Programado","Fuera"))))</f>
        <v>Dentro</v>
      </c>
      <c r="K2301" s="6" t="str">
        <f t="shared" si="120"/>
        <v>A tiempo</v>
      </c>
      <c r="L2301" s="8">
        <v>46176</v>
      </c>
      <c r="M2301" s="17">
        <f>MAX(1,NETWORKDAYS(A2301,L2301,Table2[Dias no laborales]))</f>
        <v>1</v>
      </c>
    </row>
    <row r="2302" spans="1:13" hidden="1" x14ac:dyDescent="0.3">
      <c r="A2302" s="8">
        <v>46176</v>
      </c>
      <c r="B2302" s="16" t="s">
        <v>4535</v>
      </c>
      <c r="C2302" s="6" t="s">
        <v>4642</v>
      </c>
      <c r="D2302" s="6" t="s">
        <v>53</v>
      </c>
      <c r="E2302" s="14">
        <v>46176.46597222222</v>
      </c>
      <c r="F2302" s="8">
        <f>IF(HOUR(Table1[[#This Row],[CORREO]])&gt;=11,WORKDAY(Table1[[#This Row],[CORREO]],1,Table2[Dias no laborales]),E2302)</f>
        <v>46177</v>
      </c>
      <c r="G2302" s="8">
        <v>46183</v>
      </c>
      <c r="H2302" s="6">
        <f t="shared" si="119"/>
        <v>22</v>
      </c>
      <c r="I2302" s="6">
        <f>MAX(1, NETWORKDAYS(A2302, G2302,Table2[Dias no laborales]))</f>
        <v>6</v>
      </c>
      <c r="J2302" s="6" t="str">
        <f>IF(Table1[[#This Row],[FIN]]="","Acumulado",IF(ISNUMBER(SEARCH("ASAP",C2302)),"ASAP",IF(NETWORKDAYS.INTL(F2302,G2302,1,Table2[Dias no laborales]) &lt;= 7, "Dentro", IF(A2302&gt;F2302,"Programado","Fuera"))))</f>
        <v>Dentro</v>
      </c>
      <c r="K2302" s="6" t="str">
        <f t="shared" si="120"/>
        <v>Mismo día</v>
      </c>
      <c r="L2302" s="8">
        <v>46176</v>
      </c>
      <c r="M2302" s="17">
        <f>MAX(1,NETWORKDAYS(A2302,L2302,Table2[Dias no laborales]))</f>
        <v>1</v>
      </c>
    </row>
    <row r="2303" spans="1:13" hidden="1" x14ac:dyDescent="0.3">
      <c r="A2303" s="8">
        <v>46176</v>
      </c>
      <c r="B2303" s="16" t="s">
        <v>4536</v>
      </c>
      <c r="C2303" s="6" t="s">
        <v>4643</v>
      </c>
      <c r="D2303" s="6" t="s">
        <v>24</v>
      </c>
      <c r="E2303" s="14">
        <v>46176.70416666667</v>
      </c>
      <c r="F2303" s="8">
        <f>IF(HOUR(Table1[[#This Row],[CORREO]])&gt;=11,WORKDAY(Table1[[#This Row],[CORREO]],1,Table2[Dias no laborales]),E2303)</f>
        <v>46177</v>
      </c>
      <c r="G2303" s="8">
        <v>46177</v>
      </c>
      <c r="H2303" s="6">
        <f t="shared" si="119"/>
        <v>22</v>
      </c>
      <c r="I2303" s="6">
        <f>MAX(1, NETWORKDAYS(A2303, G2303,Table2[Dias no laborales]))</f>
        <v>2</v>
      </c>
      <c r="J2303" s="6" t="str">
        <f>IF(Table1[[#This Row],[FIN]]="","Acumulado",IF(ISNUMBER(SEARCH("ASAP",C2303)),"ASAP",IF(NETWORKDAYS.INTL(F2303,G2303,1,Table2[Dias no laborales]) &lt;= 7, "Dentro", IF(A2303&gt;F2303,"Programado","Fuera"))))</f>
        <v>Dentro</v>
      </c>
      <c r="K2303" s="6" t="str">
        <f t="shared" si="120"/>
        <v>Mismo día</v>
      </c>
      <c r="L2303" s="8">
        <v>46176</v>
      </c>
      <c r="M2303" s="17">
        <f>MAX(1,NETWORKDAYS(A2303,L2303,Table2[Dias no laborales]))</f>
        <v>1</v>
      </c>
    </row>
    <row r="2304" spans="1:13" hidden="1" x14ac:dyDescent="0.3">
      <c r="A2304" s="8">
        <v>46176</v>
      </c>
      <c r="B2304" s="16" t="s">
        <v>4537</v>
      </c>
      <c r="C2304" s="6" t="s">
        <v>4489</v>
      </c>
      <c r="D2304" s="6" t="s">
        <v>3941</v>
      </c>
      <c r="E2304" s="14">
        <v>46176.619444444441</v>
      </c>
      <c r="F2304" s="8">
        <f>IF(HOUR(Table1[[#This Row],[CORREO]])&gt;=11,WORKDAY(Table1[[#This Row],[CORREO]],1,Table2[Dias no laborales]),E2304)</f>
        <v>46177</v>
      </c>
      <c r="G2304" s="8">
        <v>46177</v>
      </c>
      <c r="H2304" s="6">
        <f t="shared" si="119"/>
        <v>22</v>
      </c>
      <c r="I2304" s="6">
        <f>MAX(1, NETWORKDAYS(A2304, G2304,Table2[Dias no laborales]))</f>
        <v>2</v>
      </c>
      <c r="J2304" s="6" t="str">
        <f>IF(Table1[[#This Row],[FIN]]="","Acumulado",IF(ISNUMBER(SEARCH("ASAP",C2304)),"ASAP",IF(NETWORKDAYS.INTL(F2304,G2304,1,Table2[Dias no laborales]) &lt;= 7, "Dentro", IF(A2304&gt;F2304,"Programado","Fuera"))))</f>
        <v>Dentro</v>
      </c>
      <c r="K2304" s="6" t="str">
        <f t="shared" si="120"/>
        <v>Mismo día</v>
      </c>
      <c r="L2304" s="8">
        <v>46176</v>
      </c>
      <c r="M2304" s="17">
        <f>MAX(1,NETWORKDAYS(A2304,L2304,Table2[Dias no laborales]))</f>
        <v>1</v>
      </c>
    </row>
    <row r="2305" spans="1:13" hidden="1" x14ac:dyDescent="0.3">
      <c r="A2305" s="8">
        <v>46176</v>
      </c>
      <c r="B2305" s="16" t="s">
        <v>4538</v>
      </c>
      <c r="C2305" s="6" t="s">
        <v>4644</v>
      </c>
      <c r="D2305" s="6" t="s">
        <v>449</v>
      </c>
      <c r="E2305" s="14">
        <v>46174.640277777777</v>
      </c>
      <c r="F2305" s="8">
        <f>IF(HOUR(Table1[[#This Row],[CORREO]])&gt;=11,WORKDAY(Table1[[#This Row],[CORREO]],1,Table2[Dias no laborales]),E2305)</f>
        <v>46175</v>
      </c>
      <c r="G2305" s="8">
        <v>46177</v>
      </c>
      <c r="H2305" s="6">
        <f t="shared" si="119"/>
        <v>22</v>
      </c>
      <c r="I2305" s="6">
        <f>MAX(1, NETWORKDAYS(A2305, G2305,Table2[Dias no laborales]))</f>
        <v>2</v>
      </c>
      <c r="J2305" s="6" t="str">
        <f>IF(Table1[[#This Row],[FIN]]="","Acumulado",IF(ISNUMBER(SEARCH("ASAP",C2305)),"ASAP",IF(NETWORKDAYS.INTL(F2305,G2305,1,Table2[Dias no laborales]) &lt;= 7, "Dentro", IF(A2305&gt;F2305,"Programado","Fuera"))))</f>
        <v>Dentro</v>
      </c>
      <c r="K2305" s="6" t="str">
        <f t="shared" si="120"/>
        <v>Programados</v>
      </c>
      <c r="L2305" s="8">
        <v>46176</v>
      </c>
      <c r="M2305" s="17">
        <f>MAX(1,NETWORKDAYS(A2305,L2305,Table2[Dias no laborales]))</f>
        <v>1</v>
      </c>
    </row>
    <row r="2306" spans="1:13" hidden="1" x14ac:dyDescent="0.3">
      <c r="A2306" s="8">
        <v>46176</v>
      </c>
      <c r="B2306" s="16" t="s">
        <v>4539</v>
      </c>
      <c r="C2306" s="6" t="s">
        <v>4645</v>
      </c>
      <c r="D2306" s="6" t="s">
        <v>449</v>
      </c>
      <c r="E2306" s="14">
        <v>46176.37777777778</v>
      </c>
      <c r="F2306" s="8">
        <f>IF(HOUR(Table1[[#This Row],[CORREO]])&gt;=11,WORKDAY(Table1[[#This Row],[CORREO]],1,Table2[Dias no laborales]),E2306)</f>
        <v>46176.37777777778</v>
      </c>
      <c r="G2306" s="8">
        <v>46182</v>
      </c>
      <c r="H2306" s="6">
        <f t="shared" si="119"/>
        <v>22</v>
      </c>
      <c r="I2306" s="6">
        <f>MAX(1, NETWORKDAYS(A2306, G2306,Table2[Dias no laborales]))</f>
        <v>5</v>
      </c>
      <c r="J2306" s="6" t="str">
        <f>IF(Table1[[#This Row],[FIN]]="","Acumulado",IF(ISNUMBER(SEARCH("ASAP",C2306)),"ASAP",IF(NETWORKDAYS.INTL(F2306,G2306,1,Table2[Dias no laborales]) &lt;= 7, "Dentro", IF(A2306&gt;F2306,"Programado","Fuera"))))</f>
        <v>Dentro</v>
      </c>
      <c r="K2306" s="6" t="str">
        <f t="shared" si="120"/>
        <v>A tiempo</v>
      </c>
      <c r="L2306" s="8">
        <v>46176</v>
      </c>
      <c r="M2306" s="17">
        <f>MAX(1,NETWORKDAYS(A2306,L2306,Table2[Dias no laborales]))</f>
        <v>1</v>
      </c>
    </row>
    <row r="2307" spans="1:13" hidden="1" x14ac:dyDescent="0.3">
      <c r="A2307" s="8">
        <v>46177</v>
      </c>
      <c r="B2307" s="16" t="s">
        <v>4540</v>
      </c>
      <c r="C2307" s="6" t="s">
        <v>4646</v>
      </c>
      <c r="D2307" s="6" t="s">
        <v>133</v>
      </c>
      <c r="E2307" s="14">
        <v>46176.536111111112</v>
      </c>
      <c r="F2307" s="8">
        <f>IF(HOUR(Table1[[#This Row],[CORREO]])&gt;=11,WORKDAY(Table1[[#This Row],[CORREO]],1,Table2[Dias no laborales]),E2307)</f>
        <v>46177</v>
      </c>
      <c r="G2307" s="8">
        <v>46182</v>
      </c>
      <c r="H2307" s="6">
        <f t="shared" si="119"/>
        <v>23</v>
      </c>
      <c r="I2307" s="6">
        <f>MAX(1, NETWORKDAYS(A2307, G2307,Table2[Dias no laborales]))</f>
        <v>4</v>
      </c>
      <c r="J2307" s="6" t="str">
        <f>IF(Table1[[#This Row],[FIN]]="","Acumulado",IF(ISNUMBER(SEARCH("ASAP",C2307)),"ASAP",IF(NETWORKDAYS.INTL(F2307,G2307,1,Table2[Dias no laborales]) &lt;= 7, "Dentro", IF(A2307&gt;F2307,"Programado","Fuera"))))</f>
        <v>Dentro</v>
      </c>
      <c r="K2307" s="6" t="str">
        <f t="shared" si="120"/>
        <v>A tiempo</v>
      </c>
      <c r="L2307" s="8">
        <v>46177</v>
      </c>
      <c r="M2307" s="17">
        <f>MAX(1,NETWORKDAYS(A2307,L2307,Table2[Dias no laborales]))</f>
        <v>1</v>
      </c>
    </row>
    <row r="2308" spans="1:13" hidden="1" x14ac:dyDescent="0.3">
      <c r="A2308" s="8">
        <v>46177</v>
      </c>
      <c r="B2308" s="16" t="s">
        <v>4541</v>
      </c>
      <c r="C2308" s="6" t="s">
        <v>4647</v>
      </c>
      <c r="D2308" s="6" t="s">
        <v>372</v>
      </c>
      <c r="E2308" s="14">
        <v>46176.568055555559</v>
      </c>
      <c r="F2308" s="8">
        <f>IF(HOUR(Table1[[#This Row],[CORREO]])&gt;=11,WORKDAY(Table1[[#This Row],[CORREO]],1,Table2[Dias no laborales]),E2308)</f>
        <v>46177</v>
      </c>
      <c r="G2308" s="8">
        <v>46177</v>
      </c>
      <c r="H2308" s="6">
        <f t="shared" si="119"/>
        <v>23</v>
      </c>
      <c r="I2308" s="6">
        <f>MAX(1, NETWORKDAYS(A2308, G2308,Table2[Dias no laborales]))</f>
        <v>1</v>
      </c>
      <c r="J2308" s="6" t="str">
        <f>IF(Table1[[#This Row],[FIN]]="","Acumulado",IF(ISNUMBER(SEARCH("ASAP",C2308)),"ASAP",IF(NETWORKDAYS.INTL(F2308,G2308,1,Table2[Dias no laborales]) &lt;= 7, "Dentro", IF(A2308&gt;F2308,"Programado","Fuera"))))</f>
        <v>Dentro</v>
      </c>
      <c r="K2308" s="6" t="str">
        <f t="shared" si="120"/>
        <v>A tiempo</v>
      </c>
      <c r="L2308" s="8">
        <v>46177</v>
      </c>
      <c r="M2308" s="17">
        <f>MAX(1,NETWORKDAYS(A2308,L2308,Table2[Dias no laborales]))</f>
        <v>1</v>
      </c>
    </row>
    <row r="2309" spans="1:13" hidden="1" x14ac:dyDescent="0.3">
      <c r="A2309" s="8">
        <v>46177</v>
      </c>
      <c r="B2309" s="16" t="s">
        <v>4542</v>
      </c>
      <c r="C2309" s="6" t="s">
        <v>4648</v>
      </c>
      <c r="D2309" s="6" t="s">
        <v>24</v>
      </c>
      <c r="E2309" s="14">
        <v>46176.59097222222</v>
      </c>
      <c r="F2309" s="8">
        <f>IF(HOUR(Table1[[#This Row],[CORREO]])&gt;=11,WORKDAY(Table1[[#This Row],[CORREO]],1,Table2[Dias no laborales]),E2309)</f>
        <v>46177</v>
      </c>
      <c r="G2309" s="8">
        <v>46177</v>
      </c>
      <c r="H2309" s="6">
        <f t="shared" si="119"/>
        <v>23</v>
      </c>
      <c r="I2309" s="6">
        <f>MAX(1, NETWORKDAYS(A2309, G2309,Table2[Dias no laborales]))</f>
        <v>1</v>
      </c>
      <c r="J2309" s="6" t="str">
        <f>IF(Table1[[#This Row],[FIN]]="","Acumulado",IF(ISNUMBER(SEARCH("ASAP",C2309)),"ASAP",IF(NETWORKDAYS.INTL(F2309,G2309,1,Table2[Dias no laborales]) &lt;= 7, "Dentro", IF(A2309&gt;F2309,"Programado","Fuera"))))</f>
        <v>Dentro</v>
      </c>
      <c r="K2309" s="6" t="str">
        <f t="shared" si="120"/>
        <v>A tiempo</v>
      </c>
      <c r="L2309" s="8">
        <v>46177</v>
      </c>
      <c r="M2309" s="17">
        <f>MAX(1,NETWORKDAYS(A2309,L2309,Table2[Dias no laborales]))</f>
        <v>1</v>
      </c>
    </row>
    <row r="2310" spans="1:13" hidden="1" x14ac:dyDescent="0.3">
      <c r="A2310" s="8">
        <v>46177</v>
      </c>
      <c r="B2310" s="16" t="s">
        <v>4543</v>
      </c>
      <c r="C2310" s="6" t="s">
        <v>4649</v>
      </c>
      <c r="D2310" s="6" t="s">
        <v>27</v>
      </c>
      <c r="E2310" s="14">
        <v>46176.758333333331</v>
      </c>
      <c r="F2310" s="8">
        <f>IF(HOUR(Table1[[#This Row],[CORREO]])&gt;=11,WORKDAY(Table1[[#This Row],[CORREO]],1,Table2[Dias no laborales]),E2310)</f>
        <v>46177</v>
      </c>
      <c r="G2310" s="8">
        <v>46182</v>
      </c>
      <c r="H2310" s="6">
        <f t="shared" si="119"/>
        <v>23</v>
      </c>
      <c r="I2310" s="6">
        <f>MAX(1, NETWORKDAYS(A2310, G2310,Table2[Dias no laborales]))</f>
        <v>4</v>
      </c>
      <c r="J2310" s="6" t="str">
        <f>IF(Table1[[#This Row],[FIN]]="","Acumulado",IF(ISNUMBER(SEARCH("ASAP",C2310)),"ASAP",IF(NETWORKDAYS.INTL(F2310,G2310,1,Table2[Dias no laborales]) &lt;= 7, "Dentro", IF(A2310&gt;F2310,"Programado","Fuera"))))</f>
        <v>ASAP</v>
      </c>
      <c r="K2310" s="6" t="str">
        <f t="shared" si="120"/>
        <v>A tiempo</v>
      </c>
      <c r="L2310" s="8">
        <v>46177</v>
      </c>
      <c r="M2310" s="17">
        <f>MAX(1,NETWORKDAYS(A2310,L2310,Table2[Dias no laborales]))</f>
        <v>1</v>
      </c>
    </row>
    <row r="2311" spans="1:13" hidden="1" x14ac:dyDescent="0.3">
      <c r="A2311" s="8">
        <v>46177</v>
      </c>
      <c r="B2311" s="16" t="s">
        <v>4544</v>
      </c>
      <c r="C2311" s="6" t="s">
        <v>4650</v>
      </c>
      <c r="D2311" s="6" t="s">
        <v>42</v>
      </c>
      <c r="E2311" s="14">
        <v>46177.354166666664</v>
      </c>
      <c r="F2311" s="8">
        <f>IF(HOUR(Table1[[#This Row],[CORREO]])&gt;=11,WORKDAY(Table1[[#This Row],[CORREO]],1,Table2[Dias no laborales]),E2311)</f>
        <v>46177.354166666664</v>
      </c>
      <c r="G2311" s="8">
        <v>46178</v>
      </c>
      <c r="H2311" s="6">
        <f t="shared" si="119"/>
        <v>23</v>
      </c>
      <c r="I2311" s="6">
        <f>MAX(1, NETWORKDAYS(A2311, G2311,Table2[Dias no laborales]))</f>
        <v>2</v>
      </c>
      <c r="J2311" s="6" t="str">
        <f>IF(Table1[[#This Row],[FIN]]="","Acumulado",IF(ISNUMBER(SEARCH("ASAP",C2311)),"ASAP",IF(NETWORKDAYS.INTL(F2311,G2311,1,Table2[Dias no laborales]) &lt;= 7, "Dentro", IF(A2311&gt;F2311,"Programado","Fuera"))))</f>
        <v>Dentro</v>
      </c>
      <c r="K2311" s="6" t="str">
        <f t="shared" si="120"/>
        <v>A tiempo</v>
      </c>
      <c r="L2311" s="8">
        <v>46177</v>
      </c>
      <c r="M2311" s="17">
        <f>MAX(1,NETWORKDAYS(A2311,L2311,Table2[Dias no laborales]))</f>
        <v>1</v>
      </c>
    </row>
    <row r="2312" spans="1:13" hidden="1" x14ac:dyDescent="0.3">
      <c r="A2312" s="8">
        <v>46177</v>
      </c>
      <c r="B2312" s="16" t="s">
        <v>4545</v>
      </c>
      <c r="C2312" s="6" t="s">
        <v>4651</v>
      </c>
      <c r="D2312" s="6" t="s">
        <v>2586</v>
      </c>
      <c r="E2312" s="14">
        <v>46177.388194444444</v>
      </c>
      <c r="F2312" s="8">
        <f>IF(HOUR(Table1[[#This Row],[CORREO]])&gt;=11,WORKDAY(Table1[[#This Row],[CORREO]],1,Table2[Dias no laborales]),E2312)</f>
        <v>46177.388194444444</v>
      </c>
      <c r="G2312" s="8">
        <v>46178</v>
      </c>
      <c r="H2312" s="6">
        <f t="shared" si="119"/>
        <v>23</v>
      </c>
      <c r="I2312" s="6">
        <f>MAX(1, NETWORKDAYS(A2312, G2312,Table2[Dias no laborales]))</f>
        <v>2</v>
      </c>
      <c r="J2312" s="6" t="str">
        <f>IF(Table1[[#This Row],[FIN]]="","Acumulado",IF(ISNUMBER(SEARCH("ASAP",C2312)),"ASAP",IF(NETWORKDAYS.INTL(F2312,G2312,1,Table2[Dias no laborales]) &lt;= 7, "Dentro", IF(A2312&gt;F2312,"Programado","Fuera"))))</f>
        <v>Dentro</v>
      </c>
      <c r="K2312" s="6" t="str">
        <f t="shared" si="120"/>
        <v>A tiempo</v>
      </c>
      <c r="L2312" s="8">
        <v>46177</v>
      </c>
      <c r="M2312" s="17">
        <f>MAX(1,NETWORKDAYS(A2312,L2312,Table2[Dias no laborales]))</f>
        <v>1</v>
      </c>
    </row>
    <row r="2313" spans="1:13" hidden="1" x14ac:dyDescent="0.3">
      <c r="A2313" s="8">
        <v>46177</v>
      </c>
      <c r="B2313" s="16" t="s">
        <v>4546</v>
      </c>
      <c r="C2313" s="6" t="s">
        <v>4652</v>
      </c>
      <c r="D2313" s="6" t="s">
        <v>3020</v>
      </c>
      <c r="E2313" s="14">
        <v>46177.406944444447</v>
      </c>
      <c r="F2313" s="8">
        <f>IF(HOUR(Table1[[#This Row],[CORREO]])&gt;=11,WORKDAY(Table1[[#This Row],[CORREO]],1,Table2[Dias no laborales]),E2313)</f>
        <v>46177.406944444447</v>
      </c>
      <c r="G2313" s="8">
        <v>46178</v>
      </c>
      <c r="H2313" s="6">
        <f t="shared" si="119"/>
        <v>23</v>
      </c>
      <c r="I2313" s="6">
        <f>MAX(1, NETWORKDAYS(A2313, G2313,Table2[Dias no laborales]))</f>
        <v>2</v>
      </c>
      <c r="J2313" s="6" t="str">
        <f>IF(Table1[[#This Row],[FIN]]="","Acumulado",IF(ISNUMBER(SEARCH("ASAP",C2313)),"ASAP",IF(NETWORKDAYS.INTL(F2313,G2313,1,Table2[Dias no laborales]) &lt;= 7, "Dentro", IF(A2313&gt;F2313,"Programado","Fuera"))))</f>
        <v>Dentro</v>
      </c>
      <c r="K2313" s="6" t="str">
        <f t="shared" si="120"/>
        <v>A tiempo</v>
      </c>
      <c r="L2313" s="8">
        <v>46177</v>
      </c>
      <c r="M2313" s="17">
        <f>MAX(1,NETWORKDAYS(A2313,L2313,Table2[Dias no laborales]))</f>
        <v>1</v>
      </c>
    </row>
    <row r="2314" spans="1:13" hidden="1" x14ac:dyDescent="0.3">
      <c r="A2314" s="8">
        <v>46177</v>
      </c>
      <c r="B2314" s="16" t="s">
        <v>4547</v>
      </c>
      <c r="C2314" s="6" t="s">
        <v>4653</v>
      </c>
      <c r="D2314" s="6" t="s">
        <v>151</v>
      </c>
      <c r="E2314" s="14">
        <v>46177.413194444445</v>
      </c>
      <c r="F2314" s="8">
        <f>IF(HOUR(Table1[[#This Row],[CORREO]])&gt;=11,WORKDAY(Table1[[#This Row],[CORREO]],1,Table2[Dias no laborales]),E2314)</f>
        <v>46177.413194444445</v>
      </c>
      <c r="G2314" s="8">
        <v>46182</v>
      </c>
      <c r="H2314" s="6">
        <f t="shared" si="119"/>
        <v>23</v>
      </c>
      <c r="I2314" s="6">
        <f>MAX(1, NETWORKDAYS(A2314, G2314,Table2[Dias no laborales]))</f>
        <v>4</v>
      </c>
      <c r="J2314" s="6" t="str">
        <f>IF(Table1[[#This Row],[FIN]]="","Acumulado",IF(ISNUMBER(SEARCH("ASAP",C2314)),"ASAP",IF(NETWORKDAYS.INTL(F2314,G2314,1,Table2[Dias no laborales]) &lt;= 7, "Dentro", IF(A2314&gt;F2314,"Programado","Fuera"))))</f>
        <v>Dentro</v>
      </c>
      <c r="K2314" s="6" t="str">
        <f t="shared" si="120"/>
        <v>A tiempo</v>
      </c>
      <c r="L2314" s="8">
        <v>46178</v>
      </c>
      <c r="M2314" s="17">
        <f>MAX(1,NETWORKDAYS(A2314,L2314,Table2[Dias no laborales]))</f>
        <v>2</v>
      </c>
    </row>
    <row r="2315" spans="1:13" hidden="1" x14ac:dyDescent="0.3">
      <c r="A2315" s="8">
        <v>46177</v>
      </c>
      <c r="B2315" s="16" t="s">
        <v>4548</v>
      </c>
      <c r="C2315" s="6" t="s">
        <v>4654</v>
      </c>
      <c r="D2315" s="6" t="s">
        <v>3845</v>
      </c>
      <c r="E2315" s="14">
        <v>46177.45</v>
      </c>
      <c r="F2315" s="8">
        <f>IF(HOUR(Table1[[#This Row],[CORREO]])&gt;=11,WORKDAY(Table1[[#This Row],[CORREO]],1,Table2[Dias no laborales]),E2315)</f>
        <v>46177.45</v>
      </c>
      <c r="G2315" s="8">
        <v>46182</v>
      </c>
      <c r="H2315" s="6">
        <f t="shared" si="119"/>
        <v>23</v>
      </c>
      <c r="I2315" s="6">
        <f>MAX(1, NETWORKDAYS(A2315, G2315,Table2[Dias no laborales]))</f>
        <v>4</v>
      </c>
      <c r="J2315" s="6" t="str">
        <f>IF(Table1[[#This Row],[FIN]]="","Acumulado",IF(ISNUMBER(SEARCH("ASAP",C2315)),"ASAP",IF(NETWORKDAYS.INTL(F2315,G2315,1,Table2[Dias no laborales]) &lt;= 7, "Dentro", IF(A2315&gt;F2315,"Programado","Fuera"))))</f>
        <v>Dentro</v>
      </c>
      <c r="K2315" s="6" t="str">
        <f t="shared" si="120"/>
        <v>A tiempo</v>
      </c>
      <c r="L2315" s="8">
        <v>46178</v>
      </c>
      <c r="M2315" s="17">
        <f>MAX(1,NETWORKDAYS(A2315,L2315,Table2[Dias no laborales]))</f>
        <v>2</v>
      </c>
    </row>
    <row r="2316" spans="1:13" hidden="1" x14ac:dyDescent="0.3">
      <c r="A2316" s="8">
        <v>46177</v>
      </c>
      <c r="B2316" s="16" t="s">
        <v>4549</v>
      </c>
      <c r="C2316" s="6" t="s">
        <v>4655</v>
      </c>
      <c r="D2316" s="6" t="s">
        <v>571</v>
      </c>
      <c r="E2316" s="14">
        <v>46177.451388888891</v>
      </c>
      <c r="F2316" s="8">
        <f>IF(HOUR(Table1[[#This Row],[CORREO]])&gt;=11,WORKDAY(Table1[[#This Row],[CORREO]],1,Table2[Dias no laborales]),E2316)</f>
        <v>46177.451388888891</v>
      </c>
      <c r="G2316" s="8">
        <v>46178</v>
      </c>
      <c r="H2316" s="6">
        <f t="shared" si="119"/>
        <v>23</v>
      </c>
      <c r="I2316" s="6">
        <f>MAX(1, NETWORKDAYS(A2316, G2316,Table2[Dias no laborales]))</f>
        <v>2</v>
      </c>
      <c r="J2316" s="6" t="str">
        <f>IF(Table1[[#This Row],[FIN]]="","Acumulado",IF(ISNUMBER(SEARCH("ASAP",C2316)),"ASAP",IF(NETWORKDAYS.INTL(F2316,G2316,1,Table2[Dias no laborales]) &lt;= 7, "Dentro", IF(A2316&gt;F2316,"Programado","Fuera"))))</f>
        <v>Dentro</v>
      </c>
      <c r="K2316" s="6" t="str">
        <f t="shared" si="120"/>
        <v>A tiempo</v>
      </c>
      <c r="L2316" s="8">
        <v>46177</v>
      </c>
      <c r="M2316" s="17">
        <f>MAX(1,NETWORKDAYS(A2316,L2316,Table2[Dias no laborales]))</f>
        <v>1</v>
      </c>
    </row>
    <row r="2317" spans="1:13" hidden="1" x14ac:dyDescent="0.3">
      <c r="A2317" s="8">
        <v>46177</v>
      </c>
      <c r="B2317" s="16" t="s">
        <v>4570</v>
      </c>
      <c r="C2317" s="6" t="s">
        <v>4656</v>
      </c>
      <c r="D2317" s="14" t="s">
        <v>3020</v>
      </c>
      <c r="E2317" s="14">
        <v>46177.603472222225</v>
      </c>
      <c r="F2317" s="8">
        <f>IF(HOUR(Table1[[#This Row],[CORREO]])&gt;=11,WORKDAY(Table1[[#This Row],[CORREO]],1,Table2[Dias no laborales]),E2317)</f>
        <v>46178</v>
      </c>
      <c r="G2317" s="8">
        <v>46183</v>
      </c>
      <c r="H2317" s="6">
        <f t="shared" ref="H2317:H2326" si="121">INT((A2317-DATE(YEAR(A2317),1,1))/7) + 1</f>
        <v>23</v>
      </c>
      <c r="I2317" s="6">
        <f>MAX(1, NETWORKDAYS(A2317, G2317,Table2[Dias no laborales]))</f>
        <v>5</v>
      </c>
      <c r="J2317" s="6" t="str">
        <f>IF(Table1[[#This Row],[FIN]]="","Acumulado",IF(ISNUMBER(SEARCH("ASAP",C2317)),"ASAP",IF(NETWORKDAYS.INTL(F2317,G2317,1,Table2[Dias no laborales]) &lt;= 7, "Dentro", IF(A2317&gt;F2317,"Programado","Fuera"))))</f>
        <v>Dentro</v>
      </c>
      <c r="K2317" s="6" t="str">
        <f t="shared" ref="K2317:K2326" si="122">IF(INT(A2317)=INT(F2317),"A tiempo", IF(A2317&lt;F2317,"Mismo día","Programados"))</f>
        <v>Mismo día</v>
      </c>
      <c r="L2317" s="8">
        <v>46177</v>
      </c>
      <c r="M2317" s="17">
        <f>MAX(1,NETWORKDAYS(A2317,L2317,Table2[Dias no laborales]))</f>
        <v>1</v>
      </c>
    </row>
    <row r="2318" spans="1:13" hidden="1" x14ac:dyDescent="0.3">
      <c r="A2318" s="8">
        <v>46177</v>
      </c>
      <c r="B2318" s="16" t="s">
        <v>4571</v>
      </c>
      <c r="C2318" s="6" t="s">
        <v>4657</v>
      </c>
      <c r="D2318" s="6" t="s">
        <v>3020</v>
      </c>
      <c r="E2318" s="14">
        <v>46177.718055555553</v>
      </c>
      <c r="F2318" s="8">
        <f>IF(HOUR(Table1[[#This Row],[CORREO]])&gt;=11,WORKDAY(Table1[[#This Row],[CORREO]],1,Table2[Dias no laborales]),E2318)</f>
        <v>46178</v>
      </c>
      <c r="G2318" s="8">
        <v>46178</v>
      </c>
      <c r="H2318" s="6">
        <f t="shared" si="121"/>
        <v>23</v>
      </c>
      <c r="I2318" s="6">
        <f>MAX(1, NETWORKDAYS(A2318, G2318,Table2[Dias no laborales]))</f>
        <v>2</v>
      </c>
      <c r="J2318" s="6" t="str">
        <f>IF(Table1[[#This Row],[FIN]]="","Acumulado",IF(ISNUMBER(SEARCH("ASAP",C2318)),"ASAP",IF(NETWORKDAYS.INTL(F2318,G2318,1,Table2[Dias no laborales]) &lt;= 7, "Dentro", IF(A2318&gt;F2318,"Programado","Fuera"))))</f>
        <v>Dentro</v>
      </c>
      <c r="K2318" s="6" t="str">
        <f t="shared" si="122"/>
        <v>Mismo día</v>
      </c>
      <c r="L2318" s="8">
        <v>46177</v>
      </c>
      <c r="M2318" s="17">
        <f>MAX(1,NETWORKDAYS(A2318,L2318,Table2[Dias no laborales]))</f>
        <v>1</v>
      </c>
    </row>
    <row r="2319" spans="1:13" hidden="1" x14ac:dyDescent="0.3">
      <c r="A2319" s="8">
        <v>46178</v>
      </c>
      <c r="B2319" s="16" t="s">
        <v>4572</v>
      </c>
      <c r="C2319" s="6" t="s">
        <v>4658</v>
      </c>
      <c r="D2319" s="6" t="s">
        <v>53</v>
      </c>
      <c r="E2319" s="14">
        <v>46177.465277777781</v>
      </c>
      <c r="F2319" s="8">
        <f>IF(HOUR(Table1[[#This Row],[CORREO]])&gt;=11,WORKDAY(Table1[[#This Row],[CORREO]],1,Table2[Dias no laborales]),E2319)</f>
        <v>46178</v>
      </c>
      <c r="G2319" s="8">
        <v>46188</v>
      </c>
      <c r="H2319" s="6">
        <f t="shared" si="121"/>
        <v>23</v>
      </c>
      <c r="I2319" s="6">
        <f>MAX(1, NETWORKDAYS(A2319, G2319,Table2[Dias no laborales]))</f>
        <v>7</v>
      </c>
      <c r="J2319" s="6" t="str">
        <f>IF(Table1[[#This Row],[FIN]]="","Acumulado",IF(ISNUMBER(SEARCH("ASAP",C2319)),"ASAP",IF(NETWORKDAYS.INTL(F2319,G2319,1,Table2[Dias no laborales]) &lt;= 7, "Dentro", IF(A2319&gt;F2319,"Programado","Fuera"))))</f>
        <v>Dentro</v>
      </c>
      <c r="K2319" s="6" t="str">
        <f t="shared" si="122"/>
        <v>A tiempo</v>
      </c>
      <c r="L2319" s="8">
        <v>46178</v>
      </c>
      <c r="M2319" s="17">
        <f>MAX(1,NETWORKDAYS(A2319,L2319,Table2[Dias no laborales]))</f>
        <v>1</v>
      </c>
    </row>
    <row r="2320" spans="1:13" hidden="1" x14ac:dyDescent="0.3">
      <c r="A2320" s="8">
        <v>46178</v>
      </c>
      <c r="B2320" s="16" t="s">
        <v>4573</v>
      </c>
      <c r="C2320" s="6" t="s">
        <v>4674</v>
      </c>
      <c r="D2320" s="6" t="s">
        <v>24</v>
      </c>
      <c r="E2320" s="14">
        <v>46177.561805555553</v>
      </c>
      <c r="F2320" s="8">
        <f>IF(HOUR(Table1[[#This Row],[CORREO]])&gt;=11,WORKDAY(Table1[[#This Row],[CORREO]],1,Table2[Dias no laborales]),E2320)</f>
        <v>46178</v>
      </c>
      <c r="G2320" s="8">
        <v>46188</v>
      </c>
      <c r="H2320" s="6">
        <f t="shared" si="121"/>
        <v>23</v>
      </c>
      <c r="I2320" s="6">
        <f>MAX(1, NETWORKDAYS(A2320, G2320,Table2[Dias no laborales]))</f>
        <v>7</v>
      </c>
      <c r="J2320" s="6" t="str">
        <f>IF(Table1[[#This Row],[FIN]]="","Acumulado",IF(ISNUMBER(SEARCH("ASAP",C2320)),"ASAP",IF(NETWORKDAYS.INTL(F2320,G2320,1,Table2[Dias no laborales]) &lt;= 7, "Dentro", IF(A2320&gt;F2320,"Programado","Fuera"))))</f>
        <v>Dentro</v>
      </c>
      <c r="K2320" s="6" t="str">
        <f t="shared" si="122"/>
        <v>A tiempo</v>
      </c>
      <c r="L2320" s="8">
        <v>46178</v>
      </c>
      <c r="M2320" s="17">
        <f>MAX(1,NETWORKDAYS(A2320,L2320,Table2[Dias no laborales]))</f>
        <v>1</v>
      </c>
    </row>
    <row r="2321" spans="1:13" hidden="1" x14ac:dyDescent="0.3">
      <c r="A2321" s="8">
        <v>46178</v>
      </c>
      <c r="B2321" s="16" t="s">
        <v>4574</v>
      </c>
      <c r="C2321" s="6" t="s">
        <v>4675</v>
      </c>
      <c r="D2321" s="6" t="s">
        <v>754</v>
      </c>
      <c r="E2321" s="14">
        <v>46177.65347222222</v>
      </c>
      <c r="F2321" s="8">
        <f>IF(HOUR(Table1[[#This Row],[CORREO]])&gt;=11,WORKDAY(Table1[[#This Row],[CORREO]],1,Table2[Dias no laborales]),E2321)</f>
        <v>46178</v>
      </c>
      <c r="G2321" s="8">
        <v>46178</v>
      </c>
      <c r="H2321" s="6">
        <f t="shared" si="121"/>
        <v>23</v>
      </c>
      <c r="I2321" s="6">
        <f>MAX(1, NETWORKDAYS(A2321, G2321,Table2[Dias no laborales]))</f>
        <v>1</v>
      </c>
      <c r="J2321" s="6" t="str">
        <f>IF(Table1[[#This Row],[FIN]]="","Acumulado",IF(ISNUMBER(SEARCH("ASAP",C2321)),"ASAP",IF(NETWORKDAYS.INTL(F2321,G2321,1,Table2[Dias no laborales]) &lt;= 7, "Dentro", IF(A2321&gt;F2321,"Programado","Fuera"))))</f>
        <v>Dentro</v>
      </c>
      <c r="K2321" s="6" t="str">
        <f t="shared" si="122"/>
        <v>A tiempo</v>
      </c>
      <c r="L2321" s="8">
        <v>46178</v>
      </c>
      <c r="M2321" s="17">
        <f>MAX(1,NETWORKDAYS(A2321,L2321,Table2[Dias no laborales]))</f>
        <v>1</v>
      </c>
    </row>
    <row r="2322" spans="1:13" hidden="1" x14ac:dyDescent="0.3">
      <c r="A2322" s="8">
        <v>46178</v>
      </c>
      <c r="B2322" s="16" t="s">
        <v>4575</v>
      </c>
      <c r="C2322" s="6" t="s">
        <v>4676</v>
      </c>
      <c r="D2322" s="6" t="s">
        <v>538</v>
      </c>
      <c r="E2322" s="14">
        <v>46178.34375</v>
      </c>
      <c r="F2322" s="8">
        <f>IF(HOUR(Table1[[#This Row],[CORREO]])&gt;=11,WORKDAY(Table1[[#This Row],[CORREO]],1,Table2[Dias no laborales]),E2322)</f>
        <v>46178.34375</v>
      </c>
      <c r="G2322" s="8">
        <v>46183</v>
      </c>
      <c r="H2322" s="6">
        <f t="shared" si="121"/>
        <v>23</v>
      </c>
      <c r="I2322" s="6">
        <f>MAX(1, NETWORKDAYS(A2322, G2322,Table2[Dias no laborales]))</f>
        <v>4</v>
      </c>
      <c r="J2322" s="6" t="str">
        <f>IF(Table1[[#This Row],[FIN]]="","Acumulado",IF(ISNUMBER(SEARCH("ASAP",C2322)),"ASAP",IF(NETWORKDAYS.INTL(F2322,G2322,1,Table2[Dias no laborales]) &lt;= 7, "Dentro", IF(A2322&gt;F2322,"Programado","Fuera"))))</f>
        <v>Dentro</v>
      </c>
      <c r="K2322" s="6" t="str">
        <f t="shared" si="122"/>
        <v>A tiempo</v>
      </c>
      <c r="L2322" s="8">
        <v>46181</v>
      </c>
      <c r="M2322" s="17">
        <f>MAX(1,NETWORKDAYS(A2322,L2322,Table2[Dias no laborales]))</f>
        <v>2</v>
      </c>
    </row>
    <row r="2323" spans="1:13" hidden="1" x14ac:dyDescent="0.3">
      <c r="A2323" s="8">
        <v>46178</v>
      </c>
      <c r="B2323" s="16" t="s">
        <v>4576</v>
      </c>
      <c r="C2323" s="6" t="s">
        <v>4677</v>
      </c>
      <c r="D2323" s="6" t="s">
        <v>4678</v>
      </c>
      <c r="E2323" s="14">
        <v>46178.357638888891</v>
      </c>
      <c r="F2323" s="8">
        <f>IF(HOUR(Table1[[#This Row],[CORREO]])&gt;=11,WORKDAY(Table1[[#This Row],[CORREO]],1,Table2[Dias no laborales]),E2323)</f>
        <v>46178.357638888891</v>
      </c>
      <c r="G2323" s="8">
        <v>46181</v>
      </c>
      <c r="H2323" s="6">
        <f t="shared" si="121"/>
        <v>23</v>
      </c>
      <c r="I2323" s="6">
        <f>MAX(1, NETWORKDAYS(A2323, G2323,Table2[Dias no laborales]))</f>
        <v>2</v>
      </c>
      <c r="J2323" s="6" t="str">
        <f>IF(Table1[[#This Row],[FIN]]="","Acumulado",IF(ISNUMBER(SEARCH("ASAP",C2323)),"ASAP",IF(NETWORKDAYS.INTL(F2323,G2323,1,Table2[Dias no laborales]) &lt;= 7, "Dentro", IF(A2323&gt;F2323,"Programado","Fuera"))))</f>
        <v>Dentro</v>
      </c>
      <c r="K2323" s="6" t="str">
        <f t="shared" si="122"/>
        <v>A tiempo</v>
      </c>
      <c r="L2323" s="8">
        <v>46178</v>
      </c>
      <c r="M2323" s="17">
        <f>MAX(1,NETWORKDAYS(A2323,L2323,Table2[Dias no laborales]))</f>
        <v>1</v>
      </c>
    </row>
    <row r="2324" spans="1:13" hidden="1" x14ac:dyDescent="0.3">
      <c r="A2324" s="8">
        <v>46178</v>
      </c>
      <c r="B2324" s="16" t="s">
        <v>4577</v>
      </c>
      <c r="C2324" s="6" t="s">
        <v>4679</v>
      </c>
      <c r="D2324" s="6" t="s">
        <v>916</v>
      </c>
      <c r="E2324" s="14">
        <v>46178.361111111109</v>
      </c>
      <c r="F2324" s="8">
        <f>IF(HOUR(Table1[[#This Row],[CORREO]])&gt;=11,WORKDAY(Table1[[#This Row],[CORREO]],1,Table2[Dias no laborales]),E2324)</f>
        <v>46178.361111111109</v>
      </c>
      <c r="G2324" s="8">
        <v>46178</v>
      </c>
      <c r="H2324" s="6">
        <f t="shared" si="121"/>
        <v>23</v>
      </c>
      <c r="I2324" s="6">
        <f>MAX(1, NETWORKDAYS(A2324, G2324,Table2[Dias no laborales]))</f>
        <v>1</v>
      </c>
      <c r="J2324" s="6" t="str">
        <f>IF(Table1[[#This Row],[FIN]]="","Acumulado",IF(ISNUMBER(SEARCH("ASAP",C2324)),"ASAP",IF(NETWORKDAYS.INTL(F2324,G2324,1,Table2[Dias no laborales]) &lt;= 7, "Dentro", IF(A2324&gt;F2324,"Programado","Fuera"))))</f>
        <v>Dentro</v>
      </c>
      <c r="K2324" s="6" t="str">
        <f t="shared" si="122"/>
        <v>A tiempo</v>
      </c>
      <c r="L2324" s="8">
        <v>46178</v>
      </c>
      <c r="M2324" s="17">
        <f>MAX(1,NETWORKDAYS(A2324,L2324,Table2[Dias no laborales]))</f>
        <v>1</v>
      </c>
    </row>
    <row r="2325" spans="1:13" hidden="1" x14ac:dyDescent="0.3">
      <c r="A2325" s="8">
        <v>46178</v>
      </c>
      <c r="B2325" s="16" t="s">
        <v>4578</v>
      </c>
      <c r="C2325" s="6" t="s">
        <v>4680</v>
      </c>
      <c r="D2325" s="6" t="s">
        <v>1333</v>
      </c>
      <c r="E2325" s="14"/>
      <c r="F2325" s="8">
        <f>IF(HOUR(Table1[[#This Row],[CORREO]])&gt;=11,WORKDAY(Table1[[#This Row],[CORREO]],1,Table2[Dias no laborales]),E2325)</f>
        <v>0</v>
      </c>
      <c r="G2325" s="8">
        <v>46188</v>
      </c>
      <c r="H2325" s="6">
        <f t="shared" si="121"/>
        <v>23</v>
      </c>
      <c r="I2325" s="6">
        <f>MAX(1, NETWORKDAYS(A2325, G2325,Table2[Dias no laborales]))</f>
        <v>7</v>
      </c>
      <c r="J2325" s="6" t="str">
        <f>IF(Table1[[#This Row],[FIN]]="","Acumulado",IF(ISNUMBER(SEARCH("ASAP",C2325)),"ASAP",IF(NETWORKDAYS.INTL(F2325,G2325,1,Table2[Dias no laborales]) &lt;= 7, "Dentro", IF(A2325&gt;F2325,"Programado","Fuera"))))</f>
        <v>Programado</v>
      </c>
      <c r="K2325" s="6" t="str">
        <f t="shared" si="122"/>
        <v>Programados</v>
      </c>
      <c r="L2325" s="8">
        <v>46178</v>
      </c>
      <c r="M2325" s="17">
        <f>MAX(1,NETWORKDAYS(A2325,L2325,Table2[Dias no laborales]))</f>
        <v>1</v>
      </c>
    </row>
    <row r="2326" spans="1:13" hidden="1" x14ac:dyDescent="0.3">
      <c r="A2326" s="8">
        <v>46178</v>
      </c>
      <c r="B2326" s="16" t="s">
        <v>4579</v>
      </c>
      <c r="C2326" s="6" t="s">
        <v>4681</v>
      </c>
      <c r="D2326" s="6" t="s">
        <v>3845</v>
      </c>
      <c r="E2326" s="14"/>
      <c r="F2326" s="8">
        <f>IF(HOUR(Table1[[#This Row],[CORREO]])&gt;=11,WORKDAY(Table1[[#This Row],[CORREO]],1,Table2[Dias no laborales]),E2326)</f>
        <v>0</v>
      </c>
      <c r="G2326" s="8">
        <v>46181</v>
      </c>
      <c r="H2326" s="6">
        <f t="shared" si="121"/>
        <v>23</v>
      </c>
      <c r="I2326" s="6">
        <f>MAX(1, NETWORKDAYS(A2326, G2326,Table2[Dias no laborales]))</f>
        <v>2</v>
      </c>
      <c r="J2326" s="6" t="str">
        <f>IF(Table1[[#This Row],[FIN]]="","Acumulado",IF(ISNUMBER(SEARCH("ASAP",C2326)),"ASAP",IF(NETWORKDAYS.INTL(F2326,G2326,1,Table2[Dias no laborales]) &lt;= 7, "Dentro", IF(A2326&gt;F2326,"Programado","Fuera"))))</f>
        <v>Programado</v>
      </c>
      <c r="K2326" s="6" t="str">
        <f t="shared" si="122"/>
        <v>Programados</v>
      </c>
      <c r="L2326" s="8">
        <v>46178</v>
      </c>
      <c r="M2326" s="17">
        <f>MAX(1,NETWORKDAYS(A2326,L2326,Table2[Dias no laborales]))</f>
        <v>1</v>
      </c>
    </row>
    <row r="2327" spans="1:13" hidden="1" x14ac:dyDescent="0.3">
      <c r="A2327" s="8">
        <v>46178</v>
      </c>
      <c r="B2327" s="16" t="s">
        <v>4598</v>
      </c>
      <c r="C2327" s="6" t="s">
        <v>4682</v>
      </c>
      <c r="D2327" s="6" t="s">
        <v>27</v>
      </c>
      <c r="E2327" s="14">
        <v>46178.486805555556</v>
      </c>
      <c r="F2327" s="8">
        <f>IF(HOUR(Table1[[#This Row],[CORREO]])&gt;=11,WORKDAY(Table1[[#This Row],[CORREO]],1,Table2[Dias no laborales]),E2327)</f>
        <v>46181</v>
      </c>
      <c r="G2327" s="8">
        <v>46181</v>
      </c>
      <c r="H2327" s="6">
        <f>INT((A2327-DATE(YEAR(A2327),1,1))/7) + 1</f>
        <v>23</v>
      </c>
      <c r="I2327" s="6">
        <f>MAX(1, NETWORKDAYS(A2327, G2327,Table2[Dias no laborales]))</f>
        <v>2</v>
      </c>
      <c r="J2327" s="6" t="str">
        <f>IF(Table1[[#This Row],[FIN]]="","Acumulado",IF(ISNUMBER(SEARCH("ASAP",C2327)),"ASAP",IF(NETWORKDAYS.INTL(F2327,G2327,1,Table2[Dias no laborales]) &lt;= 7, "Dentro", IF(A2327&gt;F2327,"Programado","Fuera"))))</f>
        <v>ASAP</v>
      </c>
      <c r="K2327" s="6" t="str">
        <f>IF(INT(A2327)=INT(F2327),"A tiempo", IF(A2327&lt;F2327,"Mismo día","Programados"))</f>
        <v>Mismo día</v>
      </c>
      <c r="L2327" s="8">
        <v>46181</v>
      </c>
      <c r="M2327" s="17">
        <f>MAX(1,NETWORKDAYS(A2327,L2327,Table2[Dias no laborales]))</f>
        <v>2</v>
      </c>
    </row>
    <row r="2328" spans="1:13" hidden="1" x14ac:dyDescent="0.3">
      <c r="A2328" s="8">
        <v>46178</v>
      </c>
      <c r="B2328" s="16" t="s">
        <v>4612</v>
      </c>
      <c r="C2328" s="6" t="s">
        <v>4582</v>
      </c>
      <c r="D2328" s="6" t="s">
        <v>151</v>
      </c>
      <c r="E2328" s="14">
        <v>46171.755555555559</v>
      </c>
      <c r="F2328" s="8">
        <f>IF(HOUR(Table1[[#This Row],[CORREO]])&gt;=11,WORKDAY(Table1[[#This Row],[CORREO]],1,Table2[Dias no laborales]),E2328)</f>
        <v>46174</v>
      </c>
      <c r="G2328" s="8">
        <v>46181</v>
      </c>
      <c r="H2328" s="6">
        <f t="shared" ref="H2328:H2334" si="123">INT((A2328-DATE(YEAR(A2328),1,1))/7) + 1</f>
        <v>23</v>
      </c>
      <c r="I2328" s="6">
        <f>MAX(1, NETWORKDAYS(A2328, G2328,Table2[Dias no laborales]))</f>
        <v>2</v>
      </c>
      <c r="J2328" s="6" t="str">
        <f>IF(Table1[[#This Row],[FIN]]="","Acumulado",IF(ISNUMBER(SEARCH("ASAP",C2328)),"ASAP",IF(NETWORKDAYS.INTL(F2328,G2328,1,Table2[Dias no laborales]) &lt;= 7, "Dentro", IF(A2328&gt;F2328,"Programado","Fuera"))))</f>
        <v>Dentro</v>
      </c>
      <c r="K2328" s="6" t="str">
        <f t="shared" ref="K2328:K2334" si="124">IF(INT(A2328)=INT(F2328),"A tiempo", IF(A2328&lt;F2328,"Mismo día","Programados"))</f>
        <v>Programados</v>
      </c>
      <c r="L2328" s="8">
        <v>46178</v>
      </c>
      <c r="M2328" s="17">
        <f>MAX(1,NETWORKDAYS(A2328,L2328,Table2[Dias no laborales]))</f>
        <v>1</v>
      </c>
    </row>
    <row r="2329" spans="1:13" hidden="1" x14ac:dyDescent="0.3">
      <c r="A2329" s="8">
        <v>46178</v>
      </c>
      <c r="B2329" s="16" t="s">
        <v>4613</v>
      </c>
      <c r="C2329" s="6" t="s">
        <v>4683</v>
      </c>
      <c r="D2329" s="6" t="s">
        <v>4684</v>
      </c>
      <c r="E2329" s="14">
        <v>46178.584027777775</v>
      </c>
      <c r="F2329" s="8">
        <f>IF(HOUR(Table1[[#This Row],[CORREO]])&gt;=11,WORKDAY(Table1[[#This Row],[CORREO]],1,Table2[Dias no laborales]),E2329)</f>
        <v>46181</v>
      </c>
      <c r="G2329" s="8">
        <v>46183</v>
      </c>
      <c r="H2329" s="6">
        <f t="shared" si="123"/>
        <v>23</v>
      </c>
      <c r="I2329" s="6">
        <f>MAX(1, NETWORKDAYS(A2329, G2329,Table2[Dias no laborales]))</f>
        <v>4</v>
      </c>
      <c r="J2329" s="6" t="str">
        <f>IF(Table1[[#This Row],[FIN]]="","Acumulado",IF(ISNUMBER(SEARCH("ASAP",C2329)),"ASAP",IF(NETWORKDAYS.INTL(F2329,G2329,1,Table2[Dias no laborales]) &lt;= 7, "Dentro", IF(A2329&gt;F2329,"Programado","Fuera"))))</f>
        <v>Dentro</v>
      </c>
      <c r="K2329" s="6" t="str">
        <f t="shared" si="124"/>
        <v>Mismo día</v>
      </c>
      <c r="L2329" s="8">
        <v>46178</v>
      </c>
      <c r="M2329" s="17">
        <f>MAX(1,NETWORKDAYS(A2329,L2329,Table2[Dias no laborales]))</f>
        <v>1</v>
      </c>
    </row>
    <row r="2330" spans="1:13" hidden="1" x14ac:dyDescent="0.3">
      <c r="A2330" s="8">
        <v>46181</v>
      </c>
      <c r="B2330" s="16" t="s">
        <v>4614</v>
      </c>
      <c r="C2330" s="6" t="s">
        <v>4685</v>
      </c>
      <c r="D2330" s="6" t="s">
        <v>24</v>
      </c>
      <c r="E2330" s="14"/>
      <c r="F2330" s="8">
        <f>IF(HOUR(Table1[[#This Row],[CORREO]])&gt;=11,WORKDAY(Table1[[#This Row],[CORREO]],1,Table2[Dias no laborales]),E2330)</f>
        <v>0</v>
      </c>
      <c r="G2330" s="8">
        <v>46185</v>
      </c>
      <c r="H2330" s="6">
        <f t="shared" si="123"/>
        <v>23</v>
      </c>
      <c r="I2330" s="6">
        <f>MAX(1, NETWORKDAYS(A2330, G2330,Table2[Dias no laborales]))</f>
        <v>5</v>
      </c>
      <c r="J2330" s="6" t="str">
        <f>IF(Table1[[#This Row],[FIN]]="","Acumulado",IF(ISNUMBER(SEARCH("ASAP",C2330)),"ASAP",IF(NETWORKDAYS.INTL(F2330,G2330,1,Table2[Dias no laborales]) &lt;= 7, "Dentro", IF(A2330&gt;F2330,"Programado","Fuera"))))</f>
        <v>Programado</v>
      </c>
      <c r="K2330" s="6" t="str">
        <f t="shared" si="124"/>
        <v>Programados</v>
      </c>
      <c r="L2330" s="8">
        <v>46181</v>
      </c>
      <c r="M2330" s="17">
        <f>MAX(1,NETWORKDAYS(A2330,L2330,Table2[Dias no laborales]))</f>
        <v>1</v>
      </c>
    </row>
    <row r="2331" spans="1:13" hidden="1" x14ac:dyDescent="0.3">
      <c r="A2331" s="8">
        <v>46181</v>
      </c>
      <c r="B2331" s="16" t="s">
        <v>4615</v>
      </c>
      <c r="C2331" s="6" t="s">
        <v>4686</v>
      </c>
      <c r="D2331" s="6" t="s">
        <v>1360</v>
      </c>
      <c r="E2331" s="14">
        <v>46178.561805555553</v>
      </c>
      <c r="F2331" s="8">
        <f>IF(HOUR(Table1[[#This Row],[CORREO]])&gt;=11,WORKDAY(Table1[[#This Row],[CORREO]],1,Table2[Dias no laborales]),E2331)</f>
        <v>46181</v>
      </c>
      <c r="G2331" s="8">
        <v>46184</v>
      </c>
      <c r="H2331" s="6">
        <f t="shared" si="123"/>
        <v>23</v>
      </c>
      <c r="I2331" s="6">
        <f>MAX(1, NETWORKDAYS(A2331, G2331,Table2[Dias no laborales]))</f>
        <v>4</v>
      </c>
      <c r="J2331" s="6" t="str">
        <f>IF(Table1[[#This Row],[FIN]]="","Acumulado",IF(ISNUMBER(SEARCH("ASAP",C2331)),"ASAP",IF(NETWORKDAYS.INTL(F2331,G2331,1,Table2[Dias no laborales]) &lt;= 7, "Dentro", IF(A2331&gt;F2331,"Programado","Fuera"))))</f>
        <v>Dentro</v>
      </c>
      <c r="K2331" s="6" t="str">
        <f t="shared" si="124"/>
        <v>A tiempo</v>
      </c>
      <c r="L2331" s="8">
        <v>46181</v>
      </c>
      <c r="M2331" s="17">
        <f>MAX(1,NETWORKDAYS(A2331,L2331,Table2[Dias no laborales]))</f>
        <v>1</v>
      </c>
    </row>
    <row r="2332" spans="1:13" hidden="1" x14ac:dyDescent="0.3">
      <c r="A2332" s="8">
        <v>46181</v>
      </c>
      <c r="B2332" s="16" t="s">
        <v>4616</v>
      </c>
      <c r="C2332" s="6" t="s">
        <v>4687</v>
      </c>
      <c r="D2332" s="6" t="s">
        <v>1360</v>
      </c>
      <c r="E2332" s="14">
        <v>46178.570138888892</v>
      </c>
      <c r="F2332" s="8">
        <f>IF(HOUR(Table1[[#This Row],[CORREO]])&gt;=11,WORKDAY(Table1[[#This Row],[CORREO]],1,Table2[Dias no laborales]),E2332)</f>
        <v>46181</v>
      </c>
      <c r="G2332" s="8">
        <v>46182</v>
      </c>
      <c r="H2332" s="6">
        <f t="shared" si="123"/>
        <v>23</v>
      </c>
      <c r="I2332" s="6">
        <f>MAX(1, NETWORKDAYS(A2332, G2332,Table2[Dias no laborales]))</f>
        <v>2</v>
      </c>
      <c r="J2332" s="6" t="str">
        <f>IF(Table1[[#This Row],[FIN]]="","Acumulado",IF(ISNUMBER(SEARCH("ASAP",C2332)),"ASAP",IF(NETWORKDAYS.INTL(F2332,G2332,1,Table2[Dias no laborales]) &lt;= 7, "Dentro", IF(A2332&gt;F2332,"Programado","Fuera"))))</f>
        <v>Dentro</v>
      </c>
      <c r="K2332" s="6" t="str">
        <f t="shared" si="124"/>
        <v>A tiempo</v>
      </c>
      <c r="L2332" s="8">
        <v>46181</v>
      </c>
      <c r="M2332" s="17">
        <f>MAX(1,NETWORKDAYS(A2332,L2332,Table2[Dias no laborales]))</f>
        <v>1</v>
      </c>
    </row>
    <row r="2333" spans="1:13" hidden="1" x14ac:dyDescent="0.3">
      <c r="A2333" s="8">
        <v>46181</v>
      </c>
      <c r="B2333" s="16" t="s">
        <v>4617</v>
      </c>
      <c r="C2333" s="6" t="s">
        <v>4688</v>
      </c>
      <c r="D2333" s="6" t="s">
        <v>24</v>
      </c>
      <c r="E2333" s="14">
        <v>46178.67291666667</v>
      </c>
      <c r="F2333" s="8">
        <f>IF(HOUR(Table1[[#This Row],[CORREO]])&gt;=11,WORKDAY(Table1[[#This Row],[CORREO]],1,Table2[Dias no laborales]),E2333)</f>
        <v>46181</v>
      </c>
      <c r="G2333" s="8">
        <v>46181</v>
      </c>
      <c r="H2333" s="6">
        <f t="shared" si="123"/>
        <v>23</v>
      </c>
      <c r="I2333" s="6">
        <f>MAX(1, NETWORKDAYS(A2333, G2333,Table2[Dias no laborales]))</f>
        <v>1</v>
      </c>
      <c r="J2333" s="6" t="str">
        <f>IF(Table1[[#This Row],[FIN]]="","Acumulado",IF(ISNUMBER(SEARCH("ASAP",C2333)),"ASAP",IF(NETWORKDAYS.INTL(F2333,G2333,1,Table2[Dias no laborales]) &lt;= 7, "Dentro", IF(A2333&gt;F2333,"Programado","Fuera"))))</f>
        <v>Dentro</v>
      </c>
      <c r="K2333" s="6" t="str">
        <f t="shared" si="124"/>
        <v>A tiempo</v>
      </c>
      <c r="L2333" s="8">
        <v>46181</v>
      </c>
      <c r="M2333" s="17">
        <f>MAX(1,NETWORKDAYS(A2333,L2333,Table2[Dias no laborales]))</f>
        <v>1</v>
      </c>
    </row>
    <row r="2334" spans="1:13" hidden="1" x14ac:dyDescent="0.3">
      <c r="A2334" s="8">
        <v>46181</v>
      </c>
      <c r="B2334" s="16" t="s">
        <v>4618</v>
      </c>
      <c r="C2334" s="6" t="s">
        <v>4689</v>
      </c>
      <c r="D2334" s="6" t="s">
        <v>372</v>
      </c>
      <c r="E2334" s="14">
        <v>46179.429861111108</v>
      </c>
      <c r="F2334" s="8">
        <f>IF(HOUR(Table1[[#This Row],[CORREO]])&gt;=11,WORKDAY(Table1[[#This Row],[CORREO]],1,Table2[Dias no laborales]),E2334)</f>
        <v>46179.429861111108</v>
      </c>
      <c r="G2334" s="8">
        <v>46182</v>
      </c>
      <c r="H2334" s="6">
        <f t="shared" si="123"/>
        <v>23</v>
      </c>
      <c r="I2334" s="6">
        <f>MAX(1, NETWORKDAYS(A2334, G2334,Table2[Dias no laborales]))</f>
        <v>2</v>
      </c>
      <c r="J2334" s="6" t="str">
        <f>IF(Table1[[#This Row],[FIN]]="","Acumulado",IF(ISNUMBER(SEARCH("ASAP",C2334)),"ASAP",IF(NETWORKDAYS.INTL(F2334,G2334,1,Table2[Dias no laborales]) &lt;= 7, "Dentro", IF(A2334&gt;F2334,"Programado","Fuera"))))</f>
        <v>Dentro</v>
      </c>
      <c r="K2334" s="6" t="str">
        <f t="shared" si="124"/>
        <v>Programados</v>
      </c>
      <c r="L2334" s="8">
        <v>46181</v>
      </c>
      <c r="M2334" s="17">
        <f>MAX(1,NETWORKDAYS(A2334,L2334,Table2[Dias no laborales]))</f>
        <v>1</v>
      </c>
    </row>
    <row r="2335" spans="1:13" hidden="1" x14ac:dyDescent="0.3">
      <c r="A2335" s="8">
        <v>46181</v>
      </c>
      <c r="B2335" s="16" t="s">
        <v>4659</v>
      </c>
      <c r="C2335" s="6" t="s">
        <v>4690</v>
      </c>
      <c r="D2335" s="6" t="s">
        <v>269</v>
      </c>
      <c r="E2335" s="14">
        <v>46181.324305555558</v>
      </c>
      <c r="F2335" s="8">
        <f>IF(HOUR(Table1[[#This Row],[CORREO]])&gt;=11,WORKDAY(Table1[[#This Row],[CORREO]],1,Table2[Dias no laborales]),E2335)</f>
        <v>46181.324305555558</v>
      </c>
      <c r="G2335" s="8">
        <v>46181</v>
      </c>
      <c r="H2335" s="6">
        <f t="shared" ref="H2335:H2349" si="125">INT((A2335-DATE(YEAR(A2335),1,1))/7) + 1</f>
        <v>23</v>
      </c>
      <c r="I2335" s="6">
        <f>MAX(1, NETWORKDAYS(A2335, G2335,Table2[Dias no laborales]))</f>
        <v>1</v>
      </c>
      <c r="J2335" s="6" t="str">
        <f>IF(Table1[[#This Row],[FIN]]="","Acumulado",IF(ISNUMBER(SEARCH("ASAP",C2335)),"ASAP",IF(NETWORKDAYS.INTL(F2335,G2335,1,Table2[Dias no laborales]) &lt;= 7, "Dentro", IF(A2335&gt;F2335,"Programado","Fuera"))))</f>
        <v>Dentro</v>
      </c>
      <c r="K2335" s="6" t="str">
        <f t="shared" ref="K2335:K2349" si="126">IF(INT(A2335)=INT(F2335),"A tiempo", IF(A2335&lt;F2335,"Mismo día","Programados"))</f>
        <v>A tiempo</v>
      </c>
      <c r="L2335" s="8">
        <v>46181</v>
      </c>
      <c r="M2335" s="17">
        <f>MAX(1,NETWORKDAYS(A2335,L2335,Table2[Dias no laborales]))</f>
        <v>1</v>
      </c>
    </row>
    <row r="2336" spans="1:13" hidden="1" x14ac:dyDescent="0.3">
      <c r="A2336" s="8">
        <v>46181</v>
      </c>
      <c r="B2336" s="16" t="s">
        <v>4660</v>
      </c>
      <c r="C2336" s="6" t="s">
        <v>4691</v>
      </c>
      <c r="D2336" s="6" t="s">
        <v>4691</v>
      </c>
      <c r="E2336" s="14">
        <v>46181.431944444441</v>
      </c>
      <c r="F2336" s="8">
        <f>IF(HOUR(Table1[[#This Row],[CORREO]])&gt;=11,WORKDAY(Table1[[#This Row],[CORREO]],1,Table2[Dias no laborales]),E2336)</f>
        <v>46181.431944444441</v>
      </c>
      <c r="G2336" s="8">
        <v>46181</v>
      </c>
      <c r="H2336" s="6">
        <f t="shared" si="125"/>
        <v>23</v>
      </c>
      <c r="I2336" s="6">
        <f>MAX(1, NETWORKDAYS(A2336, G2336,Table2[Dias no laborales]))</f>
        <v>1</v>
      </c>
      <c r="J2336" s="6" t="str">
        <f>IF(Table1[[#This Row],[FIN]]="","Acumulado",IF(ISNUMBER(SEARCH("ASAP",C2336)),"ASAP",IF(NETWORKDAYS.INTL(F2336,G2336,1,Table2[Dias no laborales]) &lt;= 7, "Dentro", IF(A2336&gt;F2336,"Programado","Fuera"))))</f>
        <v>Dentro</v>
      </c>
      <c r="K2336" s="6" t="str">
        <f t="shared" si="126"/>
        <v>A tiempo</v>
      </c>
      <c r="L2336" s="8">
        <v>46181</v>
      </c>
      <c r="M2336" s="17">
        <f>MAX(1,NETWORKDAYS(A2336,L2336,Table2[Dias no laborales]))</f>
        <v>1</v>
      </c>
    </row>
    <row r="2337" spans="1:13" hidden="1" x14ac:dyDescent="0.3">
      <c r="A2337" s="8">
        <v>46181</v>
      </c>
      <c r="B2337" s="16" t="s">
        <v>4661</v>
      </c>
      <c r="C2337" s="6" t="s">
        <v>3008</v>
      </c>
      <c r="D2337" s="6" t="s">
        <v>4351</v>
      </c>
      <c r="E2337" s="14">
        <v>46181.645833333336</v>
      </c>
      <c r="F2337" s="8">
        <f>IF(HOUR(Table1[[#This Row],[CORREO]])&gt;=11,WORKDAY(Table1[[#This Row],[CORREO]],1,Table2[Dias no laborales]),E2337)</f>
        <v>46182</v>
      </c>
      <c r="G2337" s="8">
        <v>46183</v>
      </c>
      <c r="H2337" s="6">
        <f t="shared" si="125"/>
        <v>23</v>
      </c>
      <c r="I2337" s="6">
        <f>MAX(1, NETWORKDAYS(A2337, G2337,Table2[Dias no laborales]))</f>
        <v>3</v>
      </c>
      <c r="J2337" s="6" t="str">
        <f>IF(Table1[[#This Row],[FIN]]="","Acumulado",IF(ISNUMBER(SEARCH("ASAP",C2337)),"ASAP",IF(NETWORKDAYS.INTL(F2337,G2337,1,Table2[Dias no laborales]) &lt;= 7, "Dentro", IF(A2337&gt;F2337,"Programado","Fuera"))))</f>
        <v>Dentro</v>
      </c>
      <c r="K2337" s="6" t="str">
        <f t="shared" si="126"/>
        <v>Mismo día</v>
      </c>
      <c r="L2337" s="8">
        <v>46182</v>
      </c>
      <c r="M2337" s="17">
        <f>MAX(1,NETWORKDAYS(A2337,L2337,Table2[Dias no laborales]))</f>
        <v>2</v>
      </c>
    </row>
    <row r="2338" spans="1:13" hidden="1" x14ac:dyDescent="0.3">
      <c r="A2338" s="8">
        <v>46181</v>
      </c>
      <c r="B2338" s="16" t="s">
        <v>4662</v>
      </c>
      <c r="C2338" s="6" t="s">
        <v>4692</v>
      </c>
      <c r="D2338" s="6" t="s">
        <v>24</v>
      </c>
      <c r="E2338" s="14">
        <v>46181.708333333336</v>
      </c>
      <c r="F2338" s="8">
        <f>IF(HOUR(Table1[[#This Row],[CORREO]])&gt;=11,WORKDAY(Table1[[#This Row],[CORREO]],1,Table2[Dias no laborales]),E2338)</f>
        <v>46182</v>
      </c>
      <c r="G2338" s="8">
        <v>46190</v>
      </c>
      <c r="H2338" s="6">
        <f t="shared" si="125"/>
        <v>23</v>
      </c>
      <c r="I2338" s="6">
        <f>MAX(1, NETWORKDAYS(A2338, G2338,Table2[Dias no laborales]))</f>
        <v>8</v>
      </c>
      <c r="J2338" s="6" t="str">
        <f>IF(Table1[[#This Row],[FIN]]="","Acumulado",IF(ISNUMBER(SEARCH("ASAP",C2338)),"ASAP",IF(NETWORKDAYS.INTL(F2338,G2338,1,Table2[Dias no laborales]) &lt;= 7, "Dentro", IF(A2338&gt;F2338,"Programado","Fuera"))))</f>
        <v>Dentro</v>
      </c>
      <c r="K2338" s="6" t="str">
        <f t="shared" si="126"/>
        <v>Mismo día</v>
      </c>
      <c r="L2338" s="8">
        <v>46181</v>
      </c>
      <c r="M2338" s="17">
        <f>MAX(1,NETWORKDAYS(A2338,L2338,Table2[Dias no laborales]))</f>
        <v>1</v>
      </c>
    </row>
    <row r="2339" spans="1:13" hidden="1" x14ac:dyDescent="0.3">
      <c r="A2339" s="8">
        <v>46182</v>
      </c>
      <c r="B2339" s="16" t="s">
        <v>4663</v>
      </c>
      <c r="C2339" s="6" t="s">
        <v>1057</v>
      </c>
      <c r="D2339" s="6" t="s">
        <v>877</v>
      </c>
      <c r="E2339" s="14">
        <v>46181.560416666667</v>
      </c>
      <c r="F2339" s="8">
        <f>IF(HOUR(Table1[[#This Row],[CORREO]])&gt;=11,WORKDAY(Table1[[#This Row],[CORREO]],1,Table2[Dias no laborales]),E2339)</f>
        <v>46182</v>
      </c>
      <c r="G2339" s="8">
        <v>46182</v>
      </c>
      <c r="H2339" s="6">
        <f t="shared" si="125"/>
        <v>23</v>
      </c>
      <c r="I2339" s="6">
        <f>MAX(1, NETWORKDAYS(A2339, G2339,Table2[Dias no laborales]))</f>
        <v>1</v>
      </c>
      <c r="J2339" s="6" t="str">
        <f>IF(Table1[[#This Row],[FIN]]="","Acumulado",IF(ISNUMBER(SEARCH("ASAP",C2339)),"ASAP",IF(NETWORKDAYS.INTL(F2339,G2339,1,Table2[Dias no laborales]) &lt;= 7, "Dentro", IF(A2339&gt;F2339,"Programado","Fuera"))))</f>
        <v>Dentro</v>
      </c>
      <c r="K2339" s="6" t="str">
        <f t="shared" si="126"/>
        <v>A tiempo</v>
      </c>
      <c r="L2339" s="8">
        <v>46182</v>
      </c>
      <c r="M2339" s="17">
        <f>MAX(1,NETWORKDAYS(A2339,L2339,Table2[Dias no laborales]))</f>
        <v>1</v>
      </c>
    </row>
    <row r="2340" spans="1:13" hidden="1" x14ac:dyDescent="0.3">
      <c r="A2340" s="8">
        <v>46182</v>
      </c>
      <c r="B2340" s="16" t="s">
        <v>4664</v>
      </c>
      <c r="C2340" s="6" t="s">
        <v>4693</v>
      </c>
      <c r="D2340" s="6" t="s">
        <v>593</v>
      </c>
      <c r="E2340" s="14">
        <v>46181.620833333334</v>
      </c>
      <c r="F2340" s="8">
        <f>IF(HOUR(Table1[[#This Row],[CORREO]])&gt;=11,WORKDAY(Table1[[#This Row],[CORREO]],1,Table2[Dias no laborales]),E2340)</f>
        <v>46182</v>
      </c>
      <c r="G2340" s="8">
        <v>46182</v>
      </c>
      <c r="H2340" s="6">
        <f t="shared" si="125"/>
        <v>23</v>
      </c>
      <c r="I2340" s="6">
        <f>MAX(1, NETWORKDAYS(A2340, G2340,Table2[Dias no laborales]))</f>
        <v>1</v>
      </c>
      <c r="J2340" s="6" t="str">
        <f>IF(Table1[[#This Row],[FIN]]="","Acumulado",IF(ISNUMBER(SEARCH("ASAP",C2340)),"ASAP",IF(NETWORKDAYS.INTL(F2340,G2340,1,Table2[Dias no laborales]) &lt;= 7, "Dentro", IF(A2340&gt;F2340,"Programado","Fuera"))))</f>
        <v>Dentro</v>
      </c>
      <c r="K2340" s="6" t="str">
        <f t="shared" si="126"/>
        <v>A tiempo</v>
      </c>
      <c r="L2340" s="8">
        <v>46182</v>
      </c>
      <c r="M2340" s="17">
        <f>MAX(1,NETWORKDAYS(A2340,L2340,Table2[Dias no laborales]))</f>
        <v>1</v>
      </c>
    </row>
    <row r="2341" spans="1:13" hidden="1" x14ac:dyDescent="0.3">
      <c r="A2341" s="8">
        <v>46182</v>
      </c>
      <c r="B2341" s="16" t="s">
        <v>4665</v>
      </c>
      <c r="C2341" s="6" t="s">
        <v>4694</v>
      </c>
      <c r="D2341" s="6" t="s">
        <v>133</v>
      </c>
      <c r="E2341" s="14">
        <v>46181.719444444447</v>
      </c>
      <c r="F2341" s="8">
        <f>IF(HOUR(Table1[[#This Row],[CORREO]])&gt;=11,WORKDAY(Table1[[#This Row],[CORREO]],1,Table2[Dias no laborales]),E2341)</f>
        <v>46182</v>
      </c>
      <c r="G2341" s="8">
        <v>46183</v>
      </c>
      <c r="H2341" s="6">
        <f t="shared" si="125"/>
        <v>23</v>
      </c>
      <c r="I2341" s="6">
        <f>MAX(1, NETWORKDAYS(A2341, G2341,Table2[Dias no laborales]))</f>
        <v>2</v>
      </c>
      <c r="J2341" s="6" t="str">
        <f>IF(Table1[[#This Row],[FIN]]="","Acumulado",IF(ISNUMBER(SEARCH("ASAP",C2341)),"ASAP",IF(NETWORKDAYS.INTL(F2341,G2341,1,Table2[Dias no laborales]) &lt;= 7, "Dentro", IF(A2341&gt;F2341,"Programado","Fuera"))))</f>
        <v>Dentro</v>
      </c>
      <c r="K2341" s="6" t="str">
        <f t="shared" si="126"/>
        <v>A tiempo</v>
      </c>
      <c r="L2341" s="8">
        <v>46182</v>
      </c>
      <c r="M2341" s="17">
        <f>MAX(1,NETWORKDAYS(A2341,L2341,Table2[Dias no laborales]))</f>
        <v>1</v>
      </c>
    </row>
    <row r="2342" spans="1:13" hidden="1" x14ac:dyDescent="0.3">
      <c r="A2342" s="8">
        <v>46182</v>
      </c>
      <c r="B2342" s="16" t="s">
        <v>4666</v>
      </c>
      <c r="C2342" s="6" t="s">
        <v>4695</v>
      </c>
      <c r="D2342" s="6" t="s">
        <v>27</v>
      </c>
      <c r="E2342" s="14">
        <v>46181.709027777775</v>
      </c>
      <c r="F2342" s="8">
        <f>IF(HOUR(Table1[[#This Row],[CORREO]])&gt;=11,WORKDAY(Table1[[#This Row],[CORREO]],1,Table2[Dias no laborales]),E2342)</f>
        <v>46182</v>
      </c>
      <c r="G2342" s="8">
        <v>46190</v>
      </c>
      <c r="H2342" s="6">
        <f t="shared" si="125"/>
        <v>23</v>
      </c>
      <c r="I2342" s="6">
        <f>MAX(1, NETWORKDAYS(A2342, G2342,Table2[Dias no laborales]))</f>
        <v>7</v>
      </c>
      <c r="J2342" s="6" t="str">
        <f>IF(Table1[[#This Row],[FIN]]="","Acumulado",IF(ISNUMBER(SEARCH("ASAP",C2342)),"ASAP",IF(NETWORKDAYS.INTL(F2342,G2342,1,Table2[Dias no laborales]) &lt;= 7, "Dentro", IF(A2342&gt;F2342,"Programado","Fuera"))))</f>
        <v>Dentro</v>
      </c>
      <c r="K2342" s="6" t="str">
        <f t="shared" si="126"/>
        <v>A tiempo</v>
      </c>
      <c r="L2342" s="8">
        <v>46182</v>
      </c>
      <c r="M2342" s="17">
        <f>MAX(1,NETWORKDAYS(A2342,L2342,Table2[Dias no laborales]))</f>
        <v>1</v>
      </c>
    </row>
    <row r="2343" spans="1:13" hidden="1" x14ac:dyDescent="0.3">
      <c r="A2343" s="8">
        <v>46182</v>
      </c>
      <c r="B2343" s="16" t="s">
        <v>4667</v>
      </c>
      <c r="C2343" s="6" t="s">
        <v>4696</v>
      </c>
      <c r="D2343" s="6" t="s">
        <v>171</v>
      </c>
      <c r="E2343" s="14">
        <v>46181.888194444444</v>
      </c>
      <c r="F2343" s="8">
        <f>IF(HOUR(Table1[[#This Row],[CORREO]])&gt;=11,WORKDAY(Table1[[#This Row],[CORREO]],1,Table2[Dias no laborales]),E2343)</f>
        <v>46182</v>
      </c>
      <c r="G2343" s="8">
        <v>46183</v>
      </c>
      <c r="H2343" s="6">
        <f t="shared" si="125"/>
        <v>23</v>
      </c>
      <c r="I2343" s="6">
        <f>MAX(1, NETWORKDAYS(A2343, G2343,Table2[Dias no laborales]))</f>
        <v>2</v>
      </c>
      <c r="J2343" s="6" t="str">
        <f>IF(Table1[[#This Row],[FIN]]="","Acumulado",IF(ISNUMBER(SEARCH("ASAP",C2343)),"ASAP",IF(NETWORKDAYS.INTL(F2343,G2343,1,Table2[Dias no laborales]) &lt;= 7, "Dentro", IF(A2343&gt;F2343,"Programado","Fuera"))))</f>
        <v>Dentro</v>
      </c>
      <c r="K2343" s="6" t="str">
        <f t="shared" si="126"/>
        <v>A tiempo</v>
      </c>
      <c r="L2343" s="8">
        <v>46182</v>
      </c>
      <c r="M2343" s="17">
        <f>MAX(1,NETWORKDAYS(A2343,L2343,Table2[Dias no laborales]))</f>
        <v>1</v>
      </c>
    </row>
    <row r="2344" spans="1:13" hidden="1" x14ac:dyDescent="0.3">
      <c r="A2344" s="8">
        <v>46182</v>
      </c>
      <c r="B2344" s="16" t="s">
        <v>4668</v>
      </c>
      <c r="C2344" s="6" t="s">
        <v>4697</v>
      </c>
      <c r="D2344" s="6" t="s">
        <v>24</v>
      </c>
      <c r="E2344" s="14">
        <v>46182.331944444442</v>
      </c>
      <c r="F2344" s="8">
        <f>IF(HOUR(Table1[[#This Row],[CORREO]])&gt;=11,WORKDAY(Table1[[#This Row],[CORREO]],1,Table2[Dias no laborales]),E2344)</f>
        <v>46182.331944444442</v>
      </c>
      <c r="G2344" s="8">
        <v>46182</v>
      </c>
      <c r="H2344" s="6">
        <f t="shared" si="125"/>
        <v>23</v>
      </c>
      <c r="I2344" s="6">
        <f>MAX(1, NETWORKDAYS(A2344, G2344,Table2[Dias no laborales]))</f>
        <v>1</v>
      </c>
      <c r="J2344" s="6" t="str">
        <f>IF(Table1[[#This Row],[FIN]]="","Acumulado",IF(ISNUMBER(SEARCH("ASAP",C2344)),"ASAP",IF(NETWORKDAYS.INTL(F2344,G2344,1,Table2[Dias no laborales]) &lt;= 7, "Dentro", IF(A2344&gt;F2344,"Programado","Fuera"))))</f>
        <v>Dentro</v>
      </c>
      <c r="K2344" s="6" t="str">
        <f t="shared" si="126"/>
        <v>A tiempo</v>
      </c>
      <c r="L2344" s="8">
        <v>46182</v>
      </c>
      <c r="M2344" s="17">
        <f>MAX(1,NETWORKDAYS(A2344,L2344,Table2[Dias no laborales]))</f>
        <v>1</v>
      </c>
    </row>
    <row r="2345" spans="1:13" hidden="1" x14ac:dyDescent="0.3">
      <c r="A2345" s="8">
        <v>46182</v>
      </c>
      <c r="B2345" s="16" t="s">
        <v>4669</v>
      </c>
      <c r="C2345" s="6" t="s">
        <v>4698</v>
      </c>
      <c r="D2345" s="6" t="s">
        <v>1333</v>
      </c>
      <c r="E2345" s="14">
        <v>46182.582638888889</v>
      </c>
      <c r="F2345" s="8">
        <f>IF(HOUR(Table1[[#This Row],[CORREO]])&gt;=11,WORKDAY(Table1[[#This Row],[CORREO]],1,Table2[Dias no laborales]),E2345)</f>
        <v>46183</v>
      </c>
      <c r="G2345" s="8">
        <v>46183</v>
      </c>
      <c r="H2345" s="6">
        <f t="shared" si="125"/>
        <v>23</v>
      </c>
      <c r="I2345" s="6">
        <f>MAX(1, NETWORKDAYS(A2345, G2345,Table2[Dias no laborales]))</f>
        <v>2</v>
      </c>
      <c r="J2345" s="6" t="str">
        <f>IF(Table1[[#This Row],[FIN]]="","Acumulado",IF(ISNUMBER(SEARCH("ASAP",C2345)),"ASAP",IF(NETWORKDAYS.INTL(F2345,G2345,1,Table2[Dias no laborales]) &lt;= 7, "Dentro", IF(A2345&gt;F2345,"Programado","Fuera"))))</f>
        <v>Dentro</v>
      </c>
      <c r="K2345" s="6" t="str">
        <f t="shared" si="126"/>
        <v>Mismo día</v>
      </c>
      <c r="L2345" s="8">
        <v>46182</v>
      </c>
      <c r="M2345" s="17">
        <f>MAX(1,NETWORKDAYS(A2345,L2345,Table2[Dias no laborales]))</f>
        <v>1</v>
      </c>
    </row>
    <row r="2346" spans="1:13" hidden="1" x14ac:dyDescent="0.3">
      <c r="A2346" s="8">
        <v>46182</v>
      </c>
      <c r="B2346" s="16" t="s">
        <v>4670</v>
      </c>
      <c r="C2346" s="6" t="s">
        <v>4699</v>
      </c>
      <c r="D2346" s="6" t="s">
        <v>3020</v>
      </c>
      <c r="E2346" s="14">
        <v>46182.711111111108</v>
      </c>
      <c r="F2346" s="8">
        <f>IF(HOUR(Table1[[#This Row],[CORREO]])&gt;=11,WORKDAY(Table1[[#This Row],[CORREO]],1,Table2[Dias no laborales]),E2346)</f>
        <v>46183</v>
      </c>
      <c r="G2346" s="8">
        <v>46191</v>
      </c>
      <c r="H2346" s="6">
        <f t="shared" si="125"/>
        <v>23</v>
      </c>
      <c r="I2346" s="6">
        <f>MAX(1, NETWORKDAYS(A2346, G2346,Table2[Dias no laborales]))</f>
        <v>8</v>
      </c>
      <c r="J2346" s="6" t="str">
        <f>IF(Table1[[#This Row],[FIN]]="","Acumulado",IF(ISNUMBER(SEARCH("ASAP",C2346)),"ASAP",IF(NETWORKDAYS.INTL(F2346,G2346,1,Table2[Dias no laborales]) &lt;= 7, "Dentro", IF(A2346&gt;F2346,"Programado","Fuera"))))</f>
        <v>Dentro</v>
      </c>
      <c r="K2346" s="6" t="str">
        <f t="shared" si="126"/>
        <v>Mismo día</v>
      </c>
      <c r="L2346" s="8">
        <v>46182</v>
      </c>
      <c r="M2346" s="17">
        <f>MAX(1,NETWORKDAYS(A2346,L2346,Table2[Dias no laborales]))</f>
        <v>1</v>
      </c>
    </row>
    <row r="2347" spans="1:13" hidden="1" x14ac:dyDescent="0.3">
      <c r="A2347" s="8">
        <v>46182</v>
      </c>
      <c r="B2347" s="16" t="s">
        <v>4671</v>
      </c>
      <c r="C2347" s="6" t="s">
        <v>4700</v>
      </c>
      <c r="D2347" s="6" t="s">
        <v>4701</v>
      </c>
      <c r="E2347" s="14">
        <v>46182.654861111114</v>
      </c>
      <c r="F2347" s="8">
        <f>IF(HOUR(Table1[[#This Row],[CORREO]])&gt;=11,WORKDAY(Table1[[#This Row],[CORREO]],1,Table2[Dias no laborales]),E2347)</f>
        <v>46183</v>
      </c>
      <c r="G2347" s="8">
        <v>46188</v>
      </c>
      <c r="H2347" s="6">
        <f t="shared" si="125"/>
        <v>23</v>
      </c>
      <c r="I2347" s="6">
        <f>MAX(1, NETWORKDAYS(A2347, G2347,Table2[Dias no laborales]))</f>
        <v>5</v>
      </c>
      <c r="J2347" s="6" t="str">
        <f>IF(Table1[[#This Row],[FIN]]="","Acumulado",IF(ISNUMBER(SEARCH("ASAP",C2347)),"ASAP",IF(NETWORKDAYS.INTL(F2347,G2347,1,Table2[Dias no laborales]) &lt;= 7, "Dentro", IF(A2347&gt;F2347,"Programado","Fuera"))))</f>
        <v>Dentro</v>
      </c>
      <c r="K2347" s="6" t="str">
        <f t="shared" si="126"/>
        <v>Mismo día</v>
      </c>
      <c r="L2347" s="8">
        <v>46182</v>
      </c>
      <c r="M2347" s="17">
        <f>MAX(1,NETWORKDAYS(A2347,L2347,Table2[Dias no laborales]))</f>
        <v>1</v>
      </c>
    </row>
    <row r="2348" spans="1:13" hidden="1" x14ac:dyDescent="0.3">
      <c r="A2348" s="8">
        <v>46183</v>
      </c>
      <c r="B2348" s="16" t="s">
        <v>4672</v>
      </c>
      <c r="C2348" s="6" t="s">
        <v>4700</v>
      </c>
      <c r="D2348" s="6" t="s">
        <v>4702</v>
      </c>
      <c r="E2348" s="14">
        <v>46182.654861111114</v>
      </c>
      <c r="F2348" s="8">
        <f>IF(HOUR(Table1[[#This Row],[CORREO]])&gt;=11,WORKDAY(Table1[[#This Row],[CORREO]],1,Table2[Dias no laborales]),E2348)</f>
        <v>46183</v>
      </c>
      <c r="G2348" s="8">
        <v>46204</v>
      </c>
      <c r="H2348" s="6">
        <f t="shared" si="125"/>
        <v>23</v>
      </c>
      <c r="I2348" s="6">
        <f>MAX(1, NETWORKDAYS(A2348, G2348,Table2[Dias no laborales]))</f>
        <v>16</v>
      </c>
      <c r="J2348" s="6" t="str">
        <f>IF(Table1[[#This Row],[FIN]]="","Acumulado",IF(ISNUMBER(SEARCH("ASAP",C2348)),"ASAP",IF(NETWORKDAYS.INTL(F2348,G2348,1,Table2[Dias no laborales]) &lt;= 7, "Dentro", IF(A2348&gt;F2348,"Programado","Fuera"))))</f>
        <v>Fuera</v>
      </c>
      <c r="K2348" s="6" t="str">
        <f t="shared" si="126"/>
        <v>A tiempo</v>
      </c>
      <c r="L2348" s="8">
        <v>46183</v>
      </c>
      <c r="M2348" s="17">
        <f>MAX(1,NETWORKDAYS(A2348,L2348,Table2[Dias no laborales]))</f>
        <v>1</v>
      </c>
    </row>
    <row r="2349" spans="1:13" hidden="1" x14ac:dyDescent="0.3">
      <c r="A2349" s="8">
        <v>46183</v>
      </c>
      <c r="B2349" s="16" t="s">
        <v>4673</v>
      </c>
      <c r="C2349" s="6" t="s">
        <v>4700</v>
      </c>
      <c r="D2349" s="6" t="s">
        <v>4703</v>
      </c>
      <c r="E2349" s="14">
        <v>46182.654861111114</v>
      </c>
      <c r="F2349" s="8">
        <f>IF(HOUR(Table1[[#This Row],[CORREO]])&gt;=11,WORKDAY(Table1[[#This Row],[CORREO]],1,Table2[Dias no laborales]),E2349)</f>
        <v>46183</v>
      </c>
      <c r="G2349" s="8">
        <v>46204</v>
      </c>
      <c r="H2349" s="6">
        <f t="shared" si="125"/>
        <v>23</v>
      </c>
      <c r="I2349" s="6">
        <f>MAX(1, NETWORKDAYS(A2349, G2349,Table2[Dias no laborales]))</f>
        <v>16</v>
      </c>
      <c r="J2349" s="6" t="str">
        <f>IF(Table1[[#This Row],[FIN]]="","Acumulado",IF(ISNUMBER(SEARCH("ASAP",C2349)),"ASAP",IF(NETWORKDAYS.INTL(F2349,G2349,1,Table2[Dias no laborales]) &lt;= 7, "Dentro", IF(A2349&gt;F2349,"Programado","Fuera"))))</f>
        <v>Fuera</v>
      </c>
      <c r="K2349" s="6" t="str">
        <f t="shared" si="126"/>
        <v>A tiempo</v>
      </c>
      <c r="L2349" s="8">
        <v>46183</v>
      </c>
      <c r="M2349" s="17">
        <f>MAX(1,NETWORKDAYS(A2349,L2349,Table2[Dias no laborales]))</f>
        <v>1</v>
      </c>
    </row>
    <row r="2350" spans="1:13" hidden="1" x14ac:dyDescent="0.3">
      <c r="A2350" s="8">
        <v>46183</v>
      </c>
      <c r="B2350" s="16" t="s">
        <v>4704</v>
      </c>
      <c r="C2350" s="6" t="s">
        <v>4742</v>
      </c>
      <c r="D2350" s="6" t="s">
        <v>139</v>
      </c>
      <c r="E2350" s="14">
        <v>46182.740972222222</v>
      </c>
      <c r="F2350" s="8">
        <f>IF(HOUR(Table1[[#This Row],[CORREO]])&gt;=11,WORKDAY(Table1[[#This Row],[CORREO]],1,Table2[Dias no laborales]),E2350)</f>
        <v>46183</v>
      </c>
      <c r="G2350" s="8">
        <v>46188</v>
      </c>
      <c r="H2350" s="6">
        <f t="shared" ref="H2350:H2387" si="127">INT((A2350-DATE(YEAR(A2350),1,1))/7) + 1</f>
        <v>23</v>
      </c>
      <c r="I2350" s="6">
        <f>MAX(1, NETWORKDAYS(A2350, G2350,Table2[Dias no laborales]))</f>
        <v>4</v>
      </c>
      <c r="J2350" s="6" t="str">
        <f>IF(Table1[[#This Row],[FIN]]="","Acumulado",IF(ISNUMBER(SEARCH("ASAP",C2350)),"ASAP",IF(NETWORKDAYS.INTL(F2350,G2350,1,Table2[Dias no laborales]) &lt;= 7, "Dentro", IF(A2350&gt;F2350,"Programado","Fuera"))))</f>
        <v>Dentro</v>
      </c>
      <c r="K2350" s="6" t="str">
        <f t="shared" ref="K2350:K2387" si="128">IF(INT(A2350)=INT(F2350),"A tiempo", IF(A2350&lt;F2350,"Mismo día","Programados"))</f>
        <v>A tiempo</v>
      </c>
      <c r="L2350" s="8">
        <v>46183</v>
      </c>
      <c r="M2350" s="17">
        <f>MAX(1,NETWORKDAYS(A2350,L2350,Table2[Dias no laborales]))</f>
        <v>1</v>
      </c>
    </row>
    <row r="2351" spans="1:13" hidden="1" x14ac:dyDescent="0.3">
      <c r="A2351" s="8">
        <v>46183</v>
      </c>
      <c r="B2351" s="16" t="s">
        <v>4705</v>
      </c>
      <c r="C2351" s="6" t="s">
        <v>4743</v>
      </c>
      <c r="D2351" s="6" t="s">
        <v>1675</v>
      </c>
      <c r="E2351" s="14">
        <v>46183.354166666664</v>
      </c>
      <c r="F2351" s="8">
        <f>IF(HOUR(Table1[[#This Row],[CORREO]])&gt;=11,WORKDAY(Table1[[#This Row],[CORREO]],1,Table2[Dias no laborales]),E2351)</f>
        <v>46183.354166666664</v>
      </c>
      <c r="G2351" s="8">
        <v>46183</v>
      </c>
      <c r="H2351" s="6">
        <f t="shared" si="127"/>
        <v>23</v>
      </c>
      <c r="I2351" s="6">
        <f>MAX(1, NETWORKDAYS(A2351, G2351,Table2[Dias no laborales]))</f>
        <v>1</v>
      </c>
      <c r="J2351" s="6" t="str">
        <f>IF(Table1[[#This Row],[FIN]]="","Acumulado",IF(ISNUMBER(SEARCH("ASAP",C2351)),"ASAP",IF(NETWORKDAYS.INTL(F2351,G2351,1,Table2[Dias no laborales]) &lt;= 7, "Dentro", IF(A2351&gt;F2351,"Programado","Fuera"))))</f>
        <v>Dentro</v>
      </c>
      <c r="K2351" s="6" t="str">
        <f t="shared" si="128"/>
        <v>A tiempo</v>
      </c>
      <c r="L2351" s="8">
        <v>46183</v>
      </c>
      <c r="M2351" s="17">
        <f>MAX(1,NETWORKDAYS(A2351,L2351,Table2[Dias no laborales]))</f>
        <v>1</v>
      </c>
    </row>
    <row r="2352" spans="1:13" hidden="1" x14ac:dyDescent="0.3">
      <c r="A2352" s="8">
        <v>46183</v>
      </c>
      <c r="B2352" s="16" t="s">
        <v>4706</v>
      </c>
      <c r="C2352" s="6" t="s">
        <v>4744</v>
      </c>
      <c r="D2352" s="6" t="s">
        <v>3041</v>
      </c>
      <c r="E2352" s="14">
        <v>46183.434027777781</v>
      </c>
      <c r="F2352" s="8">
        <f>IF(HOUR(Table1[[#This Row],[CORREO]])&gt;=11,WORKDAY(Table1[[#This Row],[CORREO]],1,Table2[Dias no laborales]),E2352)</f>
        <v>46183.434027777781</v>
      </c>
      <c r="G2352" s="8">
        <v>46190</v>
      </c>
      <c r="H2352" s="6">
        <f t="shared" si="127"/>
        <v>23</v>
      </c>
      <c r="I2352" s="6">
        <f>MAX(1, NETWORKDAYS(A2352, G2352,Table2[Dias no laborales]))</f>
        <v>6</v>
      </c>
      <c r="J2352" s="6" t="str">
        <f>IF(Table1[[#This Row],[FIN]]="","Acumulado",IF(ISNUMBER(SEARCH("ASAP",C2352)),"ASAP",IF(NETWORKDAYS.INTL(F2352,G2352,1,Table2[Dias no laborales]) &lt;= 7, "Dentro", IF(A2352&gt;F2352,"Programado","Fuera"))))</f>
        <v>Dentro</v>
      </c>
      <c r="K2352" s="6" t="str">
        <f t="shared" si="128"/>
        <v>A tiempo</v>
      </c>
      <c r="L2352" s="8">
        <v>46184</v>
      </c>
      <c r="M2352" s="17">
        <f>MAX(1,NETWORKDAYS(A2352,L2352,Table2[Dias no laborales]))</f>
        <v>2</v>
      </c>
    </row>
    <row r="2353" spans="1:13" hidden="1" x14ac:dyDescent="0.3">
      <c r="A2353" s="8">
        <v>46183</v>
      </c>
      <c r="B2353" s="16" t="s">
        <v>4707</v>
      </c>
      <c r="C2353" s="6" t="s">
        <v>4745</v>
      </c>
      <c r="D2353" s="6" t="s">
        <v>3020</v>
      </c>
      <c r="E2353" s="14">
        <v>46183.55</v>
      </c>
      <c r="F2353" s="8">
        <f>IF(HOUR(Table1[[#This Row],[CORREO]])&gt;=11,WORKDAY(Table1[[#This Row],[CORREO]],1,Table2[Dias no laborales]),E2353)</f>
        <v>46184</v>
      </c>
      <c r="G2353" s="8">
        <v>46191</v>
      </c>
      <c r="H2353" s="6">
        <f t="shared" si="127"/>
        <v>23</v>
      </c>
      <c r="I2353" s="6">
        <f>MAX(1, NETWORKDAYS(A2353, G2353,Table2[Dias no laborales]))</f>
        <v>7</v>
      </c>
      <c r="J2353" s="6" t="str">
        <f>IF(Table1[[#This Row],[FIN]]="","Acumulado",IF(ISNUMBER(SEARCH("ASAP",C2353)),"ASAP",IF(NETWORKDAYS.INTL(F2353,G2353,1,Table2[Dias no laborales]) &lt;= 7, "Dentro", IF(A2353&gt;F2353,"Programado","Fuera"))))</f>
        <v>Dentro</v>
      </c>
      <c r="K2353" s="6" t="str">
        <f t="shared" si="128"/>
        <v>Mismo día</v>
      </c>
      <c r="L2353" s="8">
        <v>46183</v>
      </c>
      <c r="M2353" s="17">
        <f>MAX(1,NETWORKDAYS(A2353,L2353,Table2[Dias no laborales]))</f>
        <v>1</v>
      </c>
    </row>
    <row r="2354" spans="1:13" hidden="1" x14ac:dyDescent="0.3">
      <c r="A2354" s="8">
        <v>46184</v>
      </c>
      <c r="B2354" s="16" t="s">
        <v>4708</v>
      </c>
      <c r="C2354" s="6" t="s">
        <v>3454</v>
      </c>
      <c r="D2354" s="6" t="s">
        <v>230</v>
      </c>
      <c r="E2354" s="14">
        <v>46183.543749999997</v>
      </c>
      <c r="F2354" s="8">
        <f>IF(HOUR(Table1[[#This Row],[CORREO]])&gt;=11,WORKDAY(Table1[[#This Row],[CORREO]],1,Table2[Dias no laborales]),E2354)</f>
        <v>46184</v>
      </c>
      <c r="G2354" s="8">
        <v>46184</v>
      </c>
      <c r="H2354" s="6">
        <f t="shared" si="127"/>
        <v>24</v>
      </c>
      <c r="I2354" s="6">
        <f>MAX(1, NETWORKDAYS(A2354, G2354,Table2[Dias no laborales]))</f>
        <v>1</v>
      </c>
      <c r="J2354" s="6" t="str">
        <f>IF(Table1[[#This Row],[FIN]]="","Acumulado",IF(ISNUMBER(SEARCH("ASAP",C2354)),"ASAP",IF(NETWORKDAYS.INTL(F2354,G2354,1,Table2[Dias no laborales]) &lt;= 7, "Dentro", IF(A2354&gt;F2354,"Programado","Fuera"))))</f>
        <v>Dentro</v>
      </c>
      <c r="K2354" s="6" t="str">
        <f t="shared" si="128"/>
        <v>A tiempo</v>
      </c>
      <c r="L2354" s="8">
        <v>46184</v>
      </c>
      <c r="M2354" s="17">
        <f>MAX(1,NETWORKDAYS(A2354,L2354,Table2[Dias no laborales]))</f>
        <v>1</v>
      </c>
    </row>
    <row r="2355" spans="1:13" hidden="1" x14ac:dyDescent="0.3">
      <c r="A2355" s="8">
        <v>46184</v>
      </c>
      <c r="B2355" s="16" t="s">
        <v>4709</v>
      </c>
      <c r="C2355" s="6" t="s">
        <v>4746</v>
      </c>
      <c r="D2355" s="6" t="s">
        <v>199</v>
      </c>
      <c r="E2355" s="14">
        <v>46183.675000000003</v>
      </c>
      <c r="F2355" s="8">
        <f>IF(HOUR(Table1[[#This Row],[CORREO]])&gt;=11,WORKDAY(Table1[[#This Row],[CORREO]],1,Table2[Dias no laborales]),E2355)</f>
        <v>46184</v>
      </c>
      <c r="G2355" s="8">
        <v>46184</v>
      </c>
      <c r="H2355" s="6">
        <f t="shared" si="127"/>
        <v>24</v>
      </c>
      <c r="I2355" s="6">
        <f>MAX(1, NETWORKDAYS(A2355, G2355,Table2[Dias no laborales]))</f>
        <v>1</v>
      </c>
      <c r="J2355" s="6" t="str">
        <f>IF(Table1[[#This Row],[FIN]]="","Acumulado",IF(ISNUMBER(SEARCH("ASAP",C2355)),"ASAP",IF(NETWORKDAYS.INTL(F2355,G2355,1,Table2[Dias no laborales]) &lt;= 7, "Dentro", IF(A2355&gt;F2355,"Programado","Fuera"))))</f>
        <v>Dentro</v>
      </c>
      <c r="K2355" s="6" t="str">
        <f t="shared" si="128"/>
        <v>A tiempo</v>
      </c>
      <c r="L2355" s="8">
        <v>46184</v>
      </c>
      <c r="M2355" s="17">
        <f>MAX(1,NETWORKDAYS(A2355,L2355,Table2[Dias no laborales]))</f>
        <v>1</v>
      </c>
    </row>
    <row r="2356" spans="1:13" hidden="1" x14ac:dyDescent="0.3">
      <c r="A2356" s="8">
        <v>46184</v>
      </c>
      <c r="B2356" s="16" t="s">
        <v>4710</v>
      </c>
      <c r="C2356" s="6" t="s">
        <v>4747</v>
      </c>
      <c r="D2356" s="6" t="s">
        <v>194</v>
      </c>
      <c r="E2356" s="14">
        <v>46184.425694444442</v>
      </c>
      <c r="F2356" s="8">
        <f>IF(HOUR(Table1[[#This Row],[CORREO]])&gt;=11,WORKDAY(Table1[[#This Row],[CORREO]],1,Table2[Dias no laborales]),E2356)</f>
        <v>46184.425694444442</v>
      </c>
      <c r="G2356" s="8">
        <v>46184</v>
      </c>
      <c r="H2356" s="6">
        <f t="shared" si="127"/>
        <v>24</v>
      </c>
      <c r="I2356" s="6">
        <f>MAX(1, NETWORKDAYS(A2356, G2356,Table2[Dias no laborales]))</f>
        <v>1</v>
      </c>
      <c r="J2356" s="6" t="str">
        <f>IF(Table1[[#This Row],[FIN]]="","Acumulado",IF(ISNUMBER(SEARCH("ASAP",C2356)),"ASAP",IF(NETWORKDAYS.INTL(F2356,G2356,1,Table2[Dias no laborales]) &lt;= 7, "Dentro", IF(A2356&gt;F2356,"Programado","Fuera"))))</f>
        <v>Dentro</v>
      </c>
      <c r="K2356" s="6" t="str">
        <f t="shared" si="128"/>
        <v>A tiempo</v>
      </c>
      <c r="L2356" s="8">
        <v>46184</v>
      </c>
      <c r="M2356" s="17">
        <f>MAX(1,NETWORKDAYS(A2356,L2356,Table2[Dias no laborales]))</f>
        <v>1</v>
      </c>
    </row>
    <row r="2357" spans="1:13" hidden="1" x14ac:dyDescent="0.3">
      <c r="A2357" s="8">
        <v>46184</v>
      </c>
      <c r="B2357" s="16" t="s">
        <v>4711</v>
      </c>
      <c r="C2357" s="6" t="s">
        <v>4748</v>
      </c>
      <c r="D2357" s="6" t="s">
        <v>24</v>
      </c>
      <c r="E2357" s="14"/>
      <c r="F2357" s="8">
        <f>IF(HOUR(Table1[[#This Row],[CORREO]])&gt;=11,WORKDAY(Table1[[#This Row],[CORREO]],1,Table2[Dias no laborales]),E2357)</f>
        <v>0</v>
      </c>
      <c r="G2357" s="8">
        <v>46185</v>
      </c>
      <c r="H2357" s="6">
        <f t="shared" si="127"/>
        <v>24</v>
      </c>
      <c r="I2357" s="6">
        <f>MAX(1, NETWORKDAYS(A2357, G2357,Table2[Dias no laborales]))</f>
        <v>2</v>
      </c>
      <c r="J2357" s="6" t="str">
        <f>IF(Table1[[#This Row],[FIN]]="","Acumulado",IF(ISNUMBER(SEARCH("ASAP",C2357)),"ASAP",IF(NETWORKDAYS.INTL(F2357,G2357,1,Table2[Dias no laborales]) &lt;= 7, "Dentro", IF(A2357&gt;F2357,"Programado","Fuera"))))</f>
        <v>Programado</v>
      </c>
      <c r="K2357" s="6" t="str">
        <f t="shared" si="128"/>
        <v>Programados</v>
      </c>
      <c r="L2357" s="8">
        <v>46184</v>
      </c>
      <c r="M2357" s="17">
        <f>MAX(1,NETWORKDAYS(A2357,L2357,Table2[Dias no laborales]))</f>
        <v>1</v>
      </c>
    </row>
    <row r="2358" spans="1:13" hidden="1" x14ac:dyDescent="0.3">
      <c r="A2358" s="8">
        <v>46184</v>
      </c>
      <c r="B2358" s="16" t="s">
        <v>4712</v>
      </c>
      <c r="C2358" s="6" t="s">
        <v>4749</v>
      </c>
      <c r="D2358" s="6" t="s">
        <v>24</v>
      </c>
      <c r="E2358" s="14">
        <v>46184.692361111112</v>
      </c>
      <c r="F2358" s="8">
        <f>IF(HOUR(Table1[[#This Row],[CORREO]])&gt;=11,WORKDAY(Table1[[#This Row],[CORREO]],1,Table2[Dias no laborales]),E2358)</f>
        <v>46185</v>
      </c>
      <c r="G2358" s="8">
        <v>46188</v>
      </c>
      <c r="H2358" s="6">
        <f t="shared" si="127"/>
        <v>24</v>
      </c>
      <c r="I2358" s="6">
        <f>MAX(1, NETWORKDAYS(A2358, G2358,Table2[Dias no laborales]))</f>
        <v>3</v>
      </c>
      <c r="J2358" s="6" t="str">
        <f>IF(Table1[[#This Row],[FIN]]="","Acumulado",IF(ISNUMBER(SEARCH("ASAP",C2358)),"ASAP",IF(NETWORKDAYS.INTL(F2358,G2358,1,Table2[Dias no laborales]) &lt;= 7, "Dentro", IF(A2358&gt;F2358,"Programado","Fuera"))))</f>
        <v>Dentro</v>
      </c>
      <c r="K2358" s="6" t="str">
        <f t="shared" si="128"/>
        <v>Mismo día</v>
      </c>
      <c r="L2358" s="8">
        <v>46184</v>
      </c>
      <c r="M2358" s="17">
        <f>MAX(1,NETWORKDAYS(A2358,L2358,Table2[Dias no laborales]))</f>
        <v>1</v>
      </c>
    </row>
    <row r="2359" spans="1:13" hidden="1" x14ac:dyDescent="0.3">
      <c r="A2359" s="8">
        <v>46184</v>
      </c>
      <c r="B2359" s="16" t="s">
        <v>4713</v>
      </c>
      <c r="C2359" s="6" t="s">
        <v>4750</v>
      </c>
      <c r="D2359" s="6" t="s">
        <v>27</v>
      </c>
      <c r="E2359" s="14">
        <v>46184.741666666669</v>
      </c>
      <c r="F2359" s="8">
        <f>IF(HOUR(Table1[[#This Row],[CORREO]])&gt;=11,WORKDAY(Table1[[#This Row],[CORREO]],1,Table2[Dias no laborales]),E2359)</f>
        <v>46185</v>
      </c>
      <c r="G2359" s="8">
        <v>46188</v>
      </c>
      <c r="H2359" s="6">
        <f t="shared" si="127"/>
        <v>24</v>
      </c>
      <c r="I2359" s="6">
        <f>MAX(1, NETWORKDAYS(A2359, G2359,Table2[Dias no laborales]))</f>
        <v>3</v>
      </c>
      <c r="J2359" s="6" t="str">
        <f>IF(Table1[[#This Row],[FIN]]="","Acumulado",IF(ISNUMBER(SEARCH("ASAP",C2359)),"ASAP",IF(NETWORKDAYS.INTL(F2359,G2359,1,Table2[Dias no laborales]) &lt;= 7, "Dentro", IF(A2359&gt;F2359,"Programado","Fuera"))))</f>
        <v>Dentro</v>
      </c>
      <c r="K2359" s="6" t="str">
        <f t="shared" si="128"/>
        <v>Mismo día</v>
      </c>
      <c r="L2359" s="8">
        <v>46184</v>
      </c>
      <c r="M2359" s="17">
        <f>MAX(1,NETWORKDAYS(A2359,L2359,Table2[Dias no laborales]))</f>
        <v>1</v>
      </c>
    </row>
    <row r="2360" spans="1:13" hidden="1" x14ac:dyDescent="0.3">
      <c r="A2360" s="8">
        <v>46185</v>
      </c>
      <c r="B2360" s="16" t="s">
        <v>4714</v>
      </c>
      <c r="C2360" s="6" t="s">
        <v>4003</v>
      </c>
      <c r="D2360" s="6" t="s">
        <v>623</v>
      </c>
      <c r="E2360" s="14">
        <v>46184.532638888886</v>
      </c>
      <c r="F2360" s="8">
        <f>IF(HOUR(Table1[[#This Row],[CORREO]])&gt;=11,WORKDAY(Table1[[#This Row],[CORREO]],1,Table2[Dias no laborales]),E2360)</f>
        <v>46185</v>
      </c>
      <c r="G2360" s="8">
        <v>46188</v>
      </c>
      <c r="H2360" s="6">
        <f t="shared" si="127"/>
        <v>24</v>
      </c>
      <c r="I2360" s="6">
        <f>MAX(1, NETWORKDAYS(A2360, G2360,Table2[Dias no laborales]))</f>
        <v>2</v>
      </c>
      <c r="J2360" s="6" t="str">
        <f>IF(Table1[[#This Row],[FIN]]="","Acumulado",IF(ISNUMBER(SEARCH("ASAP",C2360)),"ASAP",IF(NETWORKDAYS.INTL(F2360,G2360,1,Table2[Dias no laborales]) &lt;= 7, "Dentro", IF(A2360&gt;F2360,"Programado","Fuera"))))</f>
        <v>Dentro</v>
      </c>
      <c r="K2360" s="6" t="str">
        <f t="shared" si="128"/>
        <v>A tiempo</v>
      </c>
      <c r="L2360" s="8">
        <v>46185</v>
      </c>
      <c r="M2360" s="17">
        <f>MAX(1,NETWORKDAYS(A2360,L2360,Table2[Dias no laborales]))</f>
        <v>1</v>
      </c>
    </row>
    <row r="2361" spans="1:13" hidden="1" x14ac:dyDescent="0.3">
      <c r="A2361" s="8">
        <v>46185</v>
      </c>
      <c r="B2361" s="16" t="s">
        <v>4715</v>
      </c>
      <c r="C2361" s="6" t="s">
        <v>4751</v>
      </c>
      <c r="D2361" s="6" t="s">
        <v>24</v>
      </c>
      <c r="E2361" s="14">
        <v>46184.572916666664</v>
      </c>
      <c r="F2361" s="8">
        <f>IF(HOUR(Table1[[#This Row],[CORREO]])&gt;=11,WORKDAY(Table1[[#This Row],[CORREO]],1,Table2[Dias no laborales]),E2361)</f>
        <v>46185</v>
      </c>
      <c r="G2361" s="8">
        <v>46199</v>
      </c>
      <c r="H2361" s="6">
        <f t="shared" si="127"/>
        <v>24</v>
      </c>
      <c r="I2361" s="6">
        <f>MAX(1, NETWORKDAYS(A2361, G2361,Table2[Dias no laborales]))</f>
        <v>11</v>
      </c>
      <c r="J2361" s="6" t="str">
        <f>IF(Table1[[#This Row],[FIN]]="","Acumulado",IF(ISNUMBER(SEARCH("ASAP",C2361)),"ASAP",IF(NETWORKDAYS.INTL(F2361,G2361,1,Table2[Dias no laborales]) &lt;= 7, "Dentro", IF(A2361&gt;F2361,"Programado","Fuera"))))</f>
        <v>Fuera</v>
      </c>
      <c r="K2361" s="6" t="str">
        <f t="shared" si="128"/>
        <v>A tiempo</v>
      </c>
      <c r="L2361" s="8">
        <v>46185</v>
      </c>
      <c r="M2361" s="17">
        <f>MAX(1,NETWORKDAYS(A2361,L2361,Table2[Dias no laborales]))</f>
        <v>1</v>
      </c>
    </row>
    <row r="2362" spans="1:13" hidden="1" x14ac:dyDescent="0.3">
      <c r="A2362" s="8">
        <v>46185</v>
      </c>
      <c r="B2362" s="16" t="s">
        <v>4716</v>
      </c>
      <c r="C2362" s="6" t="s">
        <v>4569</v>
      </c>
      <c r="D2362" s="6" t="s">
        <v>85</v>
      </c>
      <c r="E2362" s="14">
        <v>46184.650694444441</v>
      </c>
      <c r="F2362" s="8">
        <f>IF(HOUR(Table1[[#This Row],[CORREO]])&gt;=11,WORKDAY(Table1[[#This Row],[CORREO]],1,Table2[Dias no laborales]),E2362)</f>
        <v>46185</v>
      </c>
      <c r="G2362" s="8">
        <v>46185</v>
      </c>
      <c r="H2362" s="6">
        <f t="shared" si="127"/>
        <v>24</v>
      </c>
      <c r="I2362" s="6">
        <f>MAX(1, NETWORKDAYS(A2362, G2362,Table2[Dias no laborales]))</f>
        <v>1</v>
      </c>
      <c r="J2362" s="6" t="str">
        <f>IF(Table1[[#This Row],[FIN]]="","Acumulado",IF(ISNUMBER(SEARCH("ASAP",C2362)),"ASAP",IF(NETWORKDAYS.INTL(F2362,G2362,1,Table2[Dias no laborales]) &lt;= 7, "Dentro", IF(A2362&gt;F2362,"Programado","Fuera"))))</f>
        <v>Dentro</v>
      </c>
      <c r="K2362" s="6" t="str">
        <f t="shared" si="128"/>
        <v>A tiempo</v>
      </c>
      <c r="L2362" s="8">
        <v>46185</v>
      </c>
      <c r="M2362" s="17">
        <f>MAX(1,NETWORKDAYS(A2362,L2362,Table2[Dias no laborales]))</f>
        <v>1</v>
      </c>
    </row>
    <row r="2363" spans="1:13" hidden="1" x14ac:dyDescent="0.3">
      <c r="A2363" s="8">
        <v>46185</v>
      </c>
      <c r="B2363" s="16" t="s">
        <v>4717</v>
      </c>
      <c r="C2363" s="6" t="s">
        <v>4752</v>
      </c>
      <c r="D2363" s="6" t="s">
        <v>1333</v>
      </c>
      <c r="E2363" s="14"/>
      <c r="F2363" s="8">
        <f>IF(HOUR(Table1[[#This Row],[CORREO]])&gt;=11,WORKDAY(Table1[[#This Row],[CORREO]],1,Table2[Dias no laborales]),E2363)</f>
        <v>0</v>
      </c>
      <c r="G2363" s="8">
        <v>46185</v>
      </c>
      <c r="H2363" s="6">
        <f t="shared" si="127"/>
        <v>24</v>
      </c>
      <c r="I2363" s="6">
        <f>MAX(1, NETWORKDAYS(A2363, G2363,Table2[Dias no laborales]))</f>
        <v>1</v>
      </c>
      <c r="J2363" s="6" t="str">
        <f>IF(Table1[[#This Row],[FIN]]="","Acumulado",IF(ISNUMBER(SEARCH("ASAP",C2363)),"ASAP",IF(NETWORKDAYS.INTL(F2363,G2363,1,Table2[Dias no laborales]) &lt;= 7, "Dentro", IF(A2363&gt;F2363,"Programado","Fuera"))))</f>
        <v>Programado</v>
      </c>
      <c r="K2363" s="6" t="str">
        <f t="shared" si="128"/>
        <v>Programados</v>
      </c>
      <c r="L2363" s="8">
        <v>46185</v>
      </c>
      <c r="M2363" s="17">
        <f>MAX(1,NETWORKDAYS(A2363,L2363,Table2[Dias no laborales]))</f>
        <v>1</v>
      </c>
    </row>
    <row r="2364" spans="1:13" hidden="1" x14ac:dyDescent="0.3">
      <c r="A2364" s="8">
        <v>46185</v>
      </c>
      <c r="B2364" s="16" t="s">
        <v>4718</v>
      </c>
      <c r="C2364" s="6" t="s">
        <v>4753</v>
      </c>
      <c r="D2364" s="6" t="s">
        <v>754</v>
      </c>
      <c r="E2364" s="14">
        <v>46185.337500000001</v>
      </c>
      <c r="F2364" s="8">
        <f>IF(HOUR(Table1[[#This Row],[CORREO]])&gt;=11,WORKDAY(Table1[[#This Row],[CORREO]],1,Table2[Dias no laborales]),E2364)</f>
        <v>46185.337500000001</v>
      </c>
      <c r="G2364" s="8">
        <v>46185</v>
      </c>
      <c r="H2364" s="6">
        <f t="shared" si="127"/>
        <v>24</v>
      </c>
      <c r="I2364" s="6">
        <f>MAX(1, NETWORKDAYS(A2364, G2364,Table2[Dias no laborales]))</f>
        <v>1</v>
      </c>
      <c r="J2364" s="6" t="str">
        <f>IF(Table1[[#This Row],[FIN]]="","Acumulado",IF(ISNUMBER(SEARCH("ASAP",C2364)),"ASAP",IF(NETWORKDAYS.INTL(F2364,G2364,1,Table2[Dias no laborales]) &lt;= 7, "Dentro", IF(A2364&gt;F2364,"Programado","Fuera"))))</f>
        <v>Dentro</v>
      </c>
      <c r="K2364" s="6" t="str">
        <f t="shared" si="128"/>
        <v>A tiempo</v>
      </c>
      <c r="L2364" s="8">
        <v>46185</v>
      </c>
      <c r="M2364" s="17">
        <f>MAX(1,NETWORKDAYS(A2364,L2364,Table2[Dias no laborales]))</f>
        <v>1</v>
      </c>
    </row>
    <row r="2365" spans="1:13" hidden="1" x14ac:dyDescent="0.3">
      <c r="A2365" s="8">
        <v>46185</v>
      </c>
      <c r="B2365" s="16" t="s">
        <v>4719</v>
      </c>
      <c r="C2365" s="6" t="s">
        <v>4754</v>
      </c>
      <c r="D2365" s="6" t="s">
        <v>3041</v>
      </c>
      <c r="E2365" s="14">
        <v>46185.393055555556</v>
      </c>
      <c r="F2365" s="8">
        <f>IF(HOUR(Table1[[#This Row],[CORREO]])&gt;=11,WORKDAY(Table1[[#This Row],[CORREO]],1,Table2[Dias no laborales]),E2365)</f>
        <v>46185.393055555556</v>
      </c>
      <c r="G2365" s="8">
        <v>46188</v>
      </c>
      <c r="H2365" s="6">
        <f t="shared" si="127"/>
        <v>24</v>
      </c>
      <c r="I2365" s="6">
        <f>MAX(1, NETWORKDAYS(A2365, G2365,Table2[Dias no laborales]))</f>
        <v>2</v>
      </c>
      <c r="J2365" s="6" t="str">
        <f>IF(Table1[[#This Row],[FIN]]="","Acumulado",IF(ISNUMBER(SEARCH("ASAP",C2365)),"ASAP",IF(NETWORKDAYS.INTL(F2365,G2365,1,Table2[Dias no laborales]) &lt;= 7, "Dentro", IF(A2365&gt;F2365,"Programado","Fuera"))))</f>
        <v>Dentro</v>
      </c>
      <c r="K2365" s="6" t="str">
        <f t="shared" si="128"/>
        <v>A tiempo</v>
      </c>
      <c r="L2365" s="8">
        <v>46185</v>
      </c>
      <c r="M2365" s="17">
        <f>MAX(1,NETWORKDAYS(A2365,L2365,Table2[Dias no laborales]))</f>
        <v>1</v>
      </c>
    </row>
    <row r="2366" spans="1:13" hidden="1" x14ac:dyDescent="0.3">
      <c r="A2366" s="8">
        <v>46185</v>
      </c>
      <c r="B2366" s="16" t="s">
        <v>4720</v>
      </c>
      <c r="C2366" s="6" t="s">
        <v>4755</v>
      </c>
      <c r="D2366" s="6" t="s">
        <v>1540</v>
      </c>
      <c r="E2366" s="14">
        <v>46185.417361111111</v>
      </c>
      <c r="F2366" s="8">
        <f>IF(HOUR(Table1[[#This Row],[CORREO]])&gt;=11,WORKDAY(Table1[[#This Row],[CORREO]],1,Table2[Dias no laborales]),E2366)</f>
        <v>46185.417361111111</v>
      </c>
      <c r="G2366" s="8">
        <v>46188</v>
      </c>
      <c r="H2366" s="6">
        <f t="shared" si="127"/>
        <v>24</v>
      </c>
      <c r="I2366" s="6">
        <f>MAX(1, NETWORKDAYS(A2366, G2366,Table2[Dias no laborales]))</f>
        <v>2</v>
      </c>
      <c r="J2366" s="6" t="str">
        <f>IF(Table1[[#This Row],[FIN]]="","Acumulado",IF(ISNUMBER(SEARCH("ASAP",C2366)),"ASAP",IF(NETWORKDAYS.INTL(F2366,G2366,1,Table2[Dias no laborales]) &lt;= 7, "Dentro", IF(A2366&gt;F2366,"Programado","Fuera"))))</f>
        <v>Dentro</v>
      </c>
      <c r="K2366" s="6" t="str">
        <f t="shared" si="128"/>
        <v>A tiempo</v>
      </c>
      <c r="L2366" s="8">
        <v>46185</v>
      </c>
      <c r="M2366" s="17">
        <f>MAX(1,NETWORKDAYS(A2366,L2366,Table2[Dias no laborales]))</f>
        <v>1</v>
      </c>
    </row>
    <row r="2367" spans="1:13" hidden="1" x14ac:dyDescent="0.3">
      <c r="A2367" s="8">
        <v>46185</v>
      </c>
      <c r="B2367" s="16" t="s">
        <v>4721</v>
      </c>
      <c r="C2367" s="6" t="s">
        <v>4756</v>
      </c>
      <c r="D2367" s="6" t="s">
        <v>103</v>
      </c>
      <c r="E2367" s="14">
        <v>46185.446527777778</v>
      </c>
      <c r="F2367" s="8">
        <f>IF(HOUR(Table1[[#This Row],[CORREO]])&gt;=11,WORKDAY(Table1[[#This Row],[CORREO]],1,Table2[Dias no laborales]),E2367)</f>
        <v>46185.446527777778</v>
      </c>
      <c r="G2367" s="8">
        <v>46185</v>
      </c>
      <c r="H2367" s="6">
        <f t="shared" si="127"/>
        <v>24</v>
      </c>
      <c r="I2367" s="6">
        <f>MAX(1, NETWORKDAYS(A2367, G2367,Table2[Dias no laborales]))</f>
        <v>1</v>
      </c>
      <c r="J2367" s="6" t="str">
        <f>IF(Table1[[#This Row],[FIN]]="","Acumulado",IF(ISNUMBER(SEARCH("ASAP",C2367)),"ASAP",IF(NETWORKDAYS.INTL(F2367,G2367,1,Table2[Dias no laborales]) &lt;= 7, "Dentro", IF(A2367&gt;F2367,"Programado","Fuera"))))</f>
        <v>Dentro</v>
      </c>
      <c r="K2367" s="6" t="str">
        <f t="shared" si="128"/>
        <v>A tiempo</v>
      </c>
      <c r="L2367" s="8">
        <v>46185</v>
      </c>
      <c r="M2367" s="17">
        <f>MAX(1,NETWORKDAYS(A2367,L2367,Table2[Dias no laborales]))</f>
        <v>1</v>
      </c>
    </row>
    <row r="2368" spans="1:13" hidden="1" x14ac:dyDescent="0.3">
      <c r="A2368" s="8">
        <v>46188</v>
      </c>
      <c r="B2368" s="16" t="s">
        <v>4722</v>
      </c>
      <c r="C2368" s="6" t="s">
        <v>4757</v>
      </c>
      <c r="D2368" s="6" t="s">
        <v>24</v>
      </c>
      <c r="E2368" s="14"/>
      <c r="F2368" s="8">
        <f>IF(HOUR(Table1[[#This Row],[CORREO]])&gt;=11,WORKDAY(Table1[[#This Row],[CORREO]],1,Table2[Dias no laborales]),E2368)</f>
        <v>0</v>
      </c>
      <c r="G2368" s="8">
        <v>46192</v>
      </c>
      <c r="H2368" s="6">
        <f t="shared" si="127"/>
        <v>24</v>
      </c>
      <c r="I2368" s="6">
        <f>MAX(1, NETWORKDAYS(A2368, G2368,Table2[Dias no laborales]))</f>
        <v>5</v>
      </c>
      <c r="J2368" s="6" t="str">
        <f>IF(Table1[[#This Row],[FIN]]="","Acumulado",IF(ISNUMBER(SEARCH("ASAP",C2368)),"ASAP",IF(NETWORKDAYS.INTL(F2368,G2368,1,Table2[Dias no laborales]) &lt;= 7, "Dentro", IF(A2368&gt;F2368,"Programado","Fuera"))))</f>
        <v>Programado</v>
      </c>
      <c r="K2368" s="6" t="str">
        <f t="shared" si="128"/>
        <v>Programados</v>
      </c>
      <c r="L2368" s="8">
        <v>46188</v>
      </c>
      <c r="M2368" s="17">
        <f>MAX(1,NETWORKDAYS(A2368,L2368,Table2[Dias no laborales]))</f>
        <v>1</v>
      </c>
    </row>
    <row r="2369" spans="1:13" hidden="1" x14ac:dyDescent="0.3">
      <c r="A2369" s="8">
        <v>46188</v>
      </c>
      <c r="B2369" s="16" t="s">
        <v>4723</v>
      </c>
      <c r="C2369" s="6" t="s">
        <v>4758</v>
      </c>
      <c r="D2369" s="6" t="s">
        <v>108</v>
      </c>
      <c r="E2369" s="14">
        <v>46188.404166666667</v>
      </c>
      <c r="F2369" s="8">
        <f>IF(HOUR(Table1[[#This Row],[CORREO]])&gt;=11,WORKDAY(Table1[[#This Row],[CORREO]],1,Table2[Dias no laborales]),E2369)</f>
        <v>46188.404166666667</v>
      </c>
      <c r="G2369" s="8">
        <v>46188</v>
      </c>
      <c r="H2369" s="6">
        <f t="shared" si="127"/>
        <v>24</v>
      </c>
      <c r="I2369" s="6">
        <f>MAX(1, NETWORKDAYS(A2369, G2369,Table2[Dias no laborales]))</f>
        <v>1</v>
      </c>
      <c r="J2369" s="6" t="str">
        <f>IF(Table1[[#This Row],[FIN]]="","Acumulado",IF(ISNUMBER(SEARCH("ASAP",C2369)),"ASAP",IF(NETWORKDAYS.INTL(F2369,G2369,1,Table2[Dias no laborales]) &lt;= 7, "Dentro", IF(A2369&gt;F2369,"Programado","Fuera"))))</f>
        <v>Dentro</v>
      </c>
      <c r="K2369" s="6" t="str">
        <f t="shared" si="128"/>
        <v>A tiempo</v>
      </c>
      <c r="L2369" s="8">
        <v>46188</v>
      </c>
      <c r="M2369" s="17">
        <f>MAX(1,NETWORKDAYS(A2369,L2369,Table2[Dias no laborales]))</f>
        <v>1</v>
      </c>
    </row>
    <row r="2370" spans="1:13" hidden="1" x14ac:dyDescent="0.3">
      <c r="A2370" s="8">
        <v>46188</v>
      </c>
      <c r="B2370" s="16" t="s">
        <v>4724</v>
      </c>
      <c r="C2370" s="6" t="s">
        <v>4766</v>
      </c>
      <c r="D2370" s="6" t="s">
        <v>392</v>
      </c>
      <c r="E2370" s="14">
        <v>46188.438194444447</v>
      </c>
      <c r="F2370" s="8">
        <f>IF(HOUR(Table1[[#This Row],[CORREO]])&gt;=11,WORKDAY(Table1[[#This Row],[CORREO]],1,Table2[Dias no laborales]),E2370)</f>
        <v>46188.438194444447</v>
      </c>
      <c r="G2370" s="8">
        <v>46188</v>
      </c>
      <c r="H2370" s="6">
        <f t="shared" si="127"/>
        <v>24</v>
      </c>
      <c r="I2370" s="6">
        <f>MAX(1, NETWORKDAYS(A2370, G2370,Table2[Dias no laborales]))</f>
        <v>1</v>
      </c>
      <c r="J2370" s="6" t="str">
        <f>IF(Table1[[#This Row],[FIN]]="","Acumulado",IF(ISNUMBER(SEARCH("ASAP",C2370)),"ASAP",IF(NETWORKDAYS.INTL(F2370,G2370,1,Table2[Dias no laborales]) &lt;= 7, "Dentro", IF(A2370&gt;F2370,"Programado","Fuera"))))</f>
        <v>Dentro</v>
      </c>
      <c r="K2370" s="6" t="str">
        <f t="shared" si="128"/>
        <v>A tiempo</v>
      </c>
      <c r="L2370" s="8">
        <v>46188</v>
      </c>
      <c r="M2370" s="17">
        <f>MAX(1,NETWORKDAYS(A2370,L2370,Table2[Dias no laborales]))</f>
        <v>1</v>
      </c>
    </row>
    <row r="2371" spans="1:13" hidden="1" x14ac:dyDescent="0.3">
      <c r="A2371" s="8">
        <v>46189</v>
      </c>
      <c r="B2371" s="16" t="s">
        <v>4725</v>
      </c>
      <c r="C2371" s="6" t="s">
        <v>4767</v>
      </c>
      <c r="D2371" s="6" t="s">
        <v>1644</v>
      </c>
      <c r="E2371" s="14"/>
      <c r="F2371" s="8">
        <f>IF(HOUR(Table1[[#This Row],[CORREO]])&gt;=11,WORKDAY(Table1[[#This Row],[CORREO]],1,Table2[Dias no laborales]),E2371)</f>
        <v>0</v>
      </c>
      <c r="G2371" s="8">
        <v>46199</v>
      </c>
      <c r="H2371" s="6">
        <f t="shared" si="127"/>
        <v>24</v>
      </c>
      <c r="I2371" s="6">
        <f>MAX(1, NETWORKDAYS(A2371, G2371,Table2[Dias no laborales]))</f>
        <v>9</v>
      </c>
      <c r="J2371" s="6" t="str">
        <f>IF(Table1[[#This Row],[FIN]]="","Acumulado",IF(ISNUMBER(SEARCH("ASAP",C2371)),"ASAP",IF(NETWORKDAYS.INTL(F2371,G2371,1,Table2[Dias no laborales]) &lt;= 7, "Dentro", IF(A2371&gt;F2371,"Programado","Fuera"))))</f>
        <v>Programado</v>
      </c>
      <c r="K2371" s="6" t="str">
        <f t="shared" si="128"/>
        <v>Programados</v>
      </c>
      <c r="L2371" s="8">
        <v>46189</v>
      </c>
      <c r="M2371" s="17">
        <f>MAX(1,NETWORKDAYS(A2371,L2371,Table2[Dias no laborales]))</f>
        <v>1</v>
      </c>
    </row>
    <row r="2372" spans="1:13" hidden="1" x14ac:dyDescent="0.3">
      <c r="A2372" s="8">
        <v>46189</v>
      </c>
      <c r="B2372" s="16" t="s">
        <v>4726</v>
      </c>
      <c r="C2372" s="6" t="s">
        <v>4768</v>
      </c>
      <c r="D2372" s="6" t="s">
        <v>24</v>
      </c>
      <c r="E2372" s="14"/>
      <c r="F2372" s="8">
        <f>IF(HOUR(Table1[[#This Row],[CORREO]])&gt;=11,WORKDAY(Table1[[#This Row],[CORREO]],1,Table2[Dias no laborales]),E2372)</f>
        <v>0</v>
      </c>
      <c r="G2372" s="8">
        <v>46191</v>
      </c>
      <c r="H2372" s="6">
        <f t="shared" si="127"/>
        <v>24</v>
      </c>
      <c r="I2372" s="6">
        <f>MAX(1, NETWORKDAYS(A2372, G2372,Table2[Dias no laborales]))</f>
        <v>3</v>
      </c>
      <c r="J2372" s="6" t="str">
        <f>IF(Table1[[#This Row],[FIN]]="","Acumulado",IF(ISNUMBER(SEARCH("ASAP",C2372)),"ASAP",IF(NETWORKDAYS.INTL(F2372,G2372,1,Table2[Dias no laborales]) &lt;= 7, "Dentro", IF(A2372&gt;F2372,"Programado","Fuera"))))</f>
        <v>ASAP</v>
      </c>
      <c r="K2372" s="6" t="str">
        <f t="shared" si="128"/>
        <v>Programados</v>
      </c>
      <c r="L2372" s="8">
        <v>46189</v>
      </c>
      <c r="M2372" s="17">
        <f>MAX(1,NETWORKDAYS(A2372,L2372,Table2[Dias no laborales]))</f>
        <v>1</v>
      </c>
    </row>
    <row r="2373" spans="1:13" hidden="1" x14ac:dyDescent="0.3">
      <c r="A2373" s="8">
        <v>46189</v>
      </c>
      <c r="B2373" s="16" t="s">
        <v>4727</v>
      </c>
      <c r="C2373" s="6" t="s">
        <v>4769</v>
      </c>
      <c r="D2373" s="6" t="s">
        <v>392</v>
      </c>
      <c r="E2373" s="14"/>
      <c r="F2373" s="8">
        <f>IF(HOUR(Table1[[#This Row],[CORREO]])&gt;=11,WORKDAY(Table1[[#This Row],[CORREO]],1,Table2[Dias no laborales]),E2373)</f>
        <v>0</v>
      </c>
      <c r="G2373" s="8">
        <v>46189</v>
      </c>
      <c r="H2373" s="6">
        <f t="shared" si="127"/>
        <v>24</v>
      </c>
      <c r="I2373" s="6">
        <f>MAX(1, NETWORKDAYS(A2373, G2373,Table2[Dias no laborales]))</f>
        <v>1</v>
      </c>
      <c r="J2373" s="6" t="str">
        <f>IF(Table1[[#This Row],[FIN]]="","Acumulado",IF(ISNUMBER(SEARCH("ASAP",C2373)),"ASAP",IF(NETWORKDAYS.INTL(F2373,G2373,1,Table2[Dias no laborales]) &lt;= 7, "Dentro", IF(A2373&gt;F2373,"Programado","Fuera"))))</f>
        <v>Programado</v>
      </c>
      <c r="K2373" s="6" t="str">
        <f t="shared" si="128"/>
        <v>Programados</v>
      </c>
      <c r="L2373" s="8">
        <v>46189</v>
      </c>
      <c r="M2373" s="17">
        <f>MAX(1,NETWORKDAYS(A2373,L2373,Table2[Dias no laborales]))</f>
        <v>1</v>
      </c>
    </row>
    <row r="2374" spans="1:13" hidden="1" x14ac:dyDescent="0.3">
      <c r="A2374" s="8">
        <v>46189</v>
      </c>
      <c r="B2374" s="16" t="s">
        <v>4728</v>
      </c>
      <c r="C2374" s="6" t="s">
        <v>4770</v>
      </c>
      <c r="D2374" s="6" t="s">
        <v>916</v>
      </c>
      <c r="E2374" s="14"/>
      <c r="F2374" s="8">
        <f>IF(HOUR(Table1[[#This Row],[CORREO]])&gt;=11,WORKDAY(Table1[[#This Row],[CORREO]],1,Table2[Dias no laborales]),E2374)</f>
        <v>0</v>
      </c>
      <c r="G2374" s="8">
        <v>46190</v>
      </c>
      <c r="H2374" s="6">
        <f t="shared" si="127"/>
        <v>24</v>
      </c>
      <c r="I2374" s="6">
        <f>MAX(1, NETWORKDAYS(A2374, G2374,Table2[Dias no laborales]))</f>
        <v>2</v>
      </c>
      <c r="J2374" s="6" t="str">
        <f>IF(Table1[[#This Row],[FIN]]="","Acumulado",IF(ISNUMBER(SEARCH("ASAP",C2374)),"ASAP",IF(NETWORKDAYS.INTL(F2374,G2374,1,Table2[Dias no laborales]) &lt;= 7, "Dentro", IF(A2374&gt;F2374,"Programado","Fuera"))))</f>
        <v>Programado</v>
      </c>
      <c r="K2374" s="6" t="str">
        <f t="shared" si="128"/>
        <v>Programados</v>
      </c>
      <c r="L2374" s="8">
        <v>46189</v>
      </c>
      <c r="M2374" s="17">
        <f>MAX(1,NETWORKDAYS(A2374,L2374,Table2[Dias no laborales]))</f>
        <v>1</v>
      </c>
    </row>
    <row r="2375" spans="1:13" hidden="1" x14ac:dyDescent="0.3">
      <c r="A2375" s="8">
        <v>46189</v>
      </c>
      <c r="B2375" s="16" t="s">
        <v>4729</v>
      </c>
      <c r="C2375" s="6" t="s">
        <v>4771</v>
      </c>
      <c r="D2375" s="6" t="s">
        <v>1644</v>
      </c>
      <c r="E2375" s="14"/>
      <c r="F2375" s="8">
        <f>IF(HOUR(Table1[[#This Row],[CORREO]])&gt;=11,WORKDAY(Table1[[#This Row],[CORREO]],1,Table2[Dias no laborales]),E2375)</f>
        <v>0</v>
      </c>
      <c r="G2375" s="8">
        <v>46189</v>
      </c>
      <c r="H2375" s="6">
        <f t="shared" si="127"/>
        <v>24</v>
      </c>
      <c r="I2375" s="6">
        <f>MAX(1, NETWORKDAYS(A2375, G2375,Table2[Dias no laborales]))</f>
        <v>1</v>
      </c>
      <c r="J2375" s="6" t="str">
        <f>IF(Table1[[#This Row],[FIN]]="","Acumulado",IF(ISNUMBER(SEARCH("ASAP",C2375)),"ASAP",IF(NETWORKDAYS.INTL(F2375,G2375,1,Table2[Dias no laborales]) &lt;= 7, "Dentro", IF(A2375&gt;F2375,"Programado","Fuera"))))</f>
        <v>Programado</v>
      </c>
      <c r="K2375" s="6" t="str">
        <f t="shared" si="128"/>
        <v>Programados</v>
      </c>
      <c r="L2375" s="8">
        <v>46189</v>
      </c>
      <c r="M2375" s="17">
        <f>MAX(1,NETWORKDAYS(A2375,L2375,Table2[Dias no laborales]))</f>
        <v>1</v>
      </c>
    </row>
    <row r="2376" spans="1:13" hidden="1" x14ac:dyDescent="0.3">
      <c r="A2376" s="8">
        <v>46189</v>
      </c>
      <c r="B2376" s="16" t="s">
        <v>4730</v>
      </c>
      <c r="C2376" s="6" t="s">
        <v>4772</v>
      </c>
      <c r="D2376" s="6" t="s">
        <v>85</v>
      </c>
      <c r="E2376" s="14"/>
      <c r="F2376" s="8">
        <f>IF(HOUR(Table1[[#This Row],[CORREO]])&gt;=11,WORKDAY(Table1[[#This Row],[CORREO]],1,Table2[Dias no laborales]),E2376)</f>
        <v>0</v>
      </c>
      <c r="G2376" s="8">
        <v>46189</v>
      </c>
      <c r="H2376" s="6">
        <f t="shared" si="127"/>
        <v>24</v>
      </c>
      <c r="I2376" s="6">
        <f>MAX(1, NETWORKDAYS(A2376, G2376,Table2[Dias no laborales]))</f>
        <v>1</v>
      </c>
      <c r="J2376" s="6" t="str">
        <f>IF(Table1[[#This Row],[FIN]]="","Acumulado",IF(ISNUMBER(SEARCH("ASAP",C2376)),"ASAP",IF(NETWORKDAYS.INTL(F2376,G2376,1,Table2[Dias no laborales]) &lt;= 7, "Dentro", IF(A2376&gt;F2376,"Programado","Fuera"))))</f>
        <v>Programado</v>
      </c>
      <c r="K2376" s="6" t="str">
        <f t="shared" si="128"/>
        <v>Programados</v>
      </c>
      <c r="L2376" s="8">
        <v>46189</v>
      </c>
      <c r="M2376" s="17">
        <f>MAX(1,NETWORKDAYS(A2376,L2376,Table2[Dias no laborales]))</f>
        <v>1</v>
      </c>
    </row>
    <row r="2377" spans="1:13" hidden="1" x14ac:dyDescent="0.3">
      <c r="A2377" s="8">
        <v>46189</v>
      </c>
      <c r="B2377" s="16" t="s">
        <v>4731</v>
      </c>
      <c r="C2377" s="6" t="s">
        <v>4773</v>
      </c>
      <c r="D2377" s="6" t="s">
        <v>4774</v>
      </c>
      <c r="E2377" s="14"/>
      <c r="F2377" s="8">
        <f>IF(HOUR(Table1[[#This Row],[CORREO]])&gt;=11,WORKDAY(Table1[[#This Row],[CORREO]],1,Table2[Dias no laborales]),E2377)</f>
        <v>0</v>
      </c>
      <c r="G2377" s="8">
        <v>46199</v>
      </c>
      <c r="H2377" s="6">
        <f t="shared" si="127"/>
        <v>24</v>
      </c>
      <c r="I2377" s="6">
        <f>MAX(1, NETWORKDAYS(A2377, G2377,Table2[Dias no laborales]))</f>
        <v>9</v>
      </c>
      <c r="J2377" s="6" t="str">
        <f>IF(Table1[[#This Row],[FIN]]="","Acumulado",IF(ISNUMBER(SEARCH("ASAP",C2377)),"ASAP",IF(NETWORKDAYS.INTL(F2377,G2377,1,Table2[Dias no laborales]) &lt;= 7, "Dentro", IF(A2377&gt;F2377,"Programado","Fuera"))))</f>
        <v>Programado</v>
      </c>
      <c r="K2377" s="6" t="str">
        <f t="shared" si="128"/>
        <v>Programados</v>
      </c>
      <c r="L2377" s="8">
        <v>46189</v>
      </c>
      <c r="M2377" s="17">
        <f>MAX(1,NETWORKDAYS(A2377,L2377,Table2[Dias no laborales]))</f>
        <v>1</v>
      </c>
    </row>
    <row r="2378" spans="1:13" hidden="1" x14ac:dyDescent="0.3">
      <c r="A2378" s="8">
        <v>46189</v>
      </c>
      <c r="B2378" s="16" t="s">
        <v>4732</v>
      </c>
      <c r="C2378" s="6" t="s">
        <v>4775</v>
      </c>
      <c r="D2378" s="6" t="s">
        <v>24</v>
      </c>
      <c r="E2378" s="14"/>
      <c r="F2378" s="8">
        <f>IF(HOUR(Table1[[#This Row],[CORREO]])&gt;=11,WORKDAY(Table1[[#This Row],[CORREO]],1,Table2[Dias no laborales]),E2378)</f>
        <v>0</v>
      </c>
      <c r="G2378" s="8">
        <v>46195</v>
      </c>
      <c r="H2378" s="6">
        <f t="shared" si="127"/>
        <v>24</v>
      </c>
      <c r="I2378" s="6">
        <f>MAX(1, NETWORKDAYS(A2378, G2378,Table2[Dias no laborales]))</f>
        <v>5</v>
      </c>
      <c r="J2378" s="6" t="str">
        <f>IF(Table1[[#This Row],[FIN]]="","Acumulado",IF(ISNUMBER(SEARCH("ASAP",C2378)),"ASAP",IF(NETWORKDAYS.INTL(F2378,G2378,1,Table2[Dias no laborales]) &lt;= 7, "Dentro", IF(A2378&gt;F2378,"Programado","Fuera"))))</f>
        <v>Programado</v>
      </c>
      <c r="K2378" s="6" t="str">
        <f t="shared" si="128"/>
        <v>Programados</v>
      </c>
      <c r="L2378" s="8">
        <v>46189</v>
      </c>
      <c r="M2378" s="17">
        <f>MAX(1,NETWORKDAYS(A2378,L2378,Table2[Dias no laborales]))</f>
        <v>1</v>
      </c>
    </row>
    <row r="2379" spans="1:13" hidden="1" x14ac:dyDescent="0.3">
      <c r="A2379" s="8">
        <v>46189</v>
      </c>
      <c r="B2379" s="16" t="s">
        <v>4733</v>
      </c>
      <c r="C2379" s="6" t="s">
        <v>4776</v>
      </c>
      <c r="D2379" s="6" t="s">
        <v>4777</v>
      </c>
      <c r="E2379" s="14">
        <v>46189.543749999997</v>
      </c>
      <c r="F2379" s="8">
        <f>IF(HOUR(Table1[[#This Row],[CORREO]])&gt;=11,WORKDAY(Table1[[#This Row],[CORREO]],1,Table2[Dias no laborales]),E2379)</f>
        <v>46190</v>
      </c>
      <c r="G2379" s="8">
        <v>46189</v>
      </c>
      <c r="H2379" s="6">
        <f t="shared" si="127"/>
        <v>24</v>
      </c>
      <c r="I2379" s="6">
        <f>MAX(1, NETWORKDAYS(A2379, G2379,Table2[Dias no laborales]))</f>
        <v>1</v>
      </c>
      <c r="J2379" s="6" t="str">
        <f>IF(Table1[[#This Row],[FIN]]="","Acumulado",IF(ISNUMBER(SEARCH("ASAP",C2379)),"ASAP",IF(NETWORKDAYS.INTL(F2379,G2379,1,Table2[Dias no laborales]) &lt;= 7, "Dentro", IF(A2379&gt;F2379,"Programado","Fuera"))))</f>
        <v>Dentro</v>
      </c>
      <c r="K2379" s="6" t="str">
        <f t="shared" si="128"/>
        <v>Mismo día</v>
      </c>
      <c r="L2379" s="8">
        <v>46189</v>
      </c>
      <c r="M2379" s="17">
        <f>MAX(1,NETWORKDAYS(A2379,L2379,Table2[Dias no laborales]))</f>
        <v>1</v>
      </c>
    </row>
    <row r="2380" spans="1:13" hidden="1" x14ac:dyDescent="0.3">
      <c r="A2380" s="8">
        <v>46189</v>
      </c>
      <c r="B2380" s="16" t="s">
        <v>4734</v>
      </c>
      <c r="C2380" s="6" t="s">
        <v>3717</v>
      </c>
      <c r="D2380" s="6" t="s">
        <v>4778</v>
      </c>
      <c r="E2380" s="14">
        <v>46189.583333333336</v>
      </c>
      <c r="F2380" s="8">
        <f>IF(HOUR(Table1[[#This Row],[CORREO]])&gt;=11,WORKDAY(Table1[[#This Row],[CORREO]],1,Table2[Dias no laborales]),E2380)</f>
        <v>46190</v>
      </c>
      <c r="G2380" s="8">
        <v>46191</v>
      </c>
      <c r="H2380" s="6">
        <f t="shared" si="127"/>
        <v>24</v>
      </c>
      <c r="I2380" s="6">
        <f>MAX(1, NETWORKDAYS(A2380, G2380,Table2[Dias no laborales]))</f>
        <v>3</v>
      </c>
      <c r="J2380" s="6" t="str">
        <f>IF(Table1[[#This Row],[FIN]]="","Acumulado",IF(ISNUMBER(SEARCH("ASAP",C2380)),"ASAP",IF(NETWORKDAYS.INTL(F2380,G2380,1,Table2[Dias no laborales]) &lt;= 7, "Dentro", IF(A2380&gt;F2380,"Programado","Fuera"))))</f>
        <v>Dentro</v>
      </c>
      <c r="K2380" s="6" t="str">
        <f t="shared" si="128"/>
        <v>Mismo día</v>
      </c>
      <c r="L2380" s="8">
        <v>46189</v>
      </c>
      <c r="M2380" s="17">
        <f>MAX(1,NETWORKDAYS(A2380,L2380,Table2[Dias no laborales]))</f>
        <v>1</v>
      </c>
    </row>
    <row r="2381" spans="1:13" hidden="1" x14ac:dyDescent="0.3">
      <c r="A2381" s="8">
        <v>46189</v>
      </c>
      <c r="B2381" s="16" t="s">
        <v>4735</v>
      </c>
      <c r="C2381" s="6" t="s">
        <v>4779</v>
      </c>
      <c r="D2381" s="6" t="s">
        <v>4780</v>
      </c>
      <c r="E2381" s="14">
        <v>46189.697916666664</v>
      </c>
      <c r="F2381" s="8">
        <f>IF(HOUR(Table1[[#This Row],[CORREO]])&gt;=11,WORKDAY(Table1[[#This Row],[CORREO]],1,Table2[Dias no laborales]),E2381)</f>
        <v>46190</v>
      </c>
      <c r="G2381" s="8">
        <v>46190</v>
      </c>
      <c r="H2381" s="6">
        <f t="shared" si="127"/>
        <v>24</v>
      </c>
      <c r="I2381" s="6">
        <f>MAX(1, NETWORKDAYS(A2381, G2381,Table2[Dias no laborales]))</f>
        <v>2</v>
      </c>
      <c r="J2381" s="6" t="str">
        <f>IF(Table1[[#This Row],[FIN]]="","Acumulado",IF(ISNUMBER(SEARCH("ASAP",C2381)),"ASAP",IF(NETWORKDAYS.INTL(F2381,G2381,1,Table2[Dias no laborales]) &lt;= 7, "Dentro", IF(A2381&gt;F2381,"Programado","Fuera"))))</f>
        <v>Dentro</v>
      </c>
      <c r="K2381" s="6" t="str">
        <f t="shared" si="128"/>
        <v>Mismo día</v>
      </c>
      <c r="L2381" s="8">
        <v>46189</v>
      </c>
      <c r="M2381" s="17">
        <f>MAX(1,NETWORKDAYS(A2381,L2381,Table2[Dias no laborales]))</f>
        <v>1</v>
      </c>
    </row>
    <row r="2382" spans="1:13" hidden="1" x14ac:dyDescent="0.3">
      <c r="A2382" s="8">
        <v>46189</v>
      </c>
      <c r="B2382" s="16" t="s">
        <v>4736</v>
      </c>
      <c r="C2382" s="6" t="s">
        <v>4781</v>
      </c>
      <c r="D2382" s="6" t="s">
        <v>586</v>
      </c>
      <c r="E2382" s="14">
        <v>46189.622916666667</v>
      </c>
      <c r="F2382" s="8">
        <f>IF(HOUR(Table1[[#This Row],[CORREO]])&gt;=11,WORKDAY(Table1[[#This Row],[CORREO]],1,Table2[Dias no laborales]),E2382)</f>
        <v>46190</v>
      </c>
      <c r="G2382" s="8">
        <v>46189</v>
      </c>
      <c r="H2382" s="6">
        <f t="shared" si="127"/>
        <v>24</v>
      </c>
      <c r="I2382" s="6">
        <f>MAX(1, NETWORKDAYS(A2382, G2382,Table2[Dias no laborales]))</f>
        <v>1</v>
      </c>
      <c r="J2382" s="6" t="str">
        <f>IF(Table1[[#This Row],[FIN]]="","Acumulado",IF(ISNUMBER(SEARCH("ASAP",C2382)),"ASAP",IF(NETWORKDAYS.INTL(F2382,G2382,1,Table2[Dias no laborales]) &lt;= 7, "Dentro", IF(A2382&gt;F2382,"Programado","Fuera"))))</f>
        <v>Dentro</v>
      </c>
      <c r="K2382" s="6" t="str">
        <f t="shared" si="128"/>
        <v>Mismo día</v>
      </c>
      <c r="L2382" s="8">
        <v>46189</v>
      </c>
      <c r="M2382" s="17">
        <f>MAX(1,NETWORKDAYS(A2382,L2382,Table2[Dias no laborales]))</f>
        <v>1</v>
      </c>
    </row>
    <row r="2383" spans="1:13" hidden="1" x14ac:dyDescent="0.3">
      <c r="A2383" s="8">
        <v>46190</v>
      </c>
      <c r="B2383" s="16" t="s">
        <v>4737</v>
      </c>
      <c r="C2383" s="6" t="s">
        <v>4782</v>
      </c>
      <c r="D2383" s="6" t="s">
        <v>4783</v>
      </c>
      <c r="E2383" s="14">
        <v>46189.552777777775</v>
      </c>
      <c r="F2383" s="8">
        <f>IF(HOUR(Table1[[#This Row],[CORREO]])&gt;=11,WORKDAY(Table1[[#This Row],[CORREO]],1,Table2[Dias no laborales]),E2383)</f>
        <v>46190</v>
      </c>
      <c r="G2383" s="8">
        <v>46191</v>
      </c>
      <c r="H2383" s="6">
        <f t="shared" si="127"/>
        <v>24</v>
      </c>
      <c r="I2383" s="6">
        <f>MAX(1, NETWORKDAYS(A2383, G2383,Table2[Dias no laborales]))</f>
        <v>2</v>
      </c>
      <c r="J2383" s="6" t="str">
        <f>IF(Table1[[#This Row],[FIN]]="","Acumulado",IF(ISNUMBER(SEARCH("ASAP",C2383)),"ASAP",IF(NETWORKDAYS.INTL(F2383,G2383,1,Table2[Dias no laborales]) &lt;= 7, "Dentro", IF(A2383&gt;F2383,"Programado","Fuera"))))</f>
        <v>Dentro</v>
      </c>
      <c r="K2383" s="6" t="str">
        <f t="shared" si="128"/>
        <v>A tiempo</v>
      </c>
      <c r="L2383" s="8">
        <v>46190</v>
      </c>
      <c r="M2383" s="17">
        <f>MAX(1,NETWORKDAYS(A2383,L2383,Table2[Dias no laborales]))</f>
        <v>1</v>
      </c>
    </row>
    <row r="2384" spans="1:13" hidden="1" x14ac:dyDescent="0.3">
      <c r="A2384" s="8">
        <v>46190</v>
      </c>
      <c r="B2384" s="16" t="s">
        <v>4738</v>
      </c>
      <c r="C2384" s="6" t="s">
        <v>4784</v>
      </c>
      <c r="D2384" s="6" t="s">
        <v>586</v>
      </c>
      <c r="E2384" s="14">
        <v>46189.390277777777</v>
      </c>
      <c r="F2384" s="8">
        <f>IF(HOUR(Table1[[#This Row],[CORREO]])&gt;=11,WORKDAY(Table1[[#This Row],[CORREO]],1,Table2[Dias no laborales]),E2384)</f>
        <v>46189.390277777777</v>
      </c>
      <c r="G2384" s="8">
        <v>46204</v>
      </c>
      <c r="H2384" s="6">
        <f t="shared" si="127"/>
        <v>24</v>
      </c>
      <c r="I2384" s="6">
        <f>MAX(1, NETWORKDAYS(A2384, G2384,Table2[Dias no laborales]))</f>
        <v>11</v>
      </c>
      <c r="J2384" s="6" t="str">
        <f>IF(Table1[[#This Row],[FIN]]="","Acumulado",IF(ISNUMBER(SEARCH("ASAP",C2384)),"ASAP",IF(NETWORKDAYS.INTL(F2384,G2384,1,Table2[Dias no laborales]) &lt;= 7, "Dentro", IF(A2384&gt;F2384,"Programado","Fuera"))))</f>
        <v>Programado</v>
      </c>
      <c r="K2384" s="6" t="str">
        <f t="shared" si="128"/>
        <v>Programados</v>
      </c>
      <c r="L2384" s="8">
        <v>46190</v>
      </c>
      <c r="M2384" s="17">
        <f>MAX(1,NETWORKDAYS(A2384,L2384,Table2[Dias no laborales]))</f>
        <v>1</v>
      </c>
    </row>
    <row r="2385" spans="1:13" hidden="1" x14ac:dyDescent="0.3">
      <c r="A2385" s="8">
        <v>46190</v>
      </c>
      <c r="B2385" s="16" t="s">
        <v>4739</v>
      </c>
      <c r="C2385" s="6" t="s">
        <v>4756</v>
      </c>
      <c r="D2385" s="6" t="s">
        <v>103</v>
      </c>
      <c r="E2385" s="14">
        <v>46190.538888888892</v>
      </c>
      <c r="F2385" s="8">
        <f>IF(HOUR(Table1[[#This Row],[CORREO]])&gt;=11,WORKDAY(Table1[[#This Row],[CORREO]],1,Table2[Dias no laborales]),E2385)</f>
        <v>46191</v>
      </c>
      <c r="G2385" s="8">
        <v>46190</v>
      </c>
      <c r="H2385" s="6">
        <f t="shared" si="127"/>
        <v>24</v>
      </c>
      <c r="I2385" s="6">
        <f>MAX(1, NETWORKDAYS(A2385, G2385,Table2[Dias no laborales]))</f>
        <v>1</v>
      </c>
      <c r="J2385" s="6" t="str">
        <f>IF(Table1[[#This Row],[FIN]]="","Acumulado",IF(ISNUMBER(SEARCH("ASAP",C2385)),"ASAP",IF(NETWORKDAYS.INTL(F2385,G2385,1,Table2[Dias no laborales]) &lt;= 7, "Dentro", IF(A2385&gt;F2385,"Programado","Fuera"))))</f>
        <v>Dentro</v>
      </c>
      <c r="K2385" s="6" t="str">
        <f t="shared" si="128"/>
        <v>Mismo día</v>
      </c>
      <c r="L2385" s="8">
        <v>46190</v>
      </c>
      <c r="M2385" s="17">
        <f>MAX(1,NETWORKDAYS(A2385,L2385,Table2[Dias no laborales]))</f>
        <v>1</v>
      </c>
    </row>
    <row r="2386" spans="1:13" hidden="1" x14ac:dyDescent="0.3">
      <c r="A2386" s="8">
        <v>46190</v>
      </c>
      <c r="B2386" s="16" t="s">
        <v>4740</v>
      </c>
      <c r="C2386" s="6" t="s">
        <v>1962</v>
      </c>
      <c r="D2386" s="6" t="s">
        <v>171</v>
      </c>
      <c r="E2386" s="14">
        <v>46190.303472222222</v>
      </c>
      <c r="F2386" s="8">
        <f>IF(HOUR(Table1[[#This Row],[CORREO]])&gt;=11,WORKDAY(Table1[[#This Row],[CORREO]],1,Table2[Dias no laborales]),E2386)</f>
        <v>46190.303472222222</v>
      </c>
      <c r="G2386" s="8">
        <v>46191</v>
      </c>
      <c r="H2386" s="6">
        <f t="shared" si="127"/>
        <v>24</v>
      </c>
      <c r="I2386" s="6">
        <f>MAX(1, NETWORKDAYS(A2386, G2386,Table2[Dias no laborales]))</f>
        <v>2</v>
      </c>
      <c r="J2386" s="6" t="str">
        <f>IF(Table1[[#This Row],[FIN]]="","Acumulado",IF(ISNUMBER(SEARCH("ASAP",C2386)),"ASAP",IF(NETWORKDAYS.INTL(F2386,G2386,1,Table2[Dias no laborales]) &lt;= 7, "Dentro", IF(A2386&gt;F2386,"Programado","Fuera"))))</f>
        <v>Dentro</v>
      </c>
      <c r="K2386" s="6" t="str">
        <f t="shared" si="128"/>
        <v>A tiempo</v>
      </c>
      <c r="L2386" s="8">
        <v>46190</v>
      </c>
      <c r="M2386" s="17">
        <f>MAX(1,NETWORKDAYS(A2386,L2386,Table2[Dias no laborales]))</f>
        <v>1</v>
      </c>
    </row>
    <row r="2387" spans="1:13" hidden="1" x14ac:dyDescent="0.3">
      <c r="A2387" s="8">
        <v>46190</v>
      </c>
      <c r="B2387" s="16" t="s">
        <v>4741</v>
      </c>
      <c r="C2387" s="6" t="s">
        <v>4555</v>
      </c>
      <c r="D2387" s="6" t="s">
        <v>392</v>
      </c>
      <c r="E2387" s="14">
        <v>46190.338194444441</v>
      </c>
      <c r="F2387" s="8">
        <f>IF(HOUR(Table1[[#This Row],[CORREO]])&gt;=11,WORKDAY(Table1[[#This Row],[CORREO]],1,Table2[Dias no laborales]),E2387)</f>
        <v>46190.338194444441</v>
      </c>
      <c r="G2387" s="8">
        <v>46190</v>
      </c>
      <c r="H2387" s="6">
        <f t="shared" si="127"/>
        <v>24</v>
      </c>
      <c r="I2387" s="6">
        <f>MAX(1, NETWORKDAYS(A2387, G2387,Table2[Dias no laborales]))</f>
        <v>1</v>
      </c>
      <c r="J2387" s="6" t="str">
        <f>IF(Table1[[#This Row],[FIN]]="","Acumulado",IF(ISNUMBER(SEARCH("ASAP",C2387)),"ASAP",IF(NETWORKDAYS.INTL(F2387,G2387,1,Table2[Dias no laborales]) &lt;= 7, "Dentro", IF(A2387&gt;F2387,"Programado","Fuera"))))</f>
        <v>Dentro</v>
      </c>
      <c r="K2387" s="6" t="str">
        <f t="shared" si="128"/>
        <v>A tiempo</v>
      </c>
      <c r="L2387" s="8">
        <v>46190</v>
      </c>
      <c r="M2387" s="17">
        <f>MAX(1,NETWORKDAYS(A2387,L2387,Table2[Dias no laborales]))</f>
        <v>1</v>
      </c>
    </row>
    <row r="2388" spans="1:13" hidden="1" x14ac:dyDescent="0.3">
      <c r="A2388" s="8">
        <v>46190</v>
      </c>
      <c r="B2388" s="16" t="s">
        <v>4759</v>
      </c>
      <c r="C2388" s="6" t="s">
        <v>4700</v>
      </c>
      <c r="D2388" s="6" t="s">
        <v>4785</v>
      </c>
      <c r="E2388" s="14">
        <v>46190.364583333336</v>
      </c>
      <c r="F2388" s="8">
        <f>IF(HOUR(Table1[[#This Row],[CORREO]])&gt;=11,WORKDAY(Table1[[#This Row],[CORREO]],1,Table2[Dias no laborales]),E2388)</f>
        <v>46190.364583333336</v>
      </c>
      <c r="G2388" s="8">
        <v>46204</v>
      </c>
      <c r="H2388" s="6">
        <f t="shared" ref="H2388:H2394" si="129">INT((A2388-DATE(YEAR(A2388),1,1))/7) + 1</f>
        <v>24</v>
      </c>
      <c r="I2388" s="6">
        <f>MAX(1, NETWORKDAYS(A2388, G2388,Table2[Dias no laborales]))</f>
        <v>11</v>
      </c>
      <c r="J2388" s="6" t="str">
        <f>IF(Table1[[#This Row],[FIN]]="","Acumulado",IF(ISNUMBER(SEARCH("ASAP",C2388)),"ASAP",IF(NETWORKDAYS.INTL(F2388,G2388,1,Table2[Dias no laborales]) &lt;= 7, "Dentro", IF(A2388&gt;F2388,"Programado","Fuera"))))</f>
        <v>Fuera</v>
      </c>
      <c r="K2388" s="6" t="str">
        <f t="shared" ref="K2388:K2394" si="130">IF(INT(A2388)=INT(F2388),"A tiempo", IF(A2388&lt;F2388,"Mismo día","Programados"))</f>
        <v>A tiempo</v>
      </c>
      <c r="L2388" s="8">
        <v>46190</v>
      </c>
      <c r="M2388" s="17">
        <f>MAX(1,NETWORKDAYS(A2388,L2388,Table2[Dias no laborales]))</f>
        <v>1</v>
      </c>
    </row>
    <row r="2389" spans="1:13" hidden="1" x14ac:dyDescent="0.3">
      <c r="A2389" s="8">
        <v>46190</v>
      </c>
      <c r="B2389" s="16" t="s">
        <v>4760</v>
      </c>
      <c r="C2389" s="6" t="s">
        <v>4700</v>
      </c>
      <c r="D2389" s="6" t="s">
        <v>4786</v>
      </c>
      <c r="E2389" s="14">
        <v>46190.364583333336</v>
      </c>
      <c r="F2389" s="8">
        <f>IF(HOUR(Table1[[#This Row],[CORREO]])&gt;=11,WORKDAY(Table1[[#This Row],[CORREO]],1,Table2[Dias no laborales]),E2389)</f>
        <v>46190.364583333336</v>
      </c>
      <c r="G2389" s="8">
        <v>46204</v>
      </c>
      <c r="H2389" s="6">
        <f t="shared" si="129"/>
        <v>24</v>
      </c>
      <c r="I2389" s="6">
        <f>MAX(1, NETWORKDAYS(A2389, G2389,Table2[Dias no laborales]))</f>
        <v>11</v>
      </c>
      <c r="J2389" s="6" t="str">
        <f>IF(Table1[[#This Row],[FIN]]="","Acumulado",IF(ISNUMBER(SEARCH("ASAP",C2389)),"ASAP",IF(NETWORKDAYS.INTL(F2389,G2389,1,Table2[Dias no laborales]) &lt;= 7, "Dentro", IF(A2389&gt;F2389,"Programado","Fuera"))))</f>
        <v>Fuera</v>
      </c>
      <c r="K2389" s="6" t="str">
        <f t="shared" si="130"/>
        <v>A tiempo</v>
      </c>
      <c r="L2389" s="8">
        <v>46190</v>
      </c>
      <c r="M2389" s="17">
        <f>MAX(1,NETWORKDAYS(A2389,L2389,Table2[Dias no laborales]))</f>
        <v>1</v>
      </c>
    </row>
    <row r="2390" spans="1:13" hidden="1" x14ac:dyDescent="0.3">
      <c r="A2390" s="8">
        <v>46190</v>
      </c>
      <c r="B2390" s="16" t="s">
        <v>4761</v>
      </c>
      <c r="C2390" s="6" t="s">
        <v>74</v>
      </c>
      <c r="D2390" s="6" t="s">
        <v>30</v>
      </c>
      <c r="E2390" s="14">
        <v>46190.394444444442</v>
      </c>
      <c r="F2390" s="8">
        <f>IF(HOUR(Table1[[#This Row],[CORREO]])&gt;=11,WORKDAY(Table1[[#This Row],[CORREO]],1,Table2[Dias no laborales]),E2390)</f>
        <v>46190.394444444442</v>
      </c>
      <c r="G2390" s="8">
        <v>46191</v>
      </c>
      <c r="H2390" s="6">
        <f t="shared" si="129"/>
        <v>24</v>
      </c>
      <c r="I2390" s="6">
        <f>MAX(1, NETWORKDAYS(A2390, G2390,Table2[Dias no laborales]))</f>
        <v>2</v>
      </c>
      <c r="J2390" s="6" t="str">
        <f>IF(Table1[[#This Row],[FIN]]="","Acumulado",IF(ISNUMBER(SEARCH("ASAP",C2390)),"ASAP",IF(NETWORKDAYS.INTL(F2390,G2390,1,Table2[Dias no laborales]) &lt;= 7, "Dentro", IF(A2390&gt;F2390,"Programado","Fuera"))))</f>
        <v>Dentro</v>
      </c>
      <c r="K2390" s="6" t="str">
        <f t="shared" si="130"/>
        <v>A tiempo</v>
      </c>
      <c r="L2390" s="8">
        <v>46190</v>
      </c>
      <c r="M2390" s="17">
        <f>MAX(1,NETWORKDAYS(A2390,L2390,Table2[Dias no laborales]))</f>
        <v>1</v>
      </c>
    </row>
    <row r="2391" spans="1:13" hidden="1" x14ac:dyDescent="0.3">
      <c r="A2391" s="8">
        <v>46190</v>
      </c>
      <c r="B2391" s="16" t="s">
        <v>4762</v>
      </c>
      <c r="C2391" s="6" t="s">
        <v>4787</v>
      </c>
      <c r="D2391" s="6" t="s">
        <v>4788</v>
      </c>
      <c r="E2391" s="14">
        <v>46190.395138888889</v>
      </c>
      <c r="F2391" s="8">
        <f>IF(HOUR(Table1[[#This Row],[CORREO]])&gt;=11,WORKDAY(Table1[[#This Row],[CORREO]],1,Table2[Dias no laborales]),E2391)</f>
        <v>46190.395138888889</v>
      </c>
      <c r="G2391" s="8">
        <v>46190</v>
      </c>
      <c r="H2391" s="6">
        <f t="shared" si="129"/>
        <v>24</v>
      </c>
      <c r="I2391" s="6">
        <f>MAX(1, NETWORKDAYS(A2391, G2391,Table2[Dias no laborales]))</f>
        <v>1</v>
      </c>
      <c r="J2391" s="6" t="str">
        <f>IF(Table1[[#This Row],[FIN]]="","Acumulado",IF(ISNUMBER(SEARCH("ASAP",C2391)),"ASAP",IF(NETWORKDAYS.INTL(F2391,G2391,1,Table2[Dias no laborales]) &lt;= 7, "Dentro", IF(A2391&gt;F2391,"Programado","Fuera"))))</f>
        <v>Dentro</v>
      </c>
      <c r="K2391" s="6" t="str">
        <f t="shared" si="130"/>
        <v>A tiempo</v>
      </c>
      <c r="L2391" s="8">
        <v>46190</v>
      </c>
      <c r="M2391" s="17">
        <f>MAX(1,NETWORKDAYS(A2391,L2391,Table2[Dias no laborales]))</f>
        <v>1</v>
      </c>
    </row>
    <row r="2392" spans="1:13" hidden="1" x14ac:dyDescent="0.3">
      <c r="A2392" s="8">
        <v>46190</v>
      </c>
      <c r="B2392" s="16" t="s">
        <v>4763</v>
      </c>
      <c r="C2392" s="6" t="s">
        <v>4789</v>
      </c>
      <c r="D2392" s="6" t="s">
        <v>2623</v>
      </c>
      <c r="E2392" s="14">
        <v>46190.422222222223</v>
      </c>
      <c r="F2392" s="8">
        <f>IF(HOUR(Table1[[#This Row],[CORREO]])&gt;=11,WORKDAY(Table1[[#This Row],[CORREO]],1,Table2[Dias no laborales]),E2392)</f>
        <v>46190.422222222223</v>
      </c>
      <c r="G2392" s="8">
        <v>46190</v>
      </c>
      <c r="H2392" s="6">
        <f t="shared" si="129"/>
        <v>24</v>
      </c>
      <c r="I2392" s="6">
        <f>MAX(1, NETWORKDAYS(A2392, G2392,Table2[Dias no laborales]))</f>
        <v>1</v>
      </c>
      <c r="J2392" s="6" t="str">
        <f>IF(Table1[[#This Row],[FIN]]="","Acumulado",IF(ISNUMBER(SEARCH("ASAP",C2392)),"ASAP",IF(NETWORKDAYS.INTL(F2392,G2392,1,Table2[Dias no laborales]) &lt;= 7, "Dentro", IF(A2392&gt;F2392,"Programado","Fuera"))))</f>
        <v>Dentro</v>
      </c>
      <c r="K2392" s="6" t="str">
        <f t="shared" si="130"/>
        <v>A tiempo</v>
      </c>
      <c r="L2392" s="8">
        <v>46190</v>
      </c>
      <c r="M2392" s="17">
        <f>MAX(1,NETWORKDAYS(A2392,L2392,Table2[Dias no laborales]))</f>
        <v>1</v>
      </c>
    </row>
    <row r="2393" spans="1:13" hidden="1" x14ac:dyDescent="0.3">
      <c r="A2393" s="8">
        <v>46190</v>
      </c>
      <c r="B2393" s="16" t="s">
        <v>4764</v>
      </c>
      <c r="C2393" s="6" t="s">
        <v>4790</v>
      </c>
      <c r="D2393" s="6" t="s">
        <v>27</v>
      </c>
      <c r="E2393" s="14">
        <v>46190.515277777777</v>
      </c>
      <c r="F2393" s="8">
        <f>IF(HOUR(Table1[[#This Row],[CORREO]])&gt;=11,WORKDAY(Table1[[#This Row],[CORREO]],1,Table2[Dias no laborales]),E2393)</f>
        <v>46191</v>
      </c>
      <c r="G2393" s="8">
        <v>46190</v>
      </c>
      <c r="H2393" s="6">
        <f t="shared" si="129"/>
        <v>24</v>
      </c>
      <c r="I2393" s="6">
        <f>MAX(1, NETWORKDAYS(A2393, G2393,Table2[Dias no laborales]))</f>
        <v>1</v>
      </c>
      <c r="J2393" s="6" t="str">
        <f>IF(Table1[[#This Row],[FIN]]="","Acumulado",IF(ISNUMBER(SEARCH("ASAP",C2393)),"ASAP",IF(NETWORKDAYS.INTL(F2393,G2393,1,Table2[Dias no laborales]) &lt;= 7, "Dentro", IF(A2393&gt;F2393,"Programado","Fuera"))))</f>
        <v>ASAP</v>
      </c>
      <c r="K2393" s="6" t="str">
        <f t="shared" si="130"/>
        <v>Mismo día</v>
      </c>
      <c r="L2393" s="8">
        <v>46190</v>
      </c>
      <c r="M2393" s="17">
        <f>MAX(1,NETWORKDAYS(A2393,L2393,Table2[Dias no laborales]))</f>
        <v>1</v>
      </c>
    </row>
    <row r="2394" spans="1:13" hidden="1" x14ac:dyDescent="0.3">
      <c r="A2394" s="8">
        <v>46190</v>
      </c>
      <c r="B2394" s="16" t="s">
        <v>4765</v>
      </c>
      <c r="C2394" s="6" t="s">
        <v>4791</v>
      </c>
      <c r="D2394" s="6" t="s">
        <v>24</v>
      </c>
      <c r="E2394" s="14"/>
      <c r="F2394" s="8">
        <f>IF(HOUR(Table1[[#This Row],[CORREO]])&gt;=11,WORKDAY(Table1[[#This Row],[CORREO]],1,Table2[Dias no laborales]),E2394)</f>
        <v>0</v>
      </c>
      <c r="G2394" s="8">
        <v>46196</v>
      </c>
      <c r="H2394" s="6">
        <f t="shared" si="129"/>
        <v>24</v>
      </c>
      <c r="I2394" s="6">
        <f>MAX(1, NETWORKDAYS(A2394, G2394,Table2[Dias no laborales]))</f>
        <v>5</v>
      </c>
      <c r="J2394" s="6" t="str">
        <f>IF(Table1[[#This Row],[FIN]]="","Acumulado",IF(ISNUMBER(SEARCH("ASAP",C2394)),"ASAP",IF(NETWORKDAYS.INTL(F2394,G2394,1,Table2[Dias no laborales]) &lt;= 7, "Dentro", IF(A2394&gt;F2394,"Programado","Fuera"))))</f>
        <v>Programado</v>
      </c>
      <c r="K2394" s="6" t="str">
        <f t="shared" si="130"/>
        <v>Programados</v>
      </c>
      <c r="L2394" s="8">
        <v>46190</v>
      </c>
      <c r="M2394" s="17">
        <f>MAX(1,NETWORKDAYS(A2394,L2394,Table2[Dias no laborales]))</f>
        <v>1</v>
      </c>
    </row>
    <row r="2395" spans="1:13" hidden="1" x14ac:dyDescent="0.3">
      <c r="A2395" s="8">
        <v>46190</v>
      </c>
      <c r="B2395" s="16" t="s">
        <v>4792</v>
      </c>
      <c r="C2395" s="6" t="s">
        <v>4820</v>
      </c>
      <c r="D2395" s="6" t="s">
        <v>27</v>
      </c>
      <c r="E2395" s="14">
        <v>46190.724305555559</v>
      </c>
      <c r="F2395" s="8">
        <f>IF(HOUR(Table1[[#This Row],[CORREO]])&gt;=11,WORKDAY(Table1[[#This Row],[CORREO]],1,Table2[Dias no laborales]),E2395)</f>
        <v>46191</v>
      </c>
      <c r="G2395" s="8">
        <v>46192</v>
      </c>
      <c r="H2395" s="6">
        <f t="shared" ref="H2395:H2422" si="131">INT((A2395-DATE(YEAR(A2395),1,1))/7) + 1</f>
        <v>24</v>
      </c>
      <c r="I2395" s="6">
        <f>MAX(1, NETWORKDAYS(A2395, G2395,Table2[Dias no laborales]))</f>
        <v>3</v>
      </c>
      <c r="J2395" s="6" t="str">
        <f>IF(Table1[[#This Row],[FIN]]="","Acumulado",IF(ISNUMBER(SEARCH("ASAP",C2395)),"ASAP",IF(NETWORKDAYS.INTL(F2395,G2395,1,Table2[Dias no laborales]) &lt;= 7, "Dentro", IF(A2395&gt;F2395,"Programado","Fuera"))))</f>
        <v>Dentro</v>
      </c>
      <c r="K2395" s="6" t="str">
        <f t="shared" ref="K2395:K2422" si="132">IF(INT(A2395)=INT(F2395),"A tiempo", IF(A2395&lt;F2395,"Mismo día","Programados"))</f>
        <v>Mismo día</v>
      </c>
      <c r="L2395" s="8">
        <v>46190</v>
      </c>
      <c r="M2395" s="17">
        <f>MAX(1,NETWORKDAYS(A2395,L2395,Table2[Dias no laborales]))</f>
        <v>1</v>
      </c>
    </row>
    <row r="2396" spans="1:13" hidden="1" x14ac:dyDescent="0.3">
      <c r="A2396" s="8">
        <v>46191</v>
      </c>
      <c r="B2396" s="16" t="s">
        <v>4793</v>
      </c>
      <c r="C2396" s="6" t="s">
        <v>4821</v>
      </c>
      <c r="D2396" s="14" t="s">
        <v>37</v>
      </c>
      <c r="E2396" s="14">
        <v>46190.640277777777</v>
      </c>
      <c r="F2396" s="8">
        <f>IF(HOUR(Table1[[#This Row],[CORREO]])&gt;=11,WORKDAY(Table1[[#This Row],[CORREO]],1,Table2[Dias no laborales]),E2396)</f>
        <v>46191</v>
      </c>
      <c r="G2396" s="8">
        <v>46195</v>
      </c>
      <c r="H2396" s="6">
        <f t="shared" si="131"/>
        <v>25</v>
      </c>
      <c r="I2396" s="6">
        <f>MAX(1, NETWORKDAYS(A2396, G2396,Table2[Dias no laborales]))</f>
        <v>3</v>
      </c>
      <c r="J2396" s="6" t="str">
        <f>IF(Table1[[#This Row],[FIN]]="","Acumulado",IF(ISNUMBER(SEARCH("ASAP",C2396)),"ASAP",IF(NETWORKDAYS.INTL(F2396,G2396,1,Table2[Dias no laborales]) &lt;= 7, "Dentro", IF(A2396&gt;F2396,"Programado","Fuera"))))</f>
        <v>Dentro</v>
      </c>
      <c r="K2396" s="6" t="str">
        <f t="shared" si="132"/>
        <v>A tiempo</v>
      </c>
      <c r="L2396" s="8">
        <v>46191</v>
      </c>
      <c r="M2396" s="17">
        <f>MAX(1,NETWORKDAYS(A2396,L2396,Table2[Dias no laborales]))</f>
        <v>1</v>
      </c>
    </row>
    <row r="2397" spans="1:13" hidden="1" x14ac:dyDescent="0.3">
      <c r="A2397" s="8">
        <v>46191</v>
      </c>
      <c r="B2397" s="16" t="s">
        <v>4794</v>
      </c>
      <c r="C2397" s="6" t="s">
        <v>4822</v>
      </c>
      <c r="D2397" s="6" t="s">
        <v>586</v>
      </c>
      <c r="E2397" s="14">
        <v>46190.659722222219</v>
      </c>
      <c r="F2397" s="8">
        <f>IF(HOUR(Table1[[#This Row],[CORREO]])&gt;=11,WORKDAY(Table1[[#This Row],[CORREO]],1,Table2[Dias no laborales]),E2397)</f>
        <v>46191</v>
      </c>
      <c r="G2397" s="8"/>
      <c r="H2397" s="6">
        <f t="shared" si="131"/>
        <v>25</v>
      </c>
      <c r="I2397" s="6">
        <f>MAX(1, NETWORKDAYS(A2397, G2397,Table2[Dias no laborales]))</f>
        <v>1</v>
      </c>
      <c r="J2397" s="6" t="str">
        <f>IF(Table1[[#This Row],[FIN]]="","Acumulado",IF(ISNUMBER(SEARCH("ASAP",C2397)),"ASAP",IF(NETWORKDAYS.INTL(F2397,G2397,1,Table2[Dias no laborales]) &lt;= 7, "Dentro", IF(A2397&gt;F2397,"Programado","Fuera"))))</f>
        <v>Acumulado</v>
      </c>
      <c r="K2397" s="6" t="str">
        <f t="shared" si="132"/>
        <v>A tiempo</v>
      </c>
      <c r="L2397" s="8">
        <v>46191</v>
      </c>
      <c r="M2397" s="17">
        <f>MAX(1,NETWORKDAYS(A2397,L2397,Table2[Dias no laborales]))</f>
        <v>1</v>
      </c>
    </row>
    <row r="2398" spans="1:13" hidden="1" x14ac:dyDescent="0.3">
      <c r="A2398" s="8">
        <v>46191</v>
      </c>
      <c r="B2398" s="16" t="s">
        <v>4795</v>
      </c>
      <c r="C2398" s="6" t="s">
        <v>4823</v>
      </c>
      <c r="D2398" s="6" t="s">
        <v>4824</v>
      </c>
      <c r="E2398" s="14">
        <v>46190.702777777777</v>
      </c>
      <c r="F2398" s="8">
        <f>IF(HOUR(Table1[[#This Row],[CORREO]])&gt;=11,WORKDAY(Table1[[#This Row],[CORREO]],1,Table2[Dias no laborales]),E2398)</f>
        <v>46191</v>
      </c>
      <c r="G2398" s="8">
        <v>46203</v>
      </c>
      <c r="H2398" s="6">
        <f t="shared" si="131"/>
        <v>25</v>
      </c>
      <c r="I2398" s="6">
        <f>MAX(1, NETWORKDAYS(A2398, G2398,Table2[Dias no laborales]))</f>
        <v>9</v>
      </c>
      <c r="J2398" s="6" t="str">
        <f>IF(Table1[[#This Row],[FIN]]="","Acumulado",IF(ISNUMBER(SEARCH("ASAP",C2398)),"ASAP",IF(NETWORKDAYS.INTL(F2398,G2398,1,Table2[Dias no laborales]) &lt;= 7, "Dentro", IF(A2398&gt;F2398,"Programado","Fuera"))))</f>
        <v>Fuera</v>
      </c>
      <c r="K2398" s="6" t="str">
        <f t="shared" si="132"/>
        <v>A tiempo</v>
      </c>
      <c r="L2398" s="8">
        <v>46191</v>
      </c>
      <c r="M2398" s="17">
        <f>MAX(1,NETWORKDAYS(A2398,L2398,Table2[Dias no laborales]))</f>
        <v>1</v>
      </c>
    </row>
    <row r="2399" spans="1:13" hidden="1" x14ac:dyDescent="0.3">
      <c r="A2399" s="8">
        <v>46191</v>
      </c>
      <c r="B2399" s="16" t="s">
        <v>4796</v>
      </c>
      <c r="C2399" s="6" t="s">
        <v>4825</v>
      </c>
      <c r="D2399" s="6" t="s">
        <v>27</v>
      </c>
      <c r="E2399" s="14">
        <v>46190.740972222222</v>
      </c>
      <c r="F2399" s="8">
        <f>IF(HOUR(Table1[[#This Row],[CORREO]])&gt;=11,WORKDAY(Table1[[#This Row],[CORREO]],1,Table2[Dias no laborales]),E2399)</f>
        <v>46191</v>
      </c>
      <c r="G2399" s="8">
        <v>46192</v>
      </c>
      <c r="H2399" s="6">
        <f t="shared" si="131"/>
        <v>25</v>
      </c>
      <c r="I2399" s="6">
        <f>MAX(1, NETWORKDAYS(A2399, G2399,Table2[Dias no laborales]))</f>
        <v>2</v>
      </c>
      <c r="J2399" s="6" t="str">
        <f>IF(Table1[[#This Row],[FIN]]="","Acumulado",IF(ISNUMBER(SEARCH("ASAP",C2399)),"ASAP",IF(NETWORKDAYS.INTL(F2399,G2399,1,Table2[Dias no laborales]) &lt;= 7, "Dentro", IF(A2399&gt;F2399,"Programado","Fuera"))))</f>
        <v>Dentro</v>
      </c>
      <c r="K2399" s="6" t="str">
        <f t="shared" si="132"/>
        <v>A tiempo</v>
      </c>
      <c r="L2399" s="8">
        <v>46191</v>
      </c>
      <c r="M2399" s="17">
        <f>MAX(1,NETWORKDAYS(A2399,L2399,Table2[Dias no laborales]))</f>
        <v>1</v>
      </c>
    </row>
    <row r="2400" spans="1:13" hidden="1" x14ac:dyDescent="0.3">
      <c r="A2400" s="8">
        <v>46191</v>
      </c>
      <c r="B2400" s="16" t="s">
        <v>4797</v>
      </c>
      <c r="C2400" s="6" t="s">
        <v>4826</v>
      </c>
      <c r="D2400" s="6" t="s">
        <v>3020</v>
      </c>
      <c r="E2400" s="14">
        <v>46190.95416666667</v>
      </c>
      <c r="F2400" s="8">
        <f>IF(HOUR(Table1[[#This Row],[CORREO]])&gt;=11,WORKDAY(Table1[[#This Row],[CORREO]],1,Table2[Dias no laborales]),E2400)</f>
        <v>46191</v>
      </c>
      <c r="G2400" s="8">
        <v>46198</v>
      </c>
      <c r="H2400" s="6">
        <f t="shared" si="131"/>
        <v>25</v>
      </c>
      <c r="I2400" s="6">
        <f>MAX(1, NETWORKDAYS(A2400, G2400,Table2[Dias no laborales]))</f>
        <v>6</v>
      </c>
      <c r="J2400" s="6" t="str">
        <f>IF(Table1[[#This Row],[FIN]]="","Acumulado",IF(ISNUMBER(SEARCH("ASAP",C2400)),"ASAP",IF(NETWORKDAYS.INTL(F2400,G2400,1,Table2[Dias no laborales]) &lt;= 7, "Dentro", IF(A2400&gt;F2400,"Programado","Fuera"))))</f>
        <v>Dentro</v>
      </c>
      <c r="K2400" s="6" t="str">
        <f t="shared" si="132"/>
        <v>A tiempo</v>
      </c>
      <c r="L2400" s="8">
        <v>46191</v>
      </c>
      <c r="M2400" s="17">
        <f>MAX(1,NETWORKDAYS(A2400,L2400,Table2[Dias no laborales]))</f>
        <v>1</v>
      </c>
    </row>
    <row r="2401" spans="1:13" hidden="1" x14ac:dyDescent="0.3">
      <c r="A2401" s="8">
        <v>46191</v>
      </c>
      <c r="B2401" s="16" t="s">
        <v>4798</v>
      </c>
      <c r="C2401" s="6" t="s">
        <v>4555</v>
      </c>
      <c r="D2401" s="6" t="s">
        <v>392</v>
      </c>
      <c r="E2401" s="14">
        <v>46191.334027777775</v>
      </c>
      <c r="F2401" s="8">
        <f>IF(HOUR(Table1[[#This Row],[CORREO]])&gt;=11,WORKDAY(Table1[[#This Row],[CORREO]],1,Table2[Dias no laborales]),E2401)</f>
        <v>46191.334027777775</v>
      </c>
      <c r="G2401" s="8">
        <v>46191</v>
      </c>
      <c r="H2401" s="6">
        <f t="shared" si="131"/>
        <v>25</v>
      </c>
      <c r="I2401" s="6">
        <f>MAX(1, NETWORKDAYS(A2401, G2401,Table2[Dias no laborales]))</f>
        <v>1</v>
      </c>
      <c r="J2401" s="6" t="str">
        <f>IF(Table1[[#This Row],[FIN]]="","Acumulado",IF(ISNUMBER(SEARCH("ASAP",C2401)),"ASAP",IF(NETWORKDAYS.INTL(F2401,G2401,1,Table2[Dias no laborales]) &lt;= 7, "Dentro", IF(A2401&gt;F2401,"Programado","Fuera"))))</f>
        <v>Dentro</v>
      </c>
      <c r="K2401" s="6" t="str">
        <f t="shared" si="132"/>
        <v>A tiempo</v>
      </c>
      <c r="L2401" s="8">
        <v>46191</v>
      </c>
      <c r="M2401" s="17">
        <f>MAX(1,NETWORKDAYS(A2401,L2401,Table2[Dias no laborales]))</f>
        <v>1</v>
      </c>
    </row>
    <row r="2402" spans="1:13" hidden="1" x14ac:dyDescent="0.3">
      <c r="A2402" s="8">
        <v>46191</v>
      </c>
      <c r="B2402" s="16" t="s">
        <v>4799</v>
      </c>
      <c r="C2402" s="6" t="s">
        <v>4827</v>
      </c>
      <c r="D2402" s="6" t="s">
        <v>24</v>
      </c>
      <c r="E2402" s="14">
        <v>46191.367361111108</v>
      </c>
      <c r="F2402" s="8">
        <f>IF(HOUR(Table1[[#This Row],[CORREO]])&gt;=11,WORKDAY(Table1[[#This Row],[CORREO]],1,Table2[Dias no laborales]),E2402)</f>
        <v>46191.367361111108</v>
      </c>
      <c r="G2402" s="8">
        <v>46195</v>
      </c>
      <c r="H2402" s="6">
        <f t="shared" si="131"/>
        <v>25</v>
      </c>
      <c r="I2402" s="6">
        <f>MAX(1, NETWORKDAYS(A2402, G2402,Table2[Dias no laborales]))</f>
        <v>3</v>
      </c>
      <c r="J2402" s="6" t="str">
        <f>IF(Table1[[#This Row],[FIN]]="","Acumulado",IF(ISNUMBER(SEARCH("ASAP",C2402)),"ASAP",IF(NETWORKDAYS.INTL(F2402,G2402,1,Table2[Dias no laborales]) &lt;= 7, "Dentro", IF(A2402&gt;F2402,"Programado","Fuera"))))</f>
        <v>Dentro</v>
      </c>
      <c r="K2402" s="6" t="str">
        <f t="shared" si="132"/>
        <v>A tiempo</v>
      </c>
      <c r="L2402" s="8">
        <v>46191</v>
      </c>
      <c r="M2402" s="17">
        <f>MAX(1,NETWORKDAYS(A2402,L2402,Table2[Dias no laborales]))</f>
        <v>1</v>
      </c>
    </row>
    <row r="2403" spans="1:13" hidden="1" x14ac:dyDescent="0.3">
      <c r="A2403" s="8">
        <v>46191</v>
      </c>
      <c r="B2403" s="16" t="s">
        <v>4800</v>
      </c>
      <c r="C2403" s="6" t="s">
        <v>4828</v>
      </c>
      <c r="D2403" s="6" t="s">
        <v>4778</v>
      </c>
      <c r="E2403" s="14">
        <v>46191.390972222223</v>
      </c>
      <c r="F2403" s="8">
        <f>IF(HOUR(Table1[[#This Row],[CORREO]])&gt;=11,WORKDAY(Table1[[#This Row],[CORREO]],1,Table2[Dias no laborales]),E2403)</f>
        <v>46191.390972222223</v>
      </c>
      <c r="G2403" s="8">
        <v>46195</v>
      </c>
      <c r="H2403" s="6">
        <f t="shared" si="131"/>
        <v>25</v>
      </c>
      <c r="I2403" s="6">
        <f>MAX(1, NETWORKDAYS(A2403, G2403,Table2[Dias no laborales]))</f>
        <v>3</v>
      </c>
      <c r="J2403" s="6" t="str">
        <f>IF(Table1[[#This Row],[FIN]]="","Acumulado",IF(ISNUMBER(SEARCH("ASAP",C2403)),"ASAP",IF(NETWORKDAYS.INTL(F2403,G2403,1,Table2[Dias no laborales]) &lt;= 7, "Dentro", IF(A2403&gt;F2403,"Programado","Fuera"))))</f>
        <v>Dentro</v>
      </c>
      <c r="K2403" s="6" t="str">
        <f t="shared" si="132"/>
        <v>A tiempo</v>
      </c>
      <c r="L2403" s="8">
        <v>46191</v>
      </c>
      <c r="M2403" s="17">
        <f>MAX(1,NETWORKDAYS(A2403,L2403,Table2[Dias no laborales]))</f>
        <v>1</v>
      </c>
    </row>
    <row r="2404" spans="1:13" hidden="1" x14ac:dyDescent="0.3">
      <c r="A2404" s="8">
        <v>46191</v>
      </c>
      <c r="B2404" s="16" t="s">
        <v>4801</v>
      </c>
      <c r="C2404" s="6" t="s">
        <v>4773</v>
      </c>
      <c r="D2404" s="6" t="s">
        <v>1333</v>
      </c>
      <c r="E2404" s="14">
        <v>46191.560416666667</v>
      </c>
      <c r="F2404" s="8">
        <f>IF(HOUR(Table1[[#This Row],[CORREO]])&gt;=11,WORKDAY(Table1[[#This Row],[CORREO]],1,Table2[Dias no laborales]),E2404)</f>
        <v>46192</v>
      </c>
      <c r="G2404" s="8">
        <v>46195</v>
      </c>
      <c r="H2404" s="6">
        <f t="shared" si="131"/>
        <v>25</v>
      </c>
      <c r="I2404" s="6">
        <f>MAX(1, NETWORKDAYS(A2404, G2404,Table2[Dias no laborales]))</f>
        <v>3</v>
      </c>
      <c r="J2404" s="6" t="str">
        <f>IF(Table1[[#This Row],[FIN]]="","Acumulado",IF(ISNUMBER(SEARCH("ASAP",C2404)),"ASAP",IF(NETWORKDAYS.INTL(F2404,G2404,1,Table2[Dias no laborales]) &lt;= 7, "Dentro", IF(A2404&gt;F2404,"Programado","Fuera"))))</f>
        <v>Dentro</v>
      </c>
      <c r="K2404" s="6" t="str">
        <f t="shared" si="132"/>
        <v>Mismo día</v>
      </c>
      <c r="L2404" s="8">
        <v>46191</v>
      </c>
      <c r="M2404" s="17">
        <f>MAX(1,NETWORKDAYS(A2404,L2404,Table2[Dias no laborales]))</f>
        <v>1</v>
      </c>
    </row>
    <row r="2405" spans="1:13" hidden="1" x14ac:dyDescent="0.3">
      <c r="A2405" s="8">
        <v>46192</v>
      </c>
      <c r="B2405" s="16" t="s">
        <v>4802</v>
      </c>
      <c r="C2405" s="6" t="s">
        <v>2149</v>
      </c>
      <c r="D2405" s="6" t="s">
        <v>477</v>
      </c>
      <c r="E2405" s="14">
        <v>46191.79583333333</v>
      </c>
      <c r="F2405" s="8">
        <f>IF(HOUR(Table1[[#This Row],[CORREO]])&gt;=11,WORKDAY(Table1[[#This Row],[CORREO]],1,Table2[Dias no laborales]),E2405)</f>
        <v>46192</v>
      </c>
      <c r="G2405" s="8">
        <v>46192</v>
      </c>
      <c r="H2405" s="6">
        <f t="shared" si="131"/>
        <v>25</v>
      </c>
      <c r="I2405" s="6">
        <f>MAX(1, NETWORKDAYS(A2405, G2405,Table2[Dias no laborales]))</f>
        <v>1</v>
      </c>
      <c r="J2405" s="6" t="str">
        <f>IF(Table1[[#This Row],[FIN]]="","Acumulado",IF(ISNUMBER(SEARCH("ASAP",C2405)),"ASAP",IF(NETWORKDAYS.INTL(F2405,G2405,1,Table2[Dias no laborales]) &lt;= 7, "Dentro", IF(A2405&gt;F2405,"Programado","Fuera"))))</f>
        <v>Dentro</v>
      </c>
      <c r="K2405" s="6" t="str">
        <f t="shared" si="132"/>
        <v>A tiempo</v>
      </c>
      <c r="L2405" s="8">
        <v>46192</v>
      </c>
      <c r="M2405" s="17">
        <f>MAX(1,NETWORKDAYS(A2405,L2405,Table2[Dias no laborales]))</f>
        <v>1</v>
      </c>
    </row>
    <row r="2406" spans="1:13" hidden="1" x14ac:dyDescent="0.3">
      <c r="A2406" s="8">
        <v>46192</v>
      </c>
      <c r="B2406" s="16" t="s">
        <v>4803</v>
      </c>
      <c r="C2406" s="6" t="s">
        <v>4829</v>
      </c>
      <c r="D2406" s="6" t="s">
        <v>238</v>
      </c>
      <c r="E2406" s="14">
        <v>46192.337500000001</v>
      </c>
      <c r="F2406" s="8">
        <f>IF(HOUR(Table1[[#This Row],[CORREO]])&gt;=11,WORKDAY(Table1[[#This Row],[CORREO]],1,Table2[Dias no laborales]),E2406)</f>
        <v>46192.337500000001</v>
      </c>
      <c r="G2406" s="8">
        <v>46192</v>
      </c>
      <c r="H2406" s="6">
        <f t="shared" si="131"/>
        <v>25</v>
      </c>
      <c r="I2406" s="6">
        <f>MAX(1, NETWORKDAYS(A2406, G2406,Table2[Dias no laborales]))</f>
        <v>1</v>
      </c>
      <c r="J2406" s="6" t="str">
        <f>IF(Table1[[#This Row],[FIN]]="","Acumulado",IF(ISNUMBER(SEARCH("ASAP",C2406)),"ASAP",IF(NETWORKDAYS.INTL(F2406,G2406,1,Table2[Dias no laborales]) &lt;= 7, "Dentro", IF(A2406&gt;F2406,"Programado","Fuera"))))</f>
        <v>Dentro</v>
      </c>
      <c r="K2406" s="6" t="str">
        <f t="shared" si="132"/>
        <v>A tiempo</v>
      </c>
      <c r="L2406" s="8">
        <v>46192</v>
      </c>
      <c r="M2406" s="17">
        <f>MAX(1,NETWORKDAYS(A2406,L2406,Table2[Dias no laborales]))</f>
        <v>1</v>
      </c>
    </row>
    <row r="2407" spans="1:13" hidden="1" x14ac:dyDescent="0.3">
      <c r="A2407" s="8">
        <v>46192</v>
      </c>
      <c r="B2407" s="16" t="s">
        <v>4804</v>
      </c>
      <c r="C2407" s="6" t="s">
        <v>4690</v>
      </c>
      <c r="D2407" s="6" t="s">
        <v>85</v>
      </c>
      <c r="E2407" s="14">
        <v>46192.34652777778</v>
      </c>
      <c r="F2407" s="8">
        <f>IF(HOUR(Table1[[#This Row],[CORREO]])&gt;=11,WORKDAY(Table1[[#This Row],[CORREO]],1,Table2[Dias no laborales]),E2407)</f>
        <v>46192.34652777778</v>
      </c>
      <c r="G2407" s="8">
        <v>46192</v>
      </c>
      <c r="H2407" s="6">
        <f t="shared" si="131"/>
        <v>25</v>
      </c>
      <c r="I2407" s="6">
        <f>MAX(1, NETWORKDAYS(A2407, G2407,Table2[Dias no laborales]))</f>
        <v>1</v>
      </c>
      <c r="J2407" s="6" t="str">
        <f>IF(Table1[[#This Row],[FIN]]="","Acumulado",IF(ISNUMBER(SEARCH("ASAP",C2407)),"ASAP",IF(NETWORKDAYS.INTL(F2407,G2407,1,Table2[Dias no laborales]) &lt;= 7, "Dentro", IF(A2407&gt;F2407,"Programado","Fuera"))))</f>
        <v>Dentro</v>
      </c>
      <c r="K2407" s="6" t="str">
        <f t="shared" si="132"/>
        <v>A tiempo</v>
      </c>
      <c r="L2407" s="8">
        <v>46192</v>
      </c>
      <c r="M2407" s="17">
        <f>MAX(1,NETWORKDAYS(A2407,L2407,Table2[Dias no laborales]))</f>
        <v>1</v>
      </c>
    </row>
    <row r="2408" spans="1:13" hidden="1" x14ac:dyDescent="0.3">
      <c r="A2408" s="8">
        <v>46192</v>
      </c>
      <c r="B2408" s="16" t="s">
        <v>4805</v>
      </c>
      <c r="C2408" s="6" t="s">
        <v>4830</v>
      </c>
      <c r="D2408" s="6" t="s">
        <v>571</v>
      </c>
      <c r="E2408" s="14">
        <v>46192.361111111109</v>
      </c>
      <c r="F2408" s="8">
        <f>IF(HOUR(Table1[[#This Row],[CORREO]])&gt;=11,WORKDAY(Table1[[#This Row],[CORREO]],1,Table2[Dias no laborales]),E2408)</f>
        <v>46192.361111111109</v>
      </c>
      <c r="G2408" s="8">
        <v>46196</v>
      </c>
      <c r="H2408" s="6">
        <f t="shared" si="131"/>
        <v>25</v>
      </c>
      <c r="I2408" s="6">
        <f>MAX(1, NETWORKDAYS(A2408, G2408,Table2[Dias no laborales]))</f>
        <v>3</v>
      </c>
      <c r="J2408" s="6" t="str">
        <f>IF(Table1[[#This Row],[FIN]]="","Acumulado",IF(ISNUMBER(SEARCH("ASAP",C2408)),"ASAP",IF(NETWORKDAYS.INTL(F2408,G2408,1,Table2[Dias no laborales]) &lt;= 7, "Dentro", IF(A2408&gt;F2408,"Programado","Fuera"))))</f>
        <v>Dentro</v>
      </c>
      <c r="K2408" s="6" t="str">
        <f t="shared" si="132"/>
        <v>A tiempo</v>
      </c>
      <c r="L2408" s="8">
        <v>46192</v>
      </c>
      <c r="M2408" s="17">
        <f>MAX(1,NETWORKDAYS(A2408,L2408,Table2[Dias no laborales]))</f>
        <v>1</v>
      </c>
    </row>
    <row r="2409" spans="1:13" hidden="1" x14ac:dyDescent="0.3">
      <c r="A2409" s="8">
        <v>46192</v>
      </c>
      <c r="B2409" s="16" t="s">
        <v>4806</v>
      </c>
      <c r="C2409" s="6" t="s">
        <v>4831</v>
      </c>
      <c r="D2409" s="6" t="s">
        <v>1333</v>
      </c>
      <c r="E2409" s="14"/>
      <c r="F2409" s="8">
        <f>IF(HOUR(Table1[[#This Row],[CORREO]])&gt;=11,WORKDAY(Table1[[#This Row],[CORREO]],1,Table2[Dias no laborales]),E2409)</f>
        <v>0</v>
      </c>
      <c r="G2409" s="8">
        <v>46192</v>
      </c>
      <c r="H2409" s="6">
        <f t="shared" si="131"/>
        <v>25</v>
      </c>
      <c r="I2409" s="6">
        <f>MAX(1, NETWORKDAYS(A2409, G2409,Table2[Dias no laborales]))</f>
        <v>1</v>
      </c>
      <c r="J2409" s="6" t="str">
        <f>IF(Table1[[#This Row],[FIN]]="","Acumulado",IF(ISNUMBER(SEARCH("ASAP",C2409)),"ASAP",IF(NETWORKDAYS.INTL(F2409,G2409,1,Table2[Dias no laborales]) &lt;= 7, "Dentro", IF(A2409&gt;F2409,"Programado","Fuera"))))</f>
        <v>Programado</v>
      </c>
      <c r="K2409" s="6" t="str">
        <f t="shared" si="132"/>
        <v>Programados</v>
      </c>
      <c r="L2409" s="8">
        <v>46192</v>
      </c>
      <c r="M2409" s="17">
        <f>MAX(1,NETWORKDAYS(A2409,L2409,Table2[Dias no laborales]))</f>
        <v>1</v>
      </c>
    </row>
    <row r="2410" spans="1:13" hidden="1" x14ac:dyDescent="0.3">
      <c r="A2410" s="8">
        <v>46192</v>
      </c>
      <c r="B2410" s="16" t="s">
        <v>4807</v>
      </c>
      <c r="C2410" s="6" t="s">
        <v>196</v>
      </c>
      <c r="D2410" s="6" t="s">
        <v>27</v>
      </c>
      <c r="E2410" s="14"/>
      <c r="F2410" s="8">
        <f>IF(HOUR(Table1[[#This Row],[CORREO]])&gt;=11,WORKDAY(Table1[[#This Row],[CORREO]],1,Table2[Dias no laborales]),E2410)</f>
        <v>0</v>
      </c>
      <c r="G2410" s="8">
        <v>46195</v>
      </c>
      <c r="H2410" s="6">
        <f t="shared" si="131"/>
        <v>25</v>
      </c>
      <c r="I2410" s="6">
        <f>MAX(1, NETWORKDAYS(A2410, G2410,Table2[Dias no laborales]))</f>
        <v>2</v>
      </c>
      <c r="J2410" s="6" t="str">
        <f>IF(Table1[[#This Row],[FIN]]="","Acumulado",IF(ISNUMBER(SEARCH("ASAP",C2410)),"ASAP",IF(NETWORKDAYS.INTL(F2410,G2410,1,Table2[Dias no laborales]) &lt;= 7, "Dentro", IF(A2410&gt;F2410,"Programado","Fuera"))))</f>
        <v>Programado</v>
      </c>
      <c r="K2410" s="6" t="str">
        <f t="shared" si="132"/>
        <v>Programados</v>
      </c>
      <c r="L2410" s="8">
        <v>46192</v>
      </c>
      <c r="M2410" s="17">
        <f>MAX(1,NETWORKDAYS(A2410,L2410,Table2[Dias no laborales]))</f>
        <v>1</v>
      </c>
    </row>
    <row r="2411" spans="1:13" hidden="1" x14ac:dyDescent="0.3">
      <c r="A2411" s="8">
        <v>46192</v>
      </c>
      <c r="B2411" s="16" t="s">
        <v>4808</v>
      </c>
      <c r="C2411" s="6" t="s">
        <v>188</v>
      </c>
      <c r="D2411" s="6" t="s">
        <v>27</v>
      </c>
      <c r="E2411" s="14"/>
      <c r="F2411" s="8">
        <f>IF(HOUR(Table1[[#This Row],[CORREO]])&gt;=11,WORKDAY(Table1[[#This Row],[CORREO]],1,Table2[Dias no laborales]),E2411)</f>
        <v>0</v>
      </c>
      <c r="G2411" s="8">
        <v>46195</v>
      </c>
      <c r="H2411" s="6">
        <f t="shared" si="131"/>
        <v>25</v>
      </c>
      <c r="I2411" s="6">
        <f>MAX(1, NETWORKDAYS(A2411, G2411,Table2[Dias no laborales]))</f>
        <v>2</v>
      </c>
      <c r="J2411" s="6" t="str">
        <f>IF(Table1[[#This Row],[FIN]]="","Acumulado",IF(ISNUMBER(SEARCH("ASAP",C2411)),"ASAP",IF(NETWORKDAYS.INTL(F2411,G2411,1,Table2[Dias no laborales]) &lt;= 7, "Dentro", IF(A2411&gt;F2411,"Programado","Fuera"))))</f>
        <v>Programado</v>
      </c>
      <c r="K2411" s="6" t="str">
        <f t="shared" si="132"/>
        <v>Programados</v>
      </c>
      <c r="L2411" s="8">
        <v>46192</v>
      </c>
      <c r="M2411" s="17">
        <f>MAX(1,NETWORKDAYS(A2411,L2411,Table2[Dias no laborales]))</f>
        <v>1</v>
      </c>
    </row>
    <row r="2412" spans="1:13" hidden="1" x14ac:dyDescent="0.3">
      <c r="A2412" s="8">
        <v>46192</v>
      </c>
      <c r="B2412" s="16" t="s">
        <v>4809</v>
      </c>
      <c r="C2412" s="6" t="s">
        <v>4832</v>
      </c>
      <c r="D2412" s="6" t="s">
        <v>392</v>
      </c>
      <c r="E2412" s="14">
        <v>46192.39166666667</v>
      </c>
      <c r="F2412" s="8">
        <f>IF(HOUR(Table1[[#This Row],[CORREO]])&gt;=11,WORKDAY(Table1[[#This Row],[CORREO]],1,Table2[Dias no laborales]),E2412)</f>
        <v>46192.39166666667</v>
      </c>
      <c r="G2412" s="8">
        <v>46197</v>
      </c>
      <c r="H2412" s="6">
        <f t="shared" si="131"/>
        <v>25</v>
      </c>
      <c r="I2412" s="6">
        <f>MAX(1, NETWORKDAYS(A2412, G2412,Table2[Dias no laborales]))</f>
        <v>4</v>
      </c>
      <c r="J2412" s="6" t="str">
        <f>IF(Table1[[#This Row],[FIN]]="","Acumulado",IF(ISNUMBER(SEARCH("ASAP",C2412)),"ASAP",IF(NETWORKDAYS.INTL(F2412,G2412,1,Table2[Dias no laborales]) &lt;= 7, "Dentro", IF(A2412&gt;F2412,"Programado","Fuera"))))</f>
        <v>Dentro</v>
      </c>
      <c r="K2412" s="6" t="str">
        <f t="shared" si="132"/>
        <v>A tiempo</v>
      </c>
      <c r="L2412" s="8">
        <v>46192</v>
      </c>
      <c r="M2412" s="17">
        <f>MAX(1,NETWORKDAYS(A2412,L2412,Table2[Dias no laborales]))</f>
        <v>1</v>
      </c>
    </row>
    <row r="2413" spans="1:13" hidden="1" x14ac:dyDescent="0.3">
      <c r="A2413" s="8">
        <v>46192</v>
      </c>
      <c r="B2413" s="16" t="s">
        <v>4810</v>
      </c>
      <c r="C2413" s="6" t="s">
        <v>4555</v>
      </c>
      <c r="D2413" s="6" t="s">
        <v>392</v>
      </c>
      <c r="E2413" s="14">
        <v>46192.480555555558</v>
      </c>
      <c r="F2413" s="8">
        <f>IF(HOUR(Table1[[#This Row],[CORREO]])&gt;=11,WORKDAY(Table1[[#This Row],[CORREO]],1,Table2[Dias no laborales]),E2413)</f>
        <v>46195</v>
      </c>
      <c r="G2413" s="8">
        <v>46195</v>
      </c>
      <c r="H2413" s="6">
        <f t="shared" si="131"/>
        <v>25</v>
      </c>
      <c r="I2413" s="6">
        <f>MAX(1, NETWORKDAYS(A2413, G2413,Table2[Dias no laborales]))</f>
        <v>2</v>
      </c>
      <c r="J2413" s="6" t="str">
        <f>IF(Table1[[#This Row],[FIN]]="","Acumulado",IF(ISNUMBER(SEARCH("ASAP",C2413)),"ASAP",IF(NETWORKDAYS.INTL(F2413,G2413,1,Table2[Dias no laborales]) &lt;= 7, "Dentro", IF(A2413&gt;F2413,"Programado","Fuera"))))</f>
        <v>Dentro</v>
      </c>
      <c r="K2413" s="6" t="str">
        <f t="shared" si="132"/>
        <v>Mismo día</v>
      </c>
      <c r="L2413" s="8">
        <v>46192</v>
      </c>
      <c r="M2413" s="17">
        <f>MAX(1,NETWORKDAYS(A2413,L2413,Table2[Dias no laborales]))</f>
        <v>1</v>
      </c>
    </row>
    <row r="2414" spans="1:13" hidden="1" x14ac:dyDescent="0.3">
      <c r="A2414" s="8">
        <v>46195</v>
      </c>
      <c r="B2414" s="16" t="s">
        <v>4811</v>
      </c>
      <c r="C2414" s="6" t="s">
        <v>4863</v>
      </c>
      <c r="D2414" s="6" t="s">
        <v>24</v>
      </c>
      <c r="E2414" s="14"/>
      <c r="F2414" s="8">
        <f>IF(HOUR(Table1[[#This Row],[CORREO]])&gt;=11,WORKDAY(Table1[[#This Row],[CORREO]],1,Table2[Dias no laborales]),E2414)</f>
        <v>0</v>
      </c>
      <c r="G2414" s="8">
        <v>46199</v>
      </c>
      <c r="H2414" s="6">
        <f t="shared" si="131"/>
        <v>25</v>
      </c>
      <c r="I2414" s="6">
        <f>MAX(1, NETWORKDAYS(A2414, G2414,Table2[Dias no laborales]))</f>
        <v>5</v>
      </c>
      <c r="J2414" s="6" t="str">
        <f>IF(Table1[[#This Row],[FIN]]="","Acumulado",IF(ISNUMBER(SEARCH("ASAP",C2414)),"ASAP",IF(NETWORKDAYS.INTL(F2414,G2414,1,Table2[Dias no laborales]) &lt;= 7, "Dentro", IF(A2414&gt;F2414,"Programado","Fuera"))))</f>
        <v>Programado</v>
      </c>
      <c r="K2414" s="6" t="str">
        <f t="shared" si="132"/>
        <v>Programados</v>
      </c>
      <c r="L2414" s="8">
        <v>46195</v>
      </c>
      <c r="M2414" s="17">
        <f>MAX(1,NETWORKDAYS(A2414,L2414,Table2[Dias no laborales]))</f>
        <v>1</v>
      </c>
    </row>
    <row r="2415" spans="1:13" hidden="1" x14ac:dyDescent="0.3">
      <c r="A2415" s="8">
        <v>46195</v>
      </c>
      <c r="B2415" s="16" t="s">
        <v>4812</v>
      </c>
      <c r="C2415" s="6" t="s">
        <v>4864</v>
      </c>
      <c r="D2415" s="6" t="s">
        <v>4865</v>
      </c>
      <c r="E2415" s="14">
        <v>46192.473611111112</v>
      </c>
      <c r="F2415" s="8">
        <f>IF(HOUR(Table1[[#This Row],[CORREO]])&gt;=11,WORKDAY(Table1[[#This Row],[CORREO]],1,Table2[Dias no laborales]),E2415)</f>
        <v>46195</v>
      </c>
      <c r="G2415" s="8"/>
      <c r="H2415" s="6">
        <f t="shared" si="131"/>
        <v>25</v>
      </c>
      <c r="I2415" s="6">
        <f>MAX(1, NETWORKDAYS(A2415, G2415,Table2[Dias no laborales]))</f>
        <v>1</v>
      </c>
      <c r="J2415" s="6" t="str">
        <f>IF(Table1[[#This Row],[FIN]]="","Acumulado",IF(ISNUMBER(SEARCH("ASAP",C2415)),"ASAP",IF(NETWORKDAYS.INTL(F2415,G2415,1,Table2[Dias no laborales]) &lt;= 7, "Dentro", IF(A2415&gt;F2415,"Programado","Fuera"))))</f>
        <v>Acumulado</v>
      </c>
      <c r="K2415" s="6" t="str">
        <f t="shared" si="132"/>
        <v>A tiempo</v>
      </c>
      <c r="L2415" s="8">
        <v>46195</v>
      </c>
      <c r="M2415" s="17">
        <f>MAX(1,NETWORKDAYS(A2415,L2415,Table2[Dias no laborales]))</f>
        <v>1</v>
      </c>
    </row>
    <row r="2416" spans="1:13" hidden="1" x14ac:dyDescent="0.3">
      <c r="A2416" s="8">
        <v>46195</v>
      </c>
      <c r="B2416" s="16" t="s">
        <v>4813</v>
      </c>
      <c r="C2416" s="6" t="s">
        <v>4700</v>
      </c>
      <c r="D2416" s="6" t="s">
        <v>4866</v>
      </c>
      <c r="E2416" s="14">
        <v>46192.495833333334</v>
      </c>
      <c r="F2416" s="8">
        <f>IF(HOUR(Table1[[#This Row],[CORREO]])&gt;=11,WORKDAY(Table1[[#This Row],[CORREO]],1,Table2[Dias no laborales]),E2416)</f>
        <v>46195</v>
      </c>
      <c r="G2416" s="8">
        <v>46204</v>
      </c>
      <c r="H2416" s="6">
        <f t="shared" si="131"/>
        <v>25</v>
      </c>
      <c r="I2416" s="6">
        <f>MAX(1, NETWORKDAYS(A2416, G2416,Table2[Dias no laborales]))</f>
        <v>8</v>
      </c>
      <c r="J2416" s="6" t="str">
        <f>IF(Table1[[#This Row],[FIN]]="","Acumulado",IF(ISNUMBER(SEARCH("ASAP",C2416)),"ASAP",IF(NETWORKDAYS.INTL(F2416,G2416,1,Table2[Dias no laborales]) &lt;= 7, "Dentro", IF(A2416&gt;F2416,"Programado","Fuera"))))</f>
        <v>Fuera</v>
      </c>
      <c r="K2416" s="6" t="str">
        <f t="shared" si="132"/>
        <v>A tiempo</v>
      </c>
      <c r="L2416" s="8">
        <v>46195</v>
      </c>
      <c r="M2416" s="17">
        <f>MAX(1,NETWORKDAYS(A2416,L2416,Table2[Dias no laborales]))</f>
        <v>1</v>
      </c>
    </row>
    <row r="2417" spans="1:13" hidden="1" x14ac:dyDescent="0.3">
      <c r="A2417" s="8">
        <v>46195</v>
      </c>
      <c r="B2417" s="16" t="s">
        <v>4814</v>
      </c>
      <c r="C2417" s="6" t="s">
        <v>4700</v>
      </c>
      <c r="D2417" s="6" t="s">
        <v>4867</v>
      </c>
      <c r="E2417" s="14">
        <v>46192.495833333334</v>
      </c>
      <c r="F2417" s="8">
        <f>IF(HOUR(Table1[[#This Row],[CORREO]])&gt;=11,WORKDAY(Table1[[#This Row],[CORREO]],1,Table2[Dias no laborales]),E2417)</f>
        <v>46195</v>
      </c>
      <c r="G2417" s="8">
        <v>46209</v>
      </c>
      <c r="H2417" s="6">
        <f t="shared" si="131"/>
        <v>25</v>
      </c>
      <c r="I2417" s="6">
        <f>MAX(1, NETWORKDAYS(A2417, G2417,Table2[Dias no laborales]))</f>
        <v>11</v>
      </c>
      <c r="J2417" s="6" t="str">
        <f>IF(Table1[[#This Row],[FIN]]="","Acumulado",IF(ISNUMBER(SEARCH("ASAP",C2417)),"ASAP",IF(NETWORKDAYS.INTL(F2417,G2417,1,Table2[Dias no laborales]) &lt;= 7, "Dentro", IF(A2417&gt;F2417,"Programado","Fuera"))))</f>
        <v>Fuera</v>
      </c>
      <c r="K2417" s="6" t="str">
        <f t="shared" si="132"/>
        <v>A tiempo</v>
      </c>
      <c r="L2417" s="8">
        <v>46195</v>
      </c>
      <c r="M2417" s="17">
        <f>MAX(1,NETWORKDAYS(A2417,L2417,Table2[Dias no laborales]))</f>
        <v>1</v>
      </c>
    </row>
    <row r="2418" spans="1:13" hidden="1" x14ac:dyDescent="0.3">
      <c r="A2418" s="8">
        <v>46195</v>
      </c>
      <c r="B2418" s="16" t="s">
        <v>4815</v>
      </c>
      <c r="C2418" s="6" t="s">
        <v>4700</v>
      </c>
      <c r="D2418" s="6" t="s">
        <v>4868</v>
      </c>
      <c r="E2418" s="14">
        <v>46192.495833333334</v>
      </c>
      <c r="F2418" s="8">
        <f>IF(HOUR(Table1[[#This Row],[CORREO]])&gt;=11,WORKDAY(Table1[[#This Row],[CORREO]],1,Table2[Dias no laborales]),E2418)</f>
        <v>46195</v>
      </c>
      <c r="G2418" s="8"/>
      <c r="H2418" s="6">
        <f t="shared" si="131"/>
        <v>25</v>
      </c>
      <c r="I2418" s="6">
        <f>MAX(1, NETWORKDAYS(A2418, G2418,Table2[Dias no laborales]))</f>
        <v>1</v>
      </c>
      <c r="J2418" s="6" t="str">
        <f>IF(Table1[[#This Row],[FIN]]="","Acumulado",IF(ISNUMBER(SEARCH("ASAP",C2418)),"ASAP",IF(NETWORKDAYS.INTL(F2418,G2418,1,Table2[Dias no laborales]) &lt;= 7, "Dentro", IF(A2418&gt;F2418,"Programado","Fuera"))))</f>
        <v>Acumulado</v>
      </c>
      <c r="K2418" s="6" t="str">
        <f t="shared" si="132"/>
        <v>A tiempo</v>
      </c>
      <c r="L2418" s="8">
        <v>46195</v>
      </c>
      <c r="M2418" s="17">
        <f>MAX(1,NETWORKDAYS(A2418,L2418,Table2[Dias no laborales]))</f>
        <v>1</v>
      </c>
    </row>
    <row r="2419" spans="1:13" hidden="1" x14ac:dyDescent="0.3">
      <c r="A2419" s="8">
        <v>46195</v>
      </c>
      <c r="B2419" s="16" t="s">
        <v>4816</v>
      </c>
      <c r="C2419" s="6" t="s">
        <v>4555</v>
      </c>
      <c r="D2419" s="6" t="s">
        <v>392</v>
      </c>
      <c r="E2419" s="14">
        <v>46195.336111111108</v>
      </c>
      <c r="F2419" s="8">
        <f>IF(HOUR(Table1[[#This Row],[CORREO]])&gt;=11,WORKDAY(Table1[[#This Row],[CORREO]],1,Table2[Dias no laborales]),E2419)</f>
        <v>46195.336111111108</v>
      </c>
      <c r="G2419" s="8">
        <v>46195</v>
      </c>
      <c r="H2419" s="6">
        <f t="shared" si="131"/>
        <v>25</v>
      </c>
      <c r="I2419" s="6">
        <f>MAX(1, NETWORKDAYS(A2419, G2419,Table2[Dias no laborales]))</f>
        <v>1</v>
      </c>
      <c r="J2419" s="6" t="str">
        <f>IF(Table1[[#This Row],[FIN]]="","Acumulado",IF(ISNUMBER(SEARCH("ASAP",C2419)),"ASAP",IF(NETWORKDAYS.INTL(F2419,G2419,1,Table2[Dias no laborales]) &lt;= 7, "Dentro", IF(A2419&gt;F2419,"Programado","Fuera"))))</f>
        <v>Dentro</v>
      </c>
      <c r="K2419" s="6" t="str">
        <f t="shared" si="132"/>
        <v>A tiempo</v>
      </c>
      <c r="L2419" s="8">
        <v>46195</v>
      </c>
      <c r="M2419" s="17">
        <f>MAX(1,NETWORKDAYS(A2419,L2419,Table2[Dias no laborales]))</f>
        <v>1</v>
      </c>
    </row>
    <row r="2420" spans="1:13" hidden="1" x14ac:dyDescent="0.3">
      <c r="A2420" s="8">
        <v>46195</v>
      </c>
      <c r="B2420" s="16" t="s">
        <v>4817</v>
      </c>
      <c r="C2420" s="6" t="s">
        <v>4869</v>
      </c>
      <c r="D2420" s="6" t="s">
        <v>4870</v>
      </c>
      <c r="E2420" s="14">
        <v>46195.413888888892</v>
      </c>
      <c r="F2420" s="8">
        <f>IF(HOUR(Table1[[#This Row],[CORREO]])&gt;=11,WORKDAY(Table1[[#This Row],[CORREO]],1,Table2[Dias no laborales]),E2420)</f>
        <v>46195.413888888892</v>
      </c>
      <c r="G2420" s="8">
        <v>46197</v>
      </c>
      <c r="H2420" s="6">
        <f t="shared" si="131"/>
        <v>25</v>
      </c>
      <c r="I2420" s="6">
        <f>MAX(1, NETWORKDAYS(A2420, G2420,Table2[Dias no laborales]))</f>
        <v>3</v>
      </c>
      <c r="J2420" s="6" t="str">
        <f>IF(Table1[[#This Row],[FIN]]="","Acumulado",IF(ISNUMBER(SEARCH("ASAP",C2420)),"ASAP",IF(NETWORKDAYS.INTL(F2420,G2420,1,Table2[Dias no laborales]) &lt;= 7, "Dentro", IF(A2420&gt;F2420,"Programado","Fuera"))))</f>
        <v>Dentro</v>
      </c>
      <c r="K2420" s="6" t="str">
        <f t="shared" si="132"/>
        <v>A tiempo</v>
      </c>
      <c r="L2420" s="8">
        <v>46195</v>
      </c>
      <c r="M2420" s="17">
        <f>MAX(1,NETWORKDAYS(A2420,L2420,Table2[Dias no laborales]))</f>
        <v>1</v>
      </c>
    </row>
    <row r="2421" spans="1:13" hidden="1" x14ac:dyDescent="0.3">
      <c r="A2421" s="8">
        <v>46195</v>
      </c>
      <c r="B2421" s="16" t="s">
        <v>4818</v>
      </c>
      <c r="C2421" s="6" t="s">
        <v>4871</v>
      </c>
      <c r="D2421" s="6" t="s">
        <v>4871</v>
      </c>
      <c r="E2421" s="14">
        <v>46195.448611111111</v>
      </c>
      <c r="F2421" s="8">
        <f>IF(HOUR(Table1[[#This Row],[CORREO]])&gt;=11,WORKDAY(Table1[[#This Row],[CORREO]],1,Table2[Dias no laborales]),E2421)</f>
        <v>46195.448611111111</v>
      </c>
      <c r="G2421" s="8">
        <v>46195</v>
      </c>
      <c r="H2421" s="6">
        <f t="shared" si="131"/>
        <v>25</v>
      </c>
      <c r="I2421" s="6">
        <f>MAX(1, NETWORKDAYS(A2421, G2421,Table2[Dias no laborales]))</f>
        <v>1</v>
      </c>
      <c r="J2421" s="6" t="str">
        <f>IF(Table1[[#This Row],[FIN]]="","Acumulado",IF(ISNUMBER(SEARCH("ASAP",C2421)),"ASAP",IF(NETWORKDAYS.INTL(F2421,G2421,1,Table2[Dias no laborales]) &lt;= 7, "Dentro", IF(A2421&gt;F2421,"Programado","Fuera"))))</f>
        <v>Dentro</v>
      </c>
      <c r="K2421" s="6" t="str">
        <f t="shared" si="132"/>
        <v>A tiempo</v>
      </c>
      <c r="L2421" s="8">
        <v>46195</v>
      </c>
      <c r="M2421" s="17">
        <f>MAX(1,NETWORKDAYS(A2421,L2421,Table2[Dias no laborales]))</f>
        <v>1</v>
      </c>
    </row>
    <row r="2422" spans="1:13" hidden="1" x14ac:dyDescent="0.3">
      <c r="A2422" s="8">
        <v>46195</v>
      </c>
      <c r="B2422" s="16" t="s">
        <v>4819</v>
      </c>
      <c r="C2422" s="6" t="s">
        <v>4872</v>
      </c>
      <c r="D2422" s="6" t="s">
        <v>3020</v>
      </c>
      <c r="E2422" s="14">
        <v>46195.668055555558</v>
      </c>
      <c r="F2422" s="8">
        <f>IF(HOUR(Table1[[#This Row],[CORREO]])&gt;=11,WORKDAY(Table1[[#This Row],[CORREO]],1,Table2[Dias no laborales]),E2422)</f>
        <v>46196</v>
      </c>
      <c r="G2422" s="8">
        <v>46198</v>
      </c>
      <c r="H2422" s="6">
        <f t="shared" si="131"/>
        <v>25</v>
      </c>
      <c r="I2422" s="6">
        <f>MAX(1, NETWORKDAYS(A2422, G2422,Table2[Dias no laborales]))</f>
        <v>4</v>
      </c>
      <c r="J2422" s="6" t="str">
        <f>IF(Table1[[#This Row],[FIN]]="","Acumulado",IF(ISNUMBER(SEARCH("ASAP",C2422)),"ASAP",IF(NETWORKDAYS.INTL(F2422,G2422,1,Table2[Dias no laborales]) &lt;= 7, "Dentro", IF(A2422&gt;F2422,"Programado","Fuera"))))</f>
        <v>Dentro</v>
      </c>
      <c r="K2422" s="6" t="str">
        <f t="shared" si="132"/>
        <v>Mismo día</v>
      </c>
      <c r="L2422" s="8">
        <v>46195</v>
      </c>
      <c r="M2422" s="17">
        <f>MAX(1,NETWORKDAYS(A2422,L2422,Table2[Dias no laborales]))</f>
        <v>1</v>
      </c>
    </row>
    <row r="2423" spans="1:13" hidden="1" x14ac:dyDescent="0.3">
      <c r="A2423" s="8">
        <v>46195</v>
      </c>
      <c r="B2423" s="16" t="s">
        <v>4833</v>
      </c>
      <c r="C2423" s="6" t="s">
        <v>4873</v>
      </c>
      <c r="D2423" s="6" t="s">
        <v>24</v>
      </c>
      <c r="E2423" s="14"/>
      <c r="F2423" s="8">
        <f>IF(HOUR(Table1[[#This Row],[CORREO]])&gt;=11,WORKDAY(Table1[[#This Row],[CORREO]],1,Table2[Dias no laborales]),E2423)</f>
        <v>0</v>
      </c>
      <c r="G2423" s="8">
        <v>46204</v>
      </c>
      <c r="H2423" s="6">
        <f t="shared" ref="H2423:H2452" si="133">INT((A2423-DATE(YEAR(A2423),1,1))/7) + 1</f>
        <v>25</v>
      </c>
      <c r="I2423" s="6">
        <f>MAX(1, NETWORKDAYS(A2423, G2423,Table2[Dias no laborales]))</f>
        <v>8</v>
      </c>
      <c r="J2423" s="6" t="str">
        <f>IF(Table1[[#This Row],[FIN]]="","Acumulado",IF(ISNUMBER(SEARCH("ASAP",C2423)),"ASAP",IF(NETWORKDAYS.INTL(F2423,G2423,1,Table2[Dias no laborales]) &lt;= 7, "Dentro", IF(A2423&gt;F2423,"Programado","Fuera"))))</f>
        <v>Programado</v>
      </c>
      <c r="K2423" s="6" t="str">
        <f t="shared" ref="K2423:K2452" si="134">IF(INT(A2423)=INT(F2423),"A tiempo", IF(A2423&lt;F2423,"Mismo día","Programados"))</f>
        <v>Programados</v>
      </c>
      <c r="L2423" s="8">
        <v>46195</v>
      </c>
      <c r="M2423" s="17">
        <f>MAX(1,NETWORKDAYS(A2423,L2423,Table2[Dias no laborales]))</f>
        <v>1</v>
      </c>
    </row>
    <row r="2424" spans="1:13" hidden="1" x14ac:dyDescent="0.3">
      <c r="A2424" s="8">
        <v>46195</v>
      </c>
      <c r="B2424" s="16" t="s">
        <v>4834</v>
      </c>
      <c r="C2424" s="6" t="s">
        <v>4874</v>
      </c>
      <c r="D2424" s="6" t="s">
        <v>133</v>
      </c>
      <c r="E2424" s="14"/>
      <c r="F2424" s="8">
        <f>IF(HOUR(Table1[[#This Row],[CORREO]])&gt;=11,WORKDAY(Table1[[#This Row],[CORREO]],1,Table2[Dias no laborales]),E2424)</f>
        <v>0</v>
      </c>
      <c r="G2424" s="8">
        <v>46197</v>
      </c>
      <c r="H2424" s="6">
        <f t="shared" si="133"/>
        <v>25</v>
      </c>
      <c r="I2424" s="6">
        <f>MAX(1, NETWORKDAYS(A2424, G2424,Table2[Dias no laborales]))</f>
        <v>3</v>
      </c>
      <c r="J2424" s="6" t="str">
        <f>IF(Table1[[#This Row],[FIN]]="","Acumulado",IF(ISNUMBER(SEARCH("ASAP",C2424)),"ASAP",IF(NETWORKDAYS.INTL(F2424,G2424,1,Table2[Dias no laborales]) &lt;= 7, "Dentro", IF(A2424&gt;F2424,"Programado","Fuera"))))</f>
        <v>Programado</v>
      </c>
      <c r="K2424" s="6" t="str">
        <f t="shared" si="134"/>
        <v>Programados</v>
      </c>
      <c r="L2424" s="8">
        <v>46195</v>
      </c>
      <c r="M2424" s="17">
        <f>MAX(1,NETWORKDAYS(A2424,L2424,Table2[Dias no laborales]))</f>
        <v>1</v>
      </c>
    </row>
    <row r="2425" spans="1:13" hidden="1" x14ac:dyDescent="0.3">
      <c r="A2425" s="8">
        <v>46196</v>
      </c>
      <c r="B2425" s="16" t="s">
        <v>4835</v>
      </c>
      <c r="C2425" s="6" t="s">
        <v>4875</v>
      </c>
      <c r="D2425" s="6" t="s">
        <v>3041</v>
      </c>
      <c r="E2425" s="14"/>
      <c r="F2425" s="8">
        <f>IF(HOUR(Table1[[#This Row],[CORREO]])&gt;=11,WORKDAY(Table1[[#This Row],[CORREO]],1,Table2[Dias no laborales]),E2425)</f>
        <v>0</v>
      </c>
      <c r="G2425" s="8">
        <v>46196</v>
      </c>
      <c r="H2425" s="6">
        <f t="shared" si="133"/>
        <v>25</v>
      </c>
      <c r="I2425" s="6">
        <f>MAX(1, NETWORKDAYS(A2425, G2425,Table2[Dias no laborales]))</f>
        <v>1</v>
      </c>
      <c r="J2425" s="6" t="str">
        <f>IF(Table1[[#This Row],[FIN]]="","Acumulado",IF(ISNUMBER(SEARCH("ASAP",C2425)),"ASAP",IF(NETWORKDAYS.INTL(F2425,G2425,1,Table2[Dias no laborales]) &lt;= 7, "Dentro", IF(A2425&gt;F2425,"Programado","Fuera"))))</f>
        <v>Programado</v>
      </c>
      <c r="K2425" s="6" t="str">
        <f t="shared" si="134"/>
        <v>Programados</v>
      </c>
      <c r="L2425" s="8">
        <v>46196</v>
      </c>
      <c r="M2425" s="17">
        <f>MAX(1,NETWORKDAYS(A2425,L2425,Table2[Dias no laborales]))</f>
        <v>1</v>
      </c>
    </row>
    <row r="2426" spans="1:13" hidden="1" x14ac:dyDescent="0.3">
      <c r="A2426" s="8">
        <v>46196</v>
      </c>
      <c r="B2426" s="16" t="s">
        <v>4836</v>
      </c>
      <c r="C2426" s="6" t="s">
        <v>4876</v>
      </c>
      <c r="D2426" s="6" t="s">
        <v>351</v>
      </c>
      <c r="E2426" s="14"/>
      <c r="F2426" s="8">
        <f>IF(HOUR(Table1[[#This Row],[CORREO]])&gt;=11,WORKDAY(Table1[[#This Row],[CORREO]],1,Table2[Dias no laborales]),E2426)</f>
        <v>0</v>
      </c>
      <c r="G2426" s="8"/>
      <c r="H2426" s="6">
        <f t="shared" si="133"/>
        <v>25</v>
      </c>
      <c r="I2426" s="6">
        <f>MAX(1, NETWORKDAYS(A2426, G2426,Table2[Dias no laborales]))</f>
        <v>1</v>
      </c>
      <c r="J2426" s="6" t="str">
        <f>IF(Table1[[#This Row],[FIN]]="","Acumulado",IF(ISNUMBER(SEARCH("ASAP",C2426)),"ASAP",IF(NETWORKDAYS.INTL(F2426,G2426,1,Table2[Dias no laborales]) &lt;= 7, "Dentro", IF(A2426&gt;F2426,"Programado","Fuera"))))</f>
        <v>Acumulado</v>
      </c>
      <c r="K2426" s="6" t="str">
        <f t="shared" si="134"/>
        <v>Programados</v>
      </c>
      <c r="L2426" s="8">
        <v>46196</v>
      </c>
      <c r="M2426" s="17">
        <f>MAX(1,NETWORKDAYS(A2426,L2426,Table2[Dias no laborales]))</f>
        <v>1</v>
      </c>
    </row>
    <row r="2427" spans="1:13" hidden="1" x14ac:dyDescent="0.3">
      <c r="A2427" s="8">
        <v>46196</v>
      </c>
      <c r="B2427" s="16" t="s">
        <v>4837</v>
      </c>
      <c r="C2427" s="6" t="s">
        <v>4555</v>
      </c>
      <c r="D2427" s="6" t="s">
        <v>392</v>
      </c>
      <c r="E2427" s="14"/>
      <c r="F2427" s="8">
        <f>IF(HOUR(Table1[[#This Row],[CORREO]])&gt;=11,WORKDAY(Table1[[#This Row],[CORREO]],1,Table2[Dias no laborales]),E2427)</f>
        <v>0</v>
      </c>
      <c r="G2427" s="8">
        <v>46196</v>
      </c>
      <c r="H2427" s="6">
        <f t="shared" si="133"/>
        <v>25</v>
      </c>
      <c r="I2427" s="6">
        <f>MAX(1, NETWORKDAYS(A2427, G2427,Table2[Dias no laborales]))</f>
        <v>1</v>
      </c>
      <c r="J2427" s="6" t="str">
        <f>IF(Table1[[#This Row],[FIN]]="","Acumulado",IF(ISNUMBER(SEARCH("ASAP",C2427)),"ASAP",IF(NETWORKDAYS.INTL(F2427,G2427,1,Table2[Dias no laborales]) &lt;= 7, "Dentro", IF(A2427&gt;F2427,"Programado","Fuera"))))</f>
        <v>Programado</v>
      </c>
      <c r="K2427" s="6" t="str">
        <f t="shared" si="134"/>
        <v>Programados</v>
      </c>
      <c r="L2427" s="8">
        <v>46196</v>
      </c>
      <c r="M2427" s="17">
        <f>MAX(1,NETWORKDAYS(A2427,L2427,Table2[Dias no laborales]))</f>
        <v>1</v>
      </c>
    </row>
    <row r="2428" spans="1:13" hidden="1" x14ac:dyDescent="0.3">
      <c r="A2428" s="8">
        <v>46196</v>
      </c>
      <c r="B2428" s="16" t="s">
        <v>4838</v>
      </c>
      <c r="C2428" s="6" t="s">
        <v>4877</v>
      </c>
      <c r="D2428" s="6" t="s">
        <v>139</v>
      </c>
      <c r="E2428" s="14">
        <v>46196.353472222225</v>
      </c>
      <c r="F2428" s="8">
        <f>IF(HOUR(Table1[[#This Row],[CORREO]])&gt;=11,WORKDAY(Table1[[#This Row],[CORREO]],1,Table2[Dias no laborales]),E2428)</f>
        <v>46196.353472222225</v>
      </c>
      <c r="G2428" s="8">
        <v>46203</v>
      </c>
      <c r="H2428" s="6">
        <f t="shared" si="133"/>
        <v>25</v>
      </c>
      <c r="I2428" s="6">
        <f>MAX(1, NETWORKDAYS(A2428, G2428,Table2[Dias no laborales]))</f>
        <v>6</v>
      </c>
      <c r="J2428" s="6" t="str">
        <f>IF(Table1[[#This Row],[FIN]]="","Acumulado",IF(ISNUMBER(SEARCH("ASAP",C2428)),"ASAP",IF(NETWORKDAYS.INTL(F2428,G2428,1,Table2[Dias no laborales]) &lt;= 7, "Dentro", IF(A2428&gt;F2428,"Programado","Fuera"))))</f>
        <v>Dentro</v>
      </c>
      <c r="K2428" s="6" t="str">
        <f t="shared" si="134"/>
        <v>A tiempo</v>
      </c>
      <c r="L2428" s="8">
        <v>46196</v>
      </c>
      <c r="M2428" s="17">
        <f>MAX(1,NETWORKDAYS(A2428,L2428,Table2[Dias no laborales]))</f>
        <v>1</v>
      </c>
    </row>
    <row r="2429" spans="1:13" hidden="1" x14ac:dyDescent="0.3">
      <c r="A2429" s="8">
        <v>46196</v>
      </c>
      <c r="B2429" s="16" t="s">
        <v>4839</v>
      </c>
      <c r="C2429" s="6" t="s">
        <v>4878</v>
      </c>
      <c r="D2429" s="6" t="s">
        <v>754</v>
      </c>
      <c r="E2429" s="14">
        <v>46196.35833333333</v>
      </c>
      <c r="F2429" s="8">
        <f>IF(HOUR(Table1[[#This Row],[CORREO]])&gt;=11,WORKDAY(Table1[[#This Row],[CORREO]],1,Table2[Dias no laborales]),E2429)</f>
        <v>46196.35833333333</v>
      </c>
      <c r="G2429" s="8">
        <v>46196</v>
      </c>
      <c r="H2429" s="6">
        <f t="shared" si="133"/>
        <v>25</v>
      </c>
      <c r="I2429" s="6">
        <f>MAX(1, NETWORKDAYS(A2429, G2429,Table2[Dias no laborales]))</f>
        <v>1</v>
      </c>
      <c r="J2429" s="6" t="str">
        <f>IF(Table1[[#This Row],[FIN]]="","Acumulado",IF(ISNUMBER(SEARCH("ASAP",C2429)),"ASAP",IF(NETWORKDAYS.INTL(F2429,G2429,1,Table2[Dias no laborales]) &lt;= 7, "Dentro", IF(A2429&gt;F2429,"Programado","Fuera"))))</f>
        <v>Dentro</v>
      </c>
      <c r="K2429" s="6" t="str">
        <f t="shared" si="134"/>
        <v>A tiempo</v>
      </c>
      <c r="L2429" s="8">
        <v>46196</v>
      </c>
      <c r="M2429" s="17">
        <f>MAX(1,NETWORKDAYS(A2429,L2429,Table2[Dias no laborales]))</f>
        <v>1</v>
      </c>
    </row>
    <row r="2430" spans="1:13" hidden="1" x14ac:dyDescent="0.3">
      <c r="A2430" s="8">
        <v>46196</v>
      </c>
      <c r="B2430" s="16" t="s">
        <v>4840</v>
      </c>
      <c r="C2430" s="6" t="s">
        <v>4790</v>
      </c>
      <c r="D2430" s="6" t="s">
        <v>27</v>
      </c>
      <c r="E2430" s="14"/>
      <c r="F2430" s="8">
        <f>IF(HOUR(Table1[[#This Row],[CORREO]])&gt;=11,WORKDAY(Table1[[#This Row],[CORREO]],1,Table2[Dias no laborales]),E2430)</f>
        <v>0</v>
      </c>
      <c r="G2430" s="8">
        <v>46196</v>
      </c>
      <c r="H2430" s="6">
        <f t="shared" si="133"/>
        <v>25</v>
      </c>
      <c r="I2430" s="6">
        <f>MAX(1, NETWORKDAYS(A2430, G2430,Table2[Dias no laborales]))</f>
        <v>1</v>
      </c>
      <c r="J2430" s="6" t="str">
        <f>IF(Table1[[#This Row],[FIN]]="","Acumulado",IF(ISNUMBER(SEARCH("ASAP",C2430)),"ASAP",IF(NETWORKDAYS.INTL(F2430,G2430,1,Table2[Dias no laborales]) &lt;= 7, "Dentro", IF(A2430&gt;F2430,"Programado","Fuera"))))</f>
        <v>ASAP</v>
      </c>
      <c r="K2430" s="6" t="str">
        <f t="shared" si="134"/>
        <v>Programados</v>
      </c>
      <c r="L2430" s="8">
        <v>46196</v>
      </c>
      <c r="M2430" s="17">
        <f>MAX(1,NETWORKDAYS(A2430,L2430,Table2[Dias no laborales]))</f>
        <v>1</v>
      </c>
    </row>
    <row r="2431" spans="1:13" hidden="1" x14ac:dyDescent="0.3">
      <c r="A2431" s="8">
        <v>46196</v>
      </c>
      <c r="B2431" s="16" t="s">
        <v>4841</v>
      </c>
      <c r="C2431" s="6" t="s">
        <v>4879</v>
      </c>
      <c r="D2431" s="6" t="s">
        <v>24</v>
      </c>
      <c r="E2431" s="14">
        <v>46196.461111111108</v>
      </c>
      <c r="F2431" s="8">
        <f>IF(HOUR(Table1[[#This Row],[CORREO]])&gt;=11,WORKDAY(Table1[[#This Row],[CORREO]],1,Table2[Dias no laborales]),E2431)</f>
        <v>46197</v>
      </c>
      <c r="G2431" s="8">
        <v>46197</v>
      </c>
      <c r="H2431" s="6">
        <f t="shared" si="133"/>
        <v>25</v>
      </c>
      <c r="I2431" s="6">
        <f>MAX(1, NETWORKDAYS(A2431, G2431,Table2[Dias no laborales]))</f>
        <v>2</v>
      </c>
      <c r="J2431" s="6" t="str">
        <f>IF(Table1[[#This Row],[FIN]]="","Acumulado",IF(ISNUMBER(SEARCH("ASAP",C2431)),"ASAP",IF(NETWORKDAYS.INTL(F2431,G2431,1,Table2[Dias no laborales]) &lt;= 7, "Dentro", IF(A2431&gt;F2431,"Programado","Fuera"))))</f>
        <v>Dentro</v>
      </c>
      <c r="K2431" s="6" t="str">
        <f t="shared" si="134"/>
        <v>Mismo día</v>
      </c>
      <c r="L2431" s="8">
        <v>46196</v>
      </c>
      <c r="M2431" s="17">
        <f>MAX(1,NETWORKDAYS(A2431,L2431,Table2[Dias no laborales]))</f>
        <v>1</v>
      </c>
    </row>
    <row r="2432" spans="1:13" hidden="1" x14ac:dyDescent="0.3">
      <c r="A2432" s="8">
        <v>46196</v>
      </c>
      <c r="B2432" s="16" t="s">
        <v>4842</v>
      </c>
      <c r="C2432" s="6" t="s">
        <v>4880</v>
      </c>
      <c r="D2432" s="6" t="s">
        <v>1333</v>
      </c>
      <c r="E2432" s="14">
        <v>46196.566666666666</v>
      </c>
      <c r="F2432" s="8">
        <f>IF(HOUR(Table1[[#This Row],[CORREO]])&gt;=11,WORKDAY(Table1[[#This Row],[CORREO]],1,Table2[Dias no laborales]),E2432)</f>
        <v>46197</v>
      </c>
      <c r="G2432" s="8">
        <v>46196</v>
      </c>
      <c r="H2432" s="6">
        <f t="shared" si="133"/>
        <v>25</v>
      </c>
      <c r="I2432" s="6">
        <f>MAX(1, NETWORKDAYS(A2432, G2432,Table2[Dias no laborales]))</f>
        <v>1</v>
      </c>
      <c r="J2432" s="6" t="str">
        <f>IF(Table1[[#This Row],[FIN]]="","Acumulado",IF(ISNUMBER(SEARCH("ASAP",C2432)),"ASAP",IF(NETWORKDAYS.INTL(F2432,G2432,1,Table2[Dias no laborales]) &lt;= 7, "Dentro", IF(A2432&gt;F2432,"Programado","Fuera"))))</f>
        <v>Dentro</v>
      </c>
      <c r="K2432" s="6" t="str">
        <f t="shared" si="134"/>
        <v>Mismo día</v>
      </c>
      <c r="L2432" s="8">
        <v>46196</v>
      </c>
      <c r="M2432" s="17">
        <f>MAX(1,NETWORKDAYS(A2432,L2432,Table2[Dias no laborales]))</f>
        <v>1</v>
      </c>
    </row>
    <row r="2433" spans="1:13" hidden="1" x14ac:dyDescent="0.3">
      <c r="A2433" s="8">
        <v>46197</v>
      </c>
      <c r="B2433" s="16" t="s">
        <v>4843</v>
      </c>
      <c r="C2433" s="6" t="s">
        <v>4881</v>
      </c>
      <c r="D2433" s="6" t="s">
        <v>372</v>
      </c>
      <c r="E2433" s="14">
        <v>46196.595833333333</v>
      </c>
      <c r="F2433" s="8">
        <f>IF(HOUR(Table1[[#This Row],[CORREO]])&gt;=11,WORKDAY(Table1[[#This Row],[CORREO]],1,Table2[Dias no laborales]),E2433)</f>
        <v>46197</v>
      </c>
      <c r="G2433" s="8">
        <v>46198</v>
      </c>
      <c r="H2433" s="6">
        <f t="shared" si="133"/>
        <v>25</v>
      </c>
      <c r="I2433" s="6">
        <f>MAX(1, NETWORKDAYS(A2433, G2433,Table2[Dias no laborales]))</f>
        <v>2</v>
      </c>
      <c r="J2433" s="6" t="str">
        <f>IF(Table1[[#This Row],[FIN]]="","Acumulado",IF(ISNUMBER(SEARCH("ASAP",C2433)),"ASAP",IF(NETWORKDAYS.INTL(F2433,G2433,1,Table2[Dias no laborales]) &lt;= 7, "Dentro", IF(A2433&gt;F2433,"Programado","Fuera"))))</f>
        <v>Dentro</v>
      </c>
      <c r="K2433" s="6" t="str">
        <f t="shared" si="134"/>
        <v>A tiempo</v>
      </c>
      <c r="L2433" s="8">
        <v>46196</v>
      </c>
      <c r="M2433" s="17">
        <f>MAX(1,NETWORKDAYS(A2433,L2433,Table2[Dias no laborales]))</f>
        <v>1</v>
      </c>
    </row>
    <row r="2434" spans="1:13" hidden="1" x14ac:dyDescent="0.3">
      <c r="A2434" s="8">
        <v>46197</v>
      </c>
      <c r="B2434" s="16" t="s">
        <v>4844</v>
      </c>
      <c r="C2434" s="6" t="s">
        <v>4882</v>
      </c>
      <c r="D2434" s="6" t="s">
        <v>85</v>
      </c>
      <c r="E2434" s="14">
        <v>46196.738888888889</v>
      </c>
      <c r="F2434" s="8">
        <f>IF(HOUR(Table1[[#This Row],[CORREO]])&gt;=11,WORKDAY(Table1[[#This Row],[CORREO]],1,Table2[Dias no laborales]),E2434)</f>
        <v>46197</v>
      </c>
      <c r="G2434" s="8">
        <v>46197</v>
      </c>
      <c r="H2434" s="6">
        <f t="shared" si="133"/>
        <v>25</v>
      </c>
      <c r="I2434" s="6">
        <f>MAX(1, NETWORKDAYS(A2434, G2434,Table2[Dias no laborales]))</f>
        <v>1</v>
      </c>
      <c r="J2434" s="6" t="str">
        <f>IF(Table1[[#This Row],[FIN]]="","Acumulado",IF(ISNUMBER(SEARCH("ASAP",C2434)),"ASAP",IF(NETWORKDAYS.INTL(F2434,G2434,1,Table2[Dias no laborales]) &lt;= 7, "Dentro", IF(A2434&gt;F2434,"Programado","Fuera"))))</f>
        <v>Dentro</v>
      </c>
      <c r="K2434" s="6" t="str">
        <f t="shared" si="134"/>
        <v>A tiempo</v>
      </c>
      <c r="L2434" s="8">
        <v>46197</v>
      </c>
      <c r="M2434" s="17">
        <f>MAX(1,NETWORKDAYS(A2434,L2434,Table2[Dias no laborales]))</f>
        <v>1</v>
      </c>
    </row>
    <row r="2435" spans="1:13" hidden="1" x14ac:dyDescent="0.3">
      <c r="A2435" s="8">
        <v>46197</v>
      </c>
      <c r="B2435" s="16" t="s">
        <v>4845</v>
      </c>
      <c r="C2435" s="6" t="s">
        <v>4690</v>
      </c>
      <c r="D2435" s="6" t="s">
        <v>269</v>
      </c>
      <c r="E2435" s="14">
        <v>46197.340277777781</v>
      </c>
      <c r="F2435" s="8">
        <f>IF(HOUR(Table1[[#This Row],[CORREO]])&gt;=11,WORKDAY(Table1[[#This Row],[CORREO]],1,Table2[Dias no laborales]),E2435)</f>
        <v>46197.340277777781</v>
      </c>
      <c r="G2435" s="8">
        <v>46197</v>
      </c>
      <c r="H2435" s="6">
        <f t="shared" si="133"/>
        <v>25</v>
      </c>
      <c r="I2435" s="6">
        <f>MAX(1, NETWORKDAYS(A2435, G2435,Table2[Dias no laborales]))</f>
        <v>1</v>
      </c>
      <c r="J2435" s="6" t="str">
        <f>IF(Table1[[#This Row],[FIN]]="","Acumulado",IF(ISNUMBER(SEARCH("ASAP",C2435)),"ASAP",IF(NETWORKDAYS.INTL(F2435,G2435,1,Table2[Dias no laborales]) &lt;= 7, "Dentro", IF(A2435&gt;F2435,"Programado","Fuera"))))</f>
        <v>Dentro</v>
      </c>
      <c r="K2435" s="6" t="str">
        <f t="shared" si="134"/>
        <v>A tiempo</v>
      </c>
      <c r="L2435" s="8">
        <v>46197</v>
      </c>
      <c r="M2435" s="17">
        <f>MAX(1,NETWORKDAYS(A2435,L2435,Table2[Dias no laborales]))</f>
        <v>1</v>
      </c>
    </row>
    <row r="2436" spans="1:13" hidden="1" x14ac:dyDescent="0.3">
      <c r="A2436" s="8">
        <v>46197</v>
      </c>
      <c r="B2436" s="16" t="s">
        <v>4846</v>
      </c>
      <c r="C2436" s="6" t="s">
        <v>4932</v>
      </c>
      <c r="D2436" s="6" t="s">
        <v>4933</v>
      </c>
      <c r="E2436" s="14">
        <v>46196.753472222219</v>
      </c>
      <c r="F2436" s="8">
        <f>IF(HOUR(Table1[[#This Row],[CORREO]])&gt;=11,WORKDAY(Table1[[#This Row],[CORREO]],1,Table2[Dias no laborales]),E2436)</f>
        <v>46197</v>
      </c>
      <c r="G2436" s="8">
        <v>46197</v>
      </c>
      <c r="H2436" s="6">
        <f t="shared" si="133"/>
        <v>25</v>
      </c>
      <c r="I2436" s="6">
        <f>MAX(1, NETWORKDAYS(A2436, G2436,Table2[Dias no laborales]))</f>
        <v>1</v>
      </c>
      <c r="J2436" s="6" t="str">
        <f>IF(Table1[[#This Row],[FIN]]="","Acumulado",IF(ISNUMBER(SEARCH("ASAP",C2436)),"ASAP",IF(NETWORKDAYS.INTL(F2436,G2436,1,Table2[Dias no laborales]) &lt;= 7, "Dentro", IF(A2436&gt;F2436,"Programado","Fuera"))))</f>
        <v>Dentro</v>
      </c>
      <c r="K2436" s="6" t="str">
        <f t="shared" si="134"/>
        <v>A tiempo</v>
      </c>
      <c r="L2436" s="8">
        <v>46197</v>
      </c>
      <c r="M2436" s="17">
        <f>MAX(1,NETWORKDAYS(A2436,L2436,Table2[Dias no laborales]))</f>
        <v>1</v>
      </c>
    </row>
    <row r="2437" spans="1:13" hidden="1" x14ac:dyDescent="0.3">
      <c r="A2437" s="8">
        <v>46197</v>
      </c>
      <c r="B2437" s="16" t="s">
        <v>4847</v>
      </c>
      <c r="C2437" s="6" t="s">
        <v>4934</v>
      </c>
      <c r="D2437" s="6" t="s">
        <v>477</v>
      </c>
      <c r="E2437" s="14">
        <v>46196.834027777775</v>
      </c>
      <c r="F2437" s="8">
        <f>IF(HOUR(Table1[[#This Row],[CORREO]])&gt;=11,WORKDAY(Table1[[#This Row],[CORREO]],1,Table2[Dias no laborales]),E2437)</f>
        <v>46197</v>
      </c>
      <c r="G2437" s="8">
        <v>46197</v>
      </c>
      <c r="H2437" s="6">
        <f t="shared" si="133"/>
        <v>25</v>
      </c>
      <c r="I2437" s="6">
        <f>MAX(1, NETWORKDAYS(A2437, G2437,Table2[Dias no laborales]))</f>
        <v>1</v>
      </c>
      <c r="J2437" s="6" t="str">
        <f>IF(Table1[[#This Row],[FIN]]="","Acumulado",IF(ISNUMBER(SEARCH("ASAP",C2437)),"ASAP",IF(NETWORKDAYS.INTL(F2437,G2437,1,Table2[Dias no laborales]) &lt;= 7, "Dentro", IF(A2437&gt;F2437,"Programado","Fuera"))))</f>
        <v>Dentro</v>
      </c>
      <c r="K2437" s="6" t="str">
        <f t="shared" si="134"/>
        <v>A tiempo</v>
      </c>
      <c r="L2437" s="8">
        <v>46197</v>
      </c>
      <c r="M2437" s="17">
        <f>MAX(1,NETWORKDAYS(A2437,L2437,Table2[Dias no laborales]))</f>
        <v>1</v>
      </c>
    </row>
    <row r="2438" spans="1:13" hidden="1" x14ac:dyDescent="0.3">
      <c r="A2438" s="8">
        <v>46197</v>
      </c>
      <c r="B2438" s="16" t="s">
        <v>4848</v>
      </c>
      <c r="C2438" s="6" t="s">
        <v>4935</v>
      </c>
      <c r="D2438" s="6" t="s">
        <v>191</v>
      </c>
      <c r="E2438" s="14">
        <v>46197.572916666664</v>
      </c>
      <c r="F2438" s="8">
        <f>IF(HOUR(Table1[[#This Row],[CORREO]])&gt;=11,WORKDAY(Table1[[#This Row],[CORREO]],1,Table2[Dias no laborales]),E2438)</f>
        <v>46198</v>
      </c>
      <c r="G2438" s="8">
        <v>46197</v>
      </c>
      <c r="H2438" s="6">
        <f t="shared" si="133"/>
        <v>25</v>
      </c>
      <c r="I2438" s="6">
        <f>MAX(1, NETWORKDAYS(A2438, G2438,Table2[Dias no laborales]))</f>
        <v>1</v>
      </c>
      <c r="J2438" s="6" t="str">
        <f>IF(Table1[[#This Row],[FIN]]="","Acumulado",IF(ISNUMBER(SEARCH("ASAP",C2438)),"ASAP",IF(NETWORKDAYS.INTL(F2438,G2438,1,Table2[Dias no laborales]) &lt;= 7, "Dentro", IF(A2438&gt;F2438,"Programado","Fuera"))))</f>
        <v>Dentro</v>
      </c>
      <c r="K2438" s="6" t="str">
        <f t="shared" si="134"/>
        <v>Mismo día</v>
      </c>
      <c r="L2438" s="8">
        <v>46197</v>
      </c>
      <c r="M2438" s="17">
        <f>MAX(1,NETWORKDAYS(A2438,L2438,Table2[Dias no laborales]))</f>
        <v>1</v>
      </c>
    </row>
    <row r="2439" spans="1:13" hidden="1" x14ac:dyDescent="0.3">
      <c r="A2439" s="8">
        <v>46197</v>
      </c>
      <c r="B2439" s="16" t="s">
        <v>4849</v>
      </c>
      <c r="C2439" s="6" t="s">
        <v>4690</v>
      </c>
      <c r="D2439" s="6" t="s">
        <v>877</v>
      </c>
      <c r="E2439" s="14">
        <v>46197.585416666669</v>
      </c>
      <c r="F2439" s="8">
        <f>IF(HOUR(Table1[[#This Row],[CORREO]])&gt;=11,WORKDAY(Table1[[#This Row],[CORREO]],1,Table2[Dias no laborales]),E2439)</f>
        <v>46198</v>
      </c>
      <c r="G2439" s="8">
        <v>46197</v>
      </c>
      <c r="H2439" s="6">
        <f t="shared" si="133"/>
        <v>25</v>
      </c>
      <c r="I2439" s="6">
        <f>MAX(1, NETWORKDAYS(A2439, G2439,Table2[Dias no laborales]))</f>
        <v>1</v>
      </c>
      <c r="J2439" s="6" t="str">
        <f>IF(Table1[[#This Row],[FIN]]="","Acumulado",IF(ISNUMBER(SEARCH("ASAP",C2439)),"ASAP",IF(NETWORKDAYS.INTL(F2439,G2439,1,Table2[Dias no laborales]) &lt;= 7, "Dentro", IF(A2439&gt;F2439,"Programado","Fuera"))))</f>
        <v>Dentro</v>
      </c>
      <c r="K2439" s="6" t="str">
        <f t="shared" si="134"/>
        <v>Mismo día</v>
      </c>
      <c r="L2439" s="8">
        <v>46197</v>
      </c>
      <c r="M2439" s="17">
        <f>MAX(1,NETWORKDAYS(A2439,L2439,Table2[Dias no laborales]))</f>
        <v>1</v>
      </c>
    </row>
    <row r="2440" spans="1:13" hidden="1" x14ac:dyDescent="0.3">
      <c r="A2440" s="8">
        <v>46197</v>
      </c>
      <c r="B2440" s="16" t="s">
        <v>4850</v>
      </c>
      <c r="C2440" s="6" t="s">
        <v>4936</v>
      </c>
      <c r="D2440" s="6" t="s">
        <v>593</v>
      </c>
      <c r="E2440" s="14">
        <v>46197.306250000001</v>
      </c>
      <c r="F2440" s="8">
        <f>IF(HOUR(Table1[[#This Row],[CORREO]])&gt;=11,WORKDAY(Table1[[#This Row],[CORREO]],1,Table2[Dias no laborales]),E2440)</f>
        <v>46197.306250000001</v>
      </c>
      <c r="G2440" s="8">
        <v>46197</v>
      </c>
      <c r="H2440" s="6">
        <f t="shared" si="133"/>
        <v>25</v>
      </c>
      <c r="I2440" s="6">
        <f>MAX(1, NETWORKDAYS(A2440, G2440,Table2[Dias no laborales]))</f>
        <v>1</v>
      </c>
      <c r="J2440" s="6" t="str">
        <f>IF(Table1[[#This Row],[FIN]]="","Acumulado",IF(ISNUMBER(SEARCH("ASAP",C2440)),"ASAP",IF(NETWORKDAYS.INTL(F2440,G2440,1,Table2[Dias no laborales]) &lt;= 7, "Dentro", IF(A2440&gt;F2440,"Programado","Fuera"))))</f>
        <v>Dentro</v>
      </c>
      <c r="K2440" s="6" t="str">
        <f t="shared" si="134"/>
        <v>A tiempo</v>
      </c>
      <c r="L2440" s="8">
        <v>46197</v>
      </c>
      <c r="M2440" s="17">
        <f>MAX(1,NETWORKDAYS(A2440,L2440,Table2[Dias no laborales]))</f>
        <v>1</v>
      </c>
    </row>
    <row r="2441" spans="1:13" hidden="1" x14ac:dyDescent="0.3">
      <c r="A2441" s="8">
        <v>46197</v>
      </c>
      <c r="B2441" s="16" t="s">
        <v>4851</v>
      </c>
      <c r="C2441" s="6" t="s">
        <v>4937</v>
      </c>
      <c r="D2441" s="6" t="s">
        <v>24</v>
      </c>
      <c r="E2441" s="14">
        <v>46197.374305555553</v>
      </c>
      <c r="F2441" s="8">
        <f>IF(HOUR(Table1[[#This Row],[CORREO]])&gt;=11,WORKDAY(Table1[[#This Row],[CORREO]],1,Table2[Dias no laborales]),E2441)</f>
        <v>46197.374305555553</v>
      </c>
      <c r="G2441" s="8">
        <v>46202</v>
      </c>
      <c r="H2441" s="6">
        <f t="shared" si="133"/>
        <v>25</v>
      </c>
      <c r="I2441" s="6">
        <f>MAX(1, NETWORKDAYS(A2441, G2441,Table2[Dias no laborales]))</f>
        <v>4</v>
      </c>
      <c r="J2441" s="6" t="str">
        <f>IF(Table1[[#This Row],[FIN]]="","Acumulado",IF(ISNUMBER(SEARCH("ASAP",C2441)),"ASAP",IF(NETWORKDAYS.INTL(F2441,G2441,1,Table2[Dias no laborales]) &lt;= 7, "Dentro", IF(A2441&gt;F2441,"Programado","Fuera"))))</f>
        <v>Dentro</v>
      </c>
      <c r="K2441" s="6" t="str">
        <f t="shared" si="134"/>
        <v>A tiempo</v>
      </c>
      <c r="L2441" s="8">
        <v>46197</v>
      </c>
      <c r="M2441" s="17">
        <f>MAX(1,NETWORKDAYS(A2441,L2441,Table2[Dias no laborales]))</f>
        <v>1</v>
      </c>
    </row>
    <row r="2442" spans="1:13" hidden="1" x14ac:dyDescent="0.3">
      <c r="A2442" s="8">
        <v>46197</v>
      </c>
      <c r="B2442" s="16" t="s">
        <v>4852</v>
      </c>
      <c r="C2442" s="6" t="s">
        <v>4938</v>
      </c>
      <c r="D2442" s="6" t="s">
        <v>2623</v>
      </c>
      <c r="E2442" s="14">
        <v>46197.386805555558</v>
      </c>
      <c r="F2442" s="8">
        <f>IF(HOUR(Table1[[#This Row],[CORREO]])&gt;=11,WORKDAY(Table1[[#This Row],[CORREO]],1,Table2[Dias no laborales]),E2442)</f>
        <v>46197.386805555558</v>
      </c>
      <c r="G2442" s="8">
        <v>46197</v>
      </c>
      <c r="H2442" s="6">
        <f t="shared" si="133"/>
        <v>25</v>
      </c>
      <c r="I2442" s="6">
        <f>MAX(1, NETWORKDAYS(A2442, G2442,Table2[Dias no laborales]))</f>
        <v>1</v>
      </c>
      <c r="J2442" s="6" t="str">
        <f>IF(Table1[[#This Row],[FIN]]="","Acumulado",IF(ISNUMBER(SEARCH("ASAP",C2442)),"ASAP",IF(NETWORKDAYS.INTL(F2442,G2442,1,Table2[Dias no laborales]) &lt;= 7, "Dentro", IF(A2442&gt;F2442,"Programado","Fuera"))))</f>
        <v>Dentro</v>
      </c>
      <c r="K2442" s="6" t="str">
        <f t="shared" si="134"/>
        <v>A tiempo</v>
      </c>
      <c r="L2442" s="8">
        <v>46197</v>
      </c>
      <c r="M2442" s="17">
        <f>MAX(1,NETWORKDAYS(A2442,L2442,Table2[Dias no laborales]))</f>
        <v>1</v>
      </c>
    </row>
    <row r="2443" spans="1:13" hidden="1" x14ac:dyDescent="0.3">
      <c r="A2443" s="8">
        <v>46197</v>
      </c>
      <c r="B2443" s="16" t="s">
        <v>4853</v>
      </c>
      <c r="C2443" s="6" t="s">
        <v>4939</v>
      </c>
      <c r="D2443" s="6" t="s">
        <v>449</v>
      </c>
      <c r="E2443" s="14">
        <v>46197.411111111112</v>
      </c>
      <c r="F2443" s="8">
        <f>IF(HOUR(Table1[[#This Row],[CORREO]])&gt;=11,WORKDAY(Table1[[#This Row],[CORREO]],1,Table2[Dias no laborales]),E2443)</f>
        <v>46197.411111111112</v>
      </c>
      <c r="G2443" s="8">
        <v>46202</v>
      </c>
      <c r="H2443" s="6">
        <f t="shared" si="133"/>
        <v>25</v>
      </c>
      <c r="I2443" s="6">
        <f>MAX(1, NETWORKDAYS(A2443, G2443,Table2[Dias no laborales]))</f>
        <v>4</v>
      </c>
      <c r="J2443" s="6" t="str">
        <f>IF(Table1[[#This Row],[FIN]]="","Acumulado",IF(ISNUMBER(SEARCH("ASAP",C2443)),"ASAP",IF(NETWORKDAYS.INTL(F2443,G2443,1,Table2[Dias no laborales]) &lt;= 7, "Dentro", IF(A2443&gt;F2443,"Programado","Fuera"))))</f>
        <v>Dentro</v>
      </c>
      <c r="K2443" s="6" t="str">
        <f t="shared" si="134"/>
        <v>A tiempo</v>
      </c>
      <c r="L2443" s="8">
        <v>46197</v>
      </c>
      <c r="M2443" s="17">
        <f>MAX(1,NETWORKDAYS(A2443,L2443,Table2[Dias no laborales]))</f>
        <v>1</v>
      </c>
    </row>
    <row r="2444" spans="1:13" hidden="1" x14ac:dyDescent="0.3">
      <c r="A2444" s="8">
        <v>46197</v>
      </c>
      <c r="B2444" s="16" t="s">
        <v>4854</v>
      </c>
      <c r="C2444" s="6" t="s">
        <v>4106</v>
      </c>
      <c r="D2444" s="6" t="s">
        <v>2981</v>
      </c>
      <c r="E2444" s="14">
        <v>46197.413194444445</v>
      </c>
      <c r="F2444" s="8">
        <f>IF(HOUR(Table1[[#This Row],[CORREO]])&gt;=11,WORKDAY(Table1[[#This Row],[CORREO]],1,Table2[Dias no laborales]),E2444)</f>
        <v>46197.413194444445</v>
      </c>
      <c r="G2444" s="8">
        <v>46197</v>
      </c>
      <c r="H2444" s="6">
        <f t="shared" si="133"/>
        <v>25</v>
      </c>
      <c r="I2444" s="6">
        <f>MAX(1, NETWORKDAYS(A2444, G2444,Table2[Dias no laborales]))</f>
        <v>1</v>
      </c>
      <c r="J2444" s="6" t="str">
        <f>IF(Table1[[#This Row],[FIN]]="","Acumulado",IF(ISNUMBER(SEARCH("ASAP",C2444)),"ASAP",IF(NETWORKDAYS.INTL(F2444,G2444,1,Table2[Dias no laborales]) &lt;= 7, "Dentro", IF(A2444&gt;F2444,"Programado","Fuera"))))</f>
        <v>Dentro</v>
      </c>
      <c r="K2444" s="6" t="str">
        <f t="shared" si="134"/>
        <v>A tiempo</v>
      </c>
      <c r="L2444" s="8">
        <v>46197</v>
      </c>
      <c r="M2444" s="17">
        <f>MAX(1,NETWORKDAYS(A2444,L2444,Table2[Dias no laborales]))</f>
        <v>1</v>
      </c>
    </row>
    <row r="2445" spans="1:13" hidden="1" x14ac:dyDescent="0.3">
      <c r="A2445" s="8">
        <v>46197</v>
      </c>
      <c r="B2445" s="16" t="s">
        <v>4855</v>
      </c>
      <c r="C2445" s="6" t="s">
        <v>4940</v>
      </c>
      <c r="D2445" s="6" t="s">
        <v>989</v>
      </c>
      <c r="E2445" s="14">
        <v>46197.452777777777</v>
      </c>
      <c r="F2445" s="8">
        <f>IF(HOUR(Table1[[#This Row],[CORREO]])&gt;=11,WORKDAY(Table1[[#This Row],[CORREO]],1,Table2[Dias no laborales]),E2445)</f>
        <v>46197.452777777777</v>
      </c>
      <c r="G2445" s="8">
        <v>46197</v>
      </c>
      <c r="H2445" s="6">
        <f t="shared" si="133"/>
        <v>25</v>
      </c>
      <c r="I2445" s="6">
        <f>MAX(1, NETWORKDAYS(A2445, G2445,Table2[Dias no laborales]))</f>
        <v>1</v>
      </c>
      <c r="J2445" s="6" t="str">
        <f>IF(Table1[[#This Row],[FIN]]="","Acumulado",IF(ISNUMBER(SEARCH("ASAP",C2445)),"ASAP",IF(NETWORKDAYS.INTL(F2445,G2445,1,Table2[Dias no laborales]) &lt;= 7, "Dentro", IF(A2445&gt;F2445,"Programado","Fuera"))))</f>
        <v>Dentro</v>
      </c>
      <c r="K2445" s="6" t="str">
        <f t="shared" si="134"/>
        <v>A tiempo</v>
      </c>
      <c r="L2445" s="8">
        <v>46197</v>
      </c>
      <c r="M2445" s="17">
        <f>MAX(1,NETWORKDAYS(A2445,L2445,Table2[Dias no laborales]))</f>
        <v>1</v>
      </c>
    </row>
    <row r="2446" spans="1:13" hidden="1" x14ac:dyDescent="0.3">
      <c r="A2446" s="8">
        <v>46197</v>
      </c>
      <c r="B2446" s="16" t="s">
        <v>4856</v>
      </c>
      <c r="C2446" s="6" t="s">
        <v>4941</v>
      </c>
      <c r="D2446" s="6" t="s">
        <v>139</v>
      </c>
      <c r="E2446" s="14">
        <v>46197.456944444442</v>
      </c>
      <c r="F2446" s="8">
        <f>IF(HOUR(Table1[[#This Row],[CORREO]])&gt;=11,WORKDAY(Table1[[#This Row],[CORREO]],1,Table2[Dias no laborales]),E2446)</f>
        <v>46197.456944444442</v>
      </c>
      <c r="G2446" s="8">
        <v>46202</v>
      </c>
      <c r="H2446" s="6">
        <f t="shared" si="133"/>
        <v>25</v>
      </c>
      <c r="I2446" s="6">
        <f>MAX(1, NETWORKDAYS(A2446, G2446,Table2[Dias no laborales]))</f>
        <v>4</v>
      </c>
      <c r="J2446" s="6" t="str">
        <f>IF(Table1[[#This Row],[FIN]]="","Acumulado",IF(ISNUMBER(SEARCH("ASAP",C2446)),"ASAP",IF(NETWORKDAYS.INTL(F2446,G2446,1,Table2[Dias no laborales]) &lt;= 7, "Dentro", IF(A2446&gt;F2446,"Programado","Fuera"))))</f>
        <v>Dentro</v>
      </c>
      <c r="K2446" s="6" t="str">
        <f t="shared" si="134"/>
        <v>A tiempo</v>
      </c>
      <c r="L2446" s="8">
        <v>46197</v>
      </c>
      <c r="M2446" s="17">
        <f>MAX(1,NETWORKDAYS(A2446,L2446,Table2[Dias no laborales]))</f>
        <v>1</v>
      </c>
    </row>
    <row r="2447" spans="1:13" hidden="1" x14ac:dyDescent="0.3">
      <c r="A2447" s="8">
        <v>46197</v>
      </c>
      <c r="B2447" s="16" t="s">
        <v>4857</v>
      </c>
      <c r="C2447" s="6" t="s">
        <v>4555</v>
      </c>
      <c r="D2447" s="6" t="s">
        <v>392</v>
      </c>
      <c r="E2447" s="14">
        <v>46197.464583333334</v>
      </c>
      <c r="F2447" s="8">
        <f>IF(HOUR(Table1[[#This Row],[CORREO]])&gt;=11,WORKDAY(Table1[[#This Row],[CORREO]],1,Table2[Dias no laborales]),E2447)</f>
        <v>46198</v>
      </c>
      <c r="G2447" s="8">
        <v>46197</v>
      </c>
      <c r="H2447" s="6">
        <f t="shared" si="133"/>
        <v>25</v>
      </c>
      <c r="I2447" s="6">
        <f>MAX(1, NETWORKDAYS(A2447, G2447,Table2[Dias no laborales]))</f>
        <v>1</v>
      </c>
      <c r="J2447" s="6" t="str">
        <f>IF(Table1[[#This Row],[FIN]]="","Acumulado",IF(ISNUMBER(SEARCH("ASAP",C2447)),"ASAP",IF(NETWORKDAYS.INTL(F2447,G2447,1,Table2[Dias no laborales]) &lt;= 7, "Dentro", IF(A2447&gt;F2447,"Programado","Fuera"))))</f>
        <v>Dentro</v>
      </c>
      <c r="K2447" s="6" t="str">
        <f t="shared" si="134"/>
        <v>Mismo día</v>
      </c>
      <c r="L2447" s="8">
        <v>46197</v>
      </c>
      <c r="M2447" s="17">
        <f>MAX(1,NETWORKDAYS(A2447,L2447,Table2[Dias no laborales]))</f>
        <v>1</v>
      </c>
    </row>
    <row r="2448" spans="1:13" hidden="1" x14ac:dyDescent="0.3">
      <c r="A2448" s="8">
        <v>46197</v>
      </c>
      <c r="B2448" s="16" t="s">
        <v>4858</v>
      </c>
      <c r="C2448" s="6" t="s">
        <v>4942</v>
      </c>
      <c r="D2448" s="6" t="s">
        <v>623</v>
      </c>
      <c r="E2448" s="14">
        <v>46197.468055555553</v>
      </c>
      <c r="F2448" s="8">
        <f>IF(HOUR(Table1[[#This Row],[CORREO]])&gt;=11,WORKDAY(Table1[[#This Row],[CORREO]],1,Table2[Dias no laborales]),E2448)</f>
        <v>46198</v>
      </c>
      <c r="G2448" s="8">
        <v>46198</v>
      </c>
      <c r="H2448" s="6">
        <f t="shared" si="133"/>
        <v>25</v>
      </c>
      <c r="I2448" s="6">
        <f>MAX(1, NETWORKDAYS(A2448, G2448,Table2[Dias no laborales]))</f>
        <v>2</v>
      </c>
      <c r="J2448" s="6" t="str">
        <f>IF(Table1[[#This Row],[FIN]]="","Acumulado",IF(ISNUMBER(SEARCH("ASAP",C2448)),"ASAP",IF(NETWORKDAYS.INTL(F2448,G2448,1,Table2[Dias no laborales]) &lt;= 7, "Dentro", IF(A2448&gt;F2448,"Programado","Fuera"))))</f>
        <v>Dentro</v>
      </c>
      <c r="K2448" s="6" t="str">
        <f t="shared" si="134"/>
        <v>Mismo día</v>
      </c>
      <c r="L2448" s="8">
        <v>46197</v>
      </c>
      <c r="M2448" s="17">
        <f>MAX(1,NETWORKDAYS(A2448,L2448,Table2[Dias no laborales]))</f>
        <v>1</v>
      </c>
    </row>
    <row r="2449" spans="1:13" hidden="1" x14ac:dyDescent="0.3">
      <c r="A2449" s="8">
        <v>46197</v>
      </c>
      <c r="B2449" s="16" t="s">
        <v>4859</v>
      </c>
      <c r="C2449" s="6" t="s">
        <v>4943</v>
      </c>
      <c r="D2449" s="6" t="s">
        <v>4944</v>
      </c>
      <c r="E2449" s="14">
        <v>46197.484027777777</v>
      </c>
      <c r="F2449" s="8">
        <f>IF(HOUR(Table1[[#This Row],[CORREO]])&gt;=11,WORKDAY(Table1[[#This Row],[CORREO]],1,Table2[Dias no laborales]),E2449)</f>
        <v>46198</v>
      </c>
      <c r="G2449" s="8">
        <v>46198</v>
      </c>
      <c r="H2449" s="6">
        <f t="shared" si="133"/>
        <v>25</v>
      </c>
      <c r="I2449" s="6">
        <f>MAX(1, NETWORKDAYS(A2449, G2449,Table2[Dias no laborales]))</f>
        <v>2</v>
      </c>
      <c r="J2449" s="6" t="str">
        <f>IF(Table1[[#This Row],[FIN]]="","Acumulado",IF(ISNUMBER(SEARCH("ASAP",C2449)),"ASAP",IF(NETWORKDAYS.INTL(F2449,G2449,1,Table2[Dias no laborales]) &lt;= 7, "Dentro", IF(A2449&gt;F2449,"Programado","Fuera"))))</f>
        <v>Dentro</v>
      </c>
      <c r="K2449" s="6" t="str">
        <f t="shared" si="134"/>
        <v>Mismo día</v>
      </c>
      <c r="L2449" s="8">
        <v>46197</v>
      </c>
      <c r="M2449" s="17">
        <f>MAX(1,NETWORKDAYS(A2449,L2449,Table2[Dias no laborales]))</f>
        <v>1</v>
      </c>
    </row>
    <row r="2450" spans="1:13" hidden="1" x14ac:dyDescent="0.3">
      <c r="A2450" s="8">
        <v>46197</v>
      </c>
      <c r="B2450" s="16" t="s">
        <v>4860</v>
      </c>
      <c r="C2450" s="6" t="s">
        <v>4945</v>
      </c>
      <c r="D2450" s="6" t="s">
        <v>24</v>
      </c>
      <c r="E2450" s="14">
        <v>46197.49722222222</v>
      </c>
      <c r="F2450" s="8">
        <f>IF(HOUR(Table1[[#This Row],[CORREO]])&gt;=11,WORKDAY(Table1[[#This Row],[CORREO]],1,Table2[Dias no laborales]),E2450)</f>
        <v>46198</v>
      </c>
      <c r="G2450" s="8">
        <v>46210</v>
      </c>
      <c r="H2450" s="6">
        <f t="shared" si="133"/>
        <v>25</v>
      </c>
      <c r="I2450" s="6">
        <f>MAX(1, NETWORKDAYS(A2450, G2450,Table2[Dias no laborales]))</f>
        <v>10</v>
      </c>
      <c r="J2450" s="6" t="str">
        <f>IF(Table1[[#This Row],[FIN]]="","Acumulado",IF(ISNUMBER(SEARCH("ASAP",C2450)),"ASAP",IF(NETWORKDAYS.INTL(F2450,G2450,1,Table2[Dias no laborales]) &lt;= 7, "Dentro", IF(A2450&gt;F2450,"Programado","Fuera"))))</f>
        <v>Fuera</v>
      </c>
      <c r="K2450" s="6" t="str">
        <f t="shared" si="134"/>
        <v>Mismo día</v>
      </c>
      <c r="L2450" s="8">
        <v>46198</v>
      </c>
      <c r="M2450" s="17">
        <f>MAX(1,NETWORKDAYS(A2450,L2450,Table2[Dias no laborales]))</f>
        <v>2</v>
      </c>
    </row>
    <row r="2451" spans="1:13" hidden="1" x14ac:dyDescent="0.3">
      <c r="A2451" s="8">
        <v>46197</v>
      </c>
      <c r="B2451" s="16" t="s">
        <v>4861</v>
      </c>
      <c r="C2451" s="6" t="s">
        <v>4946</v>
      </c>
      <c r="D2451" s="6" t="s">
        <v>4947</v>
      </c>
      <c r="E2451" s="14"/>
      <c r="F2451" s="8">
        <f>IF(HOUR(Table1[[#This Row],[CORREO]])&gt;=11,WORKDAY(Table1[[#This Row],[CORREO]],1,Table2[Dias no laborales]),E2451)</f>
        <v>0</v>
      </c>
      <c r="G2451" s="8">
        <v>46197</v>
      </c>
      <c r="H2451" s="6">
        <f t="shared" si="133"/>
        <v>25</v>
      </c>
      <c r="I2451" s="6">
        <f>MAX(1, NETWORKDAYS(A2451, G2451,Table2[Dias no laborales]))</f>
        <v>1</v>
      </c>
      <c r="J2451" s="6" t="str">
        <f>IF(Table1[[#This Row],[FIN]]="","Acumulado",IF(ISNUMBER(SEARCH("ASAP",C2451)),"ASAP",IF(NETWORKDAYS.INTL(F2451,G2451,1,Table2[Dias no laborales]) &lt;= 7, "Dentro", IF(A2451&gt;F2451,"Programado","Fuera"))))</f>
        <v>Programado</v>
      </c>
      <c r="K2451" s="6" t="str">
        <f t="shared" si="134"/>
        <v>Programados</v>
      </c>
      <c r="L2451" s="8">
        <v>46197</v>
      </c>
      <c r="M2451" s="17">
        <f>MAX(1,NETWORKDAYS(A2451,L2451,Table2[Dias no laborales]))</f>
        <v>1</v>
      </c>
    </row>
    <row r="2452" spans="1:13" hidden="1" x14ac:dyDescent="0.3">
      <c r="A2452" s="8">
        <v>46197</v>
      </c>
      <c r="B2452" s="16" t="s">
        <v>4862</v>
      </c>
      <c r="C2452" s="6" t="s">
        <v>4948</v>
      </c>
      <c r="D2452" s="6" t="s">
        <v>24</v>
      </c>
      <c r="E2452" s="14">
        <v>46197.65902777778</v>
      </c>
      <c r="F2452" s="8">
        <f>IF(HOUR(Table1[[#This Row],[CORREO]])&gt;=11,WORKDAY(Table1[[#This Row],[CORREO]],1,Table2[Dias no laborales]),E2452)</f>
        <v>46198</v>
      </c>
      <c r="G2452" s="8">
        <v>46199</v>
      </c>
      <c r="H2452" s="6">
        <f t="shared" si="133"/>
        <v>25</v>
      </c>
      <c r="I2452" s="6">
        <f>MAX(1, NETWORKDAYS(A2452, G2452,Table2[Dias no laborales]))</f>
        <v>3</v>
      </c>
      <c r="J2452" s="6" t="str">
        <f>IF(Table1[[#This Row],[FIN]]="","Acumulado",IF(ISNUMBER(SEARCH("ASAP",C2452)),"ASAP",IF(NETWORKDAYS.INTL(F2452,G2452,1,Table2[Dias no laborales]) &lt;= 7, "Dentro", IF(A2452&gt;F2452,"Programado","Fuera"))))</f>
        <v>Dentro</v>
      </c>
      <c r="K2452" s="6" t="str">
        <f t="shared" si="134"/>
        <v>Mismo día</v>
      </c>
      <c r="L2452" s="8">
        <v>46197</v>
      </c>
      <c r="M2452" s="17">
        <f>MAX(1,NETWORKDAYS(A2452,L2452,Table2[Dias no laborales]))</f>
        <v>1</v>
      </c>
    </row>
    <row r="2453" spans="1:13" hidden="1" x14ac:dyDescent="0.3">
      <c r="A2453" s="8">
        <v>46198</v>
      </c>
      <c r="B2453" s="16" t="s">
        <v>4883</v>
      </c>
      <c r="C2453" s="6" t="s">
        <v>4949</v>
      </c>
      <c r="D2453" s="6" t="s">
        <v>139</v>
      </c>
      <c r="E2453" s="14">
        <v>46197.467361111114</v>
      </c>
      <c r="F2453" s="8">
        <f>IF(HOUR(Table1[[#This Row],[CORREO]])&gt;=11,WORKDAY(Table1[[#This Row],[CORREO]],1,Table2[Dias no laborales]),E2453)</f>
        <v>46198</v>
      </c>
      <c r="G2453" s="8">
        <v>46202</v>
      </c>
      <c r="H2453" s="6">
        <f t="shared" ref="H2453:H2482" si="135">INT((A2453-DATE(YEAR(A2453),1,1))/7) + 1</f>
        <v>26</v>
      </c>
      <c r="I2453" s="6">
        <f>MAX(1, NETWORKDAYS(A2453, G2453,Table2[Dias no laborales]))</f>
        <v>3</v>
      </c>
      <c r="J2453" s="6" t="str">
        <f>IF(Table1[[#This Row],[FIN]]="","Acumulado",IF(ISNUMBER(SEARCH("ASAP",C2453)),"ASAP",IF(NETWORKDAYS.INTL(F2453,G2453,1,Table2[Dias no laborales]) &lt;= 7, "Dentro", IF(A2453&gt;F2453,"Programado","Fuera"))))</f>
        <v>Dentro</v>
      </c>
      <c r="K2453" s="6" t="str">
        <f t="shared" ref="K2453:K2482" si="136">IF(INT(A2453)=INT(F2453),"A tiempo", IF(A2453&lt;F2453,"Mismo día","Programados"))</f>
        <v>A tiempo</v>
      </c>
      <c r="L2453" s="8">
        <v>46199</v>
      </c>
      <c r="M2453" s="17">
        <f>MAX(1,NETWORKDAYS(A2453,L2453,Table2[Dias no laborales]))</f>
        <v>2</v>
      </c>
    </row>
    <row r="2454" spans="1:13" hidden="1" x14ac:dyDescent="0.3">
      <c r="A2454" s="8">
        <v>46198</v>
      </c>
      <c r="B2454" s="16" t="s">
        <v>4884</v>
      </c>
      <c r="C2454" s="6" t="s">
        <v>4950</v>
      </c>
      <c r="D2454" s="6" t="s">
        <v>27</v>
      </c>
      <c r="E2454" s="14">
        <v>46197.46875</v>
      </c>
      <c r="F2454" s="8">
        <f>IF(HOUR(Table1[[#This Row],[CORREO]])&gt;=11,WORKDAY(Table1[[#This Row],[CORREO]],1,Table2[Dias no laborales]),E2454)</f>
        <v>46198</v>
      </c>
      <c r="G2454" s="8">
        <v>46204</v>
      </c>
      <c r="H2454" s="6">
        <f t="shared" si="135"/>
        <v>26</v>
      </c>
      <c r="I2454" s="6">
        <f>MAX(1, NETWORKDAYS(A2454, G2454,Table2[Dias no laborales]))</f>
        <v>5</v>
      </c>
      <c r="J2454" s="6" t="str">
        <f>IF(Table1[[#This Row],[FIN]]="","Acumulado",IF(ISNUMBER(SEARCH("ASAP",C2454)),"ASAP",IF(NETWORKDAYS.INTL(F2454,G2454,1,Table2[Dias no laborales]) &lt;= 7, "Dentro", IF(A2454&gt;F2454,"Programado","Fuera"))))</f>
        <v>Dentro</v>
      </c>
      <c r="K2454" s="6" t="str">
        <f t="shared" si="136"/>
        <v>A tiempo</v>
      </c>
      <c r="L2454" s="8">
        <v>46198</v>
      </c>
      <c r="M2454" s="17">
        <f>MAX(1,NETWORKDAYS(A2454,L2454,Table2[Dias no laborales]))</f>
        <v>1</v>
      </c>
    </row>
    <row r="2455" spans="1:13" hidden="1" x14ac:dyDescent="0.3">
      <c r="A2455" s="8">
        <v>46198</v>
      </c>
      <c r="B2455" s="16" t="s">
        <v>4885</v>
      </c>
      <c r="C2455" s="6" t="s">
        <v>4655</v>
      </c>
      <c r="D2455" s="6" t="s">
        <v>586</v>
      </c>
      <c r="E2455" s="14">
        <v>46197.558333333334</v>
      </c>
      <c r="F2455" s="8">
        <f>IF(HOUR(Table1[[#This Row],[CORREO]])&gt;=11,WORKDAY(Table1[[#This Row],[CORREO]],1,Table2[Dias no laborales]),E2455)</f>
        <v>46198</v>
      </c>
      <c r="G2455" s="8">
        <v>46199</v>
      </c>
      <c r="H2455" s="6">
        <f t="shared" si="135"/>
        <v>26</v>
      </c>
      <c r="I2455" s="6">
        <f>MAX(1, NETWORKDAYS(A2455, G2455,Table2[Dias no laborales]))</f>
        <v>2</v>
      </c>
      <c r="J2455" s="6" t="str">
        <f>IF(Table1[[#This Row],[FIN]]="","Acumulado",IF(ISNUMBER(SEARCH("ASAP",C2455)),"ASAP",IF(NETWORKDAYS.INTL(F2455,G2455,1,Table2[Dias no laborales]) &lt;= 7, "Dentro", IF(A2455&gt;F2455,"Programado","Fuera"))))</f>
        <v>Dentro</v>
      </c>
      <c r="K2455" s="6" t="str">
        <f t="shared" si="136"/>
        <v>A tiempo</v>
      </c>
      <c r="L2455" s="8">
        <v>46198</v>
      </c>
      <c r="M2455" s="17">
        <f>MAX(1,NETWORKDAYS(A2455,L2455,Table2[Dias no laborales]))</f>
        <v>1</v>
      </c>
    </row>
    <row r="2456" spans="1:13" hidden="1" x14ac:dyDescent="0.3">
      <c r="A2456" s="8">
        <v>46198</v>
      </c>
      <c r="B2456" s="16" t="s">
        <v>4886</v>
      </c>
      <c r="C2456" s="6" t="s">
        <v>4951</v>
      </c>
      <c r="D2456" s="6" t="s">
        <v>103</v>
      </c>
      <c r="E2456" s="14">
        <v>46197.580555555556</v>
      </c>
      <c r="F2456" s="8">
        <f>IF(HOUR(Table1[[#This Row],[CORREO]])&gt;=11,WORKDAY(Table1[[#This Row],[CORREO]],1,Table2[Dias no laborales]),E2456)</f>
        <v>46198</v>
      </c>
      <c r="G2456" s="8">
        <v>46199</v>
      </c>
      <c r="H2456" s="6">
        <f t="shared" si="135"/>
        <v>26</v>
      </c>
      <c r="I2456" s="6">
        <f>MAX(1, NETWORKDAYS(A2456, G2456,Table2[Dias no laborales]))</f>
        <v>2</v>
      </c>
      <c r="J2456" s="6" t="str">
        <f>IF(Table1[[#This Row],[FIN]]="","Acumulado",IF(ISNUMBER(SEARCH("ASAP",C2456)),"ASAP",IF(NETWORKDAYS.INTL(F2456,G2456,1,Table2[Dias no laborales]) &lt;= 7, "Dentro", IF(A2456&gt;F2456,"Programado","Fuera"))))</f>
        <v>Dentro</v>
      </c>
      <c r="K2456" s="6" t="str">
        <f t="shared" si="136"/>
        <v>A tiempo</v>
      </c>
      <c r="L2456" s="8">
        <v>46198</v>
      </c>
      <c r="M2456" s="17">
        <f>MAX(1,NETWORKDAYS(A2456,L2456,Table2[Dias no laborales]))</f>
        <v>1</v>
      </c>
    </row>
    <row r="2457" spans="1:13" hidden="1" x14ac:dyDescent="0.3">
      <c r="A2457" s="8">
        <v>46198</v>
      </c>
      <c r="B2457" s="16" t="s">
        <v>4887</v>
      </c>
      <c r="C2457" s="6" t="s">
        <v>4952</v>
      </c>
      <c r="D2457" s="6" t="s">
        <v>24</v>
      </c>
      <c r="E2457" s="14">
        <v>46197.757638888892</v>
      </c>
      <c r="F2457" s="8">
        <f>IF(HOUR(Table1[[#This Row],[CORREO]])&gt;=11,WORKDAY(Table1[[#This Row],[CORREO]],1,Table2[Dias no laborales]),E2457)</f>
        <v>46198</v>
      </c>
      <c r="G2457" s="8"/>
      <c r="H2457" s="6">
        <f t="shared" si="135"/>
        <v>26</v>
      </c>
      <c r="I2457" s="6">
        <f>MAX(1, NETWORKDAYS(A2457, G2457,Table2[Dias no laborales]))</f>
        <v>1</v>
      </c>
      <c r="J2457" s="6" t="str">
        <f>IF(Table1[[#This Row],[FIN]]="","Acumulado",IF(ISNUMBER(SEARCH("ASAP",C2457)),"ASAP",IF(NETWORKDAYS.INTL(F2457,G2457,1,Table2[Dias no laborales]) &lt;= 7, "Dentro", IF(A2457&gt;F2457,"Programado","Fuera"))))</f>
        <v>Acumulado</v>
      </c>
      <c r="K2457" s="6" t="str">
        <f t="shared" si="136"/>
        <v>A tiempo</v>
      </c>
      <c r="L2457" s="8">
        <v>46198</v>
      </c>
      <c r="M2457" s="17">
        <f>MAX(1,NETWORKDAYS(A2457,L2457,Table2[Dias no laborales]))</f>
        <v>1</v>
      </c>
    </row>
    <row r="2458" spans="1:13" hidden="1" x14ac:dyDescent="0.3">
      <c r="A2458" s="8">
        <v>46198</v>
      </c>
      <c r="B2458" s="16" t="s">
        <v>4888</v>
      </c>
      <c r="C2458" s="6" t="s">
        <v>4953</v>
      </c>
      <c r="D2458" s="6" t="s">
        <v>230</v>
      </c>
      <c r="E2458" s="14">
        <v>46197.793055555558</v>
      </c>
      <c r="F2458" s="8">
        <f>IF(HOUR(Table1[[#This Row],[CORREO]])&gt;=11,WORKDAY(Table1[[#This Row],[CORREO]],1,Table2[Dias no laborales]),E2458)</f>
        <v>46198</v>
      </c>
      <c r="G2458" s="8">
        <v>46199</v>
      </c>
      <c r="H2458" s="6">
        <f t="shared" si="135"/>
        <v>26</v>
      </c>
      <c r="I2458" s="6">
        <f>MAX(1, NETWORKDAYS(A2458, G2458,Table2[Dias no laborales]))</f>
        <v>2</v>
      </c>
      <c r="J2458" s="6" t="str">
        <f>IF(Table1[[#This Row],[FIN]]="","Acumulado",IF(ISNUMBER(SEARCH("ASAP",C2458)),"ASAP",IF(NETWORKDAYS.INTL(F2458,G2458,1,Table2[Dias no laborales]) &lt;= 7, "Dentro", IF(A2458&gt;F2458,"Programado","Fuera"))))</f>
        <v>Dentro</v>
      </c>
      <c r="K2458" s="6" t="str">
        <f t="shared" si="136"/>
        <v>A tiempo</v>
      </c>
      <c r="L2458" s="8">
        <v>46198</v>
      </c>
      <c r="M2458" s="17">
        <f>MAX(1,NETWORKDAYS(A2458,L2458,Table2[Dias no laborales]))</f>
        <v>1</v>
      </c>
    </row>
    <row r="2459" spans="1:13" hidden="1" x14ac:dyDescent="0.3">
      <c r="A2459" s="8">
        <v>46198</v>
      </c>
      <c r="B2459" s="16" t="s">
        <v>4889</v>
      </c>
      <c r="C2459" s="6" t="s">
        <v>4954</v>
      </c>
      <c r="D2459" s="6" t="s">
        <v>61</v>
      </c>
      <c r="E2459" s="14">
        <v>46198.309027777781</v>
      </c>
      <c r="F2459" s="8">
        <f>IF(HOUR(Table1[[#This Row],[CORREO]])&gt;=11,WORKDAY(Table1[[#This Row],[CORREO]],1,Table2[Dias no laborales]),E2459)</f>
        <v>46198.309027777781</v>
      </c>
      <c r="G2459" s="8">
        <v>46199</v>
      </c>
      <c r="H2459" s="6">
        <f t="shared" si="135"/>
        <v>26</v>
      </c>
      <c r="I2459" s="6">
        <f>MAX(1, NETWORKDAYS(A2459, G2459,Table2[Dias no laborales]))</f>
        <v>2</v>
      </c>
      <c r="J2459" s="6" t="str">
        <f>IF(Table1[[#This Row],[FIN]]="","Acumulado",IF(ISNUMBER(SEARCH("ASAP",C2459)),"ASAP",IF(NETWORKDAYS.INTL(F2459,G2459,1,Table2[Dias no laborales]) &lt;= 7, "Dentro", IF(A2459&gt;F2459,"Programado","Fuera"))))</f>
        <v>Dentro</v>
      </c>
      <c r="K2459" s="6" t="str">
        <f t="shared" si="136"/>
        <v>A tiempo</v>
      </c>
      <c r="L2459" s="8">
        <v>46198</v>
      </c>
      <c r="M2459" s="17">
        <f>MAX(1,NETWORKDAYS(A2459,L2459,Table2[Dias no laborales]))</f>
        <v>1</v>
      </c>
    </row>
    <row r="2460" spans="1:13" hidden="1" x14ac:dyDescent="0.3">
      <c r="A2460" s="8">
        <v>46198</v>
      </c>
      <c r="B2460" s="16" t="s">
        <v>4890</v>
      </c>
      <c r="C2460" s="6" t="s">
        <v>4555</v>
      </c>
      <c r="D2460" s="6" t="s">
        <v>392</v>
      </c>
      <c r="E2460" s="14">
        <v>46198.347916666666</v>
      </c>
      <c r="F2460" s="8">
        <f>IF(HOUR(Table1[[#This Row],[CORREO]])&gt;=11,WORKDAY(Table1[[#This Row],[CORREO]],1,Table2[Dias no laborales]),E2460)</f>
        <v>46198.347916666666</v>
      </c>
      <c r="G2460" s="8">
        <v>46199</v>
      </c>
      <c r="H2460" s="6">
        <f t="shared" si="135"/>
        <v>26</v>
      </c>
      <c r="I2460" s="6">
        <f>MAX(1, NETWORKDAYS(A2460, G2460,Table2[Dias no laborales]))</f>
        <v>2</v>
      </c>
      <c r="J2460" s="6" t="str">
        <f>IF(Table1[[#This Row],[FIN]]="","Acumulado",IF(ISNUMBER(SEARCH("ASAP",C2460)),"ASAP",IF(NETWORKDAYS.INTL(F2460,G2460,1,Table2[Dias no laborales]) &lt;= 7, "Dentro", IF(A2460&gt;F2460,"Programado","Fuera"))))</f>
        <v>Dentro</v>
      </c>
      <c r="K2460" s="6" t="str">
        <f t="shared" si="136"/>
        <v>A tiempo</v>
      </c>
      <c r="L2460" s="8">
        <v>46198</v>
      </c>
      <c r="M2460" s="17">
        <f>MAX(1,NETWORKDAYS(A2460,L2460,Table2[Dias no laborales]))</f>
        <v>1</v>
      </c>
    </row>
    <row r="2461" spans="1:13" hidden="1" x14ac:dyDescent="0.3">
      <c r="A2461" s="8">
        <v>46198</v>
      </c>
      <c r="B2461" s="16" t="s">
        <v>4891</v>
      </c>
      <c r="C2461" s="6" t="s">
        <v>4955</v>
      </c>
      <c r="D2461" s="6" t="s">
        <v>1840</v>
      </c>
      <c r="E2461" s="14">
        <v>46198.359027777777</v>
      </c>
      <c r="F2461" s="8">
        <f>IF(HOUR(Table1[[#This Row],[CORREO]])&gt;=11,WORKDAY(Table1[[#This Row],[CORREO]],1,Table2[Dias no laborales]),E2461)</f>
        <v>46198.359027777777</v>
      </c>
      <c r="G2461" s="8">
        <v>46199</v>
      </c>
      <c r="H2461" s="6">
        <f t="shared" si="135"/>
        <v>26</v>
      </c>
      <c r="I2461" s="6">
        <f>MAX(1, NETWORKDAYS(A2461, G2461,Table2[Dias no laborales]))</f>
        <v>2</v>
      </c>
      <c r="J2461" s="6" t="str">
        <f>IF(Table1[[#This Row],[FIN]]="","Acumulado",IF(ISNUMBER(SEARCH("ASAP",C2461)),"ASAP",IF(NETWORKDAYS.INTL(F2461,G2461,1,Table2[Dias no laborales]) &lt;= 7, "Dentro", IF(A2461&gt;F2461,"Programado","Fuera"))))</f>
        <v>Dentro</v>
      </c>
      <c r="K2461" s="6" t="str">
        <f t="shared" si="136"/>
        <v>A tiempo</v>
      </c>
      <c r="L2461" s="8">
        <v>46199</v>
      </c>
      <c r="M2461" s="17">
        <f>MAX(1,NETWORKDAYS(A2461,L2461,Table2[Dias no laborales]))</f>
        <v>2</v>
      </c>
    </row>
    <row r="2462" spans="1:13" hidden="1" x14ac:dyDescent="0.3">
      <c r="A2462" s="8">
        <v>46198</v>
      </c>
      <c r="B2462" s="16" t="s">
        <v>4892</v>
      </c>
      <c r="C2462" s="6" t="s">
        <v>4690</v>
      </c>
      <c r="D2462" s="6" t="s">
        <v>4824</v>
      </c>
      <c r="E2462" s="14">
        <v>46198.363888888889</v>
      </c>
      <c r="F2462" s="8">
        <f>IF(HOUR(Table1[[#This Row],[CORREO]])&gt;=11,WORKDAY(Table1[[#This Row],[CORREO]],1,Table2[Dias no laborales]),E2462)</f>
        <v>46198.363888888889</v>
      </c>
      <c r="G2462" s="8">
        <v>46199</v>
      </c>
      <c r="H2462" s="6">
        <f t="shared" si="135"/>
        <v>26</v>
      </c>
      <c r="I2462" s="6">
        <f>MAX(1, NETWORKDAYS(A2462, G2462,Table2[Dias no laborales]))</f>
        <v>2</v>
      </c>
      <c r="J2462" s="6" t="str">
        <f>IF(Table1[[#This Row],[FIN]]="","Acumulado",IF(ISNUMBER(SEARCH("ASAP",C2462)),"ASAP",IF(NETWORKDAYS.INTL(F2462,G2462,1,Table2[Dias no laborales]) &lt;= 7, "Dentro", IF(A2462&gt;F2462,"Programado","Fuera"))))</f>
        <v>Dentro</v>
      </c>
      <c r="K2462" s="6" t="str">
        <f t="shared" si="136"/>
        <v>A tiempo</v>
      </c>
      <c r="L2462" s="8">
        <v>46198</v>
      </c>
      <c r="M2462" s="17">
        <f>MAX(1,NETWORKDAYS(A2462,L2462,Table2[Dias no laborales]))</f>
        <v>1</v>
      </c>
    </row>
    <row r="2463" spans="1:13" hidden="1" x14ac:dyDescent="0.3">
      <c r="A2463" s="8">
        <v>46198</v>
      </c>
      <c r="B2463" s="16" t="s">
        <v>4893</v>
      </c>
      <c r="C2463" s="6" t="s">
        <v>4956</v>
      </c>
      <c r="D2463" s="6" t="s">
        <v>75</v>
      </c>
      <c r="E2463" s="14">
        <v>46198.379166666666</v>
      </c>
      <c r="F2463" s="8">
        <f>IF(HOUR(Table1[[#This Row],[CORREO]])&gt;=11,WORKDAY(Table1[[#This Row],[CORREO]],1,Table2[Dias no laborales]),E2463)</f>
        <v>46198.379166666666</v>
      </c>
      <c r="G2463" s="8">
        <v>46202</v>
      </c>
      <c r="H2463" s="6">
        <f t="shared" si="135"/>
        <v>26</v>
      </c>
      <c r="I2463" s="6">
        <f>MAX(1, NETWORKDAYS(A2463, G2463,Table2[Dias no laborales]))</f>
        <v>3</v>
      </c>
      <c r="J2463" s="6" t="str">
        <f>IF(Table1[[#This Row],[FIN]]="","Acumulado",IF(ISNUMBER(SEARCH("ASAP",C2463)),"ASAP",IF(NETWORKDAYS.INTL(F2463,G2463,1,Table2[Dias no laborales]) &lt;= 7, "Dentro", IF(A2463&gt;F2463,"Programado","Fuera"))))</f>
        <v>Dentro</v>
      </c>
      <c r="K2463" s="6" t="str">
        <f t="shared" si="136"/>
        <v>A tiempo</v>
      </c>
      <c r="L2463" s="8">
        <v>46198</v>
      </c>
      <c r="M2463" s="17">
        <f>MAX(1,NETWORKDAYS(A2463,L2463,Table2[Dias no laborales]))</f>
        <v>1</v>
      </c>
    </row>
    <row r="2464" spans="1:13" hidden="1" x14ac:dyDescent="0.3">
      <c r="A2464" s="8">
        <v>46198</v>
      </c>
      <c r="B2464" s="16" t="s">
        <v>4894</v>
      </c>
      <c r="C2464" s="6" t="s">
        <v>4957</v>
      </c>
      <c r="D2464" s="6" t="s">
        <v>913</v>
      </c>
      <c r="E2464" s="14">
        <v>46198.386805555558</v>
      </c>
      <c r="F2464" s="8">
        <f>IF(HOUR(Table1[[#This Row],[CORREO]])&gt;=11,WORKDAY(Table1[[#This Row],[CORREO]],1,Table2[Dias no laborales]),E2464)</f>
        <v>46198.386805555558</v>
      </c>
      <c r="G2464" s="8">
        <v>46203</v>
      </c>
      <c r="H2464" s="6">
        <f t="shared" si="135"/>
        <v>26</v>
      </c>
      <c r="I2464" s="6">
        <f>MAX(1, NETWORKDAYS(A2464, G2464,Table2[Dias no laborales]))</f>
        <v>4</v>
      </c>
      <c r="J2464" s="6" t="str">
        <f>IF(Table1[[#This Row],[FIN]]="","Acumulado",IF(ISNUMBER(SEARCH("ASAP",C2464)),"ASAP",IF(NETWORKDAYS.INTL(F2464,G2464,1,Table2[Dias no laborales]) &lt;= 7, "Dentro", IF(A2464&gt;F2464,"Programado","Fuera"))))</f>
        <v>Dentro</v>
      </c>
      <c r="K2464" s="6" t="str">
        <f t="shared" si="136"/>
        <v>A tiempo</v>
      </c>
      <c r="L2464" s="8">
        <v>46198</v>
      </c>
      <c r="M2464" s="17">
        <f>MAX(1,NETWORKDAYS(A2464,L2464,Table2[Dias no laborales]))</f>
        <v>1</v>
      </c>
    </row>
    <row r="2465" spans="1:13" hidden="1" x14ac:dyDescent="0.3">
      <c r="A2465" s="8">
        <v>46198</v>
      </c>
      <c r="B2465" s="16" t="s">
        <v>4895</v>
      </c>
      <c r="C2465" s="6" t="s">
        <v>3008</v>
      </c>
      <c r="D2465" s="6" t="s">
        <v>4958</v>
      </c>
      <c r="E2465" s="14">
        <v>46198.434027777781</v>
      </c>
      <c r="F2465" s="8">
        <f>IF(HOUR(Table1[[#This Row],[CORREO]])&gt;=11,WORKDAY(Table1[[#This Row],[CORREO]],1,Table2[Dias no laborales]),E2465)</f>
        <v>46198.434027777781</v>
      </c>
      <c r="G2465" s="8">
        <v>46199</v>
      </c>
      <c r="H2465" s="6">
        <f t="shared" si="135"/>
        <v>26</v>
      </c>
      <c r="I2465" s="6">
        <f>MAX(1, NETWORKDAYS(A2465, G2465,Table2[Dias no laborales]))</f>
        <v>2</v>
      </c>
      <c r="J2465" s="6" t="str">
        <f>IF(Table1[[#This Row],[FIN]]="","Acumulado",IF(ISNUMBER(SEARCH("ASAP",C2465)),"ASAP",IF(NETWORKDAYS.INTL(F2465,G2465,1,Table2[Dias no laborales]) &lt;= 7, "Dentro", IF(A2465&gt;F2465,"Programado","Fuera"))))</f>
        <v>Dentro</v>
      </c>
      <c r="K2465" s="6" t="str">
        <f t="shared" si="136"/>
        <v>A tiempo</v>
      </c>
      <c r="L2465" s="8">
        <v>46198</v>
      </c>
      <c r="M2465" s="17">
        <f>MAX(1,NETWORKDAYS(A2465,L2465,Table2[Dias no laborales]))</f>
        <v>1</v>
      </c>
    </row>
    <row r="2466" spans="1:13" hidden="1" x14ac:dyDescent="0.3">
      <c r="A2466" s="8">
        <v>46198</v>
      </c>
      <c r="B2466" s="16" t="s">
        <v>4896</v>
      </c>
      <c r="C2466" s="6" t="s">
        <v>4959</v>
      </c>
      <c r="D2466" s="6" t="s">
        <v>1176</v>
      </c>
      <c r="E2466" s="14">
        <v>46198.443055555559</v>
      </c>
      <c r="F2466" s="8">
        <f>IF(HOUR(Table1[[#This Row],[CORREO]])&gt;=11,WORKDAY(Table1[[#This Row],[CORREO]],1,Table2[Dias no laborales]),E2466)</f>
        <v>46198.443055555559</v>
      </c>
      <c r="G2466" s="8">
        <v>46199</v>
      </c>
      <c r="H2466" s="6">
        <f t="shared" si="135"/>
        <v>26</v>
      </c>
      <c r="I2466" s="6">
        <f>MAX(1, NETWORKDAYS(A2466, G2466,Table2[Dias no laborales]))</f>
        <v>2</v>
      </c>
      <c r="J2466" s="6" t="str">
        <f>IF(Table1[[#This Row],[FIN]]="","Acumulado",IF(ISNUMBER(SEARCH("ASAP",C2466)),"ASAP",IF(NETWORKDAYS.INTL(F2466,G2466,1,Table2[Dias no laborales]) &lt;= 7, "Dentro", IF(A2466&gt;F2466,"Programado","Fuera"))))</f>
        <v>Dentro</v>
      </c>
      <c r="K2466" s="6" t="str">
        <f t="shared" si="136"/>
        <v>A tiempo</v>
      </c>
      <c r="L2466" s="8">
        <v>46198</v>
      </c>
      <c r="M2466" s="17">
        <f>MAX(1,NETWORKDAYS(A2466,L2466,Table2[Dias no laborales]))</f>
        <v>1</v>
      </c>
    </row>
    <row r="2467" spans="1:13" hidden="1" x14ac:dyDescent="0.3">
      <c r="A2467" s="8">
        <v>46198</v>
      </c>
      <c r="B2467" s="16" t="s">
        <v>4897</v>
      </c>
      <c r="C2467" s="6" t="s">
        <v>4960</v>
      </c>
      <c r="D2467" s="6" t="s">
        <v>628</v>
      </c>
      <c r="E2467" s="14">
        <v>46198.443749999999</v>
      </c>
      <c r="F2467" s="8">
        <f>IF(HOUR(Table1[[#This Row],[CORREO]])&gt;=11,WORKDAY(Table1[[#This Row],[CORREO]],1,Table2[Dias no laborales]),E2467)</f>
        <v>46198.443749999999</v>
      </c>
      <c r="G2467" s="8">
        <v>46199</v>
      </c>
      <c r="H2467" s="6">
        <f t="shared" si="135"/>
        <v>26</v>
      </c>
      <c r="I2467" s="6">
        <f>MAX(1, NETWORKDAYS(A2467, G2467,Table2[Dias no laborales]))</f>
        <v>2</v>
      </c>
      <c r="J2467" s="6" t="str">
        <f>IF(Table1[[#This Row],[FIN]]="","Acumulado",IF(ISNUMBER(SEARCH("ASAP",C2467)),"ASAP",IF(NETWORKDAYS.INTL(F2467,G2467,1,Table2[Dias no laborales]) &lt;= 7, "Dentro", IF(A2467&gt;F2467,"Programado","Fuera"))))</f>
        <v>Dentro</v>
      </c>
      <c r="K2467" s="6" t="str">
        <f t="shared" si="136"/>
        <v>A tiempo</v>
      </c>
      <c r="L2467" s="8">
        <v>46198</v>
      </c>
      <c r="M2467" s="17">
        <f>MAX(1,NETWORKDAYS(A2467,L2467,Table2[Dias no laborales]))</f>
        <v>1</v>
      </c>
    </row>
    <row r="2468" spans="1:13" hidden="1" x14ac:dyDescent="0.3">
      <c r="A2468" s="8">
        <v>46198</v>
      </c>
      <c r="B2468" s="16" t="s">
        <v>4898</v>
      </c>
      <c r="C2468" s="6" t="s">
        <v>1591</v>
      </c>
      <c r="D2468" s="6" t="s">
        <v>650</v>
      </c>
      <c r="E2468" s="14">
        <v>46198.445833333331</v>
      </c>
      <c r="F2468" s="8">
        <f>IF(HOUR(Table1[[#This Row],[CORREO]])&gt;=11,WORKDAY(Table1[[#This Row],[CORREO]],1,Table2[Dias no laborales]),E2468)</f>
        <v>46198.445833333331</v>
      </c>
      <c r="G2468" s="8">
        <v>46199</v>
      </c>
      <c r="H2468" s="6">
        <f t="shared" si="135"/>
        <v>26</v>
      </c>
      <c r="I2468" s="6">
        <f>MAX(1, NETWORKDAYS(A2468, G2468,Table2[Dias no laborales]))</f>
        <v>2</v>
      </c>
      <c r="J2468" s="6" t="str">
        <f>IF(Table1[[#This Row],[FIN]]="","Acumulado",IF(ISNUMBER(SEARCH("ASAP",C2468)),"ASAP",IF(NETWORKDAYS.INTL(F2468,G2468,1,Table2[Dias no laborales]) &lt;= 7, "Dentro", IF(A2468&gt;F2468,"Programado","Fuera"))))</f>
        <v>Dentro</v>
      </c>
      <c r="K2468" s="6" t="str">
        <f t="shared" si="136"/>
        <v>A tiempo</v>
      </c>
      <c r="L2468" s="8">
        <v>46198</v>
      </c>
      <c r="M2468" s="17">
        <f>MAX(1,NETWORKDAYS(A2468,L2468,Table2[Dias no laborales]))</f>
        <v>1</v>
      </c>
    </row>
    <row r="2469" spans="1:13" hidden="1" x14ac:dyDescent="0.3">
      <c r="A2469" s="8">
        <v>46198</v>
      </c>
      <c r="B2469" s="16" t="s">
        <v>4899</v>
      </c>
      <c r="C2469" s="6" t="s">
        <v>4961</v>
      </c>
      <c r="D2469" s="6" t="s">
        <v>24</v>
      </c>
      <c r="E2469" s="14">
        <v>46198.656944444447</v>
      </c>
      <c r="F2469" s="8">
        <f>IF(HOUR(Table1[[#This Row],[CORREO]])&gt;=11,WORKDAY(Table1[[#This Row],[CORREO]],1,Table2[Dias no laborales]),E2469)</f>
        <v>46199</v>
      </c>
      <c r="G2469" s="8">
        <v>46204</v>
      </c>
      <c r="H2469" s="6">
        <f t="shared" si="135"/>
        <v>26</v>
      </c>
      <c r="I2469" s="6">
        <f>MAX(1, NETWORKDAYS(A2469, G2469,Table2[Dias no laborales]))</f>
        <v>5</v>
      </c>
      <c r="J2469" s="6" t="str">
        <f>IF(Table1[[#This Row],[FIN]]="","Acumulado",IF(ISNUMBER(SEARCH("ASAP",C2469)),"ASAP",IF(NETWORKDAYS.INTL(F2469,G2469,1,Table2[Dias no laborales]) &lt;= 7, "Dentro", IF(A2469&gt;F2469,"Programado","Fuera"))))</f>
        <v>Dentro</v>
      </c>
      <c r="K2469" s="6" t="str">
        <f t="shared" si="136"/>
        <v>Mismo día</v>
      </c>
      <c r="L2469" s="8">
        <v>46198</v>
      </c>
      <c r="M2469" s="17">
        <f>MAX(1,NETWORKDAYS(A2469,L2469,Table2[Dias no laborales]))</f>
        <v>1</v>
      </c>
    </row>
    <row r="2470" spans="1:13" hidden="1" x14ac:dyDescent="0.3">
      <c r="A2470" s="8">
        <v>46198</v>
      </c>
      <c r="B2470" s="16" t="s">
        <v>4900</v>
      </c>
      <c r="C2470" s="6" t="s">
        <v>4962</v>
      </c>
      <c r="D2470" s="6" t="s">
        <v>2963</v>
      </c>
      <c r="E2470" s="14">
        <v>46198.677083333336</v>
      </c>
      <c r="F2470" s="8">
        <f>IF(HOUR(Table1[[#This Row],[CORREO]])&gt;=11,WORKDAY(Table1[[#This Row],[CORREO]],1,Table2[Dias no laborales]),E2470)</f>
        <v>46199</v>
      </c>
      <c r="G2470" s="8">
        <v>46198</v>
      </c>
      <c r="H2470" s="6">
        <f t="shared" si="135"/>
        <v>26</v>
      </c>
      <c r="I2470" s="6">
        <f>MAX(1, NETWORKDAYS(A2470, G2470,Table2[Dias no laborales]))</f>
        <v>1</v>
      </c>
      <c r="J2470" s="6" t="str">
        <f>IF(Table1[[#This Row],[FIN]]="","Acumulado",IF(ISNUMBER(SEARCH("ASAP",C2470)),"ASAP",IF(NETWORKDAYS.INTL(F2470,G2470,1,Table2[Dias no laborales]) &lt;= 7, "Dentro", IF(A2470&gt;F2470,"Programado","Fuera"))))</f>
        <v>Dentro</v>
      </c>
      <c r="K2470" s="6" t="str">
        <f t="shared" si="136"/>
        <v>Mismo día</v>
      </c>
      <c r="L2470" s="8">
        <v>46198</v>
      </c>
      <c r="M2470" s="17">
        <f>MAX(1,NETWORKDAYS(A2470,L2470,Table2[Dias no laborales]))</f>
        <v>1</v>
      </c>
    </row>
    <row r="2471" spans="1:13" hidden="1" x14ac:dyDescent="0.3">
      <c r="A2471" s="8">
        <v>46199</v>
      </c>
      <c r="B2471" s="16" t="s">
        <v>4901</v>
      </c>
      <c r="C2471" s="6" t="s">
        <v>4963</v>
      </c>
      <c r="D2471" s="6" t="s">
        <v>623</v>
      </c>
      <c r="E2471" s="14"/>
      <c r="F2471" s="8">
        <f>IF(HOUR(Table1[[#This Row],[CORREO]])&gt;=11,WORKDAY(Table1[[#This Row],[CORREO]],1,Table2[Dias no laborales]),E2471)</f>
        <v>0</v>
      </c>
      <c r="G2471" s="8">
        <v>46199</v>
      </c>
      <c r="H2471" s="6">
        <f t="shared" si="135"/>
        <v>26</v>
      </c>
      <c r="I2471" s="6">
        <f>MAX(1, NETWORKDAYS(A2471, G2471,Table2[Dias no laborales]))</f>
        <v>1</v>
      </c>
      <c r="J2471" s="6" t="str">
        <f>IF(Table1[[#This Row],[FIN]]="","Acumulado",IF(ISNUMBER(SEARCH("ASAP",C2471)),"ASAP",IF(NETWORKDAYS.INTL(F2471,G2471,1,Table2[Dias no laborales]) &lt;= 7, "Dentro", IF(A2471&gt;F2471,"Programado","Fuera"))))</f>
        <v>Programado</v>
      </c>
      <c r="K2471" s="6" t="str">
        <f t="shared" si="136"/>
        <v>Programados</v>
      </c>
      <c r="L2471" s="8">
        <v>46199</v>
      </c>
      <c r="M2471" s="17">
        <f>MAX(1,NETWORKDAYS(A2471,L2471,Table2[Dias no laborales]))</f>
        <v>1</v>
      </c>
    </row>
    <row r="2472" spans="1:13" hidden="1" x14ac:dyDescent="0.3">
      <c r="A2472" s="8">
        <v>46199</v>
      </c>
      <c r="B2472" s="16" t="s">
        <v>4902</v>
      </c>
      <c r="C2472" s="6" t="s">
        <v>4964</v>
      </c>
      <c r="D2472" s="6" t="s">
        <v>1333</v>
      </c>
      <c r="E2472" s="14"/>
      <c r="F2472" s="8">
        <f>IF(HOUR(Table1[[#This Row],[CORREO]])&gt;=11,WORKDAY(Table1[[#This Row],[CORREO]],1,Table2[Dias no laborales]),E2472)</f>
        <v>0</v>
      </c>
      <c r="G2472" s="8"/>
      <c r="H2472" s="6">
        <f t="shared" si="135"/>
        <v>26</v>
      </c>
      <c r="I2472" s="6">
        <f>MAX(1, NETWORKDAYS(A2472, G2472,Table2[Dias no laborales]))</f>
        <v>1</v>
      </c>
      <c r="J2472" s="6" t="str">
        <f>IF(Table1[[#This Row],[FIN]]="","Acumulado",IF(ISNUMBER(SEARCH("ASAP",C2472)),"ASAP",IF(NETWORKDAYS.INTL(F2472,G2472,1,Table2[Dias no laborales]) &lt;= 7, "Dentro", IF(A2472&gt;F2472,"Programado","Fuera"))))</f>
        <v>Acumulado</v>
      </c>
      <c r="K2472" s="6" t="str">
        <f t="shared" si="136"/>
        <v>Programados</v>
      </c>
      <c r="L2472" s="8">
        <v>46199</v>
      </c>
      <c r="M2472" s="17">
        <f>MAX(1,NETWORKDAYS(A2472,L2472,Table2[Dias no laborales]))</f>
        <v>1</v>
      </c>
    </row>
    <row r="2473" spans="1:13" hidden="1" x14ac:dyDescent="0.3">
      <c r="A2473" s="8">
        <v>46199</v>
      </c>
      <c r="B2473" s="16" t="s">
        <v>4903</v>
      </c>
      <c r="C2473" s="6" t="s">
        <v>4965</v>
      </c>
      <c r="D2473" s="6" t="s">
        <v>230</v>
      </c>
      <c r="E2473" s="14">
        <v>46198.720138888886</v>
      </c>
      <c r="F2473" s="8">
        <f>IF(HOUR(Table1[[#This Row],[CORREO]])&gt;=11,WORKDAY(Table1[[#This Row],[CORREO]],1,Table2[Dias no laborales]),E2473)</f>
        <v>46199</v>
      </c>
      <c r="G2473" s="8">
        <v>46202</v>
      </c>
      <c r="H2473" s="6">
        <f t="shared" si="135"/>
        <v>26</v>
      </c>
      <c r="I2473" s="6">
        <f>MAX(1, NETWORKDAYS(A2473, G2473,Table2[Dias no laborales]))</f>
        <v>2</v>
      </c>
      <c r="J2473" s="6" t="str">
        <f>IF(Table1[[#This Row],[FIN]]="","Acumulado",IF(ISNUMBER(SEARCH("ASAP",C2473)),"ASAP",IF(NETWORKDAYS.INTL(F2473,G2473,1,Table2[Dias no laborales]) &lt;= 7, "Dentro", IF(A2473&gt;F2473,"Programado","Fuera"))))</f>
        <v>Dentro</v>
      </c>
      <c r="K2473" s="6" t="str">
        <f t="shared" si="136"/>
        <v>A tiempo</v>
      </c>
      <c r="L2473" s="8">
        <v>46199</v>
      </c>
      <c r="M2473" s="17">
        <f>MAX(1,NETWORKDAYS(A2473,L2473,Table2[Dias no laborales]))</f>
        <v>1</v>
      </c>
    </row>
    <row r="2474" spans="1:13" hidden="1" x14ac:dyDescent="0.3">
      <c r="A2474" s="8">
        <v>46199</v>
      </c>
      <c r="B2474" s="16" t="s">
        <v>4904</v>
      </c>
      <c r="C2474" s="6" t="s">
        <v>4966</v>
      </c>
      <c r="D2474" s="6" t="s">
        <v>477</v>
      </c>
      <c r="E2474" s="14">
        <v>46198.854166666664</v>
      </c>
      <c r="F2474" s="8">
        <f>IF(HOUR(Table1[[#This Row],[CORREO]])&gt;=11,WORKDAY(Table1[[#This Row],[CORREO]],1,Table2[Dias no laborales]),E2474)</f>
        <v>46199</v>
      </c>
      <c r="G2474" s="8">
        <v>46199</v>
      </c>
      <c r="H2474" s="6">
        <f t="shared" si="135"/>
        <v>26</v>
      </c>
      <c r="I2474" s="6">
        <f>MAX(1, NETWORKDAYS(A2474, G2474,Table2[Dias no laborales]))</f>
        <v>1</v>
      </c>
      <c r="J2474" s="6" t="str">
        <f>IF(Table1[[#This Row],[FIN]]="","Acumulado",IF(ISNUMBER(SEARCH("ASAP",C2474)),"ASAP",IF(NETWORKDAYS.INTL(F2474,G2474,1,Table2[Dias no laborales]) &lt;= 7, "Dentro", IF(A2474&gt;F2474,"Programado","Fuera"))))</f>
        <v>Dentro</v>
      </c>
      <c r="K2474" s="6" t="str">
        <f t="shared" si="136"/>
        <v>A tiempo</v>
      </c>
      <c r="L2474" s="8">
        <v>46199</v>
      </c>
      <c r="M2474" s="17">
        <f>MAX(1,NETWORKDAYS(A2474,L2474,Table2[Dias no laborales]))</f>
        <v>1</v>
      </c>
    </row>
    <row r="2475" spans="1:13" hidden="1" x14ac:dyDescent="0.3">
      <c r="A2475" s="8">
        <v>46199</v>
      </c>
      <c r="B2475" s="16" t="s">
        <v>4905</v>
      </c>
      <c r="C2475" s="6" t="s">
        <v>4967</v>
      </c>
      <c r="D2475" s="6" t="s">
        <v>3048</v>
      </c>
      <c r="E2475" s="14">
        <v>46198.934027777781</v>
      </c>
      <c r="F2475" s="8">
        <f>IF(HOUR(Table1[[#This Row],[CORREO]])&gt;=11,WORKDAY(Table1[[#This Row],[CORREO]],1,Table2[Dias no laborales]),E2475)</f>
        <v>46199</v>
      </c>
      <c r="G2475" s="8">
        <v>46199</v>
      </c>
      <c r="H2475" s="6">
        <f t="shared" si="135"/>
        <v>26</v>
      </c>
      <c r="I2475" s="6">
        <f>MAX(1, NETWORKDAYS(A2475, G2475,Table2[Dias no laborales]))</f>
        <v>1</v>
      </c>
      <c r="J2475" s="6" t="str">
        <f>IF(Table1[[#This Row],[FIN]]="","Acumulado",IF(ISNUMBER(SEARCH("ASAP",C2475)),"ASAP",IF(NETWORKDAYS.INTL(F2475,G2475,1,Table2[Dias no laborales]) &lt;= 7, "Dentro", IF(A2475&gt;F2475,"Programado","Fuera"))))</f>
        <v>Dentro</v>
      </c>
      <c r="K2475" s="6" t="str">
        <f t="shared" si="136"/>
        <v>A tiempo</v>
      </c>
      <c r="L2475" s="8">
        <v>46199</v>
      </c>
      <c r="M2475" s="17">
        <f>MAX(1,NETWORKDAYS(A2475,L2475,Table2[Dias no laborales]))</f>
        <v>1</v>
      </c>
    </row>
    <row r="2476" spans="1:13" hidden="1" x14ac:dyDescent="0.3">
      <c r="A2476" s="8">
        <v>46199</v>
      </c>
      <c r="B2476" s="16" t="s">
        <v>4906</v>
      </c>
      <c r="C2476" s="6" t="s">
        <v>4968</v>
      </c>
      <c r="D2476" s="6" t="s">
        <v>56</v>
      </c>
      <c r="E2476" s="14">
        <v>46199.306250000001</v>
      </c>
      <c r="F2476" s="8">
        <f>IF(HOUR(Table1[[#This Row],[CORREO]])&gt;=11,WORKDAY(Table1[[#This Row],[CORREO]],1,Table2[Dias no laborales]),E2476)</f>
        <v>46199.306250000001</v>
      </c>
      <c r="G2476" s="8">
        <v>46199</v>
      </c>
      <c r="H2476" s="6">
        <f t="shared" si="135"/>
        <v>26</v>
      </c>
      <c r="I2476" s="6">
        <f>MAX(1, NETWORKDAYS(A2476, G2476,Table2[Dias no laborales]))</f>
        <v>1</v>
      </c>
      <c r="J2476" s="6" t="str">
        <f>IF(Table1[[#This Row],[FIN]]="","Acumulado",IF(ISNUMBER(SEARCH("ASAP",C2476)),"ASAP",IF(NETWORKDAYS.INTL(F2476,G2476,1,Table2[Dias no laborales]) &lt;= 7, "Dentro", IF(A2476&gt;F2476,"Programado","Fuera"))))</f>
        <v>Dentro</v>
      </c>
      <c r="K2476" s="6" t="str">
        <f t="shared" si="136"/>
        <v>A tiempo</v>
      </c>
      <c r="L2476" s="8">
        <v>46199</v>
      </c>
      <c r="M2476" s="17">
        <f>MAX(1,NETWORKDAYS(A2476,L2476,Table2[Dias no laborales]))</f>
        <v>1</v>
      </c>
    </row>
    <row r="2477" spans="1:13" hidden="1" x14ac:dyDescent="0.3">
      <c r="A2477" s="8">
        <v>46199</v>
      </c>
      <c r="B2477" s="16" t="s">
        <v>4907</v>
      </c>
      <c r="C2477" s="6" t="s">
        <v>4690</v>
      </c>
      <c r="D2477" s="6" t="s">
        <v>85</v>
      </c>
      <c r="E2477" s="14">
        <v>46199.356249999997</v>
      </c>
      <c r="F2477" s="8">
        <f>IF(HOUR(Table1[[#This Row],[CORREO]])&gt;=11,WORKDAY(Table1[[#This Row],[CORREO]],1,Table2[Dias no laborales]),E2477)</f>
        <v>46199.356249999997</v>
      </c>
      <c r="G2477" s="8">
        <v>46199</v>
      </c>
      <c r="H2477" s="6">
        <f t="shared" si="135"/>
        <v>26</v>
      </c>
      <c r="I2477" s="6">
        <f>MAX(1, NETWORKDAYS(A2477, G2477,Table2[Dias no laborales]))</f>
        <v>1</v>
      </c>
      <c r="J2477" s="6" t="str">
        <f>IF(Table1[[#This Row],[FIN]]="","Acumulado",IF(ISNUMBER(SEARCH("ASAP",C2477)),"ASAP",IF(NETWORKDAYS.INTL(F2477,G2477,1,Table2[Dias no laborales]) &lt;= 7, "Dentro", IF(A2477&gt;F2477,"Programado","Fuera"))))</f>
        <v>Dentro</v>
      </c>
      <c r="K2477" s="6" t="str">
        <f t="shared" si="136"/>
        <v>A tiempo</v>
      </c>
      <c r="L2477" s="8">
        <v>46199</v>
      </c>
      <c r="M2477" s="17">
        <f>MAX(1,NETWORKDAYS(A2477,L2477,Table2[Dias no laborales]))</f>
        <v>1</v>
      </c>
    </row>
    <row r="2478" spans="1:13" hidden="1" x14ac:dyDescent="0.3">
      <c r="A2478" s="8">
        <v>46199</v>
      </c>
      <c r="B2478" s="16" t="s">
        <v>4908</v>
      </c>
      <c r="C2478" s="6" t="s">
        <v>4555</v>
      </c>
      <c r="D2478" s="6" t="s">
        <v>392</v>
      </c>
      <c r="E2478" s="14">
        <v>46199.379166666666</v>
      </c>
      <c r="F2478" s="8">
        <f>IF(HOUR(Table1[[#This Row],[CORREO]])&gt;=11,WORKDAY(Table1[[#This Row],[CORREO]],1,Table2[Dias no laborales]),E2478)</f>
        <v>46199.379166666666</v>
      </c>
      <c r="G2478" s="8">
        <v>46199</v>
      </c>
      <c r="H2478" s="6">
        <f t="shared" si="135"/>
        <v>26</v>
      </c>
      <c r="I2478" s="6">
        <f>MAX(1, NETWORKDAYS(A2478, G2478,Table2[Dias no laborales]))</f>
        <v>1</v>
      </c>
      <c r="J2478" s="6" t="str">
        <f>IF(Table1[[#This Row],[FIN]]="","Acumulado",IF(ISNUMBER(SEARCH("ASAP",C2478)),"ASAP",IF(NETWORKDAYS.INTL(F2478,G2478,1,Table2[Dias no laborales]) &lt;= 7, "Dentro", IF(A2478&gt;F2478,"Programado","Fuera"))))</f>
        <v>Dentro</v>
      </c>
      <c r="K2478" s="6" t="str">
        <f t="shared" si="136"/>
        <v>A tiempo</v>
      </c>
      <c r="L2478" s="8">
        <v>46199</v>
      </c>
      <c r="M2478" s="17">
        <f>MAX(1,NETWORKDAYS(A2478,L2478,Table2[Dias no laborales]))</f>
        <v>1</v>
      </c>
    </row>
    <row r="2479" spans="1:13" hidden="1" x14ac:dyDescent="0.3">
      <c r="A2479" s="8">
        <v>46199</v>
      </c>
      <c r="B2479" s="16" t="s">
        <v>4909</v>
      </c>
      <c r="C2479" s="6" t="s">
        <v>4969</v>
      </c>
      <c r="D2479" s="6" t="s">
        <v>3041</v>
      </c>
      <c r="E2479" s="14">
        <v>46199.311805555553</v>
      </c>
      <c r="F2479" s="8">
        <f>IF(HOUR(Table1[[#This Row],[CORREO]])&gt;=11,WORKDAY(Table1[[#This Row],[CORREO]],1,Table2[Dias no laborales]),E2479)</f>
        <v>46199.311805555553</v>
      </c>
      <c r="G2479" s="8">
        <v>46199</v>
      </c>
      <c r="H2479" s="6">
        <f t="shared" si="135"/>
        <v>26</v>
      </c>
      <c r="I2479" s="6">
        <f>MAX(1, NETWORKDAYS(A2479, G2479,Table2[Dias no laborales]))</f>
        <v>1</v>
      </c>
      <c r="J2479" s="6" t="str">
        <f>IF(Table1[[#This Row],[FIN]]="","Acumulado",IF(ISNUMBER(SEARCH("ASAP",C2479)),"ASAP",IF(NETWORKDAYS.INTL(F2479,G2479,1,Table2[Dias no laborales]) &lt;= 7, "Dentro", IF(A2479&gt;F2479,"Programado","Fuera"))))</f>
        <v>Dentro</v>
      </c>
      <c r="K2479" s="6" t="str">
        <f t="shared" si="136"/>
        <v>A tiempo</v>
      </c>
      <c r="L2479" s="8">
        <v>46199</v>
      </c>
      <c r="M2479" s="17">
        <f>MAX(1,NETWORKDAYS(A2479,L2479,Table2[Dias no laborales]))</f>
        <v>1</v>
      </c>
    </row>
    <row r="2480" spans="1:13" hidden="1" x14ac:dyDescent="0.3">
      <c r="A2480" s="8">
        <v>46199</v>
      </c>
      <c r="B2480" s="16" t="s">
        <v>4910</v>
      </c>
      <c r="C2480" s="6" t="s">
        <v>4970</v>
      </c>
      <c r="D2480" s="6" t="s">
        <v>3020</v>
      </c>
      <c r="E2480" s="14">
        <v>46198.763194444444</v>
      </c>
      <c r="F2480" s="8">
        <f>IF(HOUR(Table1[[#This Row],[CORREO]])&gt;=11,WORKDAY(Table1[[#This Row],[CORREO]],1,Table2[Dias no laborales]),E2480)</f>
        <v>46199</v>
      </c>
      <c r="G2480" s="8"/>
      <c r="H2480" s="6">
        <f t="shared" si="135"/>
        <v>26</v>
      </c>
      <c r="I2480" s="6">
        <f>MAX(1, NETWORKDAYS(A2480, G2480,Table2[Dias no laborales]))</f>
        <v>1</v>
      </c>
      <c r="J2480" s="6" t="str">
        <f>IF(Table1[[#This Row],[FIN]]="","Acumulado",IF(ISNUMBER(SEARCH("ASAP",C2480)),"ASAP",IF(NETWORKDAYS.INTL(F2480,G2480,1,Table2[Dias no laborales]) &lt;= 7, "Dentro", IF(A2480&gt;F2480,"Programado","Fuera"))))</f>
        <v>Acumulado</v>
      </c>
      <c r="K2480" s="6" t="str">
        <f t="shared" si="136"/>
        <v>A tiempo</v>
      </c>
      <c r="L2480" s="8">
        <v>46199</v>
      </c>
      <c r="M2480" s="17">
        <f>MAX(1,NETWORKDAYS(A2480,L2480,Table2[Dias no laborales]))</f>
        <v>1</v>
      </c>
    </row>
    <row r="2481" spans="1:13" hidden="1" x14ac:dyDescent="0.3">
      <c r="A2481" s="8">
        <v>46199</v>
      </c>
      <c r="B2481" s="16" t="s">
        <v>4911</v>
      </c>
      <c r="C2481" s="6" t="s">
        <v>4984</v>
      </c>
      <c r="D2481" s="6" t="s">
        <v>372</v>
      </c>
      <c r="E2481" s="14">
        <v>46199.621527777781</v>
      </c>
      <c r="F2481" s="8">
        <f>IF(HOUR(Table1[[#This Row],[CORREO]])&gt;=11,WORKDAY(Table1[[#This Row],[CORREO]],1,Table2[Dias no laborales]),E2481)</f>
        <v>46202</v>
      </c>
      <c r="G2481" s="8">
        <v>46202</v>
      </c>
      <c r="H2481" s="6">
        <f t="shared" si="135"/>
        <v>26</v>
      </c>
      <c r="I2481" s="6">
        <f>MAX(1, NETWORKDAYS(A2481, G2481,Table2[Dias no laborales]))</f>
        <v>2</v>
      </c>
      <c r="J2481" s="6" t="str">
        <f>IF(Table1[[#This Row],[FIN]]="","Acumulado",IF(ISNUMBER(SEARCH("ASAP",C2481)),"ASAP",IF(NETWORKDAYS.INTL(F2481,G2481,1,Table2[Dias no laborales]) &lt;= 7, "Dentro", IF(A2481&gt;F2481,"Programado","Fuera"))))</f>
        <v>Dentro</v>
      </c>
      <c r="K2481" s="6" t="str">
        <f t="shared" si="136"/>
        <v>Mismo día</v>
      </c>
      <c r="L2481" s="8">
        <v>46199</v>
      </c>
      <c r="M2481" s="17">
        <f>MAX(1,NETWORKDAYS(A2481,L2481,Table2[Dias no laborales]))</f>
        <v>1</v>
      </c>
    </row>
    <row r="2482" spans="1:13" hidden="1" x14ac:dyDescent="0.3">
      <c r="A2482" s="8">
        <v>46199</v>
      </c>
      <c r="B2482" s="16" t="s">
        <v>4912</v>
      </c>
      <c r="C2482" s="6" t="s">
        <v>4985</v>
      </c>
      <c r="D2482" s="6" t="s">
        <v>538</v>
      </c>
      <c r="E2482" s="14">
        <v>46199.571527777778</v>
      </c>
      <c r="F2482" s="8">
        <f>IF(HOUR(Table1[[#This Row],[CORREO]])&gt;=11,WORKDAY(Table1[[#This Row],[CORREO]],1,Table2[Dias no laborales]),E2482)</f>
        <v>46202</v>
      </c>
      <c r="G2482" s="8">
        <v>46204</v>
      </c>
      <c r="H2482" s="6">
        <f t="shared" si="135"/>
        <v>26</v>
      </c>
      <c r="I2482" s="6">
        <f>MAX(1, NETWORKDAYS(A2482, G2482,Table2[Dias no laborales]))</f>
        <v>4</v>
      </c>
      <c r="J2482" s="6" t="str">
        <f>IF(Table1[[#This Row],[FIN]]="","Acumulado",IF(ISNUMBER(SEARCH("ASAP",C2482)),"ASAP",IF(NETWORKDAYS.INTL(F2482,G2482,1,Table2[Dias no laborales]) &lt;= 7, "Dentro", IF(A2482&gt;F2482,"Programado","Fuera"))))</f>
        <v>Dentro</v>
      </c>
      <c r="K2482" s="6" t="str">
        <f t="shared" si="136"/>
        <v>Mismo día</v>
      </c>
      <c r="L2482" s="8">
        <v>46199</v>
      </c>
      <c r="M2482" s="17">
        <f>MAX(1,NETWORKDAYS(A2482,L2482,Table2[Dias no laborales]))</f>
        <v>1</v>
      </c>
    </row>
    <row r="2483" spans="1:13" hidden="1" x14ac:dyDescent="0.3">
      <c r="A2483" s="8">
        <v>46202</v>
      </c>
      <c r="B2483" s="16" t="s">
        <v>4913</v>
      </c>
      <c r="C2483" s="6" t="s">
        <v>4986</v>
      </c>
      <c r="D2483" s="6" t="s">
        <v>24</v>
      </c>
      <c r="E2483" s="14"/>
      <c r="F2483" s="8">
        <f>IF(HOUR(Table1[[#This Row],[CORREO]])&gt;=11,WORKDAY(Table1[[#This Row],[CORREO]],1,Table2[Dias no laborales]),E2483)</f>
        <v>0</v>
      </c>
      <c r="G2483" s="8">
        <v>46204</v>
      </c>
      <c r="H2483" s="6">
        <f t="shared" ref="H2483:H2501" si="137">INT((A2483-DATE(YEAR(A2483),1,1))/7) + 1</f>
        <v>26</v>
      </c>
      <c r="I2483" s="6">
        <f>MAX(1, NETWORKDAYS(A2483, G2483,Table2[Dias no laborales]))</f>
        <v>3</v>
      </c>
      <c r="J2483" s="6" t="str">
        <f>IF(Table1[[#This Row],[FIN]]="","Acumulado",IF(ISNUMBER(SEARCH("ASAP",C2483)),"ASAP",IF(NETWORKDAYS.INTL(F2483,G2483,1,Table2[Dias no laborales]) &lt;= 7, "Dentro", IF(A2483&gt;F2483,"Programado","Fuera"))))</f>
        <v>Programado</v>
      </c>
      <c r="K2483" s="6" t="str">
        <f t="shared" ref="K2483:K2501" si="138">IF(INT(A2483)=INT(F2483),"A tiempo", IF(A2483&lt;F2483,"Mismo día","Programados"))</f>
        <v>Programados</v>
      </c>
      <c r="L2483" s="8">
        <v>46203</v>
      </c>
      <c r="M2483" s="17">
        <f>MAX(1,NETWORKDAYS(A2483,L2483,Table2[Dias no laborales]))</f>
        <v>2</v>
      </c>
    </row>
    <row r="2484" spans="1:13" hidden="1" x14ac:dyDescent="0.3">
      <c r="A2484" s="8">
        <v>46202</v>
      </c>
      <c r="B2484" s="16" t="s">
        <v>4914</v>
      </c>
      <c r="C2484" s="6" t="s">
        <v>4987</v>
      </c>
      <c r="D2484" s="6" t="s">
        <v>24</v>
      </c>
      <c r="E2484" s="14"/>
      <c r="F2484" s="8">
        <f>IF(HOUR(Table1[[#This Row],[CORREO]])&gt;=11,WORKDAY(Table1[[#This Row],[CORREO]],1,Table2[Dias no laborales]),E2484)</f>
        <v>0</v>
      </c>
      <c r="G2484" s="8">
        <v>46207</v>
      </c>
      <c r="H2484" s="6">
        <f t="shared" si="137"/>
        <v>26</v>
      </c>
      <c r="I2484" s="6">
        <f>MAX(1, NETWORKDAYS(A2484, G2484,Table2[Dias no laborales]))</f>
        <v>5</v>
      </c>
      <c r="J2484" s="6" t="str">
        <f>IF(Table1[[#This Row],[FIN]]="","Acumulado",IF(ISNUMBER(SEARCH("ASAP",C2484)),"ASAP",IF(NETWORKDAYS.INTL(F2484,G2484,1,Table2[Dias no laborales]) &lt;= 7, "Dentro", IF(A2484&gt;F2484,"Programado","Fuera"))))</f>
        <v>Programado</v>
      </c>
      <c r="K2484" s="6" t="str">
        <f t="shared" si="138"/>
        <v>Programados</v>
      </c>
      <c r="L2484" s="8">
        <v>46202</v>
      </c>
      <c r="M2484" s="17">
        <f>MAX(1,NETWORKDAYS(A2484,L2484,Table2[Dias no laborales]))</f>
        <v>1</v>
      </c>
    </row>
    <row r="2485" spans="1:13" hidden="1" x14ac:dyDescent="0.3">
      <c r="A2485" s="8">
        <v>46202</v>
      </c>
      <c r="B2485" s="16" t="s">
        <v>4915</v>
      </c>
      <c r="C2485" s="6" t="s">
        <v>540</v>
      </c>
      <c r="D2485" s="6" t="s">
        <v>848</v>
      </c>
      <c r="E2485" s="14">
        <v>46199.558333333334</v>
      </c>
      <c r="F2485" s="8">
        <f>IF(HOUR(Table1[[#This Row],[CORREO]])&gt;=11,WORKDAY(Table1[[#This Row],[CORREO]],1,Table2[Dias no laborales]),E2485)</f>
        <v>46202</v>
      </c>
      <c r="G2485" s="8">
        <v>46202</v>
      </c>
      <c r="H2485" s="6">
        <f t="shared" si="137"/>
        <v>26</v>
      </c>
      <c r="I2485" s="6">
        <f>MAX(1, NETWORKDAYS(A2485, G2485,Table2[Dias no laborales]))</f>
        <v>1</v>
      </c>
      <c r="J2485" s="6" t="str">
        <f>IF(Table1[[#This Row],[FIN]]="","Acumulado",IF(ISNUMBER(SEARCH("ASAP",C2485)),"ASAP",IF(NETWORKDAYS.INTL(F2485,G2485,1,Table2[Dias no laborales]) &lt;= 7, "Dentro", IF(A2485&gt;F2485,"Programado","Fuera"))))</f>
        <v>Dentro</v>
      </c>
      <c r="K2485" s="6" t="str">
        <f t="shared" si="138"/>
        <v>A tiempo</v>
      </c>
      <c r="L2485" s="8">
        <v>46202</v>
      </c>
      <c r="M2485" s="17">
        <f>MAX(1,NETWORKDAYS(A2485,L2485,Table2[Dias no laborales]))</f>
        <v>1</v>
      </c>
    </row>
    <row r="2486" spans="1:13" hidden="1" x14ac:dyDescent="0.3">
      <c r="A2486" s="8">
        <v>46202</v>
      </c>
      <c r="B2486" s="16" t="s">
        <v>4916</v>
      </c>
      <c r="C2486" s="6" t="s">
        <v>4988</v>
      </c>
      <c r="D2486" s="6" t="s">
        <v>392</v>
      </c>
      <c r="E2486" s="14">
        <v>46199.630555555559</v>
      </c>
      <c r="F2486" s="8">
        <f>IF(HOUR(Table1[[#This Row],[CORREO]])&gt;=11,WORKDAY(Table1[[#This Row],[CORREO]],1,Table2[Dias no laborales]),E2486)</f>
        <v>46202</v>
      </c>
      <c r="G2486" s="8">
        <v>46202</v>
      </c>
      <c r="H2486" s="6">
        <f t="shared" si="137"/>
        <v>26</v>
      </c>
      <c r="I2486" s="6">
        <f>MAX(1, NETWORKDAYS(A2486, G2486,Table2[Dias no laborales]))</f>
        <v>1</v>
      </c>
      <c r="J2486" s="6" t="str">
        <f>IF(Table1[[#This Row],[FIN]]="","Acumulado",IF(ISNUMBER(SEARCH("ASAP",C2486)),"ASAP",IF(NETWORKDAYS.INTL(F2486,G2486,1,Table2[Dias no laborales]) &lt;= 7, "Dentro", IF(A2486&gt;F2486,"Programado","Fuera"))))</f>
        <v>Dentro</v>
      </c>
      <c r="K2486" s="6" t="str">
        <f t="shared" si="138"/>
        <v>A tiempo</v>
      </c>
      <c r="L2486" s="8">
        <v>46202</v>
      </c>
      <c r="M2486" s="17">
        <f>MAX(1,NETWORKDAYS(A2486,L2486,Table2[Dias no laborales]))</f>
        <v>1</v>
      </c>
    </row>
    <row r="2487" spans="1:13" hidden="1" x14ac:dyDescent="0.3">
      <c r="A2487" s="8">
        <v>46202</v>
      </c>
      <c r="B2487" s="16" t="s">
        <v>4917</v>
      </c>
      <c r="C2487" s="6" t="s">
        <v>4989</v>
      </c>
      <c r="D2487" s="6" t="s">
        <v>754</v>
      </c>
      <c r="E2487" s="14">
        <v>46199.862500000003</v>
      </c>
      <c r="F2487" s="8">
        <f>IF(HOUR(Table1[[#This Row],[CORREO]])&gt;=11,WORKDAY(Table1[[#This Row],[CORREO]],1,Table2[Dias no laborales]),E2487)</f>
        <v>46202</v>
      </c>
      <c r="G2487" s="8">
        <v>46202</v>
      </c>
      <c r="H2487" s="6">
        <f t="shared" si="137"/>
        <v>26</v>
      </c>
      <c r="I2487" s="6">
        <f>MAX(1, NETWORKDAYS(A2487, G2487,Table2[Dias no laborales]))</f>
        <v>1</v>
      </c>
      <c r="J2487" s="6" t="str">
        <f>IF(Table1[[#This Row],[FIN]]="","Acumulado",IF(ISNUMBER(SEARCH("ASAP",C2487)),"ASAP",IF(NETWORKDAYS.INTL(F2487,G2487,1,Table2[Dias no laborales]) &lt;= 7, "Dentro", IF(A2487&gt;F2487,"Programado","Fuera"))))</f>
        <v>Dentro</v>
      </c>
      <c r="K2487" s="6" t="str">
        <f t="shared" si="138"/>
        <v>A tiempo</v>
      </c>
      <c r="L2487" s="8">
        <v>46202</v>
      </c>
      <c r="M2487" s="17">
        <f>MAX(1,NETWORKDAYS(A2487,L2487,Table2[Dias no laborales]))</f>
        <v>1</v>
      </c>
    </row>
    <row r="2488" spans="1:13" hidden="1" x14ac:dyDescent="0.3">
      <c r="A2488" s="8">
        <v>46202</v>
      </c>
      <c r="B2488" s="16" t="s">
        <v>4918</v>
      </c>
      <c r="C2488" s="6" t="s">
        <v>4990</v>
      </c>
      <c r="D2488" s="6" t="s">
        <v>761</v>
      </c>
      <c r="E2488" s="14">
        <v>46200.693749999999</v>
      </c>
      <c r="F2488" s="8">
        <f>IF(HOUR(Table1[[#This Row],[CORREO]])&gt;=11,WORKDAY(Table1[[#This Row],[CORREO]],1,Table2[Dias no laborales]),E2488)</f>
        <v>46202</v>
      </c>
      <c r="G2488" s="8">
        <v>46202</v>
      </c>
      <c r="H2488" s="6">
        <f t="shared" si="137"/>
        <v>26</v>
      </c>
      <c r="I2488" s="6">
        <f>MAX(1, NETWORKDAYS(A2488, G2488,Table2[Dias no laborales]))</f>
        <v>1</v>
      </c>
      <c r="J2488" s="6" t="str">
        <f>IF(Table1[[#This Row],[FIN]]="","Acumulado",IF(ISNUMBER(SEARCH("ASAP",C2488)),"ASAP",IF(NETWORKDAYS.INTL(F2488,G2488,1,Table2[Dias no laborales]) &lt;= 7, "Dentro", IF(A2488&gt;F2488,"Programado","Fuera"))))</f>
        <v>Dentro</v>
      </c>
      <c r="K2488" s="6" t="str">
        <f t="shared" si="138"/>
        <v>A tiempo</v>
      </c>
      <c r="L2488" s="8">
        <v>46202</v>
      </c>
      <c r="M2488" s="17">
        <f>MAX(1,NETWORKDAYS(A2488,L2488,Table2[Dias no laborales]))</f>
        <v>1</v>
      </c>
    </row>
    <row r="2489" spans="1:13" hidden="1" x14ac:dyDescent="0.3">
      <c r="A2489" s="8">
        <v>46202</v>
      </c>
      <c r="B2489" s="16" t="s">
        <v>4919</v>
      </c>
      <c r="C2489" s="6" t="s">
        <v>3008</v>
      </c>
      <c r="D2489" s="6" t="s">
        <v>4991</v>
      </c>
      <c r="E2489" s="14">
        <v>46200.85833333333</v>
      </c>
      <c r="F2489" s="8">
        <f>IF(HOUR(Table1[[#This Row],[CORREO]])&gt;=11,WORKDAY(Table1[[#This Row],[CORREO]],1,Table2[Dias no laborales]),E2489)</f>
        <v>46202</v>
      </c>
      <c r="G2489" s="8">
        <v>46206</v>
      </c>
      <c r="H2489" s="6">
        <f t="shared" si="137"/>
        <v>26</v>
      </c>
      <c r="I2489" s="6">
        <f>MAX(1, NETWORKDAYS(A2489, G2489,Table2[Dias no laborales]))</f>
        <v>5</v>
      </c>
      <c r="J2489" s="6" t="str">
        <f>IF(Table1[[#This Row],[FIN]]="","Acumulado",IF(ISNUMBER(SEARCH("ASAP",C2489)),"ASAP",IF(NETWORKDAYS.INTL(F2489,G2489,1,Table2[Dias no laborales]) &lt;= 7, "Dentro", IF(A2489&gt;F2489,"Programado","Fuera"))))</f>
        <v>Dentro</v>
      </c>
      <c r="K2489" s="6" t="str">
        <f t="shared" si="138"/>
        <v>A tiempo</v>
      </c>
      <c r="L2489" s="8">
        <v>46202</v>
      </c>
      <c r="M2489" s="17">
        <f>MAX(1,NETWORKDAYS(A2489,L2489,Table2[Dias no laborales]))</f>
        <v>1</v>
      </c>
    </row>
    <row r="2490" spans="1:13" hidden="1" x14ac:dyDescent="0.3">
      <c r="A2490" s="8">
        <v>46202</v>
      </c>
      <c r="B2490" s="16" t="s">
        <v>4920</v>
      </c>
      <c r="C2490" s="6" t="s">
        <v>4992</v>
      </c>
      <c r="D2490" s="6" t="s">
        <v>3794</v>
      </c>
      <c r="E2490" s="14">
        <v>46201.445833333331</v>
      </c>
      <c r="F2490" s="8">
        <f>IF(HOUR(Table1[[#This Row],[CORREO]])&gt;=11,WORKDAY(Table1[[#This Row],[CORREO]],1,Table2[Dias no laborales]),E2490)</f>
        <v>46201.445833333331</v>
      </c>
      <c r="G2490" s="8">
        <v>46205</v>
      </c>
      <c r="H2490" s="6">
        <f t="shared" si="137"/>
        <v>26</v>
      </c>
      <c r="I2490" s="6">
        <f>MAX(1, NETWORKDAYS(A2490, G2490,Table2[Dias no laborales]))</f>
        <v>4</v>
      </c>
      <c r="J2490" s="6" t="str">
        <f>IF(Table1[[#This Row],[FIN]]="","Acumulado",IF(ISNUMBER(SEARCH("ASAP",C2490)),"ASAP",IF(NETWORKDAYS.INTL(F2490,G2490,1,Table2[Dias no laborales]) &lt;= 7, "Dentro", IF(A2490&gt;F2490,"Programado","Fuera"))))</f>
        <v>Dentro</v>
      </c>
      <c r="K2490" s="6" t="str">
        <f t="shared" si="138"/>
        <v>Programados</v>
      </c>
      <c r="L2490" s="8">
        <v>46202</v>
      </c>
      <c r="M2490" s="17">
        <f>MAX(1,NETWORKDAYS(A2490,L2490,Table2[Dias no laborales]))</f>
        <v>1</v>
      </c>
    </row>
    <row r="2491" spans="1:13" hidden="1" x14ac:dyDescent="0.3">
      <c r="A2491" s="8">
        <v>46202</v>
      </c>
      <c r="B2491" s="16" t="s">
        <v>4921</v>
      </c>
      <c r="C2491" s="6" t="s">
        <v>4993</v>
      </c>
      <c r="D2491" s="6" t="s">
        <v>477</v>
      </c>
      <c r="E2491" s="14">
        <v>46202.251388888886</v>
      </c>
      <c r="F2491" s="8">
        <f>IF(HOUR(Table1[[#This Row],[CORREO]])&gt;=11,WORKDAY(Table1[[#This Row],[CORREO]],1,Table2[Dias no laborales]),E2491)</f>
        <v>46202.251388888886</v>
      </c>
      <c r="G2491" s="8">
        <v>46202</v>
      </c>
      <c r="H2491" s="6">
        <f t="shared" si="137"/>
        <v>26</v>
      </c>
      <c r="I2491" s="6">
        <f>MAX(1, NETWORKDAYS(A2491, G2491,Table2[Dias no laborales]))</f>
        <v>1</v>
      </c>
      <c r="J2491" s="6" t="str">
        <f>IF(Table1[[#This Row],[FIN]]="","Acumulado",IF(ISNUMBER(SEARCH("ASAP",C2491)),"ASAP",IF(NETWORKDAYS.INTL(F2491,G2491,1,Table2[Dias no laborales]) &lt;= 7, "Dentro", IF(A2491&gt;F2491,"Programado","Fuera"))))</f>
        <v>Dentro</v>
      </c>
      <c r="K2491" s="6" t="str">
        <f t="shared" si="138"/>
        <v>A tiempo</v>
      </c>
      <c r="L2491" s="8">
        <v>46202</v>
      </c>
      <c r="M2491" s="17">
        <f>MAX(1,NETWORKDAYS(A2491,L2491,Table2[Dias no laborales]))</f>
        <v>1</v>
      </c>
    </row>
    <row r="2492" spans="1:13" hidden="1" x14ac:dyDescent="0.3">
      <c r="A2492" s="8">
        <v>46202</v>
      </c>
      <c r="B2492" s="16" t="s">
        <v>4922</v>
      </c>
      <c r="C2492" s="6" t="s">
        <v>4690</v>
      </c>
      <c r="D2492" s="6" t="s">
        <v>85</v>
      </c>
      <c r="E2492" s="14">
        <v>46202.343055555553</v>
      </c>
      <c r="F2492" s="8">
        <f>IF(HOUR(Table1[[#This Row],[CORREO]])&gt;=11,WORKDAY(Table1[[#This Row],[CORREO]],1,Table2[Dias no laborales]),E2492)</f>
        <v>46202.343055555553</v>
      </c>
      <c r="G2492" s="8">
        <v>46202</v>
      </c>
      <c r="H2492" s="6">
        <f t="shared" si="137"/>
        <v>26</v>
      </c>
      <c r="I2492" s="6">
        <f>MAX(1, NETWORKDAYS(A2492, G2492,Table2[Dias no laborales]))</f>
        <v>1</v>
      </c>
      <c r="J2492" s="6" t="str">
        <f>IF(Table1[[#This Row],[FIN]]="","Acumulado",IF(ISNUMBER(SEARCH("ASAP",C2492)),"ASAP",IF(NETWORKDAYS.INTL(F2492,G2492,1,Table2[Dias no laborales]) &lt;= 7, "Dentro", IF(A2492&gt;F2492,"Programado","Fuera"))))</f>
        <v>Dentro</v>
      </c>
      <c r="K2492" s="6" t="str">
        <f t="shared" si="138"/>
        <v>A tiempo</v>
      </c>
      <c r="L2492" s="8">
        <v>46202</v>
      </c>
      <c r="M2492" s="17">
        <f>MAX(1,NETWORKDAYS(A2492,L2492,Table2[Dias no laborales]))</f>
        <v>1</v>
      </c>
    </row>
    <row r="2493" spans="1:13" hidden="1" x14ac:dyDescent="0.3">
      <c r="A2493" s="8">
        <v>46202</v>
      </c>
      <c r="B2493" s="16" t="s">
        <v>4923</v>
      </c>
      <c r="C2493" s="6" t="s">
        <v>4988</v>
      </c>
      <c r="D2493" s="6" t="s">
        <v>392</v>
      </c>
      <c r="E2493" s="14">
        <v>46202.34652777778</v>
      </c>
      <c r="F2493" s="8">
        <f>IF(HOUR(Table1[[#This Row],[CORREO]])&gt;=11,WORKDAY(Table1[[#This Row],[CORREO]],1,Table2[Dias no laborales]),E2493)</f>
        <v>46202.34652777778</v>
      </c>
      <c r="G2493" s="8">
        <v>46202</v>
      </c>
      <c r="H2493" s="6">
        <f t="shared" si="137"/>
        <v>26</v>
      </c>
      <c r="I2493" s="6">
        <f>MAX(1, NETWORKDAYS(A2493, G2493,Table2[Dias no laborales]))</f>
        <v>1</v>
      </c>
      <c r="J2493" s="6" t="str">
        <f>IF(Table1[[#This Row],[FIN]]="","Acumulado",IF(ISNUMBER(SEARCH("ASAP",C2493)),"ASAP",IF(NETWORKDAYS.INTL(F2493,G2493,1,Table2[Dias no laborales]) &lt;= 7, "Dentro", IF(A2493&gt;F2493,"Programado","Fuera"))))</f>
        <v>Dentro</v>
      </c>
      <c r="K2493" s="6" t="str">
        <f t="shared" si="138"/>
        <v>A tiempo</v>
      </c>
      <c r="L2493" s="8">
        <v>46202</v>
      </c>
      <c r="M2493" s="17">
        <f>MAX(1,NETWORKDAYS(A2493,L2493,Table2[Dias no laborales]))</f>
        <v>1</v>
      </c>
    </row>
    <row r="2494" spans="1:13" hidden="1" x14ac:dyDescent="0.3">
      <c r="A2494" s="8">
        <v>46202</v>
      </c>
      <c r="B2494" s="16" t="s">
        <v>4924</v>
      </c>
      <c r="C2494" s="6" t="s">
        <v>4994</v>
      </c>
      <c r="D2494" s="6" t="s">
        <v>913</v>
      </c>
      <c r="E2494" s="14">
        <v>46202.352777777778</v>
      </c>
      <c r="F2494" s="8">
        <f>IF(HOUR(Table1[[#This Row],[CORREO]])&gt;=11,WORKDAY(Table1[[#This Row],[CORREO]],1,Table2[Dias no laborales]),E2494)</f>
        <v>46202.352777777778</v>
      </c>
      <c r="G2494" s="8">
        <v>46202</v>
      </c>
      <c r="H2494" s="6">
        <f t="shared" si="137"/>
        <v>26</v>
      </c>
      <c r="I2494" s="6">
        <f>MAX(1, NETWORKDAYS(A2494, G2494,Table2[Dias no laborales]))</f>
        <v>1</v>
      </c>
      <c r="J2494" s="6" t="str">
        <f>IF(Table1[[#This Row],[FIN]]="","Acumulado",IF(ISNUMBER(SEARCH("ASAP",C2494)),"ASAP",IF(NETWORKDAYS.INTL(F2494,G2494,1,Table2[Dias no laborales]) &lt;= 7, "Dentro", IF(A2494&gt;F2494,"Programado","Fuera"))))</f>
        <v>Dentro</v>
      </c>
      <c r="K2494" s="6" t="str">
        <f t="shared" si="138"/>
        <v>A tiempo</v>
      </c>
      <c r="L2494" s="8">
        <v>46202</v>
      </c>
      <c r="M2494" s="17">
        <f>MAX(1,NETWORKDAYS(A2494,L2494,Table2[Dias no laborales]))</f>
        <v>1</v>
      </c>
    </row>
    <row r="2495" spans="1:13" hidden="1" x14ac:dyDescent="0.3">
      <c r="A2495" s="8">
        <v>46202</v>
      </c>
      <c r="B2495" s="16" t="s">
        <v>4925</v>
      </c>
      <c r="C2495" s="6" t="s">
        <v>4965</v>
      </c>
      <c r="D2495" s="6" t="s">
        <v>4958</v>
      </c>
      <c r="E2495" s="14">
        <v>46202.536805555559</v>
      </c>
      <c r="F2495" s="8">
        <f>IF(HOUR(Table1[[#This Row],[CORREO]])&gt;=11,WORKDAY(Table1[[#This Row],[CORREO]],1,Table2[Dias no laborales]),E2495)</f>
        <v>46203</v>
      </c>
      <c r="G2495" s="8">
        <v>46203</v>
      </c>
      <c r="H2495" s="6">
        <f t="shared" si="137"/>
        <v>26</v>
      </c>
      <c r="I2495" s="6">
        <f>MAX(1, NETWORKDAYS(A2495, G2495,Table2[Dias no laborales]))</f>
        <v>2</v>
      </c>
      <c r="J2495" s="6" t="str">
        <f>IF(Table1[[#This Row],[FIN]]="","Acumulado",IF(ISNUMBER(SEARCH("ASAP",C2495)),"ASAP",IF(NETWORKDAYS.INTL(F2495,G2495,1,Table2[Dias no laborales]) &lt;= 7, "Dentro", IF(A2495&gt;F2495,"Programado","Fuera"))))</f>
        <v>Dentro</v>
      </c>
      <c r="K2495" s="6" t="str">
        <f t="shared" si="138"/>
        <v>Mismo día</v>
      </c>
      <c r="L2495" s="8">
        <v>46202</v>
      </c>
      <c r="M2495" s="17">
        <f>MAX(1,NETWORKDAYS(A2495,L2495,Table2[Dias no laborales]))</f>
        <v>1</v>
      </c>
    </row>
    <row r="2496" spans="1:13" hidden="1" x14ac:dyDescent="0.3">
      <c r="A2496" s="8">
        <v>46203</v>
      </c>
      <c r="B2496" s="16" t="s">
        <v>4926</v>
      </c>
      <c r="C2496" s="6" t="s">
        <v>4287</v>
      </c>
      <c r="D2496" s="6" t="s">
        <v>2994</v>
      </c>
      <c r="E2496" s="14">
        <v>46202.594444444447</v>
      </c>
      <c r="F2496" s="8">
        <f>IF(HOUR(Table1[[#This Row],[CORREO]])&gt;=11,WORKDAY(Table1[[#This Row],[CORREO]],1,Table2[Dias no laborales]),E2496)</f>
        <v>46203</v>
      </c>
      <c r="G2496" s="8">
        <v>46203</v>
      </c>
      <c r="H2496" s="6">
        <f t="shared" si="137"/>
        <v>26</v>
      </c>
      <c r="I2496" s="6">
        <f>MAX(1, NETWORKDAYS(A2496, G2496,Table2[Dias no laborales]))</f>
        <v>1</v>
      </c>
      <c r="J2496" s="6" t="str">
        <f>IF(Table1[[#This Row],[FIN]]="","Acumulado",IF(ISNUMBER(SEARCH("ASAP",C2496)),"ASAP",IF(NETWORKDAYS.INTL(F2496,G2496,1,Table2[Dias no laborales]) &lt;= 7, "Dentro", IF(A2496&gt;F2496,"Programado","Fuera"))))</f>
        <v>Dentro</v>
      </c>
      <c r="K2496" s="6" t="str">
        <f t="shared" si="138"/>
        <v>A tiempo</v>
      </c>
      <c r="L2496" s="8">
        <v>46203</v>
      </c>
      <c r="M2496" s="17">
        <f>MAX(1,NETWORKDAYS(A2496,L2496,Table2[Dias no laborales]))</f>
        <v>1</v>
      </c>
    </row>
    <row r="2497" spans="1:13" hidden="1" x14ac:dyDescent="0.3">
      <c r="A2497" s="8">
        <v>46203</v>
      </c>
      <c r="B2497" s="16" t="s">
        <v>4927</v>
      </c>
      <c r="C2497" s="6" t="s">
        <v>4995</v>
      </c>
      <c r="D2497" s="6" t="s">
        <v>3020</v>
      </c>
      <c r="E2497" s="14">
        <v>46202.84375</v>
      </c>
      <c r="F2497" s="8">
        <f>IF(HOUR(Table1[[#This Row],[CORREO]])&gt;=11,WORKDAY(Table1[[#This Row],[CORREO]],1,Table2[Dias no laborales]),E2497)</f>
        <v>46203</v>
      </c>
      <c r="G2497" s="8">
        <v>46205</v>
      </c>
      <c r="H2497" s="6">
        <f t="shared" si="137"/>
        <v>26</v>
      </c>
      <c r="I2497" s="6">
        <f>MAX(1, NETWORKDAYS(A2497, G2497,Table2[Dias no laborales]))</f>
        <v>3</v>
      </c>
      <c r="J2497" s="6" t="str">
        <f>IF(Table1[[#This Row],[FIN]]="","Acumulado",IF(ISNUMBER(SEARCH("ASAP",C2497)),"ASAP",IF(NETWORKDAYS.INTL(F2497,G2497,1,Table2[Dias no laborales]) &lt;= 7, "Dentro", IF(A2497&gt;F2497,"Programado","Fuera"))))</f>
        <v>Dentro</v>
      </c>
      <c r="K2497" s="6" t="str">
        <f t="shared" si="138"/>
        <v>A tiempo</v>
      </c>
      <c r="L2497" s="8">
        <v>46203</v>
      </c>
      <c r="M2497" s="17">
        <f>MAX(1,NETWORKDAYS(A2497,L2497,Table2[Dias no laborales]))</f>
        <v>1</v>
      </c>
    </row>
    <row r="2498" spans="1:13" hidden="1" x14ac:dyDescent="0.3">
      <c r="A2498" s="8">
        <v>46203</v>
      </c>
      <c r="B2498" s="16" t="s">
        <v>4928</v>
      </c>
      <c r="C2498" s="6" t="s">
        <v>4988</v>
      </c>
      <c r="D2498" s="6" t="s">
        <v>392</v>
      </c>
      <c r="E2498" s="14">
        <v>46203.339583333334</v>
      </c>
      <c r="F2498" s="8">
        <f>IF(HOUR(Table1[[#This Row],[CORREO]])&gt;=11,WORKDAY(Table1[[#This Row],[CORREO]],1,Table2[Dias no laborales]),E2498)</f>
        <v>46203.339583333334</v>
      </c>
      <c r="G2498" s="8">
        <v>46203</v>
      </c>
      <c r="H2498" s="6">
        <f t="shared" si="137"/>
        <v>26</v>
      </c>
      <c r="I2498" s="6">
        <f>MAX(1, NETWORKDAYS(A2498, G2498,Table2[Dias no laborales]))</f>
        <v>1</v>
      </c>
      <c r="J2498" s="6" t="str">
        <f>IF(Table1[[#This Row],[FIN]]="","Acumulado",IF(ISNUMBER(SEARCH("ASAP",C2498)),"ASAP",IF(NETWORKDAYS.INTL(F2498,G2498,1,Table2[Dias no laborales]) &lt;= 7, "Dentro", IF(A2498&gt;F2498,"Programado","Fuera"))))</f>
        <v>Dentro</v>
      </c>
      <c r="K2498" s="6" t="str">
        <f t="shared" si="138"/>
        <v>A tiempo</v>
      </c>
      <c r="L2498" s="8">
        <v>46203</v>
      </c>
      <c r="M2498" s="17">
        <f>MAX(1,NETWORKDAYS(A2498,L2498,Table2[Dias no laborales]))</f>
        <v>1</v>
      </c>
    </row>
    <row r="2499" spans="1:13" hidden="1" x14ac:dyDescent="0.3">
      <c r="A2499" s="8">
        <v>46203</v>
      </c>
      <c r="B2499" s="16" t="s">
        <v>4929</v>
      </c>
      <c r="C2499" s="6" t="s">
        <v>4996</v>
      </c>
      <c r="D2499" s="6" t="s">
        <v>2994</v>
      </c>
      <c r="E2499" s="14"/>
      <c r="F2499" s="8">
        <f>IF(HOUR(Table1[[#This Row],[CORREO]])&gt;=11,WORKDAY(Table1[[#This Row],[CORREO]],1,Table2[Dias no laborales]),E2499)</f>
        <v>0</v>
      </c>
      <c r="G2499" s="8"/>
      <c r="H2499" s="6">
        <f t="shared" si="137"/>
        <v>26</v>
      </c>
      <c r="I2499" s="6">
        <f>MAX(1, NETWORKDAYS(A2499, G2499,Table2[Dias no laborales]))</f>
        <v>1</v>
      </c>
      <c r="J2499" s="6" t="str">
        <f>IF(Table1[[#This Row],[FIN]]="","Acumulado",IF(ISNUMBER(SEARCH("ASAP",C2499)),"ASAP",IF(NETWORKDAYS.INTL(F2499,G2499,1,Table2[Dias no laborales]) &lt;= 7, "Dentro", IF(A2499&gt;F2499,"Programado","Fuera"))))</f>
        <v>Acumulado</v>
      </c>
      <c r="K2499" s="6" t="str">
        <f t="shared" si="138"/>
        <v>Programados</v>
      </c>
      <c r="L2499" s="8">
        <v>46203</v>
      </c>
      <c r="M2499" s="17">
        <f>MAX(1,NETWORKDAYS(A2499,L2499,Table2[Dias no laborales]))</f>
        <v>1</v>
      </c>
    </row>
    <row r="2500" spans="1:13" hidden="1" x14ac:dyDescent="0.3">
      <c r="A2500" s="8">
        <v>46203</v>
      </c>
      <c r="B2500" s="16" t="s">
        <v>4930</v>
      </c>
      <c r="C2500" s="6" t="s">
        <v>4997</v>
      </c>
      <c r="D2500" s="6" t="s">
        <v>269</v>
      </c>
      <c r="E2500" s="14">
        <v>46203.420138888891</v>
      </c>
      <c r="F2500" s="8">
        <f>IF(HOUR(Table1[[#This Row],[CORREO]])&gt;=11,WORKDAY(Table1[[#This Row],[CORREO]],1,Table2[Dias no laborales]),E2500)</f>
        <v>46203.420138888891</v>
      </c>
      <c r="G2500" s="8">
        <v>46206</v>
      </c>
      <c r="H2500" s="6">
        <f t="shared" si="137"/>
        <v>26</v>
      </c>
      <c r="I2500" s="6">
        <f>MAX(1, NETWORKDAYS(A2500, G2500,Table2[Dias no laborales]))</f>
        <v>4</v>
      </c>
      <c r="J2500" s="6" t="str">
        <f>IF(Table1[[#This Row],[FIN]]="","Acumulado",IF(ISNUMBER(SEARCH("ASAP",C2500)),"ASAP",IF(NETWORKDAYS.INTL(F2500,G2500,1,Table2[Dias no laborales]) &lt;= 7, "Dentro", IF(A2500&gt;F2500,"Programado","Fuera"))))</f>
        <v>Dentro</v>
      </c>
      <c r="K2500" s="6" t="str">
        <f t="shared" si="138"/>
        <v>A tiempo</v>
      </c>
      <c r="L2500" s="8">
        <v>46203</v>
      </c>
      <c r="M2500" s="17">
        <f>MAX(1,NETWORKDAYS(A2500,L2500,Table2[Dias no laborales]))</f>
        <v>1</v>
      </c>
    </row>
    <row r="2501" spans="1:13" hidden="1" x14ac:dyDescent="0.3">
      <c r="A2501" s="8">
        <v>46204</v>
      </c>
      <c r="B2501" s="16" t="s">
        <v>4931</v>
      </c>
      <c r="C2501" s="6" t="s">
        <v>4998</v>
      </c>
      <c r="D2501" s="6" t="s">
        <v>85</v>
      </c>
      <c r="E2501" s="14"/>
      <c r="F2501" s="8">
        <f>IF(HOUR(Table1[[#This Row],[CORREO]])&gt;=11,WORKDAY(Table1[[#This Row],[CORREO]],1,Table2[Dias no laborales]),E2501)</f>
        <v>0</v>
      </c>
      <c r="G2501" s="8">
        <v>46209</v>
      </c>
      <c r="H2501" s="6">
        <f t="shared" si="137"/>
        <v>26</v>
      </c>
      <c r="I2501" s="6">
        <f>MAX(1, NETWORKDAYS(A2501, G2501,Table2[Dias no laborales]))</f>
        <v>4</v>
      </c>
      <c r="J2501" s="6" t="str">
        <f>IF(Table1[[#This Row],[FIN]]="","Acumulado",IF(ISNUMBER(SEARCH("ASAP",C2501)),"ASAP",IF(NETWORKDAYS.INTL(F2501,G2501,1,Table2[Dias no laborales]) &lt;= 7, "Dentro", IF(A2501&gt;F2501,"Programado","Fuera"))))</f>
        <v>Programado</v>
      </c>
      <c r="K2501" s="6" t="str">
        <f t="shared" si="138"/>
        <v>Programados</v>
      </c>
      <c r="L2501" s="8">
        <v>46204</v>
      </c>
      <c r="M2501" s="17">
        <f>MAX(1,NETWORKDAYS(A2501,L2501,Table2[Dias no laborales]))</f>
        <v>1</v>
      </c>
    </row>
    <row r="2502" spans="1:13" hidden="1" x14ac:dyDescent="0.3">
      <c r="A2502" s="8">
        <v>46204</v>
      </c>
      <c r="B2502" s="16" t="s">
        <v>4971</v>
      </c>
      <c r="C2502" s="6" t="s">
        <v>4988</v>
      </c>
      <c r="D2502" s="6" t="s">
        <v>392</v>
      </c>
      <c r="E2502" s="14">
        <v>46204.355555555558</v>
      </c>
      <c r="F2502" s="8">
        <f>IF(HOUR(Table1[[#This Row],[CORREO]])&gt;=11,WORKDAY(Table1[[#This Row],[CORREO]],1,Table2[Dias no laborales]),E2502)</f>
        <v>46204.355555555558</v>
      </c>
      <c r="G2502" s="8">
        <v>46204</v>
      </c>
      <c r="H2502" s="6">
        <f t="shared" ref="H2502:H2514" si="139">INT((A2502-DATE(YEAR(A2502),1,1))/7) + 1</f>
        <v>26</v>
      </c>
      <c r="I2502" s="6">
        <f>MAX(1, NETWORKDAYS(A2502, G2502,Table2[Dias no laborales]))</f>
        <v>1</v>
      </c>
      <c r="J2502" s="6" t="str">
        <f>IF(Table1[[#This Row],[FIN]]="","Acumulado",IF(ISNUMBER(SEARCH("ASAP",C2502)),"ASAP",IF(NETWORKDAYS.INTL(F2502,G2502,1,Table2[Dias no laborales]) &lt;= 7, "Dentro", IF(A2502&gt;F2502,"Programado","Fuera"))))</f>
        <v>Dentro</v>
      </c>
      <c r="K2502" s="6" t="str">
        <f t="shared" ref="K2502:K2514" si="140">IF(INT(A2502)=INT(F2502),"A tiempo", IF(A2502&lt;F2502,"Mismo día","Programados"))</f>
        <v>A tiempo</v>
      </c>
      <c r="L2502" s="8">
        <v>46204</v>
      </c>
      <c r="M2502" s="17">
        <f>MAX(1,NETWORKDAYS(A2502,L2502,Table2[Dias no laborales]))</f>
        <v>1</v>
      </c>
    </row>
    <row r="2503" spans="1:13" hidden="1" x14ac:dyDescent="0.3">
      <c r="A2503" s="8">
        <v>46204</v>
      </c>
      <c r="B2503" s="16" t="s">
        <v>4972</v>
      </c>
      <c r="C2503" s="6" t="s">
        <v>5038</v>
      </c>
      <c r="D2503" s="6" t="s">
        <v>269</v>
      </c>
      <c r="E2503" s="14">
        <v>46204.447916666664</v>
      </c>
      <c r="F2503" s="8">
        <f>IF(HOUR(Table1[[#This Row],[CORREO]])&gt;=11,WORKDAY(Table1[[#This Row],[CORREO]],1,Table2[Dias no laborales]),E2503)</f>
        <v>46204.447916666664</v>
      </c>
      <c r="G2503" s="8">
        <v>46204</v>
      </c>
      <c r="H2503" s="6">
        <f t="shared" si="139"/>
        <v>26</v>
      </c>
      <c r="I2503" s="6">
        <f>MAX(1, NETWORKDAYS(A2503, G2503,Table2[Dias no laborales]))</f>
        <v>1</v>
      </c>
      <c r="J2503" s="6" t="str">
        <f>IF(Table1[[#This Row],[FIN]]="","Acumulado",IF(ISNUMBER(SEARCH("ASAP",C2503)),"ASAP",IF(NETWORKDAYS.INTL(F2503,G2503,1,Table2[Dias no laborales]) &lt;= 7, "Dentro", IF(A2503&gt;F2503,"Programado","Fuera"))))</f>
        <v>Dentro</v>
      </c>
      <c r="K2503" s="6" t="str">
        <f t="shared" si="140"/>
        <v>A tiempo</v>
      </c>
      <c r="L2503" s="8">
        <v>46204</v>
      </c>
      <c r="M2503" s="17">
        <f>MAX(1,NETWORKDAYS(A2503,L2503,Table2[Dias no laborales]))</f>
        <v>1</v>
      </c>
    </row>
    <row r="2504" spans="1:13" hidden="1" x14ac:dyDescent="0.3">
      <c r="A2504" s="8">
        <v>46204</v>
      </c>
      <c r="B2504" s="16" t="s">
        <v>4973</v>
      </c>
      <c r="C2504" s="6" t="s">
        <v>4700</v>
      </c>
      <c r="D2504" s="6" t="s">
        <v>5039</v>
      </c>
      <c r="E2504" s="14"/>
      <c r="F2504" s="8">
        <f>IF(HOUR(Table1[[#This Row],[CORREO]])&gt;=11,WORKDAY(Table1[[#This Row],[CORREO]],1,Table2[Dias no laborales]),E2504)</f>
        <v>0</v>
      </c>
      <c r="G2504" s="8">
        <v>46209</v>
      </c>
      <c r="H2504" s="6">
        <f t="shared" si="139"/>
        <v>26</v>
      </c>
      <c r="I2504" s="6">
        <f>MAX(1, NETWORKDAYS(A2504, G2504,Table2[Dias no laborales]))</f>
        <v>4</v>
      </c>
      <c r="J2504" s="6" t="str">
        <f>IF(Table1[[#This Row],[FIN]]="","Acumulado",IF(ISNUMBER(SEARCH("ASAP",C2504)),"ASAP",IF(NETWORKDAYS.INTL(F2504,G2504,1,Table2[Dias no laborales]) &lt;= 7, "Dentro", IF(A2504&gt;F2504,"Programado","Fuera"))))</f>
        <v>Programado</v>
      </c>
      <c r="K2504" s="6" t="str">
        <f t="shared" si="140"/>
        <v>Programados</v>
      </c>
      <c r="L2504" s="8">
        <v>46204</v>
      </c>
      <c r="M2504" s="17">
        <f>MAX(1,NETWORKDAYS(A2504,L2504,Table2[Dias no laborales]))</f>
        <v>1</v>
      </c>
    </row>
    <row r="2505" spans="1:13" hidden="1" x14ac:dyDescent="0.3">
      <c r="A2505" s="8">
        <v>46204</v>
      </c>
      <c r="B2505" s="16" t="s">
        <v>4974</v>
      </c>
      <c r="C2505" s="6" t="s">
        <v>4700</v>
      </c>
      <c r="D2505" s="6" t="s">
        <v>5040</v>
      </c>
      <c r="E2505" s="14"/>
      <c r="F2505" s="8">
        <f>IF(HOUR(Table1[[#This Row],[CORREO]])&gt;=11,WORKDAY(Table1[[#This Row],[CORREO]],1,Table2[Dias no laborales]),E2505)</f>
        <v>0</v>
      </c>
      <c r="G2505" s="8">
        <v>46209</v>
      </c>
      <c r="H2505" s="6">
        <f t="shared" si="139"/>
        <v>26</v>
      </c>
      <c r="I2505" s="6">
        <f>MAX(1, NETWORKDAYS(A2505, G2505,Table2[Dias no laborales]))</f>
        <v>4</v>
      </c>
      <c r="J2505" s="6" t="str">
        <f>IF(Table1[[#This Row],[FIN]]="","Acumulado",IF(ISNUMBER(SEARCH("ASAP",C2505)),"ASAP",IF(NETWORKDAYS.INTL(F2505,G2505,1,Table2[Dias no laborales]) &lt;= 7, "Dentro", IF(A2505&gt;F2505,"Programado","Fuera"))))</f>
        <v>Programado</v>
      </c>
      <c r="K2505" s="6" t="str">
        <f t="shared" si="140"/>
        <v>Programados</v>
      </c>
      <c r="L2505" s="8">
        <v>46204</v>
      </c>
      <c r="M2505" s="17">
        <f>MAX(1,NETWORKDAYS(A2505,L2505,Table2[Dias no laborales]))</f>
        <v>1</v>
      </c>
    </row>
    <row r="2506" spans="1:13" hidden="1" x14ac:dyDescent="0.3">
      <c r="A2506" s="8">
        <v>46204</v>
      </c>
      <c r="B2506" s="16" t="s">
        <v>4975</v>
      </c>
      <c r="C2506" s="6" t="s">
        <v>4700</v>
      </c>
      <c r="D2506" s="6" t="s">
        <v>5041</v>
      </c>
      <c r="E2506" s="14"/>
      <c r="F2506" s="8">
        <f>IF(HOUR(Table1[[#This Row],[CORREO]])&gt;=11,WORKDAY(Table1[[#This Row],[CORREO]],1,Table2[Dias no laborales]),E2506)</f>
        <v>0</v>
      </c>
      <c r="G2506" s="8">
        <v>46210</v>
      </c>
      <c r="H2506" s="6">
        <f t="shared" si="139"/>
        <v>26</v>
      </c>
      <c r="I2506" s="6">
        <f>MAX(1, NETWORKDAYS(A2506, G2506,Table2[Dias no laborales]))</f>
        <v>5</v>
      </c>
      <c r="J2506" s="6" t="str">
        <f>IF(Table1[[#This Row],[FIN]]="","Acumulado",IF(ISNUMBER(SEARCH("ASAP",C2506)),"ASAP",IF(NETWORKDAYS.INTL(F2506,G2506,1,Table2[Dias no laborales]) &lt;= 7, "Dentro", IF(A2506&gt;F2506,"Programado","Fuera"))))</f>
        <v>Programado</v>
      </c>
      <c r="K2506" s="6" t="str">
        <f t="shared" si="140"/>
        <v>Programados</v>
      </c>
      <c r="L2506" s="8">
        <v>46204</v>
      </c>
      <c r="M2506" s="17">
        <f>MAX(1,NETWORKDAYS(A2506,L2506,Table2[Dias no laborales]))</f>
        <v>1</v>
      </c>
    </row>
    <row r="2507" spans="1:13" hidden="1" x14ac:dyDescent="0.3">
      <c r="A2507" s="8">
        <v>46204</v>
      </c>
      <c r="B2507" s="16" t="s">
        <v>4976</v>
      </c>
      <c r="C2507" s="6" t="s">
        <v>5042</v>
      </c>
      <c r="D2507" s="6" t="s">
        <v>5043</v>
      </c>
      <c r="E2507" s="14">
        <v>46204.54583333333</v>
      </c>
      <c r="F2507" s="8">
        <f>IF(HOUR(Table1[[#This Row],[CORREO]])&gt;=11,WORKDAY(Table1[[#This Row],[CORREO]],1,Table2[Dias no laborales]),E2507)</f>
        <v>46205</v>
      </c>
      <c r="G2507" s="8">
        <v>46209</v>
      </c>
      <c r="H2507" s="6">
        <f t="shared" si="139"/>
        <v>26</v>
      </c>
      <c r="I2507" s="6">
        <f>MAX(1, NETWORKDAYS(A2507, G2507,Table2[Dias no laborales]))</f>
        <v>4</v>
      </c>
      <c r="J2507" s="6" t="str">
        <f>IF(Table1[[#This Row],[FIN]]="","Acumulado",IF(ISNUMBER(SEARCH("ASAP",C2507)),"ASAP",IF(NETWORKDAYS.INTL(F2507,G2507,1,Table2[Dias no laborales]) &lt;= 7, "Dentro", IF(A2507&gt;F2507,"Programado","Fuera"))))</f>
        <v>Dentro</v>
      </c>
      <c r="K2507" s="6" t="str">
        <f t="shared" si="140"/>
        <v>Mismo día</v>
      </c>
      <c r="L2507" s="8">
        <v>46204</v>
      </c>
      <c r="M2507" s="17">
        <f>MAX(1,NETWORKDAYS(A2507,L2507,Table2[Dias no laborales]))</f>
        <v>1</v>
      </c>
    </row>
    <row r="2508" spans="1:13" hidden="1" x14ac:dyDescent="0.3">
      <c r="A2508" s="8">
        <v>46205</v>
      </c>
      <c r="B2508" s="16" t="s">
        <v>4977</v>
      </c>
      <c r="C2508" s="6" t="s">
        <v>5044</v>
      </c>
      <c r="D2508" s="6" t="s">
        <v>24</v>
      </c>
      <c r="E2508" s="14"/>
      <c r="F2508" s="8">
        <f>IF(HOUR(Table1[[#This Row],[CORREO]])&gt;=11,WORKDAY(Table1[[#This Row],[CORREO]],1,Table2[Dias no laborales]),E2508)</f>
        <v>0</v>
      </c>
      <c r="G2508" s="8">
        <v>46210</v>
      </c>
      <c r="H2508" s="6">
        <f t="shared" si="139"/>
        <v>27</v>
      </c>
      <c r="I2508" s="6">
        <f>MAX(1, NETWORKDAYS(A2508, G2508,Table2[Dias no laborales]))</f>
        <v>4</v>
      </c>
      <c r="J2508" s="6" t="str">
        <f>IF(Table1[[#This Row],[FIN]]="","Acumulado",IF(ISNUMBER(SEARCH("ASAP",C2508)),"ASAP",IF(NETWORKDAYS.INTL(F2508,G2508,1,Table2[Dias no laborales]) &lt;= 7, "Dentro", IF(A2508&gt;F2508,"Programado","Fuera"))))</f>
        <v>Programado</v>
      </c>
      <c r="K2508" s="6" t="str">
        <f t="shared" si="140"/>
        <v>Programados</v>
      </c>
      <c r="L2508" s="8">
        <v>46205</v>
      </c>
      <c r="M2508" s="17">
        <f>MAX(1,NETWORKDAYS(A2508,L2508,Table2[Dias no laborales]))</f>
        <v>1</v>
      </c>
    </row>
    <row r="2509" spans="1:13" hidden="1" x14ac:dyDescent="0.3">
      <c r="A2509" s="8">
        <v>46205</v>
      </c>
      <c r="B2509" s="16" t="s">
        <v>4978</v>
      </c>
      <c r="C2509" s="6" t="s">
        <v>5045</v>
      </c>
      <c r="D2509" s="6" t="s">
        <v>586</v>
      </c>
      <c r="E2509" s="14"/>
      <c r="F2509" s="8">
        <f>IF(HOUR(Table1[[#This Row],[CORREO]])&gt;=11,WORKDAY(Table1[[#This Row],[CORREO]],1,Table2[Dias no laborales]),E2509)</f>
        <v>0</v>
      </c>
      <c r="G2509" s="8">
        <v>46211</v>
      </c>
      <c r="H2509" s="6">
        <f t="shared" si="139"/>
        <v>27</v>
      </c>
      <c r="I2509" s="6">
        <f>MAX(1, NETWORKDAYS(A2509, G2509,Table2[Dias no laborales]))</f>
        <v>5</v>
      </c>
      <c r="J2509" s="6" t="str">
        <f>IF(Table1[[#This Row],[FIN]]="","Acumulado",IF(ISNUMBER(SEARCH("ASAP",C2509)),"ASAP",IF(NETWORKDAYS.INTL(F2509,G2509,1,Table2[Dias no laborales]) &lt;= 7, "Dentro", IF(A2509&gt;F2509,"Programado","Fuera"))))</f>
        <v>Programado</v>
      </c>
      <c r="K2509" s="6" t="str">
        <f t="shared" si="140"/>
        <v>Programados</v>
      </c>
      <c r="L2509" s="8">
        <v>46205</v>
      </c>
      <c r="M2509" s="17">
        <f>MAX(1,NETWORKDAYS(A2509,L2509,Table2[Dias no laborales]))</f>
        <v>1</v>
      </c>
    </row>
    <row r="2510" spans="1:13" hidden="1" x14ac:dyDescent="0.3">
      <c r="A2510" s="8">
        <v>46205</v>
      </c>
      <c r="B2510" s="16" t="s">
        <v>4979</v>
      </c>
      <c r="C2510" s="6" t="s">
        <v>5046</v>
      </c>
      <c r="D2510" s="6" t="s">
        <v>288</v>
      </c>
      <c r="E2510" s="14"/>
      <c r="F2510" s="8">
        <f>IF(HOUR(Table1[[#This Row],[CORREO]])&gt;=11,WORKDAY(Table1[[#This Row],[CORREO]],1,Table2[Dias no laborales]),E2510)</f>
        <v>0</v>
      </c>
      <c r="G2510" s="8"/>
      <c r="H2510" s="6">
        <f t="shared" si="139"/>
        <v>27</v>
      </c>
      <c r="I2510" s="6">
        <f>MAX(1, NETWORKDAYS(A2510, G2510,Table2[Dias no laborales]))</f>
        <v>1</v>
      </c>
      <c r="J2510" s="6" t="str">
        <f>IF(Table1[[#This Row],[FIN]]="","Acumulado",IF(ISNUMBER(SEARCH("ASAP",C2510)),"ASAP",IF(NETWORKDAYS.INTL(F2510,G2510,1,Table2[Dias no laborales]) &lt;= 7, "Dentro", IF(A2510&gt;F2510,"Programado","Fuera"))))</f>
        <v>Acumulado</v>
      </c>
      <c r="K2510" s="6" t="str">
        <f t="shared" si="140"/>
        <v>Programados</v>
      </c>
      <c r="L2510" s="8">
        <v>46205</v>
      </c>
      <c r="M2510" s="17">
        <f>MAX(1,NETWORKDAYS(A2510,L2510,Table2[Dias no laborales]))</f>
        <v>1</v>
      </c>
    </row>
    <row r="2511" spans="1:13" hidden="1" x14ac:dyDescent="0.3">
      <c r="A2511" s="8">
        <v>46205</v>
      </c>
      <c r="B2511" s="16" t="s">
        <v>4980</v>
      </c>
      <c r="C2511" s="6" t="s">
        <v>5047</v>
      </c>
      <c r="D2511" s="6" t="s">
        <v>288</v>
      </c>
      <c r="E2511" s="14"/>
      <c r="F2511" s="8">
        <f>IF(HOUR(Table1[[#This Row],[CORREO]])&gt;=11,WORKDAY(Table1[[#This Row],[CORREO]],1,Table2[Dias no laborales]),E2511)</f>
        <v>0</v>
      </c>
      <c r="G2511" s="8">
        <v>46210</v>
      </c>
      <c r="H2511" s="6">
        <f t="shared" si="139"/>
        <v>27</v>
      </c>
      <c r="I2511" s="6">
        <f>MAX(1, NETWORKDAYS(A2511, G2511,Table2[Dias no laborales]))</f>
        <v>4</v>
      </c>
      <c r="J2511" s="6" t="str">
        <f>IF(Table1[[#This Row],[FIN]]="","Acumulado",IF(ISNUMBER(SEARCH("ASAP",C2511)),"ASAP",IF(NETWORKDAYS.INTL(F2511,G2511,1,Table2[Dias no laborales]) &lt;= 7, "Dentro", IF(A2511&gt;F2511,"Programado","Fuera"))))</f>
        <v>Programado</v>
      </c>
      <c r="K2511" s="6" t="str">
        <f t="shared" si="140"/>
        <v>Programados</v>
      </c>
      <c r="L2511" s="8">
        <v>46205</v>
      </c>
      <c r="M2511" s="17">
        <f>MAX(1,NETWORKDAYS(A2511,L2511,Table2[Dias no laborales]))</f>
        <v>1</v>
      </c>
    </row>
    <row r="2512" spans="1:13" hidden="1" x14ac:dyDescent="0.3">
      <c r="A2512" s="8">
        <v>46205</v>
      </c>
      <c r="B2512" s="16" t="s">
        <v>4981</v>
      </c>
      <c r="C2512" s="6" t="s">
        <v>5048</v>
      </c>
      <c r="D2512" s="6" t="s">
        <v>288</v>
      </c>
      <c r="E2512" s="14"/>
      <c r="F2512" s="8">
        <f>IF(HOUR(Table1[[#This Row],[CORREO]])&gt;=11,WORKDAY(Table1[[#This Row],[CORREO]],1,Table2[Dias no laborales]),E2512)</f>
        <v>0</v>
      </c>
      <c r="G2512" s="8">
        <v>46210</v>
      </c>
      <c r="H2512" s="6">
        <f t="shared" si="139"/>
        <v>27</v>
      </c>
      <c r="I2512" s="6">
        <f>MAX(1, NETWORKDAYS(A2512, G2512,Table2[Dias no laborales]))</f>
        <v>4</v>
      </c>
      <c r="J2512" s="6" t="str">
        <f>IF(Table1[[#This Row],[FIN]]="","Acumulado",IF(ISNUMBER(SEARCH("ASAP",C2512)),"ASAP",IF(NETWORKDAYS.INTL(F2512,G2512,1,Table2[Dias no laborales]) &lt;= 7, "Dentro", IF(A2512&gt;F2512,"Programado","Fuera"))))</f>
        <v>Programado</v>
      </c>
      <c r="K2512" s="6" t="str">
        <f t="shared" si="140"/>
        <v>Programados</v>
      </c>
      <c r="L2512" s="8">
        <v>46205</v>
      </c>
      <c r="M2512" s="17">
        <f>MAX(1,NETWORKDAYS(A2512,L2512,Table2[Dias no laborales]))</f>
        <v>1</v>
      </c>
    </row>
    <row r="2513" spans="1:13" hidden="1" x14ac:dyDescent="0.3">
      <c r="A2513" s="8">
        <v>46205</v>
      </c>
      <c r="B2513" s="16" t="s">
        <v>4982</v>
      </c>
      <c r="C2513" s="6" t="s">
        <v>4988</v>
      </c>
      <c r="D2513" s="6" t="s">
        <v>392</v>
      </c>
      <c r="E2513" s="14"/>
      <c r="F2513" s="8">
        <f>IF(HOUR(Table1[[#This Row],[CORREO]])&gt;=11,WORKDAY(Table1[[#This Row],[CORREO]],1,Table2[Dias no laborales]),E2513)</f>
        <v>0</v>
      </c>
      <c r="G2513" s="8">
        <v>46205</v>
      </c>
      <c r="H2513" s="6">
        <f t="shared" si="139"/>
        <v>27</v>
      </c>
      <c r="I2513" s="6">
        <f>MAX(1, NETWORKDAYS(A2513, G2513,Table2[Dias no laborales]))</f>
        <v>1</v>
      </c>
      <c r="J2513" s="6" t="str">
        <f>IF(Table1[[#This Row],[FIN]]="","Acumulado",IF(ISNUMBER(SEARCH("ASAP",C2513)),"ASAP",IF(NETWORKDAYS.INTL(F2513,G2513,1,Table2[Dias no laborales]) &lt;= 7, "Dentro", IF(A2513&gt;F2513,"Programado","Fuera"))))</f>
        <v>Programado</v>
      </c>
      <c r="K2513" s="6" t="str">
        <f t="shared" si="140"/>
        <v>Programados</v>
      </c>
      <c r="L2513" s="8">
        <v>46205</v>
      </c>
      <c r="M2513" s="17">
        <f>MAX(1,NETWORKDAYS(A2513,L2513,Table2[Dias no laborales]))</f>
        <v>1</v>
      </c>
    </row>
    <row r="2514" spans="1:13" hidden="1" x14ac:dyDescent="0.3">
      <c r="A2514" s="8">
        <v>46205</v>
      </c>
      <c r="B2514" s="16" t="s">
        <v>4983</v>
      </c>
      <c r="C2514" s="6" t="s">
        <v>5049</v>
      </c>
      <c r="D2514" s="6" t="s">
        <v>351</v>
      </c>
      <c r="E2514" s="14">
        <v>46205.412499999999</v>
      </c>
      <c r="F2514" s="8">
        <f>IF(HOUR(Table1[[#This Row],[CORREO]])&gt;=11,WORKDAY(Table1[[#This Row],[CORREO]],1,Table2[Dias no laborales]),E2514)</f>
        <v>46205.412499999999</v>
      </c>
      <c r="G2514" s="8">
        <v>46209</v>
      </c>
      <c r="H2514" s="6">
        <f t="shared" si="139"/>
        <v>27</v>
      </c>
      <c r="I2514" s="6">
        <f>MAX(1, NETWORKDAYS(A2514, G2514,Table2[Dias no laborales]))</f>
        <v>3</v>
      </c>
      <c r="J2514" s="6" t="str">
        <f>IF(Table1[[#This Row],[FIN]]="","Acumulado",IF(ISNUMBER(SEARCH("ASAP",C2514)),"ASAP",IF(NETWORKDAYS.INTL(F2514,G2514,1,Table2[Dias no laborales]) &lt;= 7, "Dentro", IF(A2514&gt;F2514,"Programado","Fuera"))))</f>
        <v>Dentro</v>
      </c>
      <c r="K2514" s="6" t="str">
        <f t="shared" si="140"/>
        <v>A tiempo</v>
      </c>
      <c r="L2514" s="8">
        <v>46205</v>
      </c>
      <c r="M2514" s="17">
        <f>MAX(1,NETWORKDAYS(A2514,L2514,Table2[Dias no laborales]))</f>
        <v>1</v>
      </c>
    </row>
    <row r="2515" spans="1:13" hidden="1" x14ac:dyDescent="0.3">
      <c r="A2515" s="8">
        <v>46205</v>
      </c>
      <c r="B2515" s="16" t="s">
        <v>4999</v>
      </c>
      <c r="C2515" s="6" t="s">
        <v>3008</v>
      </c>
      <c r="D2515" s="6" t="s">
        <v>5050</v>
      </c>
      <c r="E2515" s="14">
        <v>46204.81527777778</v>
      </c>
      <c r="F2515" s="8">
        <f>IF(HOUR(Table1[[#This Row],[CORREO]])&gt;=11,WORKDAY(Table1[[#This Row],[CORREO]],1,Table2[Dias no laborales]),E2515)</f>
        <v>46205</v>
      </c>
      <c r="G2515" s="8"/>
      <c r="H2515" s="6">
        <f t="shared" ref="H2515:H2553" si="141">INT((A2515-DATE(YEAR(A2515),1,1))/7) + 1</f>
        <v>27</v>
      </c>
      <c r="I2515" s="6">
        <f>MAX(1, NETWORKDAYS(A2515, G2515,Table2[Dias no laborales]))</f>
        <v>1</v>
      </c>
      <c r="J2515" s="6" t="str">
        <f>IF(Table1[[#This Row],[FIN]]="","Acumulado",IF(ISNUMBER(SEARCH("ASAP",C2515)),"ASAP",IF(NETWORKDAYS.INTL(F2515,G2515,1,Table2[Dias no laborales]) &lt;= 7, "Dentro", IF(A2515&gt;F2515,"Programado","Fuera"))))</f>
        <v>Acumulado</v>
      </c>
      <c r="K2515" s="6" t="str">
        <f t="shared" ref="K2515:K2553" si="142">IF(INT(A2515)=INT(F2515),"A tiempo", IF(A2515&lt;F2515,"Mismo día","Programados"))</f>
        <v>A tiempo</v>
      </c>
      <c r="L2515" s="8">
        <v>46205</v>
      </c>
      <c r="M2515" s="17">
        <f>MAX(1,NETWORKDAYS(A2515,L2515,Table2[Dias no laborales]))</f>
        <v>1</v>
      </c>
    </row>
    <row r="2516" spans="1:13" hidden="1" x14ac:dyDescent="0.3">
      <c r="A2516" s="8">
        <v>46205</v>
      </c>
      <c r="B2516" s="16" t="s">
        <v>5000</v>
      </c>
      <c r="C2516" s="6" t="s">
        <v>5051</v>
      </c>
      <c r="D2516" s="6" t="s">
        <v>24</v>
      </c>
      <c r="E2516" s="14"/>
      <c r="F2516" s="8">
        <f>IF(HOUR(Table1[[#This Row],[CORREO]])&gt;=11,WORKDAY(Table1[[#This Row],[CORREO]],1,Table2[Dias no laborales]),E2516)</f>
        <v>0</v>
      </c>
      <c r="G2516" s="8">
        <v>46206</v>
      </c>
      <c r="H2516" s="6">
        <f t="shared" si="141"/>
        <v>27</v>
      </c>
      <c r="I2516" s="6">
        <f>MAX(1, NETWORKDAYS(A2516, G2516,Table2[Dias no laborales]))</f>
        <v>2</v>
      </c>
      <c r="J2516" s="6" t="str">
        <f>IF(Table1[[#This Row],[FIN]]="","Acumulado",IF(ISNUMBER(SEARCH("ASAP",C2516)),"ASAP",IF(NETWORKDAYS.INTL(F2516,G2516,1,Table2[Dias no laborales]) &lt;= 7, "Dentro", IF(A2516&gt;F2516,"Programado","Fuera"))))</f>
        <v>Programado</v>
      </c>
      <c r="K2516" s="6" t="str">
        <f t="shared" si="142"/>
        <v>Programados</v>
      </c>
      <c r="L2516" s="8">
        <v>46205</v>
      </c>
      <c r="M2516" s="17">
        <f>MAX(1,NETWORKDAYS(A2516,L2516,Table2[Dias no laborales]))</f>
        <v>1</v>
      </c>
    </row>
    <row r="2517" spans="1:13" hidden="1" x14ac:dyDescent="0.3">
      <c r="A2517" s="8">
        <v>46205</v>
      </c>
      <c r="B2517" s="16" t="s">
        <v>5001</v>
      </c>
      <c r="C2517" s="6" t="s">
        <v>4700</v>
      </c>
      <c r="D2517" s="6" t="s">
        <v>5052</v>
      </c>
      <c r="E2517" s="14"/>
      <c r="F2517" s="8">
        <f>IF(HOUR(Table1[[#This Row],[CORREO]])&gt;=11,WORKDAY(Table1[[#This Row],[CORREO]],1,Table2[Dias no laborales]),E2517)</f>
        <v>0</v>
      </c>
      <c r="G2517" s="8">
        <v>46209</v>
      </c>
      <c r="H2517" s="6">
        <f t="shared" si="141"/>
        <v>27</v>
      </c>
      <c r="I2517" s="6">
        <f>MAX(1, NETWORKDAYS(A2517, G2517,Table2[Dias no laborales]))</f>
        <v>3</v>
      </c>
      <c r="J2517" s="6" t="str">
        <f>IF(Table1[[#This Row],[FIN]]="","Acumulado",IF(ISNUMBER(SEARCH("ASAP",C2517)),"ASAP",IF(NETWORKDAYS.INTL(F2517,G2517,1,Table2[Dias no laborales]) &lt;= 7, "Dentro", IF(A2517&gt;F2517,"Programado","Fuera"))))</f>
        <v>Programado</v>
      </c>
      <c r="K2517" s="6" t="str">
        <f t="shared" si="142"/>
        <v>Programados</v>
      </c>
      <c r="L2517" s="8">
        <v>46205</v>
      </c>
      <c r="M2517" s="17">
        <f>MAX(1,NETWORKDAYS(A2517,L2517,Table2[Dias no laborales]))</f>
        <v>1</v>
      </c>
    </row>
    <row r="2518" spans="1:13" hidden="1" x14ac:dyDescent="0.3">
      <c r="A2518" s="8">
        <v>46205</v>
      </c>
      <c r="B2518" s="16" t="s">
        <v>5002</v>
      </c>
      <c r="C2518" s="6" t="s">
        <v>4700</v>
      </c>
      <c r="D2518" s="6" t="s">
        <v>5053</v>
      </c>
      <c r="E2518" s="14"/>
      <c r="F2518" s="8">
        <f>IF(HOUR(Table1[[#This Row],[CORREO]])&gt;=11,WORKDAY(Table1[[#This Row],[CORREO]],1,Table2[Dias no laborales]),E2518)</f>
        <v>0</v>
      </c>
      <c r="G2518" s="8">
        <v>46209</v>
      </c>
      <c r="H2518" s="6">
        <f t="shared" si="141"/>
        <v>27</v>
      </c>
      <c r="I2518" s="6">
        <f>MAX(1, NETWORKDAYS(A2518, G2518,Table2[Dias no laborales]))</f>
        <v>3</v>
      </c>
      <c r="J2518" s="6" t="str">
        <f>IF(Table1[[#This Row],[FIN]]="","Acumulado",IF(ISNUMBER(SEARCH("ASAP",C2518)),"ASAP",IF(NETWORKDAYS.INTL(F2518,G2518,1,Table2[Dias no laborales]) &lt;= 7, "Dentro", IF(A2518&gt;F2518,"Programado","Fuera"))))</f>
        <v>Programado</v>
      </c>
      <c r="K2518" s="6" t="str">
        <f t="shared" si="142"/>
        <v>Programados</v>
      </c>
      <c r="L2518" s="8">
        <v>46205</v>
      </c>
      <c r="M2518" s="17">
        <f>MAX(1,NETWORKDAYS(A2518,L2518,Table2[Dias no laborales]))</f>
        <v>1</v>
      </c>
    </row>
    <row r="2519" spans="1:13" hidden="1" x14ac:dyDescent="0.3">
      <c r="A2519" s="8">
        <v>46205</v>
      </c>
      <c r="B2519" s="16" t="s">
        <v>5003</v>
      </c>
      <c r="C2519" s="6" t="s">
        <v>4700</v>
      </c>
      <c r="D2519" s="6" t="s">
        <v>5054</v>
      </c>
      <c r="E2519" s="14"/>
      <c r="F2519" s="8">
        <f>IF(HOUR(Table1[[#This Row],[CORREO]])&gt;=11,WORKDAY(Table1[[#This Row],[CORREO]],1,Table2[Dias no laborales]),E2519)</f>
        <v>0</v>
      </c>
      <c r="G2519" s="8"/>
      <c r="H2519" s="6">
        <f t="shared" si="141"/>
        <v>27</v>
      </c>
      <c r="I2519" s="6">
        <f>MAX(1, NETWORKDAYS(A2519, G2519,Table2[Dias no laborales]))</f>
        <v>1</v>
      </c>
      <c r="J2519" s="6" t="str">
        <f>IF(Table1[[#This Row],[FIN]]="","Acumulado",IF(ISNUMBER(SEARCH("ASAP",C2519)),"ASAP",IF(NETWORKDAYS.INTL(F2519,G2519,1,Table2[Dias no laborales]) &lt;= 7, "Dentro", IF(A2519&gt;F2519,"Programado","Fuera"))))</f>
        <v>Acumulado</v>
      </c>
      <c r="K2519" s="6" t="str">
        <f t="shared" si="142"/>
        <v>Programados</v>
      </c>
      <c r="L2519" s="8">
        <v>46205</v>
      </c>
      <c r="M2519" s="17">
        <f>MAX(1,NETWORKDAYS(A2519,L2519,Table2[Dias no laborales]))</f>
        <v>1</v>
      </c>
    </row>
    <row r="2520" spans="1:13" hidden="1" x14ac:dyDescent="0.3">
      <c r="A2520" s="8">
        <v>46206</v>
      </c>
      <c r="B2520" s="16" t="s">
        <v>5004</v>
      </c>
      <c r="C2520" s="6" t="s">
        <v>5055</v>
      </c>
      <c r="D2520" s="6" t="s">
        <v>3706</v>
      </c>
      <c r="E2520" s="14">
        <v>46205.545138888891</v>
      </c>
      <c r="F2520" s="8">
        <f>IF(HOUR(Table1[[#This Row],[CORREO]])&gt;=11,WORKDAY(Table1[[#This Row],[CORREO]],1,Table2[Dias no laborales]),E2520)</f>
        <v>46206</v>
      </c>
      <c r="G2520" s="8"/>
      <c r="H2520" s="6">
        <f t="shared" si="141"/>
        <v>27</v>
      </c>
      <c r="I2520" s="6">
        <f>MAX(1, NETWORKDAYS(A2520, G2520,Table2[Dias no laborales]))</f>
        <v>1</v>
      </c>
      <c r="J2520" s="6" t="str">
        <f>IF(Table1[[#This Row],[FIN]]="","Acumulado",IF(ISNUMBER(SEARCH("ASAP",C2520)),"ASAP",IF(NETWORKDAYS.INTL(F2520,G2520,1,Table2[Dias no laborales]) &lt;= 7, "Dentro", IF(A2520&gt;F2520,"Programado","Fuera"))))</f>
        <v>Acumulado</v>
      </c>
      <c r="K2520" s="6" t="str">
        <f t="shared" si="142"/>
        <v>A tiempo</v>
      </c>
      <c r="L2520" s="8">
        <v>46206</v>
      </c>
      <c r="M2520" s="17">
        <f>MAX(1,NETWORKDAYS(A2520,L2520,Table2[Dias no laborales]))</f>
        <v>1</v>
      </c>
    </row>
    <row r="2521" spans="1:13" hidden="1" x14ac:dyDescent="0.3">
      <c r="A2521" s="8">
        <v>46206</v>
      </c>
      <c r="B2521" s="16" t="s">
        <v>5005</v>
      </c>
      <c r="C2521" s="6" t="s">
        <v>5056</v>
      </c>
      <c r="D2521" s="6" t="s">
        <v>5057</v>
      </c>
      <c r="E2521" s="14">
        <v>46205.677777777775</v>
      </c>
      <c r="F2521" s="8">
        <f>IF(HOUR(Table1[[#This Row],[CORREO]])&gt;=11,WORKDAY(Table1[[#This Row],[CORREO]],1,Table2[Dias no laborales]),E2521)</f>
        <v>46206</v>
      </c>
      <c r="G2521" s="8"/>
      <c r="H2521" s="6">
        <f t="shared" si="141"/>
        <v>27</v>
      </c>
      <c r="I2521" s="6">
        <f>MAX(1, NETWORKDAYS(A2521, G2521,Table2[Dias no laborales]))</f>
        <v>1</v>
      </c>
      <c r="J2521" s="6" t="str">
        <f>IF(Table1[[#This Row],[FIN]]="","Acumulado",IF(ISNUMBER(SEARCH("ASAP",C2521)),"ASAP",IF(NETWORKDAYS.INTL(F2521,G2521,1,Table2[Dias no laborales]) &lt;= 7, "Dentro", IF(A2521&gt;F2521,"Programado","Fuera"))))</f>
        <v>Acumulado</v>
      </c>
      <c r="K2521" s="6" t="str">
        <f t="shared" si="142"/>
        <v>A tiempo</v>
      </c>
      <c r="L2521" s="8">
        <v>46206</v>
      </c>
      <c r="M2521" s="17">
        <f>MAX(1,NETWORKDAYS(A2521,L2521,Table2[Dias no laborales]))</f>
        <v>1</v>
      </c>
    </row>
    <row r="2522" spans="1:13" hidden="1" x14ac:dyDescent="0.3">
      <c r="A2522" s="8">
        <v>46206</v>
      </c>
      <c r="B2522" s="16" t="s">
        <v>5006</v>
      </c>
      <c r="C2522" s="6" t="s">
        <v>5058</v>
      </c>
      <c r="D2522" s="6" t="s">
        <v>5059</v>
      </c>
      <c r="E2522" s="14">
        <v>46205.703472222223</v>
      </c>
      <c r="F2522" s="8">
        <f>IF(HOUR(Table1[[#This Row],[CORREO]])&gt;=11,WORKDAY(Table1[[#This Row],[CORREO]],1,Table2[Dias no laborales]),E2522)</f>
        <v>46206</v>
      </c>
      <c r="G2522" s="8"/>
      <c r="H2522" s="6">
        <f t="shared" si="141"/>
        <v>27</v>
      </c>
      <c r="I2522" s="6">
        <f>MAX(1, NETWORKDAYS(A2522, G2522,Table2[Dias no laborales]))</f>
        <v>1</v>
      </c>
      <c r="J2522" s="6" t="str">
        <f>IF(Table1[[#This Row],[FIN]]="","Acumulado",IF(ISNUMBER(SEARCH("ASAP",C2522)),"ASAP",IF(NETWORKDAYS.INTL(F2522,G2522,1,Table2[Dias no laborales]) &lt;= 7, "Dentro", IF(A2522&gt;F2522,"Programado","Fuera"))))</f>
        <v>Acumulado</v>
      </c>
      <c r="K2522" s="6" t="str">
        <f t="shared" si="142"/>
        <v>A tiempo</v>
      </c>
      <c r="L2522" s="8">
        <v>46206</v>
      </c>
      <c r="M2522" s="17">
        <f>MAX(1,NETWORKDAYS(A2522,L2522,Table2[Dias no laborales]))</f>
        <v>1</v>
      </c>
    </row>
    <row r="2523" spans="1:13" hidden="1" x14ac:dyDescent="0.3">
      <c r="A2523" s="8">
        <v>46206</v>
      </c>
      <c r="B2523" s="16" t="s">
        <v>5007</v>
      </c>
      <c r="C2523" s="6" t="s">
        <v>4988</v>
      </c>
      <c r="D2523" s="6" t="s">
        <v>392</v>
      </c>
      <c r="E2523" s="14">
        <v>46206.34097222222</v>
      </c>
      <c r="F2523" s="8">
        <f>IF(HOUR(Table1[[#This Row],[CORREO]])&gt;=11,WORKDAY(Table1[[#This Row],[CORREO]],1,Table2[Dias no laborales]),E2523)</f>
        <v>46206.34097222222</v>
      </c>
      <c r="G2523" s="8">
        <v>46206</v>
      </c>
      <c r="H2523" s="6">
        <f t="shared" si="141"/>
        <v>27</v>
      </c>
      <c r="I2523" s="6">
        <f>MAX(1, NETWORKDAYS(A2523, G2523,Table2[Dias no laborales]))</f>
        <v>1</v>
      </c>
      <c r="J2523" s="6" t="str">
        <f>IF(Table1[[#This Row],[FIN]]="","Acumulado",IF(ISNUMBER(SEARCH("ASAP",C2523)),"ASAP",IF(NETWORKDAYS.INTL(F2523,G2523,1,Table2[Dias no laborales]) &lt;= 7, "Dentro", IF(A2523&gt;F2523,"Programado","Fuera"))))</f>
        <v>Dentro</v>
      </c>
      <c r="K2523" s="6" t="str">
        <f t="shared" si="142"/>
        <v>A tiempo</v>
      </c>
      <c r="L2523" s="8">
        <v>46206</v>
      </c>
      <c r="M2523" s="17">
        <f>MAX(1,NETWORKDAYS(A2523,L2523,Table2[Dias no laborales]))</f>
        <v>1</v>
      </c>
    </row>
    <row r="2524" spans="1:13" hidden="1" x14ac:dyDescent="0.3">
      <c r="A2524" s="8">
        <v>46206</v>
      </c>
      <c r="B2524" s="16" t="s">
        <v>5008</v>
      </c>
      <c r="C2524" s="6" t="s">
        <v>4957</v>
      </c>
      <c r="D2524" s="6" t="s">
        <v>53</v>
      </c>
      <c r="E2524" s="14">
        <v>46205.538888888892</v>
      </c>
      <c r="F2524" s="8">
        <f>IF(HOUR(Table1[[#This Row],[CORREO]])&gt;=11,WORKDAY(Table1[[#This Row],[CORREO]],1,Table2[Dias no laborales]),E2524)</f>
        <v>46206</v>
      </c>
      <c r="G2524" s="8">
        <v>46209</v>
      </c>
      <c r="H2524" s="6">
        <f t="shared" si="141"/>
        <v>27</v>
      </c>
      <c r="I2524" s="6">
        <f>MAX(1, NETWORKDAYS(A2524, G2524,Table2[Dias no laborales]))</f>
        <v>2</v>
      </c>
      <c r="J2524" s="6" t="str">
        <f>IF(Table1[[#This Row],[FIN]]="","Acumulado",IF(ISNUMBER(SEARCH("ASAP",C2524)),"ASAP",IF(NETWORKDAYS.INTL(F2524,G2524,1,Table2[Dias no laborales]) &lt;= 7, "Dentro", IF(A2524&gt;F2524,"Programado","Fuera"))))</f>
        <v>Dentro</v>
      </c>
      <c r="K2524" s="6" t="str">
        <f t="shared" si="142"/>
        <v>A tiempo</v>
      </c>
      <c r="L2524" s="8">
        <v>46206</v>
      </c>
      <c r="M2524" s="17">
        <f>MAX(1,NETWORKDAYS(A2524,L2524,Table2[Dias no laborales]))</f>
        <v>1</v>
      </c>
    </row>
    <row r="2525" spans="1:13" hidden="1" x14ac:dyDescent="0.3">
      <c r="A2525" s="8">
        <v>46206</v>
      </c>
      <c r="B2525" s="16" t="s">
        <v>5009</v>
      </c>
      <c r="C2525" s="6" t="s">
        <v>5060</v>
      </c>
      <c r="D2525" s="6" t="s">
        <v>1333</v>
      </c>
      <c r="E2525" s="14"/>
      <c r="F2525" s="8">
        <f>IF(HOUR(Table1[[#This Row],[CORREO]])&gt;=11,WORKDAY(Table1[[#This Row],[CORREO]],1,Table2[Dias no laborales]),E2525)</f>
        <v>0</v>
      </c>
      <c r="G2525" s="8">
        <v>46206</v>
      </c>
      <c r="H2525" s="6">
        <f t="shared" si="141"/>
        <v>27</v>
      </c>
      <c r="I2525" s="6">
        <f>MAX(1, NETWORKDAYS(A2525, G2525,Table2[Dias no laborales]))</f>
        <v>1</v>
      </c>
      <c r="J2525" s="6" t="str">
        <f>IF(Table1[[#This Row],[FIN]]="","Acumulado",IF(ISNUMBER(SEARCH("ASAP",C2525)),"ASAP",IF(NETWORKDAYS.INTL(F2525,G2525,1,Table2[Dias no laborales]) &lt;= 7, "Dentro", IF(A2525&gt;F2525,"Programado","Fuera"))))</f>
        <v>Programado</v>
      </c>
      <c r="K2525" s="6" t="str">
        <f t="shared" si="142"/>
        <v>Programados</v>
      </c>
      <c r="L2525" s="8">
        <v>46206</v>
      </c>
      <c r="M2525" s="17">
        <f>MAX(1,NETWORKDAYS(A2525,L2525,Table2[Dias no laborales]))</f>
        <v>1</v>
      </c>
    </row>
    <row r="2526" spans="1:13" hidden="1" x14ac:dyDescent="0.3">
      <c r="A2526" s="8">
        <v>46206</v>
      </c>
      <c r="B2526" s="16" t="s">
        <v>5010</v>
      </c>
      <c r="C2526" s="6" t="s">
        <v>3008</v>
      </c>
      <c r="D2526" s="6" t="s">
        <v>1333</v>
      </c>
      <c r="E2526" s="14">
        <v>46206.37222222222</v>
      </c>
      <c r="F2526" s="8">
        <f>IF(HOUR(Table1[[#This Row],[CORREO]])&gt;=11,WORKDAY(Table1[[#This Row],[CORREO]],1,Table2[Dias no laborales]),E2526)</f>
        <v>46206.37222222222</v>
      </c>
      <c r="G2526" s="8">
        <v>46210</v>
      </c>
      <c r="H2526" s="6">
        <f t="shared" si="141"/>
        <v>27</v>
      </c>
      <c r="I2526" s="6">
        <f>MAX(1, NETWORKDAYS(A2526, G2526,Table2[Dias no laborales]))</f>
        <v>3</v>
      </c>
      <c r="J2526" s="6" t="str">
        <f>IF(Table1[[#This Row],[FIN]]="","Acumulado",IF(ISNUMBER(SEARCH("ASAP",C2526)),"ASAP",IF(NETWORKDAYS.INTL(F2526,G2526,1,Table2[Dias no laborales]) &lt;= 7, "Dentro", IF(A2526&gt;F2526,"Programado","Fuera"))))</f>
        <v>Dentro</v>
      </c>
      <c r="K2526" s="6" t="str">
        <f t="shared" si="142"/>
        <v>A tiempo</v>
      </c>
      <c r="L2526" s="8">
        <v>46206</v>
      </c>
      <c r="M2526" s="17">
        <f>MAX(1,NETWORKDAYS(A2526,L2526,Table2[Dias no laborales]))</f>
        <v>1</v>
      </c>
    </row>
    <row r="2527" spans="1:13" hidden="1" x14ac:dyDescent="0.3">
      <c r="A2527" s="8">
        <v>46206</v>
      </c>
      <c r="B2527" s="16" t="s">
        <v>5011</v>
      </c>
      <c r="C2527" s="6" t="s">
        <v>5061</v>
      </c>
      <c r="D2527" s="6" t="s">
        <v>27</v>
      </c>
      <c r="E2527" s="14"/>
      <c r="F2527" s="8">
        <f>IF(HOUR(Table1[[#This Row],[CORREO]])&gt;=11,WORKDAY(Table1[[#This Row],[CORREO]],1,Table2[Dias no laborales]),E2527)</f>
        <v>0</v>
      </c>
      <c r="G2527" s="8"/>
      <c r="H2527" s="6">
        <f t="shared" si="141"/>
        <v>27</v>
      </c>
      <c r="I2527" s="6">
        <f>MAX(1, NETWORKDAYS(A2527, G2527,Table2[Dias no laborales]))</f>
        <v>1</v>
      </c>
      <c r="J2527" s="6" t="str">
        <f>IF(Table1[[#This Row],[FIN]]="","Acumulado",IF(ISNUMBER(SEARCH("ASAP",C2527)),"ASAP",IF(NETWORKDAYS.INTL(F2527,G2527,1,Table2[Dias no laborales]) &lt;= 7, "Dentro", IF(A2527&gt;F2527,"Programado","Fuera"))))</f>
        <v>Acumulado</v>
      </c>
      <c r="K2527" s="6" t="str">
        <f t="shared" si="142"/>
        <v>Programados</v>
      </c>
      <c r="L2527" s="8">
        <v>46206</v>
      </c>
      <c r="M2527" s="17">
        <f>MAX(1,NETWORKDAYS(A2527,L2527,Table2[Dias no laborales]))</f>
        <v>1</v>
      </c>
    </row>
    <row r="2528" spans="1:13" hidden="1" x14ac:dyDescent="0.3">
      <c r="A2528" s="8">
        <v>46206</v>
      </c>
      <c r="B2528" s="16" t="s">
        <v>5012</v>
      </c>
      <c r="C2528" s="6" t="s">
        <v>5062</v>
      </c>
      <c r="D2528" s="6" t="s">
        <v>27</v>
      </c>
      <c r="E2528" s="14"/>
      <c r="F2528" s="8">
        <f>IF(HOUR(Table1[[#This Row],[CORREO]])&gt;=11,WORKDAY(Table1[[#This Row],[CORREO]],1,Table2[Dias no laborales]),E2528)</f>
        <v>0</v>
      </c>
      <c r="G2528" s="8"/>
      <c r="H2528" s="6">
        <f t="shared" si="141"/>
        <v>27</v>
      </c>
      <c r="I2528" s="6">
        <f>MAX(1, NETWORKDAYS(A2528, G2528,Table2[Dias no laborales]))</f>
        <v>1</v>
      </c>
      <c r="J2528" s="6" t="str">
        <f>IF(Table1[[#This Row],[FIN]]="","Acumulado",IF(ISNUMBER(SEARCH("ASAP",C2528)),"ASAP",IF(NETWORKDAYS.INTL(F2528,G2528,1,Table2[Dias no laborales]) &lt;= 7, "Dentro", IF(A2528&gt;F2528,"Programado","Fuera"))))</f>
        <v>Acumulado</v>
      </c>
      <c r="K2528" s="6" t="str">
        <f t="shared" si="142"/>
        <v>Programados</v>
      </c>
      <c r="L2528" s="8">
        <v>46206</v>
      </c>
      <c r="M2528" s="17">
        <f>MAX(1,NETWORKDAYS(A2528,L2528,Table2[Dias no laborales]))</f>
        <v>1</v>
      </c>
    </row>
    <row r="2529" spans="1:13" hidden="1" x14ac:dyDescent="0.3">
      <c r="A2529" s="8">
        <v>46206</v>
      </c>
      <c r="B2529" s="16" t="s">
        <v>5013</v>
      </c>
      <c r="C2529" s="6" t="s">
        <v>5063</v>
      </c>
      <c r="D2529" s="6" t="s">
        <v>27</v>
      </c>
      <c r="E2529" s="14"/>
      <c r="F2529" s="8">
        <f>IF(HOUR(Table1[[#This Row],[CORREO]])&gt;=11,WORKDAY(Table1[[#This Row],[CORREO]],1,Table2[Dias no laborales]),E2529)</f>
        <v>0</v>
      </c>
      <c r="G2529" s="8"/>
      <c r="H2529" s="6">
        <f t="shared" si="141"/>
        <v>27</v>
      </c>
      <c r="I2529" s="6">
        <f>MAX(1, NETWORKDAYS(A2529, G2529,Table2[Dias no laborales]))</f>
        <v>1</v>
      </c>
      <c r="J2529" s="6" t="str">
        <f>IF(Table1[[#This Row],[FIN]]="","Acumulado",IF(ISNUMBER(SEARCH("ASAP",C2529)),"ASAP",IF(NETWORKDAYS.INTL(F2529,G2529,1,Table2[Dias no laborales]) &lt;= 7, "Dentro", IF(A2529&gt;F2529,"Programado","Fuera"))))</f>
        <v>Acumulado</v>
      </c>
      <c r="K2529" s="6" t="str">
        <f t="shared" si="142"/>
        <v>Programados</v>
      </c>
      <c r="L2529" s="8">
        <v>46206</v>
      </c>
      <c r="M2529" s="17">
        <f>MAX(1,NETWORKDAYS(A2529,L2529,Table2[Dias no laborales]))</f>
        <v>1</v>
      </c>
    </row>
    <row r="2530" spans="1:13" hidden="1" x14ac:dyDescent="0.3">
      <c r="A2530" s="8">
        <v>46206</v>
      </c>
      <c r="B2530" s="16" t="s">
        <v>5014</v>
      </c>
      <c r="C2530" s="6" t="s">
        <v>5064</v>
      </c>
      <c r="D2530" s="6" t="s">
        <v>27</v>
      </c>
      <c r="E2530" s="14"/>
      <c r="F2530" s="8">
        <f>IF(HOUR(Table1[[#This Row],[CORREO]])&gt;=11,WORKDAY(Table1[[#This Row],[CORREO]],1,Table2[Dias no laborales]),E2530)</f>
        <v>0</v>
      </c>
      <c r="G2530" s="8"/>
      <c r="H2530" s="6">
        <f t="shared" si="141"/>
        <v>27</v>
      </c>
      <c r="I2530" s="6">
        <f>MAX(1, NETWORKDAYS(A2530, G2530,Table2[Dias no laborales]))</f>
        <v>1</v>
      </c>
      <c r="J2530" s="6" t="str">
        <f>IF(Table1[[#This Row],[FIN]]="","Acumulado",IF(ISNUMBER(SEARCH("ASAP",C2530)),"ASAP",IF(NETWORKDAYS.INTL(F2530,G2530,1,Table2[Dias no laborales]) &lt;= 7, "Dentro", IF(A2530&gt;F2530,"Programado","Fuera"))))</f>
        <v>Acumulado</v>
      </c>
      <c r="K2530" s="6" t="str">
        <f t="shared" si="142"/>
        <v>Programados</v>
      </c>
      <c r="L2530" s="8">
        <v>46206</v>
      </c>
      <c r="M2530" s="17">
        <f>MAX(1,NETWORKDAYS(A2530,L2530,Table2[Dias no laborales]))</f>
        <v>1</v>
      </c>
    </row>
    <row r="2531" spans="1:13" hidden="1" x14ac:dyDescent="0.3">
      <c r="A2531" s="8">
        <v>46206</v>
      </c>
      <c r="B2531" s="16" t="s">
        <v>5015</v>
      </c>
      <c r="C2531" s="6" t="s">
        <v>5065</v>
      </c>
      <c r="D2531" s="6" t="s">
        <v>27</v>
      </c>
      <c r="E2531" s="14"/>
      <c r="F2531" s="8">
        <f>IF(HOUR(Table1[[#This Row],[CORREO]])&gt;=11,WORKDAY(Table1[[#This Row],[CORREO]],1,Table2[Dias no laborales]),E2531)</f>
        <v>0</v>
      </c>
      <c r="G2531" s="8"/>
      <c r="H2531" s="6">
        <f t="shared" si="141"/>
        <v>27</v>
      </c>
      <c r="I2531" s="6">
        <f>MAX(1, NETWORKDAYS(A2531, G2531,Table2[Dias no laborales]))</f>
        <v>1</v>
      </c>
      <c r="J2531" s="6" t="str">
        <f>IF(Table1[[#This Row],[FIN]]="","Acumulado",IF(ISNUMBER(SEARCH("ASAP",C2531)),"ASAP",IF(NETWORKDAYS.INTL(F2531,G2531,1,Table2[Dias no laborales]) &lt;= 7, "Dentro", IF(A2531&gt;F2531,"Programado","Fuera"))))</f>
        <v>Acumulado</v>
      </c>
      <c r="K2531" s="6" t="str">
        <f t="shared" si="142"/>
        <v>Programados</v>
      </c>
      <c r="L2531" s="8">
        <v>46206</v>
      </c>
      <c r="M2531" s="17">
        <f>MAX(1,NETWORKDAYS(A2531,L2531,Table2[Dias no laborales]))</f>
        <v>1</v>
      </c>
    </row>
    <row r="2532" spans="1:13" hidden="1" x14ac:dyDescent="0.3">
      <c r="A2532" s="8">
        <v>46206</v>
      </c>
      <c r="B2532" s="16" t="s">
        <v>5016</v>
      </c>
      <c r="C2532" s="6" t="s">
        <v>5066</v>
      </c>
      <c r="D2532" s="6" t="s">
        <v>27</v>
      </c>
      <c r="E2532" s="14"/>
      <c r="F2532" s="8">
        <f>IF(HOUR(Table1[[#This Row],[CORREO]])&gt;=11,WORKDAY(Table1[[#This Row],[CORREO]],1,Table2[Dias no laborales]),E2532)</f>
        <v>0</v>
      </c>
      <c r="G2532" s="8"/>
      <c r="H2532" s="6">
        <f t="shared" si="141"/>
        <v>27</v>
      </c>
      <c r="I2532" s="6">
        <f>MAX(1, NETWORKDAYS(A2532, G2532,Table2[Dias no laborales]))</f>
        <v>1</v>
      </c>
      <c r="J2532" s="6" t="str">
        <f>IF(Table1[[#This Row],[FIN]]="","Acumulado",IF(ISNUMBER(SEARCH("ASAP",C2532)),"ASAP",IF(NETWORKDAYS.INTL(F2532,G2532,1,Table2[Dias no laborales]) &lt;= 7, "Dentro", IF(A2532&gt;F2532,"Programado","Fuera"))))</f>
        <v>Acumulado</v>
      </c>
      <c r="K2532" s="6" t="str">
        <f t="shared" si="142"/>
        <v>Programados</v>
      </c>
      <c r="L2532" s="8">
        <v>46206</v>
      </c>
      <c r="M2532" s="17">
        <f>MAX(1,NETWORKDAYS(A2532,L2532,Table2[Dias no laborales]))</f>
        <v>1</v>
      </c>
    </row>
    <row r="2533" spans="1:13" hidden="1" x14ac:dyDescent="0.3">
      <c r="A2533" s="8">
        <v>46206</v>
      </c>
      <c r="B2533" s="16" t="s">
        <v>5017</v>
      </c>
      <c r="C2533" s="6" t="s">
        <v>5067</v>
      </c>
      <c r="D2533" s="6" t="s">
        <v>27</v>
      </c>
      <c r="E2533" s="14"/>
      <c r="F2533" s="8">
        <f>IF(HOUR(Table1[[#This Row],[CORREO]])&gt;=11,WORKDAY(Table1[[#This Row],[CORREO]],1,Table2[Dias no laborales]),E2533)</f>
        <v>0</v>
      </c>
      <c r="G2533" s="8"/>
      <c r="H2533" s="6">
        <f t="shared" si="141"/>
        <v>27</v>
      </c>
      <c r="I2533" s="6">
        <f>MAX(1, NETWORKDAYS(A2533, G2533,Table2[Dias no laborales]))</f>
        <v>1</v>
      </c>
      <c r="J2533" s="6" t="str">
        <f>IF(Table1[[#This Row],[FIN]]="","Acumulado",IF(ISNUMBER(SEARCH("ASAP",C2533)),"ASAP",IF(NETWORKDAYS.INTL(F2533,G2533,1,Table2[Dias no laborales]) &lt;= 7, "Dentro", IF(A2533&gt;F2533,"Programado","Fuera"))))</f>
        <v>Acumulado</v>
      </c>
      <c r="K2533" s="6" t="str">
        <f t="shared" si="142"/>
        <v>Programados</v>
      </c>
      <c r="L2533" s="8">
        <v>46206</v>
      </c>
      <c r="M2533" s="17">
        <f>MAX(1,NETWORKDAYS(A2533,L2533,Table2[Dias no laborales]))</f>
        <v>1</v>
      </c>
    </row>
    <row r="2534" spans="1:13" hidden="1" x14ac:dyDescent="0.3">
      <c r="A2534" s="8">
        <v>46209</v>
      </c>
      <c r="B2534" s="16" t="s">
        <v>5018</v>
      </c>
      <c r="C2534" s="6" t="s">
        <v>5068</v>
      </c>
      <c r="D2534" s="6" t="s">
        <v>24</v>
      </c>
      <c r="E2534" s="14"/>
      <c r="F2534" s="8">
        <f>IF(HOUR(Table1[[#This Row],[CORREO]])&gt;=11,WORKDAY(Table1[[#This Row],[CORREO]],1,Table2[Dias no laborales]),E2534)</f>
        <v>0</v>
      </c>
      <c r="G2534" s="8"/>
      <c r="H2534" s="6">
        <f t="shared" si="141"/>
        <v>27</v>
      </c>
      <c r="I2534" s="6">
        <f>MAX(1, NETWORKDAYS(A2534, G2534,Table2[Dias no laborales]))</f>
        <v>1</v>
      </c>
      <c r="J2534" s="6" t="str">
        <f>IF(Table1[[#This Row],[FIN]]="","Acumulado",IF(ISNUMBER(SEARCH("ASAP",C2534)),"ASAP",IF(NETWORKDAYS.INTL(F2534,G2534,1,Table2[Dias no laborales]) &lt;= 7, "Dentro", IF(A2534&gt;F2534,"Programado","Fuera"))))</f>
        <v>Acumulado</v>
      </c>
      <c r="K2534" s="6" t="str">
        <f t="shared" si="142"/>
        <v>Programados</v>
      </c>
      <c r="L2534" s="8">
        <v>46209</v>
      </c>
      <c r="M2534" s="17">
        <f>MAX(1,NETWORKDAYS(A2534,L2534,Table2[Dias no laborales]))</f>
        <v>1</v>
      </c>
    </row>
    <row r="2535" spans="1:13" hidden="1" x14ac:dyDescent="0.3">
      <c r="A2535" s="8">
        <v>46209</v>
      </c>
      <c r="B2535" s="16" t="s">
        <v>5019</v>
      </c>
      <c r="C2535" s="6" t="s">
        <v>5069</v>
      </c>
      <c r="D2535" s="6" t="s">
        <v>372</v>
      </c>
      <c r="E2535" s="14"/>
      <c r="F2535" s="8">
        <f>IF(HOUR(Table1[[#This Row],[CORREO]])&gt;=11,WORKDAY(Table1[[#This Row],[CORREO]],1,Table2[Dias no laborales]),E2535)</f>
        <v>0</v>
      </c>
      <c r="G2535" s="8">
        <v>46211</v>
      </c>
      <c r="H2535" s="6">
        <f t="shared" si="141"/>
        <v>27</v>
      </c>
      <c r="I2535" s="6">
        <f>MAX(1, NETWORKDAYS(A2535, G2535,Table2[Dias no laborales]))</f>
        <v>3</v>
      </c>
      <c r="J2535" s="6" t="str">
        <f>IF(Table1[[#This Row],[FIN]]="","Acumulado",IF(ISNUMBER(SEARCH("ASAP",C2535)),"ASAP",IF(NETWORKDAYS.INTL(F2535,G2535,1,Table2[Dias no laborales]) &lt;= 7, "Dentro", IF(A2535&gt;F2535,"Programado","Fuera"))))</f>
        <v>Programado</v>
      </c>
      <c r="K2535" s="6" t="str">
        <f t="shared" si="142"/>
        <v>Programados</v>
      </c>
      <c r="L2535" s="8">
        <v>46209</v>
      </c>
      <c r="M2535" s="17">
        <f>MAX(1,NETWORKDAYS(A2535,L2535,Table2[Dias no laborales]))</f>
        <v>1</v>
      </c>
    </row>
    <row r="2536" spans="1:13" hidden="1" x14ac:dyDescent="0.3">
      <c r="A2536" s="8">
        <v>46209</v>
      </c>
      <c r="B2536" s="16" t="s">
        <v>5020</v>
      </c>
      <c r="C2536" s="6" t="s">
        <v>5070</v>
      </c>
      <c r="D2536" s="6" t="s">
        <v>5071</v>
      </c>
      <c r="E2536" s="14">
        <v>46206.663888888892</v>
      </c>
      <c r="F2536" s="8">
        <f>IF(HOUR(Table1[[#This Row],[CORREO]])&gt;=11,WORKDAY(Table1[[#This Row],[CORREO]],1,Table2[Dias no laborales]),E2536)</f>
        <v>46209</v>
      </c>
      <c r="G2536" s="8"/>
      <c r="H2536" s="6">
        <f t="shared" si="141"/>
        <v>27</v>
      </c>
      <c r="I2536" s="6">
        <f>MAX(1, NETWORKDAYS(A2536, G2536,Table2[Dias no laborales]))</f>
        <v>1</v>
      </c>
      <c r="J2536" s="6" t="str">
        <f>IF(Table1[[#This Row],[FIN]]="","Acumulado",IF(ISNUMBER(SEARCH("ASAP",C2536)),"ASAP",IF(NETWORKDAYS.INTL(F2536,G2536,1,Table2[Dias no laborales]) &lt;= 7, "Dentro", IF(A2536&gt;F2536,"Programado","Fuera"))))</f>
        <v>Acumulado</v>
      </c>
      <c r="K2536" s="6" t="str">
        <f t="shared" si="142"/>
        <v>A tiempo</v>
      </c>
      <c r="L2536" s="8">
        <v>46209</v>
      </c>
      <c r="M2536" s="17">
        <f>MAX(1,NETWORKDAYS(A2536,L2536,Table2[Dias no laborales]))</f>
        <v>1</v>
      </c>
    </row>
    <row r="2537" spans="1:13" hidden="1" x14ac:dyDescent="0.3">
      <c r="A2537" s="8">
        <v>46209</v>
      </c>
      <c r="B2537" s="16" t="s">
        <v>5021</v>
      </c>
      <c r="C2537" s="6" t="s">
        <v>5072</v>
      </c>
      <c r="D2537" s="6" t="s">
        <v>477</v>
      </c>
      <c r="E2537" s="14">
        <v>46209.293749999997</v>
      </c>
      <c r="F2537" s="8">
        <f>IF(HOUR(Table1[[#This Row],[CORREO]])&gt;=11,WORKDAY(Table1[[#This Row],[CORREO]],1,Table2[Dias no laborales]),E2537)</f>
        <v>46209.293749999997</v>
      </c>
      <c r="G2537" s="8">
        <v>46209</v>
      </c>
      <c r="H2537" s="6">
        <f t="shared" si="141"/>
        <v>27</v>
      </c>
      <c r="I2537" s="6">
        <f>MAX(1, NETWORKDAYS(A2537, G2537,Table2[Dias no laborales]))</f>
        <v>1</v>
      </c>
      <c r="J2537" s="6" t="str">
        <f>IF(Table1[[#This Row],[FIN]]="","Acumulado",IF(ISNUMBER(SEARCH("ASAP",C2537)),"ASAP",IF(NETWORKDAYS.INTL(F2537,G2537,1,Table2[Dias no laborales]) &lt;= 7, "Dentro", IF(A2537&gt;F2537,"Programado","Fuera"))))</f>
        <v>Dentro</v>
      </c>
      <c r="K2537" s="6" t="str">
        <f t="shared" si="142"/>
        <v>A tiempo</v>
      </c>
      <c r="L2537" s="8">
        <v>46209</v>
      </c>
      <c r="M2537" s="17">
        <f>MAX(1,NETWORKDAYS(A2537,L2537,Table2[Dias no laborales]))</f>
        <v>1</v>
      </c>
    </row>
    <row r="2538" spans="1:13" hidden="1" x14ac:dyDescent="0.3">
      <c r="A2538" s="8">
        <v>46209</v>
      </c>
      <c r="B2538" s="16" t="s">
        <v>5022</v>
      </c>
      <c r="C2538" s="6" t="s">
        <v>5073</v>
      </c>
      <c r="D2538" s="6" t="s">
        <v>504</v>
      </c>
      <c r="E2538" s="14">
        <v>46209.297222222223</v>
      </c>
      <c r="F2538" s="8">
        <f>IF(HOUR(Table1[[#This Row],[CORREO]])&gt;=11,WORKDAY(Table1[[#This Row],[CORREO]],1,Table2[Dias no laborales]),E2538)</f>
        <v>46209.297222222223</v>
      </c>
      <c r="G2538" s="8"/>
      <c r="H2538" s="6">
        <f t="shared" si="141"/>
        <v>27</v>
      </c>
      <c r="I2538" s="6">
        <f>MAX(1, NETWORKDAYS(A2538, G2538,Table2[Dias no laborales]))</f>
        <v>1</v>
      </c>
      <c r="J2538" s="6" t="str">
        <f>IF(Table1[[#This Row],[FIN]]="","Acumulado",IF(ISNUMBER(SEARCH("ASAP",C2538)),"ASAP",IF(NETWORKDAYS.INTL(F2538,G2538,1,Table2[Dias no laborales]) &lt;= 7, "Dentro", IF(A2538&gt;F2538,"Programado","Fuera"))))</f>
        <v>Acumulado</v>
      </c>
      <c r="K2538" s="6" t="str">
        <f t="shared" si="142"/>
        <v>A tiempo</v>
      </c>
      <c r="L2538" s="8">
        <v>46209</v>
      </c>
      <c r="M2538" s="17">
        <f>MAX(1,NETWORKDAYS(A2538,L2538,Table2[Dias no laborales]))</f>
        <v>1</v>
      </c>
    </row>
    <row r="2539" spans="1:13" hidden="1" x14ac:dyDescent="0.3">
      <c r="A2539" s="8">
        <v>46209</v>
      </c>
      <c r="B2539" s="16" t="s">
        <v>5023</v>
      </c>
      <c r="C2539" s="6" t="s">
        <v>5074</v>
      </c>
      <c r="D2539" s="6" t="s">
        <v>2963</v>
      </c>
      <c r="E2539" s="14">
        <v>46209.37777777778</v>
      </c>
      <c r="F2539" s="8">
        <f>IF(HOUR(Table1[[#This Row],[CORREO]])&gt;=11,WORKDAY(Table1[[#This Row],[CORREO]],1,Table2[Dias no laborales]),E2539)</f>
        <v>46209.37777777778</v>
      </c>
      <c r="G2539" s="8">
        <v>46209</v>
      </c>
      <c r="H2539" s="6">
        <f t="shared" si="141"/>
        <v>27</v>
      </c>
      <c r="I2539" s="6">
        <f>MAX(1, NETWORKDAYS(A2539, G2539,Table2[Dias no laborales]))</f>
        <v>1</v>
      </c>
      <c r="J2539" s="6" t="str">
        <f>IF(Table1[[#This Row],[FIN]]="","Acumulado",IF(ISNUMBER(SEARCH("ASAP",C2539)),"ASAP",IF(NETWORKDAYS.INTL(F2539,G2539,1,Table2[Dias no laborales]) &lt;= 7, "Dentro", IF(A2539&gt;F2539,"Programado","Fuera"))))</f>
        <v>Dentro</v>
      </c>
      <c r="K2539" s="6" t="str">
        <f t="shared" si="142"/>
        <v>A tiempo</v>
      </c>
      <c r="L2539" s="8">
        <v>46209</v>
      </c>
      <c r="M2539" s="17">
        <f>MAX(1,NETWORKDAYS(A2539,L2539,Table2[Dias no laborales]))</f>
        <v>1</v>
      </c>
    </row>
    <row r="2540" spans="1:13" hidden="1" x14ac:dyDescent="0.3">
      <c r="A2540" s="8">
        <v>46209</v>
      </c>
      <c r="B2540" s="16" t="s">
        <v>5024</v>
      </c>
      <c r="C2540" s="6" t="s">
        <v>5075</v>
      </c>
      <c r="D2540" s="6" t="s">
        <v>133</v>
      </c>
      <c r="E2540" s="14">
        <v>46209.336805555555</v>
      </c>
      <c r="F2540" s="8">
        <f>IF(HOUR(Table1[[#This Row],[CORREO]])&gt;=11,WORKDAY(Table1[[#This Row],[CORREO]],1,Table2[Dias no laborales]),E2540)</f>
        <v>46209.336805555555</v>
      </c>
      <c r="G2540" s="8">
        <v>46211</v>
      </c>
      <c r="H2540" s="6">
        <f t="shared" si="141"/>
        <v>27</v>
      </c>
      <c r="I2540" s="6">
        <f>MAX(1, NETWORKDAYS(A2540, G2540,Table2[Dias no laborales]))</f>
        <v>3</v>
      </c>
      <c r="J2540" s="6" t="str">
        <f>IF(Table1[[#This Row],[FIN]]="","Acumulado",IF(ISNUMBER(SEARCH("ASAP",C2540)),"ASAP",IF(NETWORKDAYS.INTL(F2540,G2540,1,Table2[Dias no laborales]) &lt;= 7, "Dentro", IF(A2540&gt;F2540,"Programado","Fuera"))))</f>
        <v>Dentro</v>
      </c>
      <c r="K2540" s="6" t="str">
        <f t="shared" si="142"/>
        <v>A tiempo</v>
      </c>
      <c r="L2540" s="8">
        <v>46209</v>
      </c>
      <c r="M2540" s="17">
        <f>MAX(1,NETWORKDAYS(A2540,L2540,Table2[Dias no laborales]))</f>
        <v>1</v>
      </c>
    </row>
    <row r="2541" spans="1:13" hidden="1" x14ac:dyDescent="0.3">
      <c r="A2541" s="8">
        <v>46209</v>
      </c>
      <c r="B2541" s="16" t="s">
        <v>5025</v>
      </c>
      <c r="C2541" s="6" t="s">
        <v>4988</v>
      </c>
      <c r="D2541" s="6" t="s">
        <v>392</v>
      </c>
      <c r="E2541" s="14">
        <v>46209.337500000001</v>
      </c>
      <c r="F2541" s="8">
        <f>IF(HOUR(Table1[[#This Row],[CORREO]])&gt;=11,WORKDAY(Table1[[#This Row],[CORREO]],1,Table2[Dias no laborales]),E2541)</f>
        <v>46209.337500000001</v>
      </c>
      <c r="G2541" s="8">
        <v>46209</v>
      </c>
      <c r="H2541" s="6">
        <f t="shared" si="141"/>
        <v>27</v>
      </c>
      <c r="I2541" s="6">
        <f>MAX(1, NETWORKDAYS(A2541, G2541,Table2[Dias no laborales]))</f>
        <v>1</v>
      </c>
      <c r="J2541" s="6" t="str">
        <f>IF(Table1[[#This Row],[FIN]]="","Acumulado",IF(ISNUMBER(SEARCH("ASAP",C2541)),"ASAP",IF(NETWORKDAYS.INTL(F2541,G2541,1,Table2[Dias no laborales]) &lt;= 7, "Dentro", IF(A2541&gt;F2541,"Programado","Fuera"))))</f>
        <v>Dentro</v>
      </c>
      <c r="K2541" s="6" t="str">
        <f t="shared" si="142"/>
        <v>A tiempo</v>
      </c>
      <c r="L2541" s="8">
        <v>46209</v>
      </c>
      <c r="M2541" s="17">
        <f>MAX(1,NETWORKDAYS(A2541,L2541,Table2[Dias no laborales]))</f>
        <v>1</v>
      </c>
    </row>
    <row r="2542" spans="1:13" hidden="1" x14ac:dyDescent="0.3">
      <c r="A2542" s="8">
        <v>46209</v>
      </c>
      <c r="B2542" s="16" t="s">
        <v>5026</v>
      </c>
      <c r="C2542" s="6" t="s">
        <v>5076</v>
      </c>
      <c r="D2542" s="6" t="s">
        <v>351</v>
      </c>
      <c r="E2542" s="14">
        <v>46209.347916666666</v>
      </c>
      <c r="F2542" s="8">
        <f>IF(HOUR(Table1[[#This Row],[CORREO]])&gt;=11,WORKDAY(Table1[[#This Row],[CORREO]],1,Table2[Dias no laborales]),E2542)</f>
        <v>46209.347916666666</v>
      </c>
      <c r="G2542" s="8">
        <v>46209</v>
      </c>
      <c r="H2542" s="6">
        <f t="shared" si="141"/>
        <v>27</v>
      </c>
      <c r="I2542" s="6">
        <f>MAX(1, NETWORKDAYS(A2542, G2542,Table2[Dias no laborales]))</f>
        <v>1</v>
      </c>
      <c r="J2542" s="6" t="str">
        <f>IF(Table1[[#This Row],[FIN]]="","Acumulado",IF(ISNUMBER(SEARCH("ASAP",C2542)),"ASAP",IF(NETWORKDAYS.INTL(F2542,G2542,1,Table2[Dias no laborales]) &lt;= 7, "Dentro", IF(A2542&gt;F2542,"Programado","Fuera"))))</f>
        <v>Dentro</v>
      </c>
      <c r="K2542" s="6" t="str">
        <f t="shared" si="142"/>
        <v>A tiempo</v>
      </c>
      <c r="L2542" s="8">
        <v>46209</v>
      </c>
      <c r="M2542" s="17">
        <f>MAX(1,NETWORKDAYS(A2542,L2542,Table2[Dias no laborales]))</f>
        <v>1</v>
      </c>
    </row>
    <row r="2543" spans="1:13" hidden="1" x14ac:dyDescent="0.3">
      <c r="A2543" s="8">
        <v>46209</v>
      </c>
      <c r="B2543" s="16" t="s">
        <v>5027</v>
      </c>
      <c r="C2543" s="6" t="s">
        <v>5077</v>
      </c>
      <c r="D2543" s="6" t="s">
        <v>351</v>
      </c>
      <c r="E2543" s="14">
        <v>46209.415972222225</v>
      </c>
      <c r="F2543" s="8">
        <f>IF(HOUR(Table1[[#This Row],[CORREO]])&gt;=11,WORKDAY(Table1[[#This Row],[CORREO]],1,Table2[Dias no laborales]),E2543)</f>
        <v>46209.415972222225</v>
      </c>
      <c r="G2543" s="8">
        <v>46209</v>
      </c>
      <c r="H2543" s="6">
        <f t="shared" si="141"/>
        <v>27</v>
      </c>
      <c r="I2543" s="6">
        <f>MAX(1, NETWORKDAYS(A2543, G2543,Table2[Dias no laborales]))</f>
        <v>1</v>
      </c>
      <c r="J2543" s="6" t="str">
        <f>IF(Table1[[#This Row],[FIN]]="","Acumulado",IF(ISNUMBER(SEARCH("ASAP",C2543)),"ASAP",IF(NETWORKDAYS.INTL(F2543,G2543,1,Table2[Dias no laborales]) &lt;= 7, "Dentro", IF(A2543&gt;F2543,"Programado","Fuera"))))</f>
        <v>Dentro</v>
      </c>
      <c r="K2543" s="6" t="str">
        <f t="shared" si="142"/>
        <v>A tiempo</v>
      </c>
      <c r="L2543" s="8">
        <v>46209</v>
      </c>
      <c r="M2543" s="17">
        <f>MAX(1,NETWORKDAYS(A2543,L2543,Table2[Dias no laborales]))</f>
        <v>1</v>
      </c>
    </row>
    <row r="2544" spans="1:13" hidden="1" x14ac:dyDescent="0.3">
      <c r="A2544" s="8">
        <v>46209</v>
      </c>
      <c r="B2544" s="16" t="s">
        <v>5028</v>
      </c>
      <c r="C2544" s="6" t="s">
        <v>5078</v>
      </c>
      <c r="D2544" s="6" t="s">
        <v>5079</v>
      </c>
      <c r="E2544" s="14">
        <v>46209.436111111114</v>
      </c>
      <c r="F2544" s="8">
        <f>IF(HOUR(Table1[[#This Row],[CORREO]])&gt;=11,WORKDAY(Table1[[#This Row],[CORREO]],1,Table2[Dias no laborales]),E2544)</f>
        <v>46209.436111111114</v>
      </c>
      <c r="G2544" s="8">
        <v>46209</v>
      </c>
      <c r="H2544" s="6">
        <f t="shared" si="141"/>
        <v>27</v>
      </c>
      <c r="I2544" s="6">
        <f>MAX(1, NETWORKDAYS(A2544, G2544,Table2[Dias no laborales]))</f>
        <v>1</v>
      </c>
      <c r="J2544" s="6" t="str">
        <f>IF(Table1[[#This Row],[FIN]]="","Acumulado",IF(ISNUMBER(SEARCH("ASAP",C2544)),"ASAP",IF(NETWORKDAYS.INTL(F2544,G2544,1,Table2[Dias no laborales]) &lt;= 7, "Dentro", IF(A2544&gt;F2544,"Programado","Fuera"))))</f>
        <v>Dentro</v>
      </c>
      <c r="K2544" s="6" t="str">
        <f t="shared" si="142"/>
        <v>A tiempo</v>
      </c>
      <c r="L2544" s="8">
        <v>46209</v>
      </c>
      <c r="M2544" s="17">
        <f>MAX(1,NETWORKDAYS(A2544,L2544,Table2[Dias no laborales]))</f>
        <v>1</v>
      </c>
    </row>
    <row r="2545" spans="1:13" hidden="1" x14ac:dyDescent="0.3">
      <c r="A2545" s="8">
        <v>46209</v>
      </c>
      <c r="B2545" s="16" t="s">
        <v>5029</v>
      </c>
      <c r="C2545" s="6" t="s">
        <v>5080</v>
      </c>
      <c r="D2545" s="14" t="s">
        <v>5081</v>
      </c>
      <c r="E2545" s="14">
        <v>46209.412499999999</v>
      </c>
      <c r="F2545" s="8">
        <f>IF(HOUR(Table1[[#This Row],[CORREO]])&gt;=11,WORKDAY(Table1[[#This Row],[CORREO]],1,Table2[Dias no laborales]),E2545)</f>
        <v>46209.412499999999</v>
      </c>
      <c r="G2545" s="8"/>
      <c r="H2545" s="6">
        <f t="shared" si="141"/>
        <v>27</v>
      </c>
      <c r="I2545" s="6">
        <f>MAX(1, NETWORKDAYS(A2545, G2545,Table2[Dias no laborales]))</f>
        <v>1</v>
      </c>
      <c r="J2545" s="6" t="str">
        <f>IF(Table1[[#This Row],[FIN]]="","Acumulado",IF(ISNUMBER(SEARCH("ASAP",C2545)),"ASAP",IF(NETWORKDAYS.INTL(F2545,G2545,1,Table2[Dias no laborales]) &lt;= 7, "Dentro", IF(A2545&gt;F2545,"Programado","Fuera"))))</f>
        <v>Acumulado</v>
      </c>
      <c r="K2545" s="6" t="str">
        <f t="shared" si="142"/>
        <v>A tiempo</v>
      </c>
      <c r="L2545" s="8">
        <v>46209</v>
      </c>
      <c r="M2545" s="17">
        <f>MAX(1,NETWORKDAYS(A2545,L2545,Table2[Dias no laborales]))</f>
        <v>1</v>
      </c>
    </row>
    <row r="2546" spans="1:13" hidden="1" x14ac:dyDescent="0.3">
      <c r="A2546" s="8">
        <v>46209</v>
      </c>
      <c r="B2546" s="16" t="s">
        <v>5030</v>
      </c>
      <c r="C2546" s="6" t="s">
        <v>5082</v>
      </c>
      <c r="D2546" s="6" t="s">
        <v>108</v>
      </c>
      <c r="E2546" s="14">
        <v>46209.518750000003</v>
      </c>
      <c r="F2546" s="8">
        <f>IF(HOUR(Table1[[#This Row],[CORREO]])&gt;=11,WORKDAY(Table1[[#This Row],[CORREO]],1,Table2[Dias no laborales]),E2546)</f>
        <v>46210</v>
      </c>
      <c r="G2546" s="8">
        <v>46209</v>
      </c>
      <c r="H2546" s="6">
        <f t="shared" si="141"/>
        <v>27</v>
      </c>
      <c r="I2546" s="6">
        <f>MAX(1, NETWORKDAYS(A2546, G2546,Table2[Dias no laborales]))</f>
        <v>1</v>
      </c>
      <c r="J2546" s="6" t="str">
        <f>IF(Table1[[#This Row],[FIN]]="","Acumulado",IF(ISNUMBER(SEARCH("ASAP",C2546)),"ASAP",IF(NETWORKDAYS.INTL(F2546,G2546,1,Table2[Dias no laborales]) &lt;= 7, "Dentro", IF(A2546&gt;F2546,"Programado","Fuera"))))</f>
        <v>Dentro</v>
      </c>
      <c r="K2546" s="6" t="str">
        <f t="shared" si="142"/>
        <v>Mismo día</v>
      </c>
      <c r="L2546" s="8">
        <v>46209</v>
      </c>
      <c r="M2546" s="17">
        <f>MAX(1,NETWORKDAYS(A2546,L2546,Table2[Dias no laborales]))</f>
        <v>1</v>
      </c>
    </row>
    <row r="2547" spans="1:13" hidden="1" x14ac:dyDescent="0.3">
      <c r="A2547" s="8">
        <v>46209</v>
      </c>
      <c r="B2547" s="16" t="s">
        <v>5031</v>
      </c>
      <c r="C2547" s="6" t="s">
        <v>5083</v>
      </c>
      <c r="D2547" s="6" t="s">
        <v>27</v>
      </c>
      <c r="E2547" s="14">
        <v>46209.612500000003</v>
      </c>
      <c r="F2547" s="8">
        <f>IF(HOUR(Table1[[#This Row],[CORREO]])&gt;=11,WORKDAY(Table1[[#This Row],[CORREO]],1,Table2[Dias no laborales]),E2547)</f>
        <v>46210</v>
      </c>
      <c r="G2547" s="8">
        <v>46209</v>
      </c>
      <c r="H2547" s="6">
        <f t="shared" si="141"/>
        <v>27</v>
      </c>
      <c r="I2547" s="6">
        <f>MAX(1, NETWORKDAYS(A2547, G2547,Table2[Dias no laborales]))</f>
        <v>1</v>
      </c>
      <c r="J2547" s="6" t="str">
        <f>IF(Table1[[#This Row],[FIN]]="","Acumulado",IF(ISNUMBER(SEARCH("ASAP",C2547)),"ASAP",IF(NETWORKDAYS.INTL(F2547,G2547,1,Table2[Dias no laborales]) &lt;= 7, "Dentro", IF(A2547&gt;F2547,"Programado","Fuera"))))</f>
        <v>Dentro</v>
      </c>
      <c r="K2547" s="6" t="str">
        <f t="shared" si="142"/>
        <v>Mismo día</v>
      </c>
      <c r="L2547" s="8">
        <v>46209</v>
      </c>
      <c r="M2547" s="17">
        <f>MAX(1,NETWORKDAYS(A2547,L2547,Table2[Dias no laborales]))</f>
        <v>1</v>
      </c>
    </row>
    <row r="2548" spans="1:13" hidden="1" x14ac:dyDescent="0.3">
      <c r="A2548" s="8">
        <v>46209</v>
      </c>
      <c r="B2548" s="16" t="s">
        <v>5032</v>
      </c>
      <c r="C2548" s="6" t="s">
        <v>5084</v>
      </c>
      <c r="D2548" s="6" t="s">
        <v>24</v>
      </c>
      <c r="E2548" s="14"/>
      <c r="F2548" s="8">
        <f>IF(HOUR(Table1[[#This Row],[CORREO]])&gt;=11,WORKDAY(Table1[[#This Row],[CORREO]],1,Table2[Dias no laborales]),E2548)</f>
        <v>0</v>
      </c>
      <c r="G2548" s="8"/>
      <c r="H2548" s="6">
        <f t="shared" si="141"/>
        <v>27</v>
      </c>
      <c r="I2548" s="6">
        <f>MAX(1, NETWORKDAYS(A2548, G2548,Table2[Dias no laborales]))</f>
        <v>1</v>
      </c>
      <c r="J2548" s="6" t="str">
        <f>IF(Table1[[#This Row],[FIN]]="","Acumulado",IF(ISNUMBER(SEARCH("ASAP",C2548)),"ASAP",IF(NETWORKDAYS.INTL(F2548,G2548,1,Table2[Dias no laborales]) &lt;= 7, "Dentro", IF(A2548&gt;F2548,"Programado","Fuera"))))</f>
        <v>Acumulado</v>
      </c>
      <c r="K2548" s="6" t="str">
        <f t="shared" si="142"/>
        <v>Programados</v>
      </c>
      <c r="L2548" s="8">
        <v>46209</v>
      </c>
      <c r="M2548" s="17">
        <f>MAX(1,NETWORKDAYS(A2548,L2548,Table2[Dias no laborales]))</f>
        <v>1</v>
      </c>
    </row>
    <row r="2549" spans="1:13" hidden="1" x14ac:dyDescent="0.3">
      <c r="A2549" s="8">
        <v>46210</v>
      </c>
      <c r="B2549" s="16" t="s">
        <v>5033</v>
      </c>
      <c r="C2549" s="6" t="s">
        <v>3008</v>
      </c>
      <c r="D2549" s="6" t="s">
        <v>5085</v>
      </c>
      <c r="E2549" s="14">
        <v>46209.849305555559</v>
      </c>
      <c r="F2549" s="8">
        <f>IF(HOUR(Table1[[#This Row],[CORREO]])&gt;=11,WORKDAY(Table1[[#This Row],[CORREO]],1,Table2[Dias no laborales]),E2549)</f>
        <v>46210</v>
      </c>
      <c r="G2549" s="8">
        <v>46210</v>
      </c>
      <c r="H2549" s="6">
        <f t="shared" si="141"/>
        <v>27</v>
      </c>
      <c r="I2549" s="6">
        <f>MAX(1, NETWORKDAYS(A2549, G2549,Table2[Dias no laborales]))</f>
        <v>1</v>
      </c>
      <c r="J2549" s="6" t="str">
        <f>IF(Table1[[#This Row],[FIN]]="","Acumulado",IF(ISNUMBER(SEARCH("ASAP",C2549)),"ASAP",IF(NETWORKDAYS.INTL(F2549,G2549,1,Table2[Dias no laborales]) &lt;= 7, "Dentro", IF(A2549&gt;F2549,"Programado","Fuera"))))</f>
        <v>Dentro</v>
      </c>
      <c r="K2549" s="6" t="str">
        <f t="shared" si="142"/>
        <v>A tiempo</v>
      </c>
      <c r="L2549" s="8">
        <v>46210</v>
      </c>
      <c r="M2549" s="17">
        <f>MAX(1,NETWORKDAYS(A2549,L2549,Table2[Dias no laborales]))</f>
        <v>1</v>
      </c>
    </row>
    <row r="2550" spans="1:13" hidden="1" x14ac:dyDescent="0.3">
      <c r="A2550" s="8">
        <v>46210</v>
      </c>
      <c r="B2550" s="16" t="s">
        <v>5034</v>
      </c>
      <c r="C2550" s="6" t="s">
        <v>5086</v>
      </c>
      <c r="D2550" s="6" t="s">
        <v>24</v>
      </c>
      <c r="E2550" s="14">
        <v>46575.338888888888</v>
      </c>
      <c r="F2550" s="8">
        <f>IF(HOUR(Table1[[#This Row],[CORREO]])&gt;=11,WORKDAY(Table1[[#This Row],[CORREO]],1,Table2[Dias no laborales]),E2550)</f>
        <v>46575.338888888888</v>
      </c>
      <c r="G2550" s="8"/>
      <c r="H2550" s="6">
        <f t="shared" si="141"/>
        <v>27</v>
      </c>
      <c r="I2550" s="6">
        <f>MAX(1, NETWORKDAYS(A2550, G2550,Table2[Dias no laborales]))</f>
        <v>1</v>
      </c>
      <c r="J2550" s="6" t="str">
        <f>IF(Table1[[#This Row],[FIN]]="","Acumulado",IF(ISNUMBER(SEARCH("ASAP",C2550)),"ASAP",IF(NETWORKDAYS.INTL(F2550,G2550,1,Table2[Dias no laborales]) &lt;= 7, "Dentro", IF(A2550&gt;F2550,"Programado","Fuera"))))</f>
        <v>Acumulado</v>
      </c>
      <c r="K2550" s="6" t="str">
        <f t="shared" si="142"/>
        <v>Mismo día</v>
      </c>
      <c r="L2550" s="8">
        <v>46210</v>
      </c>
      <c r="M2550" s="17">
        <f>MAX(1,NETWORKDAYS(A2550,L2550,Table2[Dias no laborales]))</f>
        <v>1</v>
      </c>
    </row>
    <row r="2551" spans="1:13" hidden="1" x14ac:dyDescent="0.3">
      <c r="A2551" s="8">
        <v>46210</v>
      </c>
      <c r="B2551" s="16" t="s">
        <v>5035</v>
      </c>
      <c r="C2551" s="6" t="s">
        <v>5086</v>
      </c>
      <c r="D2551" s="6" t="s">
        <v>24</v>
      </c>
      <c r="E2551" s="14">
        <v>46210.338888888888</v>
      </c>
      <c r="F2551" s="8">
        <f>IF(HOUR(Table1[[#This Row],[CORREO]])&gt;=11,WORKDAY(Table1[[#This Row],[CORREO]],1,Table2[Dias no laborales]),E2551)</f>
        <v>46210.338888888888</v>
      </c>
      <c r="G2551" s="8"/>
      <c r="H2551" s="6">
        <f t="shared" si="141"/>
        <v>27</v>
      </c>
      <c r="I2551" s="6">
        <f>MAX(1, NETWORKDAYS(A2551, G2551,Table2[Dias no laborales]))</f>
        <v>1</v>
      </c>
      <c r="J2551" s="6" t="str">
        <f>IF(Table1[[#This Row],[FIN]]="","Acumulado",IF(ISNUMBER(SEARCH("ASAP",C2551)),"ASAP",IF(NETWORKDAYS.INTL(F2551,G2551,1,Table2[Dias no laborales]) &lt;= 7, "Dentro", IF(A2551&gt;F2551,"Programado","Fuera"))))</f>
        <v>Acumulado</v>
      </c>
      <c r="K2551" s="6" t="str">
        <f t="shared" si="142"/>
        <v>A tiempo</v>
      </c>
      <c r="L2551" s="8">
        <v>46210</v>
      </c>
      <c r="M2551" s="17">
        <f>MAX(1,NETWORKDAYS(A2551,L2551,Table2[Dias no laborales]))</f>
        <v>1</v>
      </c>
    </row>
    <row r="2552" spans="1:13" hidden="1" x14ac:dyDescent="0.3">
      <c r="A2552" s="8">
        <v>46210</v>
      </c>
      <c r="B2552" s="16" t="s">
        <v>5036</v>
      </c>
      <c r="C2552" s="6" t="s">
        <v>4988</v>
      </c>
      <c r="D2552" s="6" t="s">
        <v>392</v>
      </c>
      <c r="E2552" s="14">
        <v>46210.366666666669</v>
      </c>
      <c r="F2552" s="8">
        <f>IF(HOUR(Table1[[#This Row],[CORREO]])&gt;=11,WORKDAY(Table1[[#This Row],[CORREO]],1,Table2[Dias no laborales]),E2552)</f>
        <v>46210.366666666669</v>
      </c>
      <c r="G2552" s="8">
        <v>46210</v>
      </c>
      <c r="H2552" s="6">
        <f t="shared" si="141"/>
        <v>27</v>
      </c>
      <c r="I2552" s="6">
        <f>MAX(1, NETWORKDAYS(A2552, G2552,Table2[Dias no laborales]))</f>
        <v>1</v>
      </c>
      <c r="J2552" s="6" t="str">
        <f>IF(Table1[[#This Row],[FIN]]="","Acumulado",IF(ISNUMBER(SEARCH("ASAP",C2552)),"ASAP",IF(NETWORKDAYS.INTL(F2552,G2552,1,Table2[Dias no laborales]) &lt;= 7, "Dentro", IF(A2552&gt;F2552,"Programado","Fuera"))))</f>
        <v>Dentro</v>
      </c>
      <c r="K2552" s="6" t="str">
        <f t="shared" si="142"/>
        <v>A tiempo</v>
      </c>
      <c r="L2552" s="8">
        <v>46210</v>
      </c>
      <c r="M2552" s="17">
        <f>MAX(1,NETWORKDAYS(A2552,L2552,Table2[Dias no laborales]))</f>
        <v>1</v>
      </c>
    </row>
    <row r="2553" spans="1:13" hidden="1" x14ac:dyDescent="0.3">
      <c r="A2553" s="8">
        <v>46210</v>
      </c>
      <c r="B2553" s="16" t="s">
        <v>5037</v>
      </c>
      <c r="C2553" s="6" t="s">
        <v>5087</v>
      </c>
      <c r="D2553" s="6" t="s">
        <v>288</v>
      </c>
      <c r="E2553" s="14">
        <v>46210.411805555559</v>
      </c>
      <c r="F2553" s="8">
        <f>IF(HOUR(Table1[[#This Row],[CORREO]])&gt;=11,WORKDAY(Table1[[#This Row],[CORREO]],1,Table2[Dias no laborales]),E2553)</f>
        <v>46210.411805555559</v>
      </c>
      <c r="G2553" s="8"/>
      <c r="H2553" s="6">
        <f t="shared" si="141"/>
        <v>27</v>
      </c>
      <c r="I2553" s="6">
        <f>MAX(1, NETWORKDAYS(A2553, G2553,Table2[Dias no laborales]))</f>
        <v>1</v>
      </c>
      <c r="J2553" s="6" t="str">
        <f>IF(Table1[[#This Row],[FIN]]="","Acumulado",IF(ISNUMBER(SEARCH("ASAP",C2553)),"ASAP",IF(NETWORKDAYS.INTL(F2553,G2553,1,Table2[Dias no laborales]) &lt;= 7, "Dentro", IF(A2553&gt;F2553,"Programado","Fuera"))))</f>
        <v>Acumulado</v>
      </c>
      <c r="K2553" s="6" t="str">
        <f t="shared" si="142"/>
        <v>A tiempo</v>
      </c>
      <c r="L2553" s="8">
        <v>46210</v>
      </c>
      <c r="M2553" s="17">
        <f>MAX(1,NETWORKDAYS(A2553,L2553,Table2[Dias no laborales]))</f>
        <v>1</v>
      </c>
    </row>
    <row r="2554" spans="1:13" hidden="1" x14ac:dyDescent="0.3">
      <c r="A2554" s="8">
        <v>46210</v>
      </c>
      <c r="B2554" s="16" t="s">
        <v>5088</v>
      </c>
      <c r="C2554" s="6" t="s">
        <v>5101</v>
      </c>
      <c r="D2554" s="6" t="s">
        <v>24</v>
      </c>
      <c r="E2554" s="14"/>
      <c r="F2554" s="8">
        <f>IF(HOUR(Table1[[#This Row],[CORREO]])&gt;=11,WORKDAY(Table1[[#This Row],[CORREO]],1,Table2[Dias no laborales]),E2554)</f>
        <v>0</v>
      </c>
      <c r="G2554" s="8"/>
      <c r="H2554" s="6">
        <f t="shared" ref="H2554:H2566" si="143">INT((A2554-DATE(YEAR(A2554),1,1))/7) + 1</f>
        <v>27</v>
      </c>
      <c r="I2554" s="6">
        <f>MAX(1, NETWORKDAYS(A2554, G2554,Table2[Dias no laborales]))</f>
        <v>1</v>
      </c>
      <c r="J2554" s="6" t="str">
        <f>IF(Table1[[#This Row],[FIN]]="","Acumulado",IF(ISNUMBER(SEARCH("ASAP",C2554)),"ASAP",IF(NETWORKDAYS.INTL(F2554,G2554,1,Table2[Dias no laborales]) &lt;= 7, "Dentro", IF(A2554&gt;F2554,"Programado","Fuera"))))</f>
        <v>Acumulado</v>
      </c>
      <c r="K2554" s="6" t="str">
        <f t="shared" ref="K2554:K2566" si="144">IF(INT(A2554)=INT(F2554),"A tiempo", IF(A2554&lt;F2554,"Mismo día","Programados"))</f>
        <v>Programados</v>
      </c>
      <c r="L2554" s="8">
        <v>46210</v>
      </c>
      <c r="M2554" s="17">
        <f>MAX(1,NETWORKDAYS(A2554,L2554,Table2[Dias no laborales]))</f>
        <v>1</v>
      </c>
    </row>
    <row r="2555" spans="1:13" hidden="1" x14ac:dyDescent="0.3">
      <c r="A2555" s="8">
        <v>46211</v>
      </c>
      <c r="B2555" s="16" t="s">
        <v>5089</v>
      </c>
      <c r="C2555" s="6" t="s">
        <v>5102</v>
      </c>
      <c r="D2555" s="6" t="s">
        <v>3794</v>
      </c>
      <c r="E2555" s="14"/>
      <c r="F2555" s="8">
        <f>IF(HOUR(Table1[[#This Row],[CORREO]])&gt;=11,WORKDAY(Table1[[#This Row],[CORREO]],1,Table2[Dias no laborales]),E2555)</f>
        <v>0</v>
      </c>
      <c r="G2555" s="8"/>
      <c r="H2555" s="6">
        <f t="shared" si="143"/>
        <v>27</v>
      </c>
      <c r="I2555" s="6">
        <f>MAX(1, NETWORKDAYS(A2555, G2555,Table2[Dias no laborales]))</f>
        <v>1</v>
      </c>
      <c r="J2555" s="6" t="str">
        <f>IF(Table1[[#This Row],[FIN]]="","Acumulado",IF(ISNUMBER(SEARCH("ASAP",C2555)),"ASAP",IF(NETWORKDAYS.INTL(F2555,G2555,1,Table2[Dias no laborales]) &lt;= 7, "Dentro", IF(A2555&gt;F2555,"Programado","Fuera"))))</f>
        <v>Acumulado</v>
      </c>
      <c r="K2555" s="6" t="str">
        <f t="shared" si="144"/>
        <v>Programados</v>
      </c>
      <c r="L2555" s="8">
        <v>46211</v>
      </c>
      <c r="M2555" s="17">
        <f>MAX(1,NETWORKDAYS(A2555,L2555,Table2[Dias no laborales]))</f>
        <v>1</v>
      </c>
    </row>
    <row r="2556" spans="1:13" hidden="1" x14ac:dyDescent="0.3">
      <c r="A2556" s="8">
        <v>46211</v>
      </c>
      <c r="B2556" s="16" t="s">
        <v>5090</v>
      </c>
      <c r="C2556" s="6" t="s">
        <v>5102</v>
      </c>
      <c r="D2556" s="6" t="s">
        <v>3845</v>
      </c>
      <c r="E2556" s="14"/>
      <c r="F2556" s="8">
        <f>IF(HOUR(Table1[[#This Row],[CORREO]])&gt;=11,WORKDAY(Table1[[#This Row],[CORREO]],1,Table2[Dias no laborales]),E2556)</f>
        <v>0</v>
      </c>
      <c r="G2556" s="8"/>
      <c r="H2556" s="6">
        <f t="shared" si="143"/>
        <v>27</v>
      </c>
      <c r="I2556" s="6">
        <f>MAX(1, NETWORKDAYS(A2556, G2556,Table2[Dias no laborales]))</f>
        <v>1</v>
      </c>
      <c r="J2556" s="6" t="str">
        <f>IF(Table1[[#This Row],[FIN]]="","Acumulado",IF(ISNUMBER(SEARCH("ASAP",C2556)),"ASAP",IF(NETWORKDAYS.INTL(F2556,G2556,1,Table2[Dias no laborales]) &lt;= 7, "Dentro", IF(A2556&gt;F2556,"Programado","Fuera"))))</f>
        <v>Acumulado</v>
      </c>
      <c r="K2556" s="6" t="str">
        <f t="shared" si="144"/>
        <v>Programados</v>
      </c>
      <c r="L2556" s="8">
        <v>46211</v>
      </c>
      <c r="M2556" s="17">
        <f>MAX(1,NETWORKDAYS(A2556,L2556,Table2[Dias no laborales]))</f>
        <v>1</v>
      </c>
    </row>
    <row r="2557" spans="1:13" hidden="1" x14ac:dyDescent="0.3">
      <c r="A2557" s="8">
        <v>46211</v>
      </c>
      <c r="B2557" s="16" t="s">
        <v>5091</v>
      </c>
      <c r="C2557" s="6" t="s">
        <v>5102</v>
      </c>
      <c r="D2557" s="6" t="s">
        <v>4783</v>
      </c>
      <c r="E2557" s="14"/>
      <c r="F2557" s="8">
        <f>IF(HOUR(Table1[[#This Row],[CORREO]])&gt;=11,WORKDAY(Table1[[#This Row],[CORREO]],1,Table2[Dias no laborales]),E2557)</f>
        <v>0</v>
      </c>
      <c r="G2557" s="8"/>
      <c r="H2557" s="6">
        <f t="shared" si="143"/>
        <v>27</v>
      </c>
      <c r="I2557" s="6">
        <f>MAX(1, NETWORKDAYS(A2557, G2557,Table2[Dias no laborales]))</f>
        <v>1</v>
      </c>
      <c r="J2557" s="6" t="str">
        <f>IF(Table1[[#This Row],[FIN]]="","Acumulado",IF(ISNUMBER(SEARCH("ASAP",C2557)),"ASAP",IF(NETWORKDAYS.INTL(F2557,G2557,1,Table2[Dias no laborales]) &lt;= 7, "Dentro", IF(A2557&gt;F2557,"Programado","Fuera"))))</f>
        <v>Acumulado</v>
      </c>
      <c r="K2557" s="6" t="str">
        <f t="shared" si="144"/>
        <v>Programados</v>
      </c>
      <c r="L2557" s="8">
        <v>46211</v>
      </c>
      <c r="M2557" s="17">
        <f>MAX(1,NETWORKDAYS(A2557,L2557,Table2[Dias no laborales]))</f>
        <v>1</v>
      </c>
    </row>
    <row r="2558" spans="1:13" hidden="1" x14ac:dyDescent="0.3">
      <c r="A2558" s="8">
        <v>46211</v>
      </c>
      <c r="B2558" s="16" t="s">
        <v>5092</v>
      </c>
      <c r="C2558" s="6" t="s">
        <v>5103</v>
      </c>
      <c r="D2558" s="6" t="s">
        <v>2561</v>
      </c>
      <c r="E2558" s="14">
        <v>46210.475694444445</v>
      </c>
      <c r="F2558" s="8">
        <f>IF(HOUR(Table1[[#This Row],[CORREO]])&gt;=11,WORKDAY(Table1[[#This Row],[CORREO]],1,Table2[Dias no laborales]),E2558)</f>
        <v>46211</v>
      </c>
      <c r="G2558" s="8">
        <v>46211</v>
      </c>
      <c r="H2558" s="6">
        <f t="shared" si="143"/>
        <v>27</v>
      </c>
      <c r="I2558" s="6">
        <f>MAX(1, NETWORKDAYS(A2558, G2558,Table2[Dias no laborales]))</f>
        <v>1</v>
      </c>
      <c r="J2558" s="6" t="str">
        <f>IF(Table1[[#This Row],[FIN]]="","Acumulado",IF(ISNUMBER(SEARCH("ASAP",C2558)),"ASAP",IF(NETWORKDAYS.INTL(F2558,G2558,1,Table2[Dias no laborales]) &lt;= 7, "Dentro", IF(A2558&gt;F2558,"Programado","Fuera"))))</f>
        <v>Dentro</v>
      </c>
      <c r="K2558" s="6" t="str">
        <f t="shared" si="144"/>
        <v>A tiempo</v>
      </c>
      <c r="L2558" s="8">
        <v>46211</v>
      </c>
      <c r="M2558" s="17">
        <f>MAX(1,NETWORKDAYS(A2558,L2558,Table2[Dias no laborales]))</f>
        <v>1</v>
      </c>
    </row>
    <row r="2559" spans="1:13" hidden="1" x14ac:dyDescent="0.3">
      <c r="A2559" s="8">
        <v>46211</v>
      </c>
      <c r="B2559" s="16" t="s">
        <v>5093</v>
      </c>
      <c r="C2559" s="6" t="s">
        <v>5104</v>
      </c>
      <c r="D2559" s="6" t="s">
        <v>5105</v>
      </c>
      <c r="E2559" s="14">
        <v>46210.51458333333</v>
      </c>
      <c r="F2559" s="8">
        <f>IF(HOUR(Table1[[#This Row],[CORREO]])&gt;=11,WORKDAY(Table1[[#This Row],[CORREO]],1,Table2[Dias no laborales]),E2559)</f>
        <v>46211</v>
      </c>
      <c r="G2559" s="8"/>
      <c r="H2559" s="6">
        <f t="shared" si="143"/>
        <v>27</v>
      </c>
      <c r="I2559" s="6">
        <f>MAX(1, NETWORKDAYS(A2559, G2559,Table2[Dias no laborales]))</f>
        <v>1</v>
      </c>
      <c r="J2559" s="6" t="str">
        <f>IF(Table1[[#This Row],[FIN]]="","Acumulado",IF(ISNUMBER(SEARCH("ASAP",C2559)),"ASAP",IF(NETWORKDAYS.INTL(F2559,G2559,1,Table2[Dias no laborales]) &lt;= 7, "Dentro", IF(A2559&gt;F2559,"Programado","Fuera"))))</f>
        <v>Acumulado</v>
      </c>
      <c r="K2559" s="6" t="str">
        <f t="shared" si="144"/>
        <v>A tiempo</v>
      </c>
      <c r="L2559" s="8">
        <v>46211</v>
      </c>
      <c r="M2559" s="17">
        <f>MAX(1,NETWORKDAYS(A2559,L2559,Table2[Dias no laborales]))</f>
        <v>1</v>
      </c>
    </row>
    <row r="2560" spans="1:13" hidden="1" x14ac:dyDescent="0.3">
      <c r="A2560" s="8">
        <v>46211</v>
      </c>
      <c r="B2560" s="16" t="s">
        <v>5094</v>
      </c>
      <c r="C2560" s="6" t="s">
        <v>5106</v>
      </c>
      <c r="D2560" s="6" t="s">
        <v>5107</v>
      </c>
      <c r="E2560" s="14">
        <v>46210.629166666666</v>
      </c>
      <c r="F2560" s="8">
        <f>IF(HOUR(Table1[[#This Row],[CORREO]])&gt;=11,WORKDAY(Table1[[#This Row],[CORREO]],1,Table2[Dias no laborales]),E2560)</f>
        <v>46211</v>
      </c>
      <c r="G2560" s="8"/>
      <c r="H2560" s="6">
        <f t="shared" si="143"/>
        <v>27</v>
      </c>
      <c r="I2560" s="6">
        <f>MAX(1, NETWORKDAYS(A2560, G2560,Table2[Dias no laborales]))</f>
        <v>1</v>
      </c>
      <c r="J2560" s="6" t="str">
        <f>IF(Table1[[#This Row],[FIN]]="","Acumulado",IF(ISNUMBER(SEARCH("ASAP",C2560)),"ASAP",IF(NETWORKDAYS.INTL(F2560,G2560,1,Table2[Dias no laborales]) &lt;= 7, "Dentro", IF(A2560&gt;F2560,"Programado","Fuera"))))</f>
        <v>Acumulado</v>
      </c>
      <c r="K2560" s="6" t="str">
        <f t="shared" si="144"/>
        <v>A tiempo</v>
      </c>
      <c r="L2560" s="8">
        <v>46211</v>
      </c>
      <c r="M2560" s="17">
        <f>MAX(1,NETWORKDAYS(A2560,L2560,Table2[Dias no laborales]))</f>
        <v>1</v>
      </c>
    </row>
    <row r="2561" spans="1:13" hidden="1" x14ac:dyDescent="0.3">
      <c r="A2561" s="8">
        <v>46211</v>
      </c>
      <c r="B2561" s="16" t="s">
        <v>5095</v>
      </c>
      <c r="C2561" s="6" t="s">
        <v>5108</v>
      </c>
      <c r="D2561" s="6" t="s">
        <v>5107</v>
      </c>
      <c r="E2561" s="14">
        <v>46210.629861111112</v>
      </c>
      <c r="F2561" s="8">
        <f>IF(HOUR(Table1[[#This Row],[CORREO]])&gt;=11,WORKDAY(Table1[[#This Row],[CORREO]],1,Table2[Dias no laborales]),E2561)</f>
        <v>46211</v>
      </c>
      <c r="G2561" s="8"/>
      <c r="H2561" s="6">
        <f t="shared" si="143"/>
        <v>27</v>
      </c>
      <c r="I2561" s="6">
        <f>MAX(1, NETWORKDAYS(A2561, G2561,Table2[Dias no laborales]))</f>
        <v>1</v>
      </c>
      <c r="J2561" s="6" t="str">
        <f>IF(Table1[[#This Row],[FIN]]="","Acumulado",IF(ISNUMBER(SEARCH("ASAP",C2561)),"ASAP",IF(NETWORKDAYS.INTL(F2561,G2561,1,Table2[Dias no laborales]) &lt;= 7, "Dentro", IF(A2561&gt;F2561,"Programado","Fuera"))))</f>
        <v>Acumulado</v>
      </c>
      <c r="K2561" s="6" t="str">
        <f t="shared" si="144"/>
        <v>A tiempo</v>
      </c>
      <c r="L2561" s="8">
        <v>46211</v>
      </c>
      <c r="M2561" s="17">
        <f>MAX(1,NETWORKDAYS(A2561,L2561,Table2[Dias no laborales]))</f>
        <v>1</v>
      </c>
    </row>
    <row r="2562" spans="1:13" hidden="1" x14ac:dyDescent="0.3">
      <c r="A2562" s="8">
        <v>46211</v>
      </c>
      <c r="B2562" s="16" t="s">
        <v>5096</v>
      </c>
      <c r="C2562" s="6" t="s">
        <v>5116</v>
      </c>
      <c r="D2562" s="6" t="s">
        <v>839</v>
      </c>
      <c r="E2562" s="14">
        <v>46211.293749999997</v>
      </c>
      <c r="F2562" s="8">
        <f>IF(HOUR(Table1[[#This Row],[CORREO]])&gt;=11,WORKDAY(Table1[[#This Row],[CORREO]],1,Table2[Dias no laborales]),E2562)</f>
        <v>46211.293749999997</v>
      </c>
      <c r="G2562" s="8"/>
      <c r="H2562" s="6">
        <f t="shared" si="143"/>
        <v>27</v>
      </c>
      <c r="I2562" s="6">
        <f>MAX(1, NETWORKDAYS(A2562, G2562,Table2[Dias no laborales]))</f>
        <v>1</v>
      </c>
      <c r="J2562" s="6" t="str">
        <f>IF(Table1[[#This Row],[FIN]]="","Acumulado",IF(ISNUMBER(SEARCH("ASAP",C2562)),"ASAP",IF(NETWORKDAYS.INTL(F2562,G2562,1,Table2[Dias no laborales]) &lt;= 7, "Dentro", IF(A2562&gt;F2562,"Programado","Fuera"))))</f>
        <v>Acumulado</v>
      </c>
      <c r="K2562" s="6" t="str">
        <f t="shared" si="144"/>
        <v>A tiempo</v>
      </c>
      <c r="L2562" s="8">
        <v>46211</v>
      </c>
      <c r="M2562" s="17">
        <f>MAX(1,NETWORKDAYS(A2562,L2562,Table2[Dias no laborales]))</f>
        <v>1</v>
      </c>
    </row>
    <row r="2563" spans="1:13" hidden="1" x14ac:dyDescent="0.3">
      <c r="A2563" s="8">
        <v>46211</v>
      </c>
      <c r="B2563" s="16" t="s">
        <v>5097</v>
      </c>
      <c r="C2563" s="6" t="s">
        <v>5117</v>
      </c>
      <c r="D2563" s="14" t="s">
        <v>4346</v>
      </c>
      <c r="E2563" s="14">
        <v>46210.750694444447</v>
      </c>
      <c r="F2563" s="8">
        <f>IF(HOUR(Table1[[#This Row],[CORREO]])&gt;=11,WORKDAY(Table1[[#This Row],[CORREO]],1,Table2[Dias no laborales]),E2563)</f>
        <v>46211</v>
      </c>
      <c r="G2563" s="8">
        <v>46211</v>
      </c>
      <c r="H2563" s="6">
        <f t="shared" si="143"/>
        <v>27</v>
      </c>
      <c r="I2563" s="6">
        <f>MAX(1, NETWORKDAYS(A2563, G2563,Table2[Dias no laborales]))</f>
        <v>1</v>
      </c>
      <c r="J2563" s="6" t="str">
        <f>IF(Table1[[#This Row],[FIN]]="","Acumulado",IF(ISNUMBER(SEARCH("ASAP",C2563)),"ASAP",IF(NETWORKDAYS.INTL(F2563,G2563,1,Table2[Dias no laborales]) &lt;= 7, "Dentro", IF(A2563&gt;F2563,"Programado","Fuera"))))</f>
        <v>Dentro</v>
      </c>
      <c r="K2563" s="6" t="str">
        <f t="shared" si="144"/>
        <v>A tiempo</v>
      </c>
      <c r="L2563" s="8">
        <v>46211</v>
      </c>
      <c r="M2563" s="17">
        <f>MAX(1,NETWORKDAYS(A2563,L2563,Table2[Dias no laborales]))</f>
        <v>1</v>
      </c>
    </row>
    <row r="2564" spans="1:13" hidden="1" x14ac:dyDescent="0.3">
      <c r="A2564" s="8">
        <v>46211</v>
      </c>
      <c r="B2564" s="16" t="s">
        <v>5098</v>
      </c>
      <c r="C2564" s="6" t="s">
        <v>4988</v>
      </c>
      <c r="D2564" s="6" t="s">
        <v>392</v>
      </c>
      <c r="E2564" s="14">
        <v>46211.34652777778</v>
      </c>
      <c r="F2564" s="8">
        <f>IF(HOUR(Table1[[#This Row],[CORREO]])&gt;=11,WORKDAY(Table1[[#This Row],[CORREO]],1,Table2[Dias no laborales]),E2564)</f>
        <v>46211.34652777778</v>
      </c>
      <c r="G2564" s="8">
        <v>46211</v>
      </c>
      <c r="H2564" s="6">
        <f t="shared" si="143"/>
        <v>27</v>
      </c>
      <c r="I2564" s="6">
        <f>MAX(1, NETWORKDAYS(A2564, G2564,Table2[Dias no laborales]))</f>
        <v>1</v>
      </c>
      <c r="J2564" s="6" t="str">
        <f>IF(Table1[[#This Row],[FIN]]="","Acumulado",IF(ISNUMBER(SEARCH("ASAP",C2564)),"ASAP",IF(NETWORKDAYS.INTL(F2564,G2564,1,Table2[Dias no laborales]) &lt;= 7, "Dentro", IF(A2564&gt;F2564,"Programado","Fuera"))))</f>
        <v>Dentro</v>
      </c>
      <c r="K2564" s="6" t="str">
        <f t="shared" si="144"/>
        <v>A tiempo</v>
      </c>
      <c r="L2564" s="8">
        <v>46211</v>
      </c>
      <c r="M2564" s="17">
        <f>MAX(1,NETWORKDAYS(A2564,L2564,Table2[Dias no laborales]))</f>
        <v>1</v>
      </c>
    </row>
    <row r="2565" spans="1:13" hidden="1" x14ac:dyDescent="0.3">
      <c r="A2565" s="8">
        <v>46211</v>
      </c>
      <c r="B2565" s="16" t="s">
        <v>5099</v>
      </c>
      <c r="C2565" s="6" t="s">
        <v>5118</v>
      </c>
      <c r="D2565" s="6" t="s">
        <v>5107</v>
      </c>
      <c r="E2565" s="14">
        <v>46211.348611111112</v>
      </c>
      <c r="F2565" s="8">
        <f>IF(HOUR(Table1[[#This Row],[CORREO]])&gt;=11,WORKDAY(Table1[[#This Row],[CORREO]],1,Table2[Dias no laborales]),E2565)</f>
        <v>46211.348611111112</v>
      </c>
      <c r="G2565" s="8"/>
      <c r="H2565" s="6">
        <f t="shared" si="143"/>
        <v>27</v>
      </c>
      <c r="I2565" s="6">
        <f>MAX(1, NETWORKDAYS(A2565, G2565,Table2[Dias no laborales]))</f>
        <v>1</v>
      </c>
      <c r="J2565" s="6" t="str">
        <f>IF(Table1[[#This Row],[FIN]]="","Acumulado",IF(ISNUMBER(SEARCH("ASAP",C2565)),"ASAP",IF(NETWORKDAYS.INTL(F2565,G2565,1,Table2[Dias no laborales]) &lt;= 7, "Dentro", IF(A2565&gt;F2565,"Programado","Fuera"))))</f>
        <v>Acumulado</v>
      </c>
      <c r="K2565" s="6" t="str">
        <f t="shared" si="144"/>
        <v>A tiempo</v>
      </c>
      <c r="L2565" s="8">
        <v>46211</v>
      </c>
      <c r="M2565" s="17">
        <f>MAX(1,NETWORKDAYS(A2565,L2565,Table2[Dias no laborales]))</f>
        <v>1</v>
      </c>
    </row>
    <row r="2566" spans="1:13" hidden="1" x14ac:dyDescent="0.3">
      <c r="A2566" s="8">
        <v>46211</v>
      </c>
      <c r="B2566" s="16" t="s">
        <v>5100</v>
      </c>
      <c r="C2566" s="6" t="s">
        <v>5119</v>
      </c>
      <c r="D2566" s="6" t="s">
        <v>5071</v>
      </c>
      <c r="E2566" s="14">
        <v>46211.428472222222</v>
      </c>
      <c r="F2566" s="8">
        <f>IF(HOUR(Table1[[#This Row],[CORREO]])&gt;=11,WORKDAY(Table1[[#This Row],[CORREO]],1,Table2[Dias no laborales]),E2566)</f>
        <v>46211.428472222222</v>
      </c>
      <c r="G2566" s="8"/>
      <c r="H2566" s="6">
        <f t="shared" si="143"/>
        <v>27</v>
      </c>
      <c r="I2566" s="6">
        <f>MAX(1, NETWORKDAYS(A2566, G2566,Table2[Dias no laborales]))</f>
        <v>1</v>
      </c>
      <c r="J2566" s="6" t="str">
        <f>IF(Table1[[#This Row],[FIN]]="","Acumulado",IF(ISNUMBER(SEARCH("ASAP",C2566)),"ASAP",IF(NETWORKDAYS.INTL(F2566,G2566,1,Table2[Dias no laborales]) &lt;= 7, "Dentro", IF(A2566&gt;F2566,"Programado","Fuera"))))</f>
        <v>Acumulado</v>
      </c>
      <c r="K2566" s="6" t="str">
        <f t="shared" si="144"/>
        <v>A tiempo</v>
      </c>
      <c r="L2566" s="8">
        <v>46211</v>
      </c>
      <c r="M2566" s="17">
        <f>MAX(1,NETWORKDAYS(A2566,L2566,Table2[Dias no laborales]))</f>
        <v>1</v>
      </c>
    </row>
    <row r="2567" spans="1:13" hidden="1" x14ac:dyDescent="0.3">
      <c r="A2567" s="8">
        <v>46212</v>
      </c>
      <c r="B2567" s="16" t="s">
        <v>5109</v>
      </c>
      <c r="C2567" s="6" t="s">
        <v>5120</v>
      </c>
      <c r="D2567" s="6" t="s">
        <v>24</v>
      </c>
      <c r="E2567" s="14">
        <v>46212.372916666667</v>
      </c>
      <c r="F2567" s="8">
        <f>IF(HOUR(Table1[[#This Row],[CORREO]])&gt;=11,WORKDAY(Table1[[#This Row],[CORREO]],1,Table2[Dias no laborales]),E2567)</f>
        <v>46212.372916666667</v>
      </c>
      <c r="G2567" s="8"/>
      <c r="H2567" s="6">
        <f t="shared" ref="H2567:H2573" si="145">INT((A2567-DATE(YEAR(A2567),1,1))/7) + 1</f>
        <v>28</v>
      </c>
      <c r="I2567" s="6">
        <f>MAX(1, NETWORKDAYS(A2567, G2567,Table2[Dias no laborales]))</f>
        <v>1</v>
      </c>
      <c r="J2567" s="6" t="str">
        <f>IF(Table1[[#This Row],[FIN]]="","Acumulado",IF(ISNUMBER(SEARCH("ASAP",C2567)),"ASAP",IF(NETWORKDAYS.INTL(F2567,G2567,1,Table2[Dias no laborales]) &lt;= 7, "Dentro", IF(A2567&gt;F2567,"Programado","Fuera"))))</f>
        <v>Acumulado</v>
      </c>
      <c r="K2567" s="6" t="str">
        <f t="shared" ref="K2567:K2573" si="146">IF(INT(A2567)=INT(F2567),"A tiempo", IF(A2567&lt;F2567,"Mismo día","Programados"))</f>
        <v>A tiempo</v>
      </c>
      <c r="L2567" s="8">
        <v>46212</v>
      </c>
      <c r="M2567" s="17">
        <f>MAX(1,NETWORKDAYS(A2567,L2567,Table2[Dias no laborales]))</f>
        <v>1</v>
      </c>
    </row>
    <row r="2568" spans="1:13" hidden="1" x14ac:dyDescent="0.3">
      <c r="A2568" s="8">
        <v>46212</v>
      </c>
      <c r="B2568" s="16" t="s">
        <v>5110</v>
      </c>
      <c r="C2568" s="6" t="s">
        <v>5121</v>
      </c>
      <c r="D2568" s="6" t="s">
        <v>5105</v>
      </c>
      <c r="E2568" s="14">
        <v>46211.503472222219</v>
      </c>
      <c r="F2568" s="8">
        <f>IF(HOUR(Table1[[#This Row],[CORREO]])&gt;=11,WORKDAY(Table1[[#This Row],[CORREO]],1,Table2[Dias no laborales]),E2568)</f>
        <v>46212</v>
      </c>
      <c r="G2568" s="8"/>
      <c r="H2568" s="6">
        <f t="shared" si="145"/>
        <v>28</v>
      </c>
      <c r="I2568" s="6">
        <f>MAX(1, NETWORKDAYS(A2568, G2568,Table2[Dias no laborales]))</f>
        <v>1</v>
      </c>
      <c r="J2568" s="6" t="str">
        <f>IF(Table1[[#This Row],[FIN]]="","Acumulado",IF(ISNUMBER(SEARCH("ASAP",C2568)),"ASAP",IF(NETWORKDAYS.INTL(F2568,G2568,1,Table2[Dias no laborales]) &lt;= 7, "Dentro", IF(A2568&gt;F2568,"Programado","Fuera"))))</f>
        <v>Acumulado</v>
      </c>
      <c r="K2568" s="6" t="str">
        <f t="shared" si="146"/>
        <v>A tiempo</v>
      </c>
      <c r="L2568" s="8">
        <v>46212</v>
      </c>
      <c r="M2568" s="17">
        <f>MAX(1,NETWORKDAYS(A2568,L2568,Table2[Dias no laborales]))</f>
        <v>1</v>
      </c>
    </row>
    <row r="2569" spans="1:13" hidden="1" x14ac:dyDescent="0.3">
      <c r="A2569" s="8">
        <v>46212</v>
      </c>
      <c r="B2569" s="16" t="s">
        <v>5111</v>
      </c>
      <c r="C2569" s="6" t="s">
        <v>5478</v>
      </c>
      <c r="D2569" s="6" t="s">
        <v>5479</v>
      </c>
      <c r="E2569" s="14">
        <v>46211.633333333331</v>
      </c>
      <c r="F2569" s="8">
        <f>IF(HOUR(Table1[[#This Row],[CORREO]])&gt;=11,WORKDAY(Table1[[#This Row],[CORREO]],1,Table2[Dias no laborales]),E2569)</f>
        <v>46212</v>
      </c>
      <c r="G2569" s="8">
        <v>46216</v>
      </c>
      <c r="H2569" s="6">
        <f t="shared" si="145"/>
        <v>28</v>
      </c>
      <c r="I2569" s="6">
        <f>MAX(1, NETWORKDAYS(A2569, G2569,Table2[Dias no laborales]))</f>
        <v>3</v>
      </c>
      <c r="J2569" s="6" t="str">
        <f>IF(Table1[[#This Row],[FIN]]="","Acumulado",IF(ISNUMBER(SEARCH("ASAP",C2569)),"ASAP",IF(NETWORKDAYS.INTL(F2569,G2569,1,Table2[Dias no laborales]) &lt;= 7, "Dentro", IF(A2569&gt;F2569,"Programado","Fuera"))))</f>
        <v>Dentro</v>
      </c>
      <c r="K2569" s="6" t="str">
        <f t="shared" si="146"/>
        <v>A tiempo</v>
      </c>
      <c r="L2569" s="8">
        <v>46212</v>
      </c>
      <c r="M2569" s="17">
        <f>MAX(1,NETWORKDAYS(A2569,L2569,Table2[Dias no laborales]))</f>
        <v>1</v>
      </c>
    </row>
    <row r="2570" spans="1:13" hidden="1" x14ac:dyDescent="0.3">
      <c r="A2570" s="8">
        <v>46212</v>
      </c>
      <c r="B2570" s="16" t="s">
        <v>5112</v>
      </c>
      <c r="C2570" s="6" t="s">
        <v>5480</v>
      </c>
      <c r="D2570" s="6" t="s">
        <v>5481</v>
      </c>
      <c r="E2570" s="14">
        <v>46211.665972222225</v>
      </c>
      <c r="F2570" s="8">
        <f>IF(HOUR(Table1[[#This Row],[CORREO]])&gt;=11,WORKDAY(Table1[[#This Row],[CORREO]],1,Table2[Dias no laborales]),E2570)</f>
        <v>46212</v>
      </c>
      <c r="G2570" s="8">
        <v>46216</v>
      </c>
      <c r="H2570" s="6">
        <f t="shared" si="145"/>
        <v>28</v>
      </c>
      <c r="I2570" s="6">
        <f>MAX(1, NETWORKDAYS(A2570, G2570,Table2[Dias no laborales]))</f>
        <v>3</v>
      </c>
      <c r="J2570" s="6" t="str">
        <f>IF(Table1[[#This Row],[FIN]]="","Acumulado",IF(ISNUMBER(SEARCH("ASAP",C2570)),"ASAP",IF(NETWORKDAYS.INTL(F2570,G2570,1,Table2[Dias no laborales]) &lt;= 7, "Dentro", IF(A2570&gt;F2570,"Programado","Fuera"))))</f>
        <v>Dentro</v>
      </c>
      <c r="K2570" s="6" t="str">
        <f t="shared" si="146"/>
        <v>A tiempo</v>
      </c>
      <c r="L2570" s="8">
        <v>46212</v>
      </c>
      <c r="M2570" s="17">
        <f>MAX(1,NETWORKDAYS(A2570,L2570,Table2[Dias no laborales]))</f>
        <v>1</v>
      </c>
    </row>
    <row r="2571" spans="1:13" hidden="1" x14ac:dyDescent="0.3">
      <c r="A2571" s="8">
        <v>46212</v>
      </c>
      <c r="B2571" s="16" t="s">
        <v>5113</v>
      </c>
      <c r="C2571" s="6" t="s">
        <v>5482</v>
      </c>
      <c r="D2571" s="6" t="s">
        <v>5483</v>
      </c>
      <c r="E2571" s="14">
        <v>46211.699305555558</v>
      </c>
      <c r="F2571" s="8">
        <f>IF(HOUR(Table1[[#This Row],[CORREO]])&gt;=11,WORKDAY(Table1[[#This Row],[CORREO]],1,Table2[Dias no laborales]),E2571)</f>
        <v>46212</v>
      </c>
      <c r="G2571" s="8">
        <v>46216</v>
      </c>
      <c r="H2571" s="6">
        <f t="shared" si="145"/>
        <v>28</v>
      </c>
      <c r="I2571" s="6">
        <f>MAX(1, NETWORKDAYS(A2571, G2571,Table2[Dias no laborales]))</f>
        <v>3</v>
      </c>
      <c r="J2571" s="6" t="str">
        <f>IF(Table1[[#This Row],[FIN]]="","Acumulado",IF(ISNUMBER(SEARCH("ASAP",C2571)),"ASAP",IF(NETWORKDAYS.INTL(F2571,G2571,1,Table2[Dias no laborales]) &lt;= 7, "Dentro", IF(A2571&gt;F2571,"Programado","Fuera"))))</f>
        <v>Dentro</v>
      </c>
      <c r="K2571" s="6" t="str">
        <f t="shared" si="146"/>
        <v>A tiempo</v>
      </c>
      <c r="L2571" s="8">
        <v>46212</v>
      </c>
      <c r="M2571" s="17">
        <f>MAX(1,NETWORKDAYS(A2571,L2571,Table2[Dias no laborales]))</f>
        <v>1</v>
      </c>
    </row>
    <row r="2572" spans="1:13" hidden="1" x14ac:dyDescent="0.3">
      <c r="A2572" s="8">
        <v>46212</v>
      </c>
      <c r="B2572" s="16" t="s">
        <v>5114</v>
      </c>
      <c r="C2572" s="6" t="s">
        <v>5484</v>
      </c>
      <c r="D2572" s="6" t="s">
        <v>133</v>
      </c>
      <c r="E2572" s="14">
        <v>46211.705555555556</v>
      </c>
      <c r="F2572" s="8">
        <f>IF(HOUR(Table1[[#This Row],[CORREO]])&gt;=11,WORKDAY(Table1[[#This Row],[CORREO]],1,Table2[Dias no laborales]),E2572)</f>
        <v>46212</v>
      </c>
      <c r="G2572" s="8">
        <v>46218</v>
      </c>
      <c r="H2572" s="6">
        <f t="shared" si="145"/>
        <v>28</v>
      </c>
      <c r="I2572" s="6">
        <f>MAX(1, NETWORKDAYS(A2572, G2572,Table2[Dias no laborales]))</f>
        <v>5</v>
      </c>
      <c r="J2572" s="6" t="str">
        <f>IF(Table1[[#This Row],[FIN]]="","Acumulado",IF(ISNUMBER(SEARCH("ASAP",C2572)),"ASAP",IF(NETWORKDAYS.INTL(F2572,G2572,1,Table2[Dias no laborales]) &lt;= 7, "Dentro", IF(A2572&gt;F2572,"Programado","Fuera"))))</f>
        <v>Dentro</v>
      </c>
      <c r="K2572" s="6" t="str">
        <f t="shared" si="146"/>
        <v>A tiempo</v>
      </c>
      <c r="L2572" s="8">
        <v>46216</v>
      </c>
      <c r="M2572" s="17">
        <f>MAX(1,NETWORKDAYS(A2572,L2572,Table2[Dias no laborales]))</f>
        <v>3</v>
      </c>
    </row>
    <row r="2573" spans="1:13" hidden="1" x14ac:dyDescent="0.3">
      <c r="A2573" s="8">
        <v>46212</v>
      </c>
      <c r="B2573" s="16" t="s">
        <v>5115</v>
      </c>
      <c r="C2573" s="6" t="s">
        <v>5485</v>
      </c>
      <c r="D2573" s="6" t="s">
        <v>4016</v>
      </c>
      <c r="E2573" s="14">
        <v>46212.349305555559</v>
      </c>
      <c r="F2573" s="8">
        <f>IF(HOUR(Table1[[#This Row],[CORREO]])&gt;=11,WORKDAY(Table1[[#This Row],[CORREO]],1,Table2[Dias no laborales]),E2573)</f>
        <v>46212.349305555559</v>
      </c>
      <c r="G2573" s="8">
        <v>46213</v>
      </c>
      <c r="H2573" s="6">
        <f t="shared" si="145"/>
        <v>28</v>
      </c>
      <c r="I2573" s="6">
        <f>MAX(1, NETWORKDAYS(A2573, G2573,Table2[Dias no laborales]))</f>
        <v>2</v>
      </c>
      <c r="J2573" s="6" t="str">
        <f>IF(Table1[[#This Row],[FIN]]="","Acumulado",IF(ISNUMBER(SEARCH("ASAP",C2573)),"ASAP",IF(NETWORKDAYS.INTL(F2573,G2573,1,Table2[Dias no laborales]) &lt;= 7, "Dentro", IF(A2573&gt;F2573,"Programado","Fuera"))))</f>
        <v>Dentro</v>
      </c>
      <c r="K2573" s="6" t="str">
        <f t="shared" si="146"/>
        <v>A tiempo</v>
      </c>
      <c r="L2573" s="8">
        <v>46212</v>
      </c>
      <c r="M2573" s="17">
        <f>MAX(1,NETWORKDAYS(A2573,L2573,Table2[Dias no laborales]))</f>
        <v>1</v>
      </c>
    </row>
    <row r="2574" spans="1:13" hidden="1" x14ac:dyDescent="0.3">
      <c r="A2574" s="8">
        <v>46212</v>
      </c>
      <c r="B2574" s="16" t="s">
        <v>5122</v>
      </c>
      <c r="C2574" s="6" t="s">
        <v>5486</v>
      </c>
      <c r="D2574" s="6" t="s">
        <v>151</v>
      </c>
      <c r="E2574" s="14">
        <v>46212.352083333331</v>
      </c>
      <c r="F2574" s="25">
        <f>IF(HOUR(Table1[[#This Row],[CORREO]])&gt;=11,WORKDAY(Table1[[#This Row],[CORREO]],1,Table2[Dias no laborales]),E2574)</f>
        <v>46212.352083333331</v>
      </c>
      <c r="G2574" s="8">
        <v>46213</v>
      </c>
      <c r="H2574" s="6">
        <f t="shared" ref="H2574:H2633" si="147">INT((A2574-DATE(YEAR(A2574),1,1))/7) + 1</f>
        <v>28</v>
      </c>
      <c r="I2574" s="6">
        <f>MAX(1, NETWORKDAYS(A2574, G2574,Table2[Dias no laborales]))</f>
        <v>2</v>
      </c>
      <c r="J2574" s="6" t="str">
        <f>IF(Table1[[#This Row],[FIN]]="","Acumulado",IF(ISNUMBER(SEARCH("ASAP",C2574)),"ASAP",IF(NETWORKDAYS.INTL(F2574,G2574,1,Table2[Dias no laborales]) &lt;= 7, "Dentro", IF(A2574&gt;F2574,"Programado","Fuera"))))</f>
        <v>Dentro</v>
      </c>
      <c r="K2574" s="6" t="str">
        <f t="shared" ref="K2574:K2633" si="148">IF(INT(A2574)=INT(F2574),"A tiempo", IF(A2574&lt;F2574,"Mismo día","Programados"))</f>
        <v>A tiempo</v>
      </c>
      <c r="L2574" s="8">
        <v>46212</v>
      </c>
      <c r="M2574" s="17">
        <f>MAX(1,NETWORKDAYS(A2574,L2574,Table2[Dias no laborales]))</f>
        <v>1</v>
      </c>
    </row>
    <row r="2575" spans="1:13" hidden="1" x14ac:dyDescent="0.3">
      <c r="A2575" s="8">
        <v>46212</v>
      </c>
      <c r="B2575" s="16" t="s">
        <v>5123</v>
      </c>
      <c r="C2575" s="6" t="s">
        <v>4988</v>
      </c>
      <c r="D2575" s="6" t="s">
        <v>392</v>
      </c>
      <c r="E2575" s="14">
        <v>46212.366666666669</v>
      </c>
      <c r="F2575" s="25">
        <f>IF(HOUR(Table1[[#This Row],[CORREO]])&gt;=11,WORKDAY(Table1[[#This Row],[CORREO]],1,Table2[Dias no laborales]),E2575)</f>
        <v>46212.366666666669</v>
      </c>
      <c r="G2575" s="8">
        <v>46212</v>
      </c>
      <c r="H2575" s="6">
        <f t="shared" si="147"/>
        <v>28</v>
      </c>
      <c r="I2575" s="6">
        <f>MAX(1, NETWORKDAYS(A2575, G2575,Table2[Dias no laborales]))</f>
        <v>1</v>
      </c>
      <c r="J2575" s="6" t="str">
        <f>IF(Table1[[#This Row],[FIN]]="","Acumulado",IF(ISNUMBER(SEARCH("ASAP",C2575)),"ASAP",IF(NETWORKDAYS.INTL(F2575,G2575,1,Table2[Dias no laborales]) &lt;= 7, "Dentro", IF(A2575&gt;F2575,"Programado","Fuera"))))</f>
        <v>Dentro</v>
      </c>
      <c r="K2575" s="6" t="str">
        <f t="shared" si="148"/>
        <v>A tiempo</v>
      </c>
      <c r="L2575" s="8">
        <v>46212</v>
      </c>
      <c r="M2575" s="17">
        <f>MAX(1,NETWORKDAYS(A2575,L2575,Table2[Dias no laborales]))</f>
        <v>1</v>
      </c>
    </row>
    <row r="2576" spans="1:13" hidden="1" x14ac:dyDescent="0.3">
      <c r="A2576" s="8">
        <v>46212</v>
      </c>
      <c r="B2576" s="16" t="s">
        <v>5124</v>
      </c>
      <c r="C2576" s="6" t="s">
        <v>4488</v>
      </c>
      <c r="D2576" s="6" t="s">
        <v>434</v>
      </c>
      <c r="E2576" s="14">
        <v>46212.404861111114</v>
      </c>
      <c r="F2576" s="25">
        <f>IF(HOUR(Table1[[#This Row],[CORREO]])&gt;=11,WORKDAY(Table1[[#This Row],[CORREO]],1,Table2[Dias no laborales]),E2576)</f>
        <v>46212.404861111114</v>
      </c>
      <c r="G2576" s="8">
        <v>46212</v>
      </c>
      <c r="H2576" s="6">
        <f t="shared" si="147"/>
        <v>28</v>
      </c>
      <c r="I2576" s="6">
        <f>MAX(1, NETWORKDAYS(A2576, G2576,Table2[Dias no laborales]))</f>
        <v>1</v>
      </c>
      <c r="J2576" s="6" t="str">
        <f>IF(Table1[[#This Row],[FIN]]="","Acumulado",IF(ISNUMBER(SEARCH("ASAP",C2576)),"ASAP",IF(NETWORKDAYS.INTL(F2576,G2576,1,Table2[Dias no laborales]) &lt;= 7, "Dentro", IF(A2576&gt;F2576,"Programado","Fuera"))))</f>
        <v>Dentro</v>
      </c>
      <c r="K2576" s="6" t="str">
        <f t="shared" si="148"/>
        <v>A tiempo</v>
      </c>
      <c r="L2576" s="8">
        <v>46212</v>
      </c>
      <c r="M2576" s="17">
        <f>MAX(1,NETWORKDAYS(A2576,L2576,Table2[Dias no laborales]))</f>
        <v>1</v>
      </c>
    </row>
    <row r="2577" spans="1:13" hidden="1" x14ac:dyDescent="0.3">
      <c r="A2577" s="8">
        <v>46212</v>
      </c>
      <c r="B2577" s="16" t="s">
        <v>5125</v>
      </c>
      <c r="C2577" s="6" t="s">
        <v>5487</v>
      </c>
      <c r="D2577" s="6" t="s">
        <v>139</v>
      </c>
      <c r="E2577" s="14">
        <v>46212.354166666664</v>
      </c>
      <c r="F2577" s="25">
        <f>IF(HOUR(Table1[[#This Row],[CORREO]])&gt;=11,WORKDAY(Table1[[#This Row],[CORREO]],1,Table2[Dias no laborales]),E2577)</f>
        <v>46212.354166666664</v>
      </c>
      <c r="G2577" s="8">
        <v>46223</v>
      </c>
      <c r="H2577" s="6">
        <f t="shared" si="147"/>
        <v>28</v>
      </c>
      <c r="I2577" s="6">
        <f>MAX(1, NETWORKDAYS(A2577, G2577,Table2[Dias no laborales]))</f>
        <v>8</v>
      </c>
      <c r="J2577" s="6" t="str">
        <f>IF(Table1[[#This Row],[FIN]]="","Acumulado",IF(ISNUMBER(SEARCH("ASAP",C2577)),"ASAP",IF(NETWORKDAYS.INTL(F2577,G2577,1,Table2[Dias no laborales]) &lt;= 7, "Dentro", IF(A2577&gt;F2577,"Programado","Fuera"))))</f>
        <v>Fuera</v>
      </c>
      <c r="K2577" s="6" t="str">
        <f t="shared" si="148"/>
        <v>A tiempo</v>
      </c>
      <c r="L2577" s="8">
        <v>46216</v>
      </c>
      <c r="M2577" s="17">
        <f>MAX(1,NETWORKDAYS(A2577,L2577,Table2[Dias no laborales]))</f>
        <v>3</v>
      </c>
    </row>
    <row r="2578" spans="1:13" hidden="1" x14ac:dyDescent="0.3">
      <c r="A2578" s="8">
        <v>46212</v>
      </c>
      <c r="B2578" s="16" t="s">
        <v>5126</v>
      </c>
      <c r="C2578" s="6" t="s">
        <v>5488</v>
      </c>
      <c r="D2578" s="6" t="s">
        <v>238</v>
      </c>
      <c r="E2578" s="14">
        <v>46212.441666666666</v>
      </c>
      <c r="F2578" s="25">
        <f>IF(HOUR(Table1[[#This Row],[CORREO]])&gt;=11,WORKDAY(Table1[[#This Row],[CORREO]],1,Table2[Dias no laborales]),E2578)</f>
        <v>46212.441666666666</v>
      </c>
      <c r="G2578" s="8">
        <v>46212</v>
      </c>
      <c r="H2578" s="6">
        <f t="shared" si="147"/>
        <v>28</v>
      </c>
      <c r="I2578" s="6">
        <f>MAX(1, NETWORKDAYS(A2578, G2578,Table2[Dias no laborales]))</f>
        <v>1</v>
      </c>
      <c r="J2578" s="6" t="str">
        <f>IF(Table1[[#This Row],[FIN]]="","Acumulado",IF(ISNUMBER(SEARCH("ASAP",C2578)),"ASAP",IF(NETWORKDAYS.INTL(F2578,G2578,1,Table2[Dias no laborales]) &lt;= 7, "Dentro", IF(A2578&gt;F2578,"Programado","Fuera"))))</f>
        <v>Dentro</v>
      </c>
      <c r="K2578" s="6" t="str">
        <f t="shared" si="148"/>
        <v>A tiempo</v>
      </c>
      <c r="L2578" s="8">
        <v>46212</v>
      </c>
      <c r="M2578" s="17">
        <f>MAX(1,NETWORKDAYS(A2578,L2578,Table2[Dias no laborales]))</f>
        <v>1</v>
      </c>
    </row>
    <row r="2579" spans="1:13" hidden="1" x14ac:dyDescent="0.3">
      <c r="A2579" s="8">
        <v>46212</v>
      </c>
      <c r="B2579" s="16" t="s">
        <v>5127</v>
      </c>
      <c r="C2579" s="6" t="s">
        <v>4700</v>
      </c>
      <c r="D2579" s="6" t="s">
        <v>5489</v>
      </c>
      <c r="E2579" s="14">
        <v>46212.795138888891</v>
      </c>
      <c r="F2579" s="25">
        <f>IF(HOUR(Table1[[#This Row],[CORREO]])&gt;=11,WORKDAY(Table1[[#This Row],[CORREO]],1,Table2[Dias no laborales]),E2579)</f>
        <v>46213</v>
      </c>
      <c r="G2579" s="8">
        <v>46220</v>
      </c>
      <c r="H2579" s="6">
        <f t="shared" si="147"/>
        <v>28</v>
      </c>
      <c r="I2579" s="6">
        <f>MAX(1, NETWORKDAYS(A2579, G2579,Table2[Dias no laborales]))</f>
        <v>7</v>
      </c>
      <c r="J2579" s="6" t="str">
        <f>IF(Table1[[#This Row],[FIN]]="","Acumulado",IF(ISNUMBER(SEARCH("ASAP",C2579)),"ASAP",IF(NETWORKDAYS.INTL(F2579,G2579,1,Table2[Dias no laborales]) &lt;= 7, "Dentro", IF(A2579&gt;F2579,"Programado","Fuera"))))</f>
        <v>Dentro</v>
      </c>
      <c r="K2579" s="6" t="str">
        <f t="shared" si="148"/>
        <v>Mismo día</v>
      </c>
      <c r="L2579" s="8">
        <v>46213</v>
      </c>
      <c r="M2579" s="17">
        <f>MAX(1,NETWORKDAYS(A2579,L2579,Table2[Dias no laborales]))</f>
        <v>2</v>
      </c>
    </row>
    <row r="2580" spans="1:13" hidden="1" x14ac:dyDescent="0.3">
      <c r="A2580" s="8">
        <v>46212</v>
      </c>
      <c r="B2580" s="16" t="s">
        <v>5128</v>
      </c>
      <c r="C2580" s="6" t="s">
        <v>5490</v>
      </c>
      <c r="D2580" s="6" t="s">
        <v>85</v>
      </c>
      <c r="E2580" s="14"/>
      <c r="F2580" s="25">
        <f>IF(HOUR(Table1[[#This Row],[CORREO]])&gt;=11,WORKDAY(Table1[[#This Row],[CORREO]],1,Table2[Dias no laborales]),E2580)</f>
        <v>0</v>
      </c>
      <c r="G2580" s="8">
        <v>46213</v>
      </c>
      <c r="H2580" s="6">
        <f t="shared" si="147"/>
        <v>28</v>
      </c>
      <c r="I2580" s="6">
        <f>MAX(1, NETWORKDAYS(A2580, G2580,Table2[Dias no laborales]))</f>
        <v>2</v>
      </c>
      <c r="J2580" s="6" t="str">
        <f>IF(Table1[[#This Row],[FIN]]="","Acumulado",IF(ISNUMBER(SEARCH("ASAP",C2580)),"ASAP",IF(NETWORKDAYS.INTL(F2580,G2580,1,Table2[Dias no laborales]) &lt;= 7, "Dentro", IF(A2580&gt;F2580,"Programado","Fuera"))))</f>
        <v>Programado</v>
      </c>
      <c r="K2580" s="6" t="str">
        <f t="shared" si="148"/>
        <v>Programados</v>
      </c>
      <c r="L2580" s="8">
        <v>46212</v>
      </c>
      <c r="M2580" s="17">
        <f>MAX(1,NETWORKDAYS(A2580,L2580,Table2[Dias no laborales]))</f>
        <v>1</v>
      </c>
    </row>
    <row r="2581" spans="1:13" hidden="1" x14ac:dyDescent="0.3">
      <c r="A2581" s="8">
        <v>46213</v>
      </c>
      <c r="B2581" s="16" t="s">
        <v>5129</v>
      </c>
      <c r="C2581" s="6" t="s">
        <v>5491</v>
      </c>
      <c r="D2581" s="6" t="s">
        <v>5492</v>
      </c>
      <c r="E2581" s="14">
        <v>46212.543055555558</v>
      </c>
      <c r="F2581" s="25">
        <f>IF(HOUR(Table1[[#This Row],[CORREO]])&gt;=11,WORKDAY(Table1[[#This Row],[CORREO]],1,Table2[Dias no laborales]),E2581)</f>
        <v>46213</v>
      </c>
      <c r="G2581" s="8">
        <v>46219</v>
      </c>
      <c r="H2581" s="6">
        <f t="shared" si="147"/>
        <v>28</v>
      </c>
      <c r="I2581" s="6">
        <f>MAX(1, NETWORKDAYS(A2581, G2581,Table2[Dias no laborales]))</f>
        <v>5</v>
      </c>
      <c r="J2581" s="6" t="str">
        <f>IF(Table1[[#This Row],[FIN]]="","Acumulado",IF(ISNUMBER(SEARCH("ASAP",C2581)),"ASAP",IF(NETWORKDAYS.INTL(F2581,G2581,1,Table2[Dias no laborales]) &lt;= 7, "Dentro", IF(A2581&gt;F2581,"Programado","Fuera"))))</f>
        <v>Dentro</v>
      </c>
      <c r="K2581" s="6" t="str">
        <f t="shared" si="148"/>
        <v>A tiempo</v>
      </c>
      <c r="L2581" s="8">
        <v>46213</v>
      </c>
      <c r="M2581" s="17">
        <f>MAX(1,NETWORKDAYS(A2581,L2581,Table2[Dias no laborales]))</f>
        <v>1</v>
      </c>
    </row>
    <row r="2582" spans="1:13" hidden="1" x14ac:dyDescent="0.3">
      <c r="A2582" s="8">
        <v>46213</v>
      </c>
      <c r="B2582" s="16" t="s">
        <v>5130</v>
      </c>
      <c r="C2582" s="6" t="s">
        <v>5493</v>
      </c>
      <c r="D2582" s="6" t="s">
        <v>5494</v>
      </c>
      <c r="E2582" s="14">
        <v>46212.720138888886</v>
      </c>
      <c r="F2582" s="25">
        <f>IF(HOUR(Table1[[#This Row],[CORREO]])&gt;=11,WORKDAY(Table1[[#This Row],[CORREO]],1,Table2[Dias no laborales]),E2582)</f>
        <v>46213</v>
      </c>
      <c r="G2582" s="8">
        <v>46213</v>
      </c>
      <c r="H2582" s="6">
        <f t="shared" si="147"/>
        <v>28</v>
      </c>
      <c r="I2582" s="6">
        <f>MAX(1, NETWORKDAYS(A2582, G2582,Table2[Dias no laborales]))</f>
        <v>1</v>
      </c>
      <c r="J2582" s="6" t="str">
        <f>IF(Table1[[#This Row],[FIN]]="","Acumulado",IF(ISNUMBER(SEARCH("ASAP",C2582)),"ASAP",IF(NETWORKDAYS.INTL(F2582,G2582,1,Table2[Dias no laborales]) &lt;= 7, "Dentro", IF(A2582&gt;F2582,"Programado","Fuera"))))</f>
        <v>Dentro</v>
      </c>
      <c r="K2582" s="6" t="str">
        <f t="shared" si="148"/>
        <v>A tiempo</v>
      </c>
      <c r="L2582" s="8">
        <v>46213</v>
      </c>
      <c r="M2582" s="17">
        <f>MAX(1,NETWORKDAYS(A2582,L2582,Table2[Dias no laborales]))</f>
        <v>1</v>
      </c>
    </row>
    <row r="2583" spans="1:13" hidden="1" x14ac:dyDescent="0.3">
      <c r="A2583" s="8">
        <v>46213</v>
      </c>
      <c r="B2583" s="16" t="s">
        <v>5131</v>
      </c>
      <c r="C2583" s="6" t="s">
        <v>5495</v>
      </c>
      <c r="D2583" s="6" t="s">
        <v>5496</v>
      </c>
      <c r="E2583" s="14">
        <v>46212.651388888888</v>
      </c>
      <c r="F2583" s="25">
        <f>IF(HOUR(Table1[[#This Row],[CORREO]])&gt;=11,WORKDAY(Table1[[#This Row],[CORREO]],1,Table2[Dias no laborales]),E2583)</f>
        <v>46213</v>
      </c>
      <c r="G2583" s="8">
        <v>46213</v>
      </c>
      <c r="H2583" s="6">
        <f t="shared" si="147"/>
        <v>28</v>
      </c>
      <c r="I2583" s="6">
        <f>MAX(1, NETWORKDAYS(A2583, G2583,Table2[Dias no laborales]))</f>
        <v>1</v>
      </c>
      <c r="J2583" s="6" t="str">
        <f>IF(Table1[[#This Row],[FIN]]="","Acumulado",IF(ISNUMBER(SEARCH("ASAP",C2583)),"ASAP",IF(NETWORKDAYS.INTL(F2583,G2583,1,Table2[Dias no laborales]) &lt;= 7, "Dentro", IF(A2583&gt;F2583,"Programado","Fuera"))))</f>
        <v>Dentro</v>
      </c>
      <c r="K2583" s="6" t="str">
        <f t="shared" si="148"/>
        <v>A tiempo</v>
      </c>
      <c r="L2583" s="8">
        <v>46213</v>
      </c>
      <c r="M2583" s="17">
        <f>MAX(1,NETWORKDAYS(A2583,L2583,Table2[Dias no laborales]))</f>
        <v>1</v>
      </c>
    </row>
    <row r="2584" spans="1:13" hidden="1" x14ac:dyDescent="0.3">
      <c r="A2584" s="8">
        <v>46213</v>
      </c>
      <c r="B2584" s="16" t="s">
        <v>5132</v>
      </c>
      <c r="C2584" s="6" t="s">
        <v>5497</v>
      </c>
      <c r="D2584" s="6" t="s">
        <v>1360</v>
      </c>
      <c r="E2584" s="14">
        <v>46212.665277777778</v>
      </c>
      <c r="F2584" s="25">
        <f>IF(HOUR(Table1[[#This Row],[CORREO]])&gt;=11,WORKDAY(Table1[[#This Row],[CORREO]],1,Table2[Dias no laborales]),E2584)</f>
        <v>46213</v>
      </c>
      <c r="G2584" s="8">
        <v>46217</v>
      </c>
      <c r="H2584" s="6">
        <f t="shared" si="147"/>
        <v>28</v>
      </c>
      <c r="I2584" s="6">
        <f>MAX(1, NETWORKDAYS(A2584, G2584,Table2[Dias no laborales]))</f>
        <v>3</v>
      </c>
      <c r="J2584" s="6" t="str">
        <f>IF(Table1[[#This Row],[FIN]]="","Acumulado",IF(ISNUMBER(SEARCH("ASAP",C2584)),"ASAP",IF(NETWORKDAYS.INTL(F2584,G2584,1,Table2[Dias no laborales]) &lt;= 7, "Dentro", IF(A2584&gt;F2584,"Programado","Fuera"))))</f>
        <v>Dentro</v>
      </c>
      <c r="K2584" s="6" t="str">
        <f t="shared" si="148"/>
        <v>A tiempo</v>
      </c>
      <c r="L2584" s="8">
        <v>46213</v>
      </c>
      <c r="M2584" s="17">
        <f>MAX(1,NETWORKDAYS(A2584,L2584,Table2[Dias no laborales]))</f>
        <v>1</v>
      </c>
    </row>
    <row r="2585" spans="1:13" hidden="1" x14ac:dyDescent="0.3">
      <c r="A2585" s="8">
        <v>46213</v>
      </c>
      <c r="B2585" s="16" t="s">
        <v>5133</v>
      </c>
      <c r="C2585" s="6" t="s">
        <v>4988</v>
      </c>
      <c r="D2585" s="6" t="s">
        <v>392</v>
      </c>
      <c r="E2585" s="14">
        <v>46213.333333333336</v>
      </c>
      <c r="F2585" s="25">
        <f>IF(HOUR(Table1[[#This Row],[CORREO]])&gt;=11,WORKDAY(Table1[[#This Row],[CORREO]],1,Table2[Dias no laborales]),E2585)</f>
        <v>46213.333333333336</v>
      </c>
      <c r="G2585" s="8">
        <v>46216</v>
      </c>
      <c r="H2585" s="6">
        <f t="shared" si="147"/>
        <v>28</v>
      </c>
      <c r="I2585" s="6">
        <f>MAX(1, NETWORKDAYS(A2585, G2585,Table2[Dias no laborales]))</f>
        <v>2</v>
      </c>
      <c r="J2585" s="6" t="str">
        <f>IF(Table1[[#This Row],[FIN]]="","Acumulado",IF(ISNUMBER(SEARCH("ASAP",C2585)),"ASAP",IF(NETWORKDAYS.INTL(F2585,G2585,1,Table2[Dias no laborales]) &lt;= 7, "Dentro", IF(A2585&gt;F2585,"Programado","Fuera"))))</f>
        <v>Dentro</v>
      </c>
      <c r="K2585" s="6" t="str">
        <f t="shared" si="148"/>
        <v>A tiempo</v>
      </c>
      <c r="L2585" s="8">
        <v>46213</v>
      </c>
      <c r="M2585" s="17">
        <f>MAX(1,NETWORKDAYS(A2585,L2585,Table2[Dias no laborales]))</f>
        <v>1</v>
      </c>
    </row>
    <row r="2586" spans="1:13" hidden="1" x14ac:dyDescent="0.3">
      <c r="A2586" s="8">
        <v>46213</v>
      </c>
      <c r="B2586" s="16" t="s">
        <v>5134</v>
      </c>
      <c r="C2586" s="6" t="s">
        <v>5498</v>
      </c>
      <c r="D2586" s="6" t="s">
        <v>1333</v>
      </c>
      <c r="E2586" s="14"/>
      <c r="F2586" s="25">
        <f>IF(HOUR(Table1[[#This Row],[CORREO]])&gt;=11,WORKDAY(Table1[[#This Row],[CORREO]],1,Table2[Dias no laborales]),E2586)</f>
        <v>0</v>
      </c>
      <c r="G2586" s="8">
        <v>46232</v>
      </c>
      <c r="H2586" s="6">
        <f t="shared" si="147"/>
        <v>28</v>
      </c>
      <c r="I2586" s="6">
        <f>MAX(1, NETWORKDAYS(A2586, G2586,Table2[Dias no laborales]))</f>
        <v>14</v>
      </c>
      <c r="J2586" s="6" t="str">
        <f>IF(Table1[[#This Row],[FIN]]="","Acumulado",IF(ISNUMBER(SEARCH("ASAP",C2586)),"ASAP",IF(NETWORKDAYS.INTL(F2586,G2586,1,Table2[Dias no laborales]) &lt;= 7, "Dentro", IF(A2586&gt;F2586,"Programado","Fuera"))))</f>
        <v>Programado</v>
      </c>
      <c r="K2586" s="6" t="str">
        <f t="shared" si="148"/>
        <v>Programados</v>
      </c>
      <c r="L2586" s="8">
        <v>46213</v>
      </c>
      <c r="M2586" s="17">
        <f>MAX(1,NETWORKDAYS(A2586,L2586,Table2[Dias no laborales]))</f>
        <v>1</v>
      </c>
    </row>
    <row r="2587" spans="1:13" hidden="1" x14ac:dyDescent="0.3">
      <c r="A2587" s="8">
        <v>46213</v>
      </c>
      <c r="B2587" s="16" t="s">
        <v>5135</v>
      </c>
      <c r="C2587" s="6" t="s">
        <v>5499</v>
      </c>
      <c r="D2587" s="6" t="s">
        <v>24</v>
      </c>
      <c r="E2587" s="14"/>
      <c r="F2587" s="25">
        <f>IF(HOUR(Table1[[#This Row],[CORREO]])&gt;=11,WORKDAY(Table1[[#This Row],[CORREO]],1,Table2[Dias no laborales]),E2587)</f>
        <v>0</v>
      </c>
      <c r="G2587" s="8"/>
      <c r="H2587" s="6">
        <f t="shared" si="147"/>
        <v>28</v>
      </c>
      <c r="I2587" s="6">
        <f>MAX(1, NETWORKDAYS(A2587, G2587,Table2[Dias no laborales]))</f>
        <v>1</v>
      </c>
      <c r="J2587" s="6" t="str">
        <f>IF(Table1[[#This Row],[FIN]]="","Acumulado",IF(ISNUMBER(SEARCH("ASAP",C2587)),"ASAP",IF(NETWORKDAYS.INTL(F2587,G2587,1,Table2[Dias no laborales]) &lt;= 7, "Dentro", IF(A2587&gt;F2587,"Programado","Fuera"))))</f>
        <v>Acumulado</v>
      </c>
      <c r="K2587" s="6" t="str">
        <f t="shared" si="148"/>
        <v>Programados</v>
      </c>
      <c r="L2587" s="8">
        <v>46213</v>
      </c>
      <c r="M2587" s="17">
        <f>MAX(1,NETWORKDAYS(A2587,L2587,Table2[Dias no laborales]))</f>
        <v>1</v>
      </c>
    </row>
    <row r="2588" spans="1:13" hidden="1" x14ac:dyDescent="0.3">
      <c r="A2588" s="8">
        <v>46213</v>
      </c>
      <c r="B2588" s="16" t="s">
        <v>5136</v>
      </c>
      <c r="C2588" s="6" t="s">
        <v>5500</v>
      </c>
      <c r="D2588" s="6" t="s">
        <v>1360</v>
      </c>
      <c r="E2588" s="14">
        <v>46212.668749999997</v>
      </c>
      <c r="F2588" s="25">
        <f>IF(HOUR(Table1[[#This Row],[CORREO]])&gt;=11,WORKDAY(Table1[[#This Row],[CORREO]],1,Table2[Dias no laborales]),E2588)</f>
        <v>46213</v>
      </c>
      <c r="G2588" s="8">
        <v>46217</v>
      </c>
      <c r="H2588" s="6">
        <f t="shared" si="147"/>
        <v>28</v>
      </c>
      <c r="I2588" s="6">
        <f>MAX(1, NETWORKDAYS(A2588, G2588,Table2[Dias no laborales]))</f>
        <v>3</v>
      </c>
      <c r="J2588" s="6" t="str">
        <f>IF(Table1[[#This Row],[FIN]]="","Acumulado",IF(ISNUMBER(SEARCH("ASAP",C2588)),"ASAP",IF(NETWORKDAYS.INTL(F2588,G2588,1,Table2[Dias no laborales]) &lt;= 7, "Dentro", IF(A2588&gt;F2588,"Programado","Fuera"))))</f>
        <v>Dentro</v>
      </c>
      <c r="K2588" s="6" t="str">
        <f t="shared" si="148"/>
        <v>A tiempo</v>
      </c>
      <c r="L2588" s="8">
        <v>46213</v>
      </c>
      <c r="M2588" s="17">
        <f>MAX(1,NETWORKDAYS(A2588,L2588,Table2[Dias no laborales]))</f>
        <v>1</v>
      </c>
    </row>
    <row r="2589" spans="1:13" hidden="1" x14ac:dyDescent="0.3">
      <c r="A2589" s="8">
        <v>46213</v>
      </c>
      <c r="B2589" s="16" t="s">
        <v>5137</v>
      </c>
      <c r="C2589" s="6" t="s">
        <v>5576</v>
      </c>
      <c r="D2589" s="6" t="s">
        <v>4824</v>
      </c>
      <c r="E2589" s="14">
        <v>46213.488888888889</v>
      </c>
      <c r="F2589" s="25">
        <f>IF(HOUR(Table1[[#This Row],[CORREO]])&gt;=11,WORKDAY(Table1[[#This Row],[CORREO]],1,Table2[Dias no laborales]),E2589)</f>
        <v>46216</v>
      </c>
      <c r="G2589" s="8">
        <v>46213</v>
      </c>
      <c r="H2589" s="6">
        <f t="shared" si="147"/>
        <v>28</v>
      </c>
      <c r="I2589" s="6">
        <f>MAX(1, NETWORKDAYS(A2589, G2589,Table2[Dias no laborales]))</f>
        <v>1</v>
      </c>
      <c r="J2589" s="6" t="str">
        <f>IF(Table1[[#This Row],[FIN]]="","Acumulado",IF(ISNUMBER(SEARCH("ASAP",C2589)),"ASAP",IF(NETWORKDAYS.INTL(F2589,G2589,1,Table2[Dias no laborales]) &lt;= 7, "Dentro", IF(A2589&gt;F2589,"Programado","Fuera"))))</f>
        <v>Dentro</v>
      </c>
      <c r="K2589" s="6" t="str">
        <f t="shared" si="148"/>
        <v>Mismo día</v>
      </c>
      <c r="L2589" s="8">
        <v>46213</v>
      </c>
      <c r="M2589" s="17">
        <f>MAX(1,NETWORKDAYS(A2589,L2589,Table2[Dias no laborales]))</f>
        <v>1</v>
      </c>
    </row>
    <row r="2590" spans="1:13" hidden="1" x14ac:dyDescent="0.3">
      <c r="A2590" s="8">
        <v>46213</v>
      </c>
      <c r="B2590" s="16" t="s">
        <v>5138</v>
      </c>
      <c r="C2590" s="6" t="s">
        <v>5577</v>
      </c>
      <c r="D2590" s="6" t="s">
        <v>4824</v>
      </c>
      <c r="E2590" s="14"/>
      <c r="F2590" s="25">
        <f>IF(HOUR(Table1[[#This Row],[CORREO]])&gt;=11,WORKDAY(Table1[[#This Row],[CORREO]],1,Table2[Dias no laborales]),E2590)</f>
        <v>0</v>
      </c>
      <c r="G2590" s="8">
        <v>46220</v>
      </c>
      <c r="H2590" s="6">
        <f t="shared" si="147"/>
        <v>28</v>
      </c>
      <c r="I2590" s="6">
        <f>MAX(1, NETWORKDAYS(A2590, G2590,Table2[Dias no laborales]))</f>
        <v>6</v>
      </c>
      <c r="J2590" s="6" t="str">
        <f>IF(Table1[[#This Row],[FIN]]="","Acumulado",IF(ISNUMBER(SEARCH("ASAP",C2590)),"ASAP",IF(NETWORKDAYS.INTL(F2590,G2590,1,Table2[Dias no laborales]) &lt;= 7, "Dentro", IF(A2590&gt;F2590,"Programado","Fuera"))))</f>
        <v>Programado</v>
      </c>
      <c r="K2590" s="6" t="str">
        <f t="shared" si="148"/>
        <v>Programados</v>
      </c>
      <c r="L2590" s="8">
        <v>46213</v>
      </c>
      <c r="M2590" s="17">
        <f>MAX(1,NETWORKDAYS(A2590,L2590,Table2[Dias no laborales]))</f>
        <v>1</v>
      </c>
    </row>
    <row r="2591" spans="1:13" hidden="1" x14ac:dyDescent="0.3">
      <c r="A2591" s="8">
        <v>46216</v>
      </c>
      <c r="B2591" s="16" t="s">
        <v>5139</v>
      </c>
      <c r="C2591" s="6" t="s">
        <v>5578</v>
      </c>
      <c r="D2591" s="6" t="s">
        <v>24</v>
      </c>
      <c r="E2591" s="14"/>
      <c r="F2591" s="25">
        <f>IF(HOUR(Table1[[#This Row],[CORREO]])&gt;=11,WORKDAY(Table1[[#This Row],[CORREO]],1,Table2[Dias no laborales]),E2591)</f>
        <v>0</v>
      </c>
      <c r="G2591" s="8">
        <v>46220</v>
      </c>
      <c r="H2591" s="6">
        <f t="shared" si="147"/>
        <v>28</v>
      </c>
      <c r="I2591" s="6">
        <f>MAX(1, NETWORKDAYS(A2591, G2591,Table2[Dias no laborales]))</f>
        <v>5</v>
      </c>
      <c r="J2591" s="6" t="str">
        <f>IF(Table1[[#This Row],[FIN]]="","Acumulado",IF(ISNUMBER(SEARCH("ASAP",C2591)),"ASAP",IF(NETWORKDAYS.INTL(F2591,G2591,1,Table2[Dias no laborales]) &lt;= 7, "Dentro", IF(A2591&gt;F2591,"Programado","Fuera"))))</f>
        <v>Programado</v>
      </c>
      <c r="K2591" s="6" t="str">
        <f t="shared" si="148"/>
        <v>Programados</v>
      </c>
      <c r="L2591" s="8">
        <v>46216</v>
      </c>
      <c r="M2591" s="17">
        <f>MAX(1,NETWORKDAYS(A2591,L2591,Table2[Dias no laborales]))</f>
        <v>1</v>
      </c>
    </row>
    <row r="2592" spans="1:13" hidden="1" x14ac:dyDescent="0.3">
      <c r="A2592" s="8">
        <v>46216</v>
      </c>
      <c r="B2592" s="16" t="s">
        <v>5140</v>
      </c>
      <c r="C2592" s="6" t="s">
        <v>5579</v>
      </c>
      <c r="D2592" s="6" t="s">
        <v>916</v>
      </c>
      <c r="E2592" s="14">
        <v>46216.261111111111</v>
      </c>
      <c r="F2592" s="25">
        <f>IF(HOUR(Table1[[#This Row],[CORREO]])&gt;=11,WORKDAY(Table1[[#This Row],[CORREO]],1,Table2[Dias no laborales]),E2592)</f>
        <v>46216.261111111111</v>
      </c>
      <c r="G2592" s="8">
        <v>46216</v>
      </c>
      <c r="H2592" s="6">
        <f t="shared" si="147"/>
        <v>28</v>
      </c>
      <c r="I2592" s="6">
        <f>MAX(1, NETWORKDAYS(A2592, G2592,Table2[Dias no laborales]))</f>
        <v>1</v>
      </c>
      <c r="J2592" s="6" t="str">
        <f>IF(Table1[[#This Row],[FIN]]="","Acumulado",IF(ISNUMBER(SEARCH("ASAP",C2592)),"ASAP",IF(NETWORKDAYS.INTL(F2592,G2592,1,Table2[Dias no laborales]) &lt;= 7, "Dentro", IF(A2592&gt;F2592,"Programado","Fuera"))))</f>
        <v>Dentro</v>
      </c>
      <c r="K2592" s="6" t="str">
        <f t="shared" si="148"/>
        <v>A tiempo</v>
      </c>
      <c r="L2592" s="8">
        <v>46216</v>
      </c>
      <c r="M2592" s="17">
        <f>MAX(1,NETWORKDAYS(A2592,L2592,Table2[Dias no laborales]))</f>
        <v>1</v>
      </c>
    </row>
    <row r="2593" spans="1:13" hidden="1" x14ac:dyDescent="0.3">
      <c r="A2593" s="8">
        <v>46216</v>
      </c>
      <c r="B2593" s="16" t="s">
        <v>5141</v>
      </c>
      <c r="C2593" s="6" t="s">
        <v>5580</v>
      </c>
      <c r="D2593" s="6" t="s">
        <v>351</v>
      </c>
      <c r="E2593" s="14"/>
      <c r="F2593" s="25">
        <f>IF(HOUR(Table1[[#This Row],[CORREO]])&gt;=11,WORKDAY(Table1[[#This Row],[CORREO]],1,Table2[Dias no laborales]),E2593)</f>
        <v>0</v>
      </c>
      <c r="G2593" s="8">
        <v>46217</v>
      </c>
      <c r="H2593" s="6">
        <f t="shared" si="147"/>
        <v>28</v>
      </c>
      <c r="I2593" s="6">
        <f>MAX(1, NETWORKDAYS(A2593, G2593,Table2[Dias no laborales]))</f>
        <v>2</v>
      </c>
      <c r="J2593" s="6" t="str">
        <f>IF(Table1[[#This Row],[FIN]]="","Acumulado",IF(ISNUMBER(SEARCH("ASAP",C2593)),"ASAP",IF(NETWORKDAYS.INTL(F2593,G2593,1,Table2[Dias no laborales]) &lt;= 7, "Dentro", IF(A2593&gt;F2593,"Programado","Fuera"))))</f>
        <v>Programado</v>
      </c>
      <c r="K2593" s="6" t="str">
        <f t="shared" si="148"/>
        <v>Programados</v>
      </c>
      <c r="L2593" s="8">
        <v>46216</v>
      </c>
      <c r="M2593" s="17">
        <f>MAX(1,NETWORKDAYS(A2593,L2593,Table2[Dias no laborales]))</f>
        <v>1</v>
      </c>
    </row>
    <row r="2594" spans="1:13" hidden="1" x14ac:dyDescent="0.3">
      <c r="A2594" s="8">
        <v>46216</v>
      </c>
      <c r="B2594" s="16" t="s">
        <v>5142</v>
      </c>
      <c r="C2594" s="6" t="s">
        <v>1262</v>
      </c>
      <c r="D2594" s="6" t="s">
        <v>5107</v>
      </c>
      <c r="E2594" s="14">
        <v>46216.318749999999</v>
      </c>
      <c r="F2594" s="25">
        <f>IF(HOUR(Table1[[#This Row],[CORREO]])&gt;=11,WORKDAY(Table1[[#This Row],[CORREO]],1,Table2[Dias no laborales]),E2594)</f>
        <v>46216.318749999999</v>
      </c>
      <c r="G2594" s="8">
        <v>46219</v>
      </c>
      <c r="H2594" s="6">
        <f t="shared" si="147"/>
        <v>28</v>
      </c>
      <c r="I2594" s="6">
        <f>MAX(1, NETWORKDAYS(A2594, G2594,Table2[Dias no laborales]))</f>
        <v>4</v>
      </c>
      <c r="J2594" s="6" t="str">
        <f>IF(Table1[[#This Row],[FIN]]="","Acumulado",IF(ISNUMBER(SEARCH("ASAP",C2594)),"ASAP",IF(NETWORKDAYS.INTL(F2594,G2594,1,Table2[Dias no laborales]) &lt;= 7, "Dentro", IF(A2594&gt;F2594,"Programado","Fuera"))))</f>
        <v>Dentro</v>
      </c>
      <c r="K2594" s="6" t="str">
        <f t="shared" si="148"/>
        <v>A tiempo</v>
      </c>
      <c r="L2594" s="8">
        <v>46216</v>
      </c>
      <c r="M2594" s="17">
        <f>MAX(1,NETWORKDAYS(A2594,L2594,Table2[Dias no laborales]))</f>
        <v>1</v>
      </c>
    </row>
    <row r="2595" spans="1:13" hidden="1" x14ac:dyDescent="0.3">
      <c r="A2595" s="8">
        <v>46216</v>
      </c>
      <c r="B2595" s="16" t="s">
        <v>5143</v>
      </c>
      <c r="C2595" s="6" t="s">
        <v>5581</v>
      </c>
      <c r="D2595" s="6" t="s">
        <v>5582</v>
      </c>
      <c r="E2595" s="14">
        <v>46216.361111111109</v>
      </c>
      <c r="F2595" s="25">
        <f>IF(HOUR(Table1[[#This Row],[CORREO]])&gt;=11,WORKDAY(Table1[[#This Row],[CORREO]],1,Table2[Dias no laborales]),E2595)</f>
        <v>46216.361111111109</v>
      </c>
      <c r="G2595" s="8">
        <v>46246</v>
      </c>
      <c r="H2595" s="6">
        <f t="shared" si="147"/>
        <v>28</v>
      </c>
      <c r="I2595" s="6">
        <f>MAX(1, NETWORKDAYS(A2595, G2595,Table2[Dias no laborales]))</f>
        <v>23</v>
      </c>
      <c r="J2595" s="6" t="str">
        <f>IF(Table1[[#This Row],[FIN]]="","Acumulado",IF(ISNUMBER(SEARCH("ASAP",C2595)),"ASAP",IF(NETWORKDAYS.INTL(F2595,G2595,1,Table2[Dias no laborales]) &lt;= 7, "Dentro", IF(A2595&gt;F2595,"Programado","Fuera"))))</f>
        <v>Fuera</v>
      </c>
      <c r="K2595" s="6" t="str">
        <f t="shared" si="148"/>
        <v>A tiempo</v>
      </c>
      <c r="L2595" s="8">
        <v>46216</v>
      </c>
      <c r="M2595" s="17">
        <f>MAX(1,NETWORKDAYS(A2595,L2595,Table2[Dias no laborales]))</f>
        <v>1</v>
      </c>
    </row>
    <row r="2596" spans="1:13" hidden="1" x14ac:dyDescent="0.3">
      <c r="A2596" s="8">
        <v>46216</v>
      </c>
      <c r="B2596" s="16" t="s">
        <v>5144</v>
      </c>
      <c r="C2596" s="6" t="s">
        <v>5583</v>
      </c>
      <c r="D2596" s="6" t="s">
        <v>3048</v>
      </c>
      <c r="E2596" s="14">
        <v>46216.387499999997</v>
      </c>
      <c r="F2596" s="25">
        <f>IF(HOUR(Table1[[#This Row],[CORREO]])&gt;=11,WORKDAY(Table1[[#This Row],[CORREO]],1,Table2[Dias no laborales]),E2596)</f>
        <v>46216.387499999997</v>
      </c>
      <c r="G2596" s="8">
        <v>46216</v>
      </c>
      <c r="H2596" s="6">
        <f t="shared" si="147"/>
        <v>28</v>
      </c>
      <c r="I2596" s="6">
        <f>MAX(1, NETWORKDAYS(A2596, G2596,Table2[Dias no laborales]))</f>
        <v>1</v>
      </c>
      <c r="J2596" s="6" t="str">
        <f>IF(Table1[[#This Row],[FIN]]="","Acumulado",IF(ISNUMBER(SEARCH("ASAP",C2596)),"ASAP",IF(NETWORKDAYS.INTL(F2596,G2596,1,Table2[Dias no laborales]) &lt;= 7, "Dentro", IF(A2596&gt;F2596,"Programado","Fuera"))))</f>
        <v>Dentro</v>
      </c>
      <c r="K2596" s="6" t="str">
        <f t="shared" si="148"/>
        <v>A tiempo</v>
      </c>
      <c r="L2596" s="8">
        <v>46216</v>
      </c>
      <c r="M2596" s="17">
        <f>MAX(1,NETWORKDAYS(A2596,L2596,Table2[Dias no laborales]))</f>
        <v>1</v>
      </c>
    </row>
    <row r="2597" spans="1:13" hidden="1" x14ac:dyDescent="0.3">
      <c r="A2597" s="8">
        <v>46216</v>
      </c>
      <c r="B2597" s="16" t="s">
        <v>5145</v>
      </c>
      <c r="C2597" s="6" t="s">
        <v>5584</v>
      </c>
      <c r="D2597" s="6" t="s">
        <v>3845</v>
      </c>
      <c r="E2597" s="14">
        <v>46216.390972222223</v>
      </c>
      <c r="F2597" s="25">
        <f>IF(HOUR(Table1[[#This Row],[CORREO]])&gt;=11,WORKDAY(Table1[[#This Row],[CORREO]],1,Table2[Dias no laborales]),E2597)</f>
        <v>46216.390972222223</v>
      </c>
      <c r="G2597" s="8">
        <v>46216</v>
      </c>
      <c r="H2597" s="6">
        <f t="shared" si="147"/>
        <v>28</v>
      </c>
      <c r="I2597" s="6">
        <f>MAX(1, NETWORKDAYS(A2597, G2597,Table2[Dias no laborales]))</f>
        <v>1</v>
      </c>
      <c r="J2597" s="6" t="str">
        <f>IF(Table1[[#This Row],[FIN]]="","Acumulado",IF(ISNUMBER(SEARCH("ASAP",C2597)),"ASAP",IF(NETWORKDAYS.INTL(F2597,G2597,1,Table2[Dias no laborales]) &lt;= 7, "Dentro", IF(A2597&gt;F2597,"Programado","Fuera"))))</f>
        <v>Dentro</v>
      </c>
      <c r="K2597" s="6" t="str">
        <f t="shared" si="148"/>
        <v>A tiempo</v>
      </c>
      <c r="L2597" s="8">
        <v>46216</v>
      </c>
      <c r="M2597" s="17">
        <f>MAX(1,NETWORKDAYS(A2597,L2597,Table2[Dias no laborales]))</f>
        <v>1</v>
      </c>
    </row>
    <row r="2598" spans="1:13" hidden="1" x14ac:dyDescent="0.3">
      <c r="A2598" s="8">
        <v>46216</v>
      </c>
      <c r="B2598" s="16" t="s">
        <v>5146</v>
      </c>
      <c r="C2598" s="6" t="s">
        <v>5585</v>
      </c>
      <c r="D2598" s="6" t="s">
        <v>5071</v>
      </c>
      <c r="E2598" s="14">
        <v>46216.472916666666</v>
      </c>
      <c r="F2598" s="25">
        <f>IF(HOUR(Table1[[#This Row],[CORREO]])&gt;=11,WORKDAY(Table1[[#This Row],[CORREO]],1,Table2[Dias no laborales]),E2598)</f>
        <v>46217</v>
      </c>
      <c r="G2598" s="8">
        <v>46262</v>
      </c>
      <c r="H2598" s="6">
        <f t="shared" si="147"/>
        <v>28</v>
      </c>
      <c r="I2598" s="6">
        <f>MAX(1, NETWORKDAYS(A2598, G2598,Table2[Dias no laborales]))</f>
        <v>35</v>
      </c>
      <c r="J2598" s="6" t="str">
        <f>IF(Table1[[#This Row],[FIN]]="","Acumulado",IF(ISNUMBER(SEARCH("ASAP",C2598)),"ASAP",IF(NETWORKDAYS.INTL(F2598,G2598,1,Table2[Dias no laborales]) &lt;= 7, "Dentro", IF(A2598&gt;F2598,"Programado","Fuera"))))</f>
        <v>Fuera</v>
      </c>
      <c r="K2598" s="6" t="str">
        <f t="shared" si="148"/>
        <v>Mismo día</v>
      </c>
      <c r="L2598" s="8">
        <v>46216</v>
      </c>
      <c r="M2598" s="17">
        <f>MAX(1,NETWORKDAYS(A2598,L2598,Table2[Dias no laborales]))</f>
        <v>1</v>
      </c>
    </row>
    <row r="2599" spans="1:13" hidden="1" x14ac:dyDescent="0.3">
      <c r="A2599" s="8">
        <v>46217</v>
      </c>
      <c r="B2599" s="16" t="s">
        <v>5147</v>
      </c>
      <c r="C2599" s="6" t="s">
        <v>5586</v>
      </c>
      <c r="D2599" s="6" t="s">
        <v>2981</v>
      </c>
      <c r="E2599" s="14">
        <v>46216.536805555559</v>
      </c>
      <c r="F2599" s="25">
        <f>IF(HOUR(Table1[[#This Row],[CORREO]])&gt;=11,WORKDAY(Table1[[#This Row],[CORREO]],1,Table2[Dias no laborales]),E2599)</f>
        <v>46217</v>
      </c>
      <c r="G2599" s="8">
        <v>46217</v>
      </c>
      <c r="H2599" s="6">
        <f t="shared" si="147"/>
        <v>28</v>
      </c>
      <c r="I2599" s="6">
        <f>MAX(1, NETWORKDAYS(A2599, G2599,Table2[Dias no laborales]))</f>
        <v>1</v>
      </c>
      <c r="J2599" s="6" t="str">
        <f>IF(Table1[[#This Row],[FIN]]="","Acumulado",IF(ISNUMBER(SEARCH("ASAP",C2599)),"ASAP",IF(NETWORKDAYS.INTL(F2599,G2599,1,Table2[Dias no laborales]) &lt;= 7, "Dentro", IF(A2599&gt;F2599,"Programado","Fuera"))))</f>
        <v>Dentro</v>
      </c>
      <c r="K2599" s="6" t="str">
        <f t="shared" si="148"/>
        <v>A tiempo</v>
      </c>
      <c r="L2599" s="8">
        <v>46217</v>
      </c>
      <c r="M2599" s="17">
        <f>MAX(1,NETWORKDAYS(A2599,L2599,Table2[Dias no laborales]))</f>
        <v>1</v>
      </c>
    </row>
    <row r="2600" spans="1:13" hidden="1" x14ac:dyDescent="0.3">
      <c r="A2600" s="8">
        <v>46217</v>
      </c>
      <c r="B2600" s="16" t="s">
        <v>5148</v>
      </c>
      <c r="C2600" s="6" t="s">
        <v>5587</v>
      </c>
      <c r="D2600" s="6" t="s">
        <v>2623</v>
      </c>
      <c r="E2600" s="14">
        <v>46216.652777777781</v>
      </c>
      <c r="F2600" s="25">
        <f>IF(HOUR(Table1[[#This Row],[CORREO]])&gt;=11,WORKDAY(Table1[[#This Row],[CORREO]],1,Table2[Dias no laborales]),E2600)</f>
        <v>46217</v>
      </c>
      <c r="G2600" s="8">
        <v>46218</v>
      </c>
      <c r="H2600" s="6">
        <f t="shared" si="147"/>
        <v>28</v>
      </c>
      <c r="I2600" s="6">
        <f>MAX(1, NETWORKDAYS(A2600, G2600,Table2[Dias no laborales]))</f>
        <v>2</v>
      </c>
      <c r="J2600" s="6" t="str">
        <f>IF(Table1[[#This Row],[FIN]]="","Acumulado",IF(ISNUMBER(SEARCH("ASAP",C2600)),"ASAP",IF(NETWORKDAYS.INTL(F2600,G2600,1,Table2[Dias no laborales]) &lt;= 7, "Dentro", IF(A2600&gt;F2600,"Programado","Fuera"))))</f>
        <v>Dentro</v>
      </c>
      <c r="K2600" s="6" t="str">
        <f t="shared" si="148"/>
        <v>A tiempo</v>
      </c>
      <c r="L2600" s="8">
        <v>46217</v>
      </c>
      <c r="M2600" s="17">
        <f>MAX(1,NETWORKDAYS(A2600,L2600,Table2[Dias no laborales]))</f>
        <v>1</v>
      </c>
    </row>
    <row r="2601" spans="1:13" hidden="1" x14ac:dyDescent="0.3">
      <c r="A2601" s="8">
        <v>46217</v>
      </c>
      <c r="B2601" s="16" t="s">
        <v>5149</v>
      </c>
      <c r="C2601" s="6" t="s">
        <v>4934</v>
      </c>
      <c r="D2601" s="6" t="s">
        <v>477</v>
      </c>
      <c r="E2601" s="14">
        <v>46217.3</v>
      </c>
      <c r="F2601" s="25">
        <f>IF(HOUR(Table1[[#This Row],[CORREO]])&gt;=11,WORKDAY(Table1[[#This Row],[CORREO]],1,Table2[Dias no laborales]),E2601)</f>
        <v>46217.3</v>
      </c>
      <c r="G2601" s="8">
        <v>46217</v>
      </c>
      <c r="H2601" s="6">
        <f t="shared" si="147"/>
        <v>28</v>
      </c>
      <c r="I2601" s="6">
        <f>MAX(1, NETWORKDAYS(A2601, G2601,Table2[Dias no laborales]))</f>
        <v>1</v>
      </c>
      <c r="J2601" s="6" t="str">
        <f>IF(Table1[[#This Row],[FIN]]="","Acumulado",IF(ISNUMBER(SEARCH("ASAP",C2601)),"ASAP",IF(NETWORKDAYS.INTL(F2601,G2601,1,Table2[Dias no laborales]) &lt;= 7, "Dentro", IF(A2601&gt;F2601,"Programado","Fuera"))))</f>
        <v>Dentro</v>
      </c>
      <c r="K2601" s="6" t="str">
        <f t="shared" si="148"/>
        <v>A tiempo</v>
      </c>
      <c r="L2601" s="8">
        <v>46217</v>
      </c>
      <c r="M2601" s="17">
        <f>MAX(1,NETWORKDAYS(A2601,L2601,Table2[Dias no laborales]))</f>
        <v>1</v>
      </c>
    </row>
    <row r="2602" spans="1:13" hidden="1" x14ac:dyDescent="0.3">
      <c r="A2602" s="8">
        <v>46217</v>
      </c>
      <c r="B2602" s="16" t="s">
        <v>5150</v>
      </c>
      <c r="C2602" s="6" t="s">
        <v>5102</v>
      </c>
      <c r="D2602" s="6" t="s">
        <v>3794</v>
      </c>
      <c r="E2602" s="14"/>
      <c r="F2602" s="25">
        <f>IF(HOUR(Table1[[#This Row],[CORREO]])&gt;=11,WORKDAY(Table1[[#This Row],[CORREO]],1,Table2[Dias no laborales]),E2602)</f>
        <v>0</v>
      </c>
      <c r="G2602" s="8">
        <v>46223</v>
      </c>
      <c r="H2602" s="6">
        <f t="shared" si="147"/>
        <v>28</v>
      </c>
      <c r="I2602" s="6">
        <f>MAX(1, NETWORKDAYS(A2602, G2602,Table2[Dias no laborales]))</f>
        <v>5</v>
      </c>
      <c r="J2602" s="6" t="str">
        <f>IF(Table1[[#This Row],[FIN]]="","Acumulado",IF(ISNUMBER(SEARCH("ASAP",C2602)),"ASAP",IF(NETWORKDAYS.INTL(F2602,G2602,1,Table2[Dias no laborales]) &lt;= 7, "Dentro", IF(A2602&gt;F2602,"Programado","Fuera"))))</f>
        <v>Programado</v>
      </c>
      <c r="K2602" s="6" t="str">
        <f t="shared" si="148"/>
        <v>Programados</v>
      </c>
      <c r="L2602" s="8">
        <v>46217</v>
      </c>
      <c r="M2602" s="17">
        <f>MAX(1,NETWORKDAYS(A2602,L2602,Table2[Dias no laborales]))</f>
        <v>1</v>
      </c>
    </row>
    <row r="2603" spans="1:13" hidden="1" x14ac:dyDescent="0.3">
      <c r="A2603" s="8">
        <v>46217</v>
      </c>
      <c r="B2603" s="16" t="s">
        <v>5151</v>
      </c>
      <c r="C2603" s="6" t="s">
        <v>5102</v>
      </c>
      <c r="D2603" s="6" t="s">
        <v>3845</v>
      </c>
      <c r="E2603" s="14"/>
      <c r="F2603" s="25">
        <f>IF(HOUR(Table1[[#This Row],[CORREO]])&gt;=11,WORKDAY(Table1[[#This Row],[CORREO]],1,Table2[Dias no laborales]),E2603)</f>
        <v>0</v>
      </c>
      <c r="G2603" s="8">
        <v>46223</v>
      </c>
      <c r="H2603" s="6">
        <f t="shared" si="147"/>
        <v>28</v>
      </c>
      <c r="I2603" s="6">
        <f>MAX(1, NETWORKDAYS(A2603, G2603,Table2[Dias no laborales]))</f>
        <v>5</v>
      </c>
      <c r="J2603" s="6" t="str">
        <f>IF(Table1[[#This Row],[FIN]]="","Acumulado",IF(ISNUMBER(SEARCH("ASAP",C2603)),"ASAP",IF(NETWORKDAYS.INTL(F2603,G2603,1,Table2[Dias no laborales]) &lt;= 7, "Dentro", IF(A2603&gt;F2603,"Programado","Fuera"))))</f>
        <v>Programado</v>
      </c>
      <c r="K2603" s="6" t="str">
        <f t="shared" si="148"/>
        <v>Programados</v>
      </c>
      <c r="L2603" s="8">
        <v>46217</v>
      </c>
      <c r="M2603" s="17">
        <f>MAX(1,NETWORKDAYS(A2603,L2603,Table2[Dias no laborales]))</f>
        <v>1</v>
      </c>
    </row>
    <row r="2604" spans="1:13" hidden="1" x14ac:dyDescent="0.3">
      <c r="A2604" s="8">
        <v>46217</v>
      </c>
      <c r="B2604" s="16" t="s">
        <v>5152</v>
      </c>
      <c r="C2604" s="6" t="s">
        <v>5102</v>
      </c>
      <c r="D2604" s="6" t="s">
        <v>4783</v>
      </c>
      <c r="E2604" s="14"/>
      <c r="F2604" s="25">
        <f>IF(HOUR(Table1[[#This Row],[CORREO]])&gt;=11,WORKDAY(Table1[[#This Row],[CORREO]],1,Table2[Dias no laborales]),E2604)</f>
        <v>0</v>
      </c>
      <c r="G2604" s="8">
        <v>46223</v>
      </c>
      <c r="H2604" s="6">
        <f t="shared" si="147"/>
        <v>28</v>
      </c>
      <c r="I2604" s="6">
        <f>MAX(1, NETWORKDAYS(A2604, G2604,Table2[Dias no laborales]))</f>
        <v>5</v>
      </c>
      <c r="J2604" s="6" t="str">
        <f>IF(Table1[[#This Row],[FIN]]="","Acumulado",IF(ISNUMBER(SEARCH("ASAP",C2604)),"ASAP",IF(NETWORKDAYS.INTL(F2604,G2604,1,Table2[Dias no laborales]) &lt;= 7, "Dentro", IF(A2604&gt;F2604,"Programado","Fuera"))))</f>
        <v>Programado</v>
      </c>
      <c r="K2604" s="6" t="str">
        <f t="shared" si="148"/>
        <v>Programados</v>
      </c>
      <c r="L2604" s="8">
        <v>46217</v>
      </c>
      <c r="M2604" s="17">
        <f>MAX(1,NETWORKDAYS(A2604,L2604,Table2[Dias no laborales]))</f>
        <v>1</v>
      </c>
    </row>
    <row r="2605" spans="1:13" hidden="1" x14ac:dyDescent="0.3">
      <c r="A2605" s="8">
        <v>46217</v>
      </c>
      <c r="B2605" s="16" t="s">
        <v>5153</v>
      </c>
      <c r="C2605" s="6" t="s">
        <v>5778</v>
      </c>
      <c r="D2605" s="6" t="s">
        <v>5779</v>
      </c>
      <c r="E2605" s="14">
        <v>46217.700694444444</v>
      </c>
      <c r="F2605" s="25">
        <f>IF(HOUR(Table1[[#This Row],[CORREO]])&gt;=11,WORKDAY(Table1[[#This Row],[CORREO]],1,Table2[Dias no laborales]),E2605)</f>
        <v>46218</v>
      </c>
      <c r="G2605" s="8">
        <v>46220</v>
      </c>
      <c r="H2605" s="6">
        <f t="shared" si="147"/>
        <v>28</v>
      </c>
      <c r="I2605" s="6">
        <f>MAX(1, NETWORKDAYS(A2605, G2605,Table2[Dias no laborales]))</f>
        <v>4</v>
      </c>
      <c r="J2605" s="6" t="str">
        <f>IF(Table1[[#This Row],[FIN]]="","Acumulado",IF(ISNUMBER(SEARCH("ASAP",C2605)),"ASAP",IF(NETWORKDAYS.INTL(F2605,G2605,1,Table2[Dias no laborales]) &lt;= 7, "Dentro", IF(A2605&gt;F2605,"Programado","Fuera"))))</f>
        <v>Dentro</v>
      </c>
      <c r="K2605" s="6" t="str">
        <f t="shared" si="148"/>
        <v>Mismo día</v>
      </c>
      <c r="L2605" s="8">
        <v>46217</v>
      </c>
      <c r="M2605" s="17">
        <f>MAX(1,NETWORKDAYS(A2605,L2605,Table2[Dias no laborales]))</f>
        <v>1</v>
      </c>
    </row>
    <row r="2606" spans="1:13" hidden="1" x14ac:dyDescent="0.3">
      <c r="A2606" s="8">
        <v>46218</v>
      </c>
      <c r="B2606" s="16" t="s">
        <v>5154</v>
      </c>
      <c r="C2606" s="6" t="s">
        <v>5780</v>
      </c>
      <c r="D2606" s="6" t="s">
        <v>5105</v>
      </c>
      <c r="E2606" s="14">
        <v>46217.517361111109</v>
      </c>
      <c r="F2606" s="25">
        <f>IF(HOUR(Table1[[#This Row],[CORREO]])&gt;=11,WORKDAY(Table1[[#This Row],[CORREO]],1,Table2[Dias no laborales]),E2606)</f>
        <v>46218</v>
      </c>
      <c r="G2606" s="8">
        <v>46219</v>
      </c>
      <c r="H2606" s="6">
        <f t="shared" si="147"/>
        <v>28</v>
      </c>
      <c r="I2606" s="6">
        <f>MAX(1, NETWORKDAYS(A2606, G2606,Table2[Dias no laborales]))</f>
        <v>2</v>
      </c>
      <c r="J2606" s="6" t="str">
        <f>IF(Table1[[#This Row],[FIN]]="","Acumulado",IF(ISNUMBER(SEARCH("ASAP",C2606)),"ASAP",IF(NETWORKDAYS.INTL(F2606,G2606,1,Table2[Dias no laborales]) &lt;= 7, "Dentro", IF(A2606&gt;F2606,"Programado","Fuera"))))</f>
        <v>Dentro</v>
      </c>
      <c r="K2606" s="6" t="str">
        <f t="shared" si="148"/>
        <v>A tiempo</v>
      </c>
      <c r="L2606" s="8">
        <v>46218</v>
      </c>
      <c r="M2606" s="17">
        <f>MAX(1,NETWORKDAYS(A2606,L2606,Table2[Dias no laborales]))</f>
        <v>1</v>
      </c>
    </row>
    <row r="2607" spans="1:13" hidden="1" x14ac:dyDescent="0.3">
      <c r="A2607" s="8">
        <v>46218</v>
      </c>
      <c r="B2607" s="16" t="s">
        <v>5155</v>
      </c>
      <c r="C2607" s="6" t="s">
        <v>5781</v>
      </c>
      <c r="D2607" s="6" t="s">
        <v>3837</v>
      </c>
      <c r="E2607" s="14">
        <v>46217.625694444447</v>
      </c>
      <c r="F2607" s="25">
        <f>IF(HOUR(Table1[[#This Row],[CORREO]])&gt;=11,WORKDAY(Table1[[#This Row],[CORREO]],1,Table2[Dias no laborales]),E2607)</f>
        <v>46218</v>
      </c>
      <c r="G2607" s="8">
        <v>46220</v>
      </c>
      <c r="H2607" s="6">
        <f t="shared" si="147"/>
        <v>28</v>
      </c>
      <c r="I2607" s="6">
        <f>MAX(1, NETWORKDAYS(A2607, G2607,Table2[Dias no laborales]))</f>
        <v>3</v>
      </c>
      <c r="J2607" s="6" t="str">
        <f>IF(Table1[[#This Row],[FIN]]="","Acumulado",IF(ISNUMBER(SEARCH("ASAP",C2607)),"ASAP",IF(NETWORKDAYS.INTL(F2607,G2607,1,Table2[Dias no laborales]) &lt;= 7, "Dentro", IF(A2607&gt;F2607,"Programado","Fuera"))))</f>
        <v>Dentro</v>
      </c>
      <c r="K2607" s="6" t="str">
        <f t="shared" si="148"/>
        <v>A tiempo</v>
      </c>
      <c r="L2607" s="8">
        <v>46218</v>
      </c>
      <c r="M2607" s="17">
        <f>MAX(1,NETWORKDAYS(A2607,L2607,Table2[Dias no laborales]))</f>
        <v>1</v>
      </c>
    </row>
    <row r="2608" spans="1:13" hidden="1" x14ac:dyDescent="0.3">
      <c r="A2608" s="8">
        <v>46218</v>
      </c>
      <c r="B2608" s="16" t="s">
        <v>5156</v>
      </c>
      <c r="C2608" s="6" t="s">
        <v>4988</v>
      </c>
      <c r="D2608" s="6" t="s">
        <v>392</v>
      </c>
      <c r="E2608" s="14"/>
      <c r="F2608" s="25">
        <f>IF(HOUR(Table1[[#This Row],[CORREO]])&gt;=11,WORKDAY(Table1[[#This Row],[CORREO]],1,Table2[Dias no laborales]),E2608)</f>
        <v>0</v>
      </c>
      <c r="G2608" s="8">
        <v>46219</v>
      </c>
      <c r="H2608" s="6">
        <f t="shared" si="147"/>
        <v>28</v>
      </c>
      <c r="I2608" s="6">
        <f>MAX(1, NETWORKDAYS(A2608, G2608,Table2[Dias no laborales]))</f>
        <v>2</v>
      </c>
      <c r="J2608" s="6" t="str">
        <f>IF(Table1[[#This Row],[FIN]]="","Acumulado",IF(ISNUMBER(SEARCH("ASAP",C2608)),"ASAP",IF(NETWORKDAYS.INTL(F2608,G2608,1,Table2[Dias no laborales]) &lt;= 7, "Dentro", IF(A2608&gt;F2608,"Programado","Fuera"))))</f>
        <v>Programado</v>
      </c>
      <c r="K2608" s="6" t="str">
        <f t="shared" si="148"/>
        <v>Programados</v>
      </c>
      <c r="L2608" s="8">
        <v>46218</v>
      </c>
      <c r="M2608" s="17">
        <f>MAX(1,NETWORKDAYS(A2608,L2608,Table2[Dias no laborales]))</f>
        <v>1</v>
      </c>
    </row>
    <row r="2609" spans="1:13" hidden="1" x14ac:dyDescent="0.3">
      <c r="A2609" s="8">
        <v>46218</v>
      </c>
      <c r="B2609" s="16" t="s">
        <v>5157</v>
      </c>
      <c r="C2609" s="6" t="s">
        <v>5782</v>
      </c>
      <c r="D2609" s="6" t="s">
        <v>5783</v>
      </c>
      <c r="E2609" s="14"/>
      <c r="F2609" s="25">
        <f>IF(HOUR(Table1[[#This Row],[CORREO]])&gt;=11,WORKDAY(Table1[[#This Row],[CORREO]],1,Table2[Dias no laborales]),E2609)</f>
        <v>0</v>
      </c>
      <c r="G2609" s="8">
        <v>46219</v>
      </c>
      <c r="H2609" s="6">
        <f t="shared" si="147"/>
        <v>28</v>
      </c>
      <c r="I2609" s="6">
        <f>MAX(1, NETWORKDAYS(A2609, G2609,Table2[Dias no laborales]))</f>
        <v>2</v>
      </c>
      <c r="J2609" s="6" t="str">
        <f>IF(Table1[[#This Row],[FIN]]="","Acumulado",IF(ISNUMBER(SEARCH("ASAP",C2609)),"ASAP",IF(NETWORKDAYS.INTL(F2609,G2609,1,Table2[Dias no laborales]) &lt;= 7, "Dentro", IF(A2609&gt;F2609,"Programado","Fuera"))))</f>
        <v>Programado</v>
      </c>
      <c r="K2609" s="6" t="str">
        <f t="shared" si="148"/>
        <v>Programados</v>
      </c>
      <c r="L2609" s="8">
        <v>46218</v>
      </c>
      <c r="M2609" s="17">
        <f>MAX(1,NETWORKDAYS(A2609,L2609,Table2[Dias no laborales]))</f>
        <v>1</v>
      </c>
    </row>
    <row r="2610" spans="1:13" hidden="1" x14ac:dyDescent="0.3">
      <c r="A2610" s="8">
        <v>46219</v>
      </c>
      <c r="B2610" s="16" t="s">
        <v>5158</v>
      </c>
      <c r="C2610" s="6" t="s">
        <v>5784</v>
      </c>
      <c r="D2610" s="6" t="s">
        <v>24</v>
      </c>
      <c r="E2610" s="14"/>
      <c r="F2610" s="25">
        <f>IF(HOUR(Table1[[#This Row],[CORREO]])&gt;=11,WORKDAY(Table1[[#This Row],[CORREO]],1,Table2[Dias no laborales]),E2610)</f>
        <v>0</v>
      </c>
      <c r="G2610" s="8">
        <v>46223</v>
      </c>
      <c r="H2610" s="6">
        <f t="shared" si="147"/>
        <v>29</v>
      </c>
      <c r="I2610" s="6">
        <f>MAX(1, NETWORKDAYS(A2610, G2610,Table2[Dias no laborales]))</f>
        <v>3</v>
      </c>
      <c r="J2610" s="6" t="str">
        <f>IF(Table1[[#This Row],[FIN]]="","Acumulado",IF(ISNUMBER(SEARCH("ASAP",C2610)),"ASAP",IF(NETWORKDAYS.INTL(F2610,G2610,1,Table2[Dias no laborales]) &lt;= 7, "Dentro", IF(A2610&gt;F2610,"Programado","Fuera"))))</f>
        <v>Programado</v>
      </c>
      <c r="K2610" s="6" t="str">
        <f t="shared" si="148"/>
        <v>Programados</v>
      </c>
      <c r="L2610" s="8">
        <v>46219</v>
      </c>
      <c r="M2610" s="17">
        <f>MAX(1,NETWORKDAYS(A2610,L2610,Table2[Dias no laborales]))</f>
        <v>1</v>
      </c>
    </row>
    <row r="2611" spans="1:13" hidden="1" x14ac:dyDescent="0.3">
      <c r="A2611" s="8">
        <v>46219</v>
      </c>
      <c r="B2611" s="16" t="s">
        <v>5159</v>
      </c>
      <c r="C2611" s="6" t="s">
        <v>4988</v>
      </c>
      <c r="D2611" s="6" t="s">
        <v>392</v>
      </c>
      <c r="E2611" s="14">
        <v>46219.336111111108</v>
      </c>
      <c r="F2611" s="25">
        <f>IF(HOUR(Table1[[#This Row],[CORREO]])&gt;=11,WORKDAY(Table1[[#This Row],[CORREO]],1,Table2[Dias no laborales]),E2611)</f>
        <v>46219.336111111108</v>
      </c>
      <c r="G2611" s="8">
        <v>46219</v>
      </c>
      <c r="H2611" s="6">
        <f t="shared" si="147"/>
        <v>29</v>
      </c>
      <c r="I2611" s="6">
        <f>MAX(1, NETWORKDAYS(A2611, G2611,Table2[Dias no laborales]))</f>
        <v>1</v>
      </c>
      <c r="J2611" s="6" t="str">
        <f>IF(Table1[[#This Row],[FIN]]="","Acumulado",IF(ISNUMBER(SEARCH("ASAP",C2611)),"ASAP",IF(NETWORKDAYS.INTL(F2611,G2611,1,Table2[Dias no laborales]) &lt;= 7, "Dentro", IF(A2611&gt;F2611,"Programado","Fuera"))))</f>
        <v>Dentro</v>
      </c>
      <c r="K2611" s="6" t="str">
        <f t="shared" si="148"/>
        <v>A tiempo</v>
      </c>
      <c r="L2611" s="8">
        <v>46219</v>
      </c>
      <c r="M2611" s="17">
        <f>MAX(1,NETWORKDAYS(A2611,L2611,Table2[Dias no laborales]))</f>
        <v>1</v>
      </c>
    </row>
    <row r="2612" spans="1:13" hidden="1" x14ac:dyDescent="0.3">
      <c r="A2612" s="8">
        <v>46219</v>
      </c>
      <c r="B2612" s="16" t="s">
        <v>5160</v>
      </c>
      <c r="C2612" s="6" t="s">
        <v>5785</v>
      </c>
      <c r="D2612" s="6" t="s">
        <v>27</v>
      </c>
      <c r="E2612" s="14">
        <v>46218.410416666666</v>
      </c>
      <c r="F2612" s="25">
        <f>IF(HOUR(Table1[[#This Row],[CORREO]])&gt;=11,WORKDAY(Table1[[#This Row],[CORREO]],1,Table2[Dias no laborales]),E2612)</f>
        <v>46218.410416666666</v>
      </c>
      <c r="G2612" s="8">
        <v>46223</v>
      </c>
      <c r="H2612" s="6">
        <f t="shared" si="147"/>
        <v>29</v>
      </c>
      <c r="I2612" s="6">
        <f>MAX(1, NETWORKDAYS(A2612, G2612,Table2[Dias no laborales]))</f>
        <v>3</v>
      </c>
      <c r="J2612" s="6" t="str">
        <f>IF(Table1[[#This Row],[FIN]]="","Acumulado",IF(ISNUMBER(SEARCH("ASAP",C2612)),"ASAP",IF(NETWORKDAYS.INTL(F2612,G2612,1,Table2[Dias no laborales]) &lt;= 7, "Dentro", IF(A2612&gt;F2612,"Programado","Fuera"))))</f>
        <v>Dentro</v>
      </c>
      <c r="K2612" s="6" t="str">
        <f t="shared" si="148"/>
        <v>Programados</v>
      </c>
      <c r="L2612" s="8">
        <v>46219</v>
      </c>
      <c r="M2612" s="17">
        <f>MAX(1,NETWORKDAYS(A2612,L2612,Table2[Dias no laborales]))</f>
        <v>1</v>
      </c>
    </row>
    <row r="2613" spans="1:13" hidden="1" x14ac:dyDescent="0.3">
      <c r="A2613" s="8">
        <v>46219</v>
      </c>
      <c r="B2613" s="16" t="s">
        <v>5161</v>
      </c>
      <c r="C2613" s="6" t="s">
        <v>5786</v>
      </c>
      <c r="D2613" s="6" t="s">
        <v>24</v>
      </c>
      <c r="E2613" s="14">
        <v>46218.543055555558</v>
      </c>
      <c r="F2613" s="25">
        <f>IF(HOUR(Table1[[#This Row],[CORREO]])&gt;=11,WORKDAY(Table1[[#This Row],[CORREO]],1,Table2[Dias no laborales]),E2613)</f>
        <v>46219</v>
      </c>
      <c r="G2613" s="8">
        <v>46220</v>
      </c>
      <c r="H2613" s="6">
        <f t="shared" si="147"/>
        <v>29</v>
      </c>
      <c r="I2613" s="6">
        <f>MAX(1, NETWORKDAYS(A2613, G2613,Table2[Dias no laborales]))</f>
        <v>2</v>
      </c>
      <c r="J2613" s="6" t="str">
        <f>IF(Table1[[#This Row],[FIN]]="","Acumulado",IF(ISNUMBER(SEARCH("ASAP",C2613)),"ASAP",IF(NETWORKDAYS.INTL(F2613,G2613,1,Table2[Dias no laborales]) &lt;= 7, "Dentro", IF(A2613&gt;F2613,"Programado","Fuera"))))</f>
        <v>Dentro</v>
      </c>
      <c r="K2613" s="6" t="str">
        <f t="shared" si="148"/>
        <v>A tiempo</v>
      </c>
      <c r="L2613" s="8">
        <v>46219</v>
      </c>
      <c r="M2613" s="17">
        <f>MAX(1,NETWORKDAYS(A2613,L2613,Table2[Dias no laborales]))</f>
        <v>1</v>
      </c>
    </row>
    <row r="2614" spans="1:13" hidden="1" x14ac:dyDescent="0.3">
      <c r="A2614" s="8">
        <v>46219</v>
      </c>
      <c r="B2614" s="16" t="s">
        <v>5162</v>
      </c>
      <c r="C2614" s="6" t="s">
        <v>5787</v>
      </c>
      <c r="D2614" s="6" t="s">
        <v>27</v>
      </c>
      <c r="E2614" s="14">
        <v>46218.615972222222</v>
      </c>
      <c r="F2614" s="25">
        <f>IF(HOUR(Table1[[#This Row],[CORREO]])&gt;=11,WORKDAY(Table1[[#This Row],[CORREO]],1,Table2[Dias no laborales]),E2614)</f>
        <v>46219</v>
      </c>
      <c r="G2614" s="8">
        <v>46223</v>
      </c>
      <c r="H2614" s="6">
        <f t="shared" si="147"/>
        <v>29</v>
      </c>
      <c r="I2614" s="6">
        <f>MAX(1, NETWORKDAYS(A2614, G2614,Table2[Dias no laborales]))</f>
        <v>3</v>
      </c>
      <c r="J2614" s="6" t="str">
        <f>IF(Table1[[#This Row],[FIN]]="","Acumulado",IF(ISNUMBER(SEARCH("ASAP",C2614)),"ASAP",IF(NETWORKDAYS.INTL(F2614,G2614,1,Table2[Dias no laborales]) &lt;= 7, "Dentro", IF(A2614&gt;F2614,"Programado","Fuera"))))</f>
        <v>Dentro</v>
      </c>
      <c r="K2614" s="6" t="str">
        <f t="shared" si="148"/>
        <v>A tiempo</v>
      </c>
      <c r="L2614" s="8">
        <v>46219</v>
      </c>
      <c r="M2614" s="17">
        <f>MAX(1,NETWORKDAYS(A2614,L2614,Table2[Dias no laborales]))</f>
        <v>1</v>
      </c>
    </row>
    <row r="2615" spans="1:13" hidden="1" x14ac:dyDescent="0.3">
      <c r="A2615" s="8">
        <v>46219</v>
      </c>
      <c r="B2615" s="16" t="s">
        <v>5163</v>
      </c>
      <c r="C2615" s="6" t="s">
        <v>5788</v>
      </c>
      <c r="D2615" s="6" t="s">
        <v>5071</v>
      </c>
      <c r="E2615" s="14">
        <v>46218.665277777778</v>
      </c>
      <c r="F2615" s="25">
        <f>IF(HOUR(Table1[[#This Row],[CORREO]])&gt;=11,WORKDAY(Table1[[#This Row],[CORREO]],1,Table2[Dias no laborales]),E2615)</f>
        <v>46219</v>
      </c>
      <c r="G2615" s="8">
        <v>46230</v>
      </c>
      <c r="H2615" s="6">
        <f t="shared" si="147"/>
        <v>29</v>
      </c>
      <c r="I2615" s="6">
        <f>MAX(1, NETWORKDAYS(A2615, G2615,Table2[Dias no laborales]))</f>
        <v>8</v>
      </c>
      <c r="J2615" s="6" t="str">
        <f>IF(Table1[[#This Row],[FIN]]="","Acumulado",IF(ISNUMBER(SEARCH("ASAP",C2615)),"ASAP",IF(NETWORKDAYS.INTL(F2615,G2615,1,Table2[Dias no laborales]) &lt;= 7, "Dentro", IF(A2615&gt;F2615,"Programado","Fuera"))))</f>
        <v>Fuera</v>
      </c>
      <c r="K2615" s="6" t="str">
        <f t="shared" si="148"/>
        <v>A tiempo</v>
      </c>
      <c r="L2615" s="8">
        <v>46219</v>
      </c>
      <c r="M2615" s="17">
        <f>MAX(1,NETWORKDAYS(A2615,L2615,Table2[Dias no laborales]))</f>
        <v>1</v>
      </c>
    </row>
    <row r="2616" spans="1:13" hidden="1" x14ac:dyDescent="0.3">
      <c r="A2616" s="8">
        <v>46219</v>
      </c>
      <c r="B2616" s="16" t="s">
        <v>5164</v>
      </c>
      <c r="C2616" s="6" t="s">
        <v>5789</v>
      </c>
      <c r="D2616" s="6" t="s">
        <v>24</v>
      </c>
      <c r="E2616" s="14">
        <v>46218</v>
      </c>
      <c r="F2616" s="25">
        <f>IF(HOUR(Table1[[#This Row],[CORREO]])&gt;=11,WORKDAY(Table1[[#This Row],[CORREO]],1,Table2[Dias no laborales]),E2616)</f>
        <v>46218</v>
      </c>
      <c r="G2616" s="8">
        <v>46223</v>
      </c>
      <c r="H2616" s="6">
        <f t="shared" si="147"/>
        <v>29</v>
      </c>
      <c r="I2616" s="6">
        <f>MAX(1, NETWORKDAYS(A2616, G2616,Table2[Dias no laborales]))</f>
        <v>3</v>
      </c>
      <c r="J2616" s="6" t="str">
        <f>IF(Table1[[#This Row],[FIN]]="","Acumulado",IF(ISNUMBER(SEARCH("ASAP",C2616)),"ASAP",IF(NETWORKDAYS.INTL(F2616,G2616,1,Table2[Dias no laborales]) &lt;= 7, "Dentro", IF(A2616&gt;F2616,"Programado","Fuera"))))</f>
        <v>Dentro</v>
      </c>
      <c r="K2616" s="6" t="str">
        <f t="shared" si="148"/>
        <v>Programados</v>
      </c>
      <c r="L2616" s="8">
        <v>46219</v>
      </c>
      <c r="M2616" s="17">
        <f>MAX(1,NETWORKDAYS(A2616,L2616,Table2[Dias no laborales]))</f>
        <v>1</v>
      </c>
    </row>
    <row r="2617" spans="1:13" hidden="1" x14ac:dyDescent="0.3">
      <c r="A2617" s="8">
        <v>46219</v>
      </c>
      <c r="B2617" s="16" t="s">
        <v>5165</v>
      </c>
      <c r="C2617" s="6" t="s">
        <v>5790</v>
      </c>
      <c r="D2617" s="6" t="s">
        <v>538</v>
      </c>
      <c r="E2617" s="14">
        <v>46219.557638888888</v>
      </c>
      <c r="F2617" s="25">
        <f>IF(HOUR(Table1[[#This Row],[CORREO]])&gt;=11,WORKDAY(Table1[[#This Row],[CORREO]],1,Table2[Dias no laborales]),E2617)</f>
        <v>46220</v>
      </c>
      <c r="G2617" s="8">
        <v>46223</v>
      </c>
      <c r="H2617" s="6">
        <f t="shared" si="147"/>
        <v>29</v>
      </c>
      <c r="I2617" s="6">
        <f>MAX(1, NETWORKDAYS(A2617, G2617,Table2[Dias no laborales]))</f>
        <v>3</v>
      </c>
      <c r="J2617" s="6" t="str">
        <f>IF(Table1[[#This Row],[FIN]]="","Acumulado",IF(ISNUMBER(SEARCH("ASAP",C2617)),"ASAP",IF(NETWORKDAYS.INTL(F2617,G2617,1,Table2[Dias no laborales]) &lt;= 7, "Dentro", IF(A2617&gt;F2617,"Programado","Fuera"))))</f>
        <v>Dentro</v>
      </c>
      <c r="K2617" s="6" t="str">
        <f t="shared" si="148"/>
        <v>Mismo día</v>
      </c>
      <c r="L2617" s="8">
        <v>46219</v>
      </c>
      <c r="M2617" s="17">
        <f>MAX(1,NETWORKDAYS(A2617,L2617,Table2[Dias no laborales]))</f>
        <v>1</v>
      </c>
    </row>
    <row r="2618" spans="1:13" hidden="1" x14ac:dyDescent="0.3">
      <c r="A2618" s="8">
        <v>46220</v>
      </c>
      <c r="B2618" s="16" t="s">
        <v>5166</v>
      </c>
      <c r="C2618" s="6" t="s">
        <v>5791</v>
      </c>
      <c r="D2618" s="6" t="s">
        <v>1136</v>
      </c>
      <c r="E2618" s="14">
        <v>46218.6875</v>
      </c>
      <c r="F2618" s="25">
        <f>IF(HOUR(Table1[[#This Row],[CORREO]])&gt;=11,WORKDAY(Table1[[#This Row],[CORREO]],1,Table2[Dias no laborales]),E2618)</f>
        <v>46219</v>
      </c>
      <c r="G2618" s="8">
        <v>46223</v>
      </c>
      <c r="H2618" s="6">
        <f t="shared" si="147"/>
        <v>29</v>
      </c>
      <c r="I2618" s="6">
        <f>MAX(1, NETWORKDAYS(A2618, G2618,Table2[Dias no laborales]))</f>
        <v>2</v>
      </c>
      <c r="J2618" s="6" t="str">
        <f>IF(Table1[[#This Row],[FIN]]="","Acumulado",IF(ISNUMBER(SEARCH("ASAP",C2618)),"ASAP",IF(NETWORKDAYS.INTL(F2618,G2618,1,Table2[Dias no laborales]) &lt;= 7, "Dentro", IF(A2618&gt;F2618,"Programado","Fuera"))))</f>
        <v>Dentro</v>
      </c>
      <c r="K2618" s="6" t="str">
        <f t="shared" si="148"/>
        <v>Programados</v>
      </c>
      <c r="L2618" s="8">
        <v>46220</v>
      </c>
      <c r="M2618" s="17">
        <f>MAX(1,NETWORKDAYS(A2618,L2618,Table2[Dias no laborales]))</f>
        <v>1</v>
      </c>
    </row>
    <row r="2619" spans="1:13" hidden="1" x14ac:dyDescent="0.3">
      <c r="A2619" s="8">
        <v>46220</v>
      </c>
      <c r="B2619" s="16" t="s">
        <v>5167</v>
      </c>
      <c r="C2619" s="6" t="s">
        <v>1962</v>
      </c>
      <c r="D2619" s="6" t="s">
        <v>171</v>
      </c>
      <c r="E2619" s="14">
        <v>46219.603472222225</v>
      </c>
      <c r="F2619" s="25">
        <f>IF(HOUR(Table1[[#This Row],[CORREO]])&gt;=11,WORKDAY(Table1[[#This Row],[CORREO]],1,Table2[Dias no laborales]),E2619)</f>
        <v>46220</v>
      </c>
      <c r="G2619" s="8">
        <v>46220</v>
      </c>
      <c r="H2619" s="6">
        <f t="shared" si="147"/>
        <v>29</v>
      </c>
      <c r="I2619" s="6">
        <f>MAX(1, NETWORKDAYS(A2619, G2619,Table2[Dias no laborales]))</f>
        <v>1</v>
      </c>
      <c r="J2619" s="6" t="str">
        <f>IF(Table1[[#This Row],[FIN]]="","Acumulado",IF(ISNUMBER(SEARCH("ASAP",C2619)),"ASAP",IF(NETWORKDAYS.INTL(F2619,G2619,1,Table2[Dias no laborales]) &lt;= 7, "Dentro", IF(A2619&gt;F2619,"Programado","Fuera"))))</f>
        <v>Dentro</v>
      </c>
      <c r="K2619" s="6" t="str">
        <f t="shared" si="148"/>
        <v>A tiempo</v>
      </c>
      <c r="L2619" s="8">
        <v>46220</v>
      </c>
      <c r="M2619" s="17">
        <f>MAX(1,NETWORKDAYS(A2619,L2619,Table2[Dias no laborales]))</f>
        <v>1</v>
      </c>
    </row>
    <row r="2620" spans="1:13" hidden="1" x14ac:dyDescent="0.3">
      <c r="A2620" s="8">
        <v>46220</v>
      </c>
      <c r="B2620" s="16" t="s">
        <v>5168</v>
      </c>
      <c r="C2620" s="6" t="s">
        <v>5792</v>
      </c>
      <c r="D2620" s="6" t="s">
        <v>372</v>
      </c>
      <c r="E2620" s="14">
        <v>46219.604166666664</v>
      </c>
      <c r="F2620" s="25">
        <f>IF(HOUR(Table1[[#This Row],[CORREO]])&gt;=11,WORKDAY(Table1[[#This Row],[CORREO]],1,Table2[Dias no laborales]),E2620)</f>
        <v>46220</v>
      </c>
      <c r="G2620" s="8">
        <v>46220</v>
      </c>
      <c r="H2620" s="6">
        <f t="shared" si="147"/>
        <v>29</v>
      </c>
      <c r="I2620" s="6">
        <f>MAX(1, NETWORKDAYS(A2620, G2620,Table2[Dias no laborales]))</f>
        <v>1</v>
      </c>
      <c r="J2620" s="6" t="str">
        <f>IF(Table1[[#This Row],[FIN]]="","Acumulado",IF(ISNUMBER(SEARCH("ASAP",C2620)),"ASAP",IF(NETWORKDAYS.INTL(F2620,G2620,1,Table2[Dias no laborales]) &lt;= 7, "Dentro", IF(A2620&gt;F2620,"Programado","Fuera"))))</f>
        <v>Dentro</v>
      </c>
      <c r="K2620" s="6" t="str">
        <f t="shared" si="148"/>
        <v>A tiempo</v>
      </c>
      <c r="L2620" s="8">
        <v>46220</v>
      </c>
      <c r="M2620" s="17">
        <f>MAX(1,NETWORKDAYS(A2620,L2620,Table2[Dias no laborales]))</f>
        <v>1</v>
      </c>
    </row>
    <row r="2621" spans="1:13" hidden="1" x14ac:dyDescent="0.3">
      <c r="A2621" s="8">
        <v>46220</v>
      </c>
      <c r="B2621" s="16" t="s">
        <v>5169</v>
      </c>
      <c r="C2621" s="6" t="s">
        <v>3008</v>
      </c>
      <c r="D2621" s="6" t="s">
        <v>5793</v>
      </c>
      <c r="E2621" s="14">
        <v>46219.696527777778</v>
      </c>
      <c r="F2621" s="25">
        <f>IF(HOUR(Table1[[#This Row],[CORREO]])&gt;=11,WORKDAY(Table1[[#This Row],[CORREO]],1,Table2[Dias no laborales]),E2621)</f>
        <v>46220</v>
      </c>
      <c r="G2621" s="8">
        <v>46225</v>
      </c>
      <c r="H2621" s="6">
        <f t="shared" si="147"/>
        <v>29</v>
      </c>
      <c r="I2621" s="6">
        <f>MAX(1, NETWORKDAYS(A2621, G2621,Table2[Dias no laborales]))</f>
        <v>4</v>
      </c>
      <c r="J2621" s="6" t="str">
        <f>IF(Table1[[#This Row],[FIN]]="","Acumulado",IF(ISNUMBER(SEARCH("ASAP",C2621)),"ASAP",IF(NETWORKDAYS.INTL(F2621,G2621,1,Table2[Dias no laborales]) &lt;= 7, "Dentro", IF(A2621&gt;F2621,"Programado","Fuera"))))</f>
        <v>Dentro</v>
      </c>
      <c r="K2621" s="6" t="str">
        <f t="shared" si="148"/>
        <v>A tiempo</v>
      </c>
      <c r="L2621" s="8">
        <v>46220</v>
      </c>
      <c r="M2621" s="17">
        <f>MAX(1,NETWORKDAYS(A2621,L2621,Table2[Dias no laborales]))</f>
        <v>1</v>
      </c>
    </row>
    <row r="2622" spans="1:13" hidden="1" x14ac:dyDescent="0.3">
      <c r="A2622" s="8">
        <v>46220</v>
      </c>
      <c r="B2622" s="16" t="s">
        <v>5170</v>
      </c>
      <c r="C2622" s="6" t="s">
        <v>5794</v>
      </c>
      <c r="D2622" s="6" t="s">
        <v>133</v>
      </c>
      <c r="E2622" s="14">
        <v>46219.599305555559</v>
      </c>
      <c r="F2622" s="25">
        <f>IF(HOUR(Table1[[#This Row],[CORREO]])&gt;=11,WORKDAY(Table1[[#This Row],[CORREO]],1,Table2[Dias no laborales]),E2622)</f>
        <v>46220</v>
      </c>
      <c r="G2622" s="8">
        <v>46223</v>
      </c>
      <c r="H2622" s="6">
        <f t="shared" si="147"/>
        <v>29</v>
      </c>
      <c r="I2622" s="6">
        <f>MAX(1, NETWORKDAYS(A2622, G2622,Table2[Dias no laborales]))</f>
        <v>2</v>
      </c>
      <c r="J2622" s="6" t="str">
        <f>IF(Table1[[#This Row],[FIN]]="","Acumulado",IF(ISNUMBER(SEARCH("ASAP",C2622)),"ASAP",IF(NETWORKDAYS.INTL(F2622,G2622,1,Table2[Dias no laborales]) &lt;= 7, "Dentro", IF(A2622&gt;F2622,"Programado","Fuera"))))</f>
        <v>Dentro</v>
      </c>
      <c r="K2622" s="6" t="str">
        <f t="shared" si="148"/>
        <v>A tiempo</v>
      </c>
      <c r="L2622" s="8">
        <v>46220</v>
      </c>
      <c r="M2622" s="17">
        <f>MAX(1,NETWORKDAYS(A2622,L2622,Table2[Dias no laborales]))</f>
        <v>1</v>
      </c>
    </row>
    <row r="2623" spans="1:13" hidden="1" x14ac:dyDescent="0.3">
      <c r="A2623" s="8">
        <v>46220</v>
      </c>
      <c r="B2623" s="16" t="s">
        <v>5171</v>
      </c>
      <c r="C2623" s="6" t="s">
        <v>5795</v>
      </c>
      <c r="D2623" s="6" t="s">
        <v>1333</v>
      </c>
      <c r="E2623" s="14">
        <v>46220.352777777778</v>
      </c>
      <c r="F2623" s="25">
        <f>IF(HOUR(Table1[[#This Row],[CORREO]])&gt;=11,WORKDAY(Table1[[#This Row],[CORREO]],1,Table2[Dias no laborales]),E2623)</f>
        <v>46220.352777777778</v>
      </c>
      <c r="G2623" s="8">
        <v>46220</v>
      </c>
      <c r="H2623" s="6">
        <f t="shared" si="147"/>
        <v>29</v>
      </c>
      <c r="I2623" s="6">
        <f>MAX(1, NETWORKDAYS(A2623, G2623,Table2[Dias no laborales]))</f>
        <v>1</v>
      </c>
      <c r="J2623" s="6" t="str">
        <f>IF(Table1[[#This Row],[FIN]]="","Acumulado",IF(ISNUMBER(SEARCH("ASAP",C2623)),"ASAP",IF(NETWORKDAYS.INTL(F2623,G2623,1,Table2[Dias no laborales]) &lt;= 7, "Dentro", IF(A2623&gt;F2623,"Programado","Fuera"))))</f>
        <v>Dentro</v>
      </c>
      <c r="K2623" s="6" t="str">
        <f t="shared" si="148"/>
        <v>A tiempo</v>
      </c>
      <c r="L2623" s="8">
        <v>46220</v>
      </c>
      <c r="M2623" s="17">
        <f>MAX(1,NETWORKDAYS(A2623,L2623,Table2[Dias no laborales]))</f>
        <v>1</v>
      </c>
    </row>
    <row r="2624" spans="1:13" hidden="1" x14ac:dyDescent="0.3">
      <c r="A2624" s="8">
        <v>46220</v>
      </c>
      <c r="B2624" s="16" t="s">
        <v>5172</v>
      </c>
      <c r="C2624" s="6" t="s">
        <v>5796</v>
      </c>
      <c r="D2624" s="6" t="s">
        <v>3048</v>
      </c>
      <c r="E2624" s="14">
        <v>46220.354166666664</v>
      </c>
      <c r="F2624" s="25">
        <f>IF(HOUR(Table1[[#This Row],[CORREO]])&gt;=11,WORKDAY(Table1[[#This Row],[CORREO]],1,Table2[Dias no laborales]),E2624)</f>
        <v>46220.354166666664</v>
      </c>
      <c r="G2624" s="8">
        <v>46220</v>
      </c>
      <c r="H2624" s="6">
        <f t="shared" si="147"/>
        <v>29</v>
      </c>
      <c r="I2624" s="6">
        <f>MAX(1, NETWORKDAYS(A2624, G2624,Table2[Dias no laborales]))</f>
        <v>1</v>
      </c>
      <c r="J2624" s="6" t="str">
        <f>IF(Table1[[#This Row],[FIN]]="","Acumulado",IF(ISNUMBER(SEARCH("ASAP",C2624)),"ASAP",IF(NETWORKDAYS.INTL(F2624,G2624,1,Table2[Dias no laborales]) &lt;= 7, "Dentro", IF(A2624&gt;F2624,"Programado","Fuera"))))</f>
        <v>Dentro</v>
      </c>
      <c r="K2624" s="6" t="str">
        <f t="shared" si="148"/>
        <v>A tiempo</v>
      </c>
      <c r="L2624" s="8">
        <v>46220</v>
      </c>
      <c r="M2624" s="17">
        <f>MAX(1,NETWORKDAYS(A2624,L2624,Table2[Dias no laborales]))</f>
        <v>1</v>
      </c>
    </row>
    <row r="2625" spans="1:13" hidden="1" x14ac:dyDescent="0.3">
      <c r="A2625" s="8">
        <v>46220</v>
      </c>
      <c r="B2625" s="16" t="s">
        <v>5173</v>
      </c>
      <c r="C2625" s="6" t="s">
        <v>5797</v>
      </c>
      <c r="D2625" s="6" t="s">
        <v>1333</v>
      </c>
      <c r="E2625" s="14"/>
      <c r="F2625" s="25">
        <f>IF(HOUR(Table1[[#This Row],[CORREO]])&gt;=11,WORKDAY(Table1[[#This Row],[CORREO]],1,Table2[Dias no laborales]),E2625)</f>
        <v>0</v>
      </c>
      <c r="G2625" s="8">
        <v>46225</v>
      </c>
      <c r="H2625" s="6">
        <f t="shared" si="147"/>
        <v>29</v>
      </c>
      <c r="I2625" s="6">
        <f>MAX(1, NETWORKDAYS(A2625, G2625,Table2[Dias no laborales]))</f>
        <v>4</v>
      </c>
      <c r="J2625" s="6" t="str">
        <f>IF(Table1[[#This Row],[FIN]]="","Acumulado",IF(ISNUMBER(SEARCH("ASAP",C2625)),"ASAP",IF(NETWORKDAYS.INTL(F2625,G2625,1,Table2[Dias no laborales]) &lt;= 7, "Dentro", IF(A2625&gt;F2625,"Programado","Fuera"))))</f>
        <v>Programado</v>
      </c>
      <c r="K2625" s="6" t="str">
        <f t="shared" si="148"/>
        <v>Programados</v>
      </c>
      <c r="L2625" s="8">
        <v>46220</v>
      </c>
      <c r="M2625" s="17">
        <f>MAX(1,NETWORKDAYS(A2625,L2625,Table2[Dias no laborales]))</f>
        <v>1</v>
      </c>
    </row>
    <row r="2626" spans="1:13" hidden="1" x14ac:dyDescent="0.3">
      <c r="A2626" s="8">
        <v>46220</v>
      </c>
      <c r="B2626" s="16" t="s">
        <v>5174</v>
      </c>
      <c r="C2626" s="6" t="s">
        <v>5798</v>
      </c>
      <c r="D2626" s="6" t="s">
        <v>5799</v>
      </c>
      <c r="E2626" s="14"/>
      <c r="F2626" s="25">
        <f>IF(HOUR(Table1[[#This Row],[CORREO]])&gt;=11,WORKDAY(Table1[[#This Row],[CORREO]],1,Table2[Dias no laborales]),E2626)</f>
        <v>0</v>
      </c>
      <c r="G2626" s="8">
        <v>46223</v>
      </c>
      <c r="H2626" s="6">
        <f t="shared" si="147"/>
        <v>29</v>
      </c>
      <c r="I2626" s="6">
        <f>MAX(1, NETWORKDAYS(A2626, G2626,Table2[Dias no laborales]))</f>
        <v>2</v>
      </c>
      <c r="J2626" s="6" t="str">
        <f>IF(Table1[[#This Row],[FIN]]="","Acumulado",IF(ISNUMBER(SEARCH("ASAP",C2626)),"ASAP",IF(NETWORKDAYS.INTL(F2626,G2626,1,Table2[Dias no laborales]) &lt;= 7, "Dentro", IF(A2626&gt;F2626,"Programado","Fuera"))))</f>
        <v>Programado</v>
      </c>
      <c r="K2626" s="6" t="str">
        <f t="shared" si="148"/>
        <v>Programados</v>
      </c>
      <c r="L2626" s="8">
        <v>46220</v>
      </c>
      <c r="M2626" s="17">
        <f>MAX(1,NETWORKDAYS(A2626,L2626,Table2[Dias no laborales]))</f>
        <v>1</v>
      </c>
    </row>
    <row r="2627" spans="1:13" hidden="1" x14ac:dyDescent="0.3">
      <c r="A2627" s="8">
        <v>46220</v>
      </c>
      <c r="B2627" s="16" t="s">
        <v>5175</v>
      </c>
      <c r="C2627" s="6" t="s">
        <v>5596</v>
      </c>
      <c r="D2627" s="6" t="s">
        <v>538</v>
      </c>
      <c r="E2627" s="14">
        <v>46220.606249999997</v>
      </c>
      <c r="F2627" s="25">
        <f>IF(HOUR(Table1[[#This Row],[CORREO]])&gt;=11,WORKDAY(Table1[[#This Row],[CORREO]],1,Table2[Dias no laborales]),E2627)</f>
        <v>46223</v>
      </c>
      <c r="G2627" s="8">
        <v>46220</v>
      </c>
      <c r="H2627" s="6">
        <f t="shared" si="147"/>
        <v>29</v>
      </c>
      <c r="I2627" s="6">
        <f>MAX(1, NETWORKDAYS(A2627, G2627,Table2[Dias no laborales]))</f>
        <v>1</v>
      </c>
      <c r="J2627" s="6" t="str">
        <f>IF(Table1[[#This Row],[FIN]]="","Acumulado",IF(ISNUMBER(SEARCH("ASAP",C2627)),"ASAP",IF(NETWORKDAYS.INTL(F2627,G2627,1,Table2[Dias no laborales]) &lt;= 7, "Dentro", IF(A2627&gt;F2627,"Programado","Fuera"))))</f>
        <v>Dentro</v>
      </c>
      <c r="K2627" s="6" t="str">
        <f t="shared" si="148"/>
        <v>Mismo día</v>
      </c>
      <c r="L2627" s="8">
        <v>46220</v>
      </c>
      <c r="M2627" s="17">
        <f>MAX(1,NETWORKDAYS(A2627,L2627,Table2[Dias no laborales]))</f>
        <v>1</v>
      </c>
    </row>
    <row r="2628" spans="1:13" hidden="1" x14ac:dyDescent="0.3">
      <c r="A2628" s="8">
        <v>46223</v>
      </c>
      <c r="B2628" s="16" t="s">
        <v>5176</v>
      </c>
      <c r="C2628" s="6" t="s">
        <v>5800</v>
      </c>
      <c r="D2628" s="6" t="s">
        <v>24</v>
      </c>
      <c r="E2628" s="14"/>
      <c r="F2628" s="25">
        <f>IF(HOUR(Table1[[#This Row],[CORREO]])&gt;=11,WORKDAY(Table1[[#This Row],[CORREO]],1,Table2[Dias no laborales]),E2628)</f>
        <v>0</v>
      </c>
      <c r="G2628" s="8">
        <v>46227</v>
      </c>
      <c r="H2628" s="6">
        <f t="shared" si="147"/>
        <v>29</v>
      </c>
      <c r="I2628" s="6">
        <f>MAX(1, NETWORKDAYS(A2628, G2628,Table2[Dias no laborales]))</f>
        <v>5</v>
      </c>
      <c r="J2628" s="6" t="str">
        <f>IF(Table1[[#This Row],[FIN]]="","Acumulado",IF(ISNUMBER(SEARCH("ASAP",C2628)),"ASAP",IF(NETWORKDAYS.INTL(F2628,G2628,1,Table2[Dias no laborales]) &lt;= 7, "Dentro", IF(A2628&gt;F2628,"Programado","Fuera"))))</f>
        <v>Programado</v>
      </c>
      <c r="K2628" s="6" t="str">
        <f t="shared" si="148"/>
        <v>Programados</v>
      </c>
      <c r="L2628" s="8">
        <v>46223</v>
      </c>
      <c r="M2628" s="17">
        <f>MAX(1,NETWORKDAYS(A2628,L2628,Table2[Dias no laborales]))</f>
        <v>1</v>
      </c>
    </row>
    <row r="2629" spans="1:13" hidden="1" x14ac:dyDescent="0.3">
      <c r="A2629" s="8">
        <v>46223</v>
      </c>
      <c r="B2629" s="16" t="s">
        <v>5177</v>
      </c>
      <c r="C2629" s="6" t="s">
        <v>5801</v>
      </c>
      <c r="D2629" s="6" t="s">
        <v>4824</v>
      </c>
      <c r="E2629" s="14">
        <v>46221.595138888886</v>
      </c>
      <c r="F2629" s="25">
        <f>IF(HOUR(Table1[[#This Row],[CORREO]])&gt;=11,WORKDAY(Table1[[#This Row],[CORREO]],1,Table2[Dias no laborales]),E2629)</f>
        <v>46223</v>
      </c>
      <c r="G2629" s="8">
        <v>46224</v>
      </c>
      <c r="H2629" s="6">
        <f t="shared" si="147"/>
        <v>29</v>
      </c>
      <c r="I2629" s="6">
        <f>MAX(1, NETWORKDAYS(A2629, G2629,Table2[Dias no laborales]))</f>
        <v>2</v>
      </c>
      <c r="J2629" s="6" t="str">
        <f>IF(Table1[[#This Row],[FIN]]="","Acumulado",IF(ISNUMBER(SEARCH("ASAP",C2629)),"ASAP",IF(NETWORKDAYS.INTL(F2629,G2629,1,Table2[Dias no laborales]) &lt;= 7, "Dentro", IF(A2629&gt;F2629,"Programado","Fuera"))))</f>
        <v>Dentro</v>
      </c>
      <c r="K2629" s="6" t="str">
        <f t="shared" si="148"/>
        <v>A tiempo</v>
      </c>
      <c r="L2629" s="8">
        <v>46223</v>
      </c>
      <c r="M2629" s="17">
        <f>MAX(1,NETWORKDAYS(A2629,L2629,Table2[Dias no laborales]))</f>
        <v>1</v>
      </c>
    </row>
    <row r="2630" spans="1:13" hidden="1" x14ac:dyDescent="0.3">
      <c r="A2630" s="8">
        <v>46223</v>
      </c>
      <c r="B2630" s="16" t="s">
        <v>5178</v>
      </c>
      <c r="C2630" s="6" t="s">
        <v>5802</v>
      </c>
      <c r="D2630" s="6" t="s">
        <v>4678</v>
      </c>
      <c r="E2630" s="14">
        <v>46222.883333333331</v>
      </c>
      <c r="F2630" s="25">
        <f>IF(HOUR(Table1[[#This Row],[CORREO]])&gt;=11,WORKDAY(Table1[[#This Row],[CORREO]],1,Table2[Dias no laborales]),E2630)</f>
        <v>46223</v>
      </c>
      <c r="G2630" s="8">
        <v>46223</v>
      </c>
      <c r="H2630" s="6">
        <f t="shared" si="147"/>
        <v>29</v>
      </c>
      <c r="I2630" s="6">
        <f>MAX(1, NETWORKDAYS(A2630, G2630,Table2[Dias no laborales]))</f>
        <v>1</v>
      </c>
      <c r="J2630" s="6" t="str">
        <f>IF(Table1[[#This Row],[FIN]]="","Acumulado",IF(ISNUMBER(SEARCH("ASAP",C2630)),"ASAP",IF(NETWORKDAYS.INTL(F2630,G2630,1,Table2[Dias no laborales]) &lt;= 7, "Dentro", IF(A2630&gt;F2630,"Programado","Fuera"))))</f>
        <v>Dentro</v>
      </c>
      <c r="K2630" s="6" t="str">
        <f t="shared" si="148"/>
        <v>A tiempo</v>
      </c>
      <c r="L2630" s="8">
        <v>46223</v>
      </c>
      <c r="M2630" s="17">
        <f>MAX(1,NETWORKDAYS(A2630,L2630,Table2[Dias no laborales]))</f>
        <v>1</v>
      </c>
    </row>
    <row r="2631" spans="1:13" hidden="1" x14ac:dyDescent="0.3">
      <c r="A2631" s="8">
        <v>46223</v>
      </c>
      <c r="B2631" s="16" t="s">
        <v>5179</v>
      </c>
      <c r="C2631" s="6" t="s">
        <v>5803</v>
      </c>
      <c r="D2631" s="6" t="s">
        <v>916</v>
      </c>
      <c r="E2631" s="14">
        <v>46223.25</v>
      </c>
      <c r="F2631" s="25">
        <f>IF(HOUR(Table1[[#This Row],[CORREO]])&gt;=11,WORKDAY(Table1[[#This Row],[CORREO]],1,Table2[Dias no laborales]),E2631)</f>
        <v>46223.25</v>
      </c>
      <c r="G2631" s="8">
        <v>46223</v>
      </c>
      <c r="H2631" s="6">
        <f t="shared" si="147"/>
        <v>29</v>
      </c>
      <c r="I2631" s="6">
        <f>MAX(1, NETWORKDAYS(A2631, G2631,Table2[Dias no laborales]))</f>
        <v>1</v>
      </c>
      <c r="J2631" s="6" t="str">
        <f>IF(Table1[[#This Row],[FIN]]="","Acumulado",IF(ISNUMBER(SEARCH("ASAP",C2631)),"ASAP",IF(NETWORKDAYS.INTL(F2631,G2631,1,Table2[Dias no laborales]) &lt;= 7, "Dentro", IF(A2631&gt;F2631,"Programado","Fuera"))))</f>
        <v>Dentro</v>
      </c>
      <c r="K2631" s="6" t="str">
        <f t="shared" si="148"/>
        <v>A tiempo</v>
      </c>
      <c r="L2631" s="8">
        <v>46223</v>
      </c>
      <c r="M2631" s="17">
        <f>MAX(1,NETWORKDAYS(A2631,L2631,Table2[Dias no laborales]))</f>
        <v>1</v>
      </c>
    </row>
    <row r="2632" spans="1:13" hidden="1" x14ac:dyDescent="0.3">
      <c r="A2632" s="8">
        <v>46223</v>
      </c>
      <c r="B2632" s="16" t="s">
        <v>5180</v>
      </c>
      <c r="C2632" s="6" t="s">
        <v>5804</v>
      </c>
      <c r="D2632" s="6" t="s">
        <v>2981</v>
      </c>
      <c r="E2632" s="14">
        <v>46223.351388888892</v>
      </c>
      <c r="F2632" s="25">
        <f>IF(HOUR(Table1[[#This Row],[CORREO]])&gt;=11,WORKDAY(Table1[[#This Row],[CORREO]],1,Table2[Dias no laborales]),E2632)</f>
        <v>46223.351388888892</v>
      </c>
      <c r="G2632" s="8">
        <v>46230</v>
      </c>
      <c r="H2632" s="6">
        <f t="shared" si="147"/>
        <v>29</v>
      </c>
      <c r="I2632" s="6">
        <f>MAX(1, NETWORKDAYS(A2632, G2632,Table2[Dias no laborales]))</f>
        <v>6</v>
      </c>
      <c r="J2632" s="6" t="str">
        <f>IF(Table1[[#This Row],[FIN]]="","Acumulado",IF(ISNUMBER(SEARCH("ASAP",C2632)),"ASAP",IF(NETWORKDAYS.INTL(F2632,G2632,1,Table2[Dias no laborales]) &lt;= 7, "Dentro", IF(A2632&gt;F2632,"Programado","Fuera"))))</f>
        <v>Dentro</v>
      </c>
      <c r="K2632" s="6" t="str">
        <f t="shared" si="148"/>
        <v>A tiempo</v>
      </c>
      <c r="L2632" s="8">
        <v>46223</v>
      </c>
      <c r="M2632" s="17">
        <f>MAX(1,NETWORKDAYS(A2632,L2632,Table2[Dias no laborales]))</f>
        <v>1</v>
      </c>
    </row>
    <row r="2633" spans="1:13" hidden="1" x14ac:dyDescent="0.3">
      <c r="A2633" s="8">
        <v>46223</v>
      </c>
      <c r="B2633" s="16" t="s">
        <v>5181</v>
      </c>
      <c r="C2633" s="6" t="s">
        <v>4988</v>
      </c>
      <c r="D2633" s="6" t="s">
        <v>392</v>
      </c>
      <c r="E2633" s="14">
        <v>46223.37777777778</v>
      </c>
      <c r="F2633" s="25">
        <f>IF(HOUR(Table1[[#This Row],[CORREO]])&gt;=11,WORKDAY(Table1[[#This Row],[CORREO]],1,Table2[Dias no laborales]),E2633)</f>
        <v>46223.37777777778</v>
      </c>
      <c r="G2633" s="8">
        <v>46223</v>
      </c>
      <c r="H2633" s="6">
        <f t="shared" si="147"/>
        <v>29</v>
      </c>
      <c r="I2633" s="6">
        <f>MAX(1, NETWORKDAYS(A2633, G2633,Table2[Dias no laborales]))</f>
        <v>1</v>
      </c>
      <c r="J2633" s="6" t="str">
        <f>IF(Table1[[#This Row],[FIN]]="","Acumulado",IF(ISNUMBER(SEARCH("ASAP",C2633)),"ASAP",IF(NETWORKDAYS.INTL(F2633,G2633,1,Table2[Dias no laborales]) &lt;= 7, "Dentro", IF(A2633&gt;F2633,"Programado","Fuera"))))</f>
        <v>Dentro</v>
      </c>
      <c r="K2633" s="6" t="str">
        <f t="shared" si="148"/>
        <v>A tiempo</v>
      </c>
      <c r="L2633" s="8">
        <v>46223</v>
      </c>
      <c r="M2633" s="17">
        <f>MAX(1,NETWORKDAYS(A2633,L2633,Table2[Dias no laborales]))</f>
        <v>1</v>
      </c>
    </row>
    <row r="2634" spans="1:13" hidden="1" x14ac:dyDescent="0.3">
      <c r="A2634" s="8">
        <v>46223</v>
      </c>
      <c r="B2634" s="16" t="s">
        <v>5182</v>
      </c>
      <c r="C2634" s="6" t="s">
        <v>5805</v>
      </c>
      <c r="D2634" s="6" t="s">
        <v>24</v>
      </c>
      <c r="E2634" s="14"/>
      <c r="F2634" s="25">
        <f>IF(HOUR(Table1[[#This Row],[CORREO]])&gt;=11,WORKDAY(Table1[[#This Row],[CORREO]],1,Table2[Dias no laborales]),E2634)</f>
        <v>0</v>
      </c>
      <c r="G2634" s="8">
        <v>46223</v>
      </c>
      <c r="H2634" s="6">
        <f t="shared" ref="H2634:H2695" si="149">INT((A2634-DATE(YEAR(A2634),1,1))/7) + 1</f>
        <v>29</v>
      </c>
      <c r="I2634" s="6">
        <f>MAX(1, NETWORKDAYS(A2634, G2634,Table2[Dias no laborales]))</f>
        <v>1</v>
      </c>
      <c r="J2634" s="6" t="str">
        <f>IF(Table1[[#This Row],[FIN]]="","Acumulado",IF(ISNUMBER(SEARCH("ASAP",C2634)),"ASAP",IF(NETWORKDAYS.INTL(F2634,G2634,1,Table2[Dias no laborales]) &lt;= 7, "Dentro", IF(A2634&gt;F2634,"Programado","Fuera"))))</f>
        <v>Programado</v>
      </c>
      <c r="K2634" s="6" t="str">
        <f t="shared" ref="K2634:K2695" si="150">IF(INT(A2634)=INT(F2634),"A tiempo", IF(A2634&lt;F2634,"Mismo día","Programados"))</f>
        <v>Programados</v>
      </c>
      <c r="L2634" s="8">
        <v>46223</v>
      </c>
      <c r="M2634" s="17">
        <f>MAX(1,NETWORKDAYS(A2634,L2634,Table2[Dias no laborales]))</f>
        <v>1</v>
      </c>
    </row>
    <row r="2635" spans="1:13" hidden="1" x14ac:dyDescent="0.3">
      <c r="A2635" s="8">
        <v>46223</v>
      </c>
      <c r="B2635" s="16" t="s">
        <v>5183</v>
      </c>
      <c r="C2635" s="6" t="s">
        <v>5806</v>
      </c>
      <c r="D2635" s="6" t="s">
        <v>5807</v>
      </c>
      <c r="E2635" s="14">
        <v>46223.567361111112</v>
      </c>
      <c r="F2635" s="25">
        <f>IF(HOUR(Table1[[#This Row],[CORREO]])&gt;=11,WORKDAY(Table1[[#This Row],[CORREO]],1,Table2[Dias no laborales]),E2635)</f>
        <v>46224</v>
      </c>
      <c r="G2635" s="8">
        <v>46227</v>
      </c>
      <c r="H2635" s="6">
        <f t="shared" si="149"/>
        <v>29</v>
      </c>
      <c r="I2635" s="6">
        <f>MAX(1, NETWORKDAYS(A2635, G2635,Table2[Dias no laborales]))</f>
        <v>5</v>
      </c>
      <c r="J2635" s="6" t="str">
        <f>IF(Table1[[#This Row],[FIN]]="","Acumulado",IF(ISNUMBER(SEARCH("ASAP",C2635)),"ASAP",IF(NETWORKDAYS.INTL(F2635,G2635,1,Table2[Dias no laborales]) &lt;= 7, "Dentro", IF(A2635&gt;F2635,"Programado","Fuera"))))</f>
        <v>Dentro</v>
      </c>
      <c r="K2635" s="6" t="str">
        <f t="shared" si="150"/>
        <v>Mismo día</v>
      </c>
      <c r="L2635" s="8">
        <v>46223</v>
      </c>
      <c r="M2635" s="17">
        <f>MAX(1,NETWORKDAYS(A2635,L2635,Table2[Dias no laborales]))</f>
        <v>1</v>
      </c>
    </row>
    <row r="2636" spans="1:13" hidden="1" x14ac:dyDescent="0.3">
      <c r="A2636" s="8">
        <v>46223</v>
      </c>
      <c r="B2636" s="16" t="s">
        <v>5184</v>
      </c>
      <c r="C2636" s="6" t="s">
        <v>5787</v>
      </c>
      <c r="D2636" s="6" t="s">
        <v>27</v>
      </c>
      <c r="E2636" s="14">
        <v>46223.59097222222</v>
      </c>
      <c r="F2636" s="25">
        <f>IF(HOUR(Table1[[#This Row],[CORREO]])&gt;=11,WORKDAY(Table1[[#This Row],[CORREO]],1,Table2[Dias no laborales]),E2636)</f>
        <v>46224</v>
      </c>
      <c r="G2636" s="8">
        <v>46223</v>
      </c>
      <c r="H2636" s="6">
        <f t="shared" si="149"/>
        <v>29</v>
      </c>
      <c r="I2636" s="6">
        <f>MAX(1, NETWORKDAYS(A2636, G2636,Table2[Dias no laborales]))</f>
        <v>1</v>
      </c>
      <c r="J2636" s="6" t="str">
        <f>IF(Table1[[#This Row],[FIN]]="","Acumulado",IF(ISNUMBER(SEARCH("ASAP",C2636)),"ASAP",IF(NETWORKDAYS.INTL(F2636,G2636,1,Table2[Dias no laborales]) &lt;= 7, "Dentro", IF(A2636&gt;F2636,"Programado","Fuera"))))</f>
        <v>Dentro</v>
      </c>
      <c r="K2636" s="6" t="str">
        <f t="shared" si="150"/>
        <v>Mismo día</v>
      </c>
      <c r="L2636" s="8">
        <v>46223</v>
      </c>
      <c r="M2636" s="17">
        <f>MAX(1,NETWORKDAYS(A2636,L2636,Table2[Dias no laborales]))</f>
        <v>1</v>
      </c>
    </row>
    <row r="2637" spans="1:13" hidden="1" x14ac:dyDescent="0.3">
      <c r="A2637" s="8">
        <v>46223</v>
      </c>
      <c r="B2637" s="16" t="s">
        <v>5185</v>
      </c>
      <c r="C2637" s="6" t="s">
        <v>5780</v>
      </c>
      <c r="D2637" s="6" t="s">
        <v>5105</v>
      </c>
      <c r="E2637" s="14">
        <v>46223.623611111114</v>
      </c>
      <c r="F2637" s="25">
        <f>IF(HOUR(Table1[[#This Row],[CORREO]])&gt;=11,WORKDAY(Table1[[#This Row],[CORREO]],1,Table2[Dias no laborales]),E2637)</f>
        <v>46224</v>
      </c>
      <c r="G2637" s="8">
        <v>46225</v>
      </c>
      <c r="H2637" s="6">
        <f t="shared" si="149"/>
        <v>29</v>
      </c>
      <c r="I2637" s="6">
        <f>MAX(1, NETWORKDAYS(A2637, G2637,Table2[Dias no laborales]))</f>
        <v>3</v>
      </c>
      <c r="J2637" s="6" t="str">
        <f>IF(Table1[[#This Row],[FIN]]="","Acumulado",IF(ISNUMBER(SEARCH("ASAP",C2637)),"ASAP",IF(NETWORKDAYS.INTL(F2637,G2637,1,Table2[Dias no laborales]) &lt;= 7, "Dentro", IF(A2637&gt;F2637,"Programado","Fuera"))))</f>
        <v>Dentro</v>
      </c>
      <c r="K2637" s="6" t="str">
        <f t="shared" si="150"/>
        <v>Mismo día</v>
      </c>
      <c r="L2637" s="8">
        <v>46223</v>
      </c>
      <c r="M2637" s="17">
        <f>MAX(1,NETWORKDAYS(A2637,L2637,Table2[Dias no laborales]))</f>
        <v>1</v>
      </c>
    </row>
    <row r="2638" spans="1:13" hidden="1" x14ac:dyDescent="0.3">
      <c r="A2638" s="8">
        <v>46224</v>
      </c>
      <c r="B2638" s="16" t="s">
        <v>5186</v>
      </c>
      <c r="C2638" s="6" t="s">
        <v>5045</v>
      </c>
      <c r="D2638" s="6" t="s">
        <v>586</v>
      </c>
      <c r="E2638" s="14">
        <v>46223.647916666669</v>
      </c>
      <c r="F2638" s="25">
        <f>IF(HOUR(Table1[[#This Row],[CORREO]])&gt;=11,WORKDAY(Table1[[#This Row],[CORREO]],1,Table2[Dias no laborales]),E2638)</f>
        <v>46224</v>
      </c>
      <c r="G2638" s="8">
        <v>46225</v>
      </c>
      <c r="H2638" s="6">
        <f t="shared" si="149"/>
        <v>29</v>
      </c>
      <c r="I2638" s="6">
        <f>MAX(1, NETWORKDAYS(A2638, G2638,Table2[Dias no laborales]))</f>
        <v>2</v>
      </c>
      <c r="J2638" s="6" t="str">
        <f>IF(Table1[[#This Row],[FIN]]="","Acumulado",IF(ISNUMBER(SEARCH("ASAP",C2638)),"ASAP",IF(NETWORKDAYS.INTL(F2638,G2638,1,Table2[Dias no laborales]) &lt;= 7, "Dentro", IF(A2638&gt;F2638,"Programado","Fuera"))))</f>
        <v>Dentro</v>
      </c>
      <c r="K2638" s="6" t="str">
        <f t="shared" si="150"/>
        <v>A tiempo</v>
      </c>
      <c r="L2638" s="8">
        <v>46224</v>
      </c>
      <c r="M2638" s="17">
        <f>MAX(1,NETWORKDAYS(A2638,L2638,Table2[Dias no laborales]))</f>
        <v>1</v>
      </c>
    </row>
    <row r="2639" spans="1:13" hidden="1" x14ac:dyDescent="0.3">
      <c r="A2639" s="8">
        <v>46224</v>
      </c>
      <c r="B2639" s="16" t="s">
        <v>5187</v>
      </c>
      <c r="C2639" s="6" t="s">
        <v>5808</v>
      </c>
      <c r="D2639" s="6" t="s">
        <v>139</v>
      </c>
      <c r="E2639" s="14">
        <v>46223.693749999999</v>
      </c>
      <c r="F2639" s="25">
        <f>IF(HOUR(Table1[[#This Row],[CORREO]])&gt;=11,WORKDAY(Table1[[#This Row],[CORREO]],1,Table2[Dias no laborales]),E2639)</f>
        <v>46224</v>
      </c>
      <c r="G2639" s="8">
        <v>46224</v>
      </c>
      <c r="H2639" s="6">
        <f t="shared" si="149"/>
        <v>29</v>
      </c>
      <c r="I2639" s="6">
        <f>MAX(1, NETWORKDAYS(A2639, G2639,Table2[Dias no laborales]))</f>
        <v>1</v>
      </c>
      <c r="J2639" s="6" t="str">
        <f>IF(Table1[[#This Row],[FIN]]="","Acumulado",IF(ISNUMBER(SEARCH("ASAP",C2639)),"ASAP",IF(NETWORKDAYS.INTL(F2639,G2639,1,Table2[Dias no laborales]) &lt;= 7, "Dentro", IF(A2639&gt;F2639,"Programado","Fuera"))))</f>
        <v>Dentro</v>
      </c>
      <c r="K2639" s="6" t="str">
        <f t="shared" si="150"/>
        <v>A tiempo</v>
      </c>
      <c r="L2639" s="8">
        <v>46224</v>
      </c>
      <c r="M2639" s="17">
        <f>MAX(1,NETWORKDAYS(A2639,L2639,Table2[Dias no laborales]))</f>
        <v>1</v>
      </c>
    </row>
    <row r="2640" spans="1:13" hidden="1" x14ac:dyDescent="0.3">
      <c r="A2640" s="8">
        <v>46224</v>
      </c>
      <c r="B2640" s="16" t="s">
        <v>5188</v>
      </c>
      <c r="C2640" s="6" t="s">
        <v>4988</v>
      </c>
      <c r="D2640" s="6" t="s">
        <v>392</v>
      </c>
      <c r="E2640" s="14">
        <v>46224.373611111114</v>
      </c>
      <c r="F2640" s="25">
        <f>IF(HOUR(Table1[[#This Row],[CORREO]])&gt;=11,WORKDAY(Table1[[#This Row],[CORREO]],1,Table2[Dias no laborales]),E2640)</f>
        <v>46224.373611111114</v>
      </c>
      <c r="G2640" s="8">
        <v>46224</v>
      </c>
      <c r="H2640" s="6">
        <f t="shared" si="149"/>
        <v>29</v>
      </c>
      <c r="I2640" s="6">
        <f>MAX(1, NETWORKDAYS(A2640, G2640,Table2[Dias no laborales]))</f>
        <v>1</v>
      </c>
      <c r="J2640" s="6" t="str">
        <f>IF(Table1[[#This Row],[FIN]]="","Acumulado",IF(ISNUMBER(SEARCH("ASAP",C2640)),"ASAP",IF(NETWORKDAYS.INTL(F2640,G2640,1,Table2[Dias no laborales]) &lt;= 7, "Dentro", IF(A2640&gt;F2640,"Programado","Fuera"))))</f>
        <v>Dentro</v>
      </c>
      <c r="K2640" s="6" t="str">
        <f t="shared" si="150"/>
        <v>A tiempo</v>
      </c>
      <c r="L2640" s="8">
        <v>46224</v>
      </c>
      <c r="M2640" s="17">
        <f>MAX(1,NETWORKDAYS(A2640,L2640,Table2[Dias no laborales]))</f>
        <v>1</v>
      </c>
    </row>
    <row r="2641" spans="1:13" hidden="1" x14ac:dyDescent="0.3">
      <c r="A2641" s="8">
        <v>46224</v>
      </c>
      <c r="B2641" s="16" t="s">
        <v>5189</v>
      </c>
      <c r="C2641" s="6" t="s">
        <v>5809</v>
      </c>
      <c r="D2641" s="6" t="s">
        <v>2981</v>
      </c>
      <c r="E2641" s="14">
        <v>46224.395833333336</v>
      </c>
      <c r="F2641" s="25">
        <f>IF(HOUR(Table1[[#This Row],[CORREO]])&gt;=11,WORKDAY(Table1[[#This Row],[CORREO]],1,Table2[Dias no laborales]),E2641)</f>
        <v>46224.395833333336</v>
      </c>
      <c r="G2641" s="8">
        <v>46224</v>
      </c>
      <c r="H2641" s="6">
        <f t="shared" si="149"/>
        <v>29</v>
      </c>
      <c r="I2641" s="6">
        <f>MAX(1, NETWORKDAYS(A2641, G2641,Table2[Dias no laborales]))</f>
        <v>1</v>
      </c>
      <c r="J2641" s="6" t="str">
        <f>IF(Table1[[#This Row],[FIN]]="","Acumulado",IF(ISNUMBER(SEARCH("ASAP",C2641)),"ASAP",IF(NETWORKDAYS.INTL(F2641,G2641,1,Table2[Dias no laborales]) &lt;= 7, "Dentro", IF(A2641&gt;F2641,"Programado","Fuera"))))</f>
        <v>Dentro</v>
      </c>
      <c r="K2641" s="6" t="str">
        <f t="shared" si="150"/>
        <v>A tiempo</v>
      </c>
      <c r="L2641" s="8">
        <v>46224</v>
      </c>
      <c r="M2641" s="17">
        <f>MAX(1,NETWORKDAYS(A2641,L2641,Table2[Dias no laborales]))</f>
        <v>1</v>
      </c>
    </row>
    <row r="2642" spans="1:13" hidden="1" x14ac:dyDescent="0.3">
      <c r="A2642" s="8">
        <v>46224</v>
      </c>
      <c r="B2642" s="16" t="s">
        <v>5190</v>
      </c>
      <c r="C2642" s="6" t="s">
        <v>3008</v>
      </c>
      <c r="D2642" s="6" t="s">
        <v>5810</v>
      </c>
      <c r="E2642" s="14">
        <v>46223.682638888888</v>
      </c>
      <c r="F2642" s="25">
        <f>IF(HOUR(Table1[[#This Row],[CORREO]])&gt;=11,WORKDAY(Table1[[#This Row],[CORREO]],1,Table2[Dias no laborales]),E2642)</f>
        <v>46224</v>
      </c>
      <c r="G2642" s="8">
        <v>46226</v>
      </c>
      <c r="H2642" s="6">
        <f t="shared" si="149"/>
        <v>29</v>
      </c>
      <c r="I2642" s="6">
        <f>MAX(1, NETWORKDAYS(A2642, G2642,Table2[Dias no laborales]))</f>
        <v>3</v>
      </c>
      <c r="J2642" s="6" t="str">
        <f>IF(Table1[[#This Row],[FIN]]="","Acumulado",IF(ISNUMBER(SEARCH("ASAP",C2642)),"ASAP",IF(NETWORKDAYS.INTL(F2642,G2642,1,Table2[Dias no laborales]) &lt;= 7, "Dentro", IF(A2642&gt;F2642,"Programado","Fuera"))))</f>
        <v>Dentro</v>
      </c>
      <c r="K2642" s="6" t="str">
        <f t="shared" si="150"/>
        <v>A tiempo</v>
      </c>
      <c r="L2642" s="8">
        <v>46224</v>
      </c>
      <c r="M2642" s="17">
        <f>MAX(1,NETWORKDAYS(A2642,L2642,Table2[Dias no laborales]))</f>
        <v>1</v>
      </c>
    </row>
    <row r="2643" spans="1:13" hidden="1" x14ac:dyDescent="0.3">
      <c r="A2643" s="8">
        <v>46224</v>
      </c>
      <c r="B2643" s="16" t="s">
        <v>5191</v>
      </c>
      <c r="C2643" s="6" t="s">
        <v>3008</v>
      </c>
      <c r="D2643" s="6" t="s">
        <v>4351</v>
      </c>
      <c r="E2643" s="14">
        <v>46224.443749999999</v>
      </c>
      <c r="F2643" s="25">
        <f>IF(HOUR(Table1[[#This Row],[CORREO]])&gt;=11,WORKDAY(Table1[[#This Row],[CORREO]],1,Table2[Dias no laborales]),E2643)</f>
        <v>46224.443749999999</v>
      </c>
      <c r="G2643" s="8">
        <v>46226</v>
      </c>
      <c r="H2643" s="6">
        <f t="shared" si="149"/>
        <v>29</v>
      </c>
      <c r="I2643" s="6">
        <f>MAX(1, NETWORKDAYS(A2643, G2643,Table2[Dias no laborales]))</f>
        <v>3</v>
      </c>
      <c r="J2643" s="6" t="str">
        <f>IF(Table1[[#This Row],[FIN]]="","Acumulado",IF(ISNUMBER(SEARCH("ASAP",C2643)),"ASAP",IF(NETWORKDAYS.INTL(F2643,G2643,1,Table2[Dias no laborales]) &lt;= 7, "Dentro", IF(A2643&gt;F2643,"Programado","Fuera"))))</f>
        <v>Dentro</v>
      </c>
      <c r="K2643" s="6" t="str">
        <f t="shared" si="150"/>
        <v>A tiempo</v>
      </c>
      <c r="L2643" s="8">
        <v>46224</v>
      </c>
      <c r="M2643" s="17">
        <f>MAX(1,NETWORKDAYS(A2643,L2643,Table2[Dias no laborales]))</f>
        <v>1</v>
      </c>
    </row>
    <row r="2644" spans="1:13" hidden="1" x14ac:dyDescent="0.3">
      <c r="A2644" s="8">
        <v>46224</v>
      </c>
      <c r="B2644" s="16" t="s">
        <v>5192</v>
      </c>
      <c r="C2644" s="6" t="s">
        <v>5811</v>
      </c>
      <c r="D2644" s="6" t="s">
        <v>24</v>
      </c>
      <c r="E2644" s="14">
        <v>46224.487500000003</v>
      </c>
      <c r="F2644" s="25">
        <f>IF(HOUR(Table1[[#This Row],[CORREO]])&gt;=11,WORKDAY(Table1[[#This Row],[CORREO]],1,Table2[Dias no laborales]),E2644)</f>
        <v>46225</v>
      </c>
      <c r="G2644" s="8">
        <v>46232</v>
      </c>
      <c r="H2644" s="6">
        <f t="shared" si="149"/>
        <v>29</v>
      </c>
      <c r="I2644" s="6">
        <f>MAX(1, NETWORKDAYS(A2644, G2644,Table2[Dias no laborales]))</f>
        <v>7</v>
      </c>
      <c r="J2644" s="6" t="str">
        <f>IF(Table1[[#This Row],[FIN]]="","Acumulado",IF(ISNUMBER(SEARCH("ASAP",C2644)),"ASAP",IF(NETWORKDAYS.INTL(F2644,G2644,1,Table2[Dias no laborales]) &lt;= 7, "Dentro", IF(A2644&gt;F2644,"Programado","Fuera"))))</f>
        <v>Dentro</v>
      </c>
      <c r="K2644" s="6" t="str">
        <f t="shared" si="150"/>
        <v>Mismo día</v>
      </c>
      <c r="L2644" s="8">
        <v>46224</v>
      </c>
      <c r="M2644" s="17">
        <f>MAX(1,NETWORKDAYS(A2644,L2644,Table2[Dias no laborales]))</f>
        <v>1</v>
      </c>
    </row>
    <row r="2645" spans="1:13" hidden="1" x14ac:dyDescent="0.3">
      <c r="A2645" s="8">
        <v>46225</v>
      </c>
      <c r="B2645" s="16" t="s">
        <v>5193</v>
      </c>
      <c r="C2645" s="6" t="s">
        <v>5812</v>
      </c>
      <c r="D2645" s="6" t="s">
        <v>3706</v>
      </c>
      <c r="E2645" s="14">
        <v>46224.536111111112</v>
      </c>
      <c r="F2645" s="25">
        <f>IF(HOUR(Table1[[#This Row],[CORREO]])&gt;=11,WORKDAY(Table1[[#This Row],[CORREO]],1,Table2[Dias no laborales]),E2645)</f>
        <v>46225</v>
      </c>
      <c r="G2645" s="8">
        <v>46237</v>
      </c>
      <c r="H2645" s="6">
        <f t="shared" si="149"/>
        <v>29</v>
      </c>
      <c r="I2645" s="6">
        <f>MAX(1, NETWORKDAYS(A2645, G2645,Table2[Dias no laborales]))</f>
        <v>9</v>
      </c>
      <c r="J2645" s="6" t="str">
        <f>IF(Table1[[#This Row],[FIN]]="","Acumulado",IF(ISNUMBER(SEARCH("ASAP",C2645)),"ASAP",IF(NETWORKDAYS.INTL(F2645,G2645,1,Table2[Dias no laborales]) &lt;= 7, "Dentro", IF(A2645&gt;F2645,"Programado","Fuera"))))</f>
        <v>Fuera</v>
      </c>
      <c r="K2645" s="6" t="str">
        <f t="shared" si="150"/>
        <v>A tiempo</v>
      </c>
      <c r="L2645" s="8">
        <v>46225</v>
      </c>
      <c r="M2645" s="17">
        <f>MAX(1,NETWORKDAYS(A2645,L2645,Table2[Dias no laborales]))</f>
        <v>1</v>
      </c>
    </row>
    <row r="2646" spans="1:13" hidden="1" x14ac:dyDescent="0.3">
      <c r="A2646" s="8">
        <v>46225</v>
      </c>
      <c r="B2646" s="16" t="s">
        <v>5194</v>
      </c>
      <c r="C2646" s="6" t="s">
        <v>4696</v>
      </c>
      <c r="D2646" s="6" t="s">
        <v>504</v>
      </c>
      <c r="E2646" s="14">
        <v>46224.624305555553</v>
      </c>
      <c r="F2646" s="25">
        <f>IF(HOUR(Table1[[#This Row],[CORREO]])&gt;=11,WORKDAY(Table1[[#This Row],[CORREO]],1,Table2[Dias no laborales]),E2646)</f>
        <v>46225</v>
      </c>
      <c r="G2646" s="8">
        <v>46225</v>
      </c>
      <c r="H2646" s="6">
        <f t="shared" si="149"/>
        <v>29</v>
      </c>
      <c r="I2646" s="6">
        <f>MAX(1, NETWORKDAYS(A2646, G2646,Table2[Dias no laborales]))</f>
        <v>1</v>
      </c>
      <c r="J2646" s="6" t="str">
        <f>IF(Table1[[#This Row],[FIN]]="","Acumulado",IF(ISNUMBER(SEARCH("ASAP",C2646)),"ASAP",IF(NETWORKDAYS.INTL(F2646,G2646,1,Table2[Dias no laborales]) &lt;= 7, "Dentro", IF(A2646&gt;F2646,"Programado","Fuera"))))</f>
        <v>Dentro</v>
      </c>
      <c r="K2646" s="6" t="str">
        <f t="shared" si="150"/>
        <v>A tiempo</v>
      </c>
      <c r="L2646" s="8">
        <v>46225</v>
      </c>
      <c r="M2646" s="17">
        <f>MAX(1,NETWORKDAYS(A2646,L2646,Table2[Dias no laborales]))</f>
        <v>1</v>
      </c>
    </row>
    <row r="2647" spans="1:13" hidden="1" x14ac:dyDescent="0.3">
      <c r="A2647" s="8">
        <v>46225</v>
      </c>
      <c r="B2647" s="16" t="s">
        <v>5195</v>
      </c>
      <c r="C2647" s="6" t="s">
        <v>5813</v>
      </c>
      <c r="D2647" s="6" t="s">
        <v>308</v>
      </c>
      <c r="E2647" s="14">
        <v>46224.697916666664</v>
      </c>
      <c r="F2647" s="25">
        <f>IF(HOUR(Table1[[#This Row],[CORREO]])&gt;=11,WORKDAY(Table1[[#This Row],[CORREO]],1,Table2[Dias no laborales]),E2647)</f>
        <v>46225</v>
      </c>
      <c r="G2647" s="8">
        <v>46226</v>
      </c>
      <c r="H2647" s="6">
        <f t="shared" si="149"/>
        <v>29</v>
      </c>
      <c r="I2647" s="6">
        <f>MAX(1, NETWORKDAYS(A2647, G2647,Table2[Dias no laborales]))</f>
        <v>2</v>
      </c>
      <c r="J2647" s="6" t="str">
        <f>IF(Table1[[#This Row],[FIN]]="","Acumulado",IF(ISNUMBER(SEARCH("ASAP",C2647)),"ASAP",IF(NETWORKDAYS.INTL(F2647,G2647,1,Table2[Dias no laborales]) &lt;= 7, "Dentro", IF(A2647&gt;F2647,"Programado","Fuera"))))</f>
        <v>Dentro</v>
      </c>
      <c r="K2647" s="6" t="str">
        <f t="shared" si="150"/>
        <v>A tiempo</v>
      </c>
      <c r="L2647" s="8">
        <v>46225</v>
      </c>
      <c r="M2647" s="17">
        <f>MAX(1,NETWORKDAYS(A2647,L2647,Table2[Dias no laborales]))</f>
        <v>1</v>
      </c>
    </row>
    <row r="2648" spans="1:13" hidden="1" x14ac:dyDescent="0.3">
      <c r="A2648" s="8">
        <v>46225</v>
      </c>
      <c r="B2648" s="16" t="s">
        <v>5196</v>
      </c>
      <c r="C2648" s="6" t="s">
        <v>5814</v>
      </c>
      <c r="D2648" s="6" t="s">
        <v>5611</v>
      </c>
      <c r="E2648" s="14">
        <v>46224.770138888889</v>
      </c>
      <c r="F2648" s="25">
        <f>IF(HOUR(Table1[[#This Row],[CORREO]])&gt;=11,WORKDAY(Table1[[#This Row],[CORREO]],1,Table2[Dias no laborales]),E2648)</f>
        <v>46225</v>
      </c>
      <c r="G2648" s="8">
        <v>46225</v>
      </c>
      <c r="H2648" s="6">
        <f t="shared" si="149"/>
        <v>29</v>
      </c>
      <c r="I2648" s="6">
        <f>MAX(1, NETWORKDAYS(A2648, G2648,Table2[Dias no laborales]))</f>
        <v>1</v>
      </c>
      <c r="J2648" s="6" t="str">
        <f>IF(Table1[[#This Row],[FIN]]="","Acumulado",IF(ISNUMBER(SEARCH("ASAP",C2648)),"ASAP",IF(NETWORKDAYS.INTL(F2648,G2648,1,Table2[Dias no laborales]) &lt;= 7, "Dentro", IF(A2648&gt;F2648,"Programado","Fuera"))))</f>
        <v>Dentro</v>
      </c>
      <c r="K2648" s="6" t="str">
        <f t="shared" si="150"/>
        <v>A tiempo</v>
      </c>
      <c r="L2648" s="8">
        <v>46225</v>
      </c>
      <c r="M2648" s="17">
        <f>MAX(1,NETWORKDAYS(A2648,L2648,Table2[Dias no laborales]))</f>
        <v>1</v>
      </c>
    </row>
    <row r="2649" spans="1:13" hidden="1" x14ac:dyDescent="0.3">
      <c r="A2649" s="8">
        <v>46225</v>
      </c>
      <c r="B2649" s="16" t="s">
        <v>5197</v>
      </c>
      <c r="C2649" s="6" t="s">
        <v>5815</v>
      </c>
      <c r="D2649" s="6" t="s">
        <v>916</v>
      </c>
      <c r="E2649" s="14">
        <v>46225.381249999999</v>
      </c>
      <c r="F2649" s="25">
        <f>IF(HOUR(Table1[[#This Row],[CORREO]])&gt;=11,WORKDAY(Table1[[#This Row],[CORREO]],1,Table2[Dias no laborales]),E2649)</f>
        <v>46225.381249999999</v>
      </c>
      <c r="G2649" s="8">
        <v>46227</v>
      </c>
      <c r="H2649" s="6">
        <f t="shared" si="149"/>
        <v>29</v>
      </c>
      <c r="I2649" s="6">
        <f>MAX(1, NETWORKDAYS(A2649, G2649,Table2[Dias no laborales]))</f>
        <v>3</v>
      </c>
      <c r="J2649" s="6" t="str">
        <f>IF(Table1[[#This Row],[FIN]]="","Acumulado",IF(ISNUMBER(SEARCH("ASAP",C2649)),"ASAP",IF(NETWORKDAYS.INTL(F2649,G2649,1,Table2[Dias no laborales]) &lt;= 7, "Dentro", IF(A2649&gt;F2649,"Programado","Fuera"))))</f>
        <v>Dentro</v>
      </c>
      <c r="K2649" s="6" t="str">
        <f t="shared" si="150"/>
        <v>A tiempo</v>
      </c>
      <c r="L2649" s="8">
        <v>46225</v>
      </c>
      <c r="M2649" s="17">
        <f>MAX(1,NETWORKDAYS(A2649,L2649,Table2[Dias no laborales]))</f>
        <v>1</v>
      </c>
    </row>
    <row r="2650" spans="1:13" hidden="1" x14ac:dyDescent="0.3">
      <c r="A2650" s="8">
        <v>46225</v>
      </c>
      <c r="B2650" s="16" t="s">
        <v>5198</v>
      </c>
      <c r="C2650" s="6" t="s">
        <v>5816</v>
      </c>
      <c r="D2650" s="6" t="s">
        <v>916</v>
      </c>
      <c r="E2650" s="14">
        <v>46225.382638888892</v>
      </c>
      <c r="F2650" s="25">
        <f>IF(HOUR(Table1[[#This Row],[CORREO]])&gt;=11,WORKDAY(Table1[[#This Row],[CORREO]],1,Table2[Dias no laborales]),E2650)</f>
        <v>46225.382638888892</v>
      </c>
      <c r="G2650" s="8">
        <v>46226</v>
      </c>
      <c r="H2650" s="6">
        <f t="shared" si="149"/>
        <v>29</v>
      </c>
      <c r="I2650" s="6">
        <f>MAX(1, NETWORKDAYS(A2650, G2650,Table2[Dias no laborales]))</f>
        <v>2</v>
      </c>
      <c r="J2650" s="6" t="str">
        <f>IF(Table1[[#This Row],[FIN]]="","Acumulado",IF(ISNUMBER(SEARCH("ASAP",C2650)),"ASAP",IF(NETWORKDAYS.INTL(F2650,G2650,1,Table2[Dias no laborales]) &lt;= 7, "Dentro", IF(A2650&gt;F2650,"Programado","Fuera"))))</f>
        <v>Dentro</v>
      </c>
      <c r="K2650" s="6" t="str">
        <f t="shared" si="150"/>
        <v>A tiempo</v>
      </c>
      <c r="L2650" s="8">
        <v>46225</v>
      </c>
      <c r="M2650" s="17">
        <f>MAX(1,NETWORKDAYS(A2650,L2650,Table2[Dias no laborales]))</f>
        <v>1</v>
      </c>
    </row>
    <row r="2651" spans="1:13" hidden="1" x14ac:dyDescent="0.3">
      <c r="A2651" s="8">
        <v>46225</v>
      </c>
      <c r="B2651" s="16" t="s">
        <v>5199</v>
      </c>
      <c r="C2651" s="6" t="s">
        <v>5817</v>
      </c>
      <c r="D2651" s="6" t="s">
        <v>3020</v>
      </c>
      <c r="E2651" s="14">
        <v>46225.418749999997</v>
      </c>
      <c r="F2651" s="25">
        <f>IF(HOUR(Table1[[#This Row],[CORREO]])&gt;=11,WORKDAY(Table1[[#This Row],[CORREO]],1,Table2[Dias no laborales]),E2651)</f>
        <v>46225.418749999997</v>
      </c>
      <c r="G2651" s="8">
        <v>46232</v>
      </c>
      <c r="H2651" s="6">
        <f t="shared" si="149"/>
        <v>29</v>
      </c>
      <c r="I2651" s="6">
        <f>MAX(1, NETWORKDAYS(A2651, G2651,Table2[Dias no laborales]))</f>
        <v>6</v>
      </c>
      <c r="J2651" s="6" t="str">
        <f>IF(Table1[[#This Row],[FIN]]="","Acumulado",IF(ISNUMBER(SEARCH("ASAP",C2651)),"ASAP",IF(NETWORKDAYS.INTL(F2651,G2651,1,Table2[Dias no laborales]) &lt;= 7, "Dentro", IF(A2651&gt;F2651,"Programado","Fuera"))))</f>
        <v>Dentro</v>
      </c>
      <c r="K2651" s="6" t="str">
        <f t="shared" si="150"/>
        <v>A tiempo</v>
      </c>
      <c r="L2651" s="8">
        <v>46225</v>
      </c>
      <c r="M2651" s="17">
        <f>MAX(1,NETWORKDAYS(A2651,L2651,Table2[Dias no laborales]))</f>
        <v>1</v>
      </c>
    </row>
    <row r="2652" spans="1:13" hidden="1" x14ac:dyDescent="0.3">
      <c r="A2652" s="8">
        <v>46225</v>
      </c>
      <c r="B2652" s="16" t="s">
        <v>5200</v>
      </c>
      <c r="C2652" s="6" t="s">
        <v>2633</v>
      </c>
      <c r="D2652" s="6" t="s">
        <v>2623</v>
      </c>
      <c r="E2652" s="14">
        <v>46225.459722222222</v>
      </c>
      <c r="F2652" s="25">
        <f>IF(HOUR(Table1[[#This Row],[CORREO]])&gt;=11,WORKDAY(Table1[[#This Row],[CORREO]],1,Table2[Dias no laborales]),E2652)</f>
        <v>46226</v>
      </c>
      <c r="G2652" s="8">
        <v>46225</v>
      </c>
      <c r="H2652" s="6">
        <f t="shared" si="149"/>
        <v>29</v>
      </c>
      <c r="I2652" s="6">
        <f>MAX(1, NETWORKDAYS(A2652, G2652,Table2[Dias no laborales]))</f>
        <v>1</v>
      </c>
      <c r="J2652" s="6" t="str">
        <f>IF(Table1[[#This Row],[FIN]]="","Acumulado",IF(ISNUMBER(SEARCH("ASAP",C2652)),"ASAP",IF(NETWORKDAYS.INTL(F2652,G2652,1,Table2[Dias no laborales]) &lt;= 7, "Dentro", IF(A2652&gt;F2652,"Programado","Fuera"))))</f>
        <v>Dentro</v>
      </c>
      <c r="K2652" s="6" t="str">
        <f t="shared" si="150"/>
        <v>Mismo día</v>
      </c>
      <c r="L2652" s="8">
        <v>46225</v>
      </c>
      <c r="M2652" s="17">
        <f>MAX(1,NETWORKDAYS(A2652,L2652,Table2[Dias no laborales]))</f>
        <v>1</v>
      </c>
    </row>
    <row r="2653" spans="1:13" hidden="1" x14ac:dyDescent="0.3">
      <c r="A2653" s="8">
        <v>46226</v>
      </c>
      <c r="B2653" s="16" t="s">
        <v>5201</v>
      </c>
      <c r="C2653" s="6" t="s">
        <v>5818</v>
      </c>
      <c r="D2653" s="6" t="s">
        <v>351</v>
      </c>
      <c r="E2653" s="14">
        <v>46225.463194444441</v>
      </c>
      <c r="F2653" s="25">
        <f>IF(HOUR(Table1[[#This Row],[CORREO]])&gt;=11,WORKDAY(Table1[[#This Row],[CORREO]],1,Table2[Dias no laborales]),E2653)</f>
        <v>46226</v>
      </c>
      <c r="G2653" s="8">
        <v>46245</v>
      </c>
      <c r="H2653" s="6">
        <f t="shared" si="149"/>
        <v>30</v>
      </c>
      <c r="I2653" s="6">
        <f>MAX(1, NETWORKDAYS(A2653, G2653,Table2[Dias no laborales]))</f>
        <v>14</v>
      </c>
      <c r="J2653" s="6" t="str">
        <f>IF(Table1[[#This Row],[FIN]]="","Acumulado",IF(ISNUMBER(SEARCH("ASAP",C2653)),"ASAP",IF(NETWORKDAYS.INTL(F2653,G2653,1,Table2[Dias no laborales]) &lt;= 7, "Dentro", IF(A2653&gt;F2653,"Programado","Fuera"))))</f>
        <v>Fuera</v>
      </c>
      <c r="K2653" s="6" t="str">
        <f t="shared" si="150"/>
        <v>A tiempo</v>
      </c>
      <c r="L2653" s="8">
        <v>46226</v>
      </c>
      <c r="M2653" s="17">
        <f>MAX(1,NETWORKDAYS(A2653,L2653,Table2[Dias no laborales]))</f>
        <v>1</v>
      </c>
    </row>
    <row r="2654" spans="1:13" hidden="1" x14ac:dyDescent="0.3">
      <c r="A2654" s="8">
        <v>46288</v>
      </c>
      <c r="B2654" s="16" t="s">
        <v>5202</v>
      </c>
      <c r="C2654" s="6" t="s">
        <v>5824</v>
      </c>
      <c r="D2654" s="6" t="s">
        <v>3997</v>
      </c>
      <c r="E2654" s="14">
        <v>46225.546527777777</v>
      </c>
      <c r="F2654" s="25">
        <f>IF(HOUR(Table1[[#This Row],[CORREO]])&gt;=11,WORKDAY(Table1[[#This Row],[CORREO]],1,Table2[Dias no laborales]),E2654)</f>
        <v>46226</v>
      </c>
      <c r="G2654" s="8">
        <v>46238</v>
      </c>
      <c r="H2654" s="6">
        <f t="shared" si="149"/>
        <v>38</v>
      </c>
      <c r="I2654" s="6">
        <f>MAX(1, NETWORKDAYS(A2654, G2654,Table2[Dias no laborales]))</f>
        <v>1</v>
      </c>
      <c r="J2654" s="6" t="str">
        <f>IF(Table1[[#This Row],[FIN]]="","Acumulado",IF(ISNUMBER(SEARCH("ASAP",C2654)),"ASAP",IF(NETWORKDAYS.INTL(F2654,G2654,1,Table2[Dias no laborales]) &lt;= 7, "Dentro", IF(A2654&gt;F2654,"Programado","Fuera"))))</f>
        <v>Programado</v>
      </c>
      <c r="K2654" s="6" t="str">
        <f t="shared" si="150"/>
        <v>Programados</v>
      </c>
      <c r="L2654" s="8">
        <v>46226</v>
      </c>
      <c r="M2654" s="17">
        <f>MAX(1,NETWORKDAYS(A2654,L2654,Table2[Dias no laborales]))</f>
        <v>1</v>
      </c>
    </row>
    <row r="2655" spans="1:13" hidden="1" x14ac:dyDescent="0.3">
      <c r="A2655" s="8">
        <v>46226</v>
      </c>
      <c r="B2655" s="16" t="s">
        <v>5203</v>
      </c>
      <c r="C2655" s="6" t="s">
        <v>5877</v>
      </c>
      <c r="D2655" s="6" t="s">
        <v>27</v>
      </c>
      <c r="E2655" s="14">
        <v>46225.680555555555</v>
      </c>
      <c r="F2655" s="25">
        <f>IF(HOUR(Table1[[#This Row],[CORREO]])&gt;=11,WORKDAY(Table1[[#This Row],[CORREO]],1,Table2[Dias no laborales]),E2655)</f>
        <v>46226</v>
      </c>
      <c r="G2655" s="8">
        <v>46227</v>
      </c>
      <c r="H2655" s="6">
        <f t="shared" si="149"/>
        <v>30</v>
      </c>
      <c r="I2655" s="6">
        <f>MAX(1, NETWORKDAYS(A2655, G2655,Table2[Dias no laborales]))</f>
        <v>2</v>
      </c>
      <c r="J2655" s="6" t="str">
        <f>IF(Table1[[#This Row],[FIN]]="","Acumulado",IF(ISNUMBER(SEARCH("ASAP",C2655)),"ASAP",IF(NETWORKDAYS.INTL(F2655,G2655,1,Table2[Dias no laborales]) &lt;= 7, "Dentro", IF(A2655&gt;F2655,"Programado","Fuera"))))</f>
        <v>Dentro</v>
      </c>
      <c r="K2655" s="6" t="str">
        <f t="shared" si="150"/>
        <v>A tiempo</v>
      </c>
      <c r="L2655" s="8">
        <v>46226</v>
      </c>
      <c r="M2655" s="17">
        <f>MAX(1,NETWORKDAYS(A2655,L2655,Table2[Dias no laborales]))</f>
        <v>1</v>
      </c>
    </row>
    <row r="2656" spans="1:13" hidden="1" x14ac:dyDescent="0.3">
      <c r="A2656" s="8">
        <v>46226</v>
      </c>
      <c r="B2656" s="16" t="s">
        <v>5204</v>
      </c>
      <c r="C2656" s="6" t="s">
        <v>807</v>
      </c>
      <c r="D2656" s="6" t="s">
        <v>477</v>
      </c>
      <c r="E2656" s="14">
        <v>46226.65</v>
      </c>
      <c r="F2656" s="25">
        <f>IF(HOUR(Table1[[#This Row],[CORREO]])&gt;=11,WORKDAY(Table1[[#This Row],[CORREO]],1,Table2[Dias no laborales]),E2656)</f>
        <v>46227</v>
      </c>
      <c r="G2656" s="8">
        <v>46230</v>
      </c>
      <c r="H2656" s="6">
        <f t="shared" si="149"/>
        <v>30</v>
      </c>
      <c r="I2656" s="6">
        <f>MAX(1, NETWORKDAYS(A2656, G2656,Table2[Dias no laborales]))</f>
        <v>3</v>
      </c>
      <c r="J2656" s="6" t="str">
        <f>IF(Table1[[#This Row],[FIN]]="","Acumulado",IF(ISNUMBER(SEARCH("ASAP",C2656)),"ASAP",IF(NETWORKDAYS.INTL(F2656,G2656,1,Table2[Dias no laborales]) &lt;= 7, "Dentro", IF(A2656&gt;F2656,"Programado","Fuera"))))</f>
        <v>Dentro</v>
      </c>
      <c r="K2656" s="6" t="str">
        <f t="shared" si="150"/>
        <v>Mismo día</v>
      </c>
      <c r="L2656" s="8">
        <v>46226</v>
      </c>
      <c r="M2656" s="17">
        <f>MAX(1,NETWORKDAYS(A2656,L2656,Table2[Dias no laborales]))</f>
        <v>1</v>
      </c>
    </row>
    <row r="2657" spans="1:13" hidden="1" x14ac:dyDescent="0.3">
      <c r="A2657" s="8">
        <v>46226</v>
      </c>
      <c r="B2657" s="16" t="s">
        <v>5205</v>
      </c>
      <c r="C2657" s="6" t="s">
        <v>5878</v>
      </c>
      <c r="D2657" s="6" t="s">
        <v>1136</v>
      </c>
      <c r="E2657" s="14">
        <v>46226.34097222222</v>
      </c>
      <c r="F2657" s="25">
        <f>IF(HOUR(Table1[[#This Row],[CORREO]])&gt;=11,WORKDAY(Table1[[#This Row],[CORREO]],1,Table2[Dias no laborales]),E2657)</f>
        <v>46226.34097222222</v>
      </c>
      <c r="G2657" s="8">
        <v>46227</v>
      </c>
      <c r="H2657" s="6">
        <f t="shared" si="149"/>
        <v>30</v>
      </c>
      <c r="I2657" s="6">
        <f>MAX(1, NETWORKDAYS(A2657, G2657,Table2[Dias no laborales]))</f>
        <v>2</v>
      </c>
      <c r="J2657" s="6" t="str">
        <f>IF(Table1[[#This Row],[FIN]]="","Acumulado",IF(ISNUMBER(SEARCH("ASAP",C2657)),"ASAP",IF(NETWORKDAYS.INTL(F2657,G2657,1,Table2[Dias no laborales]) &lt;= 7, "Dentro", IF(A2657&gt;F2657,"Programado","Fuera"))))</f>
        <v>Dentro</v>
      </c>
      <c r="K2657" s="6" t="str">
        <f t="shared" si="150"/>
        <v>A tiempo</v>
      </c>
      <c r="L2657" s="8">
        <v>46226</v>
      </c>
      <c r="M2657" s="17">
        <f>MAX(1,NETWORKDAYS(A2657,L2657,Table2[Dias no laborales]))</f>
        <v>1</v>
      </c>
    </row>
    <row r="2658" spans="1:13" hidden="1" x14ac:dyDescent="0.3">
      <c r="A2658" s="8">
        <v>46226</v>
      </c>
      <c r="B2658" s="16" t="s">
        <v>5206</v>
      </c>
      <c r="C2658" s="6" t="s">
        <v>5879</v>
      </c>
      <c r="D2658" s="6" t="s">
        <v>449</v>
      </c>
      <c r="E2658" s="14">
        <v>46226.353472222225</v>
      </c>
      <c r="F2658" s="25">
        <f>IF(HOUR(Table1[[#This Row],[CORREO]])&gt;=11,WORKDAY(Table1[[#This Row],[CORREO]],1,Table2[Dias no laborales]),E2658)</f>
        <v>46226.353472222225</v>
      </c>
      <c r="G2658" s="8">
        <v>46240</v>
      </c>
      <c r="H2658" s="6">
        <f t="shared" si="149"/>
        <v>30</v>
      </c>
      <c r="I2658" s="6">
        <f>MAX(1, NETWORKDAYS(A2658, G2658,Table2[Dias no laborales]))</f>
        <v>11</v>
      </c>
      <c r="J2658" s="6" t="str">
        <f>IF(Table1[[#This Row],[FIN]]="","Acumulado",IF(ISNUMBER(SEARCH("ASAP",C2658)),"ASAP",IF(NETWORKDAYS.INTL(F2658,G2658,1,Table2[Dias no laborales]) &lt;= 7, "Dentro", IF(A2658&gt;F2658,"Programado","Fuera"))))</f>
        <v>Fuera</v>
      </c>
      <c r="K2658" s="6" t="str">
        <f t="shared" si="150"/>
        <v>A tiempo</v>
      </c>
      <c r="L2658" s="8">
        <v>46226</v>
      </c>
      <c r="M2658" s="17">
        <f>MAX(1,NETWORKDAYS(A2658,L2658,Table2[Dias no laborales]))</f>
        <v>1</v>
      </c>
    </row>
    <row r="2659" spans="1:13" hidden="1" x14ac:dyDescent="0.3">
      <c r="A2659" s="8">
        <v>46226</v>
      </c>
      <c r="B2659" s="16" t="s">
        <v>5207</v>
      </c>
      <c r="C2659" s="6" t="s">
        <v>5880</v>
      </c>
      <c r="D2659" s="6" t="s">
        <v>449</v>
      </c>
      <c r="E2659" s="14">
        <v>46226.388194444444</v>
      </c>
      <c r="F2659" s="25">
        <f>IF(HOUR(Table1[[#This Row],[CORREO]])&gt;=11,WORKDAY(Table1[[#This Row],[CORREO]],1,Table2[Dias no laborales]),E2659)</f>
        <v>46226.388194444444</v>
      </c>
      <c r="G2659" s="8">
        <v>46239</v>
      </c>
      <c r="H2659" s="6">
        <f t="shared" si="149"/>
        <v>30</v>
      </c>
      <c r="I2659" s="6">
        <f>MAX(1, NETWORKDAYS(A2659, G2659,Table2[Dias no laborales]))</f>
        <v>10</v>
      </c>
      <c r="J2659" s="6" t="str">
        <f>IF(Table1[[#This Row],[FIN]]="","Acumulado",IF(ISNUMBER(SEARCH("ASAP",C2659)),"ASAP",IF(NETWORKDAYS.INTL(F2659,G2659,1,Table2[Dias no laborales]) &lt;= 7, "Dentro", IF(A2659&gt;F2659,"Programado","Fuera"))))</f>
        <v>Fuera</v>
      </c>
      <c r="K2659" s="6" t="str">
        <f t="shared" si="150"/>
        <v>A tiempo</v>
      </c>
      <c r="L2659" s="8">
        <v>46226</v>
      </c>
      <c r="M2659" s="17">
        <f>MAX(1,NETWORKDAYS(A2659,L2659,Table2[Dias no laborales]))</f>
        <v>1</v>
      </c>
    </row>
    <row r="2660" spans="1:13" hidden="1" x14ac:dyDescent="0.3">
      <c r="A2660" s="8">
        <v>46226</v>
      </c>
      <c r="B2660" s="16" t="s">
        <v>5208</v>
      </c>
      <c r="C2660" s="6" t="s">
        <v>5881</v>
      </c>
      <c r="D2660" s="6" t="s">
        <v>1726</v>
      </c>
      <c r="E2660" s="14">
        <v>46226.427777777775</v>
      </c>
      <c r="F2660" s="25">
        <f>IF(HOUR(Table1[[#This Row],[CORREO]])&gt;=11,WORKDAY(Table1[[#This Row],[CORREO]],1,Table2[Dias no laborales]),E2660)</f>
        <v>46226.427777777775</v>
      </c>
      <c r="G2660" s="8">
        <v>46231</v>
      </c>
      <c r="H2660" s="6">
        <f t="shared" si="149"/>
        <v>30</v>
      </c>
      <c r="I2660" s="6">
        <f>MAX(1, NETWORKDAYS(A2660, G2660,Table2[Dias no laborales]))</f>
        <v>4</v>
      </c>
      <c r="J2660" s="6" t="str">
        <f>IF(Table1[[#This Row],[FIN]]="","Acumulado",IF(ISNUMBER(SEARCH("ASAP",C2660)),"ASAP",IF(NETWORKDAYS.INTL(F2660,G2660,1,Table2[Dias no laborales]) &lt;= 7, "Dentro", IF(A2660&gt;F2660,"Programado","Fuera"))))</f>
        <v>Dentro</v>
      </c>
      <c r="K2660" s="6" t="str">
        <f t="shared" si="150"/>
        <v>A tiempo</v>
      </c>
      <c r="L2660" s="8">
        <v>46226</v>
      </c>
      <c r="M2660" s="17">
        <f>MAX(1,NETWORKDAYS(A2660,L2660,Table2[Dias no laborales]))</f>
        <v>1</v>
      </c>
    </row>
    <row r="2661" spans="1:13" hidden="1" x14ac:dyDescent="0.3">
      <c r="A2661" s="8">
        <v>46226</v>
      </c>
      <c r="B2661" s="16" t="s">
        <v>5209</v>
      </c>
      <c r="C2661" s="6" t="s">
        <v>5882</v>
      </c>
      <c r="D2661" s="6" t="s">
        <v>24</v>
      </c>
      <c r="E2661" s="14"/>
      <c r="F2661" s="25">
        <f>IF(HOUR(Table1[[#This Row],[CORREO]])&gt;=11,WORKDAY(Table1[[#This Row],[CORREO]],1,Table2[Dias no laborales]),E2661)</f>
        <v>0</v>
      </c>
      <c r="G2661" s="8">
        <v>46231</v>
      </c>
      <c r="H2661" s="6">
        <f t="shared" si="149"/>
        <v>30</v>
      </c>
      <c r="I2661" s="6">
        <f>MAX(1, NETWORKDAYS(A2661, G2661,Table2[Dias no laborales]))</f>
        <v>4</v>
      </c>
      <c r="J2661" s="6" t="str">
        <f>IF(Table1[[#This Row],[FIN]]="","Acumulado",IF(ISNUMBER(SEARCH("ASAP",C2661)),"ASAP",IF(NETWORKDAYS.INTL(F2661,G2661,1,Table2[Dias no laborales]) &lt;= 7, "Dentro", IF(A2661&gt;F2661,"Programado","Fuera"))))</f>
        <v>Programado</v>
      </c>
      <c r="K2661" s="6" t="str">
        <f t="shared" si="150"/>
        <v>Programados</v>
      </c>
      <c r="L2661" s="8">
        <v>46226</v>
      </c>
      <c r="M2661" s="17">
        <f>MAX(1,NETWORKDAYS(A2661,L2661,Table2[Dias no laborales]))</f>
        <v>1</v>
      </c>
    </row>
    <row r="2662" spans="1:13" hidden="1" x14ac:dyDescent="0.3">
      <c r="A2662" s="8">
        <v>46226</v>
      </c>
      <c r="B2662" s="16" t="s">
        <v>5210</v>
      </c>
      <c r="C2662" s="6" t="s">
        <v>5883</v>
      </c>
      <c r="D2662" s="6" t="s">
        <v>2586</v>
      </c>
      <c r="E2662" s="14">
        <v>46226.461111111108</v>
      </c>
      <c r="F2662" s="25">
        <f>IF(HOUR(Table1[[#This Row],[CORREO]])&gt;=11,WORKDAY(Table1[[#This Row],[CORREO]],1,Table2[Dias no laborales]),E2662)</f>
        <v>46227</v>
      </c>
      <c r="G2662" s="8">
        <v>46227</v>
      </c>
      <c r="H2662" s="6">
        <f t="shared" si="149"/>
        <v>30</v>
      </c>
      <c r="I2662" s="6">
        <f>MAX(1, NETWORKDAYS(A2662, G2662,Table2[Dias no laborales]))</f>
        <v>2</v>
      </c>
      <c r="J2662" s="6" t="str">
        <f>IF(Table1[[#This Row],[FIN]]="","Acumulado",IF(ISNUMBER(SEARCH("ASAP",C2662)),"ASAP",IF(NETWORKDAYS.INTL(F2662,G2662,1,Table2[Dias no laborales]) &lt;= 7, "Dentro", IF(A2662&gt;F2662,"Programado","Fuera"))))</f>
        <v>Dentro</v>
      </c>
      <c r="K2662" s="6" t="str">
        <f t="shared" si="150"/>
        <v>Mismo día</v>
      </c>
      <c r="L2662" s="8">
        <v>46226</v>
      </c>
      <c r="M2662" s="17">
        <f>MAX(1,NETWORKDAYS(A2662,L2662,Table2[Dias no laborales]))</f>
        <v>1</v>
      </c>
    </row>
    <row r="2663" spans="1:13" hidden="1" x14ac:dyDescent="0.3">
      <c r="A2663" s="8">
        <v>46226</v>
      </c>
      <c r="B2663" s="16" t="s">
        <v>5211</v>
      </c>
      <c r="C2663" s="6" t="s">
        <v>5884</v>
      </c>
      <c r="D2663" s="6" t="s">
        <v>916</v>
      </c>
      <c r="E2663" s="14">
        <v>46226.467361111114</v>
      </c>
      <c r="F2663" s="25">
        <f>IF(HOUR(Table1[[#This Row],[CORREO]])&gt;=11,WORKDAY(Table1[[#This Row],[CORREO]],1,Table2[Dias no laborales]),E2663)</f>
        <v>46227</v>
      </c>
      <c r="G2663" s="8">
        <v>46230</v>
      </c>
      <c r="H2663" s="6">
        <f t="shared" si="149"/>
        <v>30</v>
      </c>
      <c r="I2663" s="6">
        <f>MAX(1, NETWORKDAYS(A2663, G2663,Table2[Dias no laborales]))</f>
        <v>3</v>
      </c>
      <c r="J2663" s="6" t="str">
        <f>IF(Table1[[#This Row],[FIN]]="","Acumulado",IF(ISNUMBER(SEARCH("ASAP",C2663)),"ASAP",IF(NETWORKDAYS.INTL(F2663,G2663,1,Table2[Dias no laborales]) &lt;= 7, "Dentro", IF(A2663&gt;F2663,"Programado","Fuera"))))</f>
        <v>Dentro</v>
      </c>
      <c r="K2663" s="6" t="str">
        <f t="shared" si="150"/>
        <v>Mismo día</v>
      </c>
      <c r="L2663" s="8">
        <v>46226</v>
      </c>
      <c r="M2663" s="17">
        <f>MAX(1,NETWORKDAYS(A2663,L2663,Table2[Dias no laborales]))</f>
        <v>1</v>
      </c>
    </row>
    <row r="2664" spans="1:13" hidden="1" x14ac:dyDescent="0.3">
      <c r="A2664" s="8">
        <v>46226</v>
      </c>
      <c r="B2664" s="16" t="s">
        <v>5212</v>
      </c>
      <c r="C2664" s="6" t="s">
        <v>5885</v>
      </c>
      <c r="D2664" s="6" t="s">
        <v>5886</v>
      </c>
      <c r="E2664" s="14">
        <v>46225.584722222222</v>
      </c>
      <c r="F2664" s="25">
        <f>IF(HOUR(Table1[[#This Row],[CORREO]])&gt;=11,WORKDAY(Table1[[#This Row],[CORREO]],1,Table2[Dias no laborales]),E2664)</f>
        <v>46226</v>
      </c>
      <c r="G2664" s="8">
        <v>46231</v>
      </c>
      <c r="H2664" s="6">
        <f t="shared" si="149"/>
        <v>30</v>
      </c>
      <c r="I2664" s="6">
        <f>MAX(1, NETWORKDAYS(A2664, G2664,Table2[Dias no laborales]))</f>
        <v>4</v>
      </c>
      <c r="J2664" s="6" t="str">
        <f>IF(Table1[[#This Row],[FIN]]="","Acumulado",IF(ISNUMBER(SEARCH("ASAP",C2664)),"ASAP",IF(NETWORKDAYS.INTL(F2664,G2664,1,Table2[Dias no laborales]) &lt;= 7, "Dentro", IF(A2664&gt;F2664,"Programado","Fuera"))))</f>
        <v>Dentro</v>
      </c>
      <c r="K2664" s="6" t="str">
        <f t="shared" si="150"/>
        <v>A tiempo</v>
      </c>
      <c r="L2664" s="8">
        <v>46226</v>
      </c>
      <c r="M2664" s="17">
        <f>MAX(1,NETWORKDAYS(A2664,L2664,Table2[Dias no laborales]))</f>
        <v>1</v>
      </c>
    </row>
    <row r="2665" spans="1:13" hidden="1" x14ac:dyDescent="0.3">
      <c r="A2665" s="8">
        <v>46226</v>
      </c>
      <c r="B2665" s="16" t="s">
        <v>5213</v>
      </c>
      <c r="C2665" s="6" t="s">
        <v>5887</v>
      </c>
      <c r="D2665" s="6" t="s">
        <v>1360</v>
      </c>
      <c r="E2665" s="14">
        <v>46226.503472222219</v>
      </c>
      <c r="F2665" s="25">
        <f>IF(HOUR(Table1[[#This Row],[CORREO]])&gt;=11,WORKDAY(Table1[[#This Row],[CORREO]],1,Table2[Dias no laborales]),E2665)</f>
        <v>46227</v>
      </c>
      <c r="G2665" s="8">
        <v>46227</v>
      </c>
      <c r="H2665" s="6">
        <f t="shared" si="149"/>
        <v>30</v>
      </c>
      <c r="I2665" s="6">
        <f>MAX(1, NETWORKDAYS(A2665, G2665,Table2[Dias no laborales]))</f>
        <v>2</v>
      </c>
      <c r="J2665" s="6" t="str">
        <f>IF(Table1[[#This Row],[FIN]]="","Acumulado",IF(ISNUMBER(SEARCH("ASAP",C2665)),"ASAP",IF(NETWORKDAYS.INTL(F2665,G2665,1,Table2[Dias no laborales]) &lt;= 7, "Dentro", IF(A2665&gt;F2665,"Programado","Fuera"))))</f>
        <v>Dentro</v>
      </c>
      <c r="K2665" s="6" t="str">
        <f t="shared" si="150"/>
        <v>Mismo día</v>
      </c>
      <c r="L2665" s="8">
        <v>46226</v>
      </c>
      <c r="M2665" s="17">
        <f>MAX(1,NETWORKDAYS(A2665,L2665,Table2[Dias no laborales]))</f>
        <v>1</v>
      </c>
    </row>
    <row r="2666" spans="1:13" hidden="1" x14ac:dyDescent="0.3">
      <c r="A2666" s="8">
        <v>46226</v>
      </c>
      <c r="B2666" s="16" t="s">
        <v>5214</v>
      </c>
      <c r="C2666" s="6" t="s">
        <v>5888</v>
      </c>
      <c r="D2666" s="6" t="s">
        <v>5889</v>
      </c>
      <c r="E2666" s="14">
        <v>46226.652777777781</v>
      </c>
      <c r="F2666" s="25">
        <f>IF(HOUR(Table1[[#This Row],[CORREO]])&gt;=11,WORKDAY(Table1[[#This Row],[CORREO]],1,Table2[Dias no laborales]),E2666)</f>
        <v>46227</v>
      </c>
      <c r="G2666" s="8">
        <v>46227</v>
      </c>
      <c r="H2666" s="6">
        <f t="shared" si="149"/>
        <v>30</v>
      </c>
      <c r="I2666" s="6">
        <f>MAX(1, NETWORKDAYS(A2666, G2666,Table2[Dias no laborales]))</f>
        <v>2</v>
      </c>
      <c r="J2666" s="6" t="str">
        <f>IF(Table1[[#This Row],[FIN]]="","Acumulado",IF(ISNUMBER(SEARCH("ASAP",C2666)),"ASAP",IF(NETWORKDAYS.INTL(F2666,G2666,1,Table2[Dias no laborales]) &lt;= 7, "Dentro", IF(A2666&gt;F2666,"Programado","Fuera"))))</f>
        <v>Dentro</v>
      </c>
      <c r="K2666" s="6" t="str">
        <f t="shared" si="150"/>
        <v>Mismo día</v>
      </c>
      <c r="L2666" s="8">
        <v>46226</v>
      </c>
      <c r="M2666" s="17">
        <f>MAX(1,NETWORKDAYS(A2666,L2666,Table2[Dias no laborales]))</f>
        <v>1</v>
      </c>
    </row>
    <row r="2667" spans="1:13" hidden="1" x14ac:dyDescent="0.3">
      <c r="A2667" s="8">
        <v>46226</v>
      </c>
      <c r="B2667" s="16" t="s">
        <v>5215</v>
      </c>
      <c r="C2667" s="6" t="s">
        <v>5890</v>
      </c>
      <c r="D2667" s="6" t="s">
        <v>4824</v>
      </c>
      <c r="E2667" s="14">
        <v>46226.668749999997</v>
      </c>
      <c r="F2667" s="25">
        <f>IF(HOUR(Table1[[#This Row],[CORREO]])&gt;=11,WORKDAY(Table1[[#This Row],[CORREO]],1,Table2[Dias no laborales]),E2667)</f>
        <v>46227</v>
      </c>
      <c r="G2667" s="8">
        <v>46227</v>
      </c>
      <c r="H2667" s="6">
        <f t="shared" si="149"/>
        <v>30</v>
      </c>
      <c r="I2667" s="6">
        <f>MAX(1, NETWORKDAYS(A2667, G2667,Table2[Dias no laborales]))</f>
        <v>2</v>
      </c>
      <c r="J2667" s="6" t="str">
        <f>IF(Table1[[#This Row],[FIN]]="","Acumulado",IF(ISNUMBER(SEARCH("ASAP",C2667)),"ASAP",IF(NETWORKDAYS.INTL(F2667,G2667,1,Table2[Dias no laborales]) &lt;= 7, "Dentro", IF(A2667&gt;F2667,"Programado","Fuera"))))</f>
        <v>Dentro</v>
      </c>
      <c r="K2667" s="6" t="str">
        <f t="shared" si="150"/>
        <v>Mismo día</v>
      </c>
      <c r="L2667" s="8">
        <v>46226</v>
      </c>
      <c r="M2667" s="17">
        <f>MAX(1,NETWORKDAYS(A2667,L2667,Table2[Dias no laborales]))</f>
        <v>1</v>
      </c>
    </row>
    <row r="2668" spans="1:13" hidden="1" x14ac:dyDescent="0.3">
      <c r="A2668" s="8">
        <v>46227</v>
      </c>
      <c r="B2668" s="16" t="s">
        <v>5216</v>
      </c>
      <c r="C2668" s="6" t="s">
        <v>5891</v>
      </c>
      <c r="D2668" s="6" t="s">
        <v>623</v>
      </c>
      <c r="E2668" s="14">
        <v>46226.809027777781</v>
      </c>
      <c r="F2668" s="25">
        <f>IF(HOUR(Table1[[#This Row],[CORREO]])&gt;=11,WORKDAY(Table1[[#This Row],[CORREO]],1,Table2[Dias no laborales]),E2668)</f>
        <v>46227</v>
      </c>
      <c r="G2668" s="8">
        <v>46227</v>
      </c>
      <c r="H2668" s="6">
        <f t="shared" si="149"/>
        <v>30</v>
      </c>
      <c r="I2668" s="6">
        <f>MAX(1, NETWORKDAYS(A2668, G2668,Table2[Dias no laborales]))</f>
        <v>1</v>
      </c>
      <c r="J2668" s="6" t="str">
        <f>IF(Table1[[#This Row],[FIN]]="","Acumulado",IF(ISNUMBER(SEARCH("ASAP",C2668)),"ASAP",IF(NETWORKDAYS.INTL(F2668,G2668,1,Table2[Dias no laborales]) &lt;= 7, "Dentro", IF(A2668&gt;F2668,"Programado","Fuera"))))</f>
        <v>Dentro</v>
      </c>
      <c r="K2668" s="6" t="str">
        <f t="shared" si="150"/>
        <v>A tiempo</v>
      </c>
      <c r="L2668" s="8">
        <v>46227</v>
      </c>
      <c r="M2668" s="17">
        <f>MAX(1,NETWORKDAYS(A2668,L2668,Table2[Dias no laborales]))</f>
        <v>1</v>
      </c>
    </row>
    <row r="2669" spans="1:13" hidden="1" x14ac:dyDescent="0.3">
      <c r="A2669" s="8">
        <v>46227</v>
      </c>
      <c r="B2669" s="16" t="s">
        <v>5217</v>
      </c>
      <c r="C2669" s="6" t="s">
        <v>5892</v>
      </c>
      <c r="D2669" s="6" t="s">
        <v>477</v>
      </c>
      <c r="E2669" s="14">
        <v>46226.459722222222</v>
      </c>
      <c r="F2669" s="25">
        <f>IF(HOUR(Table1[[#This Row],[CORREO]])&gt;=11,WORKDAY(Table1[[#This Row],[CORREO]],1,Table2[Dias no laborales]),E2669)</f>
        <v>46227</v>
      </c>
      <c r="G2669" s="8">
        <v>46227</v>
      </c>
      <c r="H2669" s="6">
        <f t="shared" si="149"/>
        <v>30</v>
      </c>
      <c r="I2669" s="6">
        <f>MAX(1, NETWORKDAYS(A2669, G2669,Table2[Dias no laborales]))</f>
        <v>1</v>
      </c>
      <c r="J2669" s="6" t="str">
        <f>IF(Table1[[#This Row],[FIN]]="","Acumulado",IF(ISNUMBER(SEARCH("ASAP",C2669)),"ASAP",IF(NETWORKDAYS.INTL(F2669,G2669,1,Table2[Dias no laborales]) &lt;= 7, "Dentro", IF(A2669&gt;F2669,"Programado","Fuera"))))</f>
        <v>Dentro</v>
      </c>
      <c r="K2669" s="6" t="str">
        <f t="shared" si="150"/>
        <v>A tiempo</v>
      </c>
      <c r="L2669" s="8">
        <v>46227</v>
      </c>
      <c r="M2669" s="17">
        <f>MAX(1,NETWORKDAYS(A2669,L2669,Table2[Dias no laborales]))</f>
        <v>1</v>
      </c>
    </row>
    <row r="2670" spans="1:13" hidden="1" x14ac:dyDescent="0.3">
      <c r="A2670" s="8">
        <v>46227</v>
      </c>
      <c r="B2670" s="16" t="s">
        <v>5218</v>
      </c>
      <c r="C2670" s="6" t="s">
        <v>5893</v>
      </c>
      <c r="D2670" s="6" t="s">
        <v>477</v>
      </c>
      <c r="E2670" s="14">
        <v>46227.65</v>
      </c>
      <c r="F2670" s="25">
        <f>IF(HOUR(Table1[[#This Row],[CORREO]])&gt;=11,WORKDAY(Table1[[#This Row],[CORREO]],1,Table2[Dias no laborales]),E2670)</f>
        <v>46230</v>
      </c>
      <c r="G2670" s="8">
        <v>46231</v>
      </c>
      <c r="H2670" s="6">
        <f t="shared" si="149"/>
        <v>30</v>
      </c>
      <c r="I2670" s="6">
        <f>MAX(1, NETWORKDAYS(A2670, G2670,Table2[Dias no laborales]))</f>
        <v>3</v>
      </c>
      <c r="J2670" s="6" t="str">
        <f>IF(Table1[[#This Row],[FIN]]="","Acumulado",IF(ISNUMBER(SEARCH("ASAP",C2670)),"ASAP",IF(NETWORKDAYS.INTL(F2670,G2670,1,Table2[Dias no laborales]) &lt;= 7, "Dentro", IF(A2670&gt;F2670,"Programado","Fuera"))))</f>
        <v>Dentro</v>
      </c>
      <c r="K2670" s="6" t="str">
        <f t="shared" si="150"/>
        <v>Mismo día</v>
      </c>
      <c r="L2670" s="8">
        <v>46227</v>
      </c>
      <c r="M2670" s="17">
        <f>MAX(1,NETWORKDAYS(A2670,L2670,Table2[Dias no laborales]))</f>
        <v>1</v>
      </c>
    </row>
    <row r="2671" spans="1:13" hidden="1" x14ac:dyDescent="0.3">
      <c r="A2671" s="8">
        <v>46227</v>
      </c>
      <c r="B2671" s="16" t="s">
        <v>5219</v>
      </c>
      <c r="C2671" s="6" t="s">
        <v>5894</v>
      </c>
      <c r="D2671" s="6" t="s">
        <v>623</v>
      </c>
      <c r="E2671" s="14">
        <v>46227.340277777781</v>
      </c>
      <c r="F2671" s="25">
        <f>IF(HOUR(Table1[[#This Row],[CORREO]])&gt;=11,WORKDAY(Table1[[#This Row],[CORREO]],1,Table2[Dias no laborales]),E2671)</f>
        <v>46227.340277777781</v>
      </c>
      <c r="G2671" s="8">
        <v>46227</v>
      </c>
      <c r="H2671" s="6">
        <f t="shared" si="149"/>
        <v>30</v>
      </c>
      <c r="I2671" s="6">
        <f>MAX(1, NETWORKDAYS(A2671, G2671,Table2[Dias no laborales]))</f>
        <v>1</v>
      </c>
      <c r="J2671" s="6" t="str">
        <f>IF(Table1[[#This Row],[FIN]]="","Acumulado",IF(ISNUMBER(SEARCH("ASAP",C2671)),"ASAP",IF(NETWORKDAYS.INTL(F2671,G2671,1,Table2[Dias no laborales]) &lt;= 7, "Dentro", IF(A2671&gt;F2671,"Programado","Fuera"))))</f>
        <v>Dentro</v>
      </c>
      <c r="K2671" s="6" t="str">
        <f t="shared" si="150"/>
        <v>A tiempo</v>
      </c>
      <c r="L2671" s="8">
        <v>46227</v>
      </c>
      <c r="M2671" s="17">
        <f>MAX(1,NETWORKDAYS(A2671,L2671,Table2[Dias no laborales]))</f>
        <v>1</v>
      </c>
    </row>
    <row r="2672" spans="1:13" hidden="1" x14ac:dyDescent="0.3">
      <c r="A2672" s="8">
        <v>46227</v>
      </c>
      <c r="B2672" s="16" t="s">
        <v>5220</v>
      </c>
      <c r="C2672" s="6" t="s">
        <v>5895</v>
      </c>
      <c r="D2672" s="6" t="s">
        <v>623</v>
      </c>
      <c r="E2672" s="14">
        <v>46227.345138888886</v>
      </c>
      <c r="F2672" s="25">
        <f>IF(HOUR(Table1[[#This Row],[CORREO]])&gt;=11,WORKDAY(Table1[[#This Row],[CORREO]],1,Table2[Dias no laborales]),E2672)</f>
        <v>46227.345138888886</v>
      </c>
      <c r="G2672" s="8">
        <v>46231</v>
      </c>
      <c r="H2672" s="6">
        <f t="shared" si="149"/>
        <v>30</v>
      </c>
      <c r="I2672" s="6">
        <f>MAX(1, NETWORKDAYS(A2672, G2672,Table2[Dias no laborales]))</f>
        <v>3</v>
      </c>
      <c r="J2672" s="6" t="str">
        <f>IF(Table1[[#This Row],[FIN]]="","Acumulado",IF(ISNUMBER(SEARCH("ASAP",C2672)),"ASAP",IF(NETWORKDAYS.INTL(F2672,G2672,1,Table2[Dias no laborales]) &lt;= 7, "Dentro", IF(A2672&gt;F2672,"Programado","Fuera"))))</f>
        <v>Dentro</v>
      </c>
      <c r="K2672" s="6" t="str">
        <f t="shared" si="150"/>
        <v>A tiempo</v>
      </c>
      <c r="L2672" s="8">
        <v>46227</v>
      </c>
      <c r="M2672" s="17">
        <f>MAX(1,NETWORKDAYS(A2672,L2672,Table2[Dias no laborales]))</f>
        <v>1</v>
      </c>
    </row>
    <row r="2673" spans="1:13" hidden="1" x14ac:dyDescent="0.3">
      <c r="A2673" s="8">
        <v>46227</v>
      </c>
      <c r="B2673" s="16" t="s">
        <v>5221</v>
      </c>
      <c r="C2673" s="6" t="s">
        <v>5896</v>
      </c>
      <c r="D2673" s="6" t="s">
        <v>1333</v>
      </c>
      <c r="E2673" s="14"/>
      <c r="F2673" s="25">
        <f>IF(HOUR(Table1[[#This Row],[CORREO]])&gt;=11,WORKDAY(Table1[[#This Row],[CORREO]],1,Table2[Dias no laborales]),E2673)</f>
        <v>0</v>
      </c>
      <c r="G2673" s="8">
        <v>46227</v>
      </c>
      <c r="H2673" s="6">
        <f t="shared" si="149"/>
        <v>30</v>
      </c>
      <c r="I2673" s="6">
        <f>MAX(1, NETWORKDAYS(A2673, G2673,Table2[Dias no laborales]))</f>
        <v>1</v>
      </c>
      <c r="J2673" s="6" t="str">
        <f>IF(Table1[[#This Row],[FIN]]="","Acumulado",IF(ISNUMBER(SEARCH("ASAP",C2673)),"ASAP",IF(NETWORKDAYS.INTL(F2673,G2673,1,Table2[Dias no laborales]) &lt;= 7, "Dentro", IF(A2673&gt;F2673,"Programado","Fuera"))))</f>
        <v>Programado</v>
      </c>
      <c r="K2673" s="6" t="str">
        <f t="shared" si="150"/>
        <v>Programados</v>
      </c>
      <c r="L2673" s="8">
        <v>46227</v>
      </c>
      <c r="M2673" s="17">
        <f>MAX(1,NETWORKDAYS(A2673,L2673,Table2[Dias no laborales]))</f>
        <v>1</v>
      </c>
    </row>
    <row r="2674" spans="1:13" hidden="1" x14ac:dyDescent="0.3">
      <c r="A2674" s="8">
        <v>46227</v>
      </c>
      <c r="B2674" s="16" t="s">
        <v>5222</v>
      </c>
      <c r="C2674" s="6" t="s">
        <v>5897</v>
      </c>
      <c r="D2674" s="6" t="s">
        <v>5898</v>
      </c>
      <c r="E2674" s="14">
        <v>46227.352777777778</v>
      </c>
      <c r="F2674" s="25">
        <f>IF(HOUR(Table1[[#This Row],[CORREO]])&gt;=11,WORKDAY(Table1[[#This Row],[CORREO]],1,Table2[Dias no laborales]),E2674)</f>
        <v>46227.352777777778</v>
      </c>
      <c r="G2674" s="8">
        <v>46227</v>
      </c>
      <c r="H2674" s="6">
        <f t="shared" si="149"/>
        <v>30</v>
      </c>
      <c r="I2674" s="6">
        <f>MAX(1, NETWORKDAYS(A2674, G2674,Table2[Dias no laborales]))</f>
        <v>1</v>
      </c>
      <c r="J2674" s="6" t="str">
        <f>IF(Table1[[#This Row],[FIN]]="","Acumulado",IF(ISNUMBER(SEARCH("ASAP",C2674)),"ASAP",IF(NETWORKDAYS.INTL(F2674,G2674,1,Table2[Dias no laborales]) &lt;= 7, "Dentro", IF(A2674&gt;F2674,"Programado","Fuera"))))</f>
        <v>Dentro</v>
      </c>
      <c r="K2674" s="6" t="str">
        <f t="shared" si="150"/>
        <v>A tiempo</v>
      </c>
      <c r="L2674" s="8">
        <v>46227</v>
      </c>
      <c r="M2674" s="17">
        <f>MAX(1,NETWORKDAYS(A2674,L2674,Table2[Dias no laborales]))</f>
        <v>1</v>
      </c>
    </row>
    <row r="2675" spans="1:13" hidden="1" x14ac:dyDescent="0.3">
      <c r="A2675" s="8">
        <v>46227</v>
      </c>
      <c r="B2675" s="16" t="s">
        <v>5223</v>
      </c>
      <c r="C2675" s="6" t="s">
        <v>5899</v>
      </c>
      <c r="D2675" s="6" t="s">
        <v>4774</v>
      </c>
      <c r="E2675" s="14">
        <v>46227.454861111109</v>
      </c>
      <c r="F2675" s="25">
        <f>IF(HOUR(Table1[[#This Row],[CORREO]])&gt;=11,WORKDAY(Table1[[#This Row],[CORREO]],1,Table2[Dias no laborales]),E2675)</f>
        <v>46227.454861111109</v>
      </c>
      <c r="G2675" s="8">
        <v>46230</v>
      </c>
      <c r="H2675" s="6">
        <f t="shared" si="149"/>
        <v>30</v>
      </c>
      <c r="I2675" s="6">
        <f>MAX(1, NETWORKDAYS(A2675, G2675,Table2[Dias no laborales]))</f>
        <v>2</v>
      </c>
      <c r="J2675" s="6" t="str">
        <f>IF(Table1[[#This Row],[FIN]]="","Acumulado",IF(ISNUMBER(SEARCH("ASAP",C2675)),"ASAP",IF(NETWORKDAYS.INTL(F2675,G2675,1,Table2[Dias no laborales]) &lt;= 7, "Dentro", IF(A2675&gt;F2675,"Programado","Fuera"))))</f>
        <v>Dentro</v>
      </c>
      <c r="K2675" s="6" t="str">
        <f t="shared" si="150"/>
        <v>A tiempo</v>
      </c>
      <c r="L2675" s="8">
        <v>46227</v>
      </c>
      <c r="M2675" s="17">
        <f>MAX(1,NETWORKDAYS(A2675,L2675,Table2[Dias no laborales]))</f>
        <v>1</v>
      </c>
    </row>
    <row r="2676" spans="1:13" hidden="1" x14ac:dyDescent="0.3">
      <c r="A2676" s="8">
        <v>46227</v>
      </c>
      <c r="B2676" s="16" t="s">
        <v>5224</v>
      </c>
      <c r="C2676" s="6" t="s">
        <v>5900</v>
      </c>
      <c r="D2676" s="6" t="s">
        <v>5901</v>
      </c>
      <c r="E2676" s="14">
        <v>46227.535416666666</v>
      </c>
      <c r="F2676" s="25">
        <f>IF(HOUR(Table1[[#This Row],[CORREO]])&gt;=11,WORKDAY(Table1[[#This Row],[CORREO]],1,Table2[Dias no laborales]),E2676)</f>
        <v>46230</v>
      </c>
      <c r="G2676" s="8">
        <v>46231</v>
      </c>
      <c r="H2676" s="6">
        <f t="shared" si="149"/>
        <v>30</v>
      </c>
      <c r="I2676" s="6">
        <f>MAX(1, NETWORKDAYS(A2676, G2676,Table2[Dias no laborales]))</f>
        <v>3</v>
      </c>
      <c r="J2676" s="6" t="str">
        <f>IF(Table1[[#This Row],[FIN]]="","Acumulado",IF(ISNUMBER(SEARCH("ASAP",C2676)),"ASAP",IF(NETWORKDAYS.INTL(F2676,G2676,1,Table2[Dias no laborales]) &lt;= 7, "Dentro", IF(A2676&gt;F2676,"Programado","Fuera"))))</f>
        <v>Dentro</v>
      </c>
      <c r="K2676" s="6" t="str">
        <f t="shared" si="150"/>
        <v>Mismo día</v>
      </c>
      <c r="L2676" s="8">
        <v>46227</v>
      </c>
      <c r="M2676" s="17">
        <f>MAX(1,NETWORKDAYS(A2676,L2676,Table2[Dias no laborales]))</f>
        <v>1</v>
      </c>
    </row>
    <row r="2677" spans="1:13" hidden="1" x14ac:dyDescent="0.3">
      <c r="A2677" s="8">
        <v>46227</v>
      </c>
      <c r="B2677" s="16" t="s">
        <v>5225</v>
      </c>
      <c r="C2677" s="6" t="s">
        <v>196</v>
      </c>
      <c r="D2677" s="6" t="s">
        <v>27</v>
      </c>
      <c r="E2677" s="14"/>
      <c r="F2677" s="25">
        <f>IF(HOUR(Table1[[#This Row],[CORREO]])&gt;=11,WORKDAY(Table1[[#This Row],[CORREO]],1,Table2[Dias no laborales]),E2677)</f>
        <v>0</v>
      </c>
      <c r="G2677" s="8">
        <v>46230</v>
      </c>
      <c r="H2677" s="6">
        <f t="shared" si="149"/>
        <v>30</v>
      </c>
      <c r="I2677" s="6">
        <f>MAX(1, NETWORKDAYS(A2677, G2677,Table2[Dias no laborales]))</f>
        <v>2</v>
      </c>
      <c r="J2677" s="6" t="str">
        <f>IF(Table1[[#This Row],[FIN]]="","Acumulado",IF(ISNUMBER(SEARCH("ASAP",C2677)),"ASAP",IF(NETWORKDAYS.INTL(F2677,G2677,1,Table2[Dias no laborales]) &lt;= 7, "Dentro", IF(A2677&gt;F2677,"Programado","Fuera"))))</f>
        <v>Programado</v>
      </c>
      <c r="K2677" s="6" t="str">
        <f t="shared" si="150"/>
        <v>Programados</v>
      </c>
      <c r="L2677" s="8">
        <v>46227</v>
      </c>
      <c r="M2677" s="17">
        <f>MAX(1,NETWORKDAYS(A2677,L2677,Table2[Dias no laborales]))</f>
        <v>1</v>
      </c>
    </row>
    <row r="2678" spans="1:13" hidden="1" x14ac:dyDescent="0.3">
      <c r="A2678" s="8">
        <v>46227</v>
      </c>
      <c r="B2678" s="16" t="s">
        <v>5226</v>
      </c>
      <c r="C2678" s="6" t="s">
        <v>188</v>
      </c>
      <c r="D2678" s="6" t="s">
        <v>27</v>
      </c>
      <c r="E2678" s="14"/>
      <c r="F2678" s="25">
        <f>IF(HOUR(Table1[[#This Row],[CORREO]])&gt;=11,WORKDAY(Table1[[#This Row],[CORREO]],1,Table2[Dias no laborales]),E2678)</f>
        <v>0</v>
      </c>
      <c r="G2678" s="8">
        <v>46230</v>
      </c>
      <c r="H2678" s="6">
        <f t="shared" si="149"/>
        <v>30</v>
      </c>
      <c r="I2678" s="6">
        <f>MAX(1, NETWORKDAYS(A2678, G2678,Table2[Dias no laborales]))</f>
        <v>2</v>
      </c>
      <c r="J2678" s="6" t="str">
        <f>IF(Table1[[#This Row],[FIN]]="","Acumulado",IF(ISNUMBER(SEARCH("ASAP",C2678)),"ASAP",IF(NETWORKDAYS.INTL(F2678,G2678,1,Table2[Dias no laborales]) &lt;= 7, "Dentro", IF(A2678&gt;F2678,"Programado","Fuera"))))</f>
        <v>Programado</v>
      </c>
      <c r="K2678" s="6" t="str">
        <f t="shared" si="150"/>
        <v>Programados</v>
      </c>
      <c r="L2678" s="8">
        <v>46227</v>
      </c>
      <c r="M2678" s="17">
        <f>MAX(1,NETWORKDAYS(A2678,L2678,Table2[Dias no laborales]))</f>
        <v>1</v>
      </c>
    </row>
    <row r="2679" spans="1:13" hidden="1" x14ac:dyDescent="0.3">
      <c r="A2679" s="8">
        <v>46230</v>
      </c>
      <c r="B2679" s="16" t="s">
        <v>5227</v>
      </c>
      <c r="C2679" s="6" t="s">
        <v>5902</v>
      </c>
      <c r="D2679" s="6" t="s">
        <v>24</v>
      </c>
      <c r="E2679" s="14"/>
      <c r="F2679" s="25">
        <f>IF(HOUR(Table1[[#This Row],[CORREO]])&gt;=11,WORKDAY(Table1[[#This Row],[CORREO]],1,Table2[Dias no laborales]),E2679)</f>
        <v>0</v>
      </c>
      <c r="G2679" s="8">
        <v>46234</v>
      </c>
      <c r="H2679" s="6">
        <f t="shared" si="149"/>
        <v>30</v>
      </c>
      <c r="I2679" s="6">
        <f>MAX(1, NETWORKDAYS(A2679, G2679,Table2[Dias no laborales]))</f>
        <v>5</v>
      </c>
      <c r="J2679" s="6" t="str">
        <f>IF(Table1[[#This Row],[FIN]]="","Acumulado",IF(ISNUMBER(SEARCH("ASAP",C2679)),"ASAP",IF(NETWORKDAYS.INTL(F2679,G2679,1,Table2[Dias no laborales]) &lt;= 7, "Dentro", IF(A2679&gt;F2679,"Programado","Fuera"))))</f>
        <v>Programado</v>
      </c>
      <c r="K2679" s="6" t="str">
        <f t="shared" si="150"/>
        <v>Programados</v>
      </c>
      <c r="L2679" s="8">
        <v>46230</v>
      </c>
      <c r="M2679" s="17">
        <f>MAX(1,NETWORKDAYS(A2679,L2679,Table2[Dias no laborales]))</f>
        <v>1</v>
      </c>
    </row>
    <row r="2680" spans="1:13" hidden="1" x14ac:dyDescent="0.3">
      <c r="A2680" s="8">
        <v>46230</v>
      </c>
      <c r="B2680" s="16" t="s">
        <v>5228</v>
      </c>
      <c r="C2680" s="6" t="s">
        <v>5903</v>
      </c>
      <c r="D2680" s="6" t="s">
        <v>1726</v>
      </c>
      <c r="E2680" s="14">
        <v>46227.684027777781</v>
      </c>
      <c r="F2680" s="25">
        <f>IF(HOUR(Table1[[#This Row],[CORREO]])&gt;=11,WORKDAY(Table1[[#This Row],[CORREO]],1,Table2[Dias no laborales]),E2680)</f>
        <v>46230</v>
      </c>
      <c r="G2680" s="8">
        <v>46239</v>
      </c>
      <c r="H2680" s="6">
        <f t="shared" si="149"/>
        <v>30</v>
      </c>
      <c r="I2680" s="6">
        <f>MAX(1, NETWORKDAYS(A2680, G2680,Table2[Dias no laborales]))</f>
        <v>8</v>
      </c>
      <c r="J2680" s="6" t="str">
        <f>IF(Table1[[#This Row],[FIN]]="","Acumulado",IF(ISNUMBER(SEARCH("ASAP",C2680)),"ASAP",IF(NETWORKDAYS.INTL(F2680,G2680,1,Table2[Dias no laborales]) &lt;= 7, "Dentro", IF(A2680&gt;F2680,"Programado","Fuera"))))</f>
        <v>Fuera</v>
      </c>
      <c r="K2680" s="6" t="str">
        <f t="shared" si="150"/>
        <v>A tiempo</v>
      </c>
      <c r="L2680" s="8">
        <v>46230</v>
      </c>
      <c r="M2680" s="17">
        <f>MAX(1,NETWORKDAYS(A2680,L2680,Table2[Dias no laborales]))</f>
        <v>1</v>
      </c>
    </row>
    <row r="2681" spans="1:13" hidden="1" x14ac:dyDescent="0.3">
      <c r="A2681" s="8">
        <v>46230</v>
      </c>
      <c r="B2681" s="16" t="s">
        <v>5229</v>
      </c>
      <c r="C2681" s="6" t="s">
        <v>5904</v>
      </c>
      <c r="D2681" s="6" t="s">
        <v>761</v>
      </c>
      <c r="E2681" s="14">
        <v>46228.526388888888</v>
      </c>
      <c r="F2681" s="25">
        <f>IF(HOUR(Table1[[#This Row],[CORREO]])&gt;=11,WORKDAY(Table1[[#This Row],[CORREO]],1,Table2[Dias no laborales]),E2681)</f>
        <v>46230</v>
      </c>
      <c r="G2681" s="8">
        <v>46230</v>
      </c>
      <c r="H2681" s="6">
        <f t="shared" si="149"/>
        <v>30</v>
      </c>
      <c r="I2681" s="6">
        <f>MAX(1, NETWORKDAYS(A2681, G2681,Table2[Dias no laborales]))</f>
        <v>1</v>
      </c>
      <c r="J2681" s="6" t="str">
        <f>IF(Table1[[#This Row],[FIN]]="","Acumulado",IF(ISNUMBER(SEARCH("ASAP",C2681)),"ASAP",IF(NETWORKDAYS.INTL(F2681,G2681,1,Table2[Dias no laborales]) &lt;= 7, "Dentro", IF(A2681&gt;F2681,"Programado","Fuera"))))</f>
        <v>Dentro</v>
      </c>
      <c r="K2681" s="6" t="str">
        <f t="shared" si="150"/>
        <v>A tiempo</v>
      </c>
      <c r="L2681" s="8">
        <v>46230</v>
      </c>
      <c r="M2681" s="17">
        <f>MAX(1,NETWORKDAYS(A2681,L2681,Table2[Dias no laborales]))</f>
        <v>1</v>
      </c>
    </row>
    <row r="2682" spans="1:13" hidden="1" x14ac:dyDescent="0.3">
      <c r="A2682" s="8">
        <v>46230</v>
      </c>
      <c r="B2682" s="16" t="s">
        <v>5230</v>
      </c>
      <c r="C2682" s="6" t="s">
        <v>5905</v>
      </c>
      <c r="D2682" s="6" t="s">
        <v>916</v>
      </c>
      <c r="E2682" s="14">
        <v>46230.243750000001</v>
      </c>
      <c r="F2682" s="25">
        <f>IF(HOUR(Table1[[#This Row],[CORREO]])&gt;=11,WORKDAY(Table1[[#This Row],[CORREO]],1,Table2[Dias no laborales]),E2682)</f>
        <v>46230.243750000001</v>
      </c>
      <c r="G2682" s="8">
        <v>46230</v>
      </c>
      <c r="H2682" s="6">
        <f t="shared" si="149"/>
        <v>30</v>
      </c>
      <c r="I2682" s="6">
        <f>MAX(1, NETWORKDAYS(A2682, G2682,Table2[Dias no laborales]))</f>
        <v>1</v>
      </c>
      <c r="J2682" s="6" t="str">
        <f>IF(Table1[[#This Row],[FIN]]="","Acumulado",IF(ISNUMBER(SEARCH("ASAP",C2682)),"ASAP",IF(NETWORKDAYS.INTL(F2682,G2682,1,Table2[Dias no laborales]) &lt;= 7, "Dentro", IF(A2682&gt;F2682,"Programado","Fuera"))))</f>
        <v>Dentro</v>
      </c>
      <c r="K2682" s="6" t="str">
        <f t="shared" si="150"/>
        <v>A tiempo</v>
      </c>
      <c r="L2682" s="8">
        <v>46230</v>
      </c>
      <c r="M2682" s="17">
        <f>MAX(1,NETWORKDAYS(A2682,L2682,Table2[Dias no laborales]))</f>
        <v>1</v>
      </c>
    </row>
    <row r="2683" spans="1:13" hidden="1" x14ac:dyDescent="0.3">
      <c r="A2683" s="8">
        <v>46230</v>
      </c>
      <c r="B2683" s="16" t="s">
        <v>5231</v>
      </c>
      <c r="C2683" s="6" t="s">
        <v>540</v>
      </c>
      <c r="D2683" s="6" t="s">
        <v>2941</v>
      </c>
      <c r="E2683" s="14">
        <v>46230.28402777778</v>
      </c>
      <c r="F2683" s="25">
        <f>IF(HOUR(Table1[[#This Row],[CORREO]])&gt;=11,WORKDAY(Table1[[#This Row],[CORREO]],1,Table2[Dias no laborales]),E2683)</f>
        <v>46230.28402777778</v>
      </c>
      <c r="G2683" s="8">
        <v>46231</v>
      </c>
      <c r="H2683" s="6">
        <f t="shared" si="149"/>
        <v>30</v>
      </c>
      <c r="I2683" s="6">
        <f>MAX(1, NETWORKDAYS(A2683, G2683,Table2[Dias no laborales]))</f>
        <v>2</v>
      </c>
      <c r="J2683" s="6" t="str">
        <f>IF(Table1[[#This Row],[FIN]]="","Acumulado",IF(ISNUMBER(SEARCH("ASAP",C2683)),"ASAP",IF(NETWORKDAYS.INTL(F2683,G2683,1,Table2[Dias no laborales]) &lt;= 7, "Dentro", IF(A2683&gt;F2683,"Programado","Fuera"))))</f>
        <v>Dentro</v>
      </c>
      <c r="K2683" s="6" t="str">
        <f t="shared" si="150"/>
        <v>A tiempo</v>
      </c>
      <c r="L2683" s="8">
        <v>46230</v>
      </c>
      <c r="M2683" s="17">
        <f>MAX(1,NETWORKDAYS(A2683,L2683,Table2[Dias no laborales]))</f>
        <v>1</v>
      </c>
    </row>
    <row r="2684" spans="1:13" hidden="1" x14ac:dyDescent="0.3">
      <c r="A2684" s="8">
        <v>46230</v>
      </c>
      <c r="B2684" s="16" t="s">
        <v>5232</v>
      </c>
      <c r="C2684" s="6" t="s">
        <v>5906</v>
      </c>
      <c r="D2684" s="6" t="s">
        <v>24</v>
      </c>
      <c r="E2684" s="14">
        <v>46230.343055555553</v>
      </c>
      <c r="F2684" s="25">
        <f>IF(HOUR(Table1[[#This Row],[CORREO]])&gt;=11,WORKDAY(Table1[[#This Row],[CORREO]],1,Table2[Dias no laborales]),E2684)</f>
        <v>46230.343055555553</v>
      </c>
      <c r="G2684" s="8">
        <v>46233</v>
      </c>
      <c r="H2684" s="6">
        <f t="shared" si="149"/>
        <v>30</v>
      </c>
      <c r="I2684" s="6">
        <f>MAX(1, NETWORKDAYS(A2684, G2684,Table2[Dias no laborales]))</f>
        <v>4</v>
      </c>
      <c r="J2684" s="6" t="str">
        <f>IF(Table1[[#This Row],[FIN]]="","Acumulado",IF(ISNUMBER(SEARCH("ASAP",C2684)),"ASAP",IF(NETWORKDAYS.INTL(F2684,G2684,1,Table2[Dias no laborales]) &lt;= 7, "Dentro", IF(A2684&gt;F2684,"Programado","Fuera"))))</f>
        <v>Dentro</v>
      </c>
      <c r="K2684" s="6" t="str">
        <f t="shared" si="150"/>
        <v>A tiempo</v>
      </c>
      <c r="L2684" s="8">
        <v>46230</v>
      </c>
      <c r="M2684" s="17">
        <f>MAX(1,NETWORKDAYS(A2684,L2684,Table2[Dias no laborales]))</f>
        <v>1</v>
      </c>
    </row>
    <row r="2685" spans="1:13" hidden="1" x14ac:dyDescent="0.3">
      <c r="A2685" s="8">
        <v>46230</v>
      </c>
      <c r="B2685" s="16" t="s">
        <v>5233</v>
      </c>
      <c r="C2685" s="6" t="s">
        <v>4988</v>
      </c>
      <c r="D2685" s="6" t="s">
        <v>392</v>
      </c>
      <c r="E2685" s="14">
        <v>46230.381249999999</v>
      </c>
      <c r="F2685" s="25">
        <f>IF(HOUR(Table1[[#This Row],[CORREO]])&gt;=11,WORKDAY(Table1[[#This Row],[CORREO]],1,Table2[Dias no laborales]),E2685)</f>
        <v>46230.381249999999</v>
      </c>
      <c r="G2685" s="8">
        <v>46230</v>
      </c>
      <c r="H2685" s="6">
        <f t="shared" si="149"/>
        <v>30</v>
      </c>
      <c r="I2685" s="6">
        <f>MAX(1, NETWORKDAYS(A2685, G2685,Table2[Dias no laborales]))</f>
        <v>1</v>
      </c>
      <c r="J2685" s="6" t="str">
        <f>IF(Table1[[#This Row],[FIN]]="","Acumulado",IF(ISNUMBER(SEARCH("ASAP",C2685)),"ASAP",IF(NETWORKDAYS.INTL(F2685,G2685,1,Table2[Dias no laborales]) &lt;= 7, "Dentro", IF(A2685&gt;F2685,"Programado","Fuera"))))</f>
        <v>Dentro</v>
      </c>
      <c r="K2685" s="6" t="str">
        <f t="shared" si="150"/>
        <v>A tiempo</v>
      </c>
      <c r="L2685" s="8">
        <v>46230</v>
      </c>
      <c r="M2685" s="17">
        <f>MAX(1,NETWORKDAYS(A2685,L2685,Table2[Dias no laborales]))</f>
        <v>1</v>
      </c>
    </row>
    <row r="2686" spans="1:13" hidden="1" x14ac:dyDescent="0.3">
      <c r="A2686" s="8">
        <v>46230</v>
      </c>
      <c r="B2686" s="16" t="s">
        <v>5234</v>
      </c>
      <c r="C2686" s="6" t="s">
        <v>5907</v>
      </c>
      <c r="D2686" s="6" t="s">
        <v>1360</v>
      </c>
      <c r="E2686" s="14">
        <v>46230.384722222225</v>
      </c>
      <c r="F2686" s="25">
        <f>IF(HOUR(Table1[[#This Row],[CORREO]])&gt;=11,WORKDAY(Table1[[#This Row],[CORREO]],1,Table2[Dias no laborales]),E2686)</f>
        <v>46230.384722222225</v>
      </c>
      <c r="G2686" s="8">
        <v>46234</v>
      </c>
      <c r="H2686" s="6">
        <f t="shared" si="149"/>
        <v>30</v>
      </c>
      <c r="I2686" s="6">
        <f>MAX(1, NETWORKDAYS(A2686, G2686,Table2[Dias no laborales]))</f>
        <v>5</v>
      </c>
      <c r="J2686" s="6" t="str">
        <f>IF(Table1[[#This Row],[FIN]]="","Acumulado",IF(ISNUMBER(SEARCH("ASAP",C2686)),"ASAP",IF(NETWORKDAYS.INTL(F2686,G2686,1,Table2[Dias no laborales]) &lt;= 7, "Dentro", IF(A2686&gt;F2686,"Programado","Fuera"))))</f>
        <v>Dentro</v>
      </c>
      <c r="K2686" s="6" t="str">
        <f t="shared" si="150"/>
        <v>A tiempo</v>
      </c>
      <c r="L2686" s="8">
        <v>46230</v>
      </c>
      <c r="M2686" s="17">
        <f>MAX(1,NETWORKDAYS(A2686,L2686,Table2[Dias no laborales]))</f>
        <v>1</v>
      </c>
    </row>
    <row r="2687" spans="1:13" hidden="1" x14ac:dyDescent="0.3">
      <c r="A2687" s="8">
        <v>46230</v>
      </c>
      <c r="B2687" s="16" t="s">
        <v>5235</v>
      </c>
      <c r="C2687" s="6" t="s">
        <v>5908</v>
      </c>
      <c r="D2687" s="6" t="s">
        <v>27</v>
      </c>
      <c r="E2687" s="14">
        <v>46230.394444444442</v>
      </c>
      <c r="F2687" s="25">
        <f>IF(HOUR(Table1[[#This Row],[CORREO]])&gt;=11,WORKDAY(Table1[[#This Row],[CORREO]],1,Table2[Dias no laborales]),E2687)</f>
        <v>46230.394444444442</v>
      </c>
      <c r="G2687" s="8">
        <v>46233</v>
      </c>
      <c r="H2687" s="6">
        <f t="shared" si="149"/>
        <v>30</v>
      </c>
      <c r="I2687" s="6">
        <f>MAX(1, NETWORKDAYS(A2687, G2687,Table2[Dias no laborales]))</f>
        <v>4</v>
      </c>
      <c r="J2687" s="6" t="str">
        <f>IF(Table1[[#This Row],[FIN]]="","Acumulado",IF(ISNUMBER(SEARCH("ASAP",C2687)),"ASAP",IF(NETWORKDAYS.INTL(F2687,G2687,1,Table2[Dias no laborales]) &lt;= 7, "Dentro", IF(A2687&gt;F2687,"Programado","Fuera"))))</f>
        <v>Dentro</v>
      </c>
      <c r="K2687" s="6" t="str">
        <f t="shared" si="150"/>
        <v>A tiempo</v>
      </c>
      <c r="L2687" s="8">
        <v>46230</v>
      </c>
      <c r="M2687" s="17">
        <f>MAX(1,NETWORKDAYS(A2687,L2687,Table2[Dias no laborales]))</f>
        <v>1</v>
      </c>
    </row>
    <row r="2688" spans="1:13" hidden="1" x14ac:dyDescent="0.3">
      <c r="A2688" s="8">
        <v>46230</v>
      </c>
      <c r="B2688" s="16" t="s">
        <v>5236</v>
      </c>
      <c r="C2688" s="6" t="s">
        <v>5909</v>
      </c>
      <c r="D2688" s="6" t="s">
        <v>269</v>
      </c>
      <c r="E2688" s="14">
        <v>46230.413888888892</v>
      </c>
      <c r="F2688" s="25">
        <f>IF(HOUR(Table1[[#This Row],[CORREO]])&gt;=11,WORKDAY(Table1[[#This Row],[CORREO]],1,Table2[Dias no laborales]),E2688)</f>
        <v>46230.413888888892</v>
      </c>
      <c r="G2688" s="8">
        <v>46230</v>
      </c>
      <c r="H2688" s="6">
        <f t="shared" si="149"/>
        <v>30</v>
      </c>
      <c r="I2688" s="6">
        <f>MAX(1, NETWORKDAYS(A2688, G2688,Table2[Dias no laborales]))</f>
        <v>1</v>
      </c>
      <c r="J2688" s="6" t="str">
        <f>IF(Table1[[#This Row],[FIN]]="","Acumulado",IF(ISNUMBER(SEARCH("ASAP",C2688)),"ASAP",IF(NETWORKDAYS.INTL(F2688,G2688,1,Table2[Dias no laborales]) &lt;= 7, "Dentro", IF(A2688&gt;F2688,"Programado","Fuera"))))</f>
        <v>Dentro</v>
      </c>
      <c r="K2688" s="6" t="str">
        <f t="shared" si="150"/>
        <v>A tiempo</v>
      </c>
      <c r="L2688" s="8">
        <v>46230</v>
      </c>
      <c r="M2688" s="17">
        <f>MAX(1,NETWORKDAYS(A2688,L2688,Table2[Dias no laborales]))</f>
        <v>1</v>
      </c>
    </row>
    <row r="2689" spans="1:13" hidden="1" x14ac:dyDescent="0.3">
      <c r="A2689" s="8">
        <v>46230</v>
      </c>
      <c r="B2689" s="16" t="s">
        <v>5237</v>
      </c>
      <c r="C2689" s="6" t="s">
        <v>4607</v>
      </c>
      <c r="D2689" s="6" t="s">
        <v>2941</v>
      </c>
      <c r="E2689" s="14">
        <v>46230.432638888888</v>
      </c>
      <c r="F2689" s="25">
        <f>IF(HOUR(Table1[[#This Row],[CORREO]])&gt;=11,WORKDAY(Table1[[#This Row],[CORREO]],1,Table2[Dias no laborales]),E2689)</f>
        <v>46230.432638888888</v>
      </c>
      <c r="G2689" s="8">
        <v>46231</v>
      </c>
      <c r="H2689" s="6">
        <f t="shared" si="149"/>
        <v>30</v>
      </c>
      <c r="I2689" s="6">
        <f>MAX(1, NETWORKDAYS(A2689, G2689,Table2[Dias no laborales]))</f>
        <v>2</v>
      </c>
      <c r="J2689" s="6" t="str">
        <f>IF(Table1[[#This Row],[FIN]]="","Acumulado",IF(ISNUMBER(SEARCH("ASAP",C2689)),"ASAP",IF(NETWORKDAYS.INTL(F2689,G2689,1,Table2[Dias no laborales]) &lt;= 7, "Dentro", IF(A2689&gt;F2689,"Programado","Fuera"))))</f>
        <v>Dentro</v>
      </c>
      <c r="K2689" s="6" t="str">
        <f t="shared" si="150"/>
        <v>A tiempo</v>
      </c>
      <c r="L2689" s="8">
        <v>46230</v>
      </c>
      <c r="M2689" s="17">
        <f>MAX(1,NETWORKDAYS(A2689,L2689,Table2[Dias no laborales]))</f>
        <v>1</v>
      </c>
    </row>
    <row r="2690" spans="1:13" hidden="1" x14ac:dyDescent="0.3">
      <c r="A2690" s="8">
        <v>46230</v>
      </c>
      <c r="B2690" s="16" t="s">
        <v>5238</v>
      </c>
      <c r="C2690" s="6" t="s">
        <v>5910</v>
      </c>
      <c r="D2690" s="6" t="s">
        <v>24</v>
      </c>
      <c r="E2690" s="14">
        <v>46230.4375</v>
      </c>
      <c r="F2690" s="25">
        <f>IF(HOUR(Table1[[#This Row],[CORREO]])&gt;=11,WORKDAY(Table1[[#This Row],[CORREO]],1,Table2[Dias no laborales]),E2690)</f>
        <v>46230.4375</v>
      </c>
      <c r="G2690" s="8">
        <v>46240</v>
      </c>
      <c r="H2690" s="6">
        <f t="shared" si="149"/>
        <v>30</v>
      </c>
      <c r="I2690" s="6">
        <f>MAX(1, NETWORKDAYS(A2690, G2690,Table2[Dias no laborales]))</f>
        <v>9</v>
      </c>
      <c r="J2690" s="6" t="str">
        <f>IF(Table1[[#This Row],[FIN]]="","Acumulado",IF(ISNUMBER(SEARCH("ASAP",C2690)),"ASAP",IF(NETWORKDAYS.INTL(F2690,G2690,1,Table2[Dias no laborales]) &lt;= 7, "Dentro", IF(A2690&gt;F2690,"Programado","Fuera"))))</f>
        <v>Fuera</v>
      </c>
      <c r="K2690" s="6" t="str">
        <f t="shared" si="150"/>
        <v>A tiempo</v>
      </c>
      <c r="L2690" s="8">
        <v>46230</v>
      </c>
      <c r="M2690" s="17">
        <f>MAX(1,NETWORKDAYS(A2690,L2690,Table2[Dias no laborales]))</f>
        <v>1</v>
      </c>
    </row>
    <row r="2691" spans="1:13" hidden="1" x14ac:dyDescent="0.3">
      <c r="A2691" s="8">
        <v>46230</v>
      </c>
      <c r="B2691" s="16" t="s">
        <v>5239</v>
      </c>
      <c r="C2691" s="6" t="s">
        <v>5911</v>
      </c>
      <c r="D2691" s="6" t="s">
        <v>538</v>
      </c>
      <c r="E2691" s="14">
        <v>46230.444444444445</v>
      </c>
      <c r="F2691" s="25">
        <f>IF(HOUR(Table1[[#This Row],[CORREO]])&gt;=11,WORKDAY(Table1[[#This Row],[CORREO]],1,Table2[Dias no laborales]),E2691)</f>
        <v>46230.444444444445</v>
      </c>
      <c r="G2691" s="8">
        <v>46230</v>
      </c>
      <c r="H2691" s="6">
        <f t="shared" si="149"/>
        <v>30</v>
      </c>
      <c r="I2691" s="6">
        <f>MAX(1, NETWORKDAYS(A2691, G2691,Table2[Dias no laborales]))</f>
        <v>1</v>
      </c>
      <c r="J2691" s="6" t="str">
        <f>IF(Table1[[#This Row],[FIN]]="","Acumulado",IF(ISNUMBER(SEARCH("ASAP",C2691)),"ASAP",IF(NETWORKDAYS.INTL(F2691,G2691,1,Table2[Dias no laborales]) &lt;= 7, "Dentro", IF(A2691&gt;F2691,"Programado","Fuera"))))</f>
        <v>Dentro</v>
      </c>
      <c r="K2691" s="6" t="str">
        <f t="shared" si="150"/>
        <v>A tiempo</v>
      </c>
      <c r="L2691" s="8">
        <v>46230</v>
      </c>
      <c r="M2691" s="17">
        <f>MAX(1,NETWORKDAYS(A2691,L2691,Table2[Dias no laborales]))</f>
        <v>1</v>
      </c>
    </row>
    <row r="2692" spans="1:13" hidden="1" x14ac:dyDescent="0.3">
      <c r="A2692" s="8">
        <v>46230</v>
      </c>
      <c r="B2692" s="16" t="s">
        <v>5240</v>
      </c>
      <c r="C2692" s="6" t="s">
        <v>5912</v>
      </c>
      <c r="D2692" s="6" t="s">
        <v>372</v>
      </c>
      <c r="E2692" s="14">
        <v>46230.459027777775</v>
      </c>
      <c r="F2692" s="25">
        <f>IF(HOUR(Table1[[#This Row],[CORREO]])&gt;=11,WORKDAY(Table1[[#This Row],[CORREO]],1,Table2[Dias no laborales]),E2692)</f>
        <v>46231</v>
      </c>
      <c r="G2692" s="8">
        <v>46230</v>
      </c>
      <c r="H2692" s="6">
        <f t="shared" si="149"/>
        <v>30</v>
      </c>
      <c r="I2692" s="6">
        <f>MAX(1, NETWORKDAYS(A2692, G2692,Table2[Dias no laborales]))</f>
        <v>1</v>
      </c>
      <c r="J2692" s="6" t="str">
        <f>IF(Table1[[#This Row],[FIN]]="","Acumulado",IF(ISNUMBER(SEARCH("ASAP",C2692)),"ASAP",IF(NETWORKDAYS.INTL(F2692,G2692,1,Table2[Dias no laborales]) &lt;= 7, "Dentro", IF(A2692&gt;F2692,"Programado","Fuera"))))</f>
        <v>Dentro</v>
      </c>
      <c r="K2692" s="6" t="str">
        <f t="shared" si="150"/>
        <v>Mismo día</v>
      </c>
      <c r="L2692" s="8">
        <v>46230</v>
      </c>
      <c r="M2692" s="17">
        <f>MAX(1,NETWORKDAYS(A2692,L2692,Table2[Dias no laborales]))</f>
        <v>1</v>
      </c>
    </row>
    <row r="2693" spans="1:13" hidden="1" x14ac:dyDescent="0.3">
      <c r="A2693" s="8">
        <v>46230</v>
      </c>
      <c r="B2693" s="16" t="s">
        <v>5241</v>
      </c>
      <c r="C2693" s="6" t="s">
        <v>5913</v>
      </c>
      <c r="D2693" s="6" t="s">
        <v>27</v>
      </c>
      <c r="E2693" s="14">
        <v>46230.618055555555</v>
      </c>
      <c r="F2693" s="25">
        <f>IF(HOUR(Table1[[#This Row],[CORREO]])&gt;=11,WORKDAY(Table1[[#This Row],[CORREO]],1,Table2[Dias no laborales]),E2693)</f>
        <v>46231</v>
      </c>
      <c r="G2693" s="8">
        <v>46230</v>
      </c>
      <c r="H2693" s="6">
        <f t="shared" si="149"/>
        <v>30</v>
      </c>
      <c r="I2693" s="6">
        <f>MAX(1, NETWORKDAYS(A2693, G2693,Table2[Dias no laborales]))</f>
        <v>1</v>
      </c>
      <c r="J2693" s="6" t="str">
        <f>IF(Table1[[#This Row],[FIN]]="","Acumulado",IF(ISNUMBER(SEARCH("ASAP",C2693)),"ASAP",IF(NETWORKDAYS.INTL(F2693,G2693,1,Table2[Dias no laborales]) &lt;= 7, "Dentro", IF(A2693&gt;F2693,"Programado","Fuera"))))</f>
        <v>Dentro</v>
      </c>
      <c r="K2693" s="6" t="str">
        <f t="shared" si="150"/>
        <v>Mismo día</v>
      </c>
      <c r="L2693" s="8">
        <v>46230</v>
      </c>
      <c r="M2693" s="17">
        <f>MAX(1,NETWORKDAYS(A2693,L2693,Table2[Dias no laborales]))</f>
        <v>1</v>
      </c>
    </row>
    <row r="2694" spans="1:13" hidden="1" x14ac:dyDescent="0.3">
      <c r="A2694" s="8">
        <v>46231</v>
      </c>
      <c r="B2694" s="16" t="s">
        <v>5242</v>
      </c>
      <c r="C2694" s="6" t="s">
        <v>983</v>
      </c>
      <c r="D2694" s="6" t="s">
        <v>571</v>
      </c>
      <c r="E2694" s="14">
        <v>46230.54583333333</v>
      </c>
      <c r="F2694" s="25">
        <f>IF(HOUR(Table1[[#This Row],[CORREO]])&gt;=11,WORKDAY(Table1[[#This Row],[CORREO]],1,Table2[Dias no laborales]),E2694)</f>
        <v>46231</v>
      </c>
      <c r="G2694" s="8">
        <v>46231</v>
      </c>
      <c r="H2694" s="6">
        <f t="shared" si="149"/>
        <v>30</v>
      </c>
      <c r="I2694" s="6">
        <f>MAX(1, NETWORKDAYS(A2694, G2694,Table2[Dias no laborales]))</f>
        <v>1</v>
      </c>
      <c r="J2694" s="6" t="str">
        <f>IF(Table1[[#This Row],[FIN]]="","Acumulado",IF(ISNUMBER(SEARCH("ASAP",C2694)),"ASAP",IF(NETWORKDAYS.INTL(F2694,G2694,1,Table2[Dias no laborales]) &lt;= 7, "Dentro", IF(A2694&gt;F2694,"Programado","Fuera"))))</f>
        <v>Dentro</v>
      </c>
      <c r="K2694" s="6" t="str">
        <f t="shared" si="150"/>
        <v>A tiempo</v>
      </c>
      <c r="L2694" s="8">
        <v>46231</v>
      </c>
      <c r="M2694" s="17">
        <f>MAX(1,NETWORKDAYS(A2694,L2694,Table2[Dias no laborales]))</f>
        <v>1</v>
      </c>
    </row>
    <row r="2695" spans="1:13" hidden="1" x14ac:dyDescent="0.3">
      <c r="A2695" s="8">
        <v>46231</v>
      </c>
      <c r="B2695" s="16" t="s">
        <v>5243</v>
      </c>
      <c r="C2695" s="6" t="s">
        <v>5914</v>
      </c>
      <c r="D2695" s="6" t="s">
        <v>96</v>
      </c>
      <c r="E2695" s="14">
        <v>46230.702777777777</v>
      </c>
      <c r="F2695" s="25">
        <f>IF(HOUR(Table1[[#This Row],[CORREO]])&gt;=11,WORKDAY(Table1[[#This Row],[CORREO]],1,Table2[Dias no laborales]),E2695)</f>
        <v>46231</v>
      </c>
      <c r="G2695" s="8">
        <v>46231</v>
      </c>
      <c r="H2695" s="6">
        <f t="shared" si="149"/>
        <v>30</v>
      </c>
      <c r="I2695" s="6">
        <f>MAX(1, NETWORKDAYS(A2695, G2695,Table2[Dias no laborales]))</f>
        <v>1</v>
      </c>
      <c r="J2695" s="6" t="str">
        <f>IF(Table1[[#This Row],[FIN]]="","Acumulado",IF(ISNUMBER(SEARCH("ASAP",C2695)),"ASAP",IF(NETWORKDAYS.INTL(F2695,G2695,1,Table2[Dias no laborales]) &lt;= 7, "Dentro", IF(A2695&gt;F2695,"Programado","Fuera"))))</f>
        <v>Dentro</v>
      </c>
      <c r="K2695" s="6" t="str">
        <f t="shared" si="150"/>
        <v>A tiempo</v>
      </c>
      <c r="L2695" s="8">
        <v>46231</v>
      </c>
      <c r="M2695" s="17">
        <f>MAX(1,NETWORKDAYS(A2695,L2695,Table2[Dias no laborales]))</f>
        <v>1</v>
      </c>
    </row>
    <row r="2696" spans="1:13" hidden="1" x14ac:dyDescent="0.3">
      <c r="A2696" s="8">
        <v>46231</v>
      </c>
      <c r="B2696" s="16" t="s">
        <v>5244</v>
      </c>
      <c r="C2696" s="6" t="s">
        <v>5915</v>
      </c>
      <c r="D2696" s="6" t="s">
        <v>477</v>
      </c>
      <c r="E2696" s="14">
        <v>46230.828472222223</v>
      </c>
      <c r="F2696" s="25">
        <f>IF(HOUR(Table1[[#This Row],[CORREO]])&gt;=11,WORKDAY(Table1[[#This Row],[CORREO]],1,Table2[Dias no laborales]),E2696)</f>
        <v>46231</v>
      </c>
      <c r="G2696" s="8">
        <v>46231</v>
      </c>
      <c r="H2696" s="6">
        <f t="shared" ref="H2696:H2759" si="151">INT((A2696-DATE(YEAR(A2696),1,1))/7) + 1</f>
        <v>30</v>
      </c>
      <c r="I2696" s="6">
        <f>MAX(1, NETWORKDAYS(A2696, G2696,Table2[Dias no laborales]))</f>
        <v>1</v>
      </c>
      <c r="J2696" s="6" t="str">
        <f>IF(Table1[[#This Row],[FIN]]="","Acumulado",IF(ISNUMBER(SEARCH("ASAP",C2696)),"ASAP",IF(NETWORKDAYS.INTL(F2696,G2696,1,Table2[Dias no laborales]) &lt;= 7, "Dentro", IF(A2696&gt;F2696,"Programado","Fuera"))))</f>
        <v>Dentro</v>
      </c>
      <c r="K2696" s="6" t="str">
        <f t="shared" ref="K2696:K2759" si="152">IF(INT(A2696)=INT(F2696),"A tiempo", IF(A2696&lt;F2696,"Mismo día","Programados"))</f>
        <v>A tiempo</v>
      </c>
      <c r="L2696" s="8">
        <v>46231</v>
      </c>
      <c r="M2696" s="17">
        <f>MAX(1,NETWORKDAYS(A2696,L2696,Table2[Dias no laborales]))</f>
        <v>1</v>
      </c>
    </row>
    <row r="2697" spans="1:13" hidden="1" x14ac:dyDescent="0.3">
      <c r="A2697" s="8">
        <v>46231</v>
      </c>
      <c r="B2697" s="16" t="s">
        <v>5245</v>
      </c>
      <c r="C2697" s="6" t="s">
        <v>5916</v>
      </c>
      <c r="D2697" s="6" t="s">
        <v>761</v>
      </c>
      <c r="E2697" s="14">
        <v>46231.240972222222</v>
      </c>
      <c r="F2697" s="25">
        <f>IF(HOUR(Table1[[#This Row],[CORREO]])&gt;=11,WORKDAY(Table1[[#This Row],[CORREO]],1,Table2[Dias no laborales]),E2697)</f>
        <v>46231.240972222222</v>
      </c>
      <c r="G2697" s="8">
        <v>46231</v>
      </c>
      <c r="H2697" s="6">
        <f t="shared" si="151"/>
        <v>30</v>
      </c>
      <c r="I2697" s="6">
        <f>MAX(1, NETWORKDAYS(A2697, G2697,Table2[Dias no laborales]))</f>
        <v>1</v>
      </c>
      <c r="J2697" s="6" t="str">
        <f>IF(Table1[[#This Row],[FIN]]="","Acumulado",IF(ISNUMBER(SEARCH("ASAP",C2697)),"ASAP",IF(NETWORKDAYS.INTL(F2697,G2697,1,Table2[Dias no laborales]) &lt;= 7, "Dentro", IF(A2697&gt;F2697,"Programado","Fuera"))))</f>
        <v>Dentro</v>
      </c>
      <c r="K2697" s="6" t="str">
        <f t="shared" si="152"/>
        <v>A tiempo</v>
      </c>
      <c r="L2697" s="8">
        <v>46231</v>
      </c>
      <c r="M2697" s="17">
        <f>MAX(1,NETWORKDAYS(A2697,L2697,Table2[Dias no laborales]))</f>
        <v>1</v>
      </c>
    </row>
    <row r="2698" spans="1:13" hidden="1" x14ac:dyDescent="0.3">
      <c r="A2698" s="8">
        <v>46231</v>
      </c>
      <c r="B2698" s="16" t="s">
        <v>5246</v>
      </c>
      <c r="C2698" s="6" t="s">
        <v>2633</v>
      </c>
      <c r="D2698" s="6" t="s">
        <v>2623</v>
      </c>
      <c r="E2698" s="14">
        <v>46231.354861111111</v>
      </c>
      <c r="F2698" s="25">
        <f>IF(HOUR(Table1[[#This Row],[CORREO]])&gt;=11,WORKDAY(Table1[[#This Row],[CORREO]],1,Table2[Dias no laborales]),E2698)</f>
        <v>46231.354861111111</v>
      </c>
      <c r="G2698" s="8">
        <v>46231</v>
      </c>
      <c r="H2698" s="6">
        <f t="shared" si="151"/>
        <v>30</v>
      </c>
      <c r="I2698" s="6">
        <f>MAX(1, NETWORKDAYS(A2698, G2698,Table2[Dias no laborales]))</f>
        <v>1</v>
      </c>
      <c r="J2698" s="6" t="str">
        <f>IF(Table1[[#This Row],[FIN]]="","Acumulado",IF(ISNUMBER(SEARCH("ASAP",C2698)),"ASAP",IF(NETWORKDAYS.INTL(F2698,G2698,1,Table2[Dias no laborales]) &lt;= 7, "Dentro", IF(A2698&gt;F2698,"Programado","Fuera"))))</f>
        <v>Dentro</v>
      </c>
      <c r="K2698" s="6" t="str">
        <f t="shared" si="152"/>
        <v>A tiempo</v>
      </c>
      <c r="L2698" s="8">
        <v>46231</v>
      </c>
      <c r="M2698" s="17">
        <f>MAX(1,NETWORKDAYS(A2698,L2698,Table2[Dias no laborales]))</f>
        <v>1</v>
      </c>
    </row>
    <row r="2699" spans="1:13" hidden="1" x14ac:dyDescent="0.3">
      <c r="A2699" s="8">
        <v>46231</v>
      </c>
      <c r="B2699" s="16" t="s">
        <v>5247</v>
      </c>
      <c r="C2699" s="6" t="s">
        <v>3263</v>
      </c>
      <c r="D2699" s="6" t="s">
        <v>1333</v>
      </c>
      <c r="E2699" s="14">
        <v>46231.332638888889</v>
      </c>
      <c r="F2699" s="25">
        <f>IF(HOUR(Table1[[#This Row],[CORREO]])&gt;=11,WORKDAY(Table1[[#This Row],[CORREO]],1,Table2[Dias no laborales]),E2699)</f>
        <v>46231.332638888889</v>
      </c>
      <c r="G2699" s="8">
        <v>46232</v>
      </c>
      <c r="H2699" s="6">
        <f t="shared" si="151"/>
        <v>30</v>
      </c>
      <c r="I2699" s="6">
        <f>MAX(1, NETWORKDAYS(A2699, G2699,Table2[Dias no laborales]))</f>
        <v>2</v>
      </c>
      <c r="J2699" s="6" t="str">
        <f>IF(Table1[[#This Row],[FIN]]="","Acumulado",IF(ISNUMBER(SEARCH("ASAP",C2699)),"ASAP",IF(NETWORKDAYS.INTL(F2699,G2699,1,Table2[Dias no laborales]) &lt;= 7, "Dentro", IF(A2699&gt;F2699,"Programado","Fuera"))))</f>
        <v>Dentro</v>
      </c>
      <c r="K2699" s="6" t="str">
        <f t="shared" si="152"/>
        <v>A tiempo</v>
      </c>
      <c r="L2699" s="8">
        <v>46231</v>
      </c>
      <c r="M2699" s="17">
        <f>MAX(1,NETWORKDAYS(A2699,L2699,Table2[Dias no laborales]))</f>
        <v>1</v>
      </c>
    </row>
    <row r="2700" spans="1:13" hidden="1" x14ac:dyDescent="0.3">
      <c r="A2700" s="8">
        <v>46231</v>
      </c>
      <c r="B2700" s="16" t="s">
        <v>5248</v>
      </c>
      <c r="C2700" s="6" t="s">
        <v>5917</v>
      </c>
      <c r="D2700" s="6" t="s">
        <v>2586</v>
      </c>
      <c r="E2700" s="14">
        <v>46230.559027777781</v>
      </c>
      <c r="F2700" s="25">
        <f>IF(HOUR(Table1[[#This Row],[CORREO]])&gt;=11,WORKDAY(Table1[[#This Row],[CORREO]],1,Table2[Dias no laborales]),E2700)</f>
        <v>46231</v>
      </c>
      <c r="G2700" s="8">
        <v>46231</v>
      </c>
      <c r="H2700" s="6">
        <f t="shared" si="151"/>
        <v>30</v>
      </c>
      <c r="I2700" s="6">
        <f>MAX(1, NETWORKDAYS(A2700, G2700,Table2[Dias no laborales]))</f>
        <v>1</v>
      </c>
      <c r="J2700" s="6" t="str">
        <f>IF(Table1[[#This Row],[FIN]]="","Acumulado",IF(ISNUMBER(SEARCH("ASAP",C2700)),"ASAP",IF(NETWORKDAYS.INTL(F2700,G2700,1,Table2[Dias no laborales]) &lt;= 7, "Dentro", IF(A2700&gt;F2700,"Programado","Fuera"))))</f>
        <v>Dentro</v>
      </c>
      <c r="K2700" s="6" t="str">
        <f t="shared" si="152"/>
        <v>A tiempo</v>
      </c>
      <c r="L2700" s="8">
        <v>46231</v>
      </c>
      <c r="M2700" s="17">
        <f>MAX(1,NETWORKDAYS(A2700,L2700,Table2[Dias no laborales]))</f>
        <v>1</v>
      </c>
    </row>
    <row r="2701" spans="1:13" hidden="1" x14ac:dyDescent="0.3">
      <c r="A2701" s="8">
        <v>46231</v>
      </c>
      <c r="B2701" s="16" t="s">
        <v>5249</v>
      </c>
      <c r="C2701" s="6" t="s">
        <v>5918</v>
      </c>
      <c r="D2701" s="6" t="s">
        <v>194</v>
      </c>
      <c r="E2701" s="14">
        <v>46231.469444444447</v>
      </c>
      <c r="F2701" s="25">
        <f>IF(HOUR(Table1[[#This Row],[CORREO]])&gt;=11,WORKDAY(Table1[[#This Row],[CORREO]],1,Table2[Dias no laborales]),E2701)</f>
        <v>46232</v>
      </c>
      <c r="G2701" s="8">
        <v>46232</v>
      </c>
      <c r="H2701" s="6">
        <f t="shared" si="151"/>
        <v>30</v>
      </c>
      <c r="I2701" s="6">
        <f>MAX(1, NETWORKDAYS(A2701, G2701,Table2[Dias no laborales]))</f>
        <v>2</v>
      </c>
      <c r="J2701" s="6" t="str">
        <f>IF(Table1[[#This Row],[FIN]]="","Acumulado",IF(ISNUMBER(SEARCH("ASAP",C2701)),"ASAP",IF(NETWORKDAYS.INTL(F2701,G2701,1,Table2[Dias no laborales]) &lt;= 7, "Dentro", IF(A2701&gt;F2701,"Programado","Fuera"))))</f>
        <v>Dentro</v>
      </c>
      <c r="K2701" s="6" t="str">
        <f t="shared" si="152"/>
        <v>Mismo día</v>
      </c>
      <c r="L2701" s="8">
        <v>46231</v>
      </c>
      <c r="M2701" s="17">
        <f>MAX(1,NETWORKDAYS(A2701,L2701,Table2[Dias no laborales]))</f>
        <v>1</v>
      </c>
    </row>
    <row r="2702" spans="1:13" hidden="1" x14ac:dyDescent="0.3">
      <c r="A2702" s="8">
        <v>46231</v>
      </c>
      <c r="B2702" s="16" t="s">
        <v>5250</v>
      </c>
      <c r="C2702" s="6" t="s">
        <v>5919</v>
      </c>
      <c r="D2702" s="6" t="s">
        <v>24</v>
      </c>
      <c r="E2702" s="14"/>
      <c r="F2702" s="25">
        <f>IF(HOUR(Table1[[#This Row],[CORREO]])&gt;=11,WORKDAY(Table1[[#This Row],[CORREO]],1,Table2[Dias no laborales]),E2702)</f>
        <v>0</v>
      </c>
      <c r="G2702" s="8">
        <v>46231</v>
      </c>
      <c r="H2702" s="6">
        <f t="shared" si="151"/>
        <v>30</v>
      </c>
      <c r="I2702" s="6">
        <f>MAX(1, NETWORKDAYS(A2702, G2702,Table2[Dias no laborales]))</f>
        <v>1</v>
      </c>
      <c r="J2702" s="6" t="str">
        <f>IF(Table1[[#This Row],[FIN]]="","Acumulado",IF(ISNUMBER(SEARCH("ASAP",C2702)),"ASAP",IF(NETWORKDAYS.INTL(F2702,G2702,1,Table2[Dias no laborales]) &lt;= 7, "Dentro", IF(A2702&gt;F2702,"Programado","Fuera"))))</f>
        <v>Programado</v>
      </c>
      <c r="K2702" s="6" t="str">
        <f t="shared" si="152"/>
        <v>Programados</v>
      </c>
      <c r="L2702" s="8">
        <v>46231</v>
      </c>
      <c r="M2702" s="17">
        <f>MAX(1,NETWORKDAYS(A2702,L2702,Table2[Dias no laborales]))</f>
        <v>1</v>
      </c>
    </row>
    <row r="2703" spans="1:13" hidden="1" x14ac:dyDescent="0.3">
      <c r="A2703" s="8">
        <v>46232</v>
      </c>
      <c r="B2703" s="16" t="s">
        <v>5251</v>
      </c>
      <c r="C2703" s="6" t="s">
        <v>5979</v>
      </c>
      <c r="D2703" s="6" t="s">
        <v>5071</v>
      </c>
      <c r="E2703" s="14"/>
      <c r="F2703" s="25">
        <f>IF(HOUR(Table1[[#This Row],[CORREO]])&gt;=11,WORKDAY(Table1[[#This Row],[CORREO]],1,Table2[Dias no laborales]),E2703)</f>
        <v>0</v>
      </c>
      <c r="G2703" s="8">
        <v>46238</v>
      </c>
      <c r="H2703" s="6">
        <f t="shared" si="151"/>
        <v>30</v>
      </c>
      <c r="I2703" s="6">
        <f>MAX(1, NETWORKDAYS(A2703, G2703,Table2[Dias no laborales]))</f>
        <v>5</v>
      </c>
      <c r="J2703" s="6" t="str">
        <f>IF(Table1[[#This Row],[FIN]]="","Acumulado",IF(ISNUMBER(SEARCH("ASAP",C2703)),"ASAP",IF(NETWORKDAYS.INTL(F2703,G2703,1,Table2[Dias no laborales]) &lt;= 7, "Dentro", IF(A2703&gt;F2703,"Programado","Fuera"))))</f>
        <v>Programado</v>
      </c>
      <c r="K2703" s="6" t="str">
        <f t="shared" si="152"/>
        <v>Programados</v>
      </c>
      <c r="L2703" s="8">
        <v>46232</v>
      </c>
      <c r="M2703" s="17">
        <f>MAX(1,NETWORKDAYS(A2703,L2703,Table2[Dias no laborales]))</f>
        <v>1</v>
      </c>
    </row>
    <row r="2704" spans="1:13" hidden="1" x14ac:dyDescent="0.3">
      <c r="A2704" s="8">
        <v>46232</v>
      </c>
      <c r="B2704" s="16" t="s">
        <v>5252</v>
      </c>
      <c r="C2704" s="6" t="s">
        <v>5979</v>
      </c>
      <c r="D2704" s="6" t="s">
        <v>5980</v>
      </c>
      <c r="E2704" s="14"/>
      <c r="F2704" s="25">
        <f>IF(HOUR(Table1[[#This Row],[CORREO]])&gt;=11,WORKDAY(Table1[[#This Row],[CORREO]],1,Table2[Dias no laborales]),E2704)</f>
        <v>0</v>
      </c>
      <c r="G2704" s="8">
        <v>46238</v>
      </c>
      <c r="H2704" s="6">
        <f t="shared" si="151"/>
        <v>30</v>
      </c>
      <c r="I2704" s="6">
        <f>MAX(1, NETWORKDAYS(A2704, G2704,Table2[Dias no laborales]))</f>
        <v>5</v>
      </c>
      <c r="J2704" s="6" t="str">
        <f>IF(Table1[[#This Row],[FIN]]="","Acumulado",IF(ISNUMBER(SEARCH("ASAP",C2704)),"ASAP",IF(NETWORKDAYS.INTL(F2704,G2704,1,Table2[Dias no laborales]) &lt;= 7, "Dentro", IF(A2704&gt;F2704,"Programado","Fuera"))))</f>
        <v>Programado</v>
      </c>
      <c r="K2704" s="6" t="str">
        <f t="shared" si="152"/>
        <v>Programados</v>
      </c>
      <c r="L2704" s="8">
        <v>46232</v>
      </c>
      <c r="M2704" s="17">
        <f>MAX(1,NETWORKDAYS(A2704,L2704,Table2[Dias no laborales]))</f>
        <v>1</v>
      </c>
    </row>
    <row r="2705" spans="1:13" hidden="1" x14ac:dyDescent="0.3">
      <c r="A2705" s="8">
        <v>46232</v>
      </c>
      <c r="B2705" s="16" t="s">
        <v>5253</v>
      </c>
      <c r="C2705" s="6" t="s">
        <v>5981</v>
      </c>
      <c r="D2705" s="6" t="s">
        <v>477</v>
      </c>
      <c r="E2705" s="14">
        <v>46231.888888888891</v>
      </c>
      <c r="F2705" s="25">
        <f>IF(HOUR(Table1[[#This Row],[CORREO]])&gt;=11,WORKDAY(Table1[[#This Row],[CORREO]],1,Table2[Dias no laborales]),E2705)</f>
        <v>46232</v>
      </c>
      <c r="G2705" s="8">
        <v>46238</v>
      </c>
      <c r="H2705" s="6">
        <f t="shared" si="151"/>
        <v>30</v>
      </c>
      <c r="I2705" s="6">
        <f>MAX(1, NETWORKDAYS(A2705, G2705,Table2[Dias no laborales]))</f>
        <v>5</v>
      </c>
      <c r="J2705" s="6" t="str">
        <f>IF(Table1[[#This Row],[FIN]]="","Acumulado",IF(ISNUMBER(SEARCH("ASAP",C2705)),"ASAP",IF(NETWORKDAYS.INTL(F2705,G2705,1,Table2[Dias no laborales]) &lt;= 7, "Dentro", IF(A2705&gt;F2705,"Programado","Fuera"))))</f>
        <v>Dentro</v>
      </c>
      <c r="K2705" s="6" t="str">
        <f t="shared" si="152"/>
        <v>A tiempo</v>
      </c>
      <c r="L2705" s="8">
        <v>46232</v>
      </c>
      <c r="M2705" s="17">
        <f>MAX(1,NETWORKDAYS(A2705,L2705,Table2[Dias no laborales]))</f>
        <v>1</v>
      </c>
    </row>
    <row r="2706" spans="1:13" hidden="1" x14ac:dyDescent="0.3">
      <c r="A2706" s="8">
        <v>46232</v>
      </c>
      <c r="B2706" s="16" t="s">
        <v>5254</v>
      </c>
      <c r="C2706" s="6" t="s">
        <v>5982</v>
      </c>
      <c r="D2706" s="6" t="s">
        <v>655</v>
      </c>
      <c r="E2706" s="14">
        <v>46231.886111111111</v>
      </c>
      <c r="F2706" s="25">
        <f>IF(HOUR(Table1[[#This Row],[CORREO]])&gt;=11,WORKDAY(Table1[[#This Row],[CORREO]],1,Table2[Dias no laborales]),E2706)</f>
        <v>46232</v>
      </c>
      <c r="G2706" s="8">
        <v>46232</v>
      </c>
      <c r="H2706" s="6">
        <f t="shared" si="151"/>
        <v>30</v>
      </c>
      <c r="I2706" s="6">
        <f>MAX(1, NETWORKDAYS(A2706, G2706,Table2[Dias no laborales]))</f>
        <v>1</v>
      </c>
      <c r="J2706" s="6" t="str">
        <f>IF(Table1[[#This Row],[FIN]]="","Acumulado",IF(ISNUMBER(SEARCH("ASAP",C2706)),"ASAP",IF(NETWORKDAYS.INTL(F2706,G2706,1,Table2[Dias no laborales]) &lt;= 7, "Dentro", IF(A2706&gt;F2706,"Programado","Fuera"))))</f>
        <v>Dentro</v>
      </c>
      <c r="K2706" s="6" t="str">
        <f t="shared" si="152"/>
        <v>A tiempo</v>
      </c>
      <c r="L2706" s="8">
        <v>46232</v>
      </c>
      <c r="M2706" s="17">
        <f>MAX(1,NETWORKDAYS(A2706,L2706,Table2[Dias no laborales]))</f>
        <v>1</v>
      </c>
    </row>
    <row r="2707" spans="1:13" hidden="1" x14ac:dyDescent="0.3">
      <c r="A2707" s="8">
        <v>46232</v>
      </c>
      <c r="B2707" s="16" t="s">
        <v>5255</v>
      </c>
      <c r="C2707" s="6" t="s">
        <v>5983</v>
      </c>
      <c r="D2707" s="6" t="s">
        <v>593</v>
      </c>
      <c r="E2707" s="14">
        <v>46231.906944444447</v>
      </c>
      <c r="F2707" s="25">
        <f>IF(HOUR(Table1[[#This Row],[CORREO]])&gt;=11,WORKDAY(Table1[[#This Row],[CORREO]],1,Table2[Dias no laborales]),E2707)</f>
        <v>46232</v>
      </c>
      <c r="G2707" s="8">
        <v>46232</v>
      </c>
      <c r="H2707" s="6">
        <f t="shared" si="151"/>
        <v>30</v>
      </c>
      <c r="I2707" s="6">
        <f>MAX(1, NETWORKDAYS(A2707, G2707,Table2[Dias no laborales]))</f>
        <v>1</v>
      </c>
      <c r="J2707" s="6" t="str">
        <f>IF(Table1[[#This Row],[FIN]]="","Acumulado",IF(ISNUMBER(SEARCH("ASAP",C2707)),"ASAP",IF(NETWORKDAYS.INTL(F2707,G2707,1,Table2[Dias no laborales]) &lt;= 7, "Dentro", IF(A2707&gt;F2707,"Programado","Fuera"))))</f>
        <v>Dentro</v>
      </c>
      <c r="K2707" s="6" t="str">
        <f t="shared" si="152"/>
        <v>A tiempo</v>
      </c>
      <c r="L2707" s="8">
        <v>46232</v>
      </c>
      <c r="M2707" s="17">
        <f>MAX(1,NETWORKDAYS(A2707,L2707,Table2[Dias no laborales]))</f>
        <v>1</v>
      </c>
    </row>
    <row r="2708" spans="1:13" hidden="1" x14ac:dyDescent="0.3">
      <c r="A2708" s="8">
        <v>46232</v>
      </c>
      <c r="B2708" s="16" t="s">
        <v>5256</v>
      </c>
      <c r="C2708" s="6" t="s">
        <v>5984</v>
      </c>
      <c r="D2708" s="6" t="s">
        <v>916</v>
      </c>
      <c r="E2708" s="14">
        <v>46232.258333333331</v>
      </c>
      <c r="F2708" s="25">
        <f>IF(HOUR(Table1[[#This Row],[CORREO]])&gt;=11,WORKDAY(Table1[[#This Row],[CORREO]],1,Table2[Dias no laborales]),E2708)</f>
        <v>46232.258333333331</v>
      </c>
      <c r="G2708" s="8">
        <v>46232</v>
      </c>
      <c r="H2708" s="6">
        <f t="shared" si="151"/>
        <v>30</v>
      </c>
      <c r="I2708" s="6">
        <f>MAX(1, NETWORKDAYS(A2708, G2708,Table2[Dias no laborales]))</f>
        <v>1</v>
      </c>
      <c r="J2708" s="6" t="str">
        <f>IF(Table1[[#This Row],[FIN]]="","Acumulado",IF(ISNUMBER(SEARCH("ASAP",C2708)),"ASAP",IF(NETWORKDAYS.INTL(F2708,G2708,1,Table2[Dias no laborales]) &lt;= 7, "Dentro", IF(A2708&gt;F2708,"Programado","Fuera"))))</f>
        <v>Dentro</v>
      </c>
      <c r="K2708" s="6" t="str">
        <f t="shared" si="152"/>
        <v>A tiempo</v>
      </c>
      <c r="L2708" s="8">
        <v>46232</v>
      </c>
      <c r="M2708" s="17">
        <f>MAX(1,NETWORKDAYS(A2708,L2708,Table2[Dias no laborales]))</f>
        <v>1</v>
      </c>
    </row>
    <row r="2709" spans="1:13" hidden="1" x14ac:dyDescent="0.3">
      <c r="A2709" s="8">
        <v>46232</v>
      </c>
      <c r="B2709" s="16" t="s">
        <v>5257</v>
      </c>
      <c r="C2709" s="6" t="s">
        <v>5985</v>
      </c>
      <c r="D2709" s="6" t="s">
        <v>56</v>
      </c>
      <c r="E2709" s="14">
        <v>46232.300694444442</v>
      </c>
      <c r="F2709" s="25">
        <f>IF(HOUR(Table1[[#This Row],[CORREO]])&gt;=11,WORKDAY(Table1[[#This Row],[CORREO]],1,Table2[Dias no laborales]),E2709)</f>
        <v>46232.300694444442</v>
      </c>
      <c r="G2709" s="8">
        <v>46232</v>
      </c>
      <c r="H2709" s="6">
        <f t="shared" si="151"/>
        <v>30</v>
      </c>
      <c r="I2709" s="6">
        <f>MAX(1, NETWORKDAYS(A2709, G2709,Table2[Dias no laborales]))</f>
        <v>1</v>
      </c>
      <c r="J2709" s="6" t="str">
        <f>IF(Table1[[#This Row],[FIN]]="","Acumulado",IF(ISNUMBER(SEARCH("ASAP",C2709)),"ASAP",IF(NETWORKDAYS.INTL(F2709,G2709,1,Table2[Dias no laborales]) &lt;= 7, "Dentro", IF(A2709&gt;F2709,"Programado","Fuera"))))</f>
        <v>Dentro</v>
      </c>
      <c r="K2709" s="6" t="str">
        <f t="shared" si="152"/>
        <v>A tiempo</v>
      </c>
      <c r="L2709" s="8">
        <v>46232</v>
      </c>
      <c r="M2709" s="17">
        <f>MAX(1,NETWORKDAYS(A2709,L2709,Table2[Dias no laborales]))</f>
        <v>1</v>
      </c>
    </row>
    <row r="2710" spans="1:13" hidden="1" x14ac:dyDescent="0.3">
      <c r="A2710" s="8">
        <v>46232</v>
      </c>
      <c r="B2710" s="16" t="s">
        <v>5258</v>
      </c>
      <c r="C2710" s="6" t="s">
        <v>2633</v>
      </c>
      <c r="D2710" s="6" t="s">
        <v>2623</v>
      </c>
      <c r="E2710" s="14">
        <v>46232.336111111108</v>
      </c>
      <c r="F2710" s="25">
        <f>IF(HOUR(Table1[[#This Row],[CORREO]])&gt;=11,WORKDAY(Table1[[#This Row],[CORREO]],1,Table2[Dias no laborales]),E2710)</f>
        <v>46232.336111111108</v>
      </c>
      <c r="G2710" s="8">
        <v>46232</v>
      </c>
      <c r="H2710" s="6">
        <f t="shared" si="151"/>
        <v>30</v>
      </c>
      <c r="I2710" s="6">
        <f>MAX(1, NETWORKDAYS(A2710, G2710,Table2[Dias no laborales]))</f>
        <v>1</v>
      </c>
      <c r="J2710" s="6" t="str">
        <f>IF(Table1[[#This Row],[FIN]]="","Acumulado",IF(ISNUMBER(SEARCH("ASAP",C2710)),"ASAP",IF(NETWORKDAYS.INTL(F2710,G2710,1,Table2[Dias no laborales]) &lt;= 7, "Dentro", IF(A2710&gt;F2710,"Programado","Fuera"))))</f>
        <v>Dentro</v>
      </c>
      <c r="K2710" s="6" t="str">
        <f t="shared" si="152"/>
        <v>A tiempo</v>
      </c>
      <c r="L2710" s="8">
        <v>46232</v>
      </c>
      <c r="M2710" s="17">
        <f>MAX(1,NETWORKDAYS(A2710,L2710,Table2[Dias no laborales]))</f>
        <v>1</v>
      </c>
    </row>
    <row r="2711" spans="1:13" hidden="1" x14ac:dyDescent="0.3">
      <c r="A2711" s="8">
        <v>46232</v>
      </c>
      <c r="B2711" s="16" t="s">
        <v>5259</v>
      </c>
      <c r="C2711" s="6" t="s">
        <v>4988</v>
      </c>
      <c r="D2711" s="6" t="s">
        <v>392</v>
      </c>
      <c r="E2711" s="14">
        <v>46232.332638888889</v>
      </c>
      <c r="F2711" s="25">
        <f>IF(HOUR(Table1[[#This Row],[CORREO]])&gt;=11,WORKDAY(Table1[[#This Row],[CORREO]],1,Table2[Dias no laborales]),E2711)</f>
        <v>46232.332638888889</v>
      </c>
      <c r="G2711" s="8">
        <v>46232</v>
      </c>
      <c r="H2711" s="6">
        <f t="shared" si="151"/>
        <v>30</v>
      </c>
      <c r="I2711" s="6">
        <f>MAX(1, NETWORKDAYS(A2711, G2711,Table2[Dias no laborales]))</f>
        <v>1</v>
      </c>
      <c r="J2711" s="6" t="str">
        <f>IF(Table1[[#This Row],[FIN]]="","Acumulado",IF(ISNUMBER(SEARCH("ASAP",C2711)),"ASAP",IF(NETWORKDAYS.INTL(F2711,G2711,1,Table2[Dias no laborales]) &lt;= 7, "Dentro", IF(A2711&gt;F2711,"Programado","Fuera"))))</f>
        <v>Dentro</v>
      </c>
      <c r="K2711" s="6" t="str">
        <f t="shared" si="152"/>
        <v>A tiempo</v>
      </c>
      <c r="L2711" s="8">
        <v>46232</v>
      </c>
      <c r="M2711" s="17">
        <f>MAX(1,NETWORKDAYS(A2711,L2711,Table2[Dias no laborales]))</f>
        <v>1</v>
      </c>
    </row>
    <row r="2712" spans="1:13" hidden="1" x14ac:dyDescent="0.3">
      <c r="A2712" s="8">
        <v>46232</v>
      </c>
      <c r="B2712" s="16" t="s">
        <v>5260</v>
      </c>
      <c r="C2712" s="6" t="s">
        <v>5894</v>
      </c>
      <c r="D2712" s="6" t="s">
        <v>623</v>
      </c>
      <c r="E2712" s="14">
        <v>46232.384722222225</v>
      </c>
      <c r="F2712" s="25">
        <f>IF(HOUR(Table1[[#This Row],[CORREO]])&gt;=11,WORKDAY(Table1[[#This Row],[CORREO]],1,Table2[Dias no laborales]),E2712)</f>
        <v>46232.384722222225</v>
      </c>
      <c r="G2712" s="8">
        <v>46234</v>
      </c>
      <c r="H2712" s="6">
        <f t="shared" si="151"/>
        <v>30</v>
      </c>
      <c r="I2712" s="6">
        <f>MAX(1, NETWORKDAYS(A2712, G2712,Table2[Dias no laborales]))</f>
        <v>3</v>
      </c>
      <c r="J2712" s="6" t="str">
        <f>IF(Table1[[#This Row],[FIN]]="","Acumulado",IF(ISNUMBER(SEARCH("ASAP",C2712)),"ASAP",IF(NETWORKDAYS.INTL(F2712,G2712,1,Table2[Dias no laborales]) &lt;= 7, "Dentro", IF(A2712&gt;F2712,"Programado","Fuera"))))</f>
        <v>Dentro</v>
      </c>
      <c r="K2712" s="6" t="str">
        <f t="shared" si="152"/>
        <v>A tiempo</v>
      </c>
      <c r="L2712" s="8">
        <v>46232</v>
      </c>
      <c r="M2712" s="17">
        <f>MAX(1,NETWORKDAYS(A2712,L2712,Table2[Dias no laborales]))</f>
        <v>1</v>
      </c>
    </row>
    <row r="2713" spans="1:13" hidden="1" x14ac:dyDescent="0.3">
      <c r="A2713" s="8">
        <v>46232</v>
      </c>
      <c r="B2713" s="16" t="s">
        <v>5261</v>
      </c>
      <c r="C2713" s="6" t="s">
        <v>5986</v>
      </c>
      <c r="D2713" s="6" t="s">
        <v>848</v>
      </c>
      <c r="E2713" s="14">
        <v>46232.397916666669</v>
      </c>
      <c r="F2713" s="25">
        <f>IF(HOUR(Table1[[#This Row],[CORREO]])&gt;=11,WORKDAY(Table1[[#This Row],[CORREO]],1,Table2[Dias no laborales]),E2713)</f>
        <v>46232.397916666669</v>
      </c>
      <c r="G2713" s="8">
        <v>46232</v>
      </c>
      <c r="H2713" s="6">
        <f t="shared" si="151"/>
        <v>30</v>
      </c>
      <c r="I2713" s="6">
        <f>MAX(1, NETWORKDAYS(A2713, G2713,Table2[Dias no laborales]))</f>
        <v>1</v>
      </c>
      <c r="J2713" s="6" t="str">
        <f>IF(Table1[[#This Row],[FIN]]="","Acumulado",IF(ISNUMBER(SEARCH("ASAP",C2713)),"ASAP",IF(NETWORKDAYS.INTL(F2713,G2713,1,Table2[Dias no laborales]) &lt;= 7, "Dentro", IF(A2713&gt;F2713,"Programado","Fuera"))))</f>
        <v>Dentro</v>
      </c>
      <c r="K2713" s="6" t="str">
        <f t="shared" si="152"/>
        <v>A tiempo</v>
      </c>
      <c r="L2713" s="8">
        <v>46232</v>
      </c>
      <c r="M2713" s="17">
        <f>MAX(1,NETWORKDAYS(A2713,L2713,Table2[Dias no laborales]))</f>
        <v>1</v>
      </c>
    </row>
    <row r="2714" spans="1:13" hidden="1" x14ac:dyDescent="0.3">
      <c r="A2714" s="8">
        <v>46232</v>
      </c>
      <c r="B2714" s="16" t="s">
        <v>5262</v>
      </c>
      <c r="C2714" s="6" t="s">
        <v>5987</v>
      </c>
      <c r="D2714" s="6" t="s">
        <v>848</v>
      </c>
      <c r="E2714" s="14">
        <v>46232.400694444441</v>
      </c>
      <c r="F2714" s="25">
        <f>IF(HOUR(Table1[[#This Row],[CORREO]])&gt;=11,WORKDAY(Table1[[#This Row],[CORREO]],1,Table2[Dias no laborales]),E2714)</f>
        <v>46232.400694444441</v>
      </c>
      <c r="G2714" s="8">
        <v>46232</v>
      </c>
      <c r="H2714" s="6">
        <f t="shared" si="151"/>
        <v>30</v>
      </c>
      <c r="I2714" s="6">
        <f>MAX(1, NETWORKDAYS(A2714, G2714,Table2[Dias no laborales]))</f>
        <v>1</v>
      </c>
      <c r="J2714" s="6" t="str">
        <f>IF(Table1[[#This Row],[FIN]]="","Acumulado",IF(ISNUMBER(SEARCH("ASAP",C2714)),"ASAP",IF(NETWORKDAYS.INTL(F2714,G2714,1,Table2[Dias no laborales]) &lt;= 7, "Dentro", IF(A2714&gt;F2714,"Programado","Fuera"))))</f>
        <v>Dentro</v>
      </c>
      <c r="K2714" s="6" t="str">
        <f t="shared" si="152"/>
        <v>A tiempo</v>
      </c>
      <c r="L2714" s="8">
        <v>46232</v>
      </c>
      <c r="M2714" s="17">
        <f>MAX(1,NETWORKDAYS(A2714,L2714,Table2[Dias no laborales]))</f>
        <v>1</v>
      </c>
    </row>
    <row r="2715" spans="1:13" hidden="1" x14ac:dyDescent="0.3">
      <c r="A2715" s="8">
        <v>46232</v>
      </c>
      <c r="B2715" s="16" t="s">
        <v>5263</v>
      </c>
      <c r="C2715" s="6" t="s">
        <v>5988</v>
      </c>
      <c r="D2715" s="6" t="s">
        <v>27</v>
      </c>
      <c r="E2715" s="14">
        <v>46232.375694444447</v>
      </c>
      <c r="F2715" s="25">
        <f>IF(HOUR(Table1[[#This Row],[CORREO]])&gt;=11,WORKDAY(Table1[[#This Row],[CORREO]],1,Table2[Dias no laborales]),E2715)</f>
        <v>46232.375694444447</v>
      </c>
      <c r="G2715" s="8">
        <v>46233</v>
      </c>
      <c r="H2715" s="6">
        <f t="shared" si="151"/>
        <v>30</v>
      </c>
      <c r="I2715" s="6">
        <f>MAX(1, NETWORKDAYS(A2715, G2715,Table2[Dias no laborales]))</f>
        <v>2</v>
      </c>
      <c r="J2715" s="6" t="str">
        <f>IF(Table1[[#This Row],[FIN]]="","Acumulado",IF(ISNUMBER(SEARCH("ASAP",C2715)),"ASAP",IF(NETWORKDAYS.INTL(F2715,G2715,1,Table2[Dias no laborales]) &lt;= 7, "Dentro", IF(A2715&gt;F2715,"Programado","Fuera"))))</f>
        <v>Dentro</v>
      </c>
      <c r="K2715" s="6" t="str">
        <f t="shared" si="152"/>
        <v>A tiempo</v>
      </c>
      <c r="L2715" s="8">
        <v>46232</v>
      </c>
      <c r="M2715" s="17">
        <f>MAX(1,NETWORKDAYS(A2715,L2715,Table2[Dias no laborales]))</f>
        <v>1</v>
      </c>
    </row>
    <row r="2716" spans="1:13" hidden="1" x14ac:dyDescent="0.3">
      <c r="A2716" s="8">
        <v>46232</v>
      </c>
      <c r="B2716" s="16" t="s">
        <v>5264</v>
      </c>
      <c r="C2716" s="6" t="s">
        <v>5989</v>
      </c>
      <c r="D2716" s="6" t="s">
        <v>623</v>
      </c>
      <c r="E2716" s="14">
        <v>46232.518055555556</v>
      </c>
      <c r="F2716" s="25">
        <f>IF(HOUR(Table1[[#This Row],[CORREO]])&gt;=11,WORKDAY(Table1[[#This Row],[CORREO]],1,Table2[Dias no laborales]),E2716)</f>
        <v>46233</v>
      </c>
      <c r="G2716" s="8">
        <v>46233</v>
      </c>
      <c r="H2716" s="6">
        <f t="shared" si="151"/>
        <v>30</v>
      </c>
      <c r="I2716" s="6">
        <f>MAX(1, NETWORKDAYS(A2716, G2716,Table2[Dias no laborales]))</f>
        <v>2</v>
      </c>
      <c r="J2716" s="6" t="str">
        <f>IF(Table1[[#This Row],[FIN]]="","Acumulado",IF(ISNUMBER(SEARCH("ASAP",C2716)),"ASAP",IF(NETWORKDAYS.INTL(F2716,G2716,1,Table2[Dias no laborales]) &lt;= 7, "Dentro", IF(A2716&gt;F2716,"Programado","Fuera"))))</f>
        <v>Dentro</v>
      </c>
      <c r="K2716" s="6" t="str">
        <f t="shared" si="152"/>
        <v>Mismo día</v>
      </c>
      <c r="L2716" s="8">
        <v>46232</v>
      </c>
      <c r="M2716" s="17">
        <f>MAX(1,NETWORKDAYS(A2716,L2716,Table2[Dias no laborales]))</f>
        <v>1</v>
      </c>
    </row>
    <row r="2717" spans="1:13" hidden="1" x14ac:dyDescent="0.3">
      <c r="A2717" s="8">
        <v>46232</v>
      </c>
      <c r="B2717" s="16" t="s">
        <v>5265</v>
      </c>
      <c r="C2717" s="6" t="s">
        <v>5990</v>
      </c>
      <c r="D2717" s="6" t="s">
        <v>1136</v>
      </c>
      <c r="E2717" s="14">
        <v>46232.56527777778</v>
      </c>
      <c r="F2717" s="25">
        <f>IF(HOUR(Table1[[#This Row],[CORREO]])&gt;=11,WORKDAY(Table1[[#This Row],[CORREO]],1,Table2[Dias no laborales]),E2717)</f>
        <v>46233</v>
      </c>
      <c r="G2717" s="8">
        <v>46232</v>
      </c>
      <c r="H2717" s="6">
        <f t="shared" si="151"/>
        <v>30</v>
      </c>
      <c r="I2717" s="6">
        <f>MAX(1, NETWORKDAYS(A2717, G2717,Table2[Dias no laborales]))</f>
        <v>1</v>
      </c>
      <c r="J2717" s="6" t="str">
        <f>IF(Table1[[#This Row],[FIN]]="","Acumulado",IF(ISNUMBER(SEARCH("ASAP",C2717)),"ASAP",IF(NETWORKDAYS.INTL(F2717,G2717,1,Table2[Dias no laborales]) &lt;= 7, "Dentro", IF(A2717&gt;F2717,"Programado","Fuera"))))</f>
        <v>Dentro</v>
      </c>
      <c r="K2717" s="6" t="str">
        <f t="shared" si="152"/>
        <v>Mismo día</v>
      </c>
      <c r="L2717" s="8">
        <v>46232</v>
      </c>
      <c r="M2717" s="17">
        <f>MAX(1,NETWORKDAYS(A2717,L2717,Table2[Dias no laborales]))</f>
        <v>1</v>
      </c>
    </row>
    <row r="2718" spans="1:13" hidden="1" x14ac:dyDescent="0.3">
      <c r="A2718" s="8">
        <v>46232</v>
      </c>
      <c r="B2718" s="16" t="s">
        <v>5266</v>
      </c>
      <c r="C2718" s="6" t="s">
        <v>5991</v>
      </c>
      <c r="D2718" s="6" t="s">
        <v>5992</v>
      </c>
      <c r="E2718" s="14">
        <v>46231.686111111114</v>
      </c>
      <c r="F2718" s="25">
        <f>IF(HOUR(Table1[[#This Row],[CORREO]])&gt;=11,WORKDAY(Table1[[#This Row],[CORREO]],1,Table2[Dias no laborales]),E2718)</f>
        <v>46232</v>
      </c>
      <c r="G2718" s="8">
        <v>46233</v>
      </c>
      <c r="H2718" s="6">
        <f t="shared" si="151"/>
        <v>30</v>
      </c>
      <c r="I2718" s="6">
        <f>MAX(1, NETWORKDAYS(A2718, G2718,Table2[Dias no laborales]))</f>
        <v>2</v>
      </c>
      <c r="J2718" s="6" t="str">
        <f>IF(Table1[[#This Row],[FIN]]="","Acumulado",IF(ISNUMBER(SEARCH("ASAP",C2718)),"ASAP",IF(NETWORKDAYS.INTL(F2718,G2718,1,Table2[Dias no laborales]) &lt;= 7, "Dentro", IF(A2718&gt;F2718,"Programado","Fuera"))))</f>
        <v>Dentro</v>
      </c>
      <c r="K2718" s="6" t="str">
        <f t="shared" si="152"/>
        <v>A tiempo</v>
      </c>
      <c r="L2718" s="8">
        <v>46232</v>
      </c>
      <c r="M2718" s="17">
        <f>MAX(1,NETWORKDAYS(A2718,L2718,Table2[Dias no laborales]))</f>
        <v>1</v>
      </c>
    </row>
    <row r="2719" spans="1:13" hidden="1" x14ac:dyDescent="0.3">
      <c r="A2719" s="8">
        <v>46232</v>
      </c>
      <c r="B2719" s="16" t="s">
        <v>5267</v>
      </c>
      <c r="C2719" s="6" t="s">
        <v>5102</v>
      </c>
      <c r="D2719" s="6" t="s">
        <v>5591</v>
      </c>
      <c r="E2719" s="14"/>
      <c r="F2719" s="25">
        <f>IF(HOUR(Table1[[#This Row],[CORREO]])&gt;=11,WORKDAY(Table1[[#This Row],[CORREO]],1,Table2[Dias no laborales]),E2719)</f>
        <v>0</v>
      </c>
      <c r="G2719" s="8">
        <v>46234</v>
      </c>
      <c r="H2719" s="6">
        <f t="shared" si="151"/>
        <v>30</v>
      </c>
      <c r="I2719" s="6">
        <f>MAX(1, NETWORKDAYS(A2719, G2719,Table2[Dias no laborales]))</f>
        <v>3</v>
      </c>
      <c r="J2719" s="6" t="str">
        <f>IF(Table1[[#This Row],[FIN]]="","Acumulado",IF(ISNUMBER(SEARCH("ASAP",C2719)),"ASAP",IF(NETWORKDAYS.INTL(F2719,G2719,1,Table2[Dias no laborales]) &lt;= 7, "Dentro", IF(A2719&gt;F2719,"Programado","Fuera"))))</f>
        <v>Programado</v>
      </c>
      <c r="K2719" s="6" t="str">
        <f t="shared" si="152"/>
        <v>Programados</v>
      </c>
      <c r="L2719" s="8">
        <v>46232</v>
      </c>
      <c r="M2719" s="17">
        <f>MAX(1,NETWORKDAYS(A2719,L2719,Table2[Dias no laborales]))</f>
        <v>1</v>
      </c>
    </row>
    <row r="2720" spans="1:13" hidden="1" x14ac:dyDescent="0.3">
      <c r="A2720" s="8">
        <v>46233</v>
      </c>
      <c r="B2720" s="16" t="s">
        <v>5268</v>
      </c>
      <c r="C2720" s="6" t="s">
        <v>5993</v>
      </c>
      <c r="D2720" s="6" t="s">
        <v>5057</v>
      </c>
      <c r="E2720" s="14">
        <v>46232.61041666667</v>
      </c>
      <c r="F2720" s="25">
        <f>IF(HOUR(Table1[[#This Row],[CORREO]])&gt;=11,WORKDAY(Table1[[#This Row],[CORREO]],1,Table2[Dias no laborales]),E2720)</f>
        <v>46233</v>
      </c>
      <c r="G2720" s="8">
        <v>46241</v>
      </c>
      <c r="H2720" s="6">
        <f t="shared" si="151"/>
        <v>31</v>
      </c>
      <c r="I2720" s="6">
        <f>MAX(1, NETWORKDAYS(A2720, G2720,Table2[Dias no laborales]))</f>
        <v>7</v>
      </c>
      <c r="J2720" s="6" t="str">
        <f>IF(Table1[[#This Row],[FIN]]="","Acumulado",IF(ISNUMBER(SEARCH("ASAP",C2720)),"ASAP",IF(NETWORKDAYS.INTL(F2720,G2720,1,Table2[Dias no laborales]) &lt;= 7, "Dentro", IF(A2720&gt;F2720,"Programado","Fuera"))))</f>
        <v>Dentro</v>
      </c>
      <c r="K2720" s="6" t="str">
        <f t="shared" si="152"/>
        <v>A tiempo</v>
      </c>
      <c r="L2720" s="8">
        <v>46233</v>
      </c>
      <c r="M2720" s="17">
        <f>MAX(1,NETWORKDAYS(A2720,L2720,Table2[Dias no laborales]))</f>
        <v>1</v>
      </c>
    </row>
    <row r="2721" spans="1:13" hidden="1" x14ac:dyDescent="0.3">
      <c r="A2721" s="8">
        <v>46233</v>
      </c>
      <c r="B2721" s="16" t="s">
        <v>5269</v>
      </c>
      <c r="C2721" s="6" t="s">
        <v>5987</v>
      </c>
      <c r="D2721" s="6" t="s">
        <v>96</v>
      </c>
      <c r="E2721" s="14">
        <v>46232.678472222222</v>
      </c>
      <c r="F2721" s="25">
        <f>IF(HOUR(Table1[[#This Row],[CORREO]])&gt;=11,WORKDAY(Table1[[#This Row],[CORREO]],1,Table2[Dias no laborales]),E2721)</f>
        <v>46233</v>
      </c>
      <c r="G2721" s="8">
        <v>46233</v>
      </c>
      <c r="H2721" s="6">
        <f t="shared" si="151"/>
        <v>31</v>
      </c>
      <c r="I2721" s="6">
        <f>MAX(1, NETWORKDAYS(A2721, G2721,Table2[Dias no laborales]))</f>
        <v>1</v>
      </c>
      <c r="J2721" s="6" t="str">
        <f>IF(Table1[[#This Row],[FIN]]="","Acumulado",IF(ISNUMBER(SEARCH("ASAP",C2721)),"ASAP",IF(NETWORKDAYS.INTL(F2721,G2721,1,Table2[Dias no laborales]) &lt;= 7, "Dentro", IF(A2721&gt;F2721,"Programado","Fuera"))))</f>
        <v>Dentro</v>
      </c>
      <c r="K2721" s="6" t="str">
        <f t="shared" si="152"/>
        <v>A tiempo</v>
      </c>
      <c r="L2721" s="8">
        <v>46233</v>
      </c>
      <c r="M2721" s="17">
        <f>MAX(1,NETWORKDAYS(A2721,L2721,Table2[Dias no laborales]))</f>
        <v>1</v>
      </c>
    </row>
    <row r="2722" spans="1:13" hidden="1" x14ac:dyDescent="0.3">
      <c r="A2722" s="8">
        <v>46233</v>
      </c>
      <c r="B2722" s="16" t="s">
        <v>5270</v>
      </c>
      <c r="C2722" s="6" t="s">
        <v>5994</v>
      </c>
      <c r="D2722" s="6" t="s">
        <v>449</v>
      </c>
      <c r="E2722" s="14">
        <v>46232.71875</v>
      </c>
      <c r="F2722" s="25">
        <f>IF(HOUR(Table1[[#This Row],[CORREO]])&gt;=11,WORKDAY(Table1[[#This Row],[CORREO]],1,Table2[Dias no laborales]),E2722)</f>
        <v>46233</v>
      </c>
      <c r="G2722" s="8">
        <v>46234</v>
      </c>
      <c r="H2722" s="6">
        <f t="shared" si="151"/>
        <v>31</v>
      </c>
      <c r="I2722" s="6">
        <f>MAX(1, NETWORKDAYS(A2722, G2722,Table2[Dias no laborales]))</f>
        <v>2</v>
      </c>
      <c r="J2722" s="6" t="str">
        <f>IF(Table1[[#This Row],[FIN]]="","Acumulado",IF(ISNUMBER(SEARCH("ASAP",C2722)),"ASAP",IF(NETWORKDAYS.INTL(F2722,G2722,1,Table2[Dias no laborales]) &lt;= 7, "Dentro", IF(A2722&gt;F2722,"Programado","Fuera"))))</f>
        <v>Dentro</v>
      </c>
      <c r="K2722" s="6" t="str">
        <f t="shared" si="152"/>
        <v>A tiempo</v>
      </c>
      <c r="L2722" s="8">
        <v>46233</v>
      </c>
      <c r="M2722" s="17">
        <f>MAX(1,NETWORKDAYS(A2722,L2722,Table2[Dias no laborales]))</f>
        <v>1</v>
      </c>
    </row>
    <row r="2723" spans="1:13" hidden="1" x14ac:dyDescent="0.3">
      <c r="A2723" s="8">
        <v>46233</v>
      </c>
      <c r="B2723" s="16" t="s">
        <v>5271</v>
      </c>
      <c r="C2723" s="6" t="s">
        <v>5995</v>
      </c>
      <c r="D2723" s="6" t="s">
        <v>5886</v>
      </c>
      <c r="E2723" s="14">
        <v>46232.648611111108</v>
      </c>
      <c r="F2723" s="25">
        <f>IF(HOUR(Table1[[#This Row],[CORREO]])&gt;=11,WORKDAY(Table1[[#This Row],[CORREO]],1,Table2[Dias no laborales]),E2723)</f>
        <v>46233</v>
      </c>
      <c r="G2723" s="8">
        <v>46233</v>
      </c>
      <c r="H2723" s="6">
        <f t="shared" si="151"/>
        <v>31</v>
      </c>
      <c r="I2723" s="6">
        <f>MAX(1, NETWORKDAYS(A2723, G2723,Table2[Dias no laborales]))</f>
        <v>1</v>
      </c>
      <c r="J2723" s="6" t="str">
        <f>IF(Table1[[#This Row],[FIN]]="","Acumulado",IF(ISNUMBER(SEARCH("ASAP",C2723)),"ASAP",IF(NETWORKDAYS.INTL(F2723,G2723,1,Table2[Dias no laborales]) &lt;= 7, "Dentro", IF(A2723&gt;F2723,"Programado","Fuera"))))</f>
        <v>Dentro</v>
      </c>
      <c r="K2723" s="6" t="str">
        <f t="shared" si="152"/>
        <v>A tiempo</v>
      </c>
      <c r="L2723" s="8">
        <v>46233</v>
      </c>
      <c r="M2723" s="17">
        <f>MAX(1,NETWORKDAYS(A2723,L2723,Table2[Dias no laborales]))</f>
        <v>1</v>
      </c>
    </row>
    <row r="2724" spans="1:13" hidden="1" x14ac:dyDescent="0.3">
      <c r="A2724" s="8">
        <v>46233</v>
      </c>
      <c r="B2724" s="16" t="s">
        <v>5272</v>
      </c>
      <c r="C2724" s="6" t="s">
        <v>5996</v>
      </c>
      <c r="D2724" s="6" t="s">
        <v>3020</v>
      </c>
      <c r="E2724" s="14">
        <v>46232.856249999997</v>
      </c>
      <c r="F2724" s="25">
        <f>IF(HOUR(Table1[[#This Row],[CORREO]])&gt;=11,WORKDAY(Table1[[#This Row],[CORREO]],1,Table2[Dias no laborales]),E2724)</f>
        <v>46233</v>
      </c>
      <c r="G2724" s="8">
        <v>46234</v>
      </c>
      <c r="H2724" s="6">
        <f t="shared" si="151"/>
        <v>31</v>
      </c>
      <c r="I2724" s="6">
        <f>MAX(1, NETWORKDAYS(A2724, G2724,Table2[Dias no laborales]))</f>
        <v>2</v>
      </c>
      <c r="J2724" s="6" t="str">
        <f>IF(Table1[[#This Row],[FIN]]="","Acumulado",IF(ISNUMBER(SEARCH("ASAP",C2724)),"ASAP",IF(NETWORKDAYS.INTL(F2724,G2724,1,Table2[Dias no laborales]) &lt;= 7, "Dentro", IF(A2724&gt;F2724,"Programado","Fuera"))))</f>
        <v>Dentro</v>
      </c>
      <c r="K2724" s="6" t="str">
        <f t="shared" si="152"/>
        <v>A tiempo</v>
      </c>
      <c r="L2724" s="8">
        <v>46233</v>
      </c>
      <c r="M2724" s="17">
        <f>MAX(1,NETWORKDAYS(A2724,L2724,Table2[Dias no laborales]))</f>
        <v>1</v>
      </c>
    </row>
    <row r="2725" spans="1:13" hidden="1" x14ac:dyDescent="0.3">
      <c r="A2725" s="8">
        <v>46233</v>
      </c>
      <c r="B2725" s="16" t="s">
        <v>5273</v>
      </c>
      <c r="C2725" s="6" t="s">
        <v>5997</v>
      </c>
      <c r="D2725" s="6" t="s">
        <v>3020</v>
      </c>
      <c r="E2725" s="14">
        <v>46232.95416666667</v>
      </c>
      <c r="F2725" s="25">
        <f>IF(HOUR(Table1[[#This Row],[CORREO]])&gt;=11,WORKDAY(Table1[[#This Row],[CORREO]],1,Table2[Dias no laborales]),E2725)</f>
        <v>46233</v>
      </c>
      <c r="G2725" s="8">
        <v>46234</v>
      </c>
      <c r="H2725" s="6">
        <f t="shared" si="151"/>
        <v>31</v>
      </c>
      <c r="I2725" s="6">
        <f>MAX(1, NETWORKDAYS(A2725, G2725,Table2[Dias no laborales]))</f>
        <v>2</v>
      </c>
      <c r="J2725" s="6" t="str">
        <f>IF(Table1[[#This Row],[FIN]]="","Acumulado",IF(ISNUMBER(SEARCH("ASAP",C2725)),"ASAP",IF(NETWORKDAYS.INTL(F2725,G2725,1,Table2[Dias no laborales]) &lt;= 7, "Dentro", IF(A2725&gt;F2725,"Programado","Fuera"))))</f>
        <v>Dentro</v>
      </c>
      <c r="K2725" s="6" t="str">
        <f t="shared" si="152"/>
        <v>A tiempo</v>
      </c>
      <c r="L2725" s="8">
        <v>46233</v>
      </c>
      <c r="M2725" s="17">
        <f>MAX(1,NETWORKDAYS(A2725,L2725,Table2[Dias no laborales]))</f>
        <v>1</v>
      </c>
    </row>
    <row r="2726" spans="1:13" hidden="1" x14ac:dyDescent="0.3">
      <c r="A2726" s="8">
        <v>46233</v>
      </c>
      <c r="B2726" s="16" t="s">
        <v>5274</v>
      </c>
      <c r="C2726" s="6" t="s">
        <v>5998</v>
      </c>
      <c r="D2726" s="6" t="s">
        <v>24</v>
      </c>
      <c r="E2726" s="14">
        <v>49886.32708333333</v>
      </c>
      <c r="F2726" s="25">
        <f>IF(HOUR(Table1[[#This Row],[CORREO]])&gt;=11,WORKDAY(Table1[[#This Row],[CORREO]],1,Table2[Dias no laborales]),E2726)</f>
        <v>49886.32708333333</v>
      </c>
      <c r="G2726" s="8">
        <v>46255</v>
      </c>
      <c r="H2726" s="6">
        <f t="shared" si="151"/>
        <v>31</v>
      </c>
      <c r="I2726" s="6">
        <f>MAX(1, NETWORKDAYS(A2726, G2726,Table2[Dias no laborales]))</f>
        <v>17</v>
      </c>
      <c r="J2726" s="6" t="str">
        <f>IF(Table1[[#This Row],[FIN]]="","Acumulado",IF(ISNUMBER(SEARCH("ASAP",C2726)),"ASAP",IF(NETWORKDAYS.INTL(F2726,G2726,1,Table2[Dias no laborales]) &lt;= 7, "Dentro", IF(A2726&gt;F2726,"Programado","Fuera"))))</f>
        <v>Dentro</v>
      </c>
      <c r="K2726" s="6" t="str">
        <f t="shared" si="152"/>
        <v>Mismo día</v>
      </c>
      <c r="L2726" s="8">
        <v>46233</v>
      </c>
      <c r="M2726" s="17">
        <f>MAX(1,NETWORKDAYS(A2726,L2726,Table2[Dias no laborales]))</f>
        <v>1</v>
      </c>
    </row>
    <row r="2727" spans="1:13" hidden="1" x14ac:dyDescent="0.3">
      <c r="A2727" s="8">
        <v>46233</v>
      </c>
      <c r="B2727" s="16" t="s">
        <v>5275</v>
      </c>
      <c r="C2727" s="6" t="s">
        <v>4988</v>
      </c>
      <c r="D2727" s="6" t="s">
        <v>392</v>
      </c>
      <c r="E2727" s="14">
        <v>46233.335416666669</v>
      </c>
      <c r="F2727" s="25">
        <f>IF(HOUR(Table1[[#This Row],[CORREO]])&gt;=11,WORKDAY(Table1[[#This Row],[CORREO]],1,Table2[Dias no laborales]),E2727)</f>
        <v>46233.335416666669</v>
      </c>
      <c r="G2727" s="8">
        <v>46233</v>
      </c>
      <c r="H2727" s="6">
        <f t="shared" si="151"/>
        <v>31</v>
      </c>
      <c r="I2727" s="6">
        <f>MAX(1, NETWORKDAYS(A2727, G2727,Table2[Dias no laborales]))</f>
        <v>1</v>
      </c>
      <c r="J2727" s="6" t="str">
        <f>IF(Table1[[#This Row],[FIN]]="","Acumulado",IF(ISNUMBER(SEARCH("ASAP",C2727)),"ASAP",IF(NETWORKDAYS.INTL(F2727,G2727,1,Table2[Dias no laborales]) &lt;= 7, "Dentro", IF(A2727&gt;F2727,"Programado","Fuera"))))</f>
        <v>Dentro</v>
      </c>
      <c r="K2727" s="6" t="str">
        <f t="shared" si="152"/>
        <v>A tiempo</v>
      </c>
      <c r="L2727" s="8">
        <v>46233</v>
      </c>
      <c r="M2727" s="17">
        <f>MAX(1,NETWORKDAYS(A2727,L2727,Table2[Dias no laborales]))</f>
        <v>1</v>
      </c>
    </row>
    <row r="2728" spans="1:13" hidden="1" x14ac:dyDescent="0.3">
      <c r="A2728" s="8">
        <v>46233</v>
      </c>
      <c r="B2728" s="16" t="s">
        <v>5276</v>
      </c>
      <c r="C2728" s="6" t="s">
        <v>4690</v>
      </c>
      <c r="D2728" s="6" t="s">
        <v>269</v>
      </c>
      <c r="E2728" s="14">
        <v>46233.338888888888</v>
      </c>
      <c r="F2728" s="25">
        <f>IF(HOUR(Table1[[#This Row],[CORREO]])&gt;=11,WORKDAY(Table1[[#This Row],[CORREO]],1,Table2[Dias no laborales]),E2728)</f>
        <v>46233.338888888888</v>
      </c>
      <c r="G2728" s="8">
        <v>46233</v>
      </c>
      <c r="H2728" s="6">
        <f t="shared" si="151"/>
        <v>31</v>
      </c>
      <c r="I2728" s="6">
        <f>MAX(1, NETWORKDAYS(A2728, G2728,Table2[Dias no laborales]))</f>
        <v>1</v>
      </c>
      <c r="J2728" s="6" t="str">
        <f>IF(Table1[[#This Row],[FIN]]="","Acumulado",IF(ISNUMBER(SEARCH("ASAP",C2728)),"ASAP",IF(NETWORKDAYS.INTL(F2728,G2728,1,Table2[Dias no laborales]) &lt;= 7, "Dentro", IF(A2728&gt;F2728,"Programado","Fuera"))))</f>
        <v>Dentro</v>
      </c>
      <c r="K2728" s="6" t="str">
        <f t="shared" si="152"/>
        <v>A tiempo</v>
      </c>
      <c r="L2728" s="8">
        <v>46233</v>
      </c>
      <c r="M2728" s="17">
        <f>MAX(1,NETWORKDAYS(A2728,L2728,Table2[Dias no laborales]))</f>
        <v>1</v>
      </c>
    </row>
    <row r="2729" spans="1:13" hidden="1" x14ac:dyDescent="0.3">
      <c r="A2729" s="8">
        <v>46233</v>
      </c>
      <c r="B2729" s="16" t="s">
        <v>5277</v>
      </c>
      <c r="C2729" s="6" t="s">
        <v>5999</v>
      </c>
      <c r="D2729" s="6" t="s">
        <v>2981</v>
      </c>
      <c r="E2729" s="14">
        <v>46233.863888888889</v>
      </c>
      <c r="F2729" s="25">
        <f>IF(HOUR(Table1[[#This Row],[CORREO]])&gt;=11,WORKDAY(Table1[[#This Row],[CORREO]],1,Table2[Dias no laborales]),E2729)</f>
        <v>46234</v>
      </c>
      <c r="G2729" s="8">
        <v>46239</v>
      </c>
      <c r="H2729" s="6">
        <f t="shared" si="151"/>
        <v>31</v>
      </c>
      <c r="I2729" s="6">
        <f>MAX(1, NETWORKDAYS(A2729, G2729,Table2[Dias no laborales]))</f>
        <v>5</v>
      </c>
      <c r="J2729" s="6" t="str">
        <f>IF(Table1[[#This Row],[FIN]]="","Acumulado",IF(ISNUMBER(SEARCH("ASAP",C2729)),"ASAP",IF(NETWORKDAYS.INTL(F2729,G2729,1,Table2[Dias no laborales]) &lt;= 7, "Dentro", IF(A2729&gt;F2729,"Programado","Fuera"))))</f>
        <v>Dentro</v>
      </c>
      <c r="K2729" s="6" t="str">
        <f t="shared" si="152"/>
        <v>Mismo día</v>
      </c>
      <c r="L2729" s="8">
        <v>46234</v>
      </c>
      <c r="M2729" s="17">
        <f>MAX(1,NETWORKDAYS(A2729,L2729,Table2[Dias no laborales]))</f>
        <v>2</v>
      </c>
    </row>
    <row r="2730" spans="1:13" hidden="1" x14ac:dyDescent="0.3">
      <c r="A2730" s="8">
        <v>46233</v>
      </c>
      <c r="B2730" s="16" t="s">
        <v>5278</v>
      </c>
      <c r="C2730" s="6" t="s">
        <v>6000</v>
      </c>
      <c r="D2730" s="6" t="s">
        <v>1735</v>
      </c>
      <c r="E2730" s="14">
        <v>46233.364583333336</v>
      </c>
      <c r="F2730" s="25">
        <f>IF(HOUR(Table1[[#This Row],[CORREO]])&gt;=11,WORKDAY(Table1[[#This Row],[CORREO]],1,Table2[Dias no laborales]),E2730)</f>
        <v>46233.364583333336</v>
      </c>
      <c r="G2730" s="8">
        <v>46233</v>
      </c>
      <c r="H2730" s="6">
        <f t="shared" si="151"/>
        <v>31</v>
      </c>
      <c r="I2730" s="6">
        <f>MAX(1, NETWORKDAYS(A2730, G2730,Table2[Dias no laborales]))</f>
        <v>1</v>
      </c>
      <c r="J2730" s="6" t="str">
        <f>IF(Table1[[#This Row],[FIN]]="","Acumulado",IF(ISNUMBER(SEARCH("ASAP",C2730)),"ASAP",IF(NETWORKDAYS.INTL(F2730,G2730,1,Table2[Dias no laborales]) &lt;= 7, "Dentro", IF(A2730&gt;F2730,"Programado","Fuera"))))</f>
        <v>Dentro</v>
      </c>
      <c r="K2730" s="6" t="str">
        <f t="shared" si="152"/>
        <v>A tiempo</v>
      </c>
      <c r="L2730" s="8">
        <v>46233</v>
      </c>
      <c r="M2730" s="17">
        <f>MAX(1,NETWORKDAYS(A2730,L2730,Table2[Dias no laborales]))</f>
        <v>1</v>
      </c>
    </row>
    <row r="2731" spans="1:13" hidden="1" x14ac:dyDescent="0.3">
      <c r="A2731" s="8">
        <v>46233</v>
      </c>
      <c r="B2731" s="16" t="s">
        <v>5279</v>
      </c>
      <c r="C2731" s="6" t="s">
        <v>6001</v>
      </c>
      <c r="D2731" s="6" t="s">
        <v>6002</v>
      </c>
      <c r="E2731" s="14">
        <v>49886.367361111108</v>
      </c>
      <c r="F2731" s="25">
        <f>IF(HOUR(Table1[[#This Row],[CORREO]])&gt;=11,WORKDAY(Table1[[#This Row],[CORREO]],1,Table2[Dias no laborales]),E2731)</f>
        <v>49886.367361111108</v>
      </c>
      <c r="G2731" s="8">
        <v>46233</v>
      </c>
      <c r="H2731" s="6">
        <f t="shared" si="151"/>
        <v>31</v>
      </c>
      <c r="I2731" s="6">
        <f>MAX(1, NETWORKDAYS(A2731, G2731,Table2[Dias no laborales]))</f>
        <v>1</v>
      </c>
      <c r="J2731" s="6" t="str">
        <f>IF(Table1[[#This Row],[FIN]]="","Acumulado",IF(ISNUMBER(SEARCH("ASAP",C2731)),"ASAP",IF(NETWORKDAYS.INTL(F2731,G2731,1,Table2[Dias no laborales]) &lt;= 7, "Dentro", IF(A2731&gt;F2731,"Programado","Fuera"))))</f>
        <v>Dentro</v>
      </c>
      <c r="K2731" s="6" t="str">
        <f t="shared" si="152"/>
        <v>Mismo día</v>
      </c>
      <c r="L2731" s="8">
        <v>46233</v>
      </c>
      <c r="M2731" s="17">
        <f>MAX(1,NETWORKDAYS(A2731,L2731,Table2[Dias no laborales]))</f>
        <v>1</v>
      </c>
    </row>
    <row r="2732" spans="1:13" hidden="1" x14ac:dyDescent="0.3">
      <c r="A2732" s="8">
        <v>46233</v>
      </c>
      <c r="B2732" s="16" t="s">
        <v>5280</v>
      </c>
      <c r="C2732" s="6" t="s">
        <v>6003</v>
      </c>
      <c r="D2732" s="6" t="s">
        <v>6004</v>
      </c>
      <c r="E2732" s="14">
        <v>46233.38958333333</v>
      </c>
      <c r="F2732" s="25">
        <f>IF(HOUR(Table1[[#This Row],[CORREO]])&gt;=11,WORKDAY(Table1[[#This Row],[CORREO]],1,Table2[Dias no laborales]),E2732)</f>
        <v>46233.38958333333</v>
      </c>
      <c r="G2732" s="8">
        <v>46238</v>
      </c>
      <c r="H2732" s="6">
        <f t="shared" si="151"/>
        <v>31</v>
      </c>
      <c r="I2732" s="6">
        <f>MAX(1, NETWORKDAYS(A2732, G2732,Table2[Dias no laborales]))</f>
        <v>4</v>
      </c>
      <c r="J2732" s="6" t="str">
        <f>IF(Table1[[#This Row],[FIN]]="","Acumulado",IF(ISNUMBER(SEARCH("ASAP",C2732)),"ASAP",IF(NETWORKDAYS.INTL(F2732,G2732,1,Table2[Dias no laborales]) &lt;= 7, "Dentro", IF(A2732&gt;F2732,"Programado","Fuera"))))</f>
        <v>Dentro</v>
      </c>
      <c r="K2732" s="6" t="str">
        <f t="shared" si="152"/>
        <v>A tiempo</v>
      </c>
      <c r="L2732" s="8">
        <v>46233</v>
      </c>
      <c r="M2732" s="17">
        <f>MAX(1,NETWORKDAYS(A2732,L2732,Table2[Dias no laborales]))</f>
        <v>1</v>
      </c>
    </row>
    <row r="2733" spans="1:13" hidden="1" x14ac:dyDescent="0.3">
      <c r="A2733" s="8">
        <v>46233</v>
      </c>
      <c r="B2733" s="16" t="s">
        <v>5281</v>
      </c>
      <c r="C2733" s="6" t="s">
        <v>6005</v>
      </c>
      <c r="D2733" s="6" t="s">
        <v>162</v>
      </c>
      <c r="E2733" s="14">
        <v>46233.45416666667</v>
      </c>
      <c r="F2733" s="25">
        <f>IF(HOUR(Table1[[#This Row],[CORREO]])&gt;=11,WORKDAY(Table1[[#This Row],[CORREO]],1,Table2[Dias no laborales]),E2733)</f>
        <v>46233.45416666667</v>
      </c>
      <c r="G2733" s="8">
        <v>46234</v>
      </c>
      <c r="H2733" s="6">
        <f t="shared" si="151"/>
        <v>31</v>
      </c>
      <c r="I2733" s="6">
        <f>MAX(1, NETWORKDAYS(A2733, G2733,Table2[Dias no laborales]))</f>
        <v>2</v>
      </c>
      <c r="J2733" s="6" t="str">
        <f>IF(Table1[[#This Row],[FIN]]="","Acumulado",IF(ISNUMBER(SEARCH("ASAP",C2733)),"ASAP",IF(NETWORKDAYS.INTL(F2733,G2733,1,Table2[Dias no laborales]) &lt;= 7, "Dentro", IF(A2733&gt;F2733,"Programado","Fuera"))))</f>
        <v>Dentro</v>
      </c>
      <c r="K2733" s="6" t="str">
        <f t="shared" si="152"/>
        <v>A tiempo</v>
      </c>
      <c r="L2733" s="8">
        <v>46233</v>
      </c>
      <c r="M2733" s="17">
        <f>MAX(1,NETWORKDAYS(A2733,L2733,Table2[Dias no laborales]))</f>
        <v>1</v>
      </c>
    </row>
    <row r="2734" spans="1:13" hidden="1" x14ac:dyDescent="0.3">
      <c r="A2734" s="8">
        <v>46233</v>
      </c>
      <c r="B2734" s="16" t="s">
        <v>5282</v>
      </c>
      <c r="C2734" s="6" t="s">
        <v>6006</v>
      </c>
      <c r="D2734" s="6" t="s">
        <v>1333</v>
      </c>
      <c r="E2734" s="14">
        <v>46233.511111111111</v>
      </c>
      <c r="F2734" s="25">
        <f>IF(HOUR(Table1[[#This Row],[CORREO]])&gt;=11,WORKDAY(Table1[[#This Row],[CORREO]],1,Table2[Dias no laborales]),E2734)</f>
        <v>46234</v>
      </c>
      <c r="G2734" s="8">
        <v>46234</v>
      </c>
      <c r="H2734" s="6">
        <f t="shared" si="151"/>
        <v>31</v>
      </c>
      <c r="I2734" s="6">
        <f>MAX(1, NETWORKDAYS(A2734, G2734,Table2[Dias no laborales]))</f>
        <v>2</v>
      </c>
      <c r="J2734" s="6" t="str">
        <f>IF(Table1[[#This Row],[FIN]]="","Acumulado",IF(ISNUMBER(SEARCH("ASAP",C2734)),"ASAP",IF(NETWORKDAYS.INTL(F2734,G2734,1,Table2[Dias no laborales]) &lt;= 7, "Dentro", IF(A2734&gt;F2734,"Programado","Fuera"))))</f>
        <v>Dentro</v>
      </c>
      <c r="K2734" s="6" t="str">
        <f t="shared" si="152"/>
        <v>Mismo día</v>
      </c>
      <c r="L2734" s="8">
        <v>46233</v>
      </c>
      <c r="M2734" s="17">
        <f>MAX(1,NETWORKDAYS(A2734,L2734,Table2[Dias no laborales]))</f>
        <v>1</v>
      </c>
    </row>
    <row r="2735" spans="1:13" hidden="1" x14ac:dyDescent="0.3">
      <c r="A2735" s="8">
        <v>46233</v>
      </c>
      <c r="B2735" s="16" t="s">
        <v>5283</v>
      </c>
      <c r="C2735" s="6" t="s">
        <v>3008</v>
      </c>
      <c r="D2735" s="6" t="s">
        <v>6007</v>
      </c>
      <c r="E2735" s="14">
        <v>46233.550694444442</v>
      </c>
      <c r="F2735" s="25">
        <f>IF(HOUR(Table1[[#This Row],[CORREO]])&gt;=11,WORKDAY(Table1[[#This Row],[CORREO]],1,Table2[Dias no laborales]),E2735)</f>
        <v>46234</v>
      </c>
      <c r="G2735" s="8">
        <v>46239</v>
      </c>
      <c r="H2735" s="6">
        <f t="shared" si="151"/>
        <v>31</v>
      </c>
      <c r="I2735" s="6">
        <f>MAX(1, NETWORKDAYS(A2735, G2735,Table2[Dias no laborales]))</f>
        <v>5</v>
      </c>
      <c r="J2735" s="6" t="str">
        <f>IF(Table1[[#This Row],[FIN]]="","Acumulado",IF(ISNUMBER(SEARCH("ASAP",C2735)),"ASAP",IF(NETWORKDAYS.INTL(F2735,G2735,1,Table2[Dias no laborales]) &lt;= 7, "Dentro", IF(A2735&gt;F2735,"Programado","Fuera"))))</f>
        <v>Dentro</v>
      </c>
      <c r="K2735" s="6" t="str">
        <f t="shared" si="152"/>
        <v>Mismo día</v>
      </c>
      <c r="L2735" s="8">
        <v>46233</v>
      </c>
      <c r="M2735" s="17">
        <f>MAX(1,NETWORKDAYS(A2735,L2735,Table2[Dias no laborales]))</f>
        <v>1</v>
      </c>
    </row>
    <row r="2736" spans="1:13" hidden="1" x14ac:dyDescent="0.3">
      <c r="A2736" s="8">
        <v>46233</v>
      </c>
      <c r="B2736" s="16" t="s">
        <v>5284</v>
      </c>
      <c r="C2736" s="6" t="s">
        <v>3008</v>
      </c>
      <c r="D2736" s="6" t="s">
        <v>6008</v>
      </c>
      <c r="E2736" s="14">
        <v>46233</v>
      </c>
      <c r="F2736" s="25">
        <f>IF(HOUR(Table1[[#This Row],[CORREO]])&gt;=11,WORKDAY(Table1[[#This Row],[CORREO]],1,Table2[Dias no laborales]),E2736)</f>
        <v>46233</v>
      </c>
      <c r="G2736" s="8">
        <v>46239</v>
      </c>
      <c r="H2736" s="6">
        <f t="shared" si="151"/>
        <v>31</v>
      </c>
      <c r="I2736" s="6">
        <f>MAX(1, NETWORKDAYS(A2736, G2736,Table2[Dias no laborales]))</f>
        <v>5</v>
      </c>
      <c r="J2736" s="6" t="str">
        <f>IF(Table1[[#This Row],[FIN]]="","Acumulado",IF(ISNUMBER(SEARCH("ASAP",C2736)),"ASAP",IF(NETWORKDAYS.INTL(F2736,G2736,1,Table2[Dias no laborales]) &lt;= 7, "Dentro", IF(A2736&gt;F2736,"Programado","Fuera"))))</f>
        <v>Dentro</v>
      </c>
      <c r="K2736" s="6" t="str">
        <f t="shared" si="152"/>
        <v>A tiempo</v>
      </c>
      <c r="L2736" s="8">
        <v>46233</v>
      </c>
      <c r="M2736" s="17">
        <f>MAX(1,NETWORKDAYS(A2736,L2736,Table2[Dias no laborales]))</f>
        <v>1</v>
      </c>
    </row>
    <row r="2737" spans="1:13" hidden="1" x14ac:dyDescent="0.3">
      <c r="A2737" s="8">
        <v>46234</v>
      </c>
      <c r="B2737" s="16" t="s">
        <v>5285</v>
      </c>
      <c r="C2737" s="6" t="s">
        <v>6009</v>
      </c>
      <c r="D2737" s="6" t="s">
        <v>3020</v>
      </c>
      <c r="E2737" s="14">
        <v>46233.589583333334</v>
      </c>
      <c r="F2737" s="25">
        <f>IF(HOUR(Table1[[#This Row],[CORREO]])&gt;=11,WORKDAY(Table1[[#This Row],[CORREO]],1,Table2[Dias no laborales]),E2737)</f>
        <v>46234</v>
      </c>
      <c r="G2737" s="8">
        <v>46246</v>
      </c>
      <c r="H2737" s="6">
        <f t="shared" si="151"/>
        <v>31</v>
      </c>
      <c r="I2737" s="6">
        <f>MAX(1, NETWORKDAYS(A2737, G2737,Table2[Dias no laborales]))</f>
        <v>9</v>
      </c>
      <c r="J2737" s="6" t="str">
        <f>IF(Table1[[#This Row],[FIN]]="","Acumulado",IF(ISNUMBER(SEARCH("ASAP",C2737)),"ASAP",IF(NETWORKDAYS.INTL(F2737,G2737,1,Table2[Dias no laborales]) &lt;= 7, "Dentro", IF(A2737&gt;F2737,"Programado","Fuera"))))</f>
        <v>Fuera</v>
      </c>
      <c r="K2737" s="6" t="str">
        <f t="shared" si="152"/>
        <v>A tiempo</v>
      </c>
      <c r="L2737" s="8">
        <v>46234</v>
      </c>
      <c r="M2737" s="17">
        <f>MAX(1,NETWORKDAYS(A2737,L2737,Table2[Dias no laborales]))</f>
        <v>1</v>
      </c>
    </row>
    <row r="2738" spans="1:13" hidden="1" x14ac:dyDescent="0.3">
      <c r="A2738" s="8">
        <v>46234</v>
      </c>
      <c r="B2738" s="16" t="s">
        <v>5286</v>
      </c>
      <c r="C2738" s="6" t="s">
        <v>919</v>
      </c>
      <c r="D2738" s="6" t="s">
        <v>6004</v>
      </c>
      <c r="E2738" s="14">
        <v>46233.642361111109</v>
      </c>
      <c r="F2738" s="25">
        <f>IF(HOUR(Table1[[#This Row],[CORREO]])&gt;=11,WORKDAY(Table1[[#This Row],[CORREO]],1,Table2[Dias no laborales]),E2738)</f>
        <v>46234</v>
      </c>
      <c r="G2738" s="8">
        <v>46238</v>
      </c>
      <c r="H2738" s="6">
        <f t="shared" si="151"/>
        <v>31</v>
      </c>
      <c r="I2738" s="6">
        <f>MAX(1, NETWORKDAYS(A2738, G2738,Table2[Dias no laborales]))</f>
        <v>3</v>
      </c>
      <c r="J2738" s="6" t="str">
        <f>IF(Table1[[#This Row],[FIN]]="","Acumulado",IF(ISNUMBER(SEARCH("ASAP",C2738)),"ASAP",IF(NETWORKDAYS.INTL(F2738,G2738,1,Table2[Dias no laborales]) &lt;= 7, "Dentro", IF(A2738&gt;F2738,"Programado","Fuera"))))</f>
        <v>Dentro</v>
      </c>
      <c r="K2738" s="6" t="str">
        <f t="shared" si="152"/>
        <v>A tiempo</v>
      </c>
      <c r="L2738" s="8">
        <v>46234</v>
      </c>
      <c r="M2738" s="17">
        <f>MAX(1,NETWORKDAYS(A2738,L2738,Table2[Dias no laborales]))</f>
        <v>1</v>
      </c>
    </row>
    <row r="2739" spans="1:13" hidden="1" x14ac:dyDescent="0.3">
      <c r="A2739" s="8">
        <v>46234</v>
      </c>
      <c r="B2739" s="16" t="s">
        <v>5287</v>
      </c>
      <c r="C2739" s="6" t="s">
        <v>6010</v>
      </c>
      <c r="D2739" s="6" t="s">
        <v>3941</v>
      </c>
      <c r="E2739" s="14">
        <v>46233.861805555556</v>
      </c>
      <c r="F2739" s="25">
        <f>IF(HOUR(Table1[[#This Row],[CORREO]])&gt;=11,WORKDAY(Table1[[#This Row],[CORREO]],1,Table2[Dias no laborales]),E2739)</f>
        <v>46234</v>
      </c>
      <c r="G2739" s="8">
        <v>46238</v>
      </c>
      <c r="H2739" s="6">
        <f t="shared" si="151"/>
        <v>31</v>
      </c>
      <c r="I2739" s="6">
        <f>MAX(1, NETWORKDAYS(A2739, G2739,Table2[Dias no laborales]))</f>
        <v>3</v>
      </c>
      <c r="J2739" s="6" t="str">
        <f>IF(Table1[[#This Row],[FIN]]="","Acumulado",IF(ISNUMBER(SEARCH("ASAP",C2739)),"ASAP",IF(NETWORKDAYS.INTL(F2739,G2739,1,Table2[Dias no laborales]) &lt;= 7, "Dentro", IF(A2739&gt;F2739,"Programado","Fuera"))))</f>
        <v>Dentro</v>
      </c>
      <c r="K2739" s="6" t="str">
        <f t="shared" si="152"/>
        <v>A tiempo</v>
      </c>
      <c r="L2739" s="8">
        <v>46234</v>
      </c>
      <c r="M2739" s="17">
        <f>MAX(1,NETWORKDAYS(A2739,L2739,Table2[Dias no laborales]))</f>
        <v>1</v>
      </c>
    </row>
    <row r="2740" spans="1:13" hidden="1" x14ac:dyDescent="0.3">
      <c r="A2740" s="8">
        <v>46234</v>
      </c>
      <c r="B2740" s="16" t="s">
        <v>5288</v>
      </c>
      <c r="C2740" s="6" t="s">
        <v>4988</v>
      </c>
      <c r="D2740" s="6" t="s">
        <v>392</v>
      </c>
      <c r="E2740" s="14">
        <v>46234.351388888892</v>
      </c>
      <c r="F2740" s="25">
        <f>IF(HOUR(Table1[[#This Row],[CORREO]])&gt;=11,WORKDAY(Table1[[#This Row],[CORREO]],1,Table2[Dias no laborales]),E2740)</f>
        <v>46234.351388888892</v>
      </c>
      <c r="G2740" s="8">
        <v>46234</v>
      </c>
      <c r="H2740" s="6">
        <f t="shared" si="151"/>
        <v>31</v>
      </c>
      <c r="I2740" s="6">
        <f>MAX(1, NETWORKDAYS(A2740, G2740,Table2[Dias no laborales]))</f>
        <v>1</v>
      </c>
      <c r="J2740" s="6" t="str">
        <f>IF(Table1[[#This Row],[FIN]]="","Acumulado",IF(ISNUMBER(SEARCH("ASAP",C2740)),"ASAP",IF(NETWORKDAYS.INTL(F2740,G2740,1,Table2[Dias no laborales]) &lt;= 7, "Dentro", IF(A2740&gt;F2740,"Programado","Fuera"))))</f>
        <v>Dentro</v>
      </c>
      <c r="K2740" s="6" t="str">
        <f t="shared" si="152"/>
        <v>A tiempo</v>
      </c>
      <c r="L2740" s="8">
        <v>46234</v>
      </c>
      <c r="M2740" s="17">
        <f>MAX(1,NETWORKDAYS(A2740,L2740,Table2[Dias no laborales]))</f>
        <v>1</v>
      </c>
    </row>
    <row r="2741" spans="1:13" hidden="1" x14ac:dyDescent="0.3">
      <c r="A2741" s="8">
        <v>46234</v>
      </c>
      <c r="B2741" s="16" t="s">
        <v>5289</v>
      </c>
      <c r="C2741" s="6" t="s">
        <v>6011</v>
      </c>
      <c r="D2741" s="6" t="s">
        <v>1333</v>
      </c>
      <c r="E2741" s="14"/>
      <c r="F2741" s="25">
        <f>IF(HOUR(Table1[[#This Row],[CORREO]])&gt;=11,WORKDAY(Table1[[#This Row],[CORREO]],1,Table2[Dias no laborales]),E2741)</f>
        <v>0</v>
      </c>
      <c r="G2741" s="8">
        <v>46234</v>
      </c>
      <c r="H2741" s="6">
        <f t="shared" si="151"/>
        <v>31</v>
      </c>
      <c r="I2741" s="6">
        <f>MAX(1, NETWORKDAYS(A2741, G2741,Table2[Dias no laborales]))</f>
        <v>1</v>
      </c>
      <c r="J2741" s="6" t="str">
        <f>IF(Table1[[#This Row],[FIN]]="","Acumulado",IF(ISNUMBER(SEARCH("ASAP",C2741)),"ASAP",IF(NETWORKDAYS.INTL(F2741,G2741,1,Table2[Dias no laborales]) &lt;= 7, "Dentro", IF(A2741&gt;F2741,"Programado","Fuera"))))</f>
        <v>Programado</v>
      </c>
      <c r="K2741" s="6" t="str">
        <f t="shared" si="152"/>
        <v>Programados</v>
      </c>
      <c r="L2741" s="8">
        <v>46234</v>
      </c>
      <c r="M2741" s="17">
        <f>MAX(1,NETWORKDAYS(A2741,L2741,Table2[Dias no laborales]))</f>
        <v>1</v>
      </c>
    </row>
    <row r="2742" spans="1:13" hidden="1" x14ac:dyDescent="0.3">
      <c r="A2742" s="8">
        <v>46237</v>
      </c>
      <c r="B2742" s="16" t="s">
        <v>5290</v>
      </c>
      <c r="C2742" s="6" t="s">
        <v>6012</v>
      </c>
      <c r="D2742" s="6" t="s">
        <v>24</v>
      </c>
      <c r="E2742" s="14"/>
      <c r="F2742" s="25">
        <f>IF(HOUR(Table1[[#This Row],[CORREO]])&gt;=11,WORKDAY(Table1[[#This Row],[CORREO]],1,Table2[Dias no laborales]),E2742)</f>
        <v>0</v>
      </c>
      <c r="G2742" s="8">
        <v>46241</v>
      </c>
      <c r="H2742" s="6">
        <f t="shared" si="151"/>
        <v>31</v>
      </c>
      <c r="I2742" s="6">
        <f>MAX(1, NETWORKDAYS(A2742, G2742,Table2[Dias no laborales]))</f>
        <v>5</v>
      </c>
      <c r="J2742" s="6" t="str">
        <f>IF(Table1[[#This Row],[FIN]]="","Acumulado",IF(ISNUMBER(SEARCH("ASAP",C2742)),"ASAP",IF(NETWORKDAYS.INTL(F2742,G2742,1,Table2[Dias no laborales]) &lt;= 7, "Dentro", IF(A2742&gt;F2742,"Programado","Fuera"))))</f>
        <v>Programado</v>
      </c>
      <c r="K2742" s="6" t="str">
        <f t="shared" si="152"/>
        <v>Programados</v>
      </c>
      <c r="L2742" s="8">
        <v>46237</v>
      </c>
      <c r="M2742" s="17">
        <f>MAX(1,NETWORKDAYS(A2742,L2742,Table2[Dias no laborales]))</f>
        <v>1</v>
      </c>
    </row>
    <row r="2743" spans="1:13" hidden="1" x14ac:dyDescent="0.3">
      <c r="A2743" s="8">
        <v>46237</v>
      </c>
      <c r="B2743" s="16" t="s">
        <v>5291</v>
      </c>
      <c r="C2743" s="6" t="s">
        <v>6013</v>
      </c>
      <c r="D2743" s="6" t="s">
        <v>538</v>
      </c>
      <c r="E2743" s="14">
        <v>46234.619444444441</v>
      </c>
      <c r="F2743" s="25">
        <f>IF(HOUR(Table1[[#This Row],[CORREO]])&gt;=11,WORKDAY(Table1[[#This Row],[CORREO]],1,Table2[Dias no laborales]),E2743)</f>
        <v>46237</v>
      </c>
      <c r="G2743" s="8">
        <v>46239</v>
      </c>
      <c r="H2743" s="6">
        <f t="shared" si="151"/>
        <v>31</v>
      </c>
      <c r="I2743" s="6">
        <f>MAX(1, NETWORKDAYS(A2743, G2743,Table2[Dias no laborales]))</f>
        <v>3</v>
      </c>
      <c r="J2743" s="6" t="str">
        <f>IF(Table1[[#This Row],[FIN]]="","Acumulado",IF(ISNUMBER(SEARCH("ASAP",C2743)),"ASAP",IF(NETWORKDAYS.INTL(F2743,G2743,1,Table2[Dias no laborales]) &lt;= 7, "Dentro", IF(A2743&gt;F2743,"Programado","Fuera"))))</f>
        <v>Dentro</v>
      </c>
      <c r="K2743" s="6" t="str">
        <f t="shared" si="152"/>
        <v>A tiempo</v>
      </c>
      <c r="L2743" s="8">
        <v>46237</v>
      </c>
      <c r="M2743" s="17">
        <f>MAX(1,NETWORKDAYS(A2743,L2743,Table2[Dias no laborales]))</f>
        <v>1</v>
      </c>
    </row>
    <row r="2744" spans="1:13" hidden="1" x14ac:dyDescent="0.3">
      <c r="A2744" s="8">
        <v>46237</v>
      </c>
      <c r="B2744" s="16" t="s">
        <v>5292</v>
      </c>
      <c r="C2744" s="6" t="s">
        <v>6014</v>
      </c>
      <c r="D2744" s="6" t="s">
        <v>351</v>
      </c>
      <c r="E2744" s="14">
        <v>46234.623611111114</v>
      </c>
      <c r="F2744" s="25">
        <f>IF(HOUR(Table1[[#This Row],[CORREO]])&gt;=11,WORKDAY(Table1[[#This Row],[CORREO]],1,Table2[Dias no laborales]),E2744)</f>
        <v>46237</v>
      </c>
      <c r="G2744" s="8">
        <v>46240</v>
      </c>
      <c r="H2744" s="6">
        <f t="shared" si="151"/>
        <v>31</v>
      </c>
      <c r="I2744" s="6">
        <f>MAX(1, NETWORKDAYS(A2744, G2744,Table2[Dias no laborales]))</f>
        <v>4</v>
      </c>
      <c r="J2744" s="6" t="str">
        <f>IF(Table1[[#This Row],[FIN]]="","Acumulado",IF(ISNUMBER(SEARCH("ASAP",C2744)),"ASAP",IF(NETWORKDAYS.INTL(F2744,G2744,1,Table2[Dias no laborales]) &lt;= 7, "Dentro", IF(A2744&gt;F2744,"Programado","Fuera"))))</f>
        <v>Dentro</v>
      </c>
      <c r="K2744" s="6" t="str">
        <f t="shared" si="152"/>
        <v>A tiempo</v>
      </c>
      <c r="L2744" s="8">
        <v>46237</v>
      </c>
      <c r="M2744" s="17">
        <f>MAX(1,NETWORKDAYS(A2744,L2744,Table2[Dias no laborales]))</f>
        <v>1</v>
      </c>
    </row>
    <row r="2745" spans="1:13" hidden="1" x14ac:dyDescent="0.3">
      <c r="A2745" s="8">
        <v>46237</v>
      </c>
      <c r="B2745" s="16" t="s">
        <v>5293</v>
      </c>
      <c r="C2745" s="6" t="s">
        <v>6015</v>
      </c>
      <c r="D2745" s="6" t="s">
        <v>916</v>
      </c>
      <c r="E2745" s="14">
        <v>46234.78125</v>
      </c>
      <c r="F2745" s="25">
        <f>IF(HOUR(Table1[[#This Row],[CORREO]])&gt;=11,WORKDAY(Table1[[#This Row],[CORREO]],1,Table2[Dias no laborales]),E2745)</f>
        <v>46237</v>
      </c>
      <c r="G2745" s="8">
        <v>46237</v>
      </c>
      <c r="H2745" s="6">
        <f t="shared" si="151"/>
        <v>31</v>
      </c>
      <c r="I2745" s="6">
        <f>MAX(1, NETWORKDAYS(A2745, G2745,Table2[Dias no laborales]))</f>
        <v>1</v>
      </c>
      <c r="J2745" s="6" t="str">
        <f>IF(Table1[[#This Row],[FIN]]="","Acumulado",IF(ISNUMBER(SEARCH("ASAP",C2745)),"ASAP",IF(NETWORKDAYS.INTL(F2745,G2745,1,Table2[Dias no laborales]) &lt;= 7, "Dentro", IF(A2745&gt;F2745,"Programado","Fuera"))))</f>
        <v>Dentro</v>
      </c>
      <c r="K2745" s="6" t="str">
        <f t="shared" si="152"/>
        <v>A tiempo</v>
      </c>
      <c r="L2745" s="8">
        <v>46237</v>
      </c>
      <c r="M2745" s="17">
        <f>MAX(1,NETWORKDAYS(A2745,L2745,Table2[Dias no laborales]))</f>
        <v>1</v>
      </c>
    </row>
    <row r="2746" spans="1:13" hidden="1" x14ac:dyDescent="0.3">
      <c r="A2746" s="8">
        <v>46237</v>
      </c>
      <c r="B2746" s="16" t="s">
        <v>5294</v>
      </c>
      <c r="C2746" s="6" t="s">
        <v>6016</v>
      </c>
      <c r="D2746" s="6" t="s">
        <v>372</v>
      </c>
      <c r="E2746" s="14">
        <v>46237.318749999999</v>
      </c>
      <c r="F2746" s="25">
        <f>IF(HOUR(Table1[[#This Row],[CORREO]])&gt;=11,WORKDAY(Table1[[#This Row],[CORREO]],1,Table2[Dias no laborales]),E2746)</f>
        <v>46237.318749999999</v>
      </c>
      <c r="G2746" s="8">
        <v>46238</v>
      </c>
      <c r="H2746" s="6">
        <f t="shared" si="151"/>
        <v>31</v>
      </c>
      <c r="I2746" s="6">
        <f>MAX(1, NETWORKDAYS(A2746, G2746,Table2[Dias no laborales]))</f>
        <v>2</v>
      </c>
      <c r="J2746" s="6" t="str">
        <f>IF(Table1[[#This Row],[FIN]]="","Acumulado",IF(ISNUMBER(SEARCH("ASAP",C2746)),"ASAP",IF(NETWORKDAYS.INTL(F2746,G2746,1,Table2[Dias no laborales]) &lt;= 7, "Dentro", IF(A2746&gt;F2746,"Programado","Fuera"))))</f>
        <v>Dentro</v>
      </c>
      <c r="K2746" s="6" t="str">
        <f t="shared" si="152"/>
        <v>A tiempo</v>
      </c>
      <c r="L2746" s="8">
        <v>46237</v>
      </c>
      <c r="M2746" s="17">
        <f>MAX(1,NETWORKDAYS(A2746,L2746,Table2[Dias no laborales]))</f>
        <v>1</v>
      </c>
    </row>
    <row r="2747" spans="1:13" hidden="1" x14ac:dyDescent="0.3">
      <c r="A2747" s="8">
        <v>46237</v>
      </c>
      <c r="B2747" s="16" t="s">
        <v>5295</v>
      </c>
      <c r="C2747" s="6" t="s">
        <v>6017</v>
      </c>
      <c r="D2747" s="6" t="s">
        <v>372</v>
      </c>
      <c r="E2747" s="14">
        <v>46237.320138888892</v>
      </c>
      <c r="F2747" s="25">
        <f>IF(HOUR(Table1[[#This Row],[CORREO]])&gt;=11,WORKDAY(Table1[[#This Row],[CORREO]],1,Table2[Dias no laborales]),E2747)</f>
        <v>46237.320138888892</v>
      </c>
      <c r="G2747" s="8">
        <v>46237</v>
      </c>
      <c r="H2747" s="6">
        <f t="shared" si="151"/>
        <v>31</v>
      </c>
      <c r="I2747" s="6">
        <f>MAX(1, NETWORKDAYS(A2747, G2747,Table2[Dias no laborales]))</f>
        <v>1</v>
      </c>
      <c r="J2747" s="6" t="str">
        <f>IF(Table1[[#This Row],[FIN]]="","Acumulado",IF(ISNUMBER(SEARCH("ASAP",C2747)),"ASAP",IF(NETWORKDAYS.INTL(F2747,G2747,1,Table2[Dias no laborales]) &lt;= 7, "Dentro", IF(A2747&gt;F2747,"Programado","Fuera"))))</f>
        <v>Dentro</v>
      </c>
      <c r="K2747" s="6" t="str">
        <f t="shared" si="152"/>
        <v>A tiempo</v>
      </c>
      <c r="L2747" s="8">
        <v>46237</v>
      </c>
      <c r="M2747" s="17">
        <f>MAX(1,NETWORKDAYS(A2747,L2747,Table2[Dias no laborales]))</f>
        <v>1</v>
      </c>
    </row>
    <row r="2748" spans="1:13" hidden="1" x14ac:dyDescent="0.3">
      <c r="A2748" s="8">
        <v>46237</v>
      </c>
      <c r="B2748" s="16" t="s">
        <v>5296</v>
      </c>
      <c r="C2748" s="6" t="s">
        <v>4988</v>
      </c>
      <c r="D2748" s="6" t="s">
        <v>392</v>
      </c>
      <c r="E2748" s="14">
        <v>46237.356249999997</v>
      </c>
      <c r="F2748" s="25">
        <f>IF(HOUR(Table1[[#This Row],[CORREO]])&gt;=11,WORKDAY(Table1[[#This Row],[CORREO]],1,Table2[Dias no laborales]),E2748)</f>
        <v>46237.356249999997</v>
      </c>
      <c r="G2748" s="8">
        <v>46237</v>
      </c>
      <c r="H2748" s="6">
        <f t="shared" si="151"/>
        <v>31</v>
      </c>
      <c r="I2748" s="6">
        <f>MAX(1, NETWORKDAYS(A2748, G2748,Table2[Dias no laborales]))</f>
        <v>1</v>
      </c>
      <c r="J2748" s="6" t="str">
        <f>IF(Table1[[#This Row],[FIN]]="","Acumulado",IF(ISNUMBER(SEARCH("ASAP",C2748)),"ASAP",IF(NETWORKDAYS.INTL(F2748,G2748,1,Table2[Dias no laborales]) &lt;= 7, "Dentro", IF(A2748&gt;F2748,"Programado","Fuera"))))</f>
        <v>Dentro</v>
      </c>
      <c r="K2748" s="6" t="str">
        <f t="shared" si="152"/>
        <v>A tiempo</v>
      </c>
      <c r="L2748" s="8">
        <v>46237</v>
      </c>
      <c r="M2748" s="17">
        <f>MAX(1,NETWORKDAYS(A2748,L2748,Table2[Dias no laborales]))</f>
        <v>1</v>
      </c>
    </row>
    <row r="2749" spans="1:13" hidden="1" x14ac:dyDescent="0.3">
      <c r="A2749" s="8">
        <v>46237</v>
      </c>
      <c r="B2749" s="16" t="s">
        <v>5297</v>
      </c>
      <c r="C2749" s="6" t="s">
        <v>6018</v>
      </c>
      <c r="D2749" s="6" t="s">
        <v>372</v>
      </c>
      <c r="E2749" s="14">
        <v>46237.369444444441</v>
      </c>
      <c r="F2749" s="25">
        <f>IF(HOUR(Table1[[#This Row],[CORREO]])&gt;=11,WORKDAY(Table1[[#This Row],[CORREO]],1,Table2[Dias no laborales]),E2749)</f>
        <v>46237.369444444441</v>
      </c>
      <c r="G2749" s="8">
        <v>46237</v>
      </c>
      <c r="H2749" s="6">
        <f t="shared" si="151"/>
        <v>31</v>
      </c>
      <c r="I2749" s="6">
        <f>MAX(1, NETWORKDAYS(A2749, G2749,Table2[Dias no laborales]))</f>
        <v>1</v>
      </c>
      <c r="J2749" s="6" t="str">
        <f>IF(Table1[[#This Row],[FIN]]="","Acumulado",IF(ISNUMBER(SEARCH("ASAP",C2749)),"ASAP",IF(NETWORKDAYS.INTL(F2749,G2749,1,Table2[Dias no laborales]) &lt;= 7, "Dentro", IF(A2749&gt;F2749,"Programado","Fuera"))))</f>
        <v>Dentro</v>
      </c>
      <c r="K2749" s="6" t="str">
        <f t="shared" si="152"/>
        <v>A tiempo</v>
      </c>
      <c r="L2749" s="8">
        <v>46237</v>
      </c>
      <c r="M2749" s="17">
        <f>MAX(1,NETWORKDAYS(A2749,L2749,Table2[Dias no laborales]))</f>
        <v>1</v>
      </c>
    </row>
    <row r="2750" spans="1:13" hidden="1" x14ac:dyDescent="0.3">
      <c r="A2750" s="8">
        <v>46237</v>
      </c>
      <c r="B2750" s="16" t="s">
        <v>5298</v>
      </c>
      <c r="C2750" s="6" t="s">
        <v>6019</v>
      </c>
      <c r="D2750" s="6" t="s">
        <v>61</v>
      </c>
      <c r="E2750" s="14">
        <v>46237.379861111112</v>
      </c>
      <c r="F2750" s="25">
        <f>IF(HOUR(Table1[[#This Row],[CORREO]])&gt;=11,WORKDAY(Table1[[#This Row],[CORREO]],1,Table2[Dias no laborales]),E2750)</f>
        <v>46237.379861111112</v>
      </c>
      <c r="G2750" s="8">
        <v>46237</v>
      </c>
      <c r="H2750" s="6">
        <f t="shared" si="151"/>
        <v>31</v>
      </c>
      <c r="I2750" s="6">
        <f>MAX(1, NETWORKDAYS(A2750, G2750,Table2[Dias no laborales]))</f>
        <v>1</v>
      </c>
      <c r="J2750" s="6" t="str">
        <f>IF(Table1[[#This Row],[FIN]]="","Acumulado",IF(ISNUMBER(SEARCH("ASAP",C2750)),"ASAP",IF(NETWORKDAYS.INTL(F2750,G2750,1,Table2[Dias no laborales]) &lt;= 7, "Dentro", IF(A2750&gt;F2750,"Programado","Fuera"))))</f>
        <v>Dentro</v>
      </c>
      <c r="K2750" s="6" t="str">
        <f t="shared" si="152"/>
        <v>A tiempo</v>
      </c>
      <c r="L2750" s="8">
        <v>46237</v>
      </c>
      <c r="M2750" s="17">
        <f>MAX(1,NETWORKDAYS(A2750,L2750,Table2[Dias no laborales]))</f>
        <v>1</v>
      </c>
    </row>
    <row r="2751" spans="1:13" hidden="1" x14ac:dyDescent="0.3">
      <c r="A2751" s="8">
        <v>46237</v>
      </c>
      <c r="B2751" s="16" t="s">
        <v>5299</v>
      </c>
      <c r="C2751" s="6" t="s">
        <v>6020</v>
      </c>
      <c r="D2751" s="6" t="s">
        <v>139</v>
      </c>
      <c r="E2751" s="14">
        <v>46237.380555555559</v>
      </c>
      <c r="F2751" s="25">
        <f>IF(HOUR(Table1[[#This Row],[CORREO]])&gt;=11,WORKDAY(Table1[[#This Row],[CORREO]],1,Table2[Dias no laborales]),E2751)</f>
        <v>46237.380555555559</v>
      </c>
      <c r="G2751" s="8">
        <v>46237</v>
      </c>
      <c r="H2751" s="6">
        <f t="shared" si="151"/>
        <v>31</v>
      </c>
      <c r="I2751" s="6">
        <f>MAX(1, NETWORKDAYS(A2751, G2751,Table2[Dias no laborales]))</f>
        <v>1</v>
      </c>
      <c r="J2751" s="6" t="str">
        <f>IF(Table1[[#This Row],[FIN]]="","Acumulado",IF(ISNUMBER(SEARCH("ASAP",C2751)),"ASAP",IF(NETWORKDAYS.INTL(F2751,G2751,1,Table2[Dias no laborales]) &lt;= 7, "Dentro", IF(A2751&gt;F2751,"Programado","Fuera"))))</f>
        <v>Dentro</v>
      </c>
      <c r="K2751" s="6" t="str">
        <f t="shared" si="152"/>
        <v>A tiempo</v>
      </c>
      <c r="L2751" s="8">
        <v>46237</v>
      </c>
      <c r="M2751" s="17">
        <f>MAX(1,NETWORKDAYS(A2751,L2751,Table2[Dias no laborales]))</f>
        <v>1</v>
      </c>
    </row>
    <row r="2752" spans="1:13" hidden="1" x14ac:dyDescent="0.3">
      <c r="A2752" s="8">
        <v>46237</v>
      </c>
      <c r="B2752" s="16" t="s">
        <v>5300</v>
      </c>
      <c r="C2752" s="6" t="s">
        <v>6021</v>
      </c>
      <c r="D2752" s="6" t="s">
        <v>351</v>
      </c>
      <c r="E2752" s="14">
        <v>46237.384027777778</v>
      </c>
      <c r="F2752" s="25">
        <f>IF(HOUR(Table1[[#This Row],[CORREO]])&gt;=11,WORKDAY(Table1[[#This Row],[CORREO]],1,Table2[Dias no laborales]),E2752)</f>
        <v>46237.384027777778</v>
      </c>
      <c r="G2752" s="8">
        <v>46240</v>
      </c>
      <c r="H2752" s="6">
        <f t="shared" si="151"/>
        <v>31</v>
      </c>
      <c r="I2752" s="6">
        <f>MAX(1, NETWORKDAYS(A2752, G2752,Table2[Dias no laborales]))</f>
        <v>4</v>
      </c>
      <c r="J2752" s="6" t="str">
        <f>IF(Table1[[#This Row],[FIN]]="","Acumulado",IF(ISNUMBER(SEARCH("ASAP",C2752)),"ASAP",IF(NETWORKDAYS.INTL(F2752,G2752,1,Table2[Dias no laborales]) &lt;= 7, "Dentro", IF(A2752&gt;F2752,"Programado","Fuera"))))</f>
        <v>Dentro</v>
      </c>
      <c r="K2752" s="6" t="str">
        <f t="shared" si="152"/>
        <v>A tiempo</v>
      </c>
      <c r="L2752" s="8">
        <v>46237</v>
      </c>
      <c r="M2752" s="17">
        <f>MAX(1,NETWORKDAYS(A2752,L2752,Table2[Dias no laborales]))</f>
        <v>1</v>
      </c>
    </row>
    <row r="2753" spans="1:13" hidden="1" x14ac:dyDescent="0.3">
      <c r="A2753" s="8">
        <v>46237</v>
      </c>
      <c r="B2753" s="16" t="s">
        <v>5301</v>
      </c>
      <c r="C2753" s="6" t="s">
        <v>6022</v>
      </c>
      <c r="D2753" s="6" t="s">
        <v>3020</v>
      </c>
      <c r="E2753" s="14">
        <v>46237.469444444447</v>
      </c>
      <c r="F2753" s="25">
        <f>IF(HOUR(Table1[[#This Row],[CORREO]])&gt;=11,WORKDAY(Table1[[#This Row],[CORREO]],1,Table2[Dias no laborales]),E2753)</f>
        <v>46238</v>
      </c>
      <c r="G2753" s="8">
        <v>46239</v>
      </c>
      <c r="H2753" s="6">
        <f t="shared" si="151"/>
        <v>31</v>
      </c>
      <c r="I2753" s="6">
        <f>MAX(1, NETWORKDAYS(A2753, G2753,Table2[Dias no laborales]))</f>
        <v>3</v>
      </c>
      <c r="J2753" s="6" t="str">
        <f>IF(Table1[[#This Row],[FIN]]="","Acumulado",IF(ISNUMBER(SEARCH("ASAP",C2753)),"ASAP",IF(NETWORKDAYS.INTL(F2753,G2753,1,Table2[Dias no laborales]) &lt;= 7, "Dentro", IF(A2753&gt;F2753,"Programado","Fuera"))))</f>
        <v>Dentro</v>
      </c>
      <c r="K2753" s="6" t="str">
        <f t="shared" si="152"/>
        <v>Mismo día</v>
      </c>
      <c r="L2753" s="8">
        <v>46237</v>
      </c>
      <c r="M2753" s="17">
        <f>MAX(1,NETWORKDAYS(A2753,L2753,Table2[Dias no laborales]))</f>
        <v>1</v>
      </c>
    </row>
    <row r="2754" spans="1:13" hidden="1" x14ac:dyDescent="0.3">
      <c r="A2754" s="8">
        <v>46237</v>
      </c>
      <c r="B2754" s="16" t="s">
        <v>5302</v>
      </c>
      <c r="C2754" s="6" t="s">
        <v>4988</v>
      </c>
      <c r="D2754" s="6" t="s">
        <v>392</v>
      </c>
      <c r="E2754" s="14"/>
      <c r="F2754" s="25">
        <f>IF(HOUR(Table1[[#This Row],[CORREO]])&gt;=11,WORKDAY(Table1[[#This Row],[CORREO]],1,Table2[Dias no laborales]),E2754)</f>
        <v>0</v>
      </c>
      <c r="G2754" s="8">
        <v>46238</v>
      </c>
      <c r="H2754" s="6">
        <f t="shared" si="151"/>
        <v>31</v>
      </c>
      <c r="I2754" s="6">
        <f>MAX(1, NETWORKDAYS(A2754, G2754,Table2[Dias no laborales]))</f>
        <v>2</v>
      </c>
      <c r="J2754" s="6" t="str">
        <f>IF(Table1[[#This Row],[FIN]]="","Acumulado",IF(ISNUMBER(SEARCH("ASAP",C2754)),"ASAP",IF(NETWORKDAYS.INTL(F2754,G2754,1,Table2[Dias no laborales]) &lt;= 7, "Dentro", IF(A2754&gt;F2754,"Programado","Fuera"))))</f>
        <v>Programado</v>
      </c>
      <c r="K2754" s="6" t="str">
        <f t="shared" si="152"/>
        <v>Programados</v>
      </c>
      <c r="L2754" s="8">
        <v>46237</v>
      </c>
      <c r="M2754" s="17">
        <f>MAX(1,NETWORKDAYS(A2754,L2754,Table2[Dias no laborales]))</f>
        <v>1</v>
      </c>
    </row>
    <row r="2755" spans="1:13" hidden="1" x14ac:dyDescent="0.3">
      <c r="A2755" s="8">
        <v>46238</v>
      </c>
      <c r="B2755" s="16" t="s">
        <v>5303</v>
      </c>
      <c r="C2755" s="6" t="s">
        <v>6023</v>
      </c>
      <c r="D2755" s="6" t="s">
        <v>5980</v>
      </c>
      <c r="E2755" s="14"/>
      <c r="F2755" s="25">
        <f>IF(HOUR(Table1[[#This Row],[CORREO]])&gt;=11,WORKDAY(Table1[[#This Row],[CORREO]],1,Table2[Dias no laborales]),E2755)</f>
        <v>0</v>
      </c>
      <c r="G2755" s="8">
        <v>46238</v>
      </c>
      <c r="H2755" s="6">
        <f t="shared" si="151"/>
        <v>31</v>
      </c>
      <c r="I2755" s="6">
        <f>MAX(1, NETWORKDAYS(A2755, G2755,Table2[Dias no laborales]))</f>
        <v>1</v>
      </c>
      <c r="J2755" s="6" t="str">
        <f>IF(Table1[[#This Row],[FIN]]="","Acumulado",IF(ISNUMBER(SEARCH("ASAP",C2755)),"ASAP",IF(NETWORKDAYS.INTL(F2755,G2755,1,Table2[Dias no laborales]) &lt;= 7, "Dentro", IF(A2755&gt;F2755,"Programado","Fuera"))))</f>
        <v>Programado</v>
      </c>
      <c r="K2755" s="6" t="str">
        <f t="shared" si="152"/>
        <v>Programados</v>
      </c>
      <c r="L2755" s="8">
        <v>46238</v>
      </c>
      <c r="M2755" s="17">
        <f>MAX(1,NETWORKDAYS(A2755,L2755,Table2[Dias no laborales]))</f>
        <v>1</v>
      </c>
    </row>
    <row r="2756" spans="1:13" hidden="1" x14ac:dyDescent="0.3">
      <c r="A2756" s="8">
        <v>46238</v>
      </c>
      <c r="B2756" s="16" t="s">
        <v>5304</v>
      </c>
      <c r="C2756" s="6" t="s">
        <v>6024</v>
      </c>
      <c r="D2756" s="6" t="s">
        <v>1540</v>
      </c>
      <c r="E2756" s="14"/>
      <c r="F2756" s="25">
        <f>IF(HOUR(Table1[[#This Row],[CORREO]])&gt;=11,WORKDAY(Table1[[#This Row],[CORREO]],1,Table2[Dias no laborales]),E2756)</f>
        <v>0</v>
      </c>
      <c r="G2756" s="8">
        <v>46239</v>
      </c>
      <c r="H2756" s="6">
        <f t="shared" si="151"/>
        <v>31</v>
      </c>
      <c r="I2756" s="6">
        <f>MAX(1, NETWORKDAYS(A2756, G2756,Table2[Dias no laborales]))</f>
        <v>2</v>
      </c>
      <c r="J2756" s="6" t="str">
        <f>IF(Table1[[#This Row],[FIN]]="","Acumulado",IF(ISNUMBER(SEARCH("ASAP",C2756)),"ASAP",IF(NETWORKDAYS.INTL(F2756,G2756,1,Table2[Dias no laborales]) &lt;= 7, "Dentro", IF(A2756&gt;F2756,"Programado","Fuera"))))</f>
        <v>Programado</v>
      </c>
      <c r="K2756" s="6" t="str">
        <f t="shared" si="152"/>
        <v>Programados</v>
      </c>
      <c r="L2756" s="8">
        <v>46238</v>
      </c>
      <c r="M2756" s="17">
        <f>MAX(1,NETWORKDAYS(A2756,L2756,Table2[Dias no laborales]))</f>
        <v>1</v>
      </c>
    </row>
    <row r="2757" spans="1:13" hidden="1" x14ac:dyDescent="0.3">
      <c r="A2757" s="8">
        <v>46238</v>
      </c>
      <c r="B2757" s="16" t="s">
        <v>5305</v>
      </c>
      <c r="C2757" s="6" t="s">
        <v>6025</v>
      </c>
      <c r="D2757" s="6" t="s">
        <v>24</v>
      </c>
      <c r="E2757" s="14">
        <v>46237.474305555559</v>
      </c>
      <c r="F2757" s="25">
        <f>IF(HOUR(Table1[[#This Row],[CORREO]])&gt;=11,WORKDAY(Table1[[#This Row],[CORREO]],1,Table2[Dias no laborales]),E2757)</f>
        <v>46238</v>
      </c>
      <c r="G2757" s="8">
        <v>46240</v>
      </c>
      <c r="H2757" s="6">
        <f t="shared" si="151"/>
        <v>31</v>
      </c>
      <c r="I2757" s="6">
        <f>MAX(1, NETWORKDAYS(A2757, G2757,Table2[Dias no laborales]))</f>
        <v>3</v>
      </c>
      <c r="J2757" s="6" t="str">
        <f>IF(Table1[[#This Row],[FIN]]="","Acumulado",IF(ISNUMBER(SEARCH("ASAP",C2757)),"ASAP",IF(NETWORKDAYS.INTL(F2757,G2757,1,Table2[Dias no laborales]) &lt;= 7, "Dentro", IF(A2757&gt;F2757,"Programado","Fuera"))))</f>
        <v>Dentro</v>
      </c>
      <c r="K2757" s="6" t="str">
        <f t="shared" si="152"/>
        <v>A tiempo</v>
      </c>
      <c r="L2757" s="8">
        <v>46238</v>
      </c>
      <c r="M2757" s="17">
        <f>MAX(1,NETWORKDAYS(A2757,L2757,Table2[Dias no laborales]))</f>
        <v>1</v>
      </c>
    </row>
    <row r="2758" spans="1:13" hidden="1" x14ac:dyDescent="0.3">
      <c r="A2758" s="8">
        <v>46238</v>
      </c>
      <c r="B2758" s="16" t="s">
        <v>5306</v>
      </c>
      <c r="C2758" s="6" t="s">
        <v>6026</v>
      </c>
      <c r="D2758" s="6" t="s">
        <v>24</v>
      </c>
      <c r="E2758" s="14">
        <v>46237.474305555559</v>
      </c>
      <c r="F2758" s="25">
        <f>IF(HOUR(Table1[[#This Row],[CORREO]])&gt;=11,WORKDAY(Table1[[#This Row],[CORREO]],1,Table2[Dias no laborales]),E2758)</f>
        <v>46238</v>
      </c>
      <c r="G2758" s="8">
        <v>46246</v>
      </c>
      <c r="H2758" s="6">
        <f t="shared" si="151"/>
        <v>31</v>
      </c>
      <c r="I2758" s="6">
        <f>MAX(1, NETWORKDAYS(A2758, G2758,Table2[Dias no laborales]))</f>
        <v>7</v>
      </c>
      <c r="J2758" s="6" t="str">
        <f>IF(Table1[[#This Row],[FIN]]="","Acumulado",IF(ISNUMBER(SEARCH("ASAP",C2758)),"ASAP",IF(NETWORKDAYS.INTL(F2758,G2758,1,Table2[Dias no laborales]) &lt;= 7, "Dentro", IF(A2758&gt;F2758,"Programado","Fuera"))))</f>
        <v>Dentro</v>
      </c>
      <c r="K2758" s="6" t="str">
        <f t="shared" si="152"/>
        <v>A tiempo</v>
      </c>
      <c r="L2758" s="8">
        <v>46238</v>
      </c>
      <c r="M2758" s="17">
        <f>MAX(1,NETWORKDAYS(A2758,L2758,Table2[Dias no laborales]))</f>
        <v>1</v>
      </c>
    </row>
    <row r="2759" spans="1:13" hidden="1" x14ac:dyDescent="0.3">
      <c r="A2759" s="8">
        <v>46239</v>
      </c>
      <c r="B2759" s="16" t="s">
        <v>5307</v>
      </c>
      <c r="C2759" s="6" t="s">
        <v>6027</v>
      </c>
      <c r="D2759" s="6" t="s">
        <v>27</v>
      </c>
      <c r="E2759" s="14"/>
      <c r="F2759" s="25">
        <f>IF(HOUR(Table1[[#This Row],[CORREO]])&gt;=11,WORKDAY(Table1[[#This Row],[CORREO]],1,Table2[Dias no laborales]),E2759)</f>
        <v>0</v>
      </c>
      <c r="G2759" s="8">
        <v>46240</v>
      </c>
      <c r="H2759" s="6">
        <f t="shared" si="151"/>
        <v>31</v>
      </c>
      <c r="I2759" s="6">
        <f>MAX(1, NETWORKDAYS(A2759, G2759,Table2[Dias no laborales]))</f>
        <v>2</v>
      </c>
      <c r="J2759" s="6" t="str">
        <f>IF(Table1[[#This Row],[FIN]]="","Acumulado",IF(ISNUMBER(SEARCH("ASAP",C2759)),"ASAP",IF(NETWORKDAYS.INTL(F2759,G2759,1,Table2[Dias no laborales]) &lt;= 7, "Dentro", IF(A2759&gt;F2759,"Programado","Fuera"))))</f>
        <v>Programado</v>
      </c>
      <c r="K2759" s="6" t="str">
        <f t="shared" si="152"/>
        <v>Programados</v>
      </c>
      <c r="L2759" s="8">
        <v>46239</v>
      </c>
      <c r="M2759" s="17">
        <f>MAX(1,NETWORKDAYS(A2759,L2759,Table2[Dias no laborales]))</f>
        <v>1</v>
      </c>
    </row>
    <row r="2760" spans="1:13" hidden="1" x14ac:dyDescent="0.3">
      <c r="A2760" s="8">
        <v>46239</v>
      </c>
      <c r="B2760" s="16" t="s">
        <v>5308</v>
      </c>
      <c r="C2760" s="6" t="s">
        <v>6028</v>
      </c>
      <c r="D2760" s="6" t="s">
        <v>27</v>
      </c>
      <c r="E2760" s="14"/>
      <c r="F2760" s="25">
        <f>IF(HOUR(Table1[[#This Row],[CORREO]])&gt;=11,WORKDAY(Table1[[#This Row],[CORREO]],1,Table2[Dias no laborales]),E2760)</f>
        <v>0</v>
      </c>
      <c r="G2760" s="8">
        <v>46240</v>
      </c>
      <c r="H2760" s="6">
        <f t="shared" ref="H2760:H2823" si="153">INT((A2760-DATE(YEAR(A2760),1,1))/7) + 1</f>
        <v>31</v>
      </c>
      <c r="I2760" s="6">
        <f>MAX(1, NETWORKDAYS(A2760, G2760,Table2[Dias no laborales]))</f>
        <v>2</v>
      </c>
      <c r="J2760" s="6" t="str">
        <f>IF(Table1[[#This Row],[FIN]]="","Acumulado",IF(ISNUMBER(SEARCH("ASAP",C2760)),"ASAP",IF(NETWORKDAYS.INTL(F2760,G2760,1,Table2[Dias no laborales]) &lt;= 7, "Dentro", IF(A2760&gt;F2760,"Programado","Fuera"))))</f>
        <v>Programado</v>
      </c>
      <c r="K2760" s="6" t="str">
        <f t="shared" ref="K2760:K2823" si="154">IF(INT(A2760)=INT(F2760),"A tiempo", IF(A2760&lt;F2760,"Mismo día","Programados"))</f>
        <v>Programados</v>
      </c>
      <c r="L2760" s="8">
        <v>46239</v>
      </c>
      <c r="M2760" s="17">
        <f>MAX(1,NETWORKDAYS(A2760,L2760,Table2[Dias no laborales]))</f>
        <v>1</v>
      </c>
    </row>
    <row r="2761" spans="1:13" x14ac:dyDescent="0.3">
      <c r="A2761" s="8">
        <v>46239</v>
      </c>
      <c r="B2761" s="16" t="s">
        <v>5309</v>
      </c>
      <c r="C2761" s="6" t="s">
        <v>6029</v>
      </c>
      <c r="D2761" s="6" t="s">
        <v>27</v>
      </c>
      <c r="E2761" s="14"/>
      <c r="F2761" s="25">
        <f>IF(HOUR(Table1[[#This Row],[CORREO]])&gt;=11,WORKDAY(Table1[[#This Row],[CORREO]],1,Table2[Dias no laborales]),E2761)</f>
        <v>0</v>
      </c>
      <c r="G2761" s="8">
        <v>46240</v>
      </c>
      <c r="H2761" s="6">
        <f t="shared" si="153"/>
        <v>31</v>
      </c>
      <c r="I2761" s="6">
        <f>MAX(1, NETWORKDAYS(A2761, G2761,Table2[Dias no laborales]))</f>
        <v>2</v>
      </c>
      <c r="J2761" s="6" t="str">
        <f>IF(Table1[[#This Row],[FIN]]="","Acumulado",IF(ISNUMBER(SEARCH("ASAP",C2761)),"ASAP",IF(NETWORKDAYS.INTL(F2761,G2761,1,Table2[Dias no laborales]) &lt;= 7, "Dentro", IF(A2761&gt;F2761,"Programado","Fuera"))))</f>
        <v>Programado</v>
      </c>
      <c r="K2761" s="6" t="str">
        <f t="shared" si="154"/>
        <v>Programados</v>
      </c>
      <c r="L2761" s="8">
        <v>46239</v>
      </c>
      <c r="M2761" s="17">
        <f>MAX(1,NETWORKDAYS(A2761,L2761,Table2[Dias no laborales]))</f>
        <v>1</v>
      </c>
    </row>
    <row r="2762" spans="1:13" x14ac:dyDescent="0.3">
      <c r="A2762" s="8">
        <v>46239</v>
      </c>
      <c r="B2762" s="16" t="s">
        <v>5310</v>
      </c>
      <c r="C2762" s="6" t="s">
        <v>6030</v>
      </c>
      <c r="D2762" s="6" t="s">
        <v>27</v>
      </c>
      <c r="E2762" s="14"/>
      <c r="F2762" s="25">
        <f>IF(HOUR(Table1[[#This Row],[CORREO]])&gt;=11,WORKDAY(Table1[[#This Row],[CORREO]],1,Table2[Dias no laborales]),E2762)</f>
        <v>0</v>
      </c>
      <c r="G2762" s="8">
        <v>46240</v>
      </c>
      <c r="H2762" s="6">
        <f t="shared" si="153"/>
        <v>31</v>
      </c>
      <c r="I2762" s="6">
        <f>MAX(1, NETWORKDAYS(A2762, G2762,Table2[Dias no laborales]))</f>
        <v>2</v>
      </c>
      <c r="J2762" s="6" t="str">
        <f>IF(Table1[[#This Row],[FIN]]="","Acumulado",IF(ISNUMBER(SEARCH("ASAP",C2762)),"ASAP",IF(NETWORKDAYS.INTL(F2762,G2762,1,Table2[Dias no laborales]) &lt;= 7, "Dentro", IF(A2762&gt;F2762,"Programado","Fuera"))))</f>
        <v>Programado</v>
      </c>
      <c r="K2762" s="6" t="str">
        <f t="shared" si="154"/>
        <v>Programados</v>
      </c>
      <c r="L2762" s="8">
        <v>46239</v>
      </c>
      <c r="M2762" s="17">
        <f>MAX(1,NETWORKDAYS(A2762,L2762,Table2[Dias no laborales]))</f>
        <v>1</v>
      </c>
    </row>
    <row r="2763" spans="1:13" x14ac:dyDescent="0.3">
      <c r="A2763" s="8">
        <v>46239</v>
      </c>
      <c r="B2763" s="16" t="s">
        <v>5311</v>
      </c>
      <c r="C2763" s="6" t="s">
        <v>6031</v>
      </c>
      <c r="D2763" s="6" t="s">
        <v>27</v>
      </c>
      <c r="E2763" s="14"/>
      <c r="F2763" s="25">
        <f>IF(HOUR(Table1[[#This Row],[CORREO]])&gt;=11,WORKDAY(Table1[[#This Row],[CORREO]],1,Table2[Dias no laborales]),E2763)</f>
        <v>0</v>
      </c>
      <c r="G2763" s="8">
        <v>46240</v>
      </c>
      <c r="H2763" s="6">
        <f t="shared" si="153"/>
        <v>31</v>
      </c>
      <c r="I2763" s="6">
        <f>MAX(1, NETWORKDAYS(A2763, G2763,Table2[Dias no laborales]))</f>
        <v>2</v>
      </c>
      <c r="J2763" s="6" t="str">
        <f>IF(Table1[[#This Row],[FIN]]="","Acumulado",IF(ISNUMBER(SEARCH("ASAP",C2763)),"ASAP",IF(NETWORKDAYS.INTL(F2763,G2763,1,Table2[Dias no laborales]) &lt;= 7, "Dentro", IF(A2763&gt;F2763,"Programado","Fuera"))))</f>
        <v>Programado</v>
      </c>
      <c r="K2763" s="6" t="str">
        <f t="shared" si="154"/>
        <v>Programados</v>
      </c>
      <c r="L2763" s="8">
        <v>46239</v>
      </c>
      <c r="M2763" s="17">
        <f>MAX(1,NETWORKDAYS(A2763,L2763,Table2[Dias no laborales]))</f>
        <v>1</v>
      </c>
    </row>
    <row r="2764" spans="1:13" x14ac:dyDescent="0.3">
      <c r="A2764" s="8">
        <v>46239</v>
      </c>
      <c r="B2764" s="16" t="s">
        <v>5312</v>
      </c>
      <c r="C2764" s="6" t="s">
        <v>6032</v>
      </c>
      <c r="D2764" s="6" t="s">
        <v>27</v>
      </c>
      <c r="E2764" s="14"/>
      <c r="F2764" s="25">
        <f>IF(HOUR(Table1[[#This Row],[CORREO]])&gt;=11,WORKDAY(Table1[[#This Row],[CORREO]],1,Table2[Dias no laborales]),E2764)</f>
        <v>0</v>
      </c>
      <c r="G2764" s="8">
        <v>46240</v>
      </c>
      <c r="H2764" s="6">
        <f t="shared" si="153"/>
        <v>31</v>
      </c>
      <c r="I2764" s="6">
        <f>MAX(1, NETWORKDAYS(A2764, G2764,Table2[Dias no laborales]))</f>
        <v>2</v>
      </c>
      <c r="J2764" s="6" t="str">
        <f>IF(Table1[[#This Row],[FIN]]="","Acumulado",IF(ISNUMBER(SEARCH("ASAP",C2764)),"ASAP",IF(NETWORKDAYS.INTL(F2764,G2764,1,Table2[Dias no laborales]) &lt;= 7, "Dentro", IF(A2764&gt;F2764,"Programado","Fuera"))))</f>
        <v>Programado</v>
      </c>
      <c r="K2764" s="6" t="str">
        <f t="shared" si="154"/>
        <v>Programados</v>
      </c>
      <c r="L2764" s="8">
        <v>46239</v>
      </c>
      <c r="M2764" s="17">
        <f>MAX(1,NETWORKDAYS(A2764,L2764,Table2[Dias no laborales]))</f>
        <v>1</v>
      </c>
    </row>
    <row r="2765" spans="1:13" x14ac:dyDescent="0.3">
      <c r="A2765" s="8">
        <v>46239</v>
      </c>
      <c r="B2765" s="16" t="s">
        <v>5313</v>
      </c>
      <c r="C2765" s="6" t="s">
        <v>6033</v>
      </c>
      <c r="D2765" s="6" t="s">
        <v>27</v>
      </c>
      <c r="E2765" s="14"/>
      <c r="F2765" s="25">
        <f>IF(HOUR(Table1[[#This Row],[CORREO]])&gt;=11,WORKDAY(Table1[[#This Row],[CORREO]],1,Table2[Dias no laborales]),E2765)</f>
        <v>0</v>
      </c>
      <c r="G2765" s="8">
        <v>46240</v>
      </c>
      <c r="H2765" s="6">
        <f t="shared" si="153"/>
        <v>31</v>
      </c>
      <c r="I2765" s="6">
        <f>MAX(1, NETWORKDAYS(A2765, G2765,Table2[Dias no laborales]))</f>
        <v>2</v>
      </c>
      <c r="J2765" s="6" t="str">
        <f>IF(Table1[[#This Row],[FIN]]="","Acumulado",IF(ISNUMBER(SEARCH("ASAP",C2765)),"ASAP",IF(NETWORKDAYS.INTL(F2765,G2765,1,Table2[Dias no laborales]) &lt;= 7, "Dentro", IF(A2765&gt;F2765,"Programado","Fuera"))))</f>
        <v>Programado</v>
      </c>
      <c r="K2765" s="6" t="str">
        <f t="shared" si="154"/>
        <v>Programados</v>
      </c>
      <c r="L2765" s="8">
        <v>46239</v>
      </c>
      <c r="M2765" s="17">
        <f>MAX(1,NETWORKDAYS(A2765,L2765,Table2[Dias no laborales]))</f>
        <v>1</v>
      </c>
    </row>
    <row r="2766" spans="1:13" x14ac:dyDescent="0.3">
      <c r="A2766" s="8">
        <v>46239</v>
      </c>
      <c r="B2766" s="16" t="s">
        <v>5314</v>
      </c>
      <c r="C2766" s="6" t="s">
        <v>6034</v>
      </c>
      <c r="D2766" s="6" t="s">
        <v>6035</v>
      </c>
      <c r="E2766" s="14"/>
      <c r="F2766" s="25">
        <f>IF(HOUR(Table1[[#This Row],[CORREO]])&gt;=11,WORKDAY(Table1[[#This Row],[CORREO]],1,Table2[Dias no laborales]),E2766)</f>
        <v>0</v>
      </c>
      <c r="G2766" s="8">
        <v>46239</v>
      </c>
      <c r="H2766" s="6">
        <f t="shared" si="153"/>
        <v>31</v>
      </c>
      <c r="I2766" s="6">
        <f>MAX(1, NETWORKDAYS(A2766, G2766,Table2[Dias no laborales]))</f>
        <v>1</v>
      </c>
      <c r="J2766" s="6" t="str">
        <f>IF(Table1[[#This Row],[FIN]]="","Acumulado",IF(ISNUMBER(SEARCH("ASAP",C2766)),"ASAP",IF(NETWORKDAYS.INTL(F2766,G2766,1,Table2[Dias no laborales]) &lt;= 7, "Dentro", IF(A2766&gt;F2766,"Programado","Fuera"))))</f>
        <v>Programado</v>
      </c>
      <c r="K2766" s="6" t="str">
        <f t="shared" si="154"/>
        <v>Programados</v>
      </c>
      <c r="L2766" s="8">
        <v>46239</v>
      </c>
      <c r="M2766" s="17">
        <f>MAX(1,NETWORKDAYS(A2766,L2766,Table2[Dias no laborales]))</f>
        <v>1</v>
      </c>
    </row>
    <row r="2767" spans="1:13" x14ac:dyDescent="0.3">
      <c r="A2767" s="8">
        <v>46239</v>
      </c>
      <c r="B2767" s="16" t="s">
        <v>5315</v>
      </c>
      <c r="C2767" s="6" t="s">
        <v>6036</v>
      </c>
      <c r="D2767" s="6" t="s">
        <v>5582</v>
      </c>
      <c r="E2767" s="14">
        <v>46238.37222222222</v>
      </c>
      <c r="F2767" s="25">
        <f>IF(HOUR(Table1[[#This Row],[CORREO]])&gt;=11,WORKDAY(Table1[[#This Row],[CORREO]],1,Table2[Dias no laborales]),E2767)</f>
        <v>46238.37222222222</v>
      </c>
      <c r="G2767" s="8">
        <v>46239</v>
      </c>
      <c r="H2767" s="6">
        <f t="shared" si="153"/>
        <v>31</v>
      </c>
      <c r="I2767" s="6">
        <f>MAX(1, NETWORKDAYS(A2767, G2767,Table2[Dias no laborales]))</f>
        <v>1</v>
      </c>
      <c r="J2767" s="6" t="str">
        <f>IF(Table1[[#This Row],[FIN]]="","Acumulado",IF(ISNUMBER(SEARCH("ASAP",C2767)),"ASAP",IF(NETWORKDAYS.INTL(F2767,G2767,1,Table2[Dias no laborales]) &lt;= 7, "Dentro", IF(A2767&gt;F2767,"Programado","Fuera"))))</f>
        <v>Dentro</v>
      </c>
      <c r="K2767" s="6" t="str">
        <f t="shared" si="154"/>
        <v>Programados</v>
      </c>
      <c r="L2767" s="8">
        <v>46239</v>
      </c>
      <c r="M2767" s="17">
        <f>MAX(1,NETWORKDAYS(A2767,L2767,Table2[Dias no laborales]))</f>
        <v>1</v>
      </c>
    </row>
    <row r="2768" spans="1:13" x14ac:dyDescent="0.3">
      <c r="A2768" s="8">
        <v>46238</v>
      </c>
      <c r="B2768" s="16" t="s">
        <v>5316</v>
      </c>
      <c r="C2768" s="6" t="s">
        <v>6037</v>
      </c>
      <c r="D2768" s="6" t="s">
        <v>5591</v>
      </c>
      <c r="E2768" s="14">
        <v>46238.536111111112</v>
      </c>
      <c r="F2768" s="25">
        <f>IF(HOUR(Table1[[#This Row],[CORREO]])&gt;=11,WORKDAY(Table1[[#This Row],[CORREO]],1,Table2[Dias no laborales]),E2768)</f>
        <v>46239</v>
      </c>
      <c r="G2768" s="8">
        <v>46239</v>
      </c>
      <c r="H2768" s="6">
        <f t="shared" si="153"/>
        <v>31</v>
      </c>
      <c r="I2768" s="6">
        <f>MAX(1, NETWORKDAYS(A2768, G2768,Table2[Dias no laborales]))</f>
        <v>2</v>
      </c>
      <c r="J2768" s="6" t="str">
        <f>IF(Table1[[#This Row],[FIN]]="","Acumulado",IF(ISNUMBER(SEARCH("ASAP",C2768)),"ASAP",IF(NETWORKDAYS.INTL(F2768,G2768,1,Table2[Dias no laborales]) &lt;= 7, "Dentro", IF(A2768&gt;F2768,"Programado","Fuera"))))</f>
        <v>Dentro</v>
      </c>
      <c r="K2768" s="6" t="str">
        <f t="shared" si="154"/>
        <v>Mismo día</v>
      </c>
      <c r="L2768" s="8">
        <v>46239</v>
      </c>
      <c r="M2768" s="17">
        <f>MAX(1,NETWORKDAYS(A2768,L2768,Table2[Dias no laborales]))</f>
        <v>2</v>
      </c>
    </row>
    <row r="2769" spans="1:13" x14ac:dyDescent="0.3">
      <c r="A2769" s="8">
        <v>46239</v>
      </c>
      <c r="B2769" s="16" t="s">
        <v>5317</v>
      </c>
      <c r="C2769" s="6" t="s">
        <v>6038</v>
      </c>
      <c r="D2769" s="6" t="s">
        <v>5071</v>
      </c>
      <c r="E2769" s="14"/>
      <c r="F2769" s="25">
        <f>IF(HOUR(Table1[[#This Row],[CORREO]])&gt;=11,WORKDAY(Table1[[#This Row],[CORREO]],1,Table2[Dias no laborales]),E2769)</f>
        <v>0</v>
      </c>
      <c r="G2769" s="8">
        <v>46240</v>
      </c>
      <c r="H2769" s="6">
        <f t="shared" si="153"/>
        <v>31</v>
      </c>
      <c r="I2769" s="6">
        <f>MAX(1, NETWORKDAYS(A2769, G2769,Table2[Dias no laborales]))</f>
        <v>2</v>
      </c>
      <c r="J2769" s="6" t="str">
        <f>IF(Table1[[#This Row],[FIN]]="","Acumulado",IF(ISNUMBER(SEARCH("ASAP",C2769)),"ASAP",IF(NETWORKDAYS.INTL(F2769,G2769,1,Table2[Dias no laborales]) &lt;= 7, "Dentro", IF(A2769&gt;F2769,"Programado","Fuera"))))</f>
        <v>Programado</v>
      </c>
      <c r="K2769" s="6" t="str">
        <f t="shared" si="154"/>
        <v>Programados</v>
      </c>
      <c r="L2769" s="8">
        <v>46239</v>
      </c>
      <c r="M2769" s="17">
        <f>MAX(1,NETWORKDAYS(A2769,L2769,Table2[Dias no laborales]))</f>
        <v>1</v>
      </c>
    </row>
    <row r="2770" spans="1:13" x14ac:dyDescent="0.3">
      <c r="A2770" s="8">
        <v>46239</v>
      </c>
      <c r="B2770" s="16" t="s">
        <v>5318</v>
      </c>
      <c r="C2770" s="6" t="s">
        <v>6039</v>
      </c>
      <c r="D2770" s="6" t="s">
        <v>5105</v>
      </c>
      <c r="E2770" s="14">
        <v>46238.601388888892</v>
      </c>
      <c r="F2770" s="25">
        <f>IF(HOUR(Table1[[#This Row],[CORREO]])&gt;=11,WORKDAY(Table1[[#This Row],[CORREO]],1,Table2[Dias no laborales]),E2770)</f>
        <v>46239</v>
      </c>
      <c r="G2770" s="8">
        <v>46240</v>
      </c>
      <c r="H2770" s="6">
        <f t="shared" si="153"/>
        <v>31</v>
      </c>
      <c r="I2770" s="6">
        <f>MAX(1, NETWORKDAYS(A2770, G2770,Table2[Dias no laborales]))</f>
        <v>2</v>
      </c>
      <c r="J2770" s="6" t="str">
        <f>IF(Table1[[#This Row],[FIN]]="","Acumulado",IF(ISNUMBER(SEARCH("ASAP",C2770)),"ASAP",IF(NETWORKDAYS.INTL(F2770,G2770,1,Table2[Dias no laborales]) &lt;= 7, "Dentro", IF(A2770&gt;F2770,"Programado","Fuera"))))</f>
        <v>Dentro</v>
      </c>
      <c r="K2770" s="6" t="str">
        <f t="shared" si="154"/>
        <v>A tiempo</v>
      </c>
      <c r="L2770" s="8">
        <v>46239</v>
      </c>
      <c r="M2770" s="17">
        <f>MAX(1,NETWORKDAYS(A2770,L2770,Table2[Dias no laborales]))</f>
        <v>1</v>
      </c>
    </row>
    <row r="2771" spans="1:13" x14ac:dyDescent="0.3">
      <c r="A2771" s="8">
        <v>46239</v>
      </c>
      <c r="B2771" s="16" t="s">
        <v>5319</v>
      </c>
      <c r="C2771" s="6" t="s">
        <v>6040</v>
      </c>
      <c r="D2771" s="6" t="s">
        <v>6004</v>
      </c>
      <c r="E2771" s="14">
        <v>46238.709722222222</v>
      </c>
      <c r="F2771" s="25">
        <f>IF(HOUR(Table1[[#This Row],[CORREO]])&gt;=11,WORKDAY(Table1[[#This Row],[CORREO]],1,Table2[Dias no laborales]),E2771)</f>
        <v>46239</v>
      </c>
      <c r="G2771" s="8">
        <v>46240</v>
      </c>
      <c r="H2771" s="6">
        <f t="shared" si="153"/>
        <v>31</v>
      </c>
      <c r="I2771" s="6">
        <f>MAX(1, NETWORKDAYS(A2771, G2771,Table2[Dias no laborales]))</f>
        <v>2</v>
      </c>
      <c r="J2771" s="6" t="str">
        <f>IF(Table1[[#This Row],[FIN]]="","Acumulado",IF(ISNUMBER(SEARCH("ASAP",C2771)),"ASAP",IF(NETWORKDAYS.INTL(F2771,G2771,1,Table2[Dias no laborales]) &lt;= 7, "Dentro", IF(A2771&gt;F2771,"Programado","Fuera"))))</f>
        <v>Dentro</v>
      </c>
      <c r="K2771" s="6" t="str">
        <f t="shared" si="154"/>
        <v>A tiempo</v>
      </c>
      <c r="L2771" s="8">
        <v>46239</v>
      </c>
      <c r="M2771" s="17">
        <f>MAX(1,NETWORKDAYS(A2771,L2771,Table2[Dias no laborales]))</f>
        <v>1</v>
      </c>
    </row>
    <row r="2772" spans="1:13" x14ac:dyDescent="0.3">
      <c r="A2772" s="8">
        <v>46239</v>
      </c>
      <c r="B2772" s="16" t="s">
        <v>5320</v>
      </c>
      <c r="C2772" s="6" t="s">
        <v>6041</v>
      </c>
      <c r="D2772" s="6" t="s">
        <v>392</v>
      </c>
      <c r="E2772" s="14">
        <v>46238.71597222222</v>
      </c>
      <c r="F2772" s="25">
        <f>IF(HOUR(Table1[[#This Row],[CORREO]])&gt;=11,WORKDAY(Table1[[#This Row],[CORREO]],1,Table2[Dias no laborales]),E2772)</f>
        <v>46239</v>
      </c>
      <c r="G2772" s="8">
        <v>46239</v>
      </c>
      <c r="H2772" s="6">
        <f t="shared" si="153"/>
        <v>31</v>
      </c>
      <c r="I2772" s="6">
        <f>MAX(1, NETWORKDAYS(A2772, G2772,Table2[Dias no laborales]))</f>
        <v>1</v>
      </c>
      <c r="J2772" s="6" t="str">
        <f>IF(Table1[[#This Row],[FIN]]="","Acumulado",IF(ISNUMBER(SEARCH("ASAP",C2772)),"ASAP",IF(NETWORKDAYS.INTL(F2772,G2772,1,Table2[Dias no laborales]) &lt;= 7, "Dentro", IF(A2772&gt;F2772,"Programado","Fuera"))))</f>
        <v>Dentro</v>
      </c>
      <c r="K2772" s="6" t="str">
        <f t="shared" si="154"/>
        <v>A tiempo</v>
      </c>
      <c r="L2772" s="8">
        <v>46239</v>
      </c>
      <c r="M2772" s="17">
        <f>MAX(1,NETWORKDAYS(A2772,L2772,Table2[Dias no laborales]))</f>
        <v>1</v>
      </c>
    </row>
    <row r="2773" spans="1:13" x14ac:dyDescent="0.3">
      <c r="A2773" s="8">
        <v>46239</v>
      </c>
      <c r="B2773" s="16" t="s">
        <v>5321</v>
      </c>
      <c r="C2773" s="6" t="s">
        <v>3748</v>
      </c>
      <c r="D2773" s="6" t="s">
        <v>6042</v>
      </c>
      <c r="E2773" s="14">
        <v>46238.885416666664</v>
      </c>
      <c r="F2773" s="25">
        <f>IF(HOUR(Table1[[#This Row],[CORREO]])&gt;=11,WORKDAY(Table1[[#This Row],[CORREO]],1,Table2[Dias no laborales]),E2773)</f>
        <v>46239</v>
      </c>
      <c r="G2773" s="8">
        <v>46239</v>
      </c>
      <c r="H2773" s="6">
        <f t="shared" si="153"/>
        <v>31</v>
      </c>
      <c r="I2773" s="6">
        <f>MAX(1, NETWORKDAYS(A2773, G2773,Table2[Dias no laborales]))</f>
        <v>1</v>
      </c>
      <c r="J2773" s="6" t="str">
        <f>IF(Table1[[#This Row],[FIN]]="","Acumulado",IF(ISNUMBER(SEARCH("ASAP",C2773)),"ASAP",IF(NETWORKDAYS.INTL(F2773,G2773,1,Table2[Dias no laborales]) &lt;= 7, "Dentro", IF(A2773&gt;F2773,"Programado","Fuera"))))</f>
        <v>Dentro</v>
      </c>
      <c r="K2773" s="6" t="str">
        <f t="shared" si="154"/>
        <v>A tiempo</v>
      </c>
      <c r="L2773" s="8">
        <v>46239</v>
      </c>
      <c r="M2773" s="17">
        <f>MAX(1,NETWORKDAYS(A2773,L2773,Table2[Dias no laborales]))</f>
        <v>1</v>
      </c>
    </row>
    <row r="2774" spans="1:13" x14ac:dyDescent="0.3">
      <c r="A2774" s="8">
        <v>46239</v>
      </c>
      <c r="B2774" s="16" t="s">
        <v>5322</v>
      </c>
      <c r="C2774" s="6" t="s">
        <v>4988</v>
      </c>
      <c r="D2774" s="6" t="s">
        <v>392</v>
      </c>
      <c r="E2774" s="14">
        <v>46239.359027777777</v>
      </c>
      <c r="F2774" s="25">
        <f>IF(HOUR(Table1[[#This Row],[CORREO]])&gt;=11,WORKDAY(Table1[[#This Row],[CORREO]],1,Table2[Dias no laborales]),E2774)</f>
        <v>46239.359027777777</v>
      </c>
      <c r="G2774" s="8">
        <v>46239</v>
      </c>
      <c r="H2774" s="6">
        <f t="shared" si="153"/>
        <v>31</v>
      </c>
      <c r="I2774" s="6">
        <f>MAX(1, NETWORKDAYS(A2774, G2774,Table2[Dias no laborales]))</f>
        <v>1</v>
      </c>
      <c r="J2774" s="6" t="str">
        <f>IF(Table1[[#This Row],[FIN]]="","Acumulado",IF(ISNUMBER(SEARCH("ASAP",C2774)),"ASAP",IF(NETWORKDAYS.INTL(F2774,G2774,1,Table2[Dias no laborales]) &lt;= 7, "Dentro", IF(A2774&gt;F2774,"Programado","Fuera"))))</f>
        <v>Dentro</v>
      </c>
      <c r="K2774" s="6" t="str">
        <f t="shared" si="154"/>
        <v>A tiempo</v>
      </c>
      <c r="L2774" s="8">
        <v>46239</v>
      </c>
      <c r="M2774" s="17">
        <f>MAX(1,NETWORKDAYS(A2774,L2774,Table2[Dias no laborales]))</f>
        <v>1</v>
      </c>
    </row>
    <row r="2775" spans="1:13" x14ac:dyDescent="0.3">
      <c r="A2775" s="8">
        <v>46239</v>
      </c>
      <c r="B2775" s="16" t="s">
        <v>5323</v>
      </c>
      <c r="C2775" s="6" t="s">
        <v>6043</v>
      </c>
      <c r="D2775" s="6" t="s">
        <v>1360</v>
      </c>
      <c r="E2775" s="14"/>
      <c r="F2775" s="25">
        <f>IF(HOUR(Table1[[#This Row],[CORREO]])&gt;=11,WORKDAY(Table1[[#This Row],[CORREO]],1,Table2[Dias no laborales]),E2775)</f>
        <v>0</v>
      </c>
      <c r="G2775" s="8"/>
      <c r="H2775" s="6">
        <f t="shared" si="153"/>
        <v>31</v>
      </c>
      <c r="I2775" s="6">
        <f>MAX(1, NETWORKDAYS(A2775, G2775,Table2[Dias no laborales]))</f>
        <v>1</v>
      </c>
      <c r="J2775" s="6" t="str">
        <f>IF(Table1[[#This Row],[FIN]]="","Acumulado",IF(ISNUMBER(SEARCH("ASAP",C2775)),"ASAP",IF(NETWORKDAYS.INTL(F2775,G2775,1,Table2[Dias no laborales]) &lt;= 7, "Dentro", IF(A2775&gt;F2775,"Programado","Fuera"))))</f>
        <v>Acumulado</v>
      </c>
      <c r="K2775" s="6" t="str">
        <f t="shared" si="154"/>
        <v>Programados</v>
      </c>
      <c r="L2775" s="8"/>
      <c r="M2775" s="17">
        <f>MAX(1,NETWORKDAYS(A2775,L2775,Table2[Dias no laborales]))</f>
        <v>1</v>
      </c>
    </row>
    <row r="2776" spans="1:13" x14ac:dyDescent="0.3">
      <c r="A2776" s="8"/>
      <c r="B2776" s="16" t="s">
        <v>5324</v>
      </c>
      <c r="C2776" s="6"/>
      <c r="D2776" s="6"/>
      <c r="E2776" s="14"/>
      <c r="F2776" s="25">
        <f>IF(HOUR(Table1[[#This Row],[CORREO]])&gt;=11,WORKDAY(Table1[[#This Row],[CORREO]],1,Table2[Dias no laborales]),E2776)</f>
        <v>0</v>
      </c>
      <c r="G2776" s="8"/>
      <c r="H2776" s="6">
        <f t="shared" si="153"/>
        <v>0</v>
      </c>
      <c r="I2776" s="6">
        <f>MAX(1, NETWORKDAYS(A2776, G2776,Table2[Dias no laborales]))</f>
        <v>1</v>
      </c>
      <c r="J2776" s="6" t="str">
        <f>IF(Table1[[#This Row],[FIN]]="","Acumulado",IF(ISNUMBER(SEARCH("ASAP",C2776)),"ASAP",IF(NETWORKDAYS.INTL(F2776,G2776,1,Table2[Dias no laborales]) &lt;= 7, "Dentro", IF(A2776&gt;F2776,"Programado","Fuera"))))</f>
        <v>Acumulado</v>
      </c>
      <c r="K2776" s="6" t="str">
        <f t="shared" si="154"/>
        <v>A tiempo</v>
      </c>
      <c r="L2776" s="8"/>
      <c r="M2776" s="17">
        <f>MAX(1,NETWORKDAYS(A2776,L2776,Table2[Dias no laborales]))</f>
        <v>1</v>
      </c>
    </row>
    <row r="2777" spans="1:13" x14ac:dyDescent="0.3">
      <c r="A2777" s="8"/>
      <c r="B2777" s="16" t="s">
        <v>5325</v>
      </c>
      <c r="C2777" s="6"/>
      <c r="D2777" s="6"/>
      <c r="E2777" s="14"/>
      <c r="F2777" s="25">
        <f>IF(HOUR(Table1[[#This Row],[CORREO]])&gt;=11,WORKDAY(Table1[[#This Row],[CORREO]],1,Table2[Dias no laborales]),E2777)</f>
        <v>0</v>
      </c>
      <c r="G2777" s="8"/>
      <c r="H2777" s="6">
        <f t="shared" si="153"/>
        <v>0</v>
      </c>
      <c r="I2777" s="6">
        <f>MAX(1, NETWORKDAYS(A2777, G2777,Table2[Dias no laborales]))</f>
        <v>1</v>
      </c>
      <c r="J2777" s="6" t="str">
        <f>IF(Table1[[#This Row],[FIN]]="","Acumulado",IF(ISNUMBER(SEARCH("ASAP",C2777)),"ASAP",IF(NETWORKDAYS.INTL(F2777,G2777,1,Table2[Dias no laborales]) &lt;= 7, "Dentro", IF(A2777&gt;F2777,"Programado","Fuera"))))</f>
        <v>Acumulado</v>
      </c>
      <c r="K2777" s="6" t="str">
        <f t="shared" si="154"/>
        <v>A tiempo</v>
      </c>
      <c r="L2777" s="8"/>
      <c r="M2777" s="17">
        <f>MAX(1,NETWORKDAYS(A2777,L2777,Table2[Dias no laborales]))</f>
        <v>1</v>
      </c>
    </row>
    <row r="2778" spans="1:13" x14ac:dyDescent="0.3">
      <c r="A2778" s="8"/>
      <c r="B2778" s="16" t="s">
        <v>5326</v>
      </c>
      <c r="C2778" s="6"/>
      <c r="D2778" s="6"/>
      <c r="E2778" s="14"/>
      <c r="F2778" s="25">
        <f>IF(HOUR(Table1[[#This Row],[CORREO]])&gt;=11,WORKDAY(Table1[[#This Row],[CORREO]],1,Table2[Dias no laborales]),E2778)</f>
        <v>0</v>
      </c>
      <c r="G2778" s="8"/>
      <c r="H2778" s="6">
        <f t="shared" si="153"/>
        <v>0</v>
      </c>
      <c r="I2778" s="6">
        <f>MAX(1, NETWORKDAYS(A2778, G2778,Table2[Dias no laborales]))</f>
        <v>1</v>
      </c>
      <c r="J2778" s="6" t="str">
        <f>IF(Table1[[#This Row],[FIN]]="","Acumulado",IF(ISNUMBER(SEARCH("ASAP",C2778)),"ASAP",IF(NETWORKDAYS.INTL(F2778,G2778,1,Table2[Dias no laborales]) &lt;= 7, "Dentro", IF(A2778&gt;F2778,"Programado","Fuera"))))</f>
        <v>Acumulado</v>
      </c>
      <c r="K2778" s="6" t="str">
        <f t="shared" si="154"/>
        <v>A tiempo</v>
      </c>
      <c r="L2778" s="8"/>
      <c r="M2778" s="17">
        <f>MAX(1,NETWORKDAYS(A2778,L2778,Table2[Dias no laborales]))</f>
        <v>1</v>
      </c>
    </row>
    <row r="2779" spans="1:13" x14ac:dyDescent="0.3">
      <c r="A2779" s="8"/>
      <c r="B2779" s="16" t="s">
        <v>5327</v>
      </c>
      <c r="C2779" s="6"/>
      <c r="D2779" s="6"/>
      <c r="E2779" s="14"/>
      <c r="F2779" s="25">
        <f>IF(HOUR(Table1[[#This Row],[CORREO]])&gt;=11,WORKDAY(Table1[[#This Row],[CORREO]],1,Table2[Dias no laborales]),E2779)</f>
        <v>0</v>
      </c>
      <c r="G2779" s="8"/>
      <c r="H2779" s="6">
        <f t="shared" si="153"/>
        <v>0</v>
      </c>
      <c r="I2779" s="6">
        <f>MAX(1, NETWORKDAYS(A2779, G2779,Table2[Dias no laborales]))</f>
        <v>1</v>
      </c>
      <c r="J2779" s="6" t="str">
        <f>IF(Table1[[#This Row],[FIN]]="","Acumulado",IF(ISNUMBER(SEARCH("ASAP",C2779)),"ASAP",IF(NETWORKDAYS.INTL(F2779,G2779,1,Table2[Dias no laborales]) &lt;= 7, "Dentro", IF(A2779&gt;F2779,"Programado","Fuera"))))</f>
        <v>Acumulado</v>
      </c>
      <c r="K2779" s="6" t="str">
        <f t="shared" si="154"/>
        <v>A tiempo</v>
      </c>
      <c r="L2779" s="8"/>
      <c r="M2779" s="17">
        <f>MAX(1,NETWORKDAYS(A2779,L2779,Table2[Dias no laborales]))</f>
        <v>1</v>
      </c>
    </row>
    <row r="2780" spans="1:13" x14ac:dyDescent="0.3">
      <c r="A2780" s="8"/>
      <c r="B2780" s="16" t="s">
        <v>5328</v>
      </c>
      <c r="C2780" s="6"/>
      <c r="D2780" s="6"/>
      <c r="E2780" s="14"/>
      <c r="F2780" s="25">
        <f>IF(HOUR(Table1[[#This Row],[CORREO]])&gt;=11,WORKDAY(Table1[[#This Row],[CORREO]],1,Table2[Dias no laborales]),E2780)</f>
        <v>0</v>
      </c>
      <c r="G2780" s="8"/>
      <c r="H2780" s="6">
        <f t="shared" si="153"/>
        <v>0</v>
      </c>
      <c r="I2780" s="6">
        <f>MAX(1, NETWORKDAYS(A2780, G2780,Table2[Dias no laborales]))</f>
        <v>1</v>
      </c>
      <c r="J2780" s="6" t="str">
        <f>IF(Table1[[#This Row],[FIN]]="","Acumulado",IF(ISNUMBER(SEARCH("ASAP",C2780)),"ASAP",IF(NETWORKDAYS.INTL(F2780,G2780,1,Table2[Dias no laborales]) &lt;= 7, "Dentro", IF(A2780&gt;F2780,"Programado","Fuera"))))</f>
        <v>Acumulado</v>
      </c>
      <c r="K2780" s="6" t="str">
        <f t="shared" si="154"/>
        <v>A tiempo</v>
      </c>
      <c r="L2780" s="8"/>
      <c r="M2780" s="17">
        <f>MAX(1,NETWORKDAYS(A2780,L2780,Table2[Dias no laborales]))</f>
        <v>1</v>
      </c>
    </row>
    <row r="2781" spans="1:13" x14ac:dyDescent="0.3">
      <c r="A2781" s="8"/>
      <c r="B2781" s="16" t="s">
        <v>5329</v>
      </c>
      <c r="C2781" s="6"/>
      <c r="D2781" s="6"/>
      <c r="E2781" s="14"/>
      <c r="F2781" s="25">
        <f>IF(HOUR(Table1[[#This Row],[CORREO]])&gt;=11,WORKDAY(Table1[[#This Row],[CORREO]],1,Table2[Dias no laborales]),E2781)</f>
        <v>0</v>
      </c>
      <c r="G2781" s="8"/>
      <c r="H2781" s="6">
        <f t="shared" si="153"/>
        <v>0</v>
      </c>
      <c r="I2781" s="6">
        <f>MAX(1, NETWORKDAYS(A2781, G2781,Table2[Dias no laborales]))</f>
        <v>1</v>
      </c>
      <c r="J2781" s="6" t="str">
        <f>IF(Table1[[#This Row],[FIN]]="","Acumulado",IF(ISNUMBER(SEARCH("ASAP",C2781)),"ASAP",IF(NETWORKDAYS.INTL(F2781,G2781,1,Table2[Dias no laborales]) &lt;= 7, "Dentro", IF(A2781&gt;F2781,"Programado","Fuera"))))</f>
        <v>Acumulado</v>
      </c>
      <c r="K2781" s="6" t="str">
        <f t="shared" si="154"/>
        <v>A tiempo</v>
      </c>
      <c r="L2781" s="8"/>
      <c r="M2781" s="17">
        <f>MAX(1,NETWORKDAYS(A2781,L2781,Table2[Dias no laborales]))</f>
        <v>1</v>
      </c>
    </row>
    <row r="2782" spans="1:13" x14ac:dyDescent="0.3">
      <c r="A2782" s="8"/>
      <c r="B2782" s="16" t="s">
        <v>5330</v>
      </c>
      <c r="C2782" s="6"/>
      <c r="D2782" s="6"/>
      <c r="E2782" s="14"/>
      <c r="F2782" s="25">
        <f>IF(HOUR(Table1[[#This Row],[CORREO]])&gt;=11,WORKDAY(Table1[[#This Row],[CORREO]],1,Table2[Dias no laborales]),E2782)</f>
        <v>0</v>
      </c>
      <c r="G2782" s="8"/>
      <c r="H2782" s="6">
        <f t="shared" si="153"/>
        <v>0</v>
      </c>
      <c r="I2782" s="6">
        <f>MAX(1, NETWORKDAYS(A2782, G2782,Table2[Dias no laborales]))</f>
        <v>1</v>
      </c>
      <c r="J2782" s="6" t="str">
        <f>IF(Table1[[#This Row],[FIN]]="","Acumulado",IF(ISNUMBER(SEARCH("ASAP",C2782)),"ASAP",IF(NETWORKDAYS.INTL(F2782,G2782,1,Table2[Dias no laborales]) &lt;= 7, "Dentro", IF(A2782&gt;F2782,"Programado","Fuera"))))</f>
        <v>Acumulado</v>
      </c>
      <c r="K2782" s="6" t="str">
        <f t="shared" si="154"/>
        <v>A tiempo</v>
      </c>
      <c r="L2782" s="8"/>
      <c r="M2782" s="17">
        <f>MAX(1,NETWORKDAYS(A2782,L2782,Table2[Dias no laborales]))</f>
        <v>1</v>
      </c>
    </row>
    <row r="2783" spans="1:13" x14ac:dyDescent="0.3">
      <c r="A2783" s="8"/>
      <c r="B2783" s="16" t="s">
        <v>5331</v>
      </c>
      <c r="C2783" s="6"/>
      <c r="D2783" s="6"/>
      <c r="E2783" s="14"/>
      <c r="F2783" s="25">
        <f>IF(HOUR(Table1[[#This Row],[CORREO]])&gt;=11,WORKDAY(Table1[[#This Row],[CORREO]],1,Table2[Dias no laborales]),E2783)</f>
        <v>0</v>
      </c>
      <c r="G2783" s="8"/>
      <c r="H2783" s="6">
        <f t="shared" si="153"/>
        <v>0</v>
      </c>
      <c r="I2783" s="6">
        <f>MAX(1, NETWORKDAYS(A2783, G2783,Table2[Dias no laborales]))</f>
        <v>1</v>
      </c>
      <c r="J2783" s="6" t="str">
        <f>IF(Table1[[#This Row],[FIN]]="","Acumulado",IF(ISNUMBER(SEARCH("ASAP",C2783)),"ASAP",IF(NETWORKDAYS.INTL(F2783,G2783,1,Table2[Dias no laborales]) &lt;= 7, "Dentro", IF(A2783&gt;F2783,"Programado","Fuera"))))</f>
        <v>Acumulado</v>
      </c>
      <c r="K2783" s="6" t="str">
        <f t="shared" si="154"/>
        <v>A tiempo</v>
      </c>
      <c r="L2783" s="8"/>
      <c r="M2783" s="17">
        <f>MAX(1,NETWORKDAYS(A2783,L2783,Table2[Dias no laborales]))</f>
        <v>1</v>
      </c>
    </row>
    <row r="2784" spans="1:13" x14ac:dyDescent="0.3">
      <c r="A2784" s="8"/>
      <c r="B2784" s="16" t="s">
        <v>5332</v>
      </c>
      <c r="C2784" s="6"/>
      <c r="D2784" s="6"/>
      <c r="E2784" s="14"/>
      <c r="F2784" s="25">
        <f>IF(HOUR(Table1[[#This Row],[CORREO]])&gt;=11,WORKDAY(Table1[[#This Row],[CORREO]],1,Table2[Dias no laborales]),E2784)</f>
        <v>0</v>
      </c>
      <c r="G2784" s="8"/>
      <c r="H2784" s="6">
        <f t="shared" si="153"/>
        <v>0</v>
      </c>
      <c r="I2784" s="6">
        <f>MAX(1, NETWORKDAYS(A2784, G2784,Table2[Dias no laborales]))</f>
        <v>1</v>
      </c>
      <c r="J2784" s="6" t="str">
        <f>IF(Table1[[#This Row],[FIN]]="","Acumulado",IF(ISNUMBER(SEARCH("ASAP",C2784)),"ASAP",IF(NETWORKDAYS.INTL(F2784,G2784,1,Table2[Dias no laborales]) &lt;= 7, "Dentro", IF(A2784&gt;F2784,"Programado","Fuera"))))</f>
        <v>Acumulado</v>
      </c>
      <c r="K2784" s="6" t="str">
        <f t="shared" si="154"/>
        <v>A tiempo</v>
      </c>
      <c r="L2784" s="8"/>
      <c r="M2784" s="17">
        <f>MAX(1,NETWORKDAYS(A2784,L2784,Table2[Dias no laborales]))</f>
        <v>1</v>
      </c>
    </row>
    <row r="2785" spans="1:13" x14ac:dyDescent="0.3">
      <c r="A2785" s="8"/>
      <c r="B2785" s="16" t="s">
        <v>5333</v>
      </c>
      <c r="C2785" s="6"/>
      <c r="D2785" s="6"/>
      <c r="E2785" s="14"/>
      <c r="F2785" s="25">
        <f>IF(HOUR(Table1[[#This Row],[CORREO]])&gt;=11,WORKDAY(Table1[[#This Row],[CORREO]],1,Table2[Dias no laborales]),E2785)</f>
        <v>0</v>
      </c>
      <c r="G2785" s="8"/>
      <c r="H2785" s="6">
        <f t="shared" si="153"/>
        <v>0</v>
      </c>
      <c r="I2785" s="6">
        <f>MAX(1, NETWORKDAYS(A2785, G2785,Table2[Dias no laborales]))</f>
        <v>1</v>
      </c>
      <c r="J2785" s="6" t="str">
        <f>IF(Table1[[#This Row],[FIN]]="","Acumulado",IF(ISNUMBER(SEARCH("ASAP",C2785)),"ASAP",IF(NETWORKDAYS.INTL(F2785,G2785,1,Table2[Dias no laborales]) &lt;= 7, "Dentro", IF(A2785&gt;F2785,"Programado","Fuera"))))</f>
        <v>Acumulado</v>
      </c>
      <c r="K2785" s="6" t="str">
        <f t="shared" si="154"/>
        <v>A tiempo</v>
      </c>
      <c r="L2785" s="8"/>
      <c r="M2785" s="17">
        <f>MAX(1,NETWORKDAYS(A2785,L2785,Table2[Dias no laborales]))</f>
        <v>1</v>
      </c>
    </row>
    <row r="2786" spans="1:13" x14ac:dyDescent="0.3">
      <c r="A2786" s="8"/>
      <c r="B2786" s="16" t="s">
        <v>5334</v>
      </c>
      <c r="C2786" s="6"/>
      <c r="D2786" s="6"/>
      <c r="E2786" s="14"/>
      <c r="F2786" s="25">
        <f>IF(HOUR(Table1[[#This Row],[CORREO]])&gt;=11,WORKDAY(Table1[[#This Row],[CORREO]],1,Table2[Dias no laborales]),E2786)</f>
        <v>0</v>
      </c>
      <c r="G2786" s="8"/>
      <c r="H2786" s="6">
        <f t="shared" si="153"/>
        <v>0</v>
      </c>
      <c r="I2786" s="6">
        <f>MAX(1, NETWORKDAYS(A2786, G2786,Table2[Dias no laborales]))</f>
        <v>1</v>
      </c>
      <c r="J2786" s="6" t="str">
        <f>IF(Table1[[#This Row],[FIN]]="","Acumulado",IF(ISNUMBER(SEARCH("ASAP",C2786)),"ASAP",IF(NETWORKDAYS.INTL(F2786,G2786,1,Table2[Dias no laborales]) &lt;= 7, "Dentro", IF(A2786&gt;F2786,"Programado","Fuera"))))</f>
        <v>Acumulado</v>
      </c>
      <c r="K2786" s="6" t="str">
        <f t="shared" si="154"/>
        <v>A tiempo</v>
      </c>
      <c r="L2786" s="8"/>
      <c r="M2786" s="17">
        <f>MAX(1,NETWORKDAYS(A2786,L2786,Table2[Dias no laborales]))</f>
        <v>1</v>
      </c>
    </row>
    <row r="2787" spans="1:13" x14ac:dyDescent="0.3">
      <c r="A2787" s="8"/>
      <c r="B2787" s="16" t="s">
        <v>5335</v>
      </c>
      <c r="C2787" s="6"/>
      <c r="D2787" s="6"/>
      <c r="E2787" s="14"/>
      <c r="F2787" s="25">
        <f>IF(HOUR(Table1[[#This Row],[CORREO]])&gt;=11,WORKDAY(Table1[[#This Row],[CORREO]],1,Table2[Dias no laborales]),E2787)</f>
        <v>0</v>
      </c>
      <c r="G2787" s="8"/>
      <c r="H2787" s="6">
        <f t="shared" si="153"/>
        <v>0</v>
      </c>
      <c r="I2787" s="6">
        <f>MAX(1, NETWORKDAYS(A2787, G2787,Table2[Dias no laborales]))</f>
        <v>1</v>
      </c>
      <c r="J2787" s="6" t="str">
        <f>IF(Table1[[#This Row],[FIN]]="","Acumulado",IF(ISNUMBER(SEARCH("ASAP",C2787)),"ASAP",IF(NETWORKDAYS.INTL(F2787,G2787,1,Table2[Dias no laborales]) &lt;= 7, "Dentro", IF(A2787&gt;F2787,"Programado","Fuera"))))</f>
        <v>Acumulado</v>
      </c>
      <c r="K2787" s="6" t="str">
        <f t="shared" si="154"/>
        <v>A tiempo</v>
      </c>
      <c r="L2787" s="8"/>
      <c r="M2787" s="17">
        <f>MAX(1,NETWORKDAYS(A2787,L2787,Table2[Dias no laborales]))</f>
        <v>1</v>
      </c>
    </row>
    <row r="2788" spans="1:13" x14ac:dyDescent="0.3">
      <c r="A2788" s="8"/>
      <c r="B2788" s="16" t="s">
        <v>5336</v>
      </c>
      <c r="C2788" s="6"/>
      <c r="D2788" s="6"/>
      <c r="E2788" s="14"/>
      <c r="F2788" s="25">
        <f>IF(HOUR(Table1[[#This Row],[CORREO]])&gt;=11,WORKDAY(Table1[[#This Row],[CORREO]],1,Table2[Dias no laborales]),E2788)</f>
        <v>0</v>
      </c>
      <c r="G2788" s="8"/>
      <c r="H2788" s="6">
        <f t="shared" si="153"/>
        <v>0</v>
      </c>
      <c r="I2788" s="6">
        <f>MAX(1, NETWORKDAYS(A2788, G2788,Table2[Dias no laborales]))</f>
        <v>1</v>
      </c>
      <c r="J2788" s="6" t="str">
        <f>IF(Table1[[#This Row],[FIN]]="","Acumulado",IF(ISNUMBER(SEARCH("ASAP",C2788)),"ASAP",IF(NETWORKDAYS.INTL(F2788,G2788,1,Table2[Dias no laborales]) &lt;= 7, "Dentro", IF(A2788&gt;F2788,"Programado","Fuera"))))</f>
        <v>Acumulado</v>
      </c>
      <c r="K2788" s="6" t="str">
        <f t="shared" si="154"/>
        <v>A tiempo</v>
      </c>
      <c r="L2788" s="8"/>
      <c r="M2788" s="17">
        <f>MAX(1,NETWORKDAYS(A2788,L2788,Table2[Dias no laborales]))</f>
        <v>1</v>
      </c>
    </row>
    <row r="2789" spans="1:13" x14ac:dyDescent="0.3">
      <c r="A2789" s="8"/>
      <c r="B2789" s="16" t="s">
        <v>5337</v>
      </c>
      <c r="C2789" s="6"/>
      <c r="D2789" s="6"/>
      <c r="E2789" s="14"/>
      <c r="F2789" s="25">
        <f>IF(HOUR(Table1[[#This Row],[CORREO]])&gt;=11,WORKDAY(Table1[[#This Row],[CORREO]],1,Table2[Dias no laborales]),E2789)</f>
        <v>0</v>
      </c>
      <c r="G2789" s="8"/>
      <c r="H2789" s="6">
        <f t="shared" si="153"/>
        <v>0</v>
      </c>
      <c r="I2789" s="6">
        <f>MAX(1, NETWORKDAYS(A2789, G2789,Table2[Dias no laborales]))</f>
        <v>1</v>
      </c>
      <c r="J2789" s="6" t="str">
        <f>IF(Table1[[#This Row],[FIN]]="","Acumulado",IF(ISNUMBER(SEARCH("ASAP",C2789)),"ASAP",IF(NETWORKDAYS.INTL(F2789,G2789,1,Table2[Dias no laborales]) &lt;= 7, "Dentro", IF(A2789&gt;F2789,"Programado","Fuera"))))</f>
        <v>Acumulado</v>
      </c>
      <c r="K2789" s="6" t="str">
        <f t="shared" si="154"/>
        <v>A tiempo</v>
      </c>
      <c r="L2789" s="8"/>
      <c r="M2789" s="17">
        <f>MAX(1,NETWORKDAYS(A2789,L2789,Table2[Dias no laborales]))</f>
        <v>1</v>
      </c>
    </row>
    <row r="2790" spans="1:13" x14ac:dyDescent="0.3">
      <c r="A2790" s="8"/>
      <c r="B2790" s="16" t="s">
        <v>5338</v>
      </c>
      <c r="C2790" s="6"/>
      <c r="D2790" s="6"/>
      <c r="E2790" s="14"/>
      <c r="F2790" s="25">
        <f>IF(HOUR(Table1[[#This Row],[CORREO]])&gt;=11,WORKDAY(Table1[[#This Row],[CORREO]],1,Table2[Dias no laborales]),E2790)</f>
        <v>0</v>
      </c>
      <c r="G2790" s="8"/>
      <c r="H2790" s="6">
        <f t="shared" si="153"/>
        <v>0</v>
      </c>
      <c r="I2790" s="6">
        <f>MAX(1, NETWORKDAYS(A2790, G2790,Table2[Dias no laborales]))</f>
        <v>1</v>
      </c>
      <c r="J2790" s="6" t="str">
        <f>IF(Table1[[#This Row],[FIN]]="","Acumulado",IF(ISNUMBER(SEARCH("ASAP",C2790)),"ASAP",IF(NETWORKDAYS.INTL(F2790,G2790,1,Table2[Dias no laborales]) &lt;= 7, "Dentro", IF(A2790&gt;F2790,"Programado","Fuera"))))</f>
        <v>Acumulado</v>
      </c>
      <c r="K2790" s="6" t="str">
        <f t="shared" si="154"/>
        <v>A tiempo</v>
      </c>
      <c r="L2790" s="8"/>
      <c r="M2790" s="17">
        <f>MAX(1,NETWORKDAYS(A2790,L2790,Table2[Dias no laborales]))</f>
        <v>1</v>
      </c>
    </row>
    <row r="2791" spans="1:13" x14ac:dyDescent="0.3">
      <c r="A2791" s="8"/>
      <c r="B2791" s="16" t="s">
        <v>5339</v>
      </c>
      <c r="C2791" s="6"/>
      <c r="D2791" s="6"/>
      <c r="E2791" s="14"/>
      <c r="F2791" s="25">
        <f>IF(HOUR(Table1[[#This Row],[CORREO]])&gt;=11,WORKDAY(Table1[[#This Row],[CORREO]],1,Table2[Dias no laborales]),E2791)</f>
        <v>0</v>
      </c>
      <c r="G2791" s="8"/>
      <c r="H2791" s="6">
        <f t="shared" si="153"/>
        <v>0</v>
      </c>
      <c r="I2791" s="6">
        <f>MAX(1, NETWORKDAYS(A2791, G2791,Table2[Dias no laborales]))</f>
        <v>1</v>
      </c>
      <c r="J2791" s="6" t="str">
        <f>IF(Table1[[#This Row],[FIN]]="","Acumulado",IF(ISNUMBER(SEARCH("ASAP",C2791)),"ASAP",IF(NETWORKDAYS.INTL(F2791,G2791,1,Table2[Dias no laborales]) &lt;= 7, "Dentro", IF(A2791&gt;F2791,"Programado","Fuera"))))</f>
        <v>Acumulado</v>
      </c>
      <c r="K2791" s="6" t="str">
        <f t="shared" si="154"/>
        <v>A tiempo</v>
      </c>
      <c r="L2791" s="8"/>
      <c r="M2791" s="17">
        <f>MAX(1,NETWORKDAYS(A2791,L2791,Table2[Dias no laborales]))</f>
        <v>1</v>
      </c>
    </row>
    <row r="2792" spans="1:13" x14ac:dyDescent="0.3">
      <c r="A2792" s="8"/>
      <c r="B2792" s="16" t="s">
        <v>5340</v>
      </c>
      <c r="C2792" s="6"/>
      <c r="D2792" s="6"/>
      <c r="E2792" s="14"/>
      <c r="F2792" s="25">
        <f>IF(HOUR(Table1[[#This Row],[CORREO]])&gt;=11,WORKDAY(Table1[[#This Row],[CORREO]],1,Table2[Dias no laborales]),E2792)</f>
        <v>0</v>
      </c>
      <c r="G2792" s="8"/>
      <c r="H2792" s="6">
        <f t="shared" si="153"/>
        <v>0</v>
      </c>
      <c r="I2792" s="6">
        <f>MAX(1, NETWORKDAYS(A2792, G2792,Table2[Dias no laborales]))</f>
        <v>1</v>
      </c>
      <c r="J2792" s="6" t="str">
        <f>IF(Table1[[#This Row],[FIN]]="","Acumulado",IF(ISNUMBER(SEARCH("ASAP",C2792)),"ASAP",IF(NETWORKDAYS.INTL(F2792,G2792,1,Table2[Dias no laborales]) &lt;= 7, "Dentro", IF(A2792&gt;F2792,"Programado","Fuera"))))</f>
        <v>Acumulado</v>
      </c>
      <c r="K2792" s="6" t="str">
        <f t="shared" si="154"/>
        <v>A tiempo</v>
      </c>
      <c r="L2792" s="8"/>
      <c r="M2792" s="17">
        <f>MAX(1,NETWORKDAYS(A2792,L2792,Table2[Dias no laborales]))</f>
        <v>1</v>
      </c>
    </row>
    <row r="2793" spans="1:13" x14ac:dyDescent="0.3">
      <c r="A2793" s="8"/>
      <c r="B2793" s="16" t="s">
        <v>5341</v>
      </c>
      <c r="C2793" s="6"/>
      <c r="D2793" s="6"/>
      <c r="E2793" s="14"/>
      <c r="F2793" s="25">
        <f>IF(HOUR(Table1[[#This Row],[CORREO]])&gt;=11,WORKDAY(Table1[[#This Row],[CORREO]],1,Table2[Dias no laborales]),E2793)</f>
        <v>0</v>
      </c>
      <c r="G2793" s="8"/>
      <c r="H2793" s="6">
        <f t="shared" si="153"/>
        <v>0</v>
      </c>
      <c r="I2793" s="6">
        <f>MAX(1, NETWORKDAYS(A2793, G2793,Table2[Dias no laborales]))</f>
        <v>1</v>
      </c>
      <c r="J2793" s="6" t="str">
        <f>IF(Table1[[#This Row],[FIN]]="","Acumulado",IF(ISNUMBER(SEARCH("ASAP",C2793)),"ASAP",IF(NETWORKDAYS.INTL(F2793,G2793,1,Table2[Dias no laborales]) &lt;= 7, "Dentro", IF(A2793&gt;F2793,"Programado","Fuera"))))</f>
        <v>Acumulado</v>
      </c>
      <c r="K2793" s="6" t="str">
        <f t="shared" si="154"/>
        <v>A tiempo</v>
      </c>
      <c r="L2793" s="8"/>
      <c r="M2793" s="17">
        <f>MAX(1,NETWORKDAYS(A2793,L2793,Table2[Dias no laborales]))</f>
        <v>1</v>
      </c>
    </row>
    <row r="2794" spans="1:13" x14ac:dyDescent="0.3">
      <c r="A2794" s="8"/>
      <c r="B2794" s="16" t="s">
        <v>5342</v>
      </c>
      <c r="C2794" s="6"/>
      <c r="D2794" s="6"/>
      <c r="E2794" s="14"/>
      <c r="F2794" s="25">
        <f>IF(HOUR(Table1[[#This Row],[CORREO]])&gt;=11,WORKDAY(Table1[[#This Row],[CORREO]],1,Table2[Dias no laborales]),E2794)</f>
        <v>0</v>
      </c>
      <c r="G2794" s="8"/>
      <c r="H2794" s="6">
        <f t="shared" si="153"/>
        <v>0</v>
      </c>
      <c r="I2794" s="6">
        <f>MAX(1, NETWORKDAYS(A2794, G2794,Table2[Dias no laborales]))</f>
        <v>1</v>
      </c>
      <c r="J2794" s="6" t="str">
        <f>IF(Table1[[#This Row],[FIN]]="","Acumulado",IF(ISNUMBER(SEARCH("ASAP",C2794)),"ASAP",IF(NETWORKDAYS.INTL(F2794,G2794,1,Table2[Dias no laborales]) &lt;= 7, "Dentro", IF(A2794&gt;F2794,"Programado","Fuera"))))</f>
        <v>Acumulado</v>
      </c>
      <c r="K2794" s="6" t="str">
        <f t="shared" si="154"/>
        <v>A tiempo</v>
      </c>
      <c r="L2794" s="8"/>
      <c r="M2794" s="17">
        <f>MAX(1,NETWORKDAYS(A2794,L2794,Table2[Dias no laborales]))</f>
        <v>1</v>
      </c>
    </row>
    <row r="2795" spans="1:13" x14ac:dyDescent="0.3">
      <c r="A2795" s="8"/>
      <c r="B2795" s="16" t="s">
        <v>5343</v>
      </c>
      <c r="C2795" s="6"/>
      <c r="D2795" s="6"/>
      <c r="E2795" s="14"/>
      <c r="F2795" s="25">
        <f>IF(HOUR(Table1[[#This Row],[CORREO]])&gt;=11,WORKDAY(Table1[[#This Row],[CORREO]],1,Table2[Dias no laborales]),E2795)</f>
        <v>0</v>
      </c>
      <c r="G2795" s="8"/>
      <c r="H2795" s="6">
        <f t="shared" si="153"/>
        <v>0</v>
      </c>
      <c r="I2795" s="6">
        <f>MAX(1, NETWORKDAYS(A2795, G2795,Table2[Dias no laborales]))</f>
        <v>1</v>
      </c>
      <c r="J2795" s="6" t="str">
        <f>IF(Table1[[#This Row],[FIN]]="","Acumulado",IF(ISNUMBER(SEARCH("ASAP",C2795)),"ASAP",IF(NETWORKDAYS.INTL(F2795,G2795,1,Table2[Dias no laborales]) &lt;= 7, "Dentro", IF(A2795&gt;F2795,"Programado","Fuera"))))</f>
        <v>Acumulado</v>
      </c>
      <c r="K2795" s="6" t="str">
        <f t="shared" si="154"/>
        <v>A tiempo</v>
      </c>
      <c r="L2795" s="8"/>
      <c r="M2795" s="17">
        <f>MAX(1,NETWORKDAYS(A2795,L2795,Table2[Dias no laborales]))</f>
        <v>1</v>
      </c>
    </row>
    <row r="2796" spans="1:13" x14ac:dyDescent="0.3">
      <c r="A2796" s="8"/>
      <c r="B2796" s="16" t="s">
        <v>5344</v>
      </c>
      <c r="C2796" s="6"/>
      <c r="D2796" s="6"/>
      <c r="E2796" s="14"/>
      <c r="F2796" s="25">
        <f>IF(HOUR(Table1[[#This Row],[CORREO]])&gt;=11,WORKDAY(Table1[[#This Row],[CORREO]],1,Table2[Dias no laborales]),E2796)</f>
        <v>0</v>
      </c>
      <c r="G2796" s="8"/>
      <c r="H2796" s="6">
        <f t="shared" si="153"/>
        <v>0</v>
      </c>
      <c r="I2796" s="6">
        <f>MAX(1, NETWORKDAYS(A2796, G2796,Table2[Dias no laborales]))</f>
        <v>1</v>
      </c>
      <c r="J2796" s="6" t="str">
        <f>IF(Table1[[#This Row],[FIN]]="","Acumulado",IF(ISNUMBER(SEARCH("ASAP",C2796)),"ASAP",IF(NETWORKDAYS.INTL(F2796,G2796,1,Table2[Dias no laborales]) &lt;= 7, "Dentro", IF(A2796&gt;F2796,"Programado","Fuera"))))</f>
        <v>Acumulado</v>
      </c>
      <c r="K2796" s="6" t="str">
        <f t="shared" si="154"/>
        <v>A tiempo</v>
      </c>
      <c r="L2796" s="8"/>
      <c r="M2796" s="17">
        <f>MAX(1,NETWORKDAYS(A2796,L2796,Table2[Dias no laborales]))</f>
        <v>1</v>
      </c>
    </row>
    <row r="2797" spans="1:13" x14ac:dyDescent="0.3">
      <c r="A2797" s="8"/>
      <c r="B2797" s="16" t="s">
        <v>5345</v>
      </c>
      <c r="C2797" s="6"/>
      <c r="D2797" s="6"/>
      <c r="E2797" s="14"/>
      <c r="F2797" s="25">
        <f>IF(HOUR(Table1[[#This Row],[CORREO]])&gt;=11,WORKDAY(Table1[[#This Row],[CORREO]],1,Table2[Dias no laborales]),E2797)</f>
        <v>0</v>
      </c>
      <c r="G2797" s="8"/>
      <c r="H2797" s="6">
        <f t="shared" si="153"/>
        <v>0</v>
      </c>
      <c r="I2797" s="6">
        <f>MAX(1, NETWORKDAYS(A2797, G2797,Table2[Dias no laborales]))</f>
        <v>1</v>
      </c>
      <c r="J2797" s="6" t="str">
        <f>IF(Table1[[#This Row],[FIN]]="","Acumulado",IF(ISNUMBER(SEARCH("ASAP",C2797)),"ASAP",IF(NETWORKDAYS.INTL(F2797,G2797,1,Table2[Dias no laborales]) &lt;= 7, "Dentro", IF(A2797&gt;F2797,"Programado","Fuera"))))</f>
        <v>Acumulado</v>
      </c>
      <c r="K2797" s="6" t="str">
        <f t="shared" si="154"/>
        <v>A tiempo</v>
      </c>
      <c r="L2797" s="8"/>
      <c r="M2797" s="17">
        <f>MAX(1,NETWORKDAYS(A2797,L2797,Table2[Dias no laborales]))</f>
        <v>1</v>
      </c>
    </row>
    <row r="2798" spans="1:13" x14ac:dyDescent="0.3">
      <c r="A2798" s="8"/>
      <c r="B2798" s="16" t="s">
        <v>5346</v>
      </c>
      <c r="C2798" s="6"/>
      <c r="D2798" s="6"/>
      <c r="E2798" s="14"/>
      <c r="F2798" s="25">
        <f>IF(HOUR(Table1[[#This Row],[CORREO]])&gt;=11,WORKDAY(Table1[[#This Row],[CORREO]],1,Table2[Dias no laborales]),E2798)</f>
        <v>0</v>
      </c>
      <c r="G2798" s="8"/>
      <c r="H2798" s="6">
        <f t="shared" si="153"/>
        <v>0</v>
      </c>
      <c r="I2798" s="6">
        <f>MAX(1, NETWORKDAYS(A2798, G2798,Table2[Dias no laborales]))</f>
        <v>1</v>
      </c>
      <c r="J2798" s="6" t="str">
        <f>IF(Table1[[#This Row],[FIN]]="","Acumulado",IF(ISNUMBER(SEARCH("ASAP",C2798)),"ASAP",IF(NETWORKDAYS.INTL(F2798,G2798,1,Table2[Dias no laborales]) &lt;= 7, "Dentro", IF(A2798&gt;F2798,"Programado","Fuera"))))</f>
        <v>Acumulado</v>
      </c>
      <c r="K2798" s="6" t="str">
        <f t="shared" si="154"/>
        <v>A tiempo</v>
      </c>
      <c r="L2798" s="8"/>
      <c r="M2798" s="17">
        <f>MAX(1,NETWORKDAYS(A2798,L2798,Table2[Dias no laborales]))</f>
        <v>1</v>
      </c>
    </row>
    <row r="2799" spans="1:13" x14ac:dyDescent="0.3">
      <c r="A2799" s="8"/>
      <c r="B2799" s="16" t="s">
        <v>5347</v>
      </c>
      <c r="C2799" s="6"/>
      <c r="D2799" s="6"/>
      <c r="E2799" s="14"/>
      <c r="F2799" s="25">
        <f>IF(HOUR(Table1[[#This Row],[CORREO]])&gt;=11,WORKDAY(Table1[[#This Row],[CORREO]],1,Table2[Dias no laborales]),E2799)</f>
        <v>0</v>
      </c>
      <c r="G2799" s="8"/>
      <c r="H2799" s="6">
        <f t="shared" si="153"/>
        <v>0</v>
      </c>
      <c r="I2799" s="6">
        <f>MAX(1, NETWORKDAYS(A2799, G2799,Table2[Dias no laborales]))</f>
        <v>1</v>
      </c>
      <c r="J2799" s="6" t="str">
        <f>IF(Table1[[#This Row],[FIN]]="","Acumulado",IF(ISNUMBER(SEARCH("ASAP",C2799)),"ASAP",IF(NETWORKDAYS.INTL(F2799,G2799,1,Table2[Dias no laborales]) &lt;= 7, "Dentro", IF(A2799&gt;F2799,"Programado","Fuera"))))</f>
        <v>Acumulado</v>
      </c>
      <c r="K2799" s="6" t="str">
        <f t="shared" si="154"/>
        <v>A tiempo</v>
      </c>
      <c r="L2799" s="8"/>
      <c r="M2799" s="17">
        <f>MAX(1,NETWORKDAYS(A2799,L2799,Table2[Dias no laborales]))</f>
        <v>1</v>
      </c>
    </row>
    <row r="2800" spans="1:13" x14ac:dyDescent="0.3">
      <c r="A2800" s="8"/>
      <c r="B2800" s="16" t="s">
        <v>5348</v>
      </c>
      <c r="C2800" s="6"/>
      <c r="D2800" s="6"/>
      <c r="E2800" s="14"/>
      <c r="F2800" s="25">
        <f>IF(HOUR(Table1[[#This Row],[CORREO]])&gt;=11,WORKDAY(Table1[[#This Row],[CORREO]],1,Table2[Dias no laborales]),E2800)</f>
        <v>0</v>
      </c>
      <c r="G2800" s="8"/>
      <c r="H2800" s="6">
        <f t="shared" si="153"/>
        <v>0</v>
      </c>
      <c r="I2800" s="6">
        <f>MAX(1, NETWORKDAYS(A2800, G2800,Table2[Dias no laborales]))</f>
        <v>1</v>
      </c>
      <c r="J2800" s="6" t="str">
        <f>IF(Table1[[#This Row],[FIN]]="","Acumulado",IF(ISNUMBER(SEARCH("ASAP",C2800)),"ASAP",IF(NETWORKDAYS.INTL(F2800,G2800,1,Table2[Dias no laborales]) &lt;= 7, "Dentro", IF(A2800&gt;F2800,"Programado","Fuera"))))</f>
        <v>Acumulado</v>
      </c>
      <c r="K2800" s="6" t="str">
        <f t="shared" si="154"/>
        <v>A tiempo</v>
      </c>
      <c r="L2800" s="8"/>
      <c r="M2800" s="17">
        <f>MAX(1,NETWORKDAYS(A2800,L2800,Table2[Dias no laborales]))</f>
        <v>1</v>
      </c>
    </row>
    <row r="2801" spans="1:13" x14ac:dyDescent="0.3">
      <c r="A2801" s="8"/>
      <c r="B2801" s="16" t="s">
        <v>5349</v>
      </c>
      <c r="C2801" s="6"/>
      <c r="D2801" s="6"/>
      <c r="E2801" s="14"/>
      <c r="F2801" s="25">
        <f>IF(HOUR(Table1[[#This Row],[CORREO]])&gt;=11,WORKDAY(Table1[[#This Row],[CORREO]],1,Table2[Dias no laborales]),E2801)</f>
        <v>0</v>
      </c>
      <c r="G2801" s="8"/>
      <c r="H2801" s="6">
        <f t="shared" si="153"/>
        <v>0</v>
      </c>
      <c r="I2801" s="6">
        <f>MAX(1, NETWORKDAYS(A2801, G2801,Table2[Dias no laborales]))</f>
        <v>1</v>
      </c>
      <c r="J2801" s="6" t="str">
        <f>IF(Table1[[#This Row],[FIN]]="","Acumulado",IF(ISNUMBER(SEARCH("ASAP",C2801)),"ASAP",IF(NETWORKDAYS.INTL(F2801,G2801,1,Table2[Dias no laborales]) &lt;= 7, "Dentro", IF(A2801&gt;F2801,"Programado","Fuera"))))</f>
        <v>Acumulado</v>
      </c>
      <c r="K2801" s="6" t="str">
        <f t="shared" si="154"/>
        <v>A tiempo</v>
      </c>
      <c r="L2801" s="8"/>
      <c r="M2801" s="17">
        <f>MAX(1,NETWORKDAYS(A2801,L2801,Table2[Dias no laborales]))</f>
        <v>1</v>
      </c>
    </row>
    <row r="2802" spans="1:13" x14ac:dyDescent="0.3">
      <c r="A2802" s="8"/>
      <c r="B2802" s="16" t="s">
        <v>5350</v>
      </c>
      <c r="C2802" s="6"/>
      <c r="D2802" s="6"/>
      <c r="E2802" s="14"/>
      <c r="F2802" s="25">
        <f>IF(HOUR(Table1[[#This Row],[CORREO]])&gt;=11,WORKDAY(Table1[[#This Row],[CORREO]],1,Table2[Dias no laborales]),E2802)</f>
        <v>0</v>
      </c>
      <c r="G2802" s="8"/>
      <c r="H2802" s="6">
        <f t="shared" si="153"/>
        <v>0</v>
      </c>
      <c r="I2802" s="6">
        <f>MAX(1, NETWORKDAYS(A2802, G2802,Table2[Dias no laborales]))</f>
        <v>1</v>
      </c>
      <c r="J2802" s="6" t="str">
        <f>IF(Table1[[#This Row],[FIN]]="","Acumulado",IF(ISNUMBER(SEARCH("ASAP",C2802)),"ASAP",IF(NETWORKDAYS.INTL(F2802,G2802,1,Table2[Dias no laborales]) &lt;= 7, "Dentro", IF(A2802&gt;F2802,"Programado","Fuera"))))</f>
        <v>Acumulado</v>
      </c>
      <c r="K2802" s="6" t="str">
        <f t="shared" si="154"/>
        <v>A tiempo</v>
      </c>
      <c r="L2802" s="8"/>
      <c r="M2802" s="17">
        <f>MAX(1,NETWORKDAYS(A2802,L2802,Table2[Dias no laborales]))</f>
        <v>1</v>
      </c>
    </row>
    <row r="2803" spans="1:13" x14ac:dyDescent="0.3">
      <c r="A2803" s="8"/>
      <c r="B2803" s="16" t="s">
        <v>5351</v>
      </c>
      <c r="C2803" s="6"/>
      <c r="D2803" s="6"/>
      <c r="E2803" s="14"/>
      <c r="F2803" s="25">
        <f>IF(HOUR(Table1[[#This Row],[CORREO]])&gt;=11,WORKDAY(Table1[[#This Row],[CORREO]],1,Table2[Dias no laborales]),E2803)</f>
        <v>0</v>
      </c>
      <c r="G2803" s="8"/>
      <c r="H2803" s="6">
        <f t="shared" si="153"/>
        <v>0</v>
      </c>
      <c r="I2803" s="6">
        <f>MAX(1, NETWORKDAYS(A2803, G2803,Table2[Dias no laborales]))</f>
        <v>1</v>
      </c>
      <c r="J2803" s="6" t="str">
        <f>IF(Table1[[#This Row],[FIN]]="","Acumulado",IF(ISNUMBER(SEARCH("ASAP",C2803)),"ASAP",IF(NETWORKDAYS.INTL(F2803,G2803,1,Table2[Dias no laborales]) &lt;= 7, "Dentro", IF(A2803&gt;F2803,"Programado","Fuera"))))</f>
        <v>Acumulado</v>
      </c>
      <c r="K2803" s="6" t="str">
        <f t="shared" si="154"/>
        <v>A tiempo</v>
      </c>
      <c r="L2803" s="8"/>
      <c r="M2803" s="17">
        <f>MAX(1,NETWORKDAYS(A2803,L2803,Table2[Dias no laborales]))</f>
        <v>1</v>
      </c>
    </row>
    <row r="2804" spans="1:13" x14ac:dyDescent="0.3">
      <c r="A2804" s="8"/>
      <c r="B2804" s="16" t="s">
        <v>5352</v>
      </c>
      <c r="C2804" s="6"/>
      <c r="D2804" s="6"/>
      <c r="E2804" s="14"/>
      <c r="F2804" s="25">
        <f>IF(HOUR(Table1[[#This Row],[CORREO]])&gt;=11,WORKDAY(Table1[[#This Row],[CORREO]],1,Table2[Dias no laborales]),E2804)</f>
        <v>0</v>
      </c>
      <c r="G2804" s="8"/>
      <c r="H2804" s="6">
        <f t="shared" si="153"/>
        <v>0</v>
      </c>
      <c r="I2804" s="6">
        <f>MAX(1, NETWORKDAYS(A2804, G2804,Table2[Dias no laborales]))</f>
        <v>1</v>
      </c>
      <c r="J2804" s="6" t="str">
        <f>IF(Table1[[#This Row],[FIN]]="","Acumulado",IF(ISNUMBER(SEARCH("ASAP",C2804)),"ASAP",IF(NETWORKDAYS.INTL(F2804,G2804,1,Table2[Dias no laborales]) &lt;= 7, "Dentro", IF(A2804&gt;F2804,"Programado","Fuera"))))</f>
        <v>Acumulado</v>
      </c>
      <c r="K2804" s="6" t="str">
        <f t="shared" si="154"/>
        <v>A tiempo</v>
      </c>
      <c r="L2804" s="8"/>
      <c r="M2804" s="17">
        <f>MAX(1,NETWORKDAYS(A2804,L2804,Table2[Dias no laborales]))</f>
        <v>1</v>
      </c>
    </row>
    <row r="2805" spans="1:13" x14ac:dyDescent="0.3">
      <c r="A2805" s="8"/>
      <c r="B2805" s="16" t="s">
        <v>5353</v>
      </c>
      <c r="C2805" s="6"/>
      <c r="D2805" s="6"/>
      <c r="E2805" s="14"/>
      <c r="F2805" s="25">
        <f>IF(HOUR(Table1[[#This Row],[CORREO]])&gt;=11,WORKDAY(Table1[[#This Row],[CORREO]],1,Table2[Dias no laborales]),E2805)</f>
        <v>0</v>
      </c>
      <c r="G2805" s="8"/>
      <c r="H2805" s="6">
        <f t="shared" si="153"/>
        <v>0</v>
      </c>
      <c r="I2805" s="6">
        <f>MAX(1, NETWORKDAYS(A2805, G2805,Table2[Dias no laborales]))</f>
        <v>1</v>
      </c>
      <c r="J2805" s="6" t="str">
        <f>IF(Table1[[#This Row],[FIN]]="","Acumulado",IF(ISNUMBER(SEARCH("ASAP",C2805)),"ASAP",IF(NETWORKDAYS.INTL(F2805,G2805,1,Table2[Dias no laborales]) &lt;= 7, "Dentro", IF(A2805&gt;F2805,"Programado","Fuera"))))</f>
        <v>Acumulado</v>
      </c>
      <c r="K2805" s="6" t="str">
        <f t="shared" si="154"/>
        <v>A tiempo</v>
      </c>
      <c r="L2805" s="8"/>
      <c r="M2805" s="17">
        <f>MAX(1,NETWORKDAYS(A2805,L2805,Table2[Dias no laborales]))</f>
        <v>1</v>
      </c>
    </row>
    <row r="2806" spans="1:13" x14ac:dyDescent="0.3">
      <c r="A2806" s="8"/>
      <c r="B2806" s="16" t="s">
        <v>5354</v>
      </c>
      <c r="C2806" s="6"/>
      <c r="D2806" s="6"/>
      <c r="E2806" s="14"/>
      <c r="F2806" s="25">
        <f>IF(HOUR(Table1[[#This Row],[CORREO]])&gt;=11,WORKDAY(Table1[[#This Row],[CORREO]],1,Table2[Dias no laborales]),E2806)</f>
        <v>0</v>
      </c>
      <c r="G2806" s="8"/>
      <c r="H2806" s="6">
        <f t="shared" si="153"/>
        <v>0</v>
      </c>
      <c r="I2806" s="6">
        <f>MAX(1, NETWORKDAYS(A2806, G2806,Table2[Dias no laborales]))</f>
        <v>1</v>
      </c>
      <c r="J2806" s="6" t="str">
        <f>IF(Table1[[#This Row],[FIN]]="","Acumulado",IF(ISNUMBER(SEARCH("ASAP",C2806)),"ASAP",IF(NETWORKDAYS.INTL(F2806,G2806,1,Table2[Dias no laborales]) &lt;= 7, "Dentro", IF(A2806&gt;F2806,"Programado","Fuera"))))</f>
        <v>Acumulado</v>
      </c>
      <c r="K2806" s="6" t="str">
        <f t="shared" si="154"/>
        <v>A tiempo</v>
      </c>
      <c r="L2806" s="8"/>
      <c r="M2806" s="17">
        <f>MAX(1,NETWORKDAYS(A2806,L2806,Table2[Dias no laborales]))</f>
        <v>1</v>
      </c>
    </row>
    <row r="2807" spans="1:13" x14ac:dyDescent="0.3">
      <c r="A2807" s="8"/>
      <c r="B2807" s="16" t="s">
        <v>5355</v>
      </c>
      <c r="C2807" s="6"/>
      <c r="D2807" s="6"/>
      <c r="E2807" s="14"/>
      <c r="F2807" s="25">
        <f>IF(HOUR(Table1[[#This Row],[CORREO]])&gt;=11,WORKDAY(Table1[[#This Row],[CORREO]],1,Table2[Dias no laborales]),E2807)</f>
        <v>0</v>
      </c>
      <c r="G2807" s="8"/>
      <c r="H2807" s="6">
        <f t="shared" si="153"/>
        <v>0</v>
      </c>
      <c r="I2807" s="6">
        <f>MAX(1, NETWORKDAYS(A2807, G2807,Table2[Dias no laborales]))</f>
        <v>1</v>
      </c>
      <c r="J2807" s="6" t="str">
        <f>IF(Table1[[#This Row],[FIN]]="","Acumulado",IF(ISNUMBER(SEARCH("ASAP",C2807)),"ASAP",IF(NETWORKDAYS.INTL(F2807,G2807,1,Table2[Dias no laborales]) &lt;= 7, "Dentro", IF(A2807&gt;F2807,"Programado","Fuera"))))</f>
        <v>Acumulado</v>
      </c>
      <c r="K2807" s="6" t="str">
        <f t="shared" si="154"/>
        <v>A tiempo</v>
      </c>
      <c r="L2807" s="8"/>
      <c r="M2807" s="17">
        <f>MAX(1,NETWORKDAYS(A2807,L2807,Table2[Dias no laborales]))</f>
        <v>1</v>
      </c>
    </row>
    <row r="2808" spans="1:13" x14ac:dyDescent="0.3">
      <c r="A2808" s="8"/>
      <c r="B2808" s="16" t="s">
        <v>5356</v>
      </c>
      <c r="C2808" s="6"/>
      <c r="D2808" s="6"/>
      <c r="E2808" s="14"/>
      <c r="F2808" s="25">
        <f>IF(HOUR(Table1[[#This Row],[CORREO]])&gt;=11,WORKDAY(Table1[[#This Row],[CORREO]],1,Table2[Dias no laborales]),E2808)</f>
        <v>0</v>
      </c>
      <c r="G2808" s="8"/>
      <c r="H2808" s="6">
        <f t="shared" si="153"/>
        <v>0</v>
      </c>
      <c r="I2808" s="6">
        <f>MAX(1, NETWORKDAYS(A2808, G2808,Table2[Dias no laborales]))</f>
        <v>1</v>
      </c>
      <c r="J2808" s="6" t="str">
        <f>IF(Table1[[#This Row],[FIN]]="","Acumulado",IF(ISNUMBER(SEARCH("ASAP",C2808)),"ASAP",IF(NETWORKDAYS.INTL(F2808,G2808,1,Table2[Dias no laborales]) &lt;= 7, "Dentro", IF(A2808&gt;F2808,"Programado","Fuera"))))</f>
        <v>Acumulado</v>
      </c>
      <c r="K2808" s="6" t="str">
        <f t="shared" si="154"/>
        <v>A tiempo</v>
      </c>
      <c r="L2808" s="8"/>
      <c r="M2808" s="17">
        <f>MAX(1,NETWORKDAYS(A2808,L2808,Table2[Dias no laborales]))</f>
        <v>1</v>
      </c>
    </row>
    <row r="2809" spans="1:13" x14ac:dyDescent="0.3">
      <c r="A2809" s="8"/>
      <c r="B2809" s="16" t="s">
        <v>5357</v>
      </c>
      <c r="C2809" s="6"/>
      <c r="D2809" s="6"/>
      <c r="E2809" s="14"/>
      <c r="F2809" s="25">
        <f>IF(HOUR(Table1[[#This Row],[CORREO]])&gt;=11,WORKDAY(Table1[[#This Row],[CORREO]],1,Table2[Dias no laborales]),E2809)</f>
        <v>0</v>
      </c>
      <c r="G2809" s="8"/>
      <c r="H2809" s="6">
        <f t="shared" si="153"/>
        <v>0</v>
      </c>
      <c r="I2809" s="6">
        <f>MAX(1, NETWORKDAYS(A2809, G2809,Table2[Dias no laborales]))</f>
        <v>1</v>
      </c>
      <c r="J2809" s="6" t="str">
        <f>IF(Table1[[#This Row],[FIN]]="","Acumulado",IF(ISNUMBER(SEARCH("ASAP",C2809)),"ASAP",IF(NETWORKDAYS.INTL(F2809,G2809,1,Table2[Dias no laborales]) &lt;= 7, "Dentro", IF(A2809&gt;F2809,"Programado","Fuera"))))</f>
        <v>Acumulado</v>
      </c>
      <c r="K2809" s="6" t="str">
        <f t="shared" si="154"/>
        <v>A tiempo</v>
      </c>
      <c r="L2809" s="8"/>
      <c r="M2809" s="17">
        <f>MAX(1,NETWORKDAYS(A2809,L2809,Table2[Dias no laborales]))</f>
        <v>1</v>
      </c>
    </row>
    <row r="2810" spans="1:13" x14ac:dyDescent="0.3">
      <c r="A2810" s="8"/>
      <c r="B2810" s="16" t="s">
        <v>5358</v>
      </c>
      <c r="C2810" s="6"/>
      <c r="D2810" s="6"/>
      <c r="E2810" s="14"/>
      <c r="F2810" s="25">
        <f>IF(HOUR(Table1[[#This Row],[CORREO]])&gt;=11,WORKDAY(Table1[[#This Row],[CORREO]],1,Table2[Dias no laborales]),E2810)</f>
        <v>0</v>
      </c>
      <c r="G2810" s="8"/>
      <c r="H2810" s="6">
        <f t="shared" si="153"/>
        <v>0</v>
      </c>
      <c r="I2810" s="6">
        <f>MAX(1, NETWORKDAYS(A2810, G2810,Table2[Dias no laborales]))</f>
        <v>1</v>
      </c>
      <c r="J2810" s="6" t="str">
        <f>IF(Table1[[#This Row],[FIN]]="","Acumulado",IF(ISNUMBER(SEARCH("ASAP",C2810)),"ASAP",IF(NETWORKDAYS.INTL(F2810,G2810,1,Table2[Dias no laborales]) &lt;= 7, "Dentro", IF(A2810&gt;F2810,"Programado","Fuera"))))</f>
        <v>Acumulado</v>
      </c>
      <c r="K2810" s="6" t="str">
        <f t="shared" si="154"/>
        <v>A tiempo</v>
      </c>
      <c r="L2810" s="8"/>
      <c r="M2810" s="17">
        <f>MAX(1,NETWORKDAYS(A2810,L2810,Table2[Dias no laborales]))</f>
        <v>1</v>
      </c>
    </row>
    <row r="2811" spans="1:13" x14ac:dyDescent="0.3">
      <c r="A2811" s="8"/>
      <c r="B2811" s="16" t="s">
        <v>5359</v>
      </c>
      <c r="C2811" s="6"/>
      <c r="D2811" s="6"/>
      <c r="E2811" s="14"/>
      <c r="F2811" s="25">
        <f>IF(HOUR(Table1[[#This Row],[CORREO]])&gt;=11,WORKDAY(Table1[[#This Row],[CORREO]],1,Table2[Dias no laborales]),E2811)</f>
        <v>0</v>
      </c>
      <c r="G2811" s="8"/>
      <c r="H2811" s="6">
        <f t="shared" si="153"/>
        <v>0</v>
      </c>
      <c r="I2811" s="6">
        <f>MAX(1, NETWORKDAYS(A2811, G2811,Table2[Dias no laborales]))</f>
        <v>1</v>
      </c>
      <c r="J2811" s="6" t="str">
        <f>IF(Table1[[#This Row],[FIN]]="","Acumulado",IF(ISNUMBER(SEARCH("ASAP",C2811)),"ASAP",IF(NETWORKDAYS.INTL(F2811,G2811,1,Table2[Dias no laborales]) &lt;= 7, "Dentro", IF(A2811&gt;F2811,"Programado","Fuera"))))</f>
        <v>Acumulado</v>
      </c>
      <c r="K2811" s="6" t="str">
        <f t="shared" si="154"/>
        <v>A tiempo</v>
      </c>
      <c r="L2811" s="8"/>
      <c r="M2811" s="17">
        <f>MAX(1,NETWORKDAYS(A2811,L2811,Table2[Dias no laborales]))</f>
        <v>1</v>
      </c>
    </row>
    <row r="2812" spans="1:13" x14ac:dyDescent="0.3">
      <c r="A2812" s="8"/>
      <c r="B2812" s="16" t="s">
        <v>5360</v>
      </c>
      <c r="C2812" s="6"/>
      <c r="D2812" s="6"/>
      <c r="E2812" s="14"/>
      <c r="F2812" s="25">
        <f>IF(HOUR(Table1[[#This Row],[CORREO]])&gt;=11,WORKDAY(Table1[[#This Row],[CORREO]],1,Table2[Dias no laborales]),E2812)</f>
        <v>0</v>
      </c>
      <c r="G2812" s="8"/>
      <c r="H2812" s="6">
        <f t="shared" si="153"/>
        <v>0</v>
      </c>
      <c r="I2812" s="6">
        <f>MAX(1, NETWORKDAYS(A2812, G2812,Table2[Dias no laborales]))</f>
        <v>1</v>
      </c>
      <c r="J2812" s="6" t="str">
        <f>IF(Table1[[#This Row],[FIN]]="","Acumulado",IF(ISNUMBER(SEARCH("ASAP",C2812)),"ASAP",IF(NETWORKDAYS.INTL(F2812,G2812,1,Table2[Dias no laborales]) &lt;= 7, "Dentro", IF(A2812&gt;F2812,"Programado","Fuera"))))</f>
        <v>Acumulado</v>
      </c>
      <c r="K2812" s="6" t="str">
        <f t="shared" si="154"/>
        <v>A tiempo</v>
      </c>
      <c r="L2812" s="8"/>
      <c r="M2812" s="17">
        <f>MAX(1,NETWORKDAYS(A2812,L2812,Table2[Dias no laborales]))</f>
        <v>1</v>
      </c>
    </row>
    <row r="2813" spans="1:13" x14ac:dyDescent="0.3">
      <c r="A2813" s="8"/>
      <c r="B2813" s="16" t="s">
        <v>5361</v>
      </c>
      <c r="C2813" s="6"/>
      <c r="D2813" s="6"/>
      <c r="E2813" s="14"/>
      <c r="F2813" s="25">
        <f>IF(HOUR(Table1[[#This Row],[CORREO]])&gt;=11,WORKDAY(Table1[[#This Row],[CORREO]],1,Table2[Dias no laborales]),E2813)</f>
        <v>0</v>
      </c>
      <c r="G2813" s="8"/>
      <c r="H2813" s="6">
        <f t="shared" si="153"/>
        <v>0</v>
      </c>
      <c r="I2813" s="6">
        <f>MAX(1, NETWORKDAYS(A2813, G2813,Table2[Dias no laborales]))</f>
        <v>1</v>
      </c>
      <c r="J2813" s="6" t="str">
        <f>IF(Table1[[#This Row],[FIN]]="","Acumulado",IF(ISNUMBER(SEARCH("ASAP",C2813)),"ASAP",IF(NETWORKDAYS.INTL(F2813,G2813,1,Table2[Dias no laborales]) &lt;= 7, "Dentro", IF(A2813&gt;F2813,"Programado","Fuera"))))</f>
        <v>Acumulado</v>
      </c>
      <c r="K2813" s="6" t="str">
        <f t="shared" si="154"/>
        <v>A tiempo</v>
      </c>
      <c r="L2813" s="8"/>
      <c r="M2813" s="17">
        <f>MAX(1,NETWORKDAYS(A2813,L2813,Table2[Dias no laborales]))</f>
        <v>1</v>
      </c>
    </row>
    <row r="2814" spans="1:13" x14ac:dyDescent="0.3">
      <c r="A2814" s="8"/>
      <c r="B2814" s="16" t="s">
        <v>5362</v>
      </c>
      <c r="C2814" s="6"/>
      <c r="D2814" s="6"/>
      <c r="E2814" s="14"/>
      <c r="F2814" s="25">
        <f>IF(HOUR(Table1[[#This Row],[CORREO]])&gt;=11,WORKDAY(Table1[[#This Row],[CORREO]],1,Table2[Dias no laborales]),E2814)</f>
        <v>0</v>
      </c>
      <c r="G2814" s="8"/>
      <c r="H2814" s="6">
        <f t="shared" si="153"/>
        <v>0</v>
      </c>
      <c r="I2814" s="6">
        <f>MAX(1, NETWORKDAYS(A2814, G2814,Table2[Dias no laborales]))</f>
        <v>1</v>
      </c>
      <c r="J2814" s="6" t="str">
        <f>IF(Table1[[#This Row],[FIN]]="","Acumulado",IF(ISNUMBER(SEARCH("ASAP",C2814)),"ASAP",IF(NETWORKDAYS.INTL(F2814,G2814,1,Table2[Dias no laborales]) &lt;= 7, "Dentro", IF(A2814&gt;F2814,"Programado","Fuera"))))</f>
        <v>Acumulado</v>
      </c>
      <c r="K2814" s="6" t="str">
        <f t="shared" si="154"/>
        <v>A tiempo</v>
      </c>
      <c r="L2814" s="8"/>
      <c r="M2814" s="17">
        <f>MAX(1,NETWORKDAYS(A2814,L2814,Table2[Dias no laborales]))</f>
        <v>1</v>
      </c>
    </row>
    <row r="2815" spans="1:13" x14ac:dyDescent="0.3">
      <c r="A2815" s="8"/>
      <c r="B2815" s="16" t="s">
        <v>5363</v>
      </c>
      <c r="C2815" s="6"/>
      <c r="D2815" s="6"/>
      <c r="E2815" s="14"/>
      <c r="F2815" s="25">
        <f>IF(HOUR(Table1[[#This Row],[CORREO]])&gt;=11,WORKDAY(Table1[[#This Row],[CORREO]],1,Table2[Dias no laborales]),E2815)</f>
        <v>0</v>
      </c>
      <c r="G2815" s="8"/>
      <c r="H2815" s="6">
        <f t="shared" si="153"/>
        <v>0</v>
      </c>
      <c r="I2815" s="6">
        <f>MAX(1, NETWORKDAYS(A2815, G2815,Table2[Dias no laborales]))</f>
        <v>1</v>
      </c>
      <c r="J2815" s="6" t="str">
        <f>IF(Table1[[#This Row],[FIN]]="","Acumulado",IF(ISNUMBER(SEARCH("ASAP",C2815)),"ASAP",IF(NETWORKDAYS.INTL(F2815,G2815,1,Table2[Dias no laborales]) &lt;= 7, "Dentro", IF(A2815&gt;F2815,"Programado","Fuera"))))</f>
        <v>Acumulado</v>
      </c>
      <c r="K2815" s="6" t="str">
        <f t="shared" si="154"/>
        <v>A tiempo</v>
      </c>
      <c r="L2815" s="8"/>
      <c r="M2815" s="17">
        <f>MAX(1,NETWORKDAYS(A2815,L2815,Table2[Dias no laborales]))</f>
        <v>1</v>
      </c>
    </row>
    <row r="2816" spans="1:13" x14ac:dyDescent="0.3">
      <c r="A2816" s="8"/>
      <c r="B2816" s="16" t="s">
        <v>5364</v>
      </c>
      <c r="C2816" s="6"/>
      <c r="D2816" s="6"/>
      <c r="E2816" s="14"/>
      <c r="F2816" s="25">
        <f>IF(HOUR(Table1[[#This Row],[CORREO]])&gt;=11,WORKDAY(Table1[[#This Row],[CORREO]],1,Table2[Dias no laborales]),E2816)</f>
        <v>0</v>
      </c>
      <c r="G2816" s="8"/>
      <c r="H2816" s="6">
        <f t="shared" si="153"/>
        <v>0</v>
      </c>
      <c r="I2816" s="6">
        <f>MAX(1, NETWORKDAYS(A2816, G2816,Table2[Dias no laborales]))</f>
        <v>1</v>
      </c>
      <c r="J2816" s="6" t="str">
        <f>IF(Table1[[#This Row],[FIN]]="","Acumulado",IF(ISNUMBER(SEARCH("ASAP",C2816)),"ASAP",IF(NETWORKDAYS.INTL(F2816,G2816,1,Table2[Dias no laborales]) &lt;= 7, "Dentro", IF(A2816&gt;F2816,"Programado","Fuera"))))</f>
        <v>Acumulado</v>
      </c>
      <c r="K2816" s="6" t="str">
        <f t="shared" si="154"/>
        <v>A tiempo</v>
      </c>
      <c r="L2816" s="8"/>
      <c r="M2816" s="17">
        <f>MAX(1,NETWORKDAYS(A2816,L2816,Table2[Dias no laborales]))</f>
        <v>1</v>
      </c>
    </row>
    <row r="2817" spans="1:13" x14ac:dyDescent="0.3">
      <c r="A2817" s="8"/>
      <c r="B2817" s="16" t="s">
        <v>5365</v>
      </c>
      <c r="C2817" s="6"/>
      <c r="D2817" s="6"/>
      <c r="E2817" s="14"/>
      <c r="F2817" s="25">
        <f>IF(HOUR(Table1[[#This Row],[CORREO]])&gt;=11,WORKDAY(Table1[[#This Row],[CORREO]],1,Table2[Dias no laborales]),E2817)</f>
        <v>0</v>
      </c>
      <c r="G2817" s="8"/>
      <c r="H2817" s="6">
        <f t="shared" si="153"/>
        <v>0</v>
      </c>
      <c r="I2817" s="6">
        <f>MAX(1, NETWORKDAYS(A2817, G2817,Table2[Dias no laborales]))</f>
        <v>1</v>
      </c>
      <c r="J2817" s="6" t="str">
        <f>IF(Table1[[#This Row],[FIN]]="","Acumulado",IF(ISNUMBER(SEARCH("ASAP",C2817)),"ASAP",IF(NETWORKDAYS.INTL(F2817,G2817,1,Table2[Dias no laborales]) &lt;= 7, "Dentro", IF(A2817&gt;F2817,"Programado","Fuera"))))</f>
        <v>Acumulado</v>
      </c>
      <c r="K2817" s="6" t="str">
        <f t="shared" si="154"/>
        <v>A tiempo</v>
      </c>
      <c r="L2817" s="8"/>
      <c r="M2817" s="17">
        <f>MAX(1,NETWORKDAYS(A2817,L2817,Table2[Dias no laborales]))</f>
        <v>1</v>
      </c>
    </row>
    <row r="2818" spans="1:13" x14ac:dyDescent="0.3">
      <c r="A2818" s="8"/>
      <c r="B2818" s="16" t="s">
        <v>5366</v>
      </c>
      <c r="C2818" s="6"/>
      <c r="D2818" s="6"/>
      <c r="E2818" s="14"/>
      <c r="F2818" s="25">
        <f>IF(HOUR(Table1[[#This Row],[CORREO]])&gt;=11,WORKDAY(Table1[[#This Row],[CORREO]],1,Table2[Dias no laborales]),E2818)</f>
        <v>0</v>
      </c>
      <c r="G2818" s="8"/>
      <c r="H2818" s="6">
        <f t="shared" si="153"/>
        <v>0</v>
      </c>
      <c r="I2818" s="6">
        <f>MAX(1, NETWORKDAYS(A2818, G2818,Table2[Dias no laborales]))</f>
        <v>1</v>
      </c>
      <c r="J2818" s="6" t="str">
        <f>IF(Table1[[#This Row],[FIN]]="","Acumulado",IF(ISNUMBER(SEARCH("ASAP",C2818)),"ASAP",IF(NETWORKDAYS.INTL(F2818,G2818,1,Table2[Dias no laborales]) &lt;= 7, "Dentro", IF(A2818&gt;F2818,"Programado","Fuera"))))</f>
        <v>Acumulado</v>
      </c>
      <c r="K2818" s="6" t="str">
        <f t="shared" si="154"/>
        <v>A tiempo</v>
      </c>
      <c r="L2818" s="8"/>
      <c r="M2818" s="17">
        <f>MAX(1,NETWORKDAYS(A2818,L2818,Table2[Dias no laborales]))</f>
        <v>1</v>
      </c>
    </row>
    <row r="2819" spans="1:13" x14ac:dyDescent="0.3">
      <c r="A2819" s="8"/>
      <c r="B2819" s="16" t="s">
        <v>5367</v>
      </c>
      <c r="C2819" s="6"/>
      <c r="D2819" s="6"/>
      <c r="E2819" s="14"/>
      <c r="F2819" s="25">
        <f>IF(HOUR(Table1[[#This Row],[CORREO]])&gt;=11,WORKDAY(Table1[[#This Row],[CORREO]],1,Table2[Dias no laborales]),E2819)</f>
        <v>0</v>
      </c>
      <c r="G2819" s="8"/>
      <c r="H2819" s="6">
        <f t="shared" si="153"/>
        <v>0</v>
      </c>
      <c r="I2819" s="6">
        <f>MAX(1, NETWORKDAYS(A2819, G2819,Table2[Dias no laborales]))</f>
        <v>1</v>
      </c>
      <c r="J2819" s="6" t="str">
        <f>IF(Table1[[#This Row],[FIN]]="","Acumulado",IF(ISNUMBER(SEARCH("ASAP",C2819)),"ASAP",IF(NETWORKDAYS.INTL(F2819,G2819,1,Table2[Dias no laborales]) &lt;= 7, "Dentro", IF(A2819&gt;F2819,"Programado","Fuera"))))</f>
        <v>Acumulado</v>
      </c>
      <c r="K2819" s="6" t="str">
        <f t="shared" si="154"/>
        <v>A tiempo</v>
      </c>
      <c r="L2819" s="8"/>
      <c r="M2819" s="17">
        <f>MAX(1,NETWORKDAYS(A2819,L2819,Table2[Dias no laborales]))</f>
        <v>1</v>
      </c>
    </row>
    <row r="2820" spans="1:13" x14ac:dyDescent="0.3">
      <c r="A2820" s="8"/>
      <c r="B2820" s="16" t="s">
        <v>5368</v>
      </c>
      <c r="C2820" s="6"/>
      <c r="D2820" s="6"/>
      <c r="E2820" s="14"/>
      <c r="F2820" s="25">
        <f>IF(HOUR(Table1[[#This Row],[CORREO]])&gt;=11,WORKDAY(Table1[[#This Row],[CORREO]],1,Table2[Dias no laborales]),E2820)</f>
        <v>0</v>
      </c>
      <c r="G2820" s="8"/>
      <c r="H2820" s="6">
        <f t="shared" si="153"/>
        <v>0</v>
      </c>
      <c r="I2820" s="6">
        <f>MAX(1, NETWORKDAYS(A2820, G2820,Table2[Dias no laborales]))</f>
        <v>1</v>
      </c>
      <c r="J2820" s="6" t="str">
        <f>IF(Table1[[#This Row],[FIN]]="","Acumulado",IF(ISNUMBER(SEARCH("ASAP",C2820)),"ASAP",IF(NETWORKDAYS.INTL(F2820,G2820,1,Table2[Dias no laborales]) &lt;= 7, "Dentro", IF(A2820&gt;F2820,"Programado","Fuera"))))</f>
        <v>Acumulado</v>
      </c>
      <c r="K2820" s="6" t="str">
        <f t="shared" si="154"/>
        <v>A tiempo</v>
      </c>
      <c r="L2820" s="8"/>
      <c r="M2820" s="17">
        <f>MAX(1,NETWORKDAYS(A2820,L2820,Table2[Dias no laborales]))</f>
        <v>1</v>
      </c>
    </row>
    <row r="2821" spans="1:13" x14ac:dyDescent="0.3">
      <c r="A2821" s="8"/>
      <c r="B2821" s="16" t="s">
        <v>5369</v>
      </c>
      <c r="C2821" s="6"/>
      <c r="D2821" s="6"/>
      <c r="E2821" s="14"/>
      <c r="F2821" s="25">
        <f>IF(HOUR(Table1[[#This Row],[CORREO]])&gt;=11,WORKDAY(Table1[[#This Row],[CORREO]],1,Table2[Dias no laborales]),E2821)</f>
        <v>0</v>
      </c>
      <c r="G2821" s="8"/>
      <c r="H2821" s="6">
        <f t="shared" si="153"/>
        <v>0</v>
      </c>
      <c r="I2821" s="6">
        <f>MAX(1, NETWORKDAYS(A2821, G2821,Table2[Dias no laborales]))</f>
        <v>1</v>
      </c>
      <c r="J2821" s="6" t="str">
        <f>IF(Table1[[#This Row],[FIN]]="","Acumulado",IF(ISNUMBER(SEARCH("ASAP",C2821)),"ASAP",IF(NETWORKDAYS.INTL(F2821,G2821,1,Table2[Dias no laborales]) &lt;= 7, "Dentro", IF(A2821&gt;F2821,"Programado","Fuera"))))</f>
        <v>Acumulado</v>
      </c>
      <c r="K2821" s="6" t="str">
        <f t="shared" si="154"/>
        <v>A tiempo</v>
      </c>
      <c r="L2821" s="8"/>
      <c r="M2821" s="17">
        <f>MAX(1,NETWORKDAYS(A2821,L2821,Table2[Dias no laborales]))</f>
        <v>1</v>
      </c>
    </row>
    <row r="2822" spans="1:13" x14ac:dyDescent="0.3">
      <c r="A2822" s="8"/>
      <c r="B2822" s="16" t="s">
        <v>5370</v>
      </c>
      <c r="C2822" s="6"/>
      <c r="D2822" s="6"/>
      <c r="E2822" s="14"/>
      <c r="F2822" s="25">
        <f>IF(HOUR(Table1[[#This Row],[CORREO]])&gt;=11,WORKDAY(Table1[[#This Row],[CORREO]],1,Table2[Dias no laborales]),E2822)</f>
        <v>0</v>
      </c>
      <c r="G2822" s="8"/>
      <c r="H2822" s="6">
        <f t="shared" si="153"/>
        <v>0</v>
      </c>
      <c r="I2822" s="6">
        <f>MAX(1, NETWORKDAYS(A2822, G2822,Table2[Dias no laborales]))</f>
        <v>1</v>
      </c>
      <c r="J2822" s="6" t="str">
        <f>IF(Table1[[#This Row],[FIN]]="","Acumulado",IF(ISNUMBER(SEARCH("ASAP",C2822)),"ASAP",IF(NETWORKDAYS.INTL(F2822,G2822,1,Table2[Dias no laborales]) &lt;= 7, "Dentro", IF(A2822&gt;F2822,"Programado","Fuera"))))</f>
        <v>Acumulado</v>
      </c>
      <c r="K2822" s="6" t="str">
        <f t="shared" si="154"/>
        <v>A tiempo</v>
      </c>
      <c r="L2822" s="8"/>
      <c r="M2822" s="17">
        <f>MAX(1,NETWORKDAYS(A2822,L2822,Table2[Dias no laborales]))</f>
        <v>1</v>
      </c>
    </row>
    <row r="2823" spans="1:13" x14ac:dyDescent="0.3">
      <c r="A2823" s="8"/>
      <c r="B2823" s="16" t="s">
        <v>5371</v>
      </c>
      <c r="C2823" s="6"/>
      <c r="D2823" s="6"/>
      <c r="E2823" s="14"/>
      <c r="F2823" s="25">
        <f>IF(HOUR(Table1[[#This Row],[CORREO]])&gt;=11,WORKDAY(Table1[[#This Row],[CORREO]],1,Table2[Dias no laborales]),E2823)</f>
        <v>0</v>
      </c>
      <c r="G2823" s="8"/>
      <c r="H2823" s="6">
        <f t="shared" si="153"/>
        <v>0</v>
      </c>
      <c r="I2823" s="6">
        <f>MAX(1, NETWORKDAYS(A2823, G2823,Table2[Dias no laborales]))</f>
        <v>1</v>
      </c>
      <c r="J2823" s="6" t="str">
        <f>IF(Table1[[#This Row],[FIN]]="","Acumulado",IF(ISNUMBER(SEARCH("ASAP",C2823)),"ASAP",IF(NETWORKDAYS.INTL(F2823,G2823,1,Table2[Dias no laborales]) &lt;= 7, "Dentro", IF(A2823&gt;F2823,"Programado","Fuera"))))</f>
        <v>Acumulado</v>
      </c>
      <c r="K2823" s="6" t="str">
        <f t="shared" si="154"/>
        <v>A tiempo</v>
      </c>
      <c r="L2823" s="8"/>
      <c r="M2823" s="17">
        <f>MAX(1,NETWORKDAYS(A2823,L2823,Table2[Dias no laborales]))</f>
        <v>1</v>
      </c>
    </row>
    <row r="2824" spans="1:13" x14ac:dyDescent="0.3">
      <c r="A2824" s="8"/>
      <c r="B2824" s="16" t="s">
        <v>5372</v>
      </c>
      <c r="C2824" s="6"/>
      <c r="D2824" s="6"/>
      <c r="E2824" s="14"/>
      <c r="F2824" s="25">
        <f>IF(HOUR(Table1[[#This Row],[CORREO]])&gt;=11,WORKDAY(Table1[[#This Row],[CORREO]],1,Table2[Dias no laborales]),E2824)</f>
        <v>0</v>
      </c>
      <c r="G2824" s="8"/>
      <c r="H2824" s="6">
        <f t="shared" ref="H2824:H2887" si="155">INT((A2824-DATE(YEAR(A2824),1,1))/7) + 1</f>
        <v>0</v>
      </c>
      <c r="I2824" s="6">
        <f>MAX(1, NETWORKDAYS(A2824, G2824,Table2[Dias no laborales]))</f>
        <v>1</v>
      </c>
      <c r="J2824" s="6" t="str">
        <f>IF(Table1[[#This Row],[FIN]]="","Acumulado",IF(ISNUMBER(SEARCH("ASAP",C2824)),"ASAP",IF(NETWORKDAYS.INTL(F2824,G2824,1,Table2[Dias no laborales]) &lt;= 7, "Dentro", IF(A2824&gt;F2824,"Programado","Fuera"))))</f>
        <v>Acumulado</v>
      </c>
      <c r="K2824" s="6" t="str">
        <f t="shared" ref="K2824:K2887" si="156">IF(INT(A2824)=INT(F2824),"A tiempo", IF(A2824&lt;F2824,"Mismo día","Programados"))</f>
        <v>A tiempo</v>
      </c>
      <c r="L2824" s="8"/>
      <c r="M2824" s="17">
        <f>MAX(1,NETWORKDAYS(A2824,L2824,Table2[Dias no laborales]))</f>
        <v>1</v>
      </c>
    </row>
    <row r="2825" spans="1:13" x14ac:dyDescent="0.3">
      <c r="A2825" s="8"/>
      <c r="B2825" s="16" t="s">
        <v>5373</v>
      </c>
      <c r="C2825" s="6"/>
      <c r="D2825" s="6"/>
      <c r="E2825" s="14"/>
      <c r="F2825" s="25">
        <f>IF(HOUR(Table1[[#This Row],[CORREO]])&gt;=11,WORKDAY(Table1[[#This Row],[CORREO]],1,Table2[Dias no laborales]),E2825)</f>
        <v>0</v>
      </c>
      <c r="G2825" s="8"/>
      <c r="H2825" s="6">
        <f t="shared" si="155"/>
        <v>0</v>
      </c>
      <c r="I2825" s="6">
        <f>MAX(1, NETWORKDAYS(A2825, G2825,Table2[Dias no laborales]))</f>
        <v>1</v>
      </c>
      <c r="J2825" s="6" t="str">
        <f>IF(Table1[[#This Row],[FIN]]="","Acumulado",IF(ISNUMBER(SEARCH("ASAP",C2825)),"ASAP",IF(NETWORKDAYS.INTL(F2825,G2825,1,Table2[Dias no laborales]) &lt;= 7, "Dentro", IF(A2825&gt;F2825,"Programado","Fuera"))))</f>
        <v>Acumulado</v>
      </c>
      <c r="K2825" s="6" t="str">
        <f t="shared" si="156"/>
        <v>A tiempo</v>
      </c>
      <c r="L2825" s="8"/>
      <c r="M2825" s="17">
        <f>MAX(1,NETWORKDAYS(A2825,L2825,Table2[Dias no laborales]))</f>
        <v>1</v>
      </c>
    </row>
    <row r="2826" spans="1:13" x14ac:dyDescent="0.3">
      <c r="A2826" s="8"/>
      <c r="B2826" s="16" t="s">
        <v>5374</v>
      </c>
      <c r="C2826" s="6"/>
      <c r="D2826" s="6"/>
      <c r="E2826" s="14"/>
      <c r="F2826" s="25">
        <f>IF(HOUR(Table1[[#This Row],[CORREO]])&gt;=11,WORKDAY(Table1[[#This Row],[CORREO]],1,Table2[Dias no laborales]),E2826)</f>
        <v>0</v>
      </c>
      <c r="G2826" s="8"/>
      <c r="H2826" s="6">
        <f t="shared" si="155"/>
        <v>0</v>
      </c>
      <c r="I2826" s="6">
        <f>MAX(1, NETWORKDAYS(A2826, G2826,Table2[Dias no laborales]))</f>
        <v>1</v>
      </c>
      <c r="J2826" s="6" t="str">
        <f>IF(Table1[[#This Row],[FIN]]="","Acumulado",IF(ISNUMBER(SEARCH("ASAP",C2826)),"ASAP",IF(NETWORKDAYS.INTL(F2826,G2826,1,Table2[Dias no laborales]) &lt;= 7, "Dentro", IF(A2826&gt;F2826,"Programado","Fuera"))))</f>
        <v>Acumulado</v>
      </c>
      <c r="K2826" s="6" t="str">
        <f t="shared" si="156"/>
        <v>A tiempo</v>
      </c>
      <c r="L2826" s="8"/>
      <c r="M2826" s="17">
        <f>MAX(1,NETWORKDAYS(A2826,L2826,Table2[Dias no laborales]))</f>
        <v>1</v>
      </c>
    </row>
    <row r="2827" spans="1:13" x14ac:dyDescent="0.3">
      <c r="A2827" s="8"/>
      <c r="B2827" s="16" t="s">
        <v>5375</v>
      </c>
      <c r="C2827" s="6"/>
      <c r="D2827" s="6"/>
      <c r="E2827" s="14"/>
      <c r="F2827" s="25">
        <f>IF(HOUR(Table1[[#This Row],[CORREO]])&gt;=11,WORKDAY(Table1[[#This Row],[CORREO]],1,Table2[Dias no laborales]),E2827)</f>
        <v>0</v>
      </c>
      <c r="G2827" s="8"/>
      <c r="H2827" s="6">
        <f t="shared" si="155"/>
        <v>0</v>
      </c>
      <c r="I2827" s="6">
        <f>MAX(1, NETWORKDAYS(A2827, G2827,Table2[Dias no laborales]))</f>
        <v>1</v>
      </c>
      <c r="J2827" s="6" t="str">
        <f>IF(Table1[[#This Row],[FIN]]="","Acumulado",IF(ISNUMBER(SEARCH("ASAP",C2827)),"ASAP",IF(NETWORKDAYS.INTL(F2827,G2827,1,Table2[Dias no laborales]) &lt;= 7, "Dentro", IF(A2827&gt;F2827,"Programado","Fuera"))))</f>
        <v>Acumulado</v>
      </c>
      <c r="K2827" s="6" t="str">
        <f t="shared" si="156"/>
        <v>A tiempo</v>
      </c>
      <c r="L2827" s="8"/>
      <c r="M2827" s="17">
        <f>MAX(1,NETWORKDAYS(A2827,L2827,Table2[Dias no laborales]))</f>
        <v>1</v>
      </c>
    </row>
    <row r="2828" spans="1:13" x14ac:dyDescent="0.3">
      <c r="A2828" s="8"/>
      <c r="B2828" s="16" t="s">
        <v>5376</v>
      </c>
      <c r="C2828" s="6"/>
      <c r="D2828" s="6"/>
      <c r="E2828" s="14"/>
      <c r="F2828" s="25">
        <f>IF(HOUR(Table1[[#This Row],[CORREO]])&gt;=11,WORKDAY(Table1[[#This Row],[CORREO]],1,Table2[Dias no laborales]),E2828)</f>
        <v>0</v>
      </c>
      <c r="G2828" s="8"/>
      <c r="H2828" s="6">
        <f t="shared" si="155"/>
        <v>0</v>
      </c>
      <c r="I2828" s="6">
        <f>MAX(1, NETWORKDAYS(A2828, G2828,Table2[Dias no laborales]))</f>
        <v>1</v>
      </c>
      <c r="J2828" s="6" t="str">
        <f>IF(Table1[[#This Row],[FIN]]="","Acumulado",IF(ISNUMBER(SEARCH("ASAP",C2828)),"ASAP",IF(NETWORKDAYS.INTL(F2828,G2828,1,Table2[Dias no laborales]) &lt;= 7, "Dentro", IF(A2828&gt;F2828,"Programado","Fuera"))))</f>
        <v>Acumulado</v>
      </c>
      <c r="K2828" s="6" t="str">
        <f t="shared" si="156"/>
        <v>A tiempo</v>
      </c>
      <c r="L2828" s="8"/>
      <c r="M2828" s="17">
        <f>MAX(1,NETWORKDAYS(A2828,L2828,Table2[Dias no laborales]))</f>
        <v>1</v>
      </c>
    </row>
    <row r="2829" spans="1:13" x14ac:dyDescent="0.3">
      <c r="A2829" s="8"/>
      <c r="B2829" s="16" t="s">
        <v>5377</v>
      </c>
      <c r="C2829" s="6"/>
      <c r="D2829" s="6"/>
      <c r="E2829" s="14"/>
      <c r="F2829" s="25">
        <f>IF(HOUR(Table1[[#This Row],[CORREO]])&gt;=11,WORKDAY(Table1[[#This Row],[CORREO]],1,Table2[Dias no laborales]),E2829)</f>
        <v>0</v>
      </c>
      <c r="G2829" s="8"/>
      <c r="H2829" s="6">
        <f t="shared" si="155"/>
        <v>0</v>
      </c>
      <c r="I2829" s="6">
        <f>MAX(1, NETWORKDAYS(A2829, G2829,Table2[Dias no laborales]))</f>
        <v>1</v>
      </c>
      <c r="J2829" s="6" t="str">
        <f>IF(Table1[[#This Row],[FIN]]="","Acumulado",IF(ISNUMBER(SEARCH("ASAP",C2829)),"ASAP",IF(NETWORKDAYS.INTL(F2829,G2829,1,Table2[Dias no laborales]) &lt;= 7, "Dentro", IF(A2829&gt;F2829,"Programado","Fuera"))))</f>
        <v>Acumulado</v>
      </c>
      <c r="K2829" s="6" t="str">
        <f t="shared" si="156"/>
        <v>A tiempo</v>
      </c>
      <c r="L2829" s="8"/>
      <c r="M2829" s="17">
        <f>MAX(1,NETWORKDAYS(A2829,L2829,Table2[Dias no laborales]))</f>
        <v>1</v>
      </c>
    </row>
    <row r="2830" spans="1:13" x14ac:dyDescent="0.3">
      <c r="A2830" s="8"/>
      <c r="B2830" s="16" t="s">
        <v>5378</v>
      </c>
      <c r="C2830" s="6"/>
      <c r="D2830" s="6"/>
      <c r="E2830" s="14"/>
      <c r="F2830" s="25">
        <f>IF(HOUR(Table1[[#This Row],[CORREO]])&gt;=11,WORKDAY(Table1[[#This Row],[CORREO]],1,Table2[Dias no laborales]),E2830)</f>
        <v>0</v>
      </c>
      <c r="G2830" s="8"/>
      <c r="H2830" s="6">
        <f t="shared" si="155"/>
        <v>0</v>
      </c>
      <c r="I2830" s="6">
        <f>MAX(1, NETWORKDAYS(A2830, G2830,Table2[Dias no laborales]))</f>
        <v>1</v>
      </c>
      <c r="J2830" s="6" t="str">
        <f>IF(Table1[[#This Row],[FIN]]="","Acumulado",IF(ISNUMBER(SEARCH("ASAP",C2830)),"ASAP",IF(NETWORKDAYS.INTL(F2830,G2830,1,Table2[Dias no laborales]) &lt;= 7, "Dentro", IF(A2830&gt;F2830,"Programado","Fuera"))))</f>
        <v>Acumulado</v>
      </c>
      <c r="K2830" s="6" t="str">
        <f t="shared" si="156"/>
        <v>A tiempo</v>
      </c>
      <c r="L2830" s="8"/>
      <c r="M2830" s="17">
        <f>MAX(1,NETWORKDAYS(A2830,L2830,Table2[Dias no laborales]))</f>
        <v>1</v>
      </c>
    </row>
    <row r="2831" spans="1:13" x14ac:dyDescent="0.3">
      <c r="A2831" s="8"/>
      <c r="B2831" s="16" t="s">
        <v>5379</v>
      </c>
      <c r="C2831" s="6"/>
      <c r="D2831" s="6"/>
      <c r="E2831" s="14"/>
      <c r="F2831" s="25">
        <f>IF(HOUR(Table1[[#This Row],[CORREO]])&gt;=11,WORKDAY(Table1[[#This Row],[CORREO]],1,Table2[Dias no laborales]),E2831)</f>
        <v>0</v>
      </c>
      <c r="G2831" s="8"/>
      <c r="H2831" s="6">
        <f t="shared" si="155"/>
        <v>0</v>
      </c>
      <c r="I2831" s="6">
        <f>MAX(1, NETWORKDAYS(A2831, G2831,Table2[Dias no laborales]))</f>
        <v>1</v>
      </c>
      <c r="J2831" s="6" t="str">
        <f>IF(Table1[[#This Row],[FIN]]="","Acumulado",IF(ISNUMBER(SEARCH("ASAP",C2831)),"ASAP",IF(NETWORKDAYS.INTL(F2831,G2831,1,Table2[Dias no laborales]) &lt;= 7, "Dentro", IF(A2831&gt;F2831,"Programado","Fuera"))))</f>
        <v>Acumulado</v>
      </c>
      <c r="K2831" s="6" t="str">
        <f t="shared" si="156"/>
        <v>A tiempo</v>
      </c>
      <c r="L2831" s="8"/>
      <c r="M2831" s="17">
        <f>MAX(1,NETWORKDAYS(A2831,L2831,Table2[Dias no laborales]))</f>
        <v>1</v>
      </c>
    </row>
    <row r="2832" spans="1:13" x14ac:dyDescent="0.3">
      <c r="A2832" s="8"/>
      <c r="B2832" s="16" t="s">
        <v>5380</v>
      </c>
      <c r="C2832" s="6"/>
      <c r="D2832" s="6"/>
      <c r="E2832" s="14"/>
      <c r="F2832" s="25">
        <f>IF(HOUR(Table1[[#This Row],[CORREO]])&gt;=11,WORKDAY(Table1[[#This Row],[CORREO]],1,Table2[Dias no laborales]),E2832)</f>
        <v>0</v>
      </c>
      <c r="G2832" s="8"/>
      <c r="H2832" s="6">
        <f t="shared" si="155"/>
        <v>0</v>
      </c>
      <c r="I2832" s="6">
        <f>MAX(1, NETWORKDAYS(A2832, G2832,Table2[Dias no laborales]))</f>
        <v>1</v>
      </c>
      <c r="J2832" s="6" t="str">
        <f>IF(Table1[[#This Row],[FIN]]="","Acumulado",IF(ISNUMBER(SEARCH("ASAP",C2832)),"ASAP",IF(NETWORKDAYS.INTL(F2832,G2832,1,Table2[Dias no laborales]) &lt;= 7, "Dentro", IF(A2832&gt;F2832,"Programado","Fuera"))))</f>
        <v>Acumulado</v>
      </c>
      <c r="K2832" s="6" t="str">
        <f t="shared" si="156"/>
        <v>A tiempo</v>
      </c>
      <c r="L2832" s="8"/>
      <c r="M2832" s="17">
        <f>MAX(1,NETWORKDAYS(A2832,L2832,Table2[Dias no laborales]))</f>
        <v>1</v>
      </c>
    </row>
    <row r="2833" spans="1:13" x14ac:dyDescent="0.3">
      <c r="A2833" s="8"/>
      <c r="B2833" s="16" t="s">
        <v>5381</v>
      </c>
      <c r="C2833" s="6"/>
      <c r="D2833" s="6"/>
      <c r="E2833" s="14"/>
      <c r="F2833" s="25">
        <f>IF(HOUR(Table1[[#This Row],[CORREO]])&gt;=11,WORKDAY(Table1[[#This Row],[CORREO]],1,Table2[Dias no laborales]),E2833)</f>
        <v>0</v>
      </c>
      <c r="G2833" s="8"/>
      <c r="H2833" s="6">
        <f t="shared" si="155"/>
        <v>0</v>
      </c>
      <c r="I2833" s="6">
        <f>MAX(1, NETWORKDAYS(A2833, G2833,Table2[Dias no laborales]))</f>
        <v>1</v>
      </c>
      <c r="J2833" s="6" t="str">
        <f>IF(Table1[[#This Row],[FIN]]="","Acumulado",IF(ISNUMBER(SEARCH("ASAP",C2833)),"ASAP",IF(NETWORKDAYS.INTL(F2833,G2833,1,Table2[Dias no laborales]) &lt;= 7, "Dentro", IF(A2833&gt;F2833,"Programado","Fuera"))))</f>
        <v>Acumulado</v>
      </c>
      <c r="K2833" s="6" t="str">
        <f t="shared" si="156"/>
        <v>A tiempo</v>
      </c>
      <c r="L2833" s="8"/>
      <c r="M2833" s="17">
        <f>MAX(1,NETWORKDAYS(A2833,L2833,Table2[Dias no laborales]))</f>
        <v>1</v>
      </c>
    </row>
    <row r="2834" spans="1:13" x14ac:dyDescent="0.3">
      <c r="A2834" s="8"/>
      <c r="B2834" s="16" t="s">
        <v>5382</v>
      </c>
      <c r="C2834" s="6"/>
      <c r="D2834" s="6"/>
      <c r="E2834" s="14"/>
      <c r="F2834" s="25">
        <f>IF(HOUR(Table1[[#This Row],[CORREO]])&gt;=11,WORKDAY(Table1[[#This Row],[CORREO]],1,Table2[Dias no laborales]),E2834)</f>
        <v>0</v>
      </c>
      <c r="G2834" s="8"/>
      <c r="H2834" s="6">
        <f t="shared" si="155"/>
        <v>0</v>
      </c>
      <c r="I2834" s="6">
        <f>MAX(1, NETWORKDAYS(A2834, G2834,Table2[Dias no laborales]))</f>
        <v>1</v>
      </c>
      <c r="J2834" s="6" t="str">
        <f>IF(Table1[[#This Row],[FIN]]="","Acumulado",IF(ISNUMBER(SEARCH("ASAP",C2834)),"ASAP",IF(NETWORKDAYS.INTL(F2834,G2834,1,Table2[Dias no laborales]) &lt;= 7, "Dentro", IF(A2834&gt;F2834,"Programado","Fuera"))))</f>
        <v>Acumulado</v>
      </c>
      <c r="K2834" s="6" t="str">
        <f t="shared" si="156"/>
        <v>A tiempo</v>
      </c>
      <c r="L2834" s="8"/>
      <c r="M2834" s="17">
        <f>MAX(1,NETWORKDAYS(A2834,L2834,Table2[Dias no laborales]))</f>
        <v>1</v>
      </c>
    </row>
    <row r="2835" spans="1:13" x14ac:dyDescent="0.3">
      <c r="A2835" s="8"/>
      <c r="B2835" s="16" t="s">
        <v>5383</v>
      </c>
      <c r="C2835" s="6"/>
      <c r="D2835" s="6"/>
      <c r="E2835" s="14"/>
      <c r="F2835" s="25">
        <f>IF(HOUR(Table1[[#This Row],[CORREO]])&gt;=11,WORKDAY(Table1[[#This Row],[CORREO]],1,Table2[Dias no laborales]),E2835)</f>
        <v>0</v>
      </c>
      <c r="G2835" s="8"/>
      <c r="H2835" s="6">
        <f t="shared" si="155"/>
        <v>0</v>
      </c>
      <c r="I2835" s="6">
        <f>MAX(1, NETWORKDAYS(A2835, G2835,Table2[Dias no laborales]))</f>
        <v>1</v>
      </c>
      <c r="J2835" s="6" t="str">
        <f>IF(Table1[[#This Row],[FIN]]="","Acumulado",IF(ISNUMBER(SEARCH("ASAP",C2835)),"ASAP",IF(NETWORKDAYS.INTL(F2835,G2835,1,Table2[Dias no laborales]) &lt;= 7, "Dentro", IF(A2835&gt;F2835,"Programado","Fuera"))))</f>
        <v>Acumulado</v>
      </c>
      <c r="K2835" s="6" t="str">
        <f t="shared" si="156"/>
        <v>A tiempo</v>
      </c>
      <c r="L2835" s="8"/>
      <c r="M2835" s="17">
        <f>MAX(1,NETWORKDAYS(A2835,L2835,Table2[Dias no laborales]))</f>
        <v>1</v>
      </c>
    </row>
    <row r="2836" spans="1:13" x14ac:dyDescent="0.3">
      <c r="A2836" s="8"/>
      <c r="B2836" s="16" t="s">
        <v>5384</v>
      </c>
      <c r="C2836" s="6"/>
      <c r="D2836" s="6"/>
      <c r="E2836" s="14"/>
      <c r="F2836" s="25">
        <f>IF(HOUR(Table1[[#This Row],[CORREO]])&gt;=11,WORKDAY(Table1[[#This Row],[CORREO]],1,Table2[Dias no laborales]),E2836)</f>
        <v>0</v>
      </c>
      <c r="G2836" s="8"/>
      <c r="H2836" s="6">
        <f t="shared" si="155"/>
        <v>0</v>
      </c>
      <c r="I2836" s="6">
        <f>MAX(1, NETWORKDAYS(A2836, G2836,Table2[Dias no laborales]))</f>
        <v>1</v>
      </c>
      <c r="J2836" s="6" t="str">
        <f>IF(Table1[[#This Row],[FIN]]="","Acumulado",IF(ISNUMBER(SEARCH("ASAP",C2836)),"ASAP",IF(NETWORKDAYS.INTL(F2836,G2836,1,Table2[Dias no laborales]) &lt;= 7, "Dentro", IF(A2836&gt;F2836,"Programado","Fuera"))))</f>
        <v>Acumulado</v>
      </c>
      <c r="K2836" s="6" t="str">
        <f t="shared" si="156"/>
        <v>A tiempo</v>
      </c>
      <c r="L2836" s="8"/>
      <c r="M2836" s="17">
        <f>MAX(1,NETWORKDAYS(A2836,L2836,Table2[Dias no laborales]))</f>
        <v>1</v>
      </c>
    </row>
    <row r="2837" spans="1:13" x14ac:dyDescent="0.3">
      <c r="A2837" s="8"/>
      <c r="B2837" s="16" t="s">
        <v>5385</v>
      </c>
      <c r="C2837" s="6"/>
      <c r="D2837" s="6"/>
      <c r="E2837" s="14"/>
      <c r="F2837" s="25">
        <f>IF(HOUR(Table1[[#This Row],[CORREO]])&gt;=11,WORKDAY(Table1[[#This Row],[CORREO]],1,Table2[Dias no laborales]),E2837)</f>
        <v>0</v>
      </c>
      <c r="G2837" s="8"/>
      <c r="H2837" s="6">
        <f t="shared" si="155"/>
        <v>0</v>
      </c>
      <c r="I2837" s="6">
        <f>MAX(1, NETWORKDAYS(A2837, G2837,Table2[Dias no laborales]))</f>
        <v>1</v>
      </c>
      <c r="J2837" s="6" t="str">
        <f>IF(Table1[[#This Row],[FIN]]="","Acumulado",IF(ISNUMBER(SEARCH("ASAP",C2837)),"ASAP",IF(NETWORKDAYS.INTL(F2837,G2837,1,Table2[Dias no laborales]) &lt;= 7, "Dentro", IF(A2837&gt;F2837,"Programado","Fuera"))))</f>
        <v>Acumulado</v>
      </c>
      <c r="K2837" s="6" t="str">
        <f t="shared" si="156"/>
        <v>A tiempo</v>
      </c>
      <c r="L2837" s="8"/>
      <c r="M2837" s="17">
        <f>MAX(1,NETWORKDAYS(A2837,L2837,Table2[Dias no laborales]))</f>
        <v>1</v>
      </c>
    </row>
    <row r="2838" spans="1:13" x14ac:dyDescent="0.3">
      <c r="A2838" s="8"/>
      <c r="B2838" s="16" t="s">
        <v>5386</v>
      </c>
      <c r="C2838" s="6"/>
      <c r="D2838" s="6"/>
      <c r="E2838" s="14"/>
      <c r="F2838" s="25">
        <f>IF(HOUR(Table1[[#This Row],[CORREO]])&gt;=11,WORKDAY(Table1[[#This Row],[CORREO]],1,Table2[Dias no laborales]),E2838)</f>
        <v>0</v>
      </c>
      <c r="G2838" s="8"/>
      <c r="H2838" s="6">
        <f t="shared" si="155"/>
        <v>0</v>
      </c>
      <c r="I2838" s="6">
        <f>MAX(1, NETWORKDAYS(A2838, G2838,Table2[Dias no laborales]))</f>
        <v>1</v>
      </c>
      <c r="J2838" s="6" t="str">
        <f>IF(Table1[[#This Row],[FIN]]="","Acumulado",IF(ISNUMBER(SEARCH("ASAP",C2838)),"ASAP",IF(NETWORKDAYS.INTL(F2838,G2838,1,Table2[Dias no laborales]) &lt;= 7, "Dentro", IF(A2838&gt;F2838,"Programado","Fuera"))))</f>
        <v>Acumulado</v>
      </c>
      <c r="K2838" s="6" t="str">
        <f t="shared" si="156"/>
        <v>A tiempo</v>
      </c>
      <c r="L2838" s="8"/>
      <c r="M2838" s="17">
        <f>MAX(1,NETWORKDAYS(A2838,L2838,Table2[Dias no laborales]))</f>
        <v>1</v>
      </c>
    </row>
    <row r="2839" spans="1:13" x14ac:dyDescent="0.3">
      <c r="A2839" s="8"/>
      <c r="B2839" s="16" t="s">
        <v>5387</v>
      </c>
      <c r="C2839" s="6"/>
      <c r="D2839" s="6"/>
      <c r="E2839" s="14"/>
      <c r="F2839" s="25">
        <f>IF(HOUR(Table1[[#This Row],[CORREO]])&gt;=11,WORKDAY(Table1[[#This Row],[CORREO]],1,Table2[Dias no laborales]),E2839)</f>
        <v>0</v>
      </c>
      <c r="G2839" s="8"/>
      <c r="H2839" s="6">
        <f t="shared" si="155"/>
        <v>0</v>
      </c>
      <c r="I2839" s="6">
        <f>MAX(1, NETWORKDAYS(A2839, G2839,Table2[Dias no laborales]))</f>
        <v>1</v>
      </c>
      <c r="J2839" s="6" t="str">
        <f>IF(Table1[[#This Row],[FIN]]="","Acumulado",IF(ISNUMBER(SEARCH("ASAP",C2839)),"ASAP",IF(NETWORKDAYS.INTL(F2839,G2839,1,Table2[Dias no laborales]) &lt;= 7, "Dentro", IF(A2839&gt;F2839,"Programado","Fuera"))))</f>
        <v>Acumulado</v>
      </c>
      <c r="K2839" s="6" t="str">
        <f t="shared" si="156"/>
        <v>A tiempo</v>
      </c>
      <c r="L2839" s="8"/>
      <c r="M2839" s="17">
        <f>MAX(1,NETWORKDAYS(A2839,L2839,Table2[Dias no laborales]))</f>
        <v>1</v>
      </c>
    </row>
    <row r="2840" spans="1:13" x14ac:dyDescent="0.3">
      <c r="A2840" s="8"/>
      <c r="B2840" s="16" t="s">
        <v>5388</v>
      </c>
      <c r="C2840" s="6"/>
      <c r="D2840" s="6"/>
      <c r="E2840" s="14"/>
      <c r="F2840" s="25">
        <f>IF(HOUR(Table1[[#This Row],[CORREO]])&gt;=11,WORKDAY(Table1[[#This Row],[CORREO]],1,Table2[Dias no laborales]),E2840)</f>
        <v>0</v>
      </c>
      <c r="G2840" s="8"/>
      <c r="H2840" s="6">
        <f t="shared" si="155"/>
        <v>0</v>
      </c>
      <c r="I2840" s="6">
        <f>MAX(1, NETWORKDAYS(A2840, G2840,Table2[Dias no laborales]))</f>
        <v>1</v>
      </c>
      <c r="J2840" s="6" t="str">
        <f>IF(Table1[[#This Row],[FIN]]="","Acumulado",IF(ISNUMBER(SEARCH("ASAP",C2840)),"ASAP",IF(NETWORKDAYS.INTL(F2840,G2840,1,Table2[Dias no laborales]) &lt;= 7, "Dentro", IF(A2840&gt;F2840,"Programado","Fuera"))))</f>
        <v>Acumulado</v>
      </c>
      <c r="K2840" s="6" t="str">
        <f t="shared" si="156"/>
        <v>A tiempo</v>
      </c>
      <c r="L2840" s="8"/>
      <c r="M2840" s="17">
        <f>MAX(1,NETWORKDAYS(A2840,L2840,Table2[Dias no laborales]))</f>
        <v>1</v>
      </c>
    </row>
    <row r="2841" spans="1:13" x14ac:dyDescent="0.3">
      <c r="A2841" s="8"/>
      <c r="B2841" s="16" t="s">
        <v>5389</v>
      </c>
      <c r="C2841" s="6"/>
      <c r="D2841" s="6"/>
      <c r="E2841" s="14"/>
      <c r="F2841" s="25">
        <f>IF(HOUR(Table1[[#This Row],[CORREO]])&gt;=11,WORKDAY(Table1[[#This Row],[CORREO]],1,Table2[Dias no laborales]),E2841)</f>
        <v>0</v>
      </c>
      <c r="G2841" s="8"/>
      <c r="H2841" s="6">
        <f t="shared" si="155"/>
        <v>0</v>
      </c>
      <c r="I2841" s="6">
        <f>MAX(1, NETWORKDAYS(A2841, G2841,Table2[Dias no laborales]))</f>
        <v>1</v>
      </c>
      <c r="J2841" s="6" t="str">
        <f>IF(Table1[[#This Row],[FIN]]="","Acumulado",IF(ISNUMBER(SEARCH("ASAP",C2841)),"ASAP",IF(NETWORKDAYS.INTL(F2841,G2841,1,Table2[Dias no laborales]) &lt;= 7, "Dentro", IF(A2841&gt;F2841,"Programado","Fuera"))))</f>
        <v>Acumulado</v>
      </c>
      <c r="K2841" s="6" t="str">
        <f t="shared" si="156"/>
        <v>A tiempo</v>
      </c>
      <c r="L2841" s="8"/>
      <c r="M2841" s="17">
        <f>MAX(1,NETWORKDAYS(A2841,L2841,Table2[Dias no laborales]))</f>
        <v>1</v>
      </c>
    </row>
    <row r="2842" spans="1:13" x14ac:dyDescent="0.3">
      <c r="A2842" s="8"/>
      <c r="B2842" s="16" t="s">
        <v>5390</v>
      </c>
      <c r="C2842" s="6"/>
      <c r="D2842" s="6"/>
      <c r="E2842" s="14"/>
      <c r="F2842" s="25">
        <f>IF(HOUR(Table1[[#This Row],[CORREO]])&gt;=11,WORKDAY(Table1[[#This Row],[CORREO]],1,Table2[Dias no laborales]),E2842)</f>
        <v>0</v>
      </c>
      <c r="G2842" s="8"/>
      <c r="H2842" s="6">
        <f t="shared" si="155"/>
        <v>0</v>
      </c>
      <c r="I2842" s="6">
        <f>MAX(1, NETWORKDAYS(A2842, G2842,Table2[Dias no laborales]))</f>
        <v>1</v>
      </c>
      <c r="J2842" s="6" t="str">
        <f>IF(Table1[[#This Row],[FIN]]="","Acumulado",IF(ISNUMBER(SEARCH("ASAP",C2842)),"ASAP",IF(NETWORKDAYS.INTL(F2842,G2842,1,Table2[Dias no laborales]) &lt;= 7, "Dentro", IF(A2842&gt;F2842,"Programado","Fuera"))))</f>
        <v>Acumulado</v>
      </c>
      <c r="K2842" s="6" t="str">
        <f t="shared" si="156"/>
        <v>A tiempo</v>
      </c>
      <c r="L2842" s="8"/>
      <c r="M2842" s="17">
        <f>MAX(1,NETWORKDAYS(A2842,L2842,Table2[Dias no laborales]))</f>
        <v>1</v>
      </c>
    </row>
    <row r="2843" spans="1:13" x14ac:dyDescent="0.3">
      <c r="A2843" s="8"/>
      <c r="B2843" s="16" t="s">
        <v>5391</v>
      </c>
      <c r="C2843" s="6"/>
      <c r="D2843" s="6"/>
      <c r="E2843" s="14"/>
      <c r="F2843" s="25">
        <f>IF(HOUR(Table1[[#This Row],[CORREO]])&gt;=11,WORKDAY(Table1[[#This Row],[CORREO]],1,Table2[Dias no laborales]),E2843)</f>
        <v>0</v>
      </c>
      <c r="G2843" s="8"/>
      <c r="H2843" s="6">
        <f t="shared" si="155"/>
        <v>0</v>
      </c>
      <c r="I2843" s="6">
        <f>MAX(1, NETWORKDAYS(A2843, G2843,Table2[Dias no laborales]))</f>
        <v>1</v>
      </c>
      <c r="J2843" s="6" t="str">
        <f>IF(Table1[[#This Row],[FIN]]="","Acumulado",IF(ISNUMBER(SEARCH("ASAP",C2843)),"ASAP",IF(NETWORKDAYS.INTL(F2843,G2843,1,Table2[Dias no laborales]) &lt;= 7, "Dentro", IF(A2843&gt;F2843,"Programado","Fuera"))))</f>
        <v>Acumulado</v>
      </c>
      <c r="K2843" s="6" t="str">
        <f t="shared" si="156"/>
        <v>A tiempo</v>
      </c>
      <c r="L2843" s="8"/>
      <c r="M2843" s="17">
        <f>MAX(1,NETWORKDAYS(A2843,L2843,Table2[Dias no laborales]))</f>
        <v>1</v>
      </c>
    </row>
    <row r="2844" spans="1:13" x14ac:dyDescent="0.3">
      <c r="A2844" s="8"/>
      <c r="B2844" s="16" t="s">
        <v>5392</v>
      </c>
      <c r="C2844" s="6"/>
      <c r="D2844" s="6"/>
      <c r="E2844" s="14"/>
      <c r="F2844" s="25">
        <f>IF(HOUR(Table1[[#This Row],[CORREO]])&gt;=11,WORKDAY(Table1[[#This Row],[CORREO]],1,Table2[Dias no laborales]),E2844)</f>
        <v>0</v>
      </c>
      <c r="G2844" s="8"/>
      <c r="H2844" s="6">
        <f t="shared" si="155"/>
        <v>0</v>
      </c>
      <c r="I2844" s="6">
        <f>MAX(1, NETWORKDAYS(A2844, G2844,Table2[Dias no laborales]))</f>
        <v>1</v>
      </c>
      <c r="J2844" s="6" t="str">
        <f>IF(Table1[[#This Row],[FIN]]="","Acumulado",IF(ISNUMBER(SEARCH("ASAP",C2844)),"ASAP",IF(NETWORKDAYS.INTL(F2844,G2844,1,Table2[Dias no laborales]) &lt;= 7, "Dentro", IF(A2844&gt;F2844,"Programado","Fuera"))))</f>
        <v>Acumulado</v>
      </c>
      <c r="K2844" s="6" t="str">
        <f t="shared" si="156"/>
        <v>A tiempo</v>
      </c>
      <c r="L2844" s="8"/>
      <c r="M2844" s="17">
        <f>MAX(1,NETWORKDAYS(A2844,L2844,Table2[Dias no laborales]))</f>
        <v>1</v>
      </c>
    </row>
    <row r="2845" spans="1:13" x14ac:dyDescent="0.3">
      <c r="A2845" s="8"/>
      <c r="B2845" s="16" t="s">
        <v>5393</v>
      </c>
      <c r="C2845" s="6"/>
      <c r="D2845" s="6"/>
      <c r="E2845" s="14"/>
      <c r="F2845" s="25">
        <f>IF(HOUR(Table1[[#This Row],[CORREO]])&gt;=11,WORKDAY(Table1[[#This Row],[CORREO]],1,Table2[Dias no laborales]),E2845)</f>
        <v>0</v>
      </c>
      <c r="G2845" s="8"/>
      <c r="H2845" s="6">
        <f t="shared" si="155"/>
        <v>0</v>
      </c>
      <c r="I2845" s="6">
        <f>MAX(1, NETWORKDAYS(A2845, G2845,Table2[Dias no laborales]))</f>
        <v>1</v>
      </c>
      <c r="J2845" s="6" t="str">
        <f>IF(Table1[[#This Row],[FIN]]="","Acumulado",IF(ISNUMBER(SEARCH("ASAP",C2845)),"ASAP",IF(NETWORKDAYS.INTL(F2845,G2845,1,Table2[Dias no laborales]) &lt;= 7, "Dentro", IF(A2845&gt;F2845,"Programado","Fuera"))))</f>
        <v>Acumulado</v>
      </c>
      <c r="K2845" s="6" t="str">
        <f t="shared" si="156"/>
        <v>A tiempo</v>
      </c>
      <c r="L2845" s="8"/>
      <c r="M2845" s="17">
        <f>MAX(1,NETWORKDAYS(A2845,L2845,Table2[Dias no laborales]))</f>
        <v>1</v>
      </c>
    </row>
    <row r="2846" spans="1:13" x14ac:dyDescent="0.3">
      <c r="A2846" s="8"/>
      <c r="B2846" s="16" t="s">
        <v>5394</v>
      </c>
      <c r="C2846" s="6"/>
      <c r="D2846" s="6"/>
      <c r="E2846" s="14"/>
      <c r="F2846" s="25">
        <f>IF(HOUR(Table1[[#This Row],[CORREO]])&gt;=11,WORKDAY(Table1[[#This Row],[CORREO]],1,Table2[Dias no laborales]),E2846)</f>
        <v>0</v>
      </c>
      <c r="G2846" s="8"/>
      <c r="H2846" s="6">
        <f t="shared" si="155"/>
        <v>0</v>
      </c>
      <c r="I2846" s="6">
        <f>MAX(1, NETWORKDAYS(A2846, G2846,Table2[Dias no laborales]))</f>
        <v>1</v>
      </c>
      <c r="J2846" s="6" t="str">
        <f>IF(Table1[[#This Row],[FIN]]="","Acumulado",IF(ISNUMBER(SEARCH("ASAP",C2846)),"ASAP",IF(NETWORKDAYS.INTL(F2846,G2846,1,Table2[Dias no laborales]) &lt;= 7, "Dentro", IF(A2846&gt;F2846,"Programado","Fuera"))))</f>
        <v>Acumulado</v>
      </c>
      <c r="K2846" s="6" t="str">
        <f t="shared" si="156"/>
        <v>A tiempo</v>
      </c>
      <c r="L2846" s="8"/>
      <c r="M2846" s="17">
        <f>MAX(1,NETWORKDAYS(A2846,L2846,Table2[Dias no laborales]))</f>
        <v>1</v>
      </c>
    </row>
    <row r="2847" spans="1:13" x14ac:dyDescent="0.3">
      <c r="A2847" s="8"/>
      <c r="B2847" s="16" t="s">
        <v>5395</v>
      </c>
      <c r="C2847" s="6"/>
      <c r="D2847" s="6"/>
      <c r="E2847" s="14"/>
      <c r="F2847" s="25">
        <f>IF(HOUR(Table1[[#This Row],[CORREO]])&gt;=11,WORKDAY(Table1[[#This Row],[CORREO]],1,Table2[Dias no laborales]),E2847)</f>
        <v>0</v>
      </c>
      <c r="G2847" s="8"/>
      <c r="H2847" s="6">
        <f t="shared" si="155"/>
        <v>0</v>
      </c>
      <c r="I2847" s="6">
        <f>MAX(1, NETWORKDAYS(A2847, G2847,Table2[Dias no laborales]))</f>
        <v>1</v>
      </c>
      <c r="J2847" s="6" t="str">
        <f>IF(Table1[[#This Row],[FIN]]="","Acumulado",IF(ISNUMBER(SEARCH("ASAP",C2847)),"ASAP",IF(NETWORKDAYS.INTL(F2847,G2847,1,Table2[Dias no laborales]) &lt;= 7, "Dentro", IF(A2847&gt;F2847,"Programado","Fuera"))))</f>
        <v>Acumulado</v>
      </c>
      <c r="K2847" s="6" t="str">
        <f t="shared" si="156"/>
        <v>A tiempo</v>
      </c>
      <c r="L2847" s="8"/>
      <c r="M2847" s="17">
        <f>MAX(1,NETWORKDAYS(A2847,L2847,Table2[Dias no laborales]))</f>
        <v>1</v>
      </c>
    </row>
    <row r="2848" spans="1:13" x14ac:dyDescent="0.3">
      <c r="A2848" s="8"/>
      <c r="B2848" s="16" t="s">
        <v>5396</v>
      </c>
      <c r="C2848" s="6"/>
      <c r="D2848" s="6"/>
      <c r="E2848" s="14"/>
      <c r="F2848" s="25">
        <f>IF(HOUR(Table1[[#This Row],[CORREO]])&gt;=11,WORKDAY(Table1[[#This Row],[CORREO]],1,Table2[Dias no laborales]),E2848)</f>
        <v>0</v>
      </c>
      <c r="G2848" s="8"/>
      <c r="H2848" s="6">
        <f t="shared" si="155"/>
        <v>0</v>
      </c>
      <c r="I2848" s="6">
        <f>MAX(1, NETWORKDAYS(A2848, G2848,Table2[Dias no laborales]))</f>
        <v>1</v>
      </c>
      <c r="J2848" s="6" t="str">
        <f>IF(Table1[[#This Row],[FIN]]="","Acumulado",IF(ISNUMBER(SEARCH("ASAP",C2848)),"ASAP",IF(NETWORKDAYS.INTL(F2848,G2848,1,Table2[Dias no laborales]) &lt;= 7, "Dentro", IF(A2848&gt;F2848,"Programado","Fuera"))))</f>
        <v>Acumulado</v>
      </c>
      <c r="K2848" s="6" t="str">
        <f t="shared" si="156"/>
        <v>A tiempo</v>
      </c>
      <c r="L2848" s="8"/>
      <c r="M2848" s="17">
        <f>MAX(1,NETWORKDAYS(A2848,L2848,Table2[Dias no laborales]))</f>
        <v>1</v>
      </c>
    </row>
    <row r="2849" spans="1:13" x14ac:dyDescent="0.3">
      <c r="A2849" s="8"/>
      <c r="B2849" s="16" t="s">
        <v>5397</v>
      </c>
      <c r="C2849" s="6"/>
      <c r="D2849" s="6"/>
      <c r="E2849" s="14"/>
      <c r="F2849" s="25">
        <f>IF(HOUR(Table1[[#This Row],[CORREO]])&gt;=11,WORKDAY(Table1[[#This Row],[CORREO]],1,Table2[Dias no laborales]),E2849)</f>
        <v>0</v>
      </c>
      <c r="G2849" s="8"/>
      <c r="H2849" s="6">
        <f t="shared" si="155"/>
        <v>0</v>
      </c>
      <c r="I2849" s="6">
        <f>MAX(1, NETWORKDAYS(A2849, G2849,Table2[Dias no laborales]))</f>
        <v>1</v>
      </c>
      <c r="J2849" s="6" t="str">
        <f>IF(Table1[[#This Row],[FIN]]="","Acumulado",IF(ISNUMBER(SEARCH("ASAP",C2849)),"ASAP",IF(NETWORKDAYS.INTL(F2849,G2849,1,Table2[Dias no laborales]) &lt;= 7, "Dentro", IF(A2849&gt;F2849,"Programado","Fuera"))))</f>
        <v>Acumulado</v>
      </c>
      <c r="K2849" s="6" t="str">
        <f t="shared" si="156"/>
        <v>A tiempo</v>
      </c>
      <c r="L2849" s="8"/>
      <c r="M2849" s="17">
        <f>MAX(1,NETWORKDAYS(A2849,L2849,Table2[Dias no laborales]))</f>
        <v>1</v>
      </c>
    </row>
    <row r="2850" spans="1:13" x14ac:dyDescent="0.3">
      <c r="A2850" s="8"/>
      <c r="B2850" s="16" t="s">
        <v>5398</v>
      </c>
      <c r="C2850" s="6"/>
      <c r="D2850" s="6"/>
      <c r="E2850" s="14"/>
      <c r="F2850" s="25">
        <f>IF(HOUR(Table1[[#This Row],[CORREO]])&gt;=11,WORKDAY(Table1[[#This Row],[CORREO]],1,Table2[Dias no laborales]),E2850)</f>
        <v>0</v>
      </c>
      <c r="G2850" s="8"/>
      <c r="H2850" s="6">
        <f t="shared" si="155"/>
        <v>0</v>
      </c>
      <c r="I2850" s="6">
        <f>MAX(1, NETWORKDAYS(A2850, G2850,Table2[Dias no laborales]))</f>
        <v>1</v>
      </c>
      <c r="J2850" s="6" t="str">
        <f>IF(Table1[[#This Row],[FIN]]="","Acumulado",IF(ISNUMBER(SEARCH("ASAP",C2850)),"ASAP",IF(NETWORKDAYS.INTL(F2850,G2850,1,Table2[Dias no laborales]) &lt;= 7, "Dentro", IF(A2850&gt;F2850,"Programado","Fuera"))))</f>
        <v>Acumulado</v>
      </c>
      <c r="K2850" s="6" t="str">
        <f t="shared" si="156"/>
        <v>A tiempo</v>
      </c>
      <c r="L2850" s="8"/>
      <c r="M2850" s="17">
        <f>MAX(1,NETWORKDAYS(A2850,L2850,Table2[Dias no laborales]))</f>
        <v>1</v>
      </c>
    </row>
    <row r="2851" spans="1:13" x14ac:dyDescent="0.3">
      <c r="A2851" s="8"/>
      <c r="B2851" s="16" t="s">
        <v>5399</v>
      </c>
      <c r="C2851" s="6"/>
      <c r="D2851" s="6"/>
      <c r="E2851" s="14"/>
      <c r="F2851" s="25">
        <f>IF(HOUR(Table1[[#This Row],[CORREO]])&gt;=11,WORKDAY(Table1[[#This Row],[CORREO]],1,Table2[Dias no laborales]),E2851)</f>
        <v>0</v>
      </c>
      <c r="G2851" s="8"/>
      <c r="H2851" s="6">
        <f t="shared" si="155"/>
        <v>0</v>
      </c>
      <c r="I2851" s="6">
        <f>MAX(1, NETWORKDAYS(A2851, G2851,Table2[Dias no laborales]))</f>
        <v>1</v>
      </c>
      <c r="J2851" s="6" t="str">
        <f>IF(Table1[[#This Row],[FIN]]="","Acumulado",IF(ISNUMBER(SEARCH("ASAP",C2851)),"ASAP",IF(NETWORKDAYS.INTL(F2851,G2851,1,Table2[Dias no laborales]) &lt;= 7, "Dentro", IF(A2851&gt;F2851,"Programado","Fuera"))))</f>
        <v>Acumulado</v>
      </c>
      <c r="K2851" s="6" t="str">
        <f t="shared" si="156"/>
        <v>A tiempo</v>
      </c>
      <c r="L2851" s="8"/>
      <c r="M2851" s="17">
        <f>MAX(1,NETWORKDAYS(A2851,L2851,Table2[Dias no laborales]))</f>
        <v>1</v>
      </c>
    </row>
    <row r="2852" spans="1:13" x14ac:dyDescent="0.3">
      <c r="A2852" s="8"/>
      <c r="B2852" s="16" t="s">
        <v>5400</v>
      </c>
      <c r="C2852" s="6"/>
      <c r="D2852" s="6"/>
      <c r="E2852" s="14"/>
      <c r="F2852" s="25">
        <f>IF(HOUR(Table1[[#This Row],[CORREO]])&gt;=11,WORKDAY(Table1[[#This Row],[CORREO]],1,Table2[Dias no laborales]),E2852)</f>
        <v>0</v>
      </c>
      <c r="G2852" s="8"/>
      <c r="H2852" s="6">
        <f t="shared" si="155"/>
        <v>0</v>
      </c>
      <c r="I2852" s="6">
        <f>MAX(1, NETWORKDAYS(A2852, G2852,Table2[Dias no laborales]))</f>
        <v>1</v>
      </c>
      <c r="J2852" s="6" t="str">
        <f>IF(Table1[[#This Row],[FIN]]="","Acumulado",IF(ISNUMBER(SEARCH("ASAP",C2852)),"ASAP",IF(NETWORKDAYS.INTL(F2852,G2852,1,Table2[Dias no laborales]) &lt;= 7, "Dentro", IF(A2852&gt;F2852,"Programado","Fuera"))))</f>
        <v>Acumulado</v>
      </c>
      <c r="K2852" s="6" t="str">
        <f t="shared" si="156"/>
        <v>A tiempo</v>
      </c>
      <c r="L2852" s="8"/>
      <c r="M2852" s="17">
        <f>MAX(1,NETWORKDAYS(A2852,L2852,Table2[Dias no laborales]))</f>
        <v>1</v>
      </c>
    </row>
    <row r="2853" spans="1:13" x14ac:dyDescent="0.3">
      <c r="A2853" s="8"/>
      <c r="B2853" s="16" t="s">
        <v>5401</v>
      </c>
      <c r="C2853" s="6"/>
      <c r="D2853" s="6"/>
      <c r="E2853" s="14"/>
      <c r="F2853" s="25">
        <f>IF(HOUR(Table1[[#This Row],[CORREO]])&gt;=11,WORKDAY(Table1[[#This Row],[CORREO]],1,Table2[Dias no laborales]),E2853)</f>
        <v>0</v>
      </c>
      <c r="G2853" s="8"/>
      <c r="H2853" s="6">
        <f t="shared" si="155"/>
        <v>0</v>
      </c>
      <c r="I2853" s="6">
        <f>MAX(1, NETWORKDAYS(A2853, G2853,Table2[Dias no laborales]))</f>
        <v>1</v>
      </c>
      <c r="J2853" s="6" t="str">
        <f>IF(Table1[[#This Row],[FIN]]="","Acumulado",IF(ISNUMBER(SEARCH("ASAP",C2853)),"ASAP",IF(NETWORKDAYS.INTL(F2853,G2853,1,Table2[Dias no laborales]) &lt;= 7, "Dentro", IF(A2853&gt;F2853,"Programado","Fuera"))))</f>
        <v>Acumulado</v>
      </c>
      <c r="K2853" s="6" t="str">
        <f t="shared" si="156"/>
        <v>A tiempo</v>
      </c>
      <c r="L2853" s="8"/>
      <c r="M2853" s="17">
        <f>MAX(1,NETWORKDAYS(A2853,L2853,Table2[Dias no laborales]))</f>
        <v>1</v>
      </c>
    </row>
    <row r="2854" spans="1:13" x14ac:dyDescent="0.3">
      <c r="A2854" s="8"/>
      <c r="B2854" s="16" t="s">
        <v>5402</v>
      </c>
      <c r="C2854" s="6"/>
      <c r="D2854" s="6"/>
      <c r="E2854" s="14"/>
      <c r="F2854" s="25">
        <f>IF(HOUR(Table1[[#This Row],[CORREO]])&gt;=11,WORKDAY(Table1[[#This Row],[CORREO]],1,Table2[Dias no laborales]),E2854)</f>
        <v>0</v>
      </c>
      <c r="G2854" s="8"/>
      <c r="H2854" s="6">
        <f t="shared" si="155"/>
        <v>0</v>
      </c>
      <c r="I2854" s="6">
        <f>MAX(1, NETWORKDAYS(A2854, G2854,Table2[Dias no laborales]))</f>
        <v>1</v>
      </c>
      <c r="J2854" s="6" t="str">
        <f>IF(Table1[[#This Row],[FIN]]="","Acumulado",IF(ISNUMBER(SEARCH("ASAP",C2854)),"ASAP",IF(NETWORKDAYS.INTL(F2854,G2854,1,Table2[Dias no laborales]) &lt;= 7, "Dentro", IF(A2854&gt;F2854,"Programado","Fuera"))))</f>
        <v>Acumulado</v>
      </c>
      <c r="K2854" s="6" t="str">
        <f t="shared" si="156"/>
        <v>A tiempo</v>
      </c>
      <c r="L2854" s="8"/>
      <c r="M2854" s="17">
        <f>MAX(1,NETWORKDAYS(A2854,L2854,Table2[Dias no laborales]))</f>
        <v>1</v>
      </c>
    </row>
    <row r="2855" spans="1:13" x14ac:dyDescent="0.3">
      <c r="A2855" s="8"/>
      <c r="B2855" s="16" t="s">
        <v>5403</v>
      </c>
      <c r="C2855" s="6"/>
      <c r="D2855" s="6"/>
      <c r="E2855" s="14"/>
      <c r="F2855" s="25">
        <f>IF(HOUR(Table1[[#This Row],[CORREO]])&gt;=11,WORKDAY(Table1[[#This Row],[CORREO]],1,Table2[Dias no laborales]),E2855)</f>
        <v>0</v>
      </c>
      <c r="G2855" s="8"/>
      <c r="H2855" s="6">
        <f t="shared" si="155"/>
        <v>0</v>
      </c>
      <c r="I2855" s="6">
        <f>MAX(1, NETWORKDAYS(A2855, G2855,Table2[Dias no laborales]))</f>
        <v>1</v>
      </c>
      <c r="J2855" s="6" t="str">
        <f>IF(Table1[[#This Row],[FIN]]="","Acumulado",IF(ISNUMBER(SEARCH("ASAP",C2855)),"ASAP",IF(NETWORKDAYS.INTL(F2855,G2855,1,Table2[Dias no laborales]) &lt;= 7, "Dentro", IF(A2855&gt;F2855,"Programado","Fuera"))))</f>
        <v>Acumulado</v>
      </c>
      <c r="K2855" s="6" t="str">
        <f t="shared" si="156"/>
        <v>A tiempo</v>
      </c>
      <c r="L2855" s="8"/>
      <c r="M2855" s="17">
        <f>MAX(1,NETWORKDAYS(A2855,L2855,Table2[Dias no laborales]))</f>
        <v>1</v>
      </c>
    </row>
    <row r="2856" spans="1:13" x14ac:dyDescent="0.3">
      <c r="A2856" s="8"/>
      <c r="B2856" s="16" t="s">
        <v>5404</v>
      </c>
      <c r="C2856" s="6"/>
      <c r="D2856" s="6"/>
      <c r="E2856" s="14"/>
      <c r="F2856" s="25">
        <f>IF(HOUR(Table1[[#This Row],[CORREO]])&gt;=11,WORKDAY(Table1[[#This Row],[CORREO]],1,Table2[Dias no laborales]),E2856)</f>
        <v>0</v>
      </c>
      <c r="G2856" s="8"/>
      <c r="H2856" s="6">
        <f t="shared" si="155"/>
        <v>0</v>
      </c>
      <c r="I2856" s="6">
        <f>MAX(1, NETWORKDAYS(A2856, G2856,Table2[Dias no laborales]))</f>
        <v>1</v>
      </c>
      <c r="J2856" s="6" t="str">
        <f>IF(Table1[[#This Row],[FIN]]="","Acumulado",IF(ISNUMBER(SEARCH("ASAP",C2856)),"ASAP",IF(NETWORKDAYS.INTL(F2856,G2856,1,Table2[Dias no laborales]) &lt;= 7, "Dentro", IF(A2856&gt;F2856,"Programado","Fuera"))))</f>
        <v>Acumulado</v>
      </c>
      <c r="K2856" s="6" t="str">
        <f t="shared" si="156"/>
        <v>A tiempo</v>
      </c>
      <c r="L2856" s="8"/>
      <c r="M2856" s="17">
        <f>MAX(1,NETWORKDAYS(A2856,L2856,Table2[Dias no laborales]))</f>
        <v>1</v>
      </c>
    </row>
    <row r="2857" spans="1:13" x14ac:dyDescent="0.3">
      <c r="A2857" s="8"/>
      <c r="B2857" s="16" t="s">
        <v>5405</v>
      </c>
      <c r="C2857" s="6"/>
      <c r="D2857" s="6"/>
      <c r="E2857" s="14"/>
      <c r="F2857" s="25">
        <f>IF(HOUR(Table1[[#This Row],[CORREO]])&gt;=11,WORKDAY(Table1[[#This Row],[CORREO]],1,Table2[Dias no laborales]),E2857)</f>
        <v>0</v>
      </c>
      <c r="G2857" s="8"/>
      <c r="H2857" s="6">
        <f t="shared" si="155"/>
        <v>0</v>
      </c>
      <c r="I2857" s="6">
        <f>MAX(1, NETWORKDAYS(A2857, G2857,Table2[Dias no laborales]))</f>
        <v>1</v>
      </c>
      <c r="J2857" s="6" t="str">
        <f>IF(Table1[[#This Row],[FIN]]="","Acumulado",IF(ISNUMBER(SEARCH("ASAP",C2857)),"ASAP",IF(NETWORKDAYS.INTL(F2857,G2857,1,Table2[Dias no laborales]) &lt;= 7, "Dentro", IF(A2857&gt;F2857,"Programado","Fuera"))))</f>
        <v>Acumulado</v>
      </c>
      <c r="K2857" s="6" t="str">
        <f t="shared" si="156"/>
        <v>A tiempo</v>
      </c>
      <c r="L2857" s="8"/>
      <c r="M2857" s="17">
        <f>MAX(1,NETWORKDAYS(A2857,L2857,Table2[Dias no laborales]))</f>
        <v>1</v>
      </c>
    </row>
    <row r="2858" spans="1:13" x14ac:dyDescent="0.3">
      <c r="A2858" s="8"/>
      <c r="B2858" s="16" t="s">
        <v>5406</v>
      </c>
      <c r="C2858" s="6"/>
      <c r="D2858" s="6"/>
      <c r="E2858" s="14"/>
      <c r="F2858" s="25">
        <f>IF(HOUR(Table1[[#This Row],[CORREO]])&gt;=11,WORKDAY(Table1[[#This Row],[CORREO]],1,Table2[Dias no laborales]),E2858)</f>
        <v>0</v>
      </c>
      <c r="G2858" s="8"/>
      <c r="H2858" s="6">
        <f t="shared" si="155"/>
        <v>0</v>
      </c>
      <c r="I2858" s="6">
        <f>MAX(1, NETWORKDAYS(A2858, G2858,Table2[Dias no laborales]))</f>
        <v>1</v>
      </c>
      <c r="J2858" s="6" t="str">
        <f>IF(Table1[[#This Row],[FIN]]="","Acumulado",IF(ISNUMBER(SEARCH("ASAP",C2858)),"ASAP",IF(NETWORKDAYS.INTL(F2858,G2858,1,Table2[Dias no laborales]) &lt;= 7, "Dentro", IF(A2858&gt;F2858,"Programado","Fuera"))))</f>
        <v>Acumulado</v>
      </c>
      <c r="K2858" s="6" t="str">
        <f t="shared" si="156"/>
        <v>A tiempo</v>
      </c>
      <c r="L2858" s="8"/>
      <c r="M2858" s="17">
        <f>MAX(1,NETWORKDAYS(A2858,L2858,Table2[Dias no laborales]))</f>
        <v>1</v>
      </c>
    </row>
    <row r="2859" spans="1:13" x14ac:dyDescent="0.3">
      <c r="A2859" s="8"/>
      <c r="B2859" s="16" t="s">
        <v>5407</v>
      </c>
      <c r="C2859" s="6"/>
      <c r="D2859" s="6"/>
      <c r="E2859" s="14"/>
      <c r="F2859" s="25">
        <f>IF(HOUR(Table1[[#This Row],[CORREO]])&gt;=11,WORKDAY(Table1[[#This Row],[CORREO]],1,Table2[Dias no laborales]),E2859)</f>
        <v>0</v>
      </c>
      <c r="G2859" s="8"/>
      <c r="H2859" s="6">
        <f t="shared" si="155"/>
        <v>0</v>
      </c>
      <c r="I2859" s="6">
        <f>MAX(1, NETWORKDAYS(A2859, G2859,Table2[Dias no laborales]))</f>
        <v>1</v>
      </c>
      <c r="J2859" s="6" t="str">
        <f>IF(Table1[[#This Row],[FIN]]="","Acumulado",IF(ISNUMBER(SEARCH("ASAP",C2859)),"ASAP",IF(NETWORKDAYS.INTL(F2859,G2859,1,Table2[Dias no laborales]) &lt;= 7, "Dentro", IF(A2859&gt;F2859,"Programado","Fuera"))))</f>
        <v>Acumulado</v>
      </c>
      <c r="K2859" s="6" t="str">
        <f t="shared" si="156"/>
        <v>A tiempo</v>
      </c>
      <c r="L2859" s="8"/>
      <c r="M2859" s="17">
        <f>MAX(1,NETWORKDAYS(A2859,L2859,Table2[Dias no laborales]))</f>
        <v>1</v>
      </c>
    </row>
    <row r="2860" spans="1:13" x14ac:dyDescent="0.3">
      <c r="A2860" s="8"/>
      <c r="B2860" s="16" t="s">
        <v>5408</v>
      </c>
      <c r="C2860" s="6"/>
      <c r="D2860" s="6"/>
      <c r="E2860" s="14"/>
      <c r="F2860" s="25">
        <f>IF(HOUR(Table1[[#This Row],[CORREO]])&gt;=11,WORKDAY(Table1[[#This Row],[CORREO]],1,Table2[Dias no laborales]),E2860)</f>
        <v>0</v>
      </c>
      <c r="G2860" s="8"/>
      <c r="H2860" s="6">
        <f t="shared" si="155"/>
        <v>0</v>
      </c>
      <c r="I2860" s="6">
        <f>MAX(1, NETWORKDAYS(A2860, G2860,Table2[Dias no laborales]))</f>
        <v>1</v>
      </c>
      <c r="J2860" s="6" t="str">
        <f>IF(Table1[[#This Row],[FIN]]="","Acumulado",IF(ISNUMBER(SEARCH("ASAP",C2860)),"ASAP",IF(NETWORKDAYS.INTL(F2860,G2860,1,Table2[Dias no laborales]) &lt;= 7, "Dentro", IF(A2860&gt;F2860,"Programado","Fuera"))))</f>
        <v>Acumulado</v>
      </c>
      <c r="K2860" s="6" t="str">
        <f t="shared" si="156"/>
        <v>A tiempo</v>
      </c>
      <c r="L2860" s="8"/>
      <c r="M2860" s="17">
        <f>MAX(1,NETWORKDAYS(A2860,L2860,Table2[Dias no laborales]))</f>
        <v>1</v>
      </c>
    </row>
    <row r="2861" spans="1:13" x14ac:dyDescent="0.3">
      <c r="A2861" s="8"/>
      <c r="B2861" s="16" t="s">
        <v>5409</v>
      </c>
      <c r="C2861" s="6"/>
      <c r="D2861" s="6"/>
      <c r="E2861" s="14"/>
      <c r="F2861" s="25">
        <f>IF(HOUR(Table1[[#This Row],[CORREO]])&gt;=11,WORKDAY(Table1[[#This Row],[CORREO]],1,Table2[Dias no laborales]),E2861)</f>
        <v>0</v>
      </c>
      <c r="G2861" s="8"/>
      <c r="H2861" s="6">
        <f t="shared" si="155"/>
        <v>0</v>
      </c>
      <c r="I2861" s="6">
        <f>MAX(1, NETWORKDAYS(A2861, G2861,Table2[Dias no laborales]))</f>
        <v>1</v>
      </c>
      <c r="J2861" s="6" t="str">
        <f>IF(Table1[[#This Row],[FIN]]="","Acumulado",IF(ISNUMBER(SEARCH("ASAP",C2861)),"ASAP",IF(NETWORKDAYS.INTL(F2861,G2861,1,Table2[Dias no laborales]) &lt;= 7, "Dentro", IF(A2861&gt;F2861,"Programado","Fuera"))))</f>
        <v>Acumulado</v>
      </c>
      <c r="K2861" s="6" t="str">
        <f t="shared" si="156"/>
        <v>A tiempo</v>
      </c>
      <c r="L2861" s="8"/>
      <c r="M2861" s="17">
        <f>MAX(1,NETWORKDAYS(A2861,L2861,Table2[Dias no laborales]))</f>
        <v>1</v>
      </c>
    </row>
    <row r="2862" spans="1:13" x14ac:dyDescent="0.3">
      <c r="A2862" s="8"/>
      <c r="B2862" s="16" t="s">
        <v>5410</v>
      </c>
      <c r="C2862" s="6"/>
      <c r="D2862" s="6"/>
      <c r="E2862" s="14"/>
      <c r="F2862" s="25">
        <f>IF(HOUR(Table1[[#This Row],[CORREO]])&gt;=11,WORKDAY(Table1[[#This Row],[CORREO]],1,Table2[Dias no laborales]),E2862)</f>
        <v>0</v>
      </c>
      <c r="G2862" s="8"/>
      <c r="H2862" s="6">
        <f t="shared" si="155"/>
        <v>0</v>
      </c>
      <c r="I2862" s="6">
        <f>MAX(1, NETWORKDAYS(A2862, G2862,Table2[Dias no laborales]))</f>
        <v>1</v>
      </c>
      <c r="J2862" s="6" t="str">
        <f>IF(Table1[[#This Row],[FIN]]="","Acumulado",IF(ISNUMBER(SEARCH("ASAP",C2862)),"ASAP",IF(NETWORKDAYS.INTL(F2862,G2862,1,Table2[Dias no laborales]) &lt;= 7, "Dentro", IF(A2862&gt;F2862,"Programado","Fuera"))))</f>
        <v>Acumulado</v>
      </c>
      <c r="K2862" s="6" t="str">
        <f t="shared" si="156"/>
        <v>A tiempo</v>
      </c>
      <c r="L2862" s="8"/>
      <c r="M2862" s="17">
        <f>MAX(1,NETWORKDAYS(A2862,L2862,Table2[Dias no laborales]))</f>
        <v>1</v>
      </c>
    </row>
    <row r="2863" spans="1:13" x14ac:dyDescent="0.3">
      <c r="A2863" s="8"/>
      <c r="B2863" s="16" t="s">
        <v>5411</v>
      </c>
      <c r="C2863" s="6"/>
      <c r="D2863" s="6"/>
      <c r="E2863" s="14"/>
      <c r="F2863" s="25">
        <f>IF(HOUR(Table1[[#This Row],[CORREO]])&gt;=11,WORKDAY(Table1[[#This Row],[CORREO]],1,Table2[Dias no laborales]),E2863)</f>
        <v>0</v>
      </c>
      <c r="G2863" s="8"/>
      <c r="H2863" s="6">
        <f t="shared" si="155"/>
        <v>0</v>
      </c>
      <c r="I2863" s="6">
        <f>MAX(1, NETWORKDAYS(A2863, G2863,Table2[Dias no laborales]))</f>
        <v>1</v>
      </c>
      <c r="J2863" s="6" t="str">
        <f>IF(Table1[[#This Row],[FIN]]="","Acumulado",IF(ISNUMBER(SEARCH("ASAP",C2863)),"ASAP",IF(NETWORKDAYS.INTL(F2863,G2863,1,Table2[Dias no laborales]) &lt;= 7, "Dentro", IF(A2863&gt;F2863,"Programado","Fuera"))))</f>
        <v>Acumulado</v>
      </c>
      <c r="K2863" s="6" t="str">
        <f t="shared" si="156"/>
        <v>A tiempo</v>
      </c>
      <c r="L2863" s="8"/>
      <c r="M2863" s="17">
        <f>MAX(1,NETWORKDAYS(A2863,L2863,Table2[Dias no laborales]))</f>
        <v>1</v>
      </c>
    </row>
    <row r="2864" spans="1:13" x14ac:dyDescent="0.3">
      <c r="A2864" s="8"/>
      <c r="B2864" s="16" t="s">
        <v>5412</v>
      </c>
      <c r="C2864" s="6"/>
      <c r="D2864" s="6"/>
      <c r="E2864" s="14"/>
      <c r="F2864" s="25">
        <f>IF(HOUR(Table1[[#This Row],[CORREO]])&gt;=11,WORKDAY(Table1[[#This Row],[CORREO]],1,Table2[Dias no laborales]),E2864)</f>
        <v>0</v>
      </c>
      <c r="G2864" s="8"/>
      <c r="H2864" s="6">
        <f t="shared" si="155"/>
        <v>0</v>
      </c>
      <c r="I2864" s="6">
        <f>MAX(1, NETWORKDAYS(A2864, G2864,Table2[Dias no laborales]))</f>
        <v>1</v>
      </c>
      <c r="J2864" s="6" t="str">
        <f>IF(Table1[[#This Row],[FIN]]="","Acumulado",IF(ISNUMBER(SEARCH("ASAP",C2864)),"ASAP",IF(NETWORKDAYS.INTL(F2864,G2864,1,Table2[Dias no laborales]) &lt;= 7, "Dentro", IF(A2864&gt;F2864,"Programado","Fuera"))))</f>
        <v>Acumulado</v>
      </c>
      <c r="K2864" s="6" t="str">
        <f t="shared" si="156"/>
        <v>A tiempo</v>
      </c>
      <c r="L2864" s="8"/>
      <c r="M2864" s="17">
        <f>MAX(1,NETWORKDAYS(A2864,L2864,Table2[Dias no laborales]))</f>
        <v>1</v>
      </c>
    </row>
    <row r="2865" spans="1:13" x14ac:dyDescent="0.3">
      <c r="A2865" s="8"/>
      <c r="B2865" s="16" t="s">
        <v>5413</v>
      </c>
      <c r="C2865" s="6"/>
      <c r="D2865" s="6"/>
      <c r="E2865" s="14"/>
      <c r="F2865" s="25">
        <f>IF(HOUR(Table1[[#This Row],[CORREO]])&gt;=11,WORKDAY(Table1[[#This Row],[CORREO]],1,Table2[Dias no laborales]),E2865)</f>
        <v>0</v>
      </c>
      <c r="G2865" s="8"/>
      <c r="H2865" s="6">
        <f t="shared" si="155"/>
        <v>0</v>
      </c>
      <c r="I2865" s="6">
        <f>MAX(1, NETWORKDAYS(A2865, G2865,Table2[Dias no laborales]))</f>
        <v>1</v>
      </c>
      <c r="J2865" s="6" t="str">
        <f>IF(Table1[[#This Row],[FIN]]="","Acumulado",IF(ISNUMBER(SEARCH("ASAP",C2865)),"ASAP",IF(NETWORKDAYS.INTL(F2865,G2865,1,Table2[Dias no laborales]) &lt;= 7, "Dentro", IF(A2865&gt;F2865,"Programado","Fuera"))))</f>
        <v>Acumulado</v>
      </c>
      <c r="K2865" s="6" t="str">
        <f t="shared" si="156"/>
        <v>A tiempo</v>
      </c>
      <c r="L2865" s="8"/>
      <c r="M2865" s="17">
        <f>MAX(1,NETWORKDAYS(A2865,L2865,Table2[Dias no laborales]))</f>
        <v>1</v>
      </c>
    </row>
    <row r="2866" spans="1:13" x14ac:dyDescent="0.3">
      <c r="A2866" s="8"/>
      <c r="B2866" s="16" t="s">
        <v>5414</v>
      </c>
      <c r="C2866" s="6"/>
      <c r="D2866" s="6"/>
      <c r="E2866" s="14"/>
      <c r="F2866" s="25">
        <f>IF(HOUR(Table1[[#This Row],[CORREO]])&gt;=11,WORKDAY(Table1[[#This Row],[CORREO]],1,Table2[Dias no laborales]),E2866)</f>
        <v>0</v>
      </c>
      <c r="G2866" s="8"/>
      <c r="H2866" s="6">
        <f t="shared" si="155"/>
        <v>0</v>
      </c>
      <c r="I2866" s="6">
        <f>MAX(1, NETWORKDAYS(A2866, G2866,Table2[Dias no laborales]))</f>
        <v>1</v>
      </c>
      <c r="J2866" s="6" t="str">
        <f>IF(Table1[[#This Row],[FIN]]="","Acumulado",IF(ISNUMBER(SEARCH("ASAP",C2866)),"ASAP",IF(NETWORKDAYS.INTL(F2866,G2866,1,Table2[Dias no laborales]) &lt;= 7, "Dentro", IF(A2866&gt;F2866,"Programado","Fuera"))))</f>
        <v>Acumulado</v>
      </c>
      <c r="K2866" s="6" t="str">
        <f t="shared" si="156"/>
        <v>A tiempo</v>
      </c>
      <c r="L2866" s="8"/>
      <c r="M2866" s="17">
        <f>MAX(1,NETWORKDAYS(A2866,L2866,Table2[Dias no laborales]))</f>
        <v>1</v>
      </c>
    </row>
    <row r="2867" spans="1:13" x14ac:dyDescent="0.3">
      <c r="A2867" s="8"/>
      <c r="B2867" s="16" t="s">
        <v>5415</v>
      </c>
      <c r="C2867" s="6"/>
      <c r="D2867" s="6"/>
      <c r="E2867" s="14"/>
      <c r="F2867" s="25">
        <f>IF(HOUR(Table1[[#This Row],[CORREO]])&gt;=11,WORKDAY(Table1[[#This Row],[CORREO]],1,Table2[Dias no laborales]),E2867)</f>
        <v>0</v>
      </c>
      <c r="G2867" s="8"/>
      <c r="H2867" s="6">
        <f t="shared" si="155"/>
        <v>0</v>
      </c>
      <c r="I2867" s="6">
        <f>MAX(1, NETWORKDAYS(A2867, G2867,Table2[Dias no laborales]))</f>
        <v>1</v>
      </c>
      <c r="J2867" s="6" t="str">
        <f>IF(Table1[[#This Row],[FIN]]="","Acumulado",IF(ISNUMBER(SEARCH("ASAP",C2867)),"ASAP",IF(NETWORKDAYS.INTL(F2867,G2867,1,Table2[Dias no laborales]) &lt;= 7, "Dentro", IF(A2867&gt;F2867,"Programado","Fuera"))))</f>
        <v>Acumulado</v>
      </c>
      <c r="K2867" s="6" t="str">
        <f t="shared" si="156"/>
        <v>A tiempo</v>
      </c>
      <c r="L2867" s="8"/>
      <c r="M2867" s="17">
        <f>MAX(1,NETWORKDAYS(A2867,L2867,Table2[Dias no laborales]))</f>
        <v>1</v>
      </c>
    </row>
    <row r="2868" spans="1:13" x14ac:dyDescent="0.3">
      <c r="A2868" s="8"/>
      <c r="B2868" s="16" t="s">
        <v>5416</v>
      </c>
      <c r="C2868" s="6"/>
      <c r="D2868" s="6"/>
      <c r="E2868" s="14"/>
      <c r="F2868" s="25">
        <f>IF(HOUR(Table1[[#This Row],[CORREO]])&gt;=11,WORKDAY(Table1[[#This Row],[CORREO]],1,Table2[Dias no laborales]),E2868)</f>
        <v>0</v>
      </c>
      <c r="G2868" s="8"/>
      <c r="H2868" s="6">
        <f t="shared" si="155"/>
        <v>0</v>
      </c>
      <c r="I2868" s="6">
        <f>MAX(1, NETWORKDAYS(A2868, G2868,Table2[Dias no laborales]))</f>
        <v>1</v>
      </c>
      <c r="J2868" s="6" t="str">
        <f>IF(Table1[[#This Row],[FIN]]="","Acumulado",IF(ISNUMBER(SEARCH("ASAP",C2868)),"ASAP",IF(NETWORKDAYS.INTL(F2868,G2868,1,Table2[Dias no laborales]) &lt;= 7, "Dentro", IF(A2868&gt;F2868,"Programado","Fuera"))))</f>
        <v>Acumulado</v>
      </c>
      <c r="K2868" s="6" t="str">
        <f t="shared" si="156"/>
        <v>A tiempo</v>
      </c>
      <c r="L2868" s="8"/>
      <c r="M2868" s="17">
        <f>MAX(1,NETWORKDAYS(A2868,L2868,Table2[Dias no laborales]))</f>
        <v>1</v>
      </c>
    </row>
    <row r="2869" spans="1:13" x14ac:dyDescent="0.3">
      <c r="A2869" s="8"/>
      <c r="B2869" s="16" t="s">
        <v>5417</v>
      </c>
      <c r="C2869" s="6"/>
      <c r="D2869" s="6"/>
      <c r="E2869" s="14"/>
      <c r="F2869" s="25">
        <f>IF(HOUR(Table1[[#This Row],[CORREO]])&gt;=11,WORKDAY(Table1[[#This Row],[CORREO]],1,Table2[Dias no laborales]),E2869)</f>
        <v>0</v>
      </c>
      <c r="G2869" s="8"/>
      <c r="H2869" s="6">
        <f t="shared" si="155"/>
        <v>0</v>
      </c>
      <c r="I2869" s="6">
        <f>MAX(1, NETWORKDAYS(A2869, G2869,Table2[Dias no laborales]))</f>
        <v>1</v>
      </c>
      <c r="J2869" s="6" t="str">
        <f>IF(Table1[[#This Row],[FIN]]="","Acumulado",IF(ISNUMBER(SEARCH("ASAP",C2869)),"ASAP",IF(NETWORKDAYS.INTL(F2869,G2869,1,Table2[Dias no laborales]) &lt;= 7, "Dentro", IF(A2869&gt;F2869,"Programado","Fuera"))))</f>
        <v>Acumulado</v>
      </c>
      <c r="K2869" s="6" t="str">
        <f t="shared" si="156"/>
        <v>A tiempo</v>
      </c>
      <c r="L2869" s="8"/>
      <c r="M2869" s="17">
        <f>MAX(1,NETWORKDAYS(A2869,L2869,Table2[Dias no laborales]))</f>
        <v>1</v>
      </c>
    </row>
    <row r="2870" spans="1:13" x14ac:dyDescent="0.3">
      <c r="A2870" s="8"/>
      <c r="B2870" s="16" t="s">
        <v>5418</v>
      </c>
      <c r="C2870" s="6"/>
      <c r="D2870" s="6"/>
      <c r="E2870" s="14"/>
      <c r="F2870" s="25">
        <f>IF(HOUR(Table1[[#This Row],[CORREO]])&gt;=11,WORKDAY(Table1[[#This Row],[CORREO]],1,Table2[Dias no laborales]),E2870)</f>
        <v>0</v>
      </c>
      <c r="G2870" s="8"/>
      <c r="H2870" s="6">
        <f t="shared" si="155"/>
        <v>0</v>
      </c>
      <c r="I2870" s="6">
        <f>MAX(1, NETWORKDAYS(A2870, G2870,Table2[Dias no laborales]))</f>
        <v>1</v>
      </c>
      <c r="J2870" s="6" t="str">
        <f>IF(Table1[[#This Row],[FIN]]="","Acumulado",IF(ISNUMBER(SEARCH("ASAP",C2870)),"ASAP",IF(NETWORKDAYS.INTL(F2870,G2870,1,Table2[Dias no laborales]) &lt;= 7, "Dentro", IF(A2870&gt;F2870,"Programado","Fuera"))))</f>
        <v>Acumulado</v>
      </c>
      <c r="K2870" s="6" t="str">
        <f t="shared" si="156"/>
        <v>A tiempo</v>
      </c>
      <c r="L2870" s="8"/>
      <c r="M2870" s="17">
        <f>MAX(1,NETWORKDAYS(A2870,L2870,Table2[Dias no laborales]))</f>
        <v>1</v>
      </c>
    </row>
    <row r="2871" spans="1:13" x14ac:dyDescent="0.3">
      <c r="A2871" s="8"/>
      <c r="B2871" s="16" t="s">
        <v>5419</v>
      </c>
      <c r="C2871" s="6"/>
      <c r="D2871" s="6"/>
      <c r="E2871" s="14"/>
      <c r="F2871" s="25">
        <f>IF(HOUR(Table1[[#This Row],[CORREO]])&gt;=11,WORKDAY(Table1[[#This Row],[CORREO]],1,Table2[Dias no laborales]),E2871)</f>
        <v>0</v>
      </c>
      <c r="G2871" s="8"/>
      <c r="H2871" s="6">
        <f t="shared" si="155"/>
        <v>0</v>
      </c>
      <c r="I2871" s="6">
        <f>MAX(1, NETWORKDAYS(A2871, G2871,Table2[Dias no laborales]))</f>
        <v>1</v>
      </c>
      <c r="J2871" s="6" t="str">
        <f>IF(Table1[[#This Row],[FIN]]="","Acumulado",IF(ISNUMBER(SEARCH("ASAP",C2871)),"ASAP",IF(NETWORKDAYS.INTL(F2871,G2871,1,Table2[Dias no laborales]) &lt;= 7, "Dentro", IF(A2871&gt;F2871,"Programado","Fuera"))))</f>
        <v>Acumulado</v>
      </c>
      <c r="K2871" s="6" t="str">
        <f t="shared" si="156"/>
        <v>A tiempo</v>
      </c>
      <c r="L2871" s="8"/>
      <c r="M2871" s="17">
        <f>MAX(1,NETWORKDAYS(A2871,L2871,Table2[Dias no laborales]))</f>
        <v>1</v>
      </c>
    </row>
    <row r="2872" spans="1:13" x14ac:dyDescent="0.3">
      <c r="A2872" s="8"/>
      <c r="B2872" s="16" t="s">
        <v>5420</v>
      </c>
      <c r="C2872" s="6"/>
      <c r="D2872" s="6"/>
      <c r="E2872" s="14"/>
      <c r="F2872" s="25">
        <f>IF(HOUR(Table1[[#This Row],[CORREO]])&gt;=11,WORKDAY(Table1[[#This Row],[CORREO]],1,Table2[Dias no laborales]),E2872)</f>
        <v>0</v>
      </c>
      <c r="G2872" s="8"/>
      <c r="H2872" s="6">
        <f t="shared" si="155"/>
        <v>0</v>
      </c>
      <c r="I2872" s="6">
        <f>MAX(1, NETWORKDAYS(A2872, G2872,Table2[Dias no laborales]))</f>
        <v>1</v>
      </c>
      <c r="J2872" s="6" t="str">
        <f>IF(Table1[[#This Row],[FIN]]="","Acumulado",IF(ISNUMBER(SEARCH("ASAP",C2872)),"ASAP",IF(NETWORKDAYS.INTL(F2872,G2872,1,Table2[Dias no laborales]) &lt;= 7, "Dentro", IF(A2872&gt;F2872,"Programado","Fuera"))))</f>
        <v>Acumulado</v>
      </c>
      <c r="K2872" s="6" t="str">
        <f t="shared" si="156"/>
        <v>A tiempo</v>
      </c>
      <c r="L2872" s="8"/>
      <c r="M2872" s="17">
        <f>MAX(1,NETWORKDAYS(A2872,L2872,Table2[Dias no laborales]))</f>
        <v>1</v>
      </c>
    </row>
    <row r="2873" spans="1:13" x14ac:dyDescent="0.3">
      <c r="A2873" s="8"/>
      <c r="B2873" s="16" t="s">
        <v>5421</v>
      </c>
      <c r="C2873" s="6"/>
      <c r="D2873" s="6"/>
      <c r="E2873" s="14"/>
      <c r="F2873" s="25">
        <f>IF(HOUR(Table1[[#This Row],[CORREO]])&gt;=11,WORKDAY(Table1[[#This Row],[CORREO]],1,Table2[Dias no laborales]),E2873)</f>
        <v>0</v>
      </c>
      <c r="G2873" s="8"/>
      <c r="H2873" s="6">
        <f t="shared" si="155"/>
        <v>0</v>
      </c>
      <c r="I2873" s="6">
        <f>MAX(1, NETWORKDAYS(A2873, G2873,Table2[Dias no laborales]))</f>
        <v>1</v>
      </c>
      <c r="J2873" s="6" t="str">
        <f>IF(Table1[[#This Row],[FIN]]="","Acumulado",IF(ISNUMBER(SEARCH("ASAP",C2873)),"ASAP",IF(NETWORKDAYS.INTL(F2873,G2873,1,Table2[Dias no laborales]) &lt;= 7, "Dentro", IF(A2873&gt;F2873,"Programado","Fuera"))))</f>
        <v>Acumulado</v>
      </c>
      <c r="K2873" s="6" t="str">
        <f t="shared" si="156"/>
        <v>A tiempo</v>
      </c>
      <c r="L2873" s="8"/>
      <c r="M2873" s="17">
        <f>MAX(1,NETWORKDAYS(A2873,L2873,Table2[Dias no laborales]))</f>
        <v>1</v>
      </c>
    </row>
    <row r="2874" spans="1:13" x14ac:dyDescent="0.3">
      <c r="A2874" s="8"/>
      <c r="B2874" s="16" t="s">
        <v>5422</v>
      </c>
      <c r="C2874" s="6"/>
      <c r="D2874" s="6"/>
      <c r="E2874" s="14"/>
      <c r="F2874" s="25">
        <f>IF(HOUR(Table1[[#This Row],[CORREO]])&gt;=11,WORKDAY(Table1[[#This Row],[CORREO]],1,Table2[Dias no laborales]),E2874)</f>
        <v>0</v>
      </c>
      <c r="G2874" s="8"/>
      <c r="H2874" s="6">
        <f t="shared" si="155"/>
        <v>0</v>
      </c>
      <c r="I2874" s="6">
        <f>MAX(1, NETWORKDAYS(A2874, G2874,Table2[Dias no laborales]))</f>
        <v>1</v>
      </c>
      <c r="J2874" s="6" t="str">
        <f>IF(Table1[[#This Row],[FIN]]="","Acumulado",IF(ISNUMBER(SEARCH("ASAP",C2874)),"ASAP",IF(NETWORKDAYS.INTL(F2874,G2874,1,Table2[Dias no laborales]) &lt;= 7, "Dentro", IF(A2874&gt;F2874,"Programado","Fuera"))))</f>
        <v>Acumulado</v>
      </c>
      <c r="K2874" s="6" t="str">
        <f t="shared" si="156"/>
        <v>A tiempo</v>
      </c>
      <c r="L2874" s="8"/>
      <c r="M2874" s="17">
        <f>MAX(1,NETWORKDAYS(A2874,L2874,Table2[Dias no laborales]))</f>
        <v>1</v>
      </c>
    </row>
    <row r="2875" spans="1:13" x14ac:dyDescent="0.3">
      <c r="A2875" s="8"/>
      <c r="B2875" s="16" t="s">
        <v>5423</v>
      </c>
      <c r="C2875" s="6"/>
      <c r="D2875" s="6"/>
      <c r="E2875" s="14"/>
      <c r="F2875" s="25">
        <f>IF(HOUR(Table1[[#This Row],[CORREO]])&gt;=11,WORKDAY(Table1[[#This Row],[CORREO]],1,Table2[Dias no laborales]),E2875)</f>
        <v>0</v>
      </c>
      <c r="G2875" s="8"/>
      <c r="H2875" s="6">
        <f t="shared" si="155"/>
        <v>0</v>
      </c>
      <c r="I2875" s="6">
        <f>MAX(1, NETWORKDAYS(A2875, G2875,Table2[Dias no laborales]))</f>
        <v>1</v>
      </c>
      <c r="J2875" s="6" t="str">
        <f>IF(Table1[[#This Row],[FIN]]="","Acumulado",IF(ISNUMBER(SEARCH("ASAP",C2875)),"ASAP",IF(NETWORKDAYS.INTL(F2875,G2875,1,Table2[Dias no laborales]) &lt;= 7, "Dentro", IF(A2875&gt;F2875,"Programado","Fuera"))))</f>
        <v>Acumulado</v>
      </c>
      <c r="K2875" s="6" t="str">
        <f t="shared" si="156"/>
        <v>A tiempo</v>
      </c>
      <c r="L2875" s="8"/>
      <c r="M2875" s="17">
        <f>MAX(1,NETWORKDAYS(A2875,L2875,Table2[Dias no laborales]))</f>
        <v>1</v>
      </c>
    </row>
    <row r="2876" spans="1:13" x14ac:dyDescent="0.3">
      <c r="A2876" s="8"/>
      <c r="B2876" s="16" t="s">
        <v>5424</v>
      </c>
      <c r="C2876" s="6"/>
      <c r="D2876" s="6"/>
      <c r="E2876" s="14"/>
      <c r="F2876" s="25">
        <f>IF(HOUR(Table1[[#This Row],[CORREO]])&gt;=11,WORKDAY(Table1[[#This Row],[CORREO]],1,Table2[Dias no laborales]),E2876)</f>
        <v>0</v>
      </c>
      <c r="G2876" s="8"/>
      <c r="H2876" s="6">
        <f t="shared" si="155"/>
        <v>0</v>
      </c>
      <c r="I2876" s="6">
        <f>MAX(1, NETWORKDAYS(A2876, G2876,Table2[Dias no laborales]))</f>
        <v>1</v>
      </c>
      <c r="J2876" s="6" t="str">
        <f>IF(Table1[[#This Row],[FIN]]="","Acumulado",IF(ISNUMBER(SEARCH("ASAP",C2876)),"ASAP",IF(NETWORKDAYS.INTL(F2876,G2876,1,Table2[Dias no laborales]) &lt;= 7, "Dentro", IF(A2876&gt;F2876,"Programado","Fuera"))))</f>
        <v>Acumulado</v>
      </c>
      <c r="K2876" s="6" t="str">
        <f t="shared" si="156"/>
        <v>A tiempo</v>
      </c>
      <c r="L2876" s="8"/>
      <c r="M2876" s="17">
        <f>MAX(1,NETWORKDAYS(A2876,L2876,Table2[Dias no laborales]))</f>
        <v>1</v>
      </c>
    </row>
    <row r="2877" spans="1:13" x14ac:dyDescent="0.3">
      <c r="A2877" s="8"/>
      <c r="B2877" s="16" t="s">
        <v>5425</v>
      </c>
      <c r="C2877" s="6"/>
      <c r="D2877" s="6"/>
      <c r="E2877" s="14"/>
      <c r="F2877" s="25">
        <f>IF(HOUR(Table1[[#This Row],[CORREO]])&gt;=11,WORKDAY(Table1[[#This Row],[CORREO]],1,Table2[Dias no laborales]),E2877)</f>
        <v>0</v>
      </c>
      <c r="G2877" s="8"/>
      <c r="H2877" s="6">
        <f t="shared" si="155"/>
        <v>0</v>
      </c>
      <c r="I2877" s="6">
        <f>MAX(1, NETWORKDAYS(A2877, G2877,Table2[Dias no laborales]))</f>
        <v>1</v>
      </c>
      <c r="J2877" s="6" t="str">
        <f>IF(Table1[[#This Row],[FIN]]="","Acumulado",IF(ISNUMBER(SEARCH("ASAP",C2877)),"ASAP",IF(NETWORKDAYS.INTL(F2877,G2877,1,Table2[Dias no laborales]) &lt;= 7, "Dentro", IF(A2877&gt;F2877,"Programado","Fuera"))))</f>
        <v>Acumulado</v>
      </c>
      <c r="K2877" s="6" t="str">
        <f t="shared" si="156"/>
        <v>A tiempo</v>
      </c>
      <c r="L2877" s="8"/>
      <c r="M2877" s="17">
        <f>MAX(1,NETWORKDAYS(A2877,L2877,Table2[Dias no laborales]))</f>
        <v>1</v>
      </c>
    </row>
    <row r="2878" spans="1:13" x14ac:dyDescent="0.3">
      <c r="A2878" s="8"/>
      <c r="B2878" s="16" t="s">
        <v>5426</v>
      </c>
      <c r="C2878" s="6"/>
      <c r="D2878" s="6"/>
      <c r="E2878" s="14"/>
      <c r="F2878" s="25">
        <f>IF(HOUR(Table1[[#This Row],[CORREO]])&gt;=11,WORKDAY(Table1[[#This Row],[CORREO]],1,Table2[Dias no laborales]),E2878)</f>
        <v>0</v>
      </c>
      <c r="G2878" s="8"/>
      <c r="H2878" s="6">
        <f t="shared" si="155"/>
        <v>0</v>
      </c>
      <c r="I2878" s="6">
        <f>MAX(1, NETWORKDAYS(A2878, G2878,Table2[Dias no laborales]))</f>
        <v>1</v>
      </c>
      <c r="J2878" s="6" t="str">
        <f>IF(Table1[[#This Row],[FIN]]="","Acumulado",IF(ISNUMBER(SEARCH("ASAP",C2878)),"ASAP",IF(NETWORKDAYS.INTL(F2878,G2878,1,Table2[Dias no laborales]) &lt;= 7, "Dentro", IF(A2878&gt;F2878,"Programado","Fuera"))))</f>
        <v>Acumulado</v>
      </c>
      <c r="K2878" s="6" t="str">
        <f t="shared" si="156"/>
        <v>A tiempo</v>
      </c>
      <c r="L2878" s="8"/>
      <c r="M2878" s="17">
        <f>MAX(1,NETWORKDAYS(A2878,L2878,Table2[Dias no laborales]))</f>
        <v>1</v>
      </c>
    </row>
    <row r="2879" spans="1:13" x14ac:dyDescent="0.3">
      <c r="A2879" s="8"/>
      <c r="B2879" s="16" t="s">
        <v>5427</v>
      </c>
      <c r="C2879" s="6"/>
      <c r="D2879" s="6"/>
      <c r="E2879" s="14"/>
      <c r="F2879" s="25">
        <f>IF(HOUR(Table1[[#This Row],[CORREO]])&gt;=11,WORKDAY(Table1[[#This Row],[CORREO]],1,Table2[Dias no laborales]),E2879)</f>
        <v>0</v>
      </c>
      <c r="G2879" s="8"/>
      <c r="H2879" s="6">
        <f t="shared" si="155"/>
        <v>0</v>
      </c>
      <c r="I2879" s="6">
        <f>MAX(1, NETWORKDAYS(A2879, G2879,Table2[Dias no laborales]))</f>
        <v>1</v>
      </c>
      <c r="J2879" s="6" t="str">
        <f>IF(Table1[[#This Row],[FIN]]="","Acumulado",IF(ISNUMBER(SEARCH("ASAP",C2879)),"ASAP",IF(NETWORKDAYS.INTL(F2879,G2879,1,Table2[Dias no laborales]) &lt;= 7, "Dentro", IF(A2879&gt;F2879,"Programado","Fuera"))))</f>
        <v>Acumulado</v>
      </c>
      <c r="K2879" s="6" t="str">
        <f t="shared" si="156"/>
        <v>A tiempo</v>
      </c>
      <c r="L2879" s="8"/>
      <c r="M2879" s="17">
        <f>MAX(1,NETWORKDAYS(A2879,L2879,Table2[Dias no laborales]))</f>
        <v>1</v>
      </c>
    </row>
    <row r="2880" spans="1:13" x14ac:dyDescent="0.3">
      <c r="A2880" s="8"/>
      <c r="B2880" s="16" t="s">
        <v>5428</v>
      </c>
      <c r="C2880" s="6"/>
      <c r="D2880" s="6"/>
      <c r="E2880" s="14"/>
      <c r="F2880" s="25">
        <f>IF(HOUR(Table1[[#This Row],[CORREO]])&gt;=11,WORKDAY(Table1[[#This Row],[CORREO]],1,Table2[Dias no laborales]),E2880)</f>
        <v>0</v>
      </c>
      <c r="G2880" s="8"/>
      <c r="H2880" s="6">
        <f t="shared" si="155"/>
        <v>0</v>
      </c>
      <c r="I2880" s="6">
        <f>MAX(1, NETWORKDAYS(A2880, G2880,Table2[Dias no laborales]))</f>
        <v>1</v>
      </c>
      <c r="J2880" s="6" t="str">
        <f>IF(Table1[[#This Row],[FIN]]="","Acumulado",IF(ISNUMBER(SEARCH("ASAP",C2880)),"ASAP",IF(NETWORKDAYS.INTL(F2880,G2880,1,Table2[Dias no laborales]) &lt;= 7, "Dentro", IF(A2880&gt;F2880,"Programado","Fuera"))))</f>
        <v>Acumulado</v>
      </c>
      <c r="K2880" s="6" t="str">
        <f t="shared" si="156"/>
        <v>A tiempo</v>
      </c>
      <c r="L2880" s="8"/>
      <c r="M2880" s="17">
        <f>MAX(1,NETWORKDAYS(A2880,L2880,Table2[Dias no laborales]))</f>
        <v>1</v>
      </c>
    </row>
    <row r="2881" spans="1:13" x14ac:dyDescent="0.3">
      <c r="A2881" s="8"/>
      <c r="B2881" s="16" t="s">
        <v>5429</v>
      </c>
      <c r="C2881" s="6"/>
      <c r="D2881" s="6"/>
      <c r="E2881" s="14"/>
      <c r="F2881" s="25">
        <f>IF(HOUR(Table1[[#This Row],[CORREO]])&gt;=11,WORKDAY(Table1[[#This Row],[CORREO]],1,Table2[Dias no laborales]),E2881)</f>
        <v>0</v>
      </c>
      <c r="G2881" s="8"/>
      <c r="H2881" s="6">
        <f t="shared" si="155"/>
        <v>0</v>
      </c>
      <c r="I2881" s="6">
        <f>MAX(1, NETWORKDAYS(A2881, G2881,Table2[Dias no laborales]))</f>
        <v>1</v>
      </c>
      <c r="J2881" s="6" t="str">
        <f>IF(Table1[[#This Row],[FIN]]="","Acumulado",IF(ISNUMBER(SEARCH("ASAP",C2881)),"ASAP",IF(NETWORKDAYS.INTL(F2881,G2881,1,Table2[Dias no laborales]) &lt;= 7, "Dentro", IF(A2881&gt;F2881,"Programado","Fuera"))))</f>
        <v>Acumulado</v>
      </c>
      <c r="K2881" s="6" t="str">
        <f t="shared" si="156"/>
        <v>A tiempo</v>
      </c>
      <c r="L2881" s="8"/>
      <c r="M2881" s="17">
        <f>MAX(1,NETWORKDAYS(A2881,L2881,Table2[Dias no laborales]))</f>
        <v>1</v>
      </c>
    </row>
    <row r="2882" spans="1:13" x14ac:dyDescent="0.3">
      <c r="A2882" s="8"/>
      <c r="B2882" s="16" t="s">
        <v>5430</v>
      </c>
      <c r="C2882" s="6"/>
      <c r="D2882" s="6"/>
      <c r="E2882" s="14"/>
      <c r="F2882" s="25">
        <f>IF(HOUR(Table1[[#This Row],[CORREO]])&gt;=11,WORKDAY(Table1[[#This Row],[CORREO]],1,Table2[Dias no laborales]),E2882)</f>
        <v>0</v>
      </c>
      <c r="G2882" s="8"/>
      <c r="H2882" s="6">
        <f t="shared" si="155"/>
        <v>0</v>
      </c>
      <c r="I2882" s="6">
        <f>MAX(1, NETWORKDAYS(A2882, G2882,Table2[Dias no laborales]))</f>
        <v>1</v>
      </c>
      <c r="J2882" s="6" t="str">
        <f>IF(Table1[[#This Row],[FIN]]="","Acumulado",IF(ISNUMBER(SEARCH("ASAP",C2882)),"ASAP",IF(NETWORKDAYS.INTL(F2882,G2882,1,Table2[Dias no laborales]) &lt;= 7, "Dentro", IF(A2882&gt;F2882,"Programado","Fuera"))))</f>
        <v>Acumulado</v>
      </c>
      <c r="K2882" s="6" t="str">
        <f t="shared" si="156"/>
        <v>A tiempo</v>
      </c>
      <c r="L2882" s="8"/>
      <c r="M2882" s="17">
        <f>MAX(1,NETWORKDAYS(A2882,L2882,Table2[Dias no laborales]))</f>
        <v>1</v>
      </c>
    </row>
    <row r="2883" spans="1:13" x14ac:dyDescent="0.3">
      <c r="A2883" s="8"/>
      <c r="B2883" s="16" t="s">
        <v>5431</v>
      </c>
      <c r="C2883" s="6"/>
      <c r="D2883" s="6"/>
      <c r="E2883" s="14"/>
      <c r="F2883" s="25">
        <f>IF(HOUR(Table1[[#This Row],[CORREO]])&gt;=11,WORKDAY(Table1[[#This Row],[CORREO]],1,Table2[Dias no laborales]),E2883)</f>
        <v>0</v>
      </c>
      <c r="G2883" s="8"/>
      <c r="H2883" s="6">
        <f t="shared" si="155"/>
        <v>0</v>
      </c>
      <c r="I2883" s="6">
        <f>MAX(1, NETWORKDAYS(A2883, G2883,Table2[Dias no laborales]))</f>
        <v>1</v>
      </c>
      <c r="J2883" s="6" t="str">
        <f>IF(Table1[[#This Row],[FIN]]="","Acumulado",IF(ISNUMBER(SEARCH("ASAP",C2883)),"ASAP",IF(NETWORKDAYS.INTL(F2883,G2883,1,Table2[Dias no laborales]) &lt;= 7, "Dentro", IF(A2883&gt;F2883,"Programado","Fuera"))))</f>
        <v>Acumulado</v>
      </c>
      <c r="K2883" s="6" t="str">
        <f t="shared" si="156"/>
        <v>A tiempo</v>
      </c>
      <c r="L2883" s="8"/>
      <c r="M2883" s="17">
        <f>MAX(1,NETWORKDAYS(A2883,L2883,Table2[Dias no laborales]))</f>
        <v>1</v>
      </c>
    </row>
    <row r="2884" spans="1:13" x14ac:dyDescent="0.3">
      <c r="A2884" s="8"/>
      <c r="B2884" s="16" t="s">
        <v>5432</v>
      </c>
      <c r="C2884" s="6"/>
      <c r="D2884" s="6"/>
      <c r="E2884" s="14"/>
      <c r="F2884" s="25">
        <f>IF(HOUR(Table1[[#This Row],[CORREO]])&gt;=11,WORKDAY(Table1[[#This Row],[CORREO]],1,Table2[Dias no laborales]),E2884)</f>
        <v>0</v>
      </c>
      <c r="G2884" s="8"/>
      <c r="H2884" s="6">
        <f t="shared" si="155"/>
        <v>0</v>
      </c>
      <c r="I2884" s="6">
        <f>MAX(1, NETWORKDAYS(A2884, G2884,Table2[Dias no laborales]))</f>
        <v>1</v>
      </c>
      <c r="J2884" s="6" t="str">
        <f>IF(Table1[[#This Row],[FIN]]="","Acumulado",IF(ISNUMBER(SEARCH("ASAP",C2884)),"ASAP",IF(NETWORKDAYS.INTL(F2884,G2884,1,Table2[Dias no laborales]) &lt;= 7, "Dentro", IF(A2884&gt;F2884,"Programado","Fuera"))))</f>
        <v>Acumulado</v>
      </c>
      <c r="K2884" s="6" t="str">
        <f t="shared" si="156"/>
        <v>A tiempo</v>
      </c>
      <c r="L2884" s="8"/>
      <c r="M2884" s="17">
        <f>MAX(1,NETWORKDAYS(A2884,L2884,Table2[Dias no laborales]))</f>
        <v>1</v>
      </c>
    </row>
    <row r="2885" spans="1:13" x14ac:dyDescent="0.3">
      <c r="A2885" s="8"/>
      <c r="B2885" s="16" t="s">
        <v>5433</v>
      </c>
      <c r="C2885" s="6"/>
      <c r="D2885" s="6"/>
      <c r="E2885" s="14"/>
      <c r="F2885" s="25">
        <f>IF(HOUR(Table1[[#This Row],[CORREO]])&gt;=11,WORKDAY(Table1[[#This Row],[CORREO]],1,Table2[Dias no laborales]),E2885)</f>
        <v>0</v>
      </c>
      <c r="G2885" s="8"/>
      <c r="H2885" s="6">
        <f t="shared" si="155"/>
        <v>0</v>
      </c>
      <c r="I2885" s="6">
        <f>MAX(1, NETWORKDAYS(A2885, G2885,Table2[Dias no laborales]))</f>
        <v>1</v>
      </c>
      <c r="J2885" s="6" t="str">
        <f>IF(Table1[[#This Row],[FIN]]="","Acumulado",IF(ISNUMBER(SEARCH("ASAP",C2885)),"ASAP",IF(NETWORKDAYS.INTL(F2885,G2885,1,Table2[Dias no laborales]) &lt;= 7, "Dentro", IF(A2885&gt;F2885,"Programado","Fuera"))))</f>
        <v>Acumulado</v>
      </c>
      <c r="K2885" s="6" t="str">
        <f t="shared" si="156"/>
        <v>A tiempo</v>
      </c>
      <c r="L2885" s="8"/>
      <c r="M2885" s="17">
        <f>MAX(1,NETWORKDAYS(A2885,L2885,Table2[Dias no laborales]))</f>
        <v>1</v>
      </c>
    </row>
    <row r="2886" spans="1:13" x14ac:dyDescent="0.3">
      <c r="A2886" s="8"/>
      <c r="B2886" s="16" t="s">
        <v>5434</v>
      </c>
      <c r="C2886" s="6"/>
      <c r="D2886" s="6"/>
      <c r="E2886" s="14"/>
      <c r="F2886" s="25">
        <f>IF(HOUR(Table1[[#This Row],[CORREO]])&gt;=11,WORKDAY(Table1[[#This Row],[CORREO]],1,Table2[Dias no laborales]),E2886)</f>
        <v>0</v>
      </c>
      <c r="G2886" s="8"/>
      <c r="H2886" s="6">
        <f t="shared" si="155"/>
        <v>0</v>
      </c>
      <c r="I2886" s="6">
        <f>MAX(1, NETWORKDAYS(A2886, G2886,Table2[Dias no laborales]))</f>
        <v>1</v>
      </c>
      <c r="J2886" s="6" t="str">
        <f>IF(Table1[[#This Row],[FIN]]="","Acumulado",IF(ISNUMBER(SEARCH("ASAP",C2886)),"ASAP",IF(NETWORKDAYS.INTL(F2886,G2886,1,Table2[Dias no laborales]) &lt;= 7, "Dentro", IF(A2886&gt;F2886,"Programado","Fuera"))))</f>
        <v>Acumulado</v>
      </c>
      <c r="K2886" s="6" t="str">
        <f t="shared" si="156"/>
        <v>A tiempo</v>
      </c>
      <c r="L2886" s="8"/>
      <c r="M2886" s="17">
        <f>MAX(1,NETWORKDAYS(A2886,L2886,Table2[Dias no laborales]))</f>
        <v>1</v>
      </c>
    </row>
    <row r="2887" spans="1:13" x14ac:dyDescent="0.3">
      <c r="A2887" s="8"/>
      <c r="B2887" s="16" t="s">
        <v>5435</v>
      </c>
      <c r="C2887" s="6"/>
      <c r="D2887" s="6"/>
      <c r="E2887" s="14"/>
      <c r="F2887" s="25">
        <f>IF(HOUR(Table1[[#This Row],[CORREO]])&gt;=11,WORKDAY(Table1[[#This Row],[CORREO]],1,Table2[Dias no laborales]),E2887)</f>
        <v>0</v>
      </c>
      <c r="G2887" s="8"/>
      <c r="H2887" s="6">
        <f t="shared" si="155"/>
        <v>0</v>
      </c>
      <c r="I2887" s="6">
        <f>MAX(1, NETWORKDAYS(A2887, G2887,Table2[Dias no laborales]))</f>
        <v>1</v>
      </c>
      <c r="J2887" s="6" t="str">
        <f>IF(Table1[[#This Row],[FIN]]="","Acumulado",IF(ISNUMBER(SEARCH("ASAP",C2887)),"ASAP",IF(NETWORKDAYS.INTL(F2887,G2887,1,Table2[Dias no laborales]) &lt;= 7, "Dentro", IF(A2887&gt;F2887,"Programado","Fuera"))))</f>
        <v>Acumulado</v>
      </c>
      <c r="K2887" s="6" t="str">
        <f t="shared" si="156"/>
        <v>A tiempo</v>
      </c>
      <c r="L2887" s="8"/>
      <c r="M2887" s="17">
        <f>MAX(1,NETWORKDAYS(A2887,L2887,Table2[Dias no laborales]))</f>
        <v>1</v>
      </c>
    </row>
    <row r="2888" spans="1:13" x14ac:dyDescent="0.3">
      <c r="A2888" s="8"/>
      <c r="B2888" s="16" t="s">
        <v>5436</v>
      </c>
      <c r="C2888" s="6"/>
      <c r="D2888" s="6"/>
      <c r="E2888" s="14"/>
      <c r="F2888" s="25">
        <f>IF(HOUR(Table1[[#This Row],[CORREO]])&gt;=11,WORKDAY(Table1[[#This Row],[CORREO]],1,Table2[Dias no laborales]),E2888)</f>
        <v>0</v>
      </c>
      <c r="G2888" s="8"/>
      <c r="H2888" s="6">
        <f t="shared" ref="H2888:H2929" si="157">INT((A2888-DATE(YEAR(A2888),1,1))/7) + 1</f>
        <v>0</v>
      </c>
      <c r="I2888" s="6">
        <f>MAX(1, NETWORKDAYS(A2888, G2888,Table2[Dias no laborales]))</f>
        <v>1</v>
      </c>
      <c r="J2888" s="6" t="str">
        <f>IF(Table1[[#This Row],[FIN]]="","Acumulado",IF(ISNUMBER(SEARCH("ASAP",C2888)),"ASAP",IF(NETWORKDAYS.INTL(F2888,G2888,1,Table2[Dias no laborales]) &lt;= 7, "Dentro", IF(A2888&gt;F2888,"Programado","Fuera"))))</f>
        <v>Acumulado</v>
      </c>
      <c r="K2888" s="6" t="str">
        <f t="shared" ref="K2888:K2929" si="158">IF(INT(A2888)=INT(F2888),"A tiempo", IF(A2888&lt;F2888,"Mismo día","Programados"))</f>
        <v>A tiempo</v>
      </c>
      <c r="L2888" s="8"/>
      <c r="M2888" s="17">
        <f>MAX(1,NETWORKDAYS(A2888,L2888,Table2[Dias no laborales]))</f>
        <v>1</v>
      </c>
    </row>
    <row r="2889" spans="1:13" x14ac:dyDescent="0.3">
      <c r="A2889" s="8"/>
      <c r="B2889" s="16" t="s">
        <v>5437</v>
      </c>
      <c r="C2889" s="6"/>
      <c r="D2889" s="6"/>
      <c r="E2889" s="14"/>
      <c r="F2889" s="25">
        <f>IF(HOUR(Table1[[#This Row],[CORREO]])&gt;=11,WORKDAY(Table1[[#This Row],[CORREO]],1,Table2[Dias no laborales]),E2889)</f>
        <v>0</v>
      </c>
      <c r="G2889" s="8"/>
      <c r="H2889" s="6">
        <f t="shared" si="157"/>
        <v>0</v>
      </c>
      <c r="I2889" s="6">
        <f>MAX(1, NETWORKDAYS(A2889, G2889,Table2[Dias no laborales]))</f>
        <v>1</v>
      </c>
      <c r="J2889" s="6" t="str">
        <f>IF(Table1[[#This Row],[FIN]]="","Acumulado",IF(ISNUMBER(SEARCH("ASAP",C2889)),"ASAP",IF(NETWORKDAYS.INTL(F2889,G2889,1,Table2[Dias no laborales]) &lt;= 7, "Dentro", IF(A2889&gt;F2889,"Programado","Fuera"))))</f>
        <v>Acumulado</v>
      </c>
      <c r="K2889" s="6" t="str">
        <f t="shared" si="158"/>
        <v>A tiempo</v>
      </c>
      <c r="L2889" s="8"/>
      <c r="M2889" s="17">
        <f>MAX(1,NETWORKDAYS(A2889,L2889,Table2[Dias no laborales]))</f>
        <v>1</v>
      </c>
    </row>
    <row r="2890" spans="1:13" x14ac:dyDescent="0.3">
      <c r="A2890" s="8"/>
      <c r="B2890" s="16" t="s">
        <v>5438</v>
      </c>
      <c r="C2890" s="6"/>
      <c r="D2890" s="6"/>
      <c r="E2890" s="14"/>
      <c r="F2890" s="25">
        <f>IF(HOUR(Table1[[#This Row],[CORREO]])&gt;=11,WORKDAY(Table1[[#This Row],[CORREO]],1,Table2[Dias no laborales]),E2890)</f>
        <v>0</v>
      </c>
      <c r="G2890" s="8"/>
      <c r="H2890" s="6">
        <f t="shared" si="157"/>
        <v>0</v>
      </c>
      <c r="I2890" s="6">
        <f>MAX(1, NETWORKDAYS(A2890, G2890,Table2[Dias no laborales]))</f>
        <v>1</v>
      </c>
      <c r="J2890" s="6" t="str">
        <f>IF(Table1[[#This Row],[FIN]]="","Acumulado",IF(ISNUMBER(SEARCH("ASAP",C2890)),"ASAP",IF(NETWORKDAYS.INTL(F2890,G2890,1,Table2[Dias no laborales]) &lt;= 7, "Dentro", IF(A2890&gt;F2890,"Programado","Fuera"))))</f>
        <v>Acumulado</v>
      </c>
      <c r="K2890" s="6" t="str">
        <f t="shared" si="158"/>
        <v>A tiempo</v>
      </c>
      <c r="L2890" s="8"/>
      <c r="M2890" s="17">
        <f>MAX(1,NETWORKDAYS(A2890,L2890,Table2[Dias no laborales]))</f>
        <v>1</v>
      </c>
    </row>
    <row r="2891" spans="1:13" x14ac:dyDescent="0.3">
      <c r="A2891" s="8"/>
      <c r="B2891" s="16" t="s">
        <v>5439</v>
      </c>
      <c r="C2891" s="6"/>
      <c r="D2891" s="6"/>
      <c r="E2891" s="14"/>
      <c r="F2891" s="25">
        <f>IF(HOUR(Table1[[#This Row],[CORREO]])&gt;=11,WORKDAY(Table1[[#This Row],[CORREO]],1,Table2[Dias no laborales]),E2891)</f>
        <v>0</v>
      </c>
      <c r="G2891" s="8"/>
      <c r="H2891" s="6">
        <f t="shared" si="157"/>
        <v>0</v>
      </c>
      <c r="I2891" s="6">
        <f>MAX(1, NETWORKDAYS(A2891, G2891,Table2[Dias no laborales]))</f>
        <v>1</v>
      </c>
      <c r="J2891" s="6" t="str">
        <f>IF(Table1[[#This Row],[FIN]]="","Acumulado",IF(ISNUMBER(SEARCH("ASAP",C2891)),"ASAP",IF(NETWORKDAYS.INTL(F2891,G2891,1,Table2[Dias no laborales]) &lt;= 7, "Dentro", IF(A2891&gt;F2891,"Programado","Fuera"))))</f>
        <v>Acumulado</v>
      </c>
      <c r="K2891" s="6" t="str">
        <f t="shared" si="158"/>
        <v>A tiempo</v>
      </c>
      <c r="L2891" s="8"/>
      <c r="M2891" s="17">
        <f>MAX(1,NETWORKDAYS(A2891,L2891,Table2[Dias no laborales]))</f>
        <v>1</v>
      </c>
    </row>
    <row r="2892" spans="1:13" x14ac:dyDescent="0.3">
      <c r="A2892" s="8"/>
      <c r="B2892" s="16" t="s">
        <v>5440</v>
      </c>
      <c r="C2892" s="6"/>
      <c r="D2892" s="6"/>
      <c r="E2892" s="14"/>
      <c r="F2892" s="25">
        <f>IF(HOUR(Table1[[#This Row],[CORREO]])&gt;=11,WORKDAY(Table1[[#This Row],[CORREO]],1,Table2[Dias no laborales]),E2892)</f>
        <v>0</v>
      </c>
      <c r="G2892" s="8"/>
      <c r="H2892" s="6">
        <f t="shared" si="157"/>
        <v>0</v>
      </c>
      <c r="I2892" s="6">
        <f>MAX(1, NETWORKDAYS(A2892, G2892,Table2[Dias no laborales]))</f>
        <v>1</v>
      </c>
      <c r="J2892" s="6" t="str">
        <f>IF(Table1[[#This Row],[FIN]]="","Acumulado",IF(ISNUMBER(SEARCH("ASAP",C2892)),"ASAP",IF(NETWORKDAYS.INTL(F2892,G2892,1,Table2[Dias no laborales]) &lt;= 7, "Dentro", IF(A2892&gt;F2892,"Programado","Fuera"))))</f>
        <v>Acumulado</v>
      </c>
      <c r="K2892" s="6" t="str">
        <f t="shared" si="158"/>
        <v>A tiempo</v>
      </c>
      <c r="L2892" s="8"/>
      <c r="M2892" s="17">
        <f>MAX(1,NETWORKDAYS(A2892,L2892,Table2[Dias no laborales]))</f>
        <v>1</v>
      </c>
    </row>
    <row r="2893" spans="1:13" x14ac:dyDescent="0.3">
      <c r="A2893" s="8"/>
      <c r="B2893" s="16" t="s">
        <v>5441</v>
      </c>
      <c r="C2893" s="6"/>
      <c r="D2893" s="6"/>
      <c r="E2893" s="14"/>
      <c r="F2893" s="25">
        <f>IF(HOUR(Table1[[#This Row],[CORREO]])&gt;=11,WORKDAY(Table1[[#This Row],[CORREO]],1,Table2[Dias no laborales]),E2893)</f>
        <v>0</v>
      </c>
      <c r="G2893" s="8"/>
      <c r="H2893" s="6">
        <f t="shared" si="157"/>
        <v>0</v>
      </c>
      <c r="I2893" s="6">
        <f>MAX(1, NETWORKDAYS(A2893, G2893,Table2[Dias no laborales]))</f>
        <v>1</v>
      </c>
      <c r="J2893" s="6" t="str">
        <f>IF(Table1[[#This Row],[FIN]]="","Acumulado",IF(ISNUMBER(SEARCH("ASAP",C2893)),"ASAP",IF(NETWORKDAYS.INTL(F2893,G2893,1,Table2[Dias no laborales]) &lt;= 7, "Dentro", IF(A2893&gt;F2893,"Programado","Fuera"))))</f>
        <v>Acumulado</v>
      </c>
      <c r="K2893" s="6" t="str">
        <f t="shared" si="158"/>
        <v>A tiempo</v>
      </c>
      <c r="L2893" s="8"/>
      <c r="M2893" s="17">
        <f>MAX(1,NETWORKDAYS(A2893,L2893,Table2[Dias no laborales]))</f>
        <v>1</v>
      </c>
    </row>
    <row r="2894" spans="1:13" x14ac:dyDescent="0.3">
      <c r="A2894" s="8"/>
      <c r="B2894" s="16" t="s">
        <v>5442</v>
      </c>
      <c r="C2894" s="6"/>
      <c r="D2894" s="6"/>
      <c r="E2894" s="14"/>
      <c r="F2894" s="25">
        <f>IF(HOUR(Table1[[#This Row],[CORREO]])&gt;=11,WORKDAY(Table1[[#This Row],[CORREO]],1,Table2[Dias no laborales]),E2894)</f>
        <v>0</v>
      </c>
      <c r="G2894" s="8"/>
      <c r="H2894" s="6">
        <f t="shared" si="157"/>
        <v>0</v>
      </c>
      <c r="I2894" s="6">
        <f>MAX(1, NETWORKDAYS(A2894, G2894,Table2[Dias no laborales]))</f>
        <v>1</v>
      </c>
      <c r="J2894" s="6" t="str">
        <f>IF(Table1[[#This Row],[FIN]]="","Acumulado",IF(ISNUMBER(SEARCH("ASAP",C2894)),"ASAP",IF(NETWORKDAYS.INTL(F2894,G2894,1,Table2[Dias no laborales]) &lt;= 7, "Dentro", IF(A2894&gt;F2894,"Programado","Fuera"))))</f>
        <v>Acumulado</v>
      </c>
      <c r="K2894" s="6" t="str">
        <f t="shared" si="158"/>
        <v>A tiempo</v>
      </c>
      <c r="L2894" s="8"/>
      <c r="M2894" s="17">
        <f>MAX(1,NETWORKDAYS(A2894,L2894,Table2[Dias no laborales]))</f>
        <v>1</v>
      </c>
    </row>
    <row r="2895" spans="1:13" x14ac:dyDescent="0.3">
      <c r="A2895" s="8"/>
      <c r="B2895" s="16" t="s">
        <v>5443</v>
      </c>
      <c r="C2895" s="6"/>
      <c r="D2895" s="6"/>
      <c r="E2895" s="14"/>
      <c r="F2895" s="25">
        <f>IF(HOUR(Table1[[#This Row],[CORREO]])&gt;=11,WORKDAY(Table1[[#This Row],[CORREO]],1,Table2[Dias no laborales]),E2895)</f>
        <v>0</v>
      </c>
      <c r="G2895" s="8"/>
      <c r="H2895" s="6">
        <f t="shared" si="157"/>
        <v>0</v>
      </c>
      <c r="I2895" s="6">
        <f>MAX(1, NETWORKDAYS(A2895, G2895,Table2[Dias no laborales]))</f>
        <v>1</v>
      </c>
      <c r="J2895" s="6" t="str">
        <f>IF(Table1[[#This Row],[FIN]]="","Acumulado",IF(ISNUMBER(SEARCH("ASAP",C2895)),"ASAP",IF(NETWORKDAYS.INTL(F2895,G2895,1,Table2[Dias no laborales]) &lt;= 7, "Dentro", IF(A2895&gt;F2895,"Programado","Fuera"))))</f>
        <v>Acumulado</v>
      </c>
      <c r="K2895" s="6" t="str">
        <f t="shared" si="158"/>
        <v>A tiempo</v>
      </c>
      <c r="L2895" s="8"/>
      <c r="M2895" s="17">
        <f>MAX(1,NETWORKDAYS(A2895,L2895,Table2[Dias no laborales]))</f>
        <v>1</v>
      </c>
    </row>
    <row r="2896" spans="1:13" x14ac:dyDescent="0.3">
      <c r="A2896" s="8"/>
      <c r="B2896" s="16" t="s">
        <v>5444</v>
      </c>
      <c r="C2896" s="6"/>
      <c r="D2896" s="6"/>
      <c r="E2896" s="14"/>
      <c r="F2896" s="25">
        <f>IF(HOUR(Table1[[#This Row],[CORREO]])&gt;=11,WORKDAY(Table1[[#This Row],[CORREO]],1,Table2[Dias no laborales]),E2896)</f>
        <v>0</v>
      </c>
      <c r="G2896" s="8"/>
      <c r="H2896" s="6">
        <f t="shared" si="157"/>
        <v>0</v>
      </c>
      <c r="I2896" s="6">
        <f>MAX(1, NETWORKDAYS(A2896, G2896,Table2[Dias no laborales]))</f>
        <v>1</v>
      </c>
      <c r="J2896" s="6" t="str">
        <f>IF(Table1[[#This Row],[FIN]]="","Acumulado",IF(ISNUMBER(SEARCH("ASAP",C2896)),"ASAP",IF(NETWORKDAYS.INTL(F2896,G2896,1,Table2[Dias no laborales]) &lt;= 7, "Dentro", IF(A2896&gt;F2896,"Programado","Fuera"))))</f>
        <v>Acumulado</v>
      </c>
      <c r="K2896" s="6" t="str">
        <f t="shared" si="158"/>
        <v>A tiempo</v>
      </c>
      <c r="L2896" s="8"/>
      <c r="M2896" s="17">
        <f>MAX(1,NETWORKDAYS(A2896,L2896,Table2[Dias no laborales]))</f>
        <v>1</v>
      </c>
    </row>
    <row r="2897" spans="1:13" x14ac:dyDescent="0.3">
      <c r="A2897" s="8"/>
      <c r="B2897" s="16" t="s">
        <v>5445</v>
      </c>
      <c r="C2897" s="6"/>
      <c r="D2897" s="6"/>
      <c r="E2897" s="14"/>
      <c r="F2897" s="25">
        <f>IF(HOUR(Table1[[#This Row],[CORREO]])&gt;=11,WORKDAY(Table1[[#This Row],[CORREO]],1,Table2[Dias no laborales]),E2897)</f>
        <v>0</v>
      </c>
      <c r="G2897" s="8"/>
      <c r="H2897" s="6">
        <f t="shared" si="157"/>
        <v>0</v>
      </c>
      <c r="I2897" s="6">
        <f>MAX(1, NETWORKDAYS(A2897, G2897,Table2[Dias no laborales]))</f>
        <v>1</v>
      </c>
      <c r="J2897" s="6" t="str">
        <f>IF(Table1[[#This Row],[FIN]]="","Acumulado",IF(ISNUMBER(SEARCH("ASAP",C2897)),"ASAP",IF(NETWORKDAYS.INTL(F2897,G2897,1,Table2[Dias no laborales]) &lt;= 7, "Dentro", IF(A2897&gt;F2897,"Programado","Fuera"))))</f>
        <v>Acumulado</v>
      </c>
      <c r="K2897" s="6" t="str">
        <f t="shared" si="158"/>
        <v>A tiempo</v>
      </c>
      <c r="L2897" s="8"/>
      <c r="M2897" s="17">
        <f>MAX(1,NETWORKDAYS(A2897,L2897,Table2[Dias no laborales]))</f>
        <v>1</v>
      </c>
    </row>
    <row r="2898" spans="1:13" x14ac:dyDescent="0.3">
      <c r="A2898" s="8"/>
      <c r="B2898" s="16" t="s">
        <v>5446</v>
      </c>
      <c r="C2898" s="6"/>
      <c r="D2898" s="6"/>
      <c r="E2898" s="14"/>
      <c r="F2898" s="25">
        <f>IF(HOUR(Table1[[#This Row],[CORREO]])&gt;=11,WORKDAY(Table1[[#This Row],[CORREO]],1,Table2[Dias no laborales]),E2898)</f>
        <v>0</v>
      </c>
      <c r="G2898" s="8"/>
      <c r="H2898" s="6">
        <f t="shared" si="157"/>
        <v>0</v>
      </c>
      <c r="I2898" s="6">
        <f>MAX(1, NETWORKDAYS(A2898, G2898,Table2[Dias no laborales]))</f>
        <v>1</v>
      </c>
      <c r="J2898" s="6" t="str">
        <f>IF(Table1[[#This Row],[FIN]]="","Acumulado",IF(ISNUMBER(SEARCH("ASAP",C2898)),"ASAP",IF(NETWORKDAYS.INTL(F2898,G2898,1,Table2[Dias no laborales]) &lt;= 7, "Dentro", IF(A2898&gt;F2898,"Programado","Fuera"))))</f>
        <v>Acumulado</v>
      </c>
      <c r="K2898" s="6" t="str">
        <f t="shared" si="158"/>
        <v>A tiempo</v>
      </c>
      <c r="L2898" s="8"/>
      <c r="M2898" s="17">
        <f>MAX(1,NETWORKDAYS(A2898,L2898,Table2[Dias no laborales]))</f>
        <v>1</v>
      </c>
    </row>
    <row r="2899" spans="1:13" x14ac:dyDescent="0.3">
      <c r="A2899" s="8"/>
      <c r="B2899" s="16" t="s">
        <v>5447</v>
      </c>
      <c r="C2899" s="6"/>
      <c r="D2899" s="6"/>
      <c r="E2899" s="14"/>
      <c r="F2899" s="25">
        <f>IF(HOUR(Table1[[#This Row],[CORREO]])&gt;=11,WORKDAY(Table1[[#This Row],[CORREO]],1,Table2[Dias no laborales]),E2899)</f>
        <v>0</v>
      </c>
      <c r="G2899" s="8"/>
      <c r="H2899" s="6">
        <f t="shared" si="157"/>
        <v>0</v>
      </c>
      <c r="I2899" s="6">
        <f>MAX(1, NETWORKDAYS(A2899, G2899,Table2[Dias no laborales]))</f>
        <v>1</v>
      </c>
      <c r="J2899" s="6" t="str">
        <f>IF(Table1[[#This Row],[FIN]]="","Acumulado",IF(ISNUMBER(SEARCH("ASAP",C2899)),"ASAP",IF(NETWORKDAYS.INTL(F2899,G2899,1,Table2[Dias no laborales]) &lt;= 7, "Dentro", IF(A2899&gt;F2899,"Programado","Fuera"))))</f>
        <v>Acumulado</v>
      </c>
      <c r="K2899" s="6" t="str">
        <f t="shared" si="158"/>
        <v>A tiempo</v>
      </c>
      <c r="L2899" s="8"/>
      <c r="M2899" s="17">
        <f>MAX(1,NETWORKDAYS(A2899,L2899,Table2[Dias no laborales]))</f>
        <v>1</v>
      </c>
    </row>
    <row r="2900" spans="1:13" x14ac:dyDescent="0.3">
      <c r="A2900" s="8"/>
      <c r="B2900" s="16" t="s">
        <v>5448</v>
      </c>
      <c r="C2900" s="6"/>
      <c r="D2900" s="6"/>
      <c r="E2900" s="14"/>
      <c r="F2900" s="25">
        <f>IF(HOUR(Table1[[#This Row],[CORREO]])&gt;=11,WORKDAY(Table1[[#This Row],[CORREO]],1,Table2[Dias no laborales]),E2900)</f>
        <v>0</v>
      </c>
      <c r="G2900" s="8"/>
      <c r="H2900" s="6">
        <f t="shared" si="157"/>
        <v>0</v>
      </c>
      <c r="I2900" s="6">
        <f>MAX(1, NETWORKDAYS(A2900, G2900,Table2[Dias no laborales]))</f>
        <v>1</v>
      </c>
      <c r="J2900" s="6" t="str">
        <f>IF(Table1[[#This Row],[FIN]]="","Acumulado",IF(ISNUMBER(SEARCH("ASAP",C2900)),"ASAP",IF(NETWORKDAYS.INTL(F2900,G2900,1,Table2[Dias no laborales]) &lt;= 7, "Dentro", IF(A2900&gt;F2900,"Programado","Fuera"))))</f>
        <v>Acumulado</v>
      </c>
      <c r="K2900" s="6" t="str">
        <f t="shared" si="158"/>
        <v>A tiempo</v>
      </c>
      <c r="L2900" s="8"/>
      <c r="M2900" s="17">
        <f>MAX(1,NETWORKDAYS(A2900,L2900,Table2[Dias no laborales]))</f>
        <v>1</v>
      </c>
    </row>
    <row r="2901" spans="1:13" x14ac:dyDescent="0.3">
      <c r="A2901" s="8"/>
      <c r="B2901" s="16" t="s">
        <v>5449</v>
      </c>
      <c r="C2901" s="6"/>
      <c r="D2901" s="6"/>
      <c r="E2901" s="14"/>
      <c r="F2901" s="25">
        <f>IF(HOUR(Table1[[#This Row],[CORREO]])&gt;=11,WORKDAY(Table1[[#This Row],[CORREO]],1,Table2[Dias no laborales]),E2901)</f>
        <v>0</v>
      </c>
      <c r="G2901" s="8"/>
      <c r="H2901" s="6">
        <f t="shared" si="157"/>
        <v>0</v>
      </c>
      <c r="I2901" s="6">
        <f>MAX(1, NETWORKDAYS(A2901, G2901,Table2[Dias no laborales]))</f>
        <v>1</v>
      </c>
      <c r="J2901" s="6" t="str">
        <f>IF(Table1[[#This Row],[FIN]]="","Acumulado",IF(ISNUMBER(SEARCH("ASAP",C2901)),"ASAP",IF(NETWORKDAYS.INTL(F2901,G2901,1,Table2[Dias no laborales]) &lt;= 7, "Dentro", IF(A2901&gt;F2901,"Programado","Fuera"))))</f>
        <v>Acumulado</v>
      </c>
      <c r="K2901" s="6" t="str">
        <f t="shared" si="158"/>
        <v>A tiempo</v>
      </c>
      <c r="L2901" s="8"/>
      <c r="M2901" s="17">
        <f>MAX(1,NETWORKDAYS(A2901,L2901,Table2[Dias no laborales]))</f>
        <v>1</v>
      </c>
    </row>
    <row r="2902" spans="1:13" x14ac:dyDescent="0.3">
      <c r="A2902" s="8"/>
      <c r="B2902" s="16" t="s">
        <v>5450</v>
      </c>
      <c r="C2902" s="6"/>
      <c r="D2902" s="6"/>
      <c r="E2902" s="14"/>
      <c r="F2902" s="25">
        <f>IF(HOUR(Table1[[#This Row],[CORREO]])&gt;=11,WORKDAY(Table1[[#This Row],[CORREO]],1,Table2[Dias no laborales]),E2902)</f>
        <v>0</v>
      </c>
      <c r="G2902" s="8"/>
      <c r="H2902" s="6">
        <f t="shared" si="157"/>
        <v>0</v>
      </c>
      <c r="I2902" s="6">
        <f>MAX(1, NETWORKDAYS(A2902, G2902,Table2[Dias no laborales]))</f>
        <v>1</v>
      </c>
      <c r="J2902" s="6" t="str">
        <f>IF(Table1[[#This Row],[FIN]]="","Acumulado",IF(ISNUMBER(SEARCH("ASAP",C2902)),"ASAP",IF(NETWORKDAYS.INTL(F2902,G2902,1,Table2[Dias no laborales]) &lt;= 7, "Dentro", IF(A2902&gt;F2902,"Programado","Fuera"))))</f>
        <v>Acumulado</v>
      </c>
      <c r="K2902" s="6" t="str">
        <f t="shared" si="158"/>
        <v>A tiempo</v>
      </c>
      <c r="L2902" s="8"/>
      <c r="M2902" s="17">
        <f>MAX(1,NETWORKDAYS(A2902,L2902,Table2[Dias no laborales]))</f>
        <v>1</v>
      </c>
    </row>
    <row r="2903" spans="1:13" x14ac:dyDescent="0.3">
      <c r="A2903" s="8"/>
      <c r="B2903" s="16" t="s">
        <v>5451</v>
      </c>
      <c r="C2903" s="6"/>
      <c r="D2903" s="6"/>
      <c r="E2903" s="14"/>
      <c r="F2903" s="25">
        <f>IF(HOUR(Table1[[#This Row],[CORREO]])&gt;=11,WORKDAY(Table1[[#This Row],[CORREO]],1,Table2[Dias no laborales]),E2903)</f>
        <v>0</v>
      </c>
      <c r="G2903" s="8"/>
      <c r="H2903" s="6">
        <f t="shared" si="157"/>
        <v>0</v>
      </c>
      <c r="I2903" s="6">
        <f>MAX(1, NETWORKDAYS(A2903, G2903,Table2[Dias no laborales]))</f>
        <v>1</v>
      </c>
      <c r="J2903" s="6" t="str">
        <f>IF(Table1[[#This Row],[FIN]]="","Acumulado",IF(ISNUMBER(SEARCH("ASAP",C2903)),"ASAP",IF(NETWORKDAYS.INTL(F2903,G2903,1,Table2[Dias no laborales]) &lt;= 7, "Dentro", IF(A2903&gt;F2903,"Programado","Fuera"))))</f>
        <v>Acumulado</v>
      </c>
      <c r="K2903" s="6" t="str">
        <f t="shared" si="158"/>
        <v>A tiempo</v>
      </c>
      <c r="L2903" s="8"/>
      <c r="M2903" s="17">
        <f>MAX(1,NETWORKDAYS(A2903,L2903,Table2[Dias no laborales]))</f>
        <v>1</v>
      </c>
    </row>
    <row r="2904" spans="1:13" x14ac:dyDescent="0.3">
      <c r="A2904" s="8"/>
      <c r="B2904" s="16" t="s">
        <v>5452</v>
      </c>
      <c r="C2904" s="6"/>
      <c r="D2904" s="6"/>
      <c r="E2904" s="14"/>
      <c r="F2904" s="25">
        <f>IF(HOUR(Table1[[#This Row],[CORREO]])&gt;=11,WORKDAY(Table1[[#This Row],[CORREO]],1,Table2[Dias no laborales]),E2904)</f>
        <v>0</v>
      </c>
      <c r="G2904" s="8"/>
      <c r="H2904" s="6">
        <f t="shared" si="157"/>
        <v>0</v>
      </c>
      <c r="I2904" s="6">
        <f>MAX(1, NETWORKDAYS(A2904, G2904,Table2[Dias no laborales]))</f>
        <v>1</v>
      </c>
      <c r="J2904" s="6" t="str">
        <f>IF(Table1[[#This Row],[FIN]]="","Acumulado",IF(ISNUMBER(SEARCH("ASAP",C2904)),"ASAP",IF(NETWORKDAYS.INTL(F2904,G2904,1,Table2[Dias no laborales]) &lt;= 7, "Dentro", IF(A2904&gt;F2904,"Programado","Fuera"))))</f>
        <v>Acumulado</v>
      </c>
      <c r="K2904" s="6" t="str">
        <f t="shared" si="158"/>
        <v>A tiempo</v>
      </c>
      <c r="L2904" s="8"/>
      <c r="M2904" s="17">
        <f>MAX(1,NETWORKDAYS(A2904,L2904,Table2[Dias no laborales]))</f>
        <v>1</v>
      </c>
    </row>
    <row r="2905" spans="1:13" x14ac:dyDescent="0.3">
      <c r="A2905" s="8"/>
      <c r="B2905" s="16" t="s">
        <v>5453</v>
      </c>
      <c r="C2905" s="6"/>
      <c r="D2905" s="6"/>
      <c r="E2905" s="14"/>
      <c r="F2905" s="25">
        <f>IF(HOUR(Table1[[#This Row],[CORREO]])&gt;=11,WORKDAY(Table1[[#This Row],[CORREO]],1,Table2[Dias no laborales]),E2905)</f>
        <v>0</v>
      </c>
      <c r="G2905" s="8"/>
      <c r="H2905" s="6">
        <f t="shared" si="157"/>
        <v>0</v>
      </c>
      <c r="I2905" s="6">
        <f>MAX(1, NETWORKDAYS(A2905, G2905,Table2[Dias no laborales]))</f>
        <v>1</v>
      </c>
      <c r="J2905" s="6" t="str">
        <f>IF(Table1[[#This Row],[FIN]]="","Acumulado",IF(ISNUMBER(SEARCH("ASAP",C2905)),"ASAP",IF(NETWORKDAYS.INTL(F2905,G2905,1,Table2[Dias no laborales]) &lt;= 7, "Dentro", IF(A2905&gt;F2905,"Programado","Fuera"))))</f>
        <v>Acumulado</v>
      </c>
      <c r="K2905" s="6" t="str">
        <f t="shared" si="158"/>
        <v>A tiempo</v>
      </c>
      <c r="L2905" s="8"/>
      <c r="M2905" s="17">
        <f>MAX(1,NETWORKDAYS(A2905,L2905,Table2[Dias no laborales]))</f>
        <v>1</v>
      </c>
    </row>
    <row r="2906" spans="1:13" x14ac:dyDescent="0.3">
      <c r="A2906" s="8"/>
      <c r="B2906" s="16" t="s">
        <v>5454</v>
      </c>
      <c r="C2906" s="6"/>
      <c r="D2906" s="6"/>
      <c r="E2906" s="14"/>
      <c r="F2906" s="25">
        <f>IF(HOUR(Table1[[#This Row],[CORREO]])&gt;=11,WORKDAY(Table1[[#This Row],[CORREO]],1,Table2[Dias no laborales]),E2906)</f>
        <v>0</v>
      </c>
      <c r="G2906" s="8"/>
      <c r="H2906" s="6">
        <f t="shared" si="157"/>
        <v>0</v>
      </c>
      <c r="I2906" s="6">
        <f>MAX(1, NETWORKDAYS(A2906, G2906,Table2[Dias no laborales]))</f>
        <v>1</v>
      </c>
      <c r="J2906" s="6" t="str">
        <f>IF(Table1[[#This Row],[FIN]]="","Acumulado",IF(ISNUMBER(SEARCH("ASAP",C2906)),"ASAP",IF(NETWORKDAYS.INTL(F2906,G2906,1,Table2[Dias no laborales]) &lt;= 7, "Dentro", IF(A2906&gt;F2906,"Programado","Fuera"))))</f>
        <v>Acumulado</v>
      </c>
      <c r="K2906" s="6" t="str">
        <f t="shared" si="158"/>
        <v>A tiempo</v>
      </c>
      <c r="L2906" s="8"/>
      <c r="M2906" s="17">
        <f>MAX(1,NETWORKDAYS(A2906,L2906,Table2[Dias no laborales]))</f>
        <v>1</v>
      </c>
    </row>
    <row r="2907" spans="1:13" x14ac:dyDescent="0.3">
      <c r="A2907" s="8"/>
      <c r="B2907" s="16" t="s">
        <v>5455</v>
      </c>
      <c r="C2907" s="6"/>
      <c r="D2907" s="6"/>
      <c r="E2907" s="14"/>
      <c r="F2907" s="25">
        <f>IF(HOUR(Table1[[#This Row],[CORREO]])&gt;=11,WORKDAY(Table1[[#This Row],[CORREO]],1,Table2[Dias no laborales]),E2907)</f>
        <v>0</v>
      </c>
      <c r="G2907" s="8"/>
      <c r="H2907" s="6">
        <f t="shared" si="157"/>
        <v>0</v>
      </c>
      <c r="I2907" s="6">
        <f>MAX(1, NETWORKDAYS(A2907, G2907,Table2[Dias no laborales]))</f>
        <v>1</v>
      </c>
      <c r="J2907" s="6" t="str">
        <f>IF(Table1[[#This Row],[FIN]]="","Acumulado",IF(ISNUMBER(SEARCH("ASAP",C2907)),"ASAP",IF(NETWORKDAYS.INTL(F2907,G2907,1,Table2[Dias no laborales]) &lt;= 7, "Dentro", IF(A2907&gt;F2907,"Programado","Fuera"))))</f>
        <v>Acumulado</v>
      </c>
      <c r="K2907" s="6" t="str">
        <f t="shared" si="158"/>
        <v>A tiempo</v>
      </c>
      <c r="L2907" s="8"/>
      <c r="M2907" s="17">
        <f>MAX(1,NETWORKDAYS(A2907,L2907,Table2[Dias no laborales]))</f>
        <v>1</v>
      </c>
    </row>
    <row r="2908" spans="1:13" x14ac:dyDescent="0.3">
      <c r="A2908" s="8"/>
      <c r="B2908" s="16" t="s">
        <v>5456</v>
      </c>
      <c r="C2908" s="6"/>
      <c r="D2908" s="6"/>
      <c r="E2908" s="14"/>
      <c r="F2908" s="25">
        <f>IF(HOUR(Table1[[#This Row],[CORREO]])&gt;=11,WORKDAY(Table1[[#This Row],[CORREO]],1,Table2[Dias no laborales]),E2908)</f>
        <v>0</v>
      </c>
      <c r="G2908" s="8"/>
      <c r="H2908" s="6">
        <f t="shared" si="157"/>
        <v>0</v>
      </c>
      <c r="I2908" s="6">
        <f>MAX(1, NETWORKDAYS(A2908, G2908,Table2[Dias no laborales]))</f>
        <v>1</v>
      </c>
      <c r="J2908" s="6" t="str">
        <f>IF(Table1[[#This Row],[FIN]]="","Acumulado",IF(ISNUMBER(SEARCH("ASAP",C2908)),"ASAP",IF(NETWORKDAYS.INTL(F2908,G2908,1,Table2[Dias no laborales]) &lt;= 7, "Dentro", IF(A2908&gt;F2908,"Programado","Fuera"))))</f>
        <v>Acumulado</v>
      </c>
      <c r="K2908" s="6" t="str">
        <f t="shared" si="158"/>
        <v>A tiempo</v>
      </c>
      <c r="L2908" s="8"/>
      <c r="M2908" s="17">
        <f>MAX(1,NETWORKDAYS(A2908,L2908,Table2[Dias no laborales]))</f>
        <v>1</v>
      </c>
    </row>
    <row r="2909" spans="1:13" x14ac:dyDescent="0.3">
      <c r="A2909" s="8"/>
      <c r="B2909" s="16" t="s">
        <v>5457</v>
      </c>
      <c r="C2909" s="6"/>
      <c r="D2909" s="6"/>
      <c r="E2909" s="14"/>
      <c r="F2909" s="25">
        <f>IF(HOUR(Table1[[#This Row],[CORREO]])&gt;=11,WORKDAY(Table1[[#This Row],[CORREO]],1,Table2[Dias no laborales]),E2909)</f>
        <v>0</v>
      </c>
      <c r="G2909" s="8"/>
      <c r="H2909" s="6">
        <f t="shared" si="157"/>
        <v>0</v>
      </c>
      <c r="I2909" s="6">
        <f>MAX(1, NETWORKDAYS(A2909, G2909,Table2[Dias no laborales]))</f>
        <v>1</v>
      </c>
      <c r="J2909" s="6" t="str">
        <f>IF(Table1[[#This Row],[FIN]]="","Acumulado",IF(ISNUMBER(SEARCH("ASAP",C2909)),"ASAP",IF(NETWORKDAYS.INTL(F2909,G2909,1,Table2[Dias no laborales]) &lt;= 7, "Dentro", IF(A2909&gt;F2909,"Programado","Fuera"))))</f>
        <v>Acumulado</v>
      </c>
      <c r="K2909" s="6" t="str">
        <f t="shared" si="158"/>
        <v>A tiempo</v>
      </c>
      <c r="L2909" s="8"/>
      <c r="M2909" s="17">
        <f>MAX(1,NETWORKDAYS(A2909,L2909,Table2[Dias no laborales]))</f>
        <v>1</v>
      </c>
    </row>
    <row r="2910" spans="1:13" x14ac:dyDescent="0.3">
      <c r="A2910" s="8"/>
      <c r="B2910" s="16" t="s">
        <v>5458</v>
      </c>
      <c r="C2910" s="6"/>
      <c r="D2910" s="6"/>
      <c r="E2910" s="14"/>
      <c r="F2910" s="25">
        <f>IF(HOUR(Table1[[#This Row],[CORREO]])&gt;=11,WORKDAY(Table1[[#This Row],[CORREO]],1,Table2[Dias no laborales]),E2910)</f>
        <v>0</v>
      </c>
      <c r="G2910" s="8"/>
      <c r="H2910" s="6">
        <f t="shared" si="157"/>
        <v>0</v>
      </c>
      <c r="I2910" s="6">
        <f>MAX(1, NETWORKDAYS(A2910, G2910,Table2[Dias no laborales]))</f>
        <v>1</v>
      </c>
      <c r="J2910" s="6" t="str">
        <f>IF(Table1[[#This Row],[FIN]]="","Acumulado",IF(ISNUMBER(SEARCH("ASAP",C2910)),"ASAP",IF(NETWORKDAYS.INTL(F2910,G2910,1,Table2[Dias no laborales]) &lt;= 7, "Dentro", IF(A2910&gt;F2910,"Programado","Fuera"))))</f>
        <v>Acumulado</v>
      </c>
      <c r="K2910" s="6" t="str">
        <f t="shared" si="158"/>
        <v>A tiempo</v>
      </c>
      <c r="L2910" s="8"/>
      <c r="M2910" s="17">
        <f>MAX(1,NETWORKDAYS(A2910,L2910,Table2[Dias no laborales]))</f>
        <v>1</v>
      </c>
    </row>
    <row r="2911" spans="1:13" x14ac:dyDescent="0.3">
      <c r="A2911" s="8"/>
      <c r="B2911" s="16" t="s">
        <v>5459</v>
      </c>
      <c r="C2911" s="6"/>
      <c r="D2911" s="6"/>
      <c r="E2911" s="14"/>
      <c r="F2911" s="25">
        <f>IF(HOUR(Table1[[#This Row],[CORREO]])&gt;=11,WORKDAY(Table1[[#This Row],[CORREO]],1,Table2[Dias no laborales]),E2911)</f>
        <v>0</v>
      </c>
      <c r="G2911" s="8"/>
      <c r="H2911" s="6">
        <f t="shared" si="157"/>
        <v>0</v>
      </c>
      <c r="I2911" s="6">
        <f>MAX(1, NETWORKDAYS(A2911, G2911,Table2[Dias no laborales]))</f>
        <v>1</v>
      </c>
      <c r="J2911" s="6" t="str">
        <f>IF(Table1[[#This Row],[FIN]]="","Acumulado",IF(ISNUMBER(SEARCH("ASAP",C2911)),"ASAP",IF(NETWORKDAYS.INTL(F2911,G2911,1,Table2[Dias no laborales]) &lt;= 7, "Dentro", IF(A2911&gt;F2911,"Programado","Fuera"))))</f>
        <v>Acumulado</v>
      </c>
      <c r="K2911" s="6" t="str">
        <f t="shared" si="158"/>
        <v>A tiempo</v>
      </c>
      <c r="L2911" s="8"/>
      <c r="M2911" s="17">
        <f>MAX(1,NETWORKDAYS(A2911,L2911,Table2[Dias no laborales]))</f>
        <v>1</v>
      </c>
    </row>
    <row r="2912" spans="1:13" x14ac:dyDescent="0.3">
      <c r="A2912" s="8"/>
      <c r="B2912" s="16" t="s">
        <v>5460</v>
      </c>
      <c r="C2912" s="6"/>
      <c r="D2912" s="6"/>
      <c r="E2912" s="14"/>
      <c r="F2912" s="25">
        <f>IF(HOUR(Table1[[#This Row],[CORREO]])&gt;=11,WORKDAY(Table1[[#This Row],[CORREO]],1,Table2[Dias no laborales]),E2912)</f>
        <v>0</v>
      </c>
      <c r="G2912" s="8"/>
      <c r="H2912" s="6">
        <f t="shared" si="157"/>
        <v>0</v>
      </c>
      <c r="I2912" s="6">
        <f>MAX(1, NETWORKDAYS(A2912, G2912,Table2[Dias no laborales]))</f>
        <v>1</v>
      </c>
      <c r="J2912" s="6" t="str">
        <f>IF(Table1[[#This Row],[FIN]]="","Acumulado",IF(ISNUMBER(SEARCH("ASAP",C2912)),"ASAP",IF(NETWORKDAYS.INTL(F2912,G2912,1,Table2[Dias no laborales]) &lt;= 7, "Dentro", IF(A2912&gt;F2912,"Programado","Fuera"))))</f>
        <v>Acumulado</v>
      </c>
      <c r="K2912" s="6" t="str">
        <f t="shared" si="158"/>
        <v>A tiempo</v>
      </c>
      <c r="L2912" s="8"/>
      <c r="M2912" s="17">
        <f>MAX(1,NETWORKDAYS(A2912,L2912,Table2[Dias no laborales]))</f>
        <v>1</v>
      </c>
    </row>
    <row r="2913" spans="1:13" x14ac:dyDescent="0.3">
      <c r="A2913" s="8"/>
      <c r="B2913" s="16" t="s">
        <v>5461</v>
      </c>
      <c r="C2913" s="6"/>
      <c r="D2913" s="6"/>
      <c r="E2913" s="14"/>
      <c r="F2913" s="25">
        <f>IF(HOUR(Table1[[#This Row],[CORREO]])&gt;=11,WORKDAY(Table1[[#This Row],[CORREO]],1,Table2[Dias no laborales]),E2913)</f>
        <v>0</v>
      </c>
      <c r="G2913" s="8"/>
      <c r="H2913" s="6">
        <f t="shared" si="157"/>
        <v>0</v>
      </c>
      <c r="I2913" s="6">
        <f>MAX(1, NETWORKDAYS(A2913, G2913,Table2[Dias no laborales]))</f>
        <v>1</v>
      </c>
      <c r="J2913" s="6" t="str">
        <f>IF(Table1[[#This Row],[FIN]]="","Acumulado",IF(ISNUMBER(SEARCH("ASAP",C2913)),"ASAP",IF(NETWORKDAYS.INTL(F2913,G2913,1,Table2[Dias no laborales]) &lt;= 7, "Dentro", IF(A2913&gt;F2913,"Programado","Fuera"))))</f>
        <v>Acumulado</v>
      </c>
      <c r="K2913" s="6" t="str">
        <f t="shared" si="158"/>
        <v>A tiempo</v>
      </c>
      <c r="L2913" s="8"/>
      <c r="M2913" s="17">
        <f>MAX(1,NETWORKDAYS(A2913,L2913,Table2[Dias no laborales]))</f>
        <v>1</v>
      </c>
    </row>
    <row r="2914" spans="1:13" x14ac:dyDescent="0.3">
      <c r="A2914" s="8"/>
      <c r="B2914" s="16" t="s">
        <v>5462</v>
      </c>
      <c r="C2914" s="6"/>
      <c r="D2914" s="6"/>
      <c r="E2914" s="14"/>
      <c r="F2914" s="25">
        <f>IF(HOUR(Table1[[#This Row],[CORREO]])&gt;=11,WORKDAY(Table1[[#This Row],[CORREO]],1,Table2[Dias no laborales]),E2914)</f>
        <v>0</v>
      </c>
      <c r="G2914" s="8"/>
      <c r="H2914" s="6">
        <f t="shared" si="157"/>
        <v>0</v>
      </c>
      <c r="I2914" s="6">
        <f>MAX(1, NETWORKDAYS(A2914, G2914,Table2[Dias no laborales]))</f>
        <v>1</v>
      </c>
      <c r="J2914" s="6" t="str">
        <f>IF(Table1[[#This Row],[FIN]]="","Acumulado",IF(ISNUMBER(SEARCH("ASAP",C2914)),"ASAP",IF(NETWORKDAYS.INTL(F2914,G2914,1,Table2[Dias no laborales]) &lt;= 7, "Dentro", IF(A2914&gt;F2914,"Programado","Fuera"))))</f>
        <v>Acumulado</v>
      </c>
      <c r="K2914" s="6" t="str">
        <f t="shared" si="158"/>
        <v>A tiempo</v>
      </c>
      <c r="L2914" s="8"/>
      <c r="M2914" s="17">
        <f>MAX(1,NETWORKDAYS(A2914,L2914,Table2[Dias no laborales]))</f>
        <v>1</v>
      </c>
    </row>
    <row r="2915" spans="1:13" x14ac:dyDescent="0.3">
      <c r="A2915" s="8"/>
      <c r="B2915" s="16" t="s">
        <v>5463</v>
      </c>
      <c r="C2915" s="6"/>
      <c r="D2915" s="6"/>
      <c r="E2915" s="14"/>
      <c r="F2915" s="25">
        <f>IF(HOUR(Table1[[#This Row],[CORREO]])&gt;=11,WORKDAY(Table1[[#This Row],[CORREO]],1,Table2[Dias no laborales]),E2915)</f>
        <v>0</v>
      </c>
      <c r="G2915" s="8"/>
      <c r="H2915" s="6">
        <f t="shared" si="157"/>
        <v>0</v>
      </c>
      <c r="I2915" s="6">
        <f>MAX(1, NETWORKDAYS(A2915, G2915,Table2[Dias no laborales]))</f>
        <v>1</v>
      </c>
      <c r="J2915" s="6" t="str">
        <f>IF(Table1[[#This Row],[FIN]]="","Acumulado",IF(ISNUMBER(SEARCH("ASAP",C2915)),"ASAP",IF(NETWORKDAYS.INTL(F2915,G2915,1,Table2[Dias no laborales]) &lt;= 7, "Dentro", IF(A2915&gt;F2915,"Programado","Fuera"))))</f>
        <v>Acumulado</v>
      </c>
      <c r="K2915" s="6" t="str">
        <f t="shared" si="158"/>
        <v>A tiempo</v>
      </c>
      <c r="L2915" s="8"/>
      <c r="M2915" s="17">
        <f>MAX(1,NETWORKDAYS(A2915,L2915,Table2[Dias no laborales]))</f>
        <v>1</v>
      </c>
    </row>
    <row r="2916" spans="1:13" x14ac:dyDescent="0.3">
      <c r="A2916" s="8"/>
      <c r="B2916" s="16" t="s">
        <v>5464</v>
      </c>
      <c r="C2916" s="6"/>
      <c r="D2916" s="6"/>
      <c r="E2916" s="14"/>
      <c r="F2916" s="25">
        <f>IF(HOUR(Table1[[#This Row],[CORREO]])&gt;=11,WORKDAY(Table1[[#This Row],[CORREO]],1,Table2[Dias no laborales]),E2916)</f>
        <v>0</v>
      </c>
      <c r="G2916" s="8"/>
      <c r="H2916" s="6">
        <f t="shared" si="157"/>
        <v>0</v>
      </c>
      <c r="I2916" s="6">
        <f>MAX(1, NETWORKDAYS(A2916, G2916,Table2[Dias no laborales]))</f>
        <v>1</v>
      </c>
      <c r="J2916" s="6" t="str">
        <f>IF(Table1[[#This Row],[FIN]]="","Acumulado",IF(ISNUMBER(SEARCH("ASAP",C2916)),"ASAP",IF(NETWORKDAYS.INTL(F2916,G2916,1,Table2[Dias no laborales]) &lt;= 7, "Dentro", IF(A2916&gt;F2916,"Programado","Fuera"))))</f>
        <v>Acumulado</v>
      </c>
      <c r="K2916" s="6" t="str">
        <f t="shared" si="158"/>
        <v>A tiempo</v>
      </c>
      <c r="L2916" s="8"/>
      <c r="M2916" s="17">
        <f>MAX(1,NETWORKDAYS(A2916,L2916,Table2[Dias no laborales]))</f>
        <v>1</v>
      </c>
    </row>
    <row r="2917" spans="1:13" x14ac:dyDescent="0.3">
      <c r="A2917" s="8"/>
      <c r="B2917" s="16" t="s">
        <v>5465</v>
      </c>
      <c r="C2917" s="6"/>
      <c r="D2917" s="6"/>
      <c r="E2917" s="14"/>
      <c r="F2917" s="25">
        <f>IF(HOUR(Table1[[#This Row],[CORREO]])&gt;=11,WORKDAY(Table1[[#This Row],[CORREO]],1,Table2[Dias no laborales]),E2917)</f>
        <v>0</v>
      </c>
      <c r="G2917" s="8"/>
      <c r="H2917" s="6">
        <f t="shared" si="157"/>
        <v>0</v>
      </c>
      <c r="I2917" s="6">
        <f>MAX(1, NETWORKDAYS(A2917, G2917,Table2[Dias no laborales]))</f>
        <v>1</v>
      </c>
      <c r="J2917" s="6" t="str">
        <f>IF(Table1[[#This Row],[FIN]]="","Acumulado",IF(ISNUMBER(SEARCH("ASAP",C2917)),"ASAP",IF(NETWORKDAYS.INTL(F2917,G2917,1,Table2[Dias no laborales]) &lt;= 7, "Dentro", IF(A2917&gt;F2917,"Programado","Fuera"))))</f>
        <v>Acumulado</v>
      </c>
      <c r="K2917" s="6" t="str">
        <f t="shared" si="158"/>
        <v>A tiempo</v>
      </c>
      <c r="L2917" s="8"/>
      <c r="M2917" s="17">
        <f>MAX(1,NETWORKDAYS(A2917,L2917,Table2[Dias no laborales]))</f>
        <v>1</v>
      </c>
    </row>
    <row r="2918" spans="1:13" x14ac:dyDescent="0.3">
      <c r="A2918" s="8"/>
      <c r="B2918" s="16" t="s">
        <v>5466</v>
      </c>
      <c r="C2918" s="6"/>
      <c r="D2918" s="6"/>
      <c r="E2918" s="14"/>
      <c r="F2918" s="25">
        <f>IF(HOUR(Table1[[#This Row],[CORREO]])&gt;=11,WORKDAY(Table1[[#This Row],[CORREO]],1,Table2[Dias no laborales]),E2918)</f>
        <v>0</v>
      </c>
      <c r="G2918" s="8"/>
      <c r="H2918" s="6">
        <f t="shared" si="157"/>
        <v>0</v>
      </c>
      <c r="I2918" s="6">
        <f>MAX(1, NETWORKDAYS(A2918, G2918,Table2[Dias no laborales]))</f>
        <v>1</v>
      </c>
      <c r="J2918" s="6" t="str">
        <f>IF(Table1[[#This Row],[FIN]]="","Acumulado",IF(ISNUMBER(SEARCH("ASAP",C2918)),"ASAP",IF(NETWORKDAYS.INTL(F2918,G2918,1,Table2[Dias no laborales]) &lt;= 7, "Dentro", IF(A2918&gt;F2918,"Programado","Fuera"))))</f>
        <v>Acumulado</v>
      </c>
      <c r="K2918" s="6" t="str">
        <f t="shared" si="158"/>
        <v>A tiempo</v>
      </c>
      <c r="L2918" s="8"/>
      <c r="M2918" s="17">
        <f>MAX(1,NETWORKDAYS(A2918,L2918,Table2[Dias no laborales]))</f>
        <v>1</v>
      </c>
    </row>
    <row r="2919" spans="1:13" x14ac:dyDescent="0.3">
      <c r="A2919" s="8"/>
      <c r="B2919" s="16" t="s">
        <v>5467</v>
      </c>
      <c r="C2919" s="6"/>
      <c r="D2919" s="6"/>
      <c r="E2919" s="14"/>
      <c r="F2919" s="25">
        <f>IF(HOUR(Table1[[#This Row],[CORREO]])&gt;=11,WORKDAY(Table1[[#This Row],[CORREO]],1,Table2[Dias no laborales]),E2919)</f>
        <v>0</v>
      </c>
      <c r="G2919" s="8"/>
      <c r="H2919" s="6">
        <f t="shared" si="157"/>
        <v>0</v>
      </c>
      <c r="I2919" s="6">
        <f>MAX(1, NETWORKDAYS(A2919, G2919,Table2[Dias no laborales]))</f>
        <v>1</v>
      </c>
      <c r="J2919" s="6" t="str">
        <f>IF(Table1[[#This Row],[FIN]]="","Acumulado",IF(ISNUMBER(SEARCH("ASAP",C2919)),"ASAP",IF(NETWORKDAYS.INTL(F2919,G2919,1,Table2[Dias no laborales]) &lt;= 7, "Dentro", IF(A2919&gt;F2919,"Programado","Fuera"))))</f>
        <v>Acumulado</v>
      </c>
      <c r="K2919" s="6" t="str">
        <f t="shared" si="158"/>
        <v>A tiempo</v>
      </c>
      <c r="L2919" s="8"/>
      <c r="M2919" s="17">
        <f>MAX(1,NETWORKDAYS(A2919,L2919,Table2[Dias no laborales]))</f>
        <v>1</v>
      </c>
    </row>
    <row r="2920" spans="1:13" x14ac:dyDescent="0.3">
      <c r="A2920" s="8"/>
      <c r="B2920" s="16" t="s">
        <v>5468</v>
      </c>
      <c r="C2920" s="6"/>
      <c r="D2920" s="6"/>
      <c r="E2920" s="14"/>
      <c r="F2920" s="25">
        <f>IF(HOUR(Table1[[#This Row],[CORREO]])&gt;=11,WORKDAY(Table1[[#This Row],[CORREO]],1,Table2[Dias no laborales]),E2920)</f>
        <v>0</v>
      </c>
      <c r="G2920" s="8"/>
      <c r="H2920" s="6">
        <f t="shared" si="157"/>
        <v>0</v>
      </c>
      <c r="I2920" s="6">
        <f>MAX(1, NETWORKDAYS(A2920, G2920,Table2[Dias no laborales]))</f>
        <v>1</v>
      </c>
      <c r="J2920" s="6" t="str">
        <f>IF(Table1[[#This Row],[FIN]]="","Acumulado",IF(ISNUMBER(SEARCH("ASAP",C2920)),"ASAP",IF(NETWORKDAYS.INTL(F2920,G2920,1,Table2[Dias no laborales]) &lt;= 7, "Dentro", IF(A2920&gt;F2920,"Programado","Fuera"))))</f>
        <v>Acumulado</v>
      </c>
      <c r="K2920" s="6" t="str">
        <f t="shared" si="158"/>
        <v>A tiempo</v>
      </c>
      <c r="L2920" s="8"/>
      <c r="M2920" s="17">
        <f>MAX(1,NETWORKDAYS(A2920,L2920,Table2[Dias no laborales]))</f>
        <v>1</v>
      </c>
    </row>
    <row r="2921" spans="1:13" x14ac:dyDescent="0.3">
      <c r="A2921" s="8"/>
      <c r="B2921" s="16" t="s">
        <v>5469</v>
      </c>
      <c r="C2921" s="6"/>
      <c r="D2921" s="6"/>
      <c r="E2921" s="14"/>
      <c r="F2921" s="25">
        <f>IF(HOUR(Table1[[#This Row],[CORREO]])&gt;=11,WORKDAY(Table1[[#This Row],[CORREO]],1,Table2[Dias no laborales]),E2921)</f>
        <v>0</v>
      </c>
      <c r="G2921" s="8"/>
      <c r="H2921" s="6">
        <f t="shared" si="157"/>
        <v>0</v>
      </c>
      <c r="I2921" s="6">
        <f>MAX(1, NETWORKDAYS(A2921, G2921,Table2[Dias no laborales]))</f>
        <v>1</v>
      </c>
      <c r="J2921" s="6" t="str">
        <f>IF(Table1[[#This Row],[FIN]]="","Acumulado",IF(ISNUMBER(SEARCH("ASAP",C2921)),"ASAP",IF(NETWORKDAYS.INTL(F2921,G2921,1,Table2[Dias no laborales]) &lt;= 7, "Dentro", IF(A2921&gt;F2921,"Programado","Fuera"))))</f>
        <v>Acumulado</v>
      </c>
      <c r="K2921" s="6" t="str">
        <f t="shared" si="158"/>
        <v>A tiempo</v>
      </c>
      <c r="L2921" s="8"/>
      <c r="M2921" s="17">
        <f>MAX(1,NETWORKDAYS(A2921,L2921,Table2[Dias no laborales]))</f>
        <v>1</v>
      </c>
    </row>
    <row r="2922" spans="1:13" x14ac:dyDescent="0.3">
      <c r="A2922" s="8"/>
      <c r="B2922" s="16" t="s">
        <v>5470</v>
      </c>
      <c r="C2922" s="6"/>
      <c r="D2922" s="6"/>
      <c r="E2922" s="14"/>
      <c r="F2922" s="25">
        <f>IF(HOUR(Table1[[#This Row],[CORREO]])&gt;=11,WORKDAY(Table1[[#This Row],[CORREO]],1,Table2[Dias no laborales]),E2922)</f>
        <v>0</v>
      </c>
      <c r="G2922" s="8"/>
      <c r="H2922" s="6">
        <f t="shared" si="157"/>
        <v>0</v>
      </c>
      <c r="I2922" s="6">
        <f>MAX(1, NETWORKDAYS(A2922, G2922,Table2[Dias no laborales]))</f>
        <v>1</v>
      </c>
      <c r="J2922" s="6" t="str">
        <f>IF(Table1[[#This Row],[FIN]]="","Acumulado",IF(ISNUMBER(SEARCH("ASAP",C2922)),"ASAP",IF(NETWORKDAYS.INTL(F2922,G2922,1,Table2[Dias no laborales]) &lt;= 7, "Dentro", IF(A2922&gt;F2922,"Programado","Fuera"))))</f>
        <v>Acumulado</v>
      </c>
      <c r="K2922" s="6" t="str">
        <f t="shared" si="158"/>
        <v>A tiempo</v>
      </c>
      <c r="L2922" s="8"/>
      <c r="M2922" s="17">
        <f>MAX(1,NETWORKDAYS(A2922,L2922,Table2[Dias no laborales]))</f>
        <v>1</v>
      </c>
    </row>
    <row r="2923" spans="1:13" x14ac:dyDescent="0.3">
      <c r="A2923" s="8"/>
      <c r="B2923" s="16" t="s">
        <v>5471</v>
      </c>
      <c r="C2923" s="6"/>
      <c r="D2923" s="6"/>
      <c r="E2923" s="14"/>
      <c r="F2923" s="25">
        <f>IF(HOUR(Table1[[#This Row],[CORREO]])&gt;=11,WORKDAY(Table1[[#This Row],[CORREO]],1,Table2[Dias no laborales]),E2923)</f>
        <v>0</v>
      </c>
      <c r="G2923" s="8"/>
      <c r="H2923" s="6">
        <f t="shared" si="157"/>
        <v>0</v>
      </c>
      <c r="I2923" s="6">
        <f>MAX(1, NETWORKDAYS(A2923, G2923,Table2[Dias no laborales]))</f>
        <v>1</v>
      </c>
      <c r="J2923" s="6" t="str">
        <f>IF(Table1[[#This Row],[FIN]]="","Acumulado",IF(ISNUMBER(SEARCH("ASAP",C2923)),"ASAP",IF(NETWORKDAYS.INTL(F2923,G2923,1,Table2[Dias no laborales]) &lt;= 7, "Dentro", IF(A2923&gt;F2923,"Programado","Fuera"))))</f>
        <v>Acumulado</v>
      </c>
      <c r="K2923" s="6" t="str">
        <f t="shared" si="158"/>
        <v>A tiempo</v>
      </c>
      <c r="L2923" s="8"/>
      <c r="M2923" s="17">
        <f>MAX(1,NETWORKDAYS(A2923,L2923,Table2[Dias no laborales]))</f>
        <v>1</v>
      </c>
    </row>
    <row r="2924" spans="1:13" x14ac:dyDescent="0.3">
      <c r="A2924" s="8"/>
      <c r="B2924" s="16" t="s">
        <v>5472</v>
      </c>
      <c r="C2924" s="6"/>
      <c r="D2924" s="6"/>
      <c r="E2924" s="14"/>
      <c r="F2924" s="25">
        <f>IF(HOUR(Table1[[#This Row],[CORREO]])&gt;=11,WORKDAY(Table1[[#This Row],[CORREO]],1,Table2[Dias no laborales]),E2924)</f>
        <v>0</v>
      </c>
      <c r="G2924" s="8"/>
      <c r="H2924" s="6">
        <f t="shared" si="157"/>
        <v>0</v>
      </c>
      <c r="I2924" s="6">
        <f>MAX(1, NETWORKDAYS(A2924, G2924,Table2[Dias no laborales]))</f>
        <v>1</v>
      </c>
      <c r="J2924" s="6" t="str">
        <f>IF(Table1[[#This Row],[FIN]]="","Acumulado",IF(ISNUMBER(SEARCH("ASAP",C2924)),"ASAP",IF(NETWORKDAYS.INTL(F2924,G2924,1,Table2[Dias no laborales]) &lt;= 7, "Dentro", IF(A2924&gt;F2924,"Programado","Fuera"))))</f>
        <v>Acumulado</v>
      </c>
      <c r="K2924" s="6" t="str">
        <f t="shared" si="158"/>
        <v>A tiempo</v>
      </c>
      <c r="L2924" s="8"/>
      <c r="M2924" s="17">
        <f>MAX(1,NETWORKDAYS(A2924,L2924,Table2[Dias no laborales]))</f>
        <v>1</v>
      </c>
    </row>
    <row r="2925" spans="1:13" x14ac:dyDescent="0.3">
      <c r="A2925" s="8"/>
      <c r="B2925" s="16" t="s">
        <v>5473</v>
      </c>
      <c r="C2925" s="6"/>
      <c r="D2925" s="6"/>
      <c r="E2925" s="14"/>
      <c r="F2925" s="25">
        <f>IF(HOUR(Table1[[#This Row],[CORREO]])&gt;=11,WORKDAY(Table1[[#This Row],[CORREO]],1,Table2[Dias no laborales]),E2925)</f>
        <v>0</v>
      </c>
      <c r="G2925" s="8"/>
      <c r="H2925" s="6">
        <f t="shared" si="157"/>
        <v>0</v>
      </c>
      <c r="I2925" s="6">
        <f>MAX(1, NETWORKDAYS(A2925, G2925,Table2[Dias no laborales]))</f>
        <v>1</v>
      </c>
      <c r="J2925" s="6" t="str">
        <f>IF(Table1[[#This Row],[FIN]]="","Acumulado",IF(ISNUMBER(SEARCH("ASAP",C2925)),"ASAP",IF(NETWORKDAYS.INTL(F2925,G2925,1,Table2[Dias no laborales]) &lt;= 7, "Dentro", IF(A2925&gt;F2925,"Programado","Fuera"))))</f>
        <v>Acumulado</v>
      </c>
      <c r="K2925" s="6" t="str">
        <f t="shared" si="158"/>
        <v>A tiempo</v>
      </c>
      <c r="L2925" s="8"/>
      <c r="M2925" s="17">
        <f>MAX(1,NETWORKDAYS(A2925,L2925,Table2[Dias no laborales]))</f>
        <v>1</v>
      </c>
    </row>
    <row r="2926" spans="1:13" x14ac:dyDescent="0.3">
      <c r="A2926" s="8"/>
      <c r="B2926" s="16" t="s">
        <v>5474</v>
      </c>
      <c r="C2926" s="6"/>
      <c r="D2926" s="6"/>
      <c r="E2926" s="14"/>
      <c r="F2926" s="25">
        <f>IF(HOUR(Table1[[#This Row],[CORREO]])&gt;=11,WORKDAY(Table1[[#This Row],[CORREO]],1,Table2[Dias no laborales]),E2926)</f>
        <v>0</v>
      </c>
      <c r="G2926" s="8"/>
      <c r="H2926" s="6">
        <f t="shared" si="157"/>
        <v>0</v>
      </c>
      <c r="I2926" s="6">
        <f>MAX(1, NETWORKDAYS(A2926, G2926,Table2[Dias no laborales]))</f>
        <v>1</v>
      </c>
      <c r="J2926" s="6" t="str">
        <f>IF(Table1[[#This Row],[FIN]]="","Acumulado",IF(ISNUMBER(SEARCH("ASAP",C2926)),"ASAP",IF(NETWORKDAYS.INTL(F2926,G2926,1,Table2[Dias no laborales]) &lt;= 7, "Dentro", IF(A2926&gt;F2926,"Programado","Fuera"))))</f>
        <v>Acumulado</v>
      </c>
      <c r="K2926" s="6" t="str">
        <f t="shared" si="158"/>
        <v>A tiempo</v>
      </c>
      <c r="L2926" s="8"/>
      <c r="M2926" s="17">
        <f>MAX(1,NETWORKDAYS(A2926,L2926,Table2[Dias no laborales]))</f>
        <v>1</v>
      </c>
    </row>
    <row r="2927" spans="1:13" x14ac:dyDescent="0.3">
      <c r="A2927" s="8"/>
      <c r="B2927" s="16" t="s">
        <v>5475</v>
      </c>
      <c r="C2927" s="6"/>
      <c r="D2927" s="6"/>
      <c r="E2927" s="14"/>
      <c r="F2927" s="25">
        <f>IF(HOUR(Table1[[#This Row],[CORREO]])&gt;=11,WORKDAY(Table1[[#This Row],[CORREO]],1,Table2[Dias no laborales]),E2927)</f>
        <v>0</v>
      </c>
      <c r="G2927" s="8"/>
      <c r="H2927" s="6">
        <f t="shared" si="157"/>
        <v>0</v>
      </c>
      <c r="I2927" s="6">
        <f>MAX(1, NETWORKDAYS(A2927, G2927,Table2[Dias no laborales]))</f>
        <v>1</v>
      </c>
      <c r="J2927" s="6" t="str">
        <f>IF(Table1[[#This Row],[FIN]]="","Acumulado",IF(ISNUMBER(SEARCH("ASAP",C2927)),"ASAP",IF(NETWORKDAYS.INTL(F2927,G2927,1,Table2[Dias no laborales]) &lt;= 7, "Dentro", IF(A2927&gt;F2927,"Programado","Fuera"))))</f>
        <v>Acumulado</v>
      </c>
      <c r="K2927" s="6" t="str">
        <f t="shared" si="158"/>
        <v>A tiempo</v>
      </c>
      <c r="L2927" s="8"/>
      <c r="M2927" s="17">
        <f>MAX(1,NETWORKDAYS(A2927,L2927,Table2[Dias no laborales]))</f>
        <v>1</v>
      </c>
    </row>
    <row r="2928" spans="1:13" x14ac:dyDescent="0.3">
      <c r="A2928" s="8"/>
      <c r="B2928" s="16" t="s">
        <v>5476</v>
      </c>
      <c r="C2928" s="6"/>
      <c r="D2928" s="6"/>
      <c r="E2928" s="14"/>
      <c r="F2928" s="25">
        <f>IF(HOUR(Table1[[#This Row],[CORREO]])&gt;=11,WORKDAY(Table1[[#This Row],[CORREO]],1,Table2[Dias no laborales]),E2928)</f>
        <v>0</v>
      </c>
      <c r="G2928" s="8"/>
      <c r="H2928" s="6">
        <f t="shared" si="157"/>
        <v>0</v>
      </c>
      <c r="I2928" s="6">
        <f>MAX(1, NETWORKDAYS(A2928, G2928,Table2[Dias no laborales]))</f>
        <v>1</v>
      </c>
      <c r="J2928" s="6" t="str">
        <f>IF(Table1[[#This Row],[FIN]]="","Acumulado",IF(ISNUMBER(SEARCH("ASAP",C2928)),"ASAP",IF(NETWORKDAYS.INTL(F2928,G2928,1,Table2[Dias no laborales]) &lt;= 7, "Dentro", IF(A2928&gt;F2928,"Programado","Fuera"))))</f>
        <v>Acumulado</v>
      </c>
      <c r="K2928" s="6" t="str">
        <f t="shared" si="158"/>
        <v>A tiempo</v>
      </c>
      <c r="L2928" s="8"/>
      <c r="M2928" s="17">
        <f>MAX(1,NETWORKDAYS(A2928,L2928,Table2[Dias no laborales]))</f>
        <v>1</v>
      </c>
    </row>
    <row r="2929" spans="1:13" x14ac:dyDescent="0.3">
      <c r="A2929" s="8"/>
      <c r="B2929" s="16" t="s">
        <v>5477</v>
      </c>
      <c r="C2929" s="6"/>
      <c r="D2929" s="6"/>
      <c r="E2929" s="14"/>
      <c r="F2929" s="25">
        <f>IF(HOUR(Table1[[#This Row],[CORREO]])&gt;=11,WORKDAY(Table1[[#This Row],[CORREO]],1,Table2[Dias no laborales]),E2929)</f>
        <v>0</v>
      </c>
      <c r="G2929" s="8"/>
      <c r="H2929" s="6">
        <f t="shared" si="157"/>
        <v>0</v>
      </c>
      <c r="I2929" s="6">
        <f>MAX(1, NETWORKDAYS(A2929, G2929,Table2[Dias no laborales]))</f>
        <v>1</v>
      </c>
      <c r="J2929" s="6" t="str">
        <f>IF(Table1[[#This Row],[FIN]]="","Acumulado",IF(ISNUMBER(SEARCH("ASAP",C2929)),"ASAP",IF(NETWORKDAYS.INTL(F2929,G2929,1,Table2[Dias no laborales]) &lt;= 7, "Dentro", IF(A2929&gt;F2929,"Programado","Fuera"))))</f>
        <v>Acumulado</v>
      </c>
      <c r="K2929" s="6" t="str">
        <f t="shared" si="158"/>
        <v>A tiempo</v>
      </c>
      <c r="L2929" s="8"/>
      <c r="M2929" s="17">
        <f>MAX(1,NETWORKDAYS(A2929,L2929,Table2[Dias no laborales]))</f>
        <v>1</v>
      </c>
    </row>
    <row r="2930" spans="1:13" x14ac:dyDescent="0.3">
      <c r="A2930" s="8"/>
      <c r="B2930" s="16" t="s">
        <v>5501</v>
      </c>
      <c r="C2930" s="6"/>
      <c r="D2930" s="6"/>
      <c r="E2930" s="14"/>
      <c r="F2930" s="25">
        <f>IF(HOUR(Table1[[#This Row],[CORREO]])&gt;=11,WORKDAY(Table1[[#This Row],[CORREO]],1,Table2[Dias no laborales]),E2930)</f>
        <v>0</v>
      </c>
      <c r="G2930" s="8"/>
      <c r="H2930" s="6">
        <f t="shared" ref="H2930:H2961" si="159">INT((A2930-DATE(YEAR(A2930),1,1))/7) + 1</f>
        <v>0</v>
      </c>
      <c r="I2930" s="6">
        <f>MAX(1, NETWORKDAYS(A2930, G2930,Table2[Dias no laborales]))</f>
        <v>1</v>
      </c>
      <c r="J2930" s="6" t="str">
        <f>IF(Table1[[#This Row],[FIN]]="","Acumulado",IF(ISNUMBER(SEARCH("ASAP",C2930)),"ASAP",IF(NETWORKDAYS.INTL(F2930,G2930,1,Table2[Dias no laborales]) &lt;= 7, "Dentro", IF(A2930&gt;F2930,"Programado","Fuera"))))</f>
        <v>Acumulado</v>
      </c>
      <c r="K2930" s="6" t="str">
        <f t="shared" ref="K2930:K2961" si="160">IF(INT(A2930)=INT(F2930),"A tiempo", IF(A2930&lt;F2930,"Mismo día","Programados"))</f>
        <v>A tiempo</v>
      </c>
      <c r="L2930" s="8"/>
      <c r="M2930" s="17">
        <f>MAX(1,NETWORKDAYS(A2930,L2930,Table2[Dias no laborales]))</f>
        <v>1</v>
      </c>
    </row>
    <row r="2931" spans="1:13" x14ac:dyDescent="0.3">
      <c r="A2931" s="8"/>
      <c r="B2931" s="16" t="s">
        <v>5502</v>
      </c>
      <c r="C2931" s="6"/>
      <c r="D2931" s="6"/>
      <c r="E2931" s="14"/>
      <c r="F2931" s="25">
        <f>IF(HOUR(Table1[[#This Row],[CORREO]])&gt;=11,WORKDAY(Table1[[#This Row],[CORREO]],1,Table2[Dias no laborales]),E2931)</f>
        <v>0</v>
      </c>
      <c r="G2931" s="8"/>
      <c r="H2931" s="6">
        <f t="shared" si="159"/>
        <v>0</v>
      </c>
      <c r="I2931" s="6">
        <f>MAX(1, NETWORKDAYS(A2931, G2931,Table2[Dias no laborales]))</f>
        <v>1</v>
      </c>
      <c r="J2931" s="6" t="str">
        <f>IF(Table1[[#This Row],[FIN]]="","Acumulado",IF(ISNUMBER(SEARCH("ASAP",C2931)),"ASAP",IF(NETWORKDAYS.INTL(F2931,G2931,1,Table2[Dias no laborales]) &lt;= 7, "Dentro", IF(A2931&gt;F2931,"Programado","Fuera"))))</f>
        <v>Acumulado</v>
      </c>
      <c r="K2931" s="6" t="str">
        <f t="shared" si="160"/>
        <v>A tiempo</v>
      </c>
      <c r="L2931" s="8"/>
      <c r="M2931" s="17">
        <f>MAX(1,NETWORKDAYS(A2931,L2931,Table2[Dias no laborales]))</f>
        <v>1</v>
      </c>
    </row>
    <row r="2932" spans="1:13" x14ac:dyDescent="0.3">
      <c r="A2932" s="8"/>
      <c r="B2932" s="16" t="s">
        <v>5503</v>
      </c>
      <c r="C2932" s="6"/>
      <c r="D2932" s="6"/>
      <c r="E2932" s="14"/>
      <c r="F2932" s="25">
        <f>IF(HOUR(Table1[[#This Row],[CORREO]])&gt;=11,WORKDAY(Table1[[#This Row],[CORREO]],1,Table2[Dias no laborales]),E2932)</f>
        <v>0</v>
      </c>
      <c r="G2932" s="8"/>
      <c r="H2932" s="6">
        <f t="shared" si="159"/>
        <v>0</v>
      </c>
      <c r="I2932" s="6">
        <f>MAX(1, NETWORKDAYS(A2932, G2932,Table2[Dias no laborales]))</f>
        <v>1</v>
      </c>
      <c r="J2932" s="6" t="str">
        <f>IF(Table1[[#This Row],[FIN]]="","Acumulado",IF(ISNUMBER(SEARCH("ASAP",C2932)),"ASAP",IF(NETWORKDAYS.INTL(F2932,G2932,1,Table2[Dias no laborales]) &lt;= 7, "Dentro", IF(A2932&gt;F2932,"Programado","Fuera"))))</f>
        <v>Acumulado</v>
      </c>
      <c r="K2932" s="6" t="str">
        <f t="shared" si="160"/>
        <v>A tiempo</v>
      </c>
      <c r="L2932" s="8"/>
      <c r="M2932" s="17">
        <f>MAX(1,NETWORKDAYS(A2932,L2932,Table2[Dias no laborales]))</f>
        <v>1</v>
      </c>
    </row>
    <row r="2933" spans="1:13" x14ac:dyDescent="0.3">
      <c r="A2933" s="8"/>
      <c r="B2933" s="16" t="s">
        <v>5504</v>
      </c>
      <c r="C2933" s="6"/>
      <c r="D2933" s="6"/>
      <c r="E2933" s="14"/>
      <c r="F2933" s="25">
        <f>IF(HOUR(Table1[[#This Row],[CORREO]])&gt;=11,WORKDAY(Table1[[#This Row],[CORREO]],1,Table2[Dias no laborales]),E2933)</f>
        <v>0</v>
      </c>
      <c r="G2933" s="8"/>
      <c r="H2933" s="6">
        <f t="shared" si="159"/>
        <v>0</v>
      </c>
      <c r="I2933" s="6">
        <f>MAX(1, NETWORKDAYS(A2933, G2933,Table2[Dias no laborales]))</f>
        <v>1</v>
      </c>
      <c r="J2933" s="6" t="str">
        <f>IF(Table1[[#This Row],[FIN]]="","Acumulado",IF(ISNUMBER(SEARCH("ASAP",C2933)),"ASAP",IF(NETWORKDAYS.INTL(F2933,G2933,1,Table2[Dias no laborales]) &lt;= 7, "Dentro", IF(A2933&gt;F2933,"Programado","Fuera"))))</f>
        <v>Acumulado</v>
      </c>
      <c r="K2933" s="6" t="str">
        <f t="shared" si="160"/>
        <v>A tiempo</v>
      </c>
      <c r="L2933" s="8"/>
      <c r="M2933" s="17">
        <f>MAX(1,NETWORKDAYS(A2933,L2933,Table2[Dias no laborales]))</f>
        <v>1</v>
      </c>
    </row>
    <row r="2934" spans="1:13" x14ac:dyDescent="0.3">
      <c r="A2934" s="8"/>
      <c r="B2934" s="16" t="s">
        <v>5505</v>
      </c>
      <c r="C2934" s="6"/>
      <c r="D2934" s="6"/>
      <c r="E2934" s="14"/>
      <c r="F2934" s="25">
        <f>IF(HOUR(Table1[[#This Row],[CORREO]])&gt;=11,WORKDAY(Table1[[#This Row],[CORREO]],1,Table2[Dias no laborales]),E2934)</f>
        <v>0</v>
      </c>
      <c r="G2934" s="8"/>
      <c r="H2934" s="6">
        <f t="shared" si="159"/>
        <v>0</v>
      </c>
      <c r="I2934" s="6">
        <f>MAX(1, NETWORKDAYS(A2934, G2934,Table2[Dias no laborales]))</f>
        <v>1</v>
      </c>
      <c r="J2934" s="6" t="str">
        <f>IF(Table1[[#This Row],[FIN]]="","Acumulado",IF(ISNUMBER(SEARCH("ASAP",C2934)),"ASAP",IF(NETWORKDAYS.INTL(F2934,G2934,1,Table2[Dias no laborales]) &lt;= 7, "Dentro", IF(A2934&gt;F2934,"Programado","Fuera"))))</f>
        <v>Acumulado</v>
      </c>
      <c r="K2934" s="6" t="str">
        <f t="shared" si="160"/>
        <v>A tiempo</v>
      </c>
      <c r="L2934" s="8"/>
      <c r="M2934" s="17">
        <f>MAX(1,NETWORKDAYS(A2934,L2934,Table2[Dias no laborales]))</f>
        <v>1</v>
      </c>
    </row>
    <row r="2935" spans="1:13" x14ac:dyDescent="0.3">
      <c r="A2935" s="8"/>
      <c r="B2935" s="16" t="s">
        <v>5506</v>
      </c>
      <c r="C2935" s="6"/>
      <c r="D2935" s="6"/>
      <c r="E2935" s="14"/>
      <c r="F2935" s="25">
        <f>IF(HOUR(Table1[[#This Row],[CORREO]])&gt;=11,WORKDAY(Table1[[#This Row],[CORREO]],1,Table2[Dias no laborales]),E2935)</f>
        <v>0</v>
      </c>
      <c r="G2935" s="8"/>
      <c r="H2935" s="6">
        <f t="shared" si="159"/>
        <v>0</v>
      </c>
      <c r="I2935" s="6">
        <f>MAX(1, NETWORKDAYS(A2935, G2935,Table2[Dias no laborales]))</f>
        <v>1</v>
      </c>
      <c r="J2935" s="6" t="str">
        <f>IF(Table1[[#This Row],[FIN]]="","Acumulado",IF(ISNUMBER(SEARCH("ASAP",C2935)),"ASAP",IF(NETWORKDAYS.INTL(F2935,G2935,1,Table2[Dias no laborales]) &lt;= 7, "Dentro", IF(A2935&gt;F2935,"Programado","Fuera"))))</f>
        <v>Acumulado</v>
      </c>
      <c r="K2935" s="6" t="str">
        <f t="shared" si="160"/>
        <v>A tiempo</v>
      </c>
      <c r="L2935" s="8"/>
      <c r="M2935" s="17">
        <f>MAX(1,NETWORKDAYS(A2935,L2935,Table2[Dias no laborales]))</f>
        <v>1</v>
      </c>
    </row>
    <row r="2936" spans="1:13" x14ac:dyDescent="0.3">
      <c r="A2936" s="8"/>
      <c r="B2936" s="16" t="s">
        <v>5507</v>
      </c>
      <c r="C2936" s="6"/>
      <c r="D2936" s="6"/>
      <c r="E2936" s="14"/>
      <c r="F2936" s="25">
        <f>IF(HOUR(Table1[[#This Row],[CORREO]])&gt;=11,WORKDAY(Table1[[#This Row],[CORREO]],1,Table2[Dias no laborales]),E2936)</f>
        <v>0</v>
      </c>
      <c r="G2936" s="8"/>
      <c r="H2936" s="6">
        <f t="shared" si="159"/>
        <v>0</v>
      </c>
      <c r="I2936" s="6">
        <f>MAX(1, NETWORKDAYS(A2936, G2936,Table2[Dias no laborales]))</f>
        <v>1</v>
      </c>
      <c r="J2936" s="6" t="str">
        <f>IF(Table1[[#This Row],[FIN]]="","Acumulado",IF(ISNUMBER(SEARCH("ASAP",C2936)),"ASAP",IF(NETWORKDAYS.INTL(F2936,G2936,1,Table2[Dias no laborales]) &lt;= 7, "Dentro", IF(A2936&gt;F2936,"Programado","Fuera"))))</f>
        <v>Acumulado</v>
      </c>
      <c r="K2936" s="6" t="str">
        <f t="shared" si="160"/>
        <v>A tiempo</v>
      </c>
      <c r="L2936" s="8"/>
      <c r="M2936" s="17">
        <f>MAX(1,NETWORKDAYS(A2936,L2936,Table2[Dias no laborales]))</f>
        <v>1</v>
      </c>
    </row>
    <row r="2937" spans="1:13" x14ac:dyDescent="0.3">
      <c r="A2937" s="8"/>
      <c r="B2937" s="16" t="s">
        <v>5508</v>
      </c>
      <c r="C2937" s="6"/>
      <c r="D2937" s="6"/>
      <c r="E2937" s="14"/>
      <c r="F2937" s="25">
        <f>IF(HOUR(Table1[[#This Row],[CORREO]])&gt;=11,WORKDAY(Table1[[#This Row],[CORREO]],1,Table2[Dias no laborales]),E2937)</f>
        <v>0</v>
      </c>
      <c r="G2937" s="8"/>
      <c r="H2937" s="6">
        <f t="shared" si="159"/>
        <v>0</v>
      </c>
      <c r="I2937" s="6">
        <f>MAX(1, NETWORKDAYS(A2937, G2937,Table2[Dias no laborales]))</f>
        <v>1</v>
      </c>
      <c r="J2937" s="6" t="str">
        <f>IF(Table1[[#This Row],[FIN]]="","Acumulado",IF(ISNUMBER(SEARCH("ASAP",C2937)),"ASAP",IF(NETWORKDAYS.INTL(F2937,G2937,1,Table2[Dias no laborales]) &lt;= 7, "Dentro", IF(A2937&gt;F2937,"Programado","Fuera"))))</f>
        <v>Acumulado</v>
      </c>
      <c r="K2937" s="6" t="str">
        <f t="shared" si="160"/>
        <v>A tiempo</v>
      </c>
      <c r="L2937" s="8"/>
      <c r="M2937" s="17">
        <f>MAX(1,NETWORKDAYS(A2937,L2937,Table2[Dias no laborales]))</f>
        <v>1</v>
      </c>
    </row>
    <row r="2938" spans="1:13" x14ac:dyDescent="0.3">
      <c r="A2938" s="8"/>
      <c r="B2938" s="16" t="s">
        <v>5509</v>
      </c>
      <c r="C2938" s="6"/>
      <c r="D2938" s="6"/>
      <c r="E2938" s="14"/>
      <c r="F2938" s="25">
        <f>IF(HOUR(Table1[[#This Row],[CORREO]])&gt;=11,WORKDAY(Table1[[#This Row],[CORREO]],1,Table2[Dias no laborales]),E2938)</f>
        <v>0</v>
      </c>
      <c r="G2938" s="8"/>
      <c r="H2938" s="6">
        <f t="shared" si="159"/>
        <v>0</v>
      </c>
      <c r="I2938" s="6">
        <f>MAX(1, NETWORKDAYS(A2938, G2938,Table2[Dias no laborales]))</f>
        <v>1</v>
      </c>
      <c r="J2938" s="6" t="str">
        <f>IF(Table1[[#This Row],[FIN]]="","Acumulado",IF(ISNUMBER(SEARCH("ASAP",C2938)),"ASAP",IF(NETWORKDAYS.INTL(F2938,G2938,1,Table2[Dias no laborales]) &lt;= 7, "Dentro", IF(A2938&gt;F2938,"Programado","Fuera"))))</f>
        <v>Acumulado</v>
      </c>
      <c r="K2938" s="6" t="str">
        <f t="shared" si="160"/>
        <v>A tiempo</v>
      </c>
      <c r="L2938" s="8"/>
      <c r="M2938" s="17">
        <f>MAX(1,NETWORKDAYS(A2938,L2938,Table2[Dias no laborales]))</f>
        <v>1</v>
      </c>
    </row>
    <row r="2939" spans="1:13" x14ac:dyDescent="0.3">
      <c r="A2939" s="8"/>
      <c r="B2939" s="16" t="s">
        <v>5510</v>
      </c>
      <c r="C2939" s="6"/>
      <c r="D2939" s="6"/>
      <c r="E2939" s="14"/>
      <c r="F2939" s="25">
        <f>IF(HOUR(Table1[[#This Row],[CORREO]])&gt;=11,WORKDAY(Table1[[#This Row],[CORREO]],1,Table2[Dias no laborales]),E2939)</f>
        <v>0</v>
      </c>
      <c r="G2939" s="8"/>
      <c r="H2939" s="6">
        <f t="shared" si="159"/>
        <v>0</v>
      </c>
      <c r="I2939" s="6">
        <f>MAX(1, NETWORKDAYS(A2939, G2939,Table2[Dias no laborales]))</f>
        <v>1</v>
      </c>
      <c r="J2939" s="6" t="str">
        <f>IF(Table1[[#This Row],[FIN]]="","Acumulado",IF(ISNUMBER(SEARCH("ASAP",C2939)),"ASAP",IF(NETWORKDAYS.INTL(F2939,G2939,1,Table2[Dias no laborales]) &lt;= 7, "Dentro", IF(A2939&gt;F2939,"Programado","Fuera"))))</f>
        <v>Acumulado</v>
      </c>
      <c r="K2939" s="6" t="str">
        <f t="shared" si="160"/>
        <v>A tiempo</v>
      </c>
      <c r="L2939" s="8"/>
      <c r="M2939" s="17">
        <f>MAX(1,NETWORKDAYS(A2939,L2939,Table2[Dias no laborales]))</f>
        <v>1</v>
      </c>
    </row>
    <row r="2940" spans="1:13" x14ac:dyDescent="0.3">
      <c r="A2940" s="8"/>
      <c r="B2940" s="16" t="s">
        <v>5511</v>
      </c>
      <c r="C2940" s="6"/>
      <c r="D2940" s="6"/>
      <c r="E2940" s="14"/>
      <c r="F2940" s="25">
        <f>IF(HOUR(Table1[[#This Row],[CORREO]])&gt;=11,WORKDAY(Table1[[#This Row],[CORREO]],1,Table2[Dias no laborales]),E2940)</f>
        <v>0</v>
      </c>
      <c r="G2940" s="8"/>
      <c r="H2940" s="6">
        <f t="shared" si="159"/>
        <v>0</v>
      </c>
      <c r="I2940" s="6">
        <f>MAX(1, NETWORKDAYS(A2940, G2940,Table2[Dias no laborales]))</f>
        <v>1</v>
      </c>
      <c r="J2940" s="6" t="str">
        <f>IF(Table1[[#This Row],[FIN]]="","Acumulado",IF(ISNUMBER(SEARCH("ASAP",C2940)),"ASAP",IF(NETWORKDAYS.INTL(F2940,G2940,1,Table2[Dias no laborales]) &lt;= 7, "Dentro", IF(A2940&gt;F2940,"Programado","Fuera"))))</f>
        <v>Acumulado</v>
      </c>
      <c r="K2940" s="6" t="str">
        <f t="shared" si="160"/>
        <v>A tiempo</v>
      </c>
      <c r="L2940" s="8"/>
      <c r="M2940" s="17">
        <f>MAX(1,NETWORKDAYS(A2940,L2940,Table2[Dias no laborales]))</f>
        <v>1</v>
      </c>
    </row>
    <row r="2941" spans="1:13" hidden="1" x14ac:dyDescent="0.3">
      <c r="A2941" s="8">
        <v>46261</v>
      </c>
      <c r="B2941" s="16" t="s">
        <v>5512</v>
      </c>
      <c r="C2941" s="6" t="s">
        <v>5588</v>
      </c>
      <c r="D2941" s="6" t="s">
        <v>24</v>
      </c>
      <c r="E2941" s="14"/>
      <c r="F2941" s="25">
        <f>IF(HOUR(Table1[[#This Row],[CORREO]])&gt;=11,WORKDAY(Table1[[#This Row],[CORREO]],1,Table2[Dias no laborales]),E2941)</f>
        <v>0</v>
      </c>
      <c r="G2941" s="8">
        <v>46262</v>
      </c>
      <c r="H2941" s="6">
        <f t="shared" si="159"/>
        <v>35</v>
      </c>
      <c r="I2941" s="6">
        <f>MAX(1, NETWORKDAYS(A2941, G2941,Table2[Dias no laborales]))</f>
        <v>2</v>
      </c>
      <c r="J2941" s="6" t="str">
        <f>IF(Table1[[#This Row],[FIN]]="","Acumulado",IF(ISNUMBER(SEARCH("ASAP",C2941)),"ASAP",IF(NETWORKDAYS.INTL(F2941,G2941,1,Table2[Dias no laborales]) &lt;= 7, "Dentro", IF(A2941&gt;F2941,"Programado","Fuera"))))</f>
        <v>Programado</v>
      </c>
      <c r="K2941" s="6" t="str">
        <f t="shared" si="160"/>
        <v>Programados</v>
      </c>
      <c r="L2941" s="8">
        <v>46261</v>
      </c>
      <c r="M2941" s="17">
        <f>MAX(1,NETWORKDAYS(A2941,L2941,Table2[Dias no laborales]))</f>
        <v>1</v>
      </c>
    </row>
    <row r="2942" spans="1:13" hidden="1" x14ac:dyDescent="0.3">
      <c r="A2942" s="8">
        <v>46262</v>
      </c>
      <c r="B2942" s="16" t="s">
        <v>5513</v>
      </c>
      <c r="C2942" s="6" t="s">
        <v>5589</v>
      </c>
      <c r="D2942" s="6" t="s">
        <v>372</v>
      </c>
      <c r="E2942" s="14">
        <v>46261.491666666669</v>
      </c>
      <c r="F2942" s="25">
        <f>IF(HOUR(Table1[[#This Row],[CORREO]])&gt;=11,WORKDAY(Table1[[#This Row],[CORREO]],1,Table2[Dias no laborales]),E2942)</f>
        <v>46262</v>
      </c>
      <c r="G2942" s="8">
        <v>46267</v>
      </c>
      <c r="H2942" s="6">
        <f t="shared" si="159"/>
        <v>35</v>
      </c>
      <c r="I2942" s="6">
        <f>MAX(1, NETWORKDAYS(A2942, G2942,Table2[Dias no laborales]))</f>
        <v>4</v>
      </c>
      <c r="J2942" s="6" t="str">
        <f>IF(Table1[[#This Row],[FIN]]="","Acumulado",IF(ISNUMBER(SEARCH("ASAP",C2942)),"ASAP",IF(NETWORKDAYS.INTL(F2942,G2942,1,Table2[Dias no laborales]) &lt;= 7, "Dentro", IF(A2942&gt;F2942,"Programado","Fuera"))))</f>
        <v>Dentro</v>
      </c>
      <c r="K2942" s="6" t="str">
        <f t="shared" si="160"/>
        <v>A tiempo</v>
      </c>
      <c r="L2942" s="8">
        <v>46262</v>
      </c>
      <c r="M2942" s="17">
        <f>MAX(1,NETWORKDAYS(A2942,L2942,Table2[Dias no laborales]))</f>
        <v>1</v>
      </c>
    </row>
    <row r="2943" spans="1:13" hidden="1" x14ac:dyDescent="0.3">
      <c r="A2943" s="8">
        <v>46262</v>
      </c>
      <c r="B2943" s="16" t="s">
        <v>5514</v>
      </c>
      <c r="C2943" s="6" t="s">
        <v>5590</v>
      </c>
      <c r="D2943" s="6" t="s">
        <v>5591</v>
      </c>
      <c r="E2943" s="14"/>
      <c r="F2943" s="25">
        <f>IF(HOUR(Table1[[#This Row],[CORREO]])&gt;=11,WORKDAY(Table1[[#This Row],[CORREO]],1,Table2[Dias no laborales]),E2943)</f>
        <v>0</v>
      </c>
      <c r="G2943" s="8"/>
      <c r="H2943" s="6">
        <f t="shared" si="159"/>
        <v>35</v>
      </c>
      <c r="I2943" s="6">
        <f>MAX(1, NETWORKDAYS(A2943, G2943,Table2[Dias no laborales]))</f>
        <v>1</v>
      </c>
      <c r="J2943" s="6" t="str">
        <f>IF(Table1[[#This Row],[FIN]]="","Acumulado",IF(ISNUMBER(SEARCH("ASAP",C2943)),"ASAP",IF(NETWORKDAYS.INTL(F2943,G2943,1,Table2[Dias no laborales]) &lt;= 7, "Dentro", IF(A2943&gt;F2943,"Programado","Fuera"))))</f>
        <v>Acumulado</v>
      </c>
      <c r="K2943" s="6" t="str">
        <f t="shared" si="160"/>
        <v>Programados</v>
      </c>
      <c r="L2943" s="8"/>
      <c r="M2943" s="17">
        <f>MAX(1,NETWORKDAYS(A2943,L2943,Table2[Dias no laborales]))</f>
        <v>1</v>
      </c>
    </row>
    <row r="2944" spans="1:13" hidden="1" x14ac:dyDescent="0.3">
      <c r="A2944" s="8">
        <v>46262</v>
      </c>
      <c r="B2944" s="16" t="s">
        <v>5515</v>
      </c>
      <c r="C2944" s="6" t="s">
        <v>305</v>
      </c>
      <c r="D2944" s="6" t="s">
        <v>151</v>
      </c>
      <c r="E2944" s="14">
        <v>46261.522222222222</v>
      </c>
      <c r="F2944" s="25">
        <f>IF(HOUR(Table1[[#This Row],[CORREO]])&gt;=11,WORKDAY(Table1[[#This Row],[CORREO]],1,Table2[Dias no laborales]),E2944)</f>
        <v>46262</v>
      </c>
      <c r="G2944" s="8">
        <v>46266</v>
      </c>
      <c r="H2944" s="6">
        <f t="shared" si="159"/>
        <v>35</v>
      </c>
      <c r="I2944" s="6">
        <f>MAX(1, NETWORKDAYS(A2944, G2944,Table2[Dias no laborales]))</f>
        <v>3</v>
      </c>
      <c r="J2944" s="6" t="str">
        <f>IF(Table1[[#This Row],[FIN]]="","Acumulado",IF(ISNUMBER(SEARCH("ASAP",C2944)),"ASAP",IF(NETWORKDAYS.INTL(F2944,G2944,1,Table2[Dias no laborales]) &lt;= 7, "Dentro", IF(A2944&gt;F2944,"Programado","Fuera"))))</f>
        <v>Dentro</v>
      </c>
      <c r="K2944" s="6" t="str">
        <f t="shared" si="160"/>
        <v>A tiempo</v>
      </c>
      <c r="L2944" s="8">
        <v>46262</v>
      </c>
      <c r="M2944" s="17">
        <f>MAX(1,NETWORKDAYS(A2944,L2944,Table2[Dias no laborales]))</f>
        <v>1</v>
      </c>
    </row>
    <row r="2945" spans="1:13" hidden="1" x14ac:dyDescent="0.3">
      <c r="A2945" s="8">
        <v>46262</v>
      </c>
      <c r="B2945" s="16" t="s">
        <v>5516</v>
      </c>
      <c r="C2945" s="6" t="s">
        <v>5592</v>
      </c>
      <c r="D2945" s="6" t="s">
        <v>269</v>
      </c>
      <c r="E2945" s="14">
        <v>46261.564583333333</v>
      </c>
      <c r="F2945" s="25">
        <f>IF(HOUR(Table1[[#This Row],[CORREO]])&gt;=11,WORKDAY(Table1[[#This Row],[CORREO]],1,Table2[Dias no laborales]),E2945)</f>
        <v>46262</v>
      </c>
      <c r="G2945" s="8">
        <v>46266</v>
      </c>
      <c r="H2945" s="6">
        <f t="shared" si="159"/>
        <v>35</v>
      </c>
      <c r="I2945" s="6">
        <f>MAX(1, NETWORKDAYS(A2945, G2945,Table2[Dias no laborales]))</f>
        <v>3</v>
      </c>
      <c r="J2945" s="6" t="str">
        <f>IF(Table1[[#This Row],[FIN]]="","Acumulado",IF(ISNUMBER(SEARCH("ASAP",C2945)),"ASAP",IF(NETWORKDAYS.INTL(F2945,G2945,1,Table2[Dias no laborales]) &lt;= 7, "Dentro", IF(A2945&gt;F2945,"Programado","Fuera"))))</f>
        <v>Dentro</v>
      </c>
      <c r="K2945" s="6" t="str">
        <f t="shared" si="160"/>
        <v>A tiempo</v>
      </c>
      <c r="L2945" s="8">
        <v>46262</v>
      </c>
      <c r="M2945" s="17">
        <f>MAX(1,NETWORKDAYS(A2945,L2945,Table2[Dias no laborales]))</f>
        <v>1</v>
      </c>
    </row>
    <row r="2946" spans="1:13" hidden="1" x14ac:dyDescent="0.3">
      <c r="A2946" s="8">
        <v>46262</v>
      </c>
      <c r="B2946" s="16" t="s">
        <v>5517</v>
      </c>
      <c r="C2946" s="6" t="s">
        <v>5593</v>
      </c>
      <c r="D2946" s="6" t="s">
        <v>449</v>
      </c>
      <c r="E2946" s="14">
        <v>46261.65902777778</v>
      </c>
      <c r="F2946" s="25">
        <f>IF(HOUR(Table1[[#This Row],[CORREO]])&gt;=11,WORKDAY(Table1[[#This Row],[CORREO]],1,Table2[Dias no laborales]),E2946)</f>
        <v>46262</v>
      </c>
      <c r="G2946" s="8">
        <v>46266</v>
      </c>
      <c r="H2946" s="6">
        <f t="shared" si="159"/>
        <v>35</v>
      </c>
      <c r="I2946" s="6">
        <f>MAX(1, NETWORKDAYS(A2946, G2946,Table2[Dias no laborales]))</f>
        <v>3</v>
      </c>
      <c r="J2946" s="6" t="str">
        <f>IF(Table1[[#This Row],[FIN]]="","Acumulado",IF(ISNUMBER(SEARCH("ASAP",C2946)),"ASAP",IF(NETWORKDAYS.INTL(F2946,G2946,1,Table2[Dias no laborales]) &lt;= 7, "Dentro", IF(A2946&gt;F2946,"Programado","Fuera"))))</f>
        <v>Dentro</v>
      </c>
      <c r="K2946" s="6" t="str">
        <f t="shared" si="160"/>
        <v>A tiempo</v>
      </c>
      <c r="L2946" s="8">
        <v>46262</v>
      </c>
      <c r="M2946" s="17">
        <f>MAX(1,NETWORKDAYS(A2946,L2946,Table2[Dias no laborales]))</f>
        <v>1</v>
      </c>
    </row>
    <row r="2947" spans="1:13" hidden="1" x14ac:dyDescent="0.3">
      <c r="A2947" s="8">
        <v>46262</v>
      </c>
      <c r="B2947" s="16" t="s">
        <v>5518</v>
      </c>
      <c r="C2947" s="6" t="s">
        <v>5594</v>
      </c>
      <c r="D2947" s="6" t="s">
        <v>61</v>
      </c>
      <c r="E2947" s="14">
        <v>46262.298611111109</v>
      </c>
      <c r="F2947" s="25">
        <f>IF(HOUR(Table1[[#This Row],[CORREO]])&gt;=11,WORKDAY(Table1[[#This Row],[CORREO]],1,Table2[Dias no laborales]),E2947)</f>
        <v>46262.298611111109</v>
      </c>
      <c r="G2947" s="8">
        <v>46262</v>
      </c>
      <c r="H2947" s="6">
        <f t="shared" si="159"/>
        <v>35</v>
      </c>
      <c r="I2947" s="6">
        <f>MAX(1, NETWORKDAYS(A2947, G2947,Table2[Dias no laborales]))</f>
        <v>1</v>
      </c>
      <c r="J2947" s="6" t="str">
        <f>IF(Table1[[#This Row],[FIN]]="","Acumulado",IF(ISNUMBER(SEARCH("ASAP",C2947)),"ASAP",IF(NETWORKDAYS.INTL(F2947,G2947,1,Table2[Dias no laborales]) &lt;= 7, "Dentro", IF(A2947&gt;F2947,"Programado","Fuera"))))</f>
        <v>Dentro</v>
      </c>
      <c r="K2947" s="6" t="str">
        <f t="shared" si="160"/>
        <v>A tiempo</v>
      </c>
      <c r="L2947" s="8">
        <v>46262</v>
      </c>
      <c r="M2947" s="17">
        <f>MAX(1,NETWORKDAYS(A2947,L2947,Table2[Dias no laborales]))</f>
        <v>1</v>
      </c>
    </row>
    <row r="2948" spans="1:13" hidden="1" x14ac:dyDescent="0.3">
      <c r="A2948" s="8">
        <v>46262</v>
      </c>
      <c r="B2948" s="16" t="s">
        <v>5519</v>
      </c>
      <c r="C2948" s="6" t="s">
        <v>4988</v>
      </c>
      <c r="D2948" s="6" t="s">
        <v>392</v>
      </c>
      <c r="E2948" s="14">
        <v>46262.335416666669</v>
      </c>
      <c r="F2948" s="25">
        <f>IF(HOUR(Table1[[#This Row],[CORREO]])&gt;=11,WORKDAY(Table1[[#This Row],[CORREO]],1,Table2[Dias no laborales]),E2948)</f>
        <v>46262.335416666669</v>
      </c>
      <c r="G2948" s="8">
        <v>46262</v>
      </c>
      <c r="H2948" s="6">
        <f t="shared" si="159"/>
        <v>35</v>
      </c>
      <c r="I2948" s="6">
        <f>MAX(1, NETWORKDAYS(A2948, G2948,Table2[Dias no laborales]))</f>
        <v>1</v>
      </c>
      <c r="J2948" s="6" t="str">
        <f>IF(Table1[[#This Row],[FIN]]="","Acumulado",IF(ISNUMBER(SEARCH("ASAP",C2948)),"ASAP",IF(NETWORKDAYS.INTL(F2948,G2948,1,Table2[Dias no laborales]) &lt;= 7, "Dentro", IF(A2948&gt;F2948,"Programado","Fuera"))))</f>
        <v>Dentro</v>
      </c>
      <c r="K2948" s="6" t="str">
        <f t="shared" si="160"/>
        <v>A tiempo</v>
      </c>
      <c r="L2948" s="8">
        <v>46262</v>
      </c>
      <c r="M2948" s="17">
        <f>MAX(1,NETWORKDAYS(A2948,L2948,Table2[Dias no laborales]))</f>
        <v>1</v>
      </c>
    </row>
    <row r="2949" spans="1:13" hidden="1" x14ac:dyDescent="0.3">
      <c r="A2949" s="8">
        <v>46262</v>
      </c>
      <c r="B2949" s="16" t="s">
        <v>5520</v>
      </c>
      <c r="C2949" s="6" t="s">
        <v>5595</v>
      </c>
      <c r="D2949" s="6" t="s">
        <v>1333</v>
      </c>
      <c r="E2949" s="14"/>
      <c r="F2949" s="25">
        <f>IF(HOUR(Table1[[#This Row],[CORREO]])&gt;=11,WORKDAY(Table1[[#This Row],[CORREO]],1,Table2[Dias no laborales]),E2949)</f>
        <v>0</v>
      </c>
      <c r="G2949" s="8">
        <v>46268</v>
      </c>
      <c r="H2949" s="6">
        <f t="shared" si="159"/>
        <v>35</v>
      </c>
      <c r="I2949" s="6">
        <f>MAX(1, NETWORKDAYS(A2949, G2949,Table2[Dias no laborales]))</f>
        <v>5</v>
      </c>
      <c r="J2949" s="6" t="str">
        <f>IF(Table1[[#This Row],[FIN]]="","Acumulado",IF(ISNUMBER(SEARCH("ASAP",C2949)),"ASAP",IF(NETWORKDAYS.INTL(F2949,G2949,1,Table2[Dias no laborales]) &lt;= 7, "Dentro", IF(A2949&gt;F2949,"Programado","Fuera"))))</f>
        <v>Programado</v>
      </c>
      <c r="K2949" s="6" t="str">
        <f t="shared" si="160"/>
        <v>Programados</v>
      </c>
      <c r="L2949" s="8">
        <v>46262</v>
      </c>
      <c r="M2949" s="17">
        <f>MAX(1,NETWORKDAYS(A2949,L2949,Table2[Dias no laborales]))</f>
        <v>1</v>
      </c>
    </row>
    <row r="2950" spans="1:13" hidden="1" x14ac:dyDescent="0.3">
      <c r="A2950" s="8">
        <v>46262</v>
      </c>
      <c r="B2950" s="16" t="s">
        <v>5521</v>
      </c>
      <c r="C2950" s="6" t="s">
        <v>5596</v>
      </c>
      <c r="D2950" s="6" t="s">
        <v>538</v>
      </c>
      <c r="E2950" s="14">
        <v>46262.387499999997</v>
      </c>
      <c r="F2950" s="25">
        <f>IF(HOUR(Table1[[#This Row],[CORREO]])&gt;=11,WORKDAY(Table1[[#This Row],[CORREO]],1,Table2[Dias no laborales]),E2950)</f>
        <v>46262.387499999997</v>
      </c>
      <c r="G2950" s="8">
        <v>46266</v>
      </c>
      <c r="H2950" s="6">
        <f t="shared" si="159"/>
        <v>35</v>
      </c>
      <c r="I2950" s="6">
        <f>MAX(1, NETWORKDAYS(A2950, G2950,Table2[Dias no laborales]))</f>
        <v>3</v>
      </c>
      <c r="J2950" s="6" t="str">
        <f>IF(Table1[[#This Row],[FIN]]="","Acumulado",IF(ISNUMBER(SEARCH("ASAP",C2950)),"ASAP",IF(NETWORKDAYS.INTL(F2950,G2950,1,Table2[Dias no laborales]) &lt;= 7, "Dentro", IF(A2950&gt;F2950,"Programado","Fuera"))))</f>
        <v>Dentro</v>
      </c>
      <c r="K2950" s="6" t="str">
        <f t="shared" si="160"/>
        <v>A tiempo</v>
      </c>
      <c r="L2950" s="8">
        <v>46262</v>
      </c>
      <c r="M2950" s="17">
        <f>MAX(1,NETWORKDAYS(A2950,L2950,Table2[Dias no laborales]))</f>
        <v>1</v>
      </c>
    </row>
    <row r="2951" spans="1:13" hidden="1" x14ac:dyDescent="0.3">
      <c r="A2951" s="8">
        <v>46262</v>
      </c>
      <c r="B2951" s="16" t="s">
        <v>5522</v>
      </c>
      <c r="C2951" s="6" t="s">
        <v>5597</v>
      </c>
      <c r="D2951" s="6" t="s">
        <v>1333</v>
      </c>
      <c r="E2951" s="14">
        <v>46262.412499999999</v>
      </c>
      <c r="F2951" s="25">
        <f>IF(HOUR(Table1[[#This Row],[CORREO]])&gt;=11,WORKDAY(Table1[[#This Row],[CORREO]],1,Table2[Dias no laborales]),E2951)</f>
        <v>46262.412499999999</v>
      </c>
      <c r="G2951" s="8">
        <v>46269</v>
      </c>
      <c r="H2951" s="6">
        <f t="shared" si="159"/>
        <v>35</v>
      </c>
      <c r="I2951" s="6">
        <f>MAX(1, NETWORKDAYS(A2951, G2951,Table2[Dias no laborales]))</f>
        <v>6</v>
      </c>
      <c r="J2951" s="6" t="str">
        <f>IF(Table1[[#This Row],[FIN]]="","Acumulado",IF(ISNUMBER(SEARCH("ASAP",C2951)),"ASAP",IF(NETWORKDAYS.INTL(F2951,G2951,1,Table2[Dias no laborales]) &lt;= 7, "Dentro", IF(A2951&gt;F2951,"Programado","Fuera"))))</f>
        <v>Dentro</v>
      </c>
      <c r="K2951" s="6" t="str">
        <f t="shared" si="160"/>
        <v>A tiempo</v>
      </c>
      <c r="L2951" s="8">
        <v>46262</v>
      </c>
      <c r="M2951" s="17">
        <f>MAX(1,NETWORKDAYS(A2951,L2951,Table2[Dias no laborales]))</f>
        <v>1</v>
      </c>
    </row>
    <row r="2952" spans="1:13" hidden="1" x14ac:dyDescent="0.3">
      <c r="A2952" s="8">
        <v>46262</v>
      </c>
      <c r="B2952" s="16" t="s">
        <v>5523</v>
      </c>
      <c r="C2952" s="6" t="s">
        <v>5598</v>
      </c>
      <c r="D2952" s="6" t="s">
        <v>269</v>
      </c>
      <c r="E2952" s="14">
        <v>46262.46597222222</v>
      </c>
      <c r="F2952" s="25">
        <f>IF(HOUR(Table1[[#This Row],[CORREO]])&gt;=11,WORKDAY(Table1[[#This Row],[CORREO]],1,Table2[Dias no laborales]),E2952)</f>
        <v>46265</v>
      </c>
      <c r="G2952" s="8">
        <v>46267</v>
      </c>
      <c r="H2952" s="6">
        <f t="shared" si="159"/>
        <v>35</v>
      </c>
      <c r="I2952" s="6">
        <f>MAX(1, NETWORKDAYS(A2952, G2952,Table2[Dias no laborales]))</f>
        <v>4</v>
      </c>
      <c r="J2952" s="6" t="str">
        <f>IF(Table1[[#This Row],[FIN]]="","Acumulado",IF(ISNUMBER(SEARCH("ASAP",C2952)),"ASAP",IF(NETWORKDAYS.INTL(F2952,G2952,1,Table2[Dias no laborales]) &lt;= 7, "Dentro", IF(A2952&gt;F2952,"Programado","Fuera"))))</f>
        <v>Dentro</v>
      </c>
      <c r="K2952" s="6" t="str">
        <f t="shared" si="160"/>
        <v>Mismo día</v>
      </c>
      <c r="L2952" s="8">
        <v>46262</v>
      </c>
      <c r="M2952" s="17">
        <f>MAX(1,NETWORKDAYS(A2952,L2952,Table2[Dias no laborales]))</f>
        <v>1</v>
      </c>
    </row>
    <row r="2953" spans="1:13" hidden="1" x14ac:dyDescent="0.3">
      <c r="A2953" s="8">
        <v>46265</v>
      </c>
      <c r="B2953" s="16" t="s">
        <v>5524</v>
      </c>
      <c r="C2953" s="6" t="s">
        <v>5599</v>
      </c>
      <c r="D2953" s="6" t="s">
        <v>24</v>
      </c>
      <c r="E2953" s="14"/>
      <c r="F2953" s="25">
        <f>IF(HOUR(Table1[[#This Row],[CORREO]])&gt;=11,WORKDAY(Table1[[#This Row],[CORREO]],1,Table2[Dias no laborales]),E2953)</f>
        <v>0</v>
      </c>
      <c r="G2953" s="8">
        <v>46269</v>
      </c>
      <c r="H2953" s="6">
        <f t="shared" si="159"/>
        <v>35</v>
      </c>
      <c r="I2953" s="6">
        <f>MAX(1, NETWORKDAYS(A2953, G2953,Table2[Dias no laborales]))</f>
        <v>5</v>
      </c>
      <c r="J2953" s="6" t="str">
        <f>IF(Table1[[#This Row],[FIN]]="","Acumulado",IF(ISNUMBER(SEARCH("ASAP",C2953)),"ASAP",IF(NETWORKDAYS.INTL(F2953,G2953,1,Table2[Dias no laborales]) &lt;= 7, "Dentro", IF(A2953&gt;F2953,"Programado","Fuera"))))</f>
        <v>Programado</v>
      </c>
      <c r="K2953" s="6" t="str">
        <f t="shared" si="160"/>
        <v>Programados</v>
      </c>
      <c r="L2953" s="8">
        <v>46265</v>
      </c>
      <c r="M2953" s="17">
        <f>MAX(1,NETWORKDAYS(A2953,L2953,Table2[Dias no laborales]))</f>
        <v>1</v>
      </c>
    </row>
    <row r="2954" spans="1:13" hidden="1" x14ac:dyDescent="0.3">
      <c r="A2954" s="8">
        <v>46265</v>
      </c>
      <c r="B2954" s="16" t="s">
        <v>5525</v>
      </c>
      <c r="C2954" s="6" t="s">
        <v>5600</v>
      </c>
      <c r="D2954" s="6" t="s">
        <v>4587</v>
      </c>
      <c r="E2954" s="14">
        <v>46262.530555555553</v>
      </c>
      <c r="F2954" s="25">
        <f>IF(HOUR(Table1[[#This Row],[CORREO]])&gt;=11,WORKDAY(Table1[[#This Row],[CORREO]],1,Table2[Dias no laborales]),E2954)</f>
        <v>46265</v>
      </c>
      <c r="G2954" s="8">
        <v>46266</v>
      </c>
      <c r="H2954" s="6">
        <f t="shared" si="159"/>
        <v>35</v>
      </c>
      <c r="I2954" s="6">
        <f>MAX(1, NETWORKDAYS(A2954, G2954,Table2[Dias no laborales]))</f>
        <v>2</v>
      </c>
      <c r="J2954" s="6" t="str">
        <f>IF(Table1[[#This Row],[FIN]]="","Acumulado",IF(ISNUMBER(SEARCH("ASAP",C2954)),"ASAP",IF(NETWORKDAYS.INTL(F2954,G2954,1,Table2[Dias no laborales]) &lt;= 7, "Dentro", IF(A2954&gt;F2954,"Programado","Fuera"))))</f>
        <v>Dentro</v>
      </c>
      <c r="K2954" s="6" t="str">
        <f t="shared" si="160"/>
        <v>A tiempo</v>
      </c>
      <c r="L2954" s="8">
        <v>46265</v>
      </c>
      <c r="M2954" s="17">
        <f>MAX(1,NETWORKDAYS(A2954,L2954,Table2[Dias no laborales]))</f>
        <v>1</v>
      </c>
    </row>
    <row r="2955" spans="1:13" hidden="1" x14ac:dyDescent="0.3">
      <c r="A2955" s="8">
        <v>46265</v>
      </c>
      <c r="B2955" s="16" t="s">
        <v>5526</v>
      </c>
      <c r="C2955" s="6" t="s">
        <v>5601</v>
      </c>
      <c r="D2955" s="6" t="s">
        <v>3794</v>
      </c>
      <c r="E2955" s="14">
        <v>46262.626388888886</v>
      </c>
      <c r="F2955" s="25">
        <f>IF(HOUR(Table1[[#This Row],[CORREO]])&gt;=11,WORKDAY(Table1[[#This Row],[CORREO]],1,Table2[Dias no laborales]),E2955)</f>
        <v>46265</v>
      </c>
      <c r="G2955" s="8">
        <v>46275</v>
      </c>
      <c r="H2955" s="6">
        <f t="shared" si="159"/>
        <v>35</v>
      </c>
      <c r="I2955" s="6">
        <f>MAX(1, NETWORKDAYS(A2955, G2955,Table2[Dias no laborales]))</f>
        <v>9</v>
      </c>
      <c r="J2955" s="6" t="str">
        <f>IF(Table1[[#This Row],[FIN]]="","Acumulado",IF(ISNUMBER(SEARCH("ASAP",C2955)),"ASAP",IF(NETWORKDAYS.INTL(F2955,G2955,1,Table2[Dias no laborales]) &lt;= 7, "Dentro", IF(A2955&gt;F2955,"Programado","Fuera"))))</f>
        <v>Fuera</v>
      </c>
      <c r="K2955" s="6" t="str">
        <f t="shared" si="160"/>
        <v>A tiempo</v>
      </c>
      <c r="L2955" s="8">
        <v>46265</v>
      </c>
      <c r="M2955" s="17">
        <f>MAX(1,NETWORKDAYS(A2955,L2955,Table2[Dias no laborales]))</f>
        <v>1</v>
      </c>
    </row>
    <row r="2956" spans="1:13" hidden="1" x14ac:dyDescent="0.3">
      <c r="A2956" s="8">
        <v>46265</v>
      </c>
      <c r="B2956" s="16" t="s">
        <v>5527</v>
      </c>
      <c r="C2956" s="6" t="s">
        <v>5602</v>
      </c>
      <c r="D2956" s="6" t="s">
        <v>4553</v>
      </c>
      <c r="E2956" s="14">
        <v>46262.638194444444</v>
      </c>
      <c r="F2956" s="25">
        <f>IF(HOUR(Table1[[#This Row],[CORREO]])&gt;=11,WORKDAY(Table1[[#This Row],[CORREO]],1,Table2[Dias no laborales]),E2956)</f>
        <v>46265</v>
      </c>
      <c r="G2956" s="8">
        <v>46267</v>
      </c>
      <c r="H2956" s="6">
        <f t="shared" si="159"/>
        <v>35</v>
      </c>
      <c r="I2956" s="6">
        <f>MAX(1, NETWORKDAYS(A2956, G2956,Table2[Dias no laborales]))</f>
        <v>3</v>
      </c>
      <c r="J2956" s="6" t="str">
        <f>IF(Table1[[#This Row],[FIN]]="","Acumulado",IF(ISNUMBER(SEARCH("ASAP",C2956)),"ASAP",IF(NETWORKDAYS.INTL(F2956,G2956,1,Table2[Dias no laborales]) &lt;= 7, "Dentro", IF(A2956&gt;F2956,"Programado","Fuera"))))</f>
        <v>Dentro</v>
      </c>
      <c r="K2956" s="6" t="str">
        <f t="shared" si="160"/>
        <v>A tiempo</v>
      </c>
      <c r="L2956" s="8">
        <v>46265</v>
      </c>
      <c r="M2956" s="17">
        <f>MAX(1,NETWORKDAYS(A2956,L2956,Table2[Dias no laborales]))</f>
        <v>1</v>
      </c>
    </row>
    <row r="2957" spans="1:13" hidden="1" x14ac:dyDescent="0.3">
      <c r="A2957" s="8">
        <v>46265</v>
      </c>
      <c r="B2957" s="16" t="s">
        <v>5528</v>
      </c>
      <c r="C2957" s="6" t="s">
        <v>3008</v>
      </c>
      <c r="D2957" s="6" t="s">
        <v>1333</v>
      </c>
      <c r="E2957" s="14">
        <v>46265.305555555555</v>
      </c>
      <c r="F2957" s="25">
        <f>IF(HOUR(Table1[[#This Row],[CORREO]])&gt;=11,WORKDAY(Table1[[#This Row],[CORREO]],1,Table2[Dias no laborales]),E2957)</f>
        <v>46265.305555555555</v>
      </c>
      <c r="G2957" s="8">
        <v>46267</v>
      </c>
      <c r="H2957" s="6">
        <f t="shared" si="159"/>
        <v>35</v>
      </c>
      <c r="I2957" s="6">
        <f>MAX(1, NETWORKDAYS(A2957, G2957,Table2[Dias no laborales]))</f>
        <v>3</v>
      </c>
      <c r="J2957" s="6" t="str">
        <f>IF(Table1[[#This Row],[FIN]]="","Acumulado",IF(ISNUMBER(SEARCH("ASAP",C2957)),"ASAP",IF(NETWORKDAYS.INTL(F2957,G2957,1,Table2[Dias no laborales]) &lt;= 7, "Dentro", IF(A2957&gt;F2957,"Programado","Fuera"))))</f>
        <v>Dentro</v>
      </c>
      <c r="K2957" s="6" t="str">
        <f t="shared" si="160"/>
        <v>A tiempo</v>
      </c>
      <c r="L2957" s="8">
        <v>46265</v>
      </c>
      <c r="M2957" s="17">
        <f>MAX(1,NETWORKDAYS(A2957,L2957,Table2[Dias no laborales]))</f>
        <v>1</v>
      </c>
    </row>
    <row r="2958" spans="1:13" hidden="1" x14ac:dyDescent="0.3">
      <c r="A2958" s="8">
        <v>46265</v>
      </c>
      <c r="B2958" s="16" t="s">
        <v>5529</v>
      </c>
      <c r="C2958" s="6" t="s">
        <v>5603</v>
      </c>
      <c r="D2958" s="6" t="s">
        <v>1176</v>
      </c>
      <c r="E2958" s="14">
        <v>46265.347222222219</v>
      </c>
      <c r="F2958" s="25">
        <f>IF(HOUR(Table1[[#This Row],[CORREO]])&gt;=11,WORKDAY(Table1[[#This Row],[CORREO]],1,Table2[Dias no laborales]),E2958)</f>
        <v>46265.347222222219</v>
      </c>
      <c r="G2958" s="8">
        <v>46266</v>
      </c>
      <c r="H2958" s="6">
        <f t="shared" si="159"/>
        <v>35</v>
      </c>
      <c r="I2958" s="6">
        <f>MAX(1, NETWORKDAYS(A2958, G2958,Table2[Dias no laborales]))</f>
        <v>2</v>
      </c>
      <c r="J2958" s="6" t="str">
        <f>IF(Table1[[#This Row],[FIN]]="","Acumulado",IF(ISNUMBER(SEARCH("ASAP",C2958)),"ASAP",IF(NETWORKDAYS.INTL(F2958,G2958,1,Table2[Dias no laborales]) &lt;= 7, "Dentro", IF(A2958&gt;F2958,"Programado","Fuera"))))</f>
        <v>Dentro</v>
      </c>
      <c r="K2958" s="6" t="str">
        <f t="shared" si="160"/>
        <v>A tiempo</v>
      </c>
      <c r="L2958" s="8">
        <v>46265</v>
      </c>
      <c r="M2958" s="17">
        <f>MAX(1,NETWORKDAYS(A2958,L2958,Table2[Dias no laborales]))</f>
        <v>1</v>
      </c>
    </row>
    <row r="2959" spans="1:13" hidden="1" x14ac:dyDescent="0.3">
      <c r="A2959" s="8">
        <v>46265</v>
      </c>
      <c r="B2959" s="16" t="s">
        <v>5530</v>
      </c>
      <c r="C2959" s="6" t="s">
        <v>5604</v>
      </c>
      <c r="D2959" s="6" t="s">
        <v>61</v>
      </c>
      <c r="E2959" s="14">
        <v>46265.347916666666</v>
      </c>
      <c r="F2959" s="25">
        <f>IF(HOUR(Table1[[#This Row],[CORREO]])&gt;=11,WORKDAY(Table1[[#This Row],[CORREO]],1,Table2[Dias no laborales]),E2959)</f>
        <v>46265.347916666666</v>
      </c>
      <c r="G2959" s="8">
        <v>46266</v>
      </c>
      <c r="H2959" s="6">
        <f t="shared" si="159"/>
        <v>35</v>
      </c>
      <c r="I2959" s="6">
        <f>MAX(1, NETWORKDAYS(A2959, G2959,Table2[Dias no laborales]))</f>
        <v>2</v>
      </c>
      <c r="J2959" s="6" t="str">
        <f>IF(Table1[[#This Row],[FIN]]="","Acumulado",IF(ISNUMBER(SEARCH("ASAP",C2959)),"ASAP",IF(NETWORKDAYS.INTL(F2959,G2959,1,Table2[Dias no laborales]) &lt;= 7, "Dentro", IF(A2959&gt;F2959,"Programado","Fuera"))))</f>
        <v>Dentro</v>
      </c>
      <c r="K2959" s="6" t="str">
        <f t="shared" si="160"/>
        <v>A tiempo</v>
      </c>
      <c r="L2959" s="8">
        <v>46265</v>
      </c>
      <c r="M2959" s="17">
        <f>MAX(1,NETWORKDAYS(A2959,L2959,Table2[Dias no laborales]))</f>
        <v>1</v>
      </c>
    </row>
    <row r="2960" spans="1:13" hidden="1" x14ac:dyDescent="0.3">
      <c r="A2960" s="8">
        <v>46265</v>
      </c>
      <c r="B2960" s="16" t="s">
        <v>5531</v>
      </c>
      <c r="C2960" s="27" t="s">
        <v>4988</v>
      </c>
      <c r="D2960" s="6" t="s">
        <v>392</v>
      </c>
      <c r="E2960" s="14">
        <v>46265.356249999997</v>
      </c>
      <c r="F2960" s="25">
        <f>IF(HOUR(Table1[[#This Row],[CORREO]])&gt;=11,WORKDAY(Table1[[#This Row],[CORREO]],1,Table2[Dias no laborales]),E2960)</f>
        <v>46265.356249999997</v>
      </c>
      <c r="G2960" s="8">
        <v>46266</v>
      </c>
      <c r="H2960" s="6">
        <f t="shared" si="159"/>
        <v>35</v>
      </c>
      <c r="I2960" s="6">
        <f>MAX(1, NETWORKDAYS(A2960, G2960,Table2[Dias no laborales]))</f>
        <v>2</v>
      </c>
      <c r="J2960" s="6" t="str">
        <f>IF(Table1[[#This Row],[FIN]]="","Acumulado",IF(ISNUMBER(SEARCH("ASAP",C2960)),"ASAP",IF(NETWORKDAYS.INTL(F2960,G2960,1,Table2[Dias no laborales]) &lt;= 7, "Dentro", IF(A2960&gt;F2960,"Programado","Fuera"))))</f>
        <v>Dentro</v>
      </c>
      <c r="K2960" s="6" t="str">
        <f t="shared" si="160"/>
        <v>A tiempo</v>
      </c>
      <c r="L2960" s="8">
        <v>46265</v>
      </c>
      <c r="M2960" s="17">
        <f>MAX(1,NETWORKDAYS(A2960,L2960,Table2[Dias no laborales]))</f>
        <v>1</v>
      </c>
    </row>
    <row r="2961" spans="1:13" hidden="1" x14ac:dyDescent="0.3">
      <c r="A2961" s="8">
        <v>46265</v>
      </c>
      <c r="B2961" s="16" t="s">
        <v>5532</v>
      </c>
      <c r="C2961" s="6" t="s">
        <v>5605</v>
      </c>
      <c r="D2961" s="6" t="s">
        <v>3048</v>
      </c>
      <c r="E2961" s="14">
        <v>46265.372916666667</v>
      </c>
      <c r="F2961" s="25">
        <f>IF(HOUR(Table1[[#This Row],[CORREO]])&gt;=11,WORKDAY(Table1[[#This Row],[CORREO]],1,Table2[Dias no laborales]),E2961)</f>
        <v>46265.372916666667</v>
      </c>
      <c r="G2961" s="8">
        <v>46266</v>
      </c>
      <c r="H2961" s="6">
        <f t="shared" si="159"/>
        <v>35</v>
      </c>
      <c r="I2961" s="6">
        <f>MAX(1, NETWORKDAYS(A2961, G2961,Table2[Dias no laborales]))</f>
        <v>2</v>
      </c>
      <c r="J2961" s="6" t="str">
        <f>IF(Table1[[#This Row],[FIN]]="","Acumulado",IF(ISNUMBER(SEARCH("ASAP",C2961)),"ASAP",IF(NETWORKDAYS.INTL(F2961,G2961,1,Table2[Dias no laborales]) &lt;= 7, "Dentro", IF(A2961&gt;F2961,"Programado","Fuera"))))</f>
        <v>Dentro</v>
      </c>
      <c r="K2961" s="6" t="str">
        <f t="shared" si="160"/>
        <v>A tiempo</v>
      </c>
      <c r="L2961" s="8">
        <v>46265</v>
      </c>
      <c r="M2961" s="17">
        <f>MAX(1,NETWORKDAYS(A2961,L2961,Table2[Dias no laborales]))</f>
        <v>1</v>
      </c>
    </row>
    <row r="2962" spans="1:13" hidden="1" x14ac:dyDescent="0.3">
      <c r="A2962" s="8">
        <v>46265</v>
      </c>
      <c r="B2962" s="16" t="s">
        <v>5533</v>
      </c>
      <c r="C2962" s="6" t="s">
        <v>5606</v>
      </c>
      <c r="D2962" s="6" t="s">
        <v>24</v>
      </c>
      <c r="E2962" s="14"/>
      <c r="F2962" s="25">
        <f>IF(HOUR(Table1[[#This Row],[CORREO]])&gt;=11,WORKDAY(Table1[[#This Row],[CORREO]],1,Table2[Dias no laborales]),E2962)</f>
        <v>0</v>
      </c>
      <c r="G2962" s="8">
        <v>46266</v>
      </c>
      <c r="H2962" s="6">
        <f t="shared" ref="H2962:H2993" si="161">INT((A2962-DATE(YEAR(A2962),1,1))/7) + 1</f>
        <v>35</v>
      </c>
      <c r="I2962" s="6">
        <f>MAX(1, NETWORKDAYS(A2962, G2962,Table2[Dias no laborales]))</f>
        <v>2</v>
      </c>
      <c r="J2962" s="6" t="str">
        <f>IF(Table1[[#This Row],[FIN]]="","Acumulado",IF(ISNUMBER(SEARCH("ASAP",C2962)),"ASAP",IF(NETWORKDAYS.INTL(F2962,G2962,1,Table2[Dias no laborales]) &lt;= 7, "Dentro", IF(A2962&gt;F2962,"Programado","Fuera"))))</f>
        <v>Programado</v>
      </c>
      <c r="K2962" s="6" t="str">
        <f t="shared" ref="K2962:K2993" si="162">IF(INT(A2962)=INT(F2962),"A tiempo", IF(A2962&lt;F2962,"Mismo día","Programados"))</f>
        <v>Programados</v>
      </c>
      <c r="L2962" s="8">
        <v>46265</v>
      </c>
      <c r="M2962" s="17">
        <f>MAX(1,NETWORKDAYS(A2962,L2962,Table2[Dias no laborales]))</f>
        <v>1</v>
      </c>
    </row>
    <row r="2963" spans="1:13" hidden="1" x14ac:dyDescent="0.3">
      <c r="A2963" s="8">
        <v>46266</v>
      </c>
      <c r="B2963" s="16" t="s">
        <v>5534</v>
      </c>
      <c r="C2963" s="6" t="s">
        <v>4952</v>
      </c>
      <c r="D2963" s="6" t="s">
        <v>24</v>
      </c>
      <c r="E2963" s="14">
        <v>46265.477777777778</v>
      </c>
      <c r="F2963" s="25">
        <f>IF(HOUR(Table1[[#This Row],[CORREO]])&gt;=11,WORKDAY(Table1[[#This Row],[CORREO]],1,Table2[Dias no laborales]),E2963)</f>
        <v>46266</v>
      </c>
      <c r="G2963" s="8">
        <v>46272</v>
      </c>
      <c r="H2963" s="6">
        <f t="shared" si="161"/>
        <v>35</v>
      </c>
      <c r="I2963" s="6">
        <f>MAX(1, NETWORKDAYS(A2963, G2963,Table2[Dias no laborales]))</f>
        <v>5</v>
      </c>
      <c r="J2963" s="6" t="str">
        <f>IF(Table1[[#This Row],[FIN]]="","Acumulado",IF(ISNUMBER(SEARCH("ASAP",C2963)),"ASAP",IF(NETWORKDAYS.INTL(F2963,G2963,1,Table2[Dias no laborales]) &lt;= 7, "Dentro", IF(A2963&gt;F2963,"Programado","Fuera"))))</f>
        <v>Dentro</v>
      </c>
      <c r="K2963" s="6" t="str">
        <f t="shared" si="162"/>
        <v>A tiempo</v>
      </c>
      <c r="L2963" s="8">
        <v>46266</v>
      </c>
      <c r="M2963" s="17">
        <f>MAX(1,NETWORKDAYS(A2963,L2963,Table2[Dias no laborales]))</f>
        <v>1</v>
      </c>
    </row>
    <row r="2964" spans="1:13" hidden="1" x14ac:dyDescent="0.3">
      <c r="A2964" s="8">
        <v>46266</v>
      </c>
      <c r="B2964" s="16" t="s">
        <v>5535</v>
      </c>
      <c r="C2964" s="6" t="s">
        <v>5607</v>
      </c>
      <c r="D2964" s="6" t="s">
        <v>3837</v>
      </c>
      <c r="E2964" s="14">
        <v>46265.538888888892</v>
      </c>
      <c r="F2964" s="25">
        <f>IF(HOUR(Table1[[#This Row],[CORREO]])&gt;=11,WORKDAY(Table1[[#This Row],[CORREO]],1,Table2[Dias no laborales]),E2964)</f>
        <v>46266</v>
      </c>
      <c r="G2964" s="8">
        <v>46267</v>
      </c>
      <c r="H2964" s="6">
        <f t="shared" si="161"/>
        <v>35</v>
      </c>
      <c r="I2964" s="6">
        <f>MAX(1, NETWORKDAYS(A2964, G2964,Table2[Dias no laborales]))</f>
        <v>2</v>
      </c>
      <c r="J2964" s="6" t="str">
        <f>IF(Table1[[#This Row],[FIN]]="","Acumulado",IF(ISNUMBER(SEARCH("ASAP",C2964)),"ASAP",IF(NETWORKDAYS.INTL(F2964,G2964,1,Table2[Dias no laborales]) &lt;= 7, "Dentro", IF(A2964&gt;F2964,"Programado","Fuera"))))</f>
        <v>Dentro</v>
      </c>
      <c r="K2964" s="6" t="str">
        <f t="shared" si="162"/>
        <v>A tiempo</v>
      </c>
      <c r="L2964" s="8">
        <v>46266</v>
      </c>
      <c r="M2964" s="17">
        <f>MAX(1,NETWORKDAYS(A2964,L2964,Table2[Dias no laborales]))</f>
        <v>1</v>
      </c>
    </row>
    <row r="2965" spans="1:13" hidden="1" x14ac:dyDescent="0.3">
      <c r="A2965" s="8">
        <v>46266</v>
      </c>
      <c r="B2965" s="16" t="s">
        <v>5536</v>
      </c>
      <c r="C2965" s="6" t="s">
        <v>5608</v>
      </c>
      <c r="D2965" s="6" t="s">
        <v>4553</v>
      </c>
      <c r="E2965" s="14">
        <v>46265.490277777775</v>
      </c>
      <c r="F2965" s="25">
        <f>IF(HOUR(Table1[[#This Row],[CORREO]])&gt;=11,WORKDAY(Table1[[#This Row],[CORREO]],1,Table2[Dias no laborales]),E2965)</f>
        <v>46266</v>
      </c>
      <c r="G2965" s="8">
        <v>46268</v>
      </c>
      <c r="H2965" s="6">
        <f t="shared" si="161"/>
        <v>35</v>
      </c>
      <c r="I2965" s="6">
        <f>MAX(1, NETWORKDAYS(A2965, G2965,Table2[Dias no laborales]))</f>
        <v>3</v>
      </c>
      <c r="J2965" s="6" t="str">
        <f>IF(Table1[[#This Row],[FIN]]="","Acumulado",IF(ISNUMBER(SEARCH("ASAP",C2965)),"ASAP",IF(NETWORKDAYS.INTL(F2965,G2965,1,Table2[Dias no laborales]) &lt;= 7, "Dentro", IF(A2965&gt;F2965,"Programado","Fuera"))))</f>
        <v>Dentro</v>
      </c>
      <c r="K2965" s="6" t="str">
        <f t="shared" si="162"/>
        <v>A tiempo</v>
      </c>
      <c r="L2965" s="8">
        <v>46266</v>
      </c>
      <c r="M2965" s="17">
        <f>MAX(1,NETWORKDAYS(A2965,L2965,Table2[Dias no laborales]))</f>
        <v>1</v>
      </c>
    </row>
    <row r="2966" spans="1:13" hidden="1" x14ac:dyDescent="0.3">
      <c r="A2966" s="8">
        <v>46266</v>
      </c>
      <c r="B2966" s="16" t="s">
        <v>5537</v>
      </c>
      <c r="C2966" s="6" t="s">
        <v>5609</v>
      </c>
      <c r="D2966" s="6" t="s">
        <v>1540</v>
      </c>
      <c r="E2966" s="14">
        <v>46265.617361111108</v>
      </c>
      <c r="F2966" s="25">
        <f>IF(HOUR(Table1[[#This Row],[CORREO]])&gt;=11,WORKDAY(Table1[[#This Row],[CORREO]],1,Table2[Dias no laborales]),E2966)</f>
        <v>46266</v>
      </c>
      <c r="G2966" s="8">
        <v>46266</v>
      </c>
      <c r="H2966" s="6">
        <f t="shared" si="161"/>
        <v>35</v>
      </c>
      <c r="I2966" s="6">
        <f>MAX(1, NETWORKDAYS(A2966, G2966,Table2[Dias no laborales]))</f>
        <v>1</v>
      </c>
      <c r="J2966" s="6" t="str">
        <f>IF(Table1[[#This Row],[FIN]]="","Acumulado",IF(ISNUMBER(SEARCH("ASAP",C2966)),"ASAP",IF(NETWORKDAYS.INTL(F2966,G2966,1,Table2[Dias no laborales]) &lt;= 7, "Dentro", IF(A2966&gt;F2966,"Programado","Fuera"))))</f>
        <v>Dentro</v>
      </c>
      <c r="K2966" s="6" t="str">
        <f t="shared" si="162"/>
        <v>A tiempo</v>
      </c>
      <c r="L2966" s="8">
        <v>46266</v>
      </c>
      <c r="M2966" s="17">
        <f>MAX(1,NETWORKDAYS(A2966,L2966,Table2[Dias no laborales]))</f>
        <v>1</v>
      </c>
    </row>
    <row r="2967" spans="1:13" hidden="1" x14ac:dyDescent="0.3">
      <c r="A2967" s="8">
        <v>46266</v>
      </c>
      <c r="B2967" s="16" t="s">
        <v>5538</v>
      </c>
      <c r="C2967" s="6" t="s">
        <v>5610</v>
      </c>
      <c r="D2967" s="6" t="s">
        <v>5611</v>
      </c>
      <c r="E2967" s="14"/>
      <c r="F2967" s="25">
        <f>IF(HOUR(Table1[[#This Row],[CORREO]])&gt;=11,WORKDAY(Table1[[#This Row],[CORREO]],1,Table2[Dias no laborales]),E2967)</f>
        <v>0</v>
      </c>
      <c r="G2967" s="8">
        <v>46266</v>
      </c>
      <c r="H2967" s="6">
        <f t="shared" si="161"/>
        <v>35</v>
      </c>
      <c r="I2967" s="6">
        <f>MAX(1, NETWORKDAYS(A2967, G2967,Table2[Dias no laborales]))</f>
        <v>1</v>
      </c>
      <c r="J2967" s="6" t="str">
        <f>IF(Table1[[#This Row],[FIN]]="","Acumulado",IF(ISNUMBER(SEARCH("ASAP",C2967)),"ASAP",IF(NETWORKDAYS.INTL(F2967,G2967,1,Table2[Dias no laborales]) &lt;= 7, "Dentro", IF(A2967&gt;F2967,"Programado","Fuera"))))</f>
        <v>Programado</v>
      </c>
      <c r="K2967" s="6" t="str">
        <f t="shared" si="162"/>
        <v>Programados</v>
      </c>
      <c r="L2967" s="8">
        <v>46266</v>
      </c>
      <c r="M2967" s="17">
        <f>MAX(1,NETWORKDAYS(A2967,L2967,Table2[Dias no laborales]))</f>
        <v>1</v>
      </c>
    </row>
    <row r="2968" spans="1:13" hidden="1" x14ac:dyDescent="0.3">
      <c r="A2968" s="8">
        <v>46266</v>
      </c>
      <c r="B2968" s="16" t="s">
        <v>5539</v>
      </c>
      <c r="C2968" s="6" t="s">
        <v>3651</v>
      </c>
      <c r="D2968" s="6" t="s">
        <v>1333</v>
      </c>
      <c r="E2968" s="14">
        <v>46266.309027777781</v>
      </c>
      <c r="F2968" s="25">
        <f>IF(HOUR(Table1[[#This Row],[CORREO]])&gt;=11,WORKDAY(Table1[[#This Row],[CORREO]],1,Table2[Dias no laborales]),E2968)</f>
        <v>46266.309027777781</v>
      </c>
      <c r="G2968" s="8">
        <v>46267</v>
      </c>
      <c r="H2968" s="6">
        <f t="shared" si="161"/>
        <v>35</v>
      </c>
      <c r="I2968" s="6">
        <f>MAX(1, NETWORKDAYS(A2968, G2968,Table2[Dias no laborales]))</f>
        <v>2</v>
      </c>
      <c r="J2968" s="6" t="str">
        <f>IF(Table1[[#This Row],[FIN]]="","Acumulado",IF(ISNUMBER(SEARCH("ASAP",C2968)),"ASAP",IF(NETWORKDAYS.INTL(F2968,G2968,1,Table2[Dias no laborales]) &lt;= 7, "Dentro", IF(A2968&gt;F2968,"Programado","Fuera"))))</f>
        <v>Dentro</v>
      </c>
      <c r="K2968" s="6" t="str">
        <f t="shared" si="162"/>
        <v>A tiempo</v>
      </c>
      <c r="L2968" s="8">
        <v>46266</v>
      </c>
      <c r="M2968" s="17">
        <f>MAX(1,NETWORKDAYS(A2968,L2968,Table2[Dias no laborales]))</f>
        <v>1</v>
      </c>
    </row>
    <row r="2969" spans="1:13" hidden="1" x14ac:dyDescent="0.3">
      <c r="A2969" s="8">
        <v>46266</v>
      </c>
      <c r="B2969" s="16" t="s">
        <v>5540</v>
      </c>
      <c r="C2969" s="6" t="s">
        <v>5612</v>
      </c>
      <c r="D2969" s="6" t="s">
        <v>392</v>
      </c>
      <c r="E2969" s="14">
        <v>46266.338888888888</v>
      </c>
      <c r="F2969" s="25">
        <f>IF(HOUR(Table1[[#This Row],[CORREO]])&gt;=11,WORKDAY(Table1[[#This Row],[CORREO]],1,Table2[Dias no laborales]),E2969)</f>
        <v>46266.338888888888</v>
      </c>
      <c r="G2969" s="8">
        <v>46266</v>
      </c>
      <c r="H2969" s="6">
        <f t="shared" si="161"/>
        <v>35</v>
      </c>
      <c r="I2969" s="6">
        <f>MAX(1, NETWORKDAYS(A2969, G2969,Table2[Dias no laborales]))</f>
        <v>1</v>
      </c>
      <c r="J2969" s="6" t="str">
        <f>IF(Table1[[#This Row],[FIN]]="","Acumulado",IF(ISNUMBER(SEARCH("ASAP",C2969)),"ASAP",IF(NETWORKDAYS.INTL(F2969,G2969,1,Table2[Dias no laborales]) &lt;= 7, "Dentro", IF(A2969&gt;F2969,"Programado","Fuera"))))</f>
        <v>Dentro</v>
      </c>
      <c r="K2969" s="6" t="str">
        <f t="shared" si="162"/>
        <v>A tiempo</v>
      </c>
      <c r="L2969" s="8">
        <v>46266</v>
      </c>
      <c r="M2969" s="17">
        <f>MAX(1,NETWORKDAYS(A2969,L2969,Table2[Dias no laborales]))</f>
        <v>1</v>
      </c>
    </row>
    <row r="2970" spans="1:13" hidden="1" x14ac:dyDescent="0.3">
      <c r="A2970" s="8">
        <v>46266</v>
      </c>
      <c r="B2970" s="16" t="s">
        <v>5541</v>
      </c>
      <c r="C2970" s="6" t="s">
        <v>3008</v>
      </c>
      <c r="D2970" s="6" t="s">
        <v>1333</v>
      </c>
      <c r="E2970" s="14">
        <v>46266.362500000003</v>
      </c>
      <c r="F2970" s="25">
        <f>IF(HOUR(Table1[[#This Row],[CORREO]])&gt;=11,WORKDAY(Table1[[#This Row],[CORREO]],1,Table2[Dias no laborales]),E2970)</f>
        <v>46266.362500000003</v>
      </c>
      <c r="G2970" s="8">
        <v>46267</v>
      </c>
      <c r="H2970" s="6">
        <f t="shared" si="161"/>
        <v>35</v>
      </c>
      <c r="I2970" s="6">
        <f>MAX(1, NETWORKDAYS(A2970, G2970,Table2[Dias no laborales]))</f>
        <v>2</v>
      </c>
      <c r="J2970" s="6" t="str">
        <f>IF(Table1[[#This Row],[FIN]]="","Acumulado",IF(ISNUMBER(SEARCH("ASAP",C2970)),"ASAP",IF(NETWORKDAYS.INTL(F2970,G2970,1,Table2[Dias no laborales]) &lt;= 7, "Dentro", IF(A2970&gt;F2970,"Programado","Fuera"))))</f>
        <v>Dentro</v>
      </c>
      <c r="K2970" s="6" t="str">
        <f t="shared" si="162"/>
        <v>A tiempo</v>
      </c>
      <c r="L2970" s="8">
        <v>46266</v>
      </c>
      <c r="M2970" s="17">
        <f>MAX(1,NETWORKDAYS(A2970,L2970,Table2[Dias no laborales]))</f>
        <v>1</v>
      </c>
    </row>
    <row r="2971" spans="1:13" hidden="1" x14ac:dyDescent="0.3">
      <c r="A2971" s="8">
        <v>46266</v>
      </c>
      <c r="B2971" s="16" t="s">
        <v>5542</v>
      </c>
      <c r="C2971" s="6" t="s">
        <v>5613</v>
      </c>
      <c r="D2971" s="6" t="s">
        <v>61</v>
      </c>
      <c r="E2971" s="14">
        <v>46266.398611111108</v>
      </c>
      <c r="F2971" s="25">
        <f>IF(HOUR(Table1[[#This Row],[CORREO]])&gt;=11,WORKDAY(Table1[[#This Row],[CORREO]],1,Table2[Dias no laborales]),E2971)</f>
        <v>46266.398611111108</v>
      </c>
      <c r="G2971" s="8">
        <v>46266</v>
      </c>
      <c r="H2971" s="6">
        <f t="shared" si="161"/>
        <v>35</v>
      </c>
      <c r="I2971" s="6">
        <f>MAX(1, NETWORKDAYS(A2971, G2971,Table2[Dias no laborales]))</f>
        <v>1</v>
      </c>
      <c r="J2971" s="6" t="str">
        <f>IF(Table1[[#This Row],[FIN]]="","Acumulado",IF(ISNUMBER(SEARCH("ASAP",C2971)),"ASAP",IF(NETWORKDAYS.INTL(F2971,G2971,1,Table2[Dias no laborales]) &lt;= 7, "Dentro", IF(A2971&gt;F2971,"Programado","Fuera"))))</f>
        <v>Dentro</v>
      </c>
      <c r="K2971" s="6" t="str">
        <f t="shared" si="162"/>
        <v>A tiempo</v>
      </c>
      <c r="L2971" s="8">
        <v>46266</v>
      </c>
      <c r="M2971" s="17">
        <f>MAX(1,NETWORKDAYS(A2971,L2971,Table2[Dias no laborales]))</f>
        <v>1</v>
      </c>
    </row>
    <row r="2972" spans="1:13" hidden="1" x14ac:dyDescent="0.3">
      <c r="A2972" s="8">
        <v>46266</v>
      </c>
      <c r="B2972" s="16" t="s">
        <v>5543</v>
      </c>
      <c r="C2972" s="6" t="s">
        <v>5614</v>
      </c>
      <c r="D2972" s="6" t="s">
        <v>27</v>
      </c>
      <c r="E2972" s="14">
        <v>46266.401388888888</v>
      </c>
      <c r="F2972" s="25">
        <f>IF(HOUR(Table1[[#This Row],[CORREO]])&gt;=11,WORKDAY(Table1[[#This Row],[CORREO]],1,Table2[Dias no laborales]),E2972)</f>
        <v>46266.401388888888</v>
      </c>
      <c r="G2972" s="8">
        <v>46266</v>
      </c>
      <c r="H2972" s="6">
        <f t="shared" si="161"/>
        <v>35</v>
      </c>
      <c r="I2972" s="6">
        <f>MAX(1, NETWORKDAYS(A2972, G2972,Table2[Dias no laborales]))</f>
        <v>1</v>
      </c>
      <c r="J2972" s="6" t="str">
        <f>IF(Table1[[#This Row],[FIN]]="","Acumulado",IF(ISNUMBER(SEARCH("ASAP",C2972)),"ASAP",IF(NETWORKDAYS.INTL(F2972,G2972,1,Table2[Dias no laborales]) &lt;= 7, "Dentro", IF(A2972&gt;F2972,"Programado","Fuera"))))</f>
        <v>Dentro</v>
      </c>
      <c r="K2972" s="6" t="str">
        <f t="shared" si="162"/>
        <v>A tiempo</v>
      </c>
      <c r="L2972" s="8">
        <v>46266</v>
      </c>
      <c r="M2972" s="17">
        <f>MAX(1,NETWORKDAYS(A2972,L2972,Table2[Dias no laborales]))</f>
        <v>1</v>
      </c>
    </row>
    <row r="2973" spans="1:13" hidden="1" x14ac:dyDescent="0.3">
      <c r="A2973" s="8">
        <v>46266</v>
      </c>
      <c r="B2973" s="16" t="s">
        <v>5544</v>
      </c>
      <c r="C2973" s="6" t="s">
        <v>5615</v>
      </c>
      <c r="D2973" s="6" t="s">
        <v>61</v>
      </c>
      <c r="E2973" s="14">
        <v>46266.521527777775</v>
      </c>
      <c r="F2973" s="25">
        <f>IF(HOUR(Table1[[#This Row],[CORREO]])&gt;=11,WORKDAY(Table1[[#This Row],[CORREO]],1,Table2[Dias no laborales]),E2973)</f>
        <v>46267</v>
      </c>
      <c r="G2973" s="8">
        <v>46266</v>
      </c>
      <c r="H2973" s="6">
        <f t="shared" si="161"/>
        <v>35</v>
      </c>
      <c r="I2973" s="6">
        <f>MAX(1, NETWORKDAYS(A2973, G2973,Table2[Dias no laborales]))</f>
        <v>1</v>
      </c>
      <c r="J2973" s="6" t="str">
        <f>IF(Table1[[#This Row],[FIN]]="","Acumulado",IF(ISNUMBER(SEARCH("ASAP",C2973)),"ASAP",IF(NETWORKDAYS.INTL(F2973,G2973,1,Table2[Dias no laborales]) &lt;= 7, "Dentro", IF(A2973&gt;F2973,"Programado","Fuera"))))</f>
        <v>Dentro</v>
      </c>
      <c r="K2973" s="6" t="str">
        <f t="shared" si="162"/>
        <v>Mismo día</v>
      </c>
      <c r="L2973" s="8">
        <v>46266</v>
      </c>
      <c r="M2973" s="17">
        <f>MAX(1,NETWORKDAYS(A2973,L2973,Table2[Dias no laborales]))</f>
        <v>1</v>
      </c>
    </row>
    <row r="2974" spans="1:13" hidden="1" x14ac:dyDescent="0.3">
      <c r="A2974" s="8">
        <v>46266</v>
      </c>
      <c r="B2974" s="16" t="s">
        <v>5545</v>
      </c>
      <c r="C2974" s="6" t="s">
        <v>5616</v>
      </c>
      <c r="D2974" s="6" t="s">
        <v>1333</v>
      </c>
      <c r="E2974" s="14">
        <v>46266.356944444444</v>
      </c>
      <c r="F2974" s="25">
        <f>IF(HOUR(Table1[[#This Row],[CORREO]])&gt;=11,WORKDAY(Table1[[#This Row],[CORREO]],1,Table2[Dias no laborales]),E2974)</f>
        <v>46266.356944444444</v>
      </c>
      <c r="G2974" s="8">
        <v>46269</v>
      </c>
      <c r="H2974" s="6">
        <f t="shared" si="161"/>
        <v>35</v>
      </c>
      <c r="I2974" s="6">
        <f>MAX(1, NETWORKDAYS(A2974, G2974,Table2[Dias no laborales]))</f>
        <v>4</v>
      </c>
      <c r="J2974" s="6" t="str">
        <f>IF(Table1[[#This Row],[FIN]]="","Acumulado",IF(ISNUMBER(SEARCH("ASAP",C2974)),"ASAP",IF(NETWORKDAYS.INTL(F2974,G2974,1,Table2[Dias no laborales]) &lt;= 7, "Dentro", IF(A2974&gt;F2974,"Programado","Fuera"))))</f>
        <v>Dentro</v>
      </c>
      <c r="K2974" s="6" t="str">
        <f t="shared" si="162"/>
        <v>A tiempo</v>
      </c>
      <c r="L2974" s="8">
        <v>46266</v>
      </c>
      <c r="M2974" s="17">
        <f>MAX(1,NETWORKDAYS(A2974,L2974,Table2[Dias no laborales]))</f>
        <v>1</v>
      </c>
    </row>
    <row r="2975" spans="1:13" hidden="1" x14ac:dyDescent="0.3">
      <c r="A2975" s="8">
        <v>46266</v>
      </c>
      <c r="B2975" s="16" t="s">
        <v>5546</v>
      </c>
      <c r="C2975" s="6" t="s">
        <v>5617</v>
      </c>
      <c r="D2975" s="6" t="s">
        <v>269</v>
      </c>
      <c r="E2975" s="14">
        <v>46266.426388888889</v>
      </c>
      <c r="F2975" s="25">
        <f>IF(HOUR(Table1[[#This Row],[CORREO]])&gt;=11,WORKDAY(Table1[[#This Row],[CORREO]],1,Table2[Dias no laborales]),E2975)</f>
        <v>46266.426388888889</v>
      </c>
      <c r="G2975" s="8">
        <v>46267</v>
      </c>
      <c r="H2975" s="6">
        <f t="shared" si="161"/>
        <v>35</v>
      </c>
      <c r="I2975" s="6">
        <f>MAX(1, NETWORKDAYS(A2975, G2975,Table2[Dias no laborales]))</f>
        <v>2</v>
      </c>
      <c r="J2975" s="6" t="str">
        <f>IF(Table1[[#This Row],[FIN]]="","Acumulado",IF(ISNUMBER(SEARCH("ASAP",C2975)),"ASAP",IF(NETWORKDAYS.INTL(F2975,G2975,1,Table2[Dias no laborales]) &lt;= 7, "Dentro", IF(A2975&gt;F2975,"Programado","Fuera"))))</f>
        <v>Dentro</v>
      </c>
      <c r="K2975" s="6" t="str">
        <f t="shared" si="162"/>
        <v>A tiempo</v>
      </c>
      <c r="L2975" s="8">
        <v>46266</v>
      </c>
      <c r="M2975" s="17">
        <f>MAX(1,NETWORKDAYS(A2975,L2975,Table2[Dias no laborales]))</f>
        <v>1</v>
      </c>
    </row>
    <row r="2976" spans="1:13" hidden="1" x14ac:dyDescent="0.3">
      <c r="A2976" s="8">
        <v>46266</v>
      </c>
      <c r="B2976" s="16" t="s">
        <v>5547</v>
      </c>
      <c r="C2976" s="6" t="s">
        <v>5618</v>
      </c>
      <c r="D2976" s="6" t="s">
        <v>24</v>
      </c>
      <c r="E2976" s="14">
        <v>46266.427083333336</v>
      </c>
      <c r="F2976" s="25">
        <f>IF(HOUR(Table1[[#This Row],[CORREO]])&gt;=11,WORKDAY(Table1[[#This Row],[CORREO]],1,Table2[Dias no laborales]),E2976)</f>
        <v>46266.427083333336</v>
      </c>
      <c r="G2976" s="8">
        <v>46274</v>
      </c>
      <c r="H2976" s="6">
        <f t="shared" si="161"/>
        <v>35</v>
      </c>
      <c r="I2976" s="6">
        <f>MAX(1, NETWORKDAYS(A2976, G2976,Table2[Dias no laborales]))</f>
        <v>7</v>
      </c>
      <c r="J2976" s="6" t="str">
        <f>IF(Table1[[#This Row],[FIN]]="","Acumulado",IF(ISNUMBER(SEARCH("ASAP",C2976)),"ASAP",IF(NETWORKDAYS.INTL(F2976,G2976,1,Table2[Dias no laborales]) &lt;= 7, "Dentro", IF(A2976&gt;F2976,"Programado","Fuera"))))</f>
        <v>Dentro</v>
      </c>
      <c r="K2976" s="6" t="str">
        <f t="shared" si="162"/>
        <v>A tiempo</v>
      </c>
      <c r="L2976" s="8">
        <v>46266</v>
      </c>
      <c r="M2976" s="17">
        <f>MAX(1,NETWORKDAYS(A2976,L2976,Table2[Dias no laborales]))</f>
        <v>1</v>
      </c>
    </row>
    <row r="2977" spans="1:13" hidden="1" x14ac:dyDescent="0.3">
      <c r="A2977" s="8">
        <v>46267</v>
      </c>
      <c r="B2977" s="16" t="s">
        <v>5548</v>
      </c>
      <c r="C2977" s="6" t="s">
        <v>5619</v>
      </c>
      <c r="D2977" s="6" t="s">
        <v>3845</v>
      </c>
      <c r="E2977" s="14">
        <v>46267.310416666667</v>
      </c>
      <c r="F2977" s="25">
        <f>IF(HOUR(Table1[[#This Row],[CORREO]])&gt;=11,WORKDAY(Table1[[#This Row],[CORREO]],1,Table2[Dias no laborales]),E2977)</f>
        <v>46267.310416666667</v>
      </c>
      <c r="G2977" s="8">
        <v>46267</v>
      </c>
      <c r="H2977" s="6">
        <f t="shared" si="161"/>
        <v>35</v>
      </c>
      <c r="I2977" s="6">
        <f>MAX(1, NETWORKDAYS(A2977, G2977,Table2[Dias no laborales]))</f>
        <v>1</v>
      </c>
      <c r="J2977" s="6" t="str">
        <f>IF(Table1[[#This Row],[FIN]]="","Acumulado",IF(ISNUMBER(SEARCH("ASAP",C2977)),"ASAP",IF(NETWORKDAYS.INTL(F2977,G2977,1,Table2[Dias no laborales]) &lt;= 7, "Dentro", IF(A2977&gt;F2977,"Programado","Fuera"))))</f>
        <v>Dentro</v>
      </c>
      <c r="K2977" s="6" t="str">
        <f t="shared" si="162"/>
        <v>A tiempo</v>
      </c>
      <c r="L2977" s="8">
        <v>46267</v>
      </c>
      <c r="M2977" s="17">
        <f>MAX(1,NETWORKDAYS(A2977,L2977,Table2[Dias no laborales]))</f>
        <v>1</v>
      </c>
    </row>
    <row r="2978" spans="1:13" hidden="1" x14ac:dyDescent="0.3">
      <c r="A2978" s="8">
        <v>46267</v>
      </c>
      <c r="B2978" s="16" t="s">
        <v>5549</v>
      </c>
      <c r="C2978" s="6" t="s">
        <v>5620</v>
      </c>
      <c r="D2978" s="6" t="s">
        <v>2623</v>
      </c>
      <c r="E2978" s="14">
        <v>46266.729166666664</v>
      </c>
      <c r="F2978" s="25">
        <f>IF(HOUR(Table1[[#This Row],[CORREO]])&gt;=11,WORKDAY(Table1[[#This Row],[CORREO]],1,Table2[Dias no laborales]),E2978)</f>
        <v>46267</v>
      </c>
      <c r="G2978" s="8">
        <v>46267</v>
      </c>
      <c r="H2978" s="6">
        <f t="shared" si="161"/>
        <v>35</v>
      </c>
      <c r="I2978" s="6">
        <f>MAX(1, NETWORKDAYS(A2978, G2978,Table2[Dias no laborales]))</f>
        <v>1</v>
      </c>
      <c r="J2978" s="6" t="str">
        <f>IF(Table1[[#This Row],[FIN]]="","Acumulado",IF(ISNUMBER(SEARCH("ASAP",C2978)),"ASAP",IF(NETWORKDAYS.INTL(F2978,G2978,1,Table2[Dias no laborales]) &lt;= 7, "Dentro", IF(A2978&gt;F2978,"Programado","Fuera"))))</f>
        <v>Dentro</v>
      </c>
      <c r="K2978" s="6" t="str">
        <f t="shared" si="162"/>
        <v>A tiempo</v>
      </c>
      <c r="L2978" s="8">
        <v>46267</v>
      </c>
      <c r="M2978" s="17">
        <f>MAX(1,NETWORKDAYS(A2978,L2978,Table2[Dias no laborales]))</f>
        <v>1</v>
      </c>
    </row>
    <row r="2979" spans="1:13" hidden="1" x14ac:dyDescent="0.3">
      <c r="A2979" s="8">
        <v>46267</v>
      </c>
      <c r="B2979" s="16" t="s">
        <v>5550</v>
      </c>
      <c r="C2979" s="6" t="s">
        <v>5621</v>
      </c>
      <c r="D2979" s="6" t="s">
        <v>24</v>
      </c>
      <c r="E2979" s="14"/>
      <c r="F2979" s="25">
        <f>IF(HOUR(Table1[[#This Row],[CORREO]])&gt;=11,WORKDAY(Table1[[#This Row],[CORREO]],1,Table2[Dias no laborales]),E2979)</f>
        <v>0</v>
      </c>
      <c r="G2979" s="8">
        <v>46272</v>
      </c>
      <c r="H2979" s="6">
        <f t="shared" si="161"/>
        <v>35</v>
      </c>
      <c r="I2979" s="6">
        <f>MAX(1, NETWORKDAYS(A2979, G2979,Table2[Dias no laborales]))</f>
        <v>4</v>
      </c>
      <c r="J2979" s="6" t="str">
        <f>IF(Table1[[#This Row],[FIN]]="","Acumulado",IF(ISNUMBER(SEARCH("ASAP",C2979)),"ASAP",IF(NETWORKDAYS.INTL(F2979,G2979,1,Table2[Dias no laborales]) &lt;= 7, "Dentro", IF(A2979&gt;F2979,"Programado","Fuera"))))</f>
        <v>Programado</v>
      </c>
      <c r="K2979" s="6" t="str">
        <f t="shared" si="162"/>
        <v>Programados</v>
      </c>
      <c r="L2979" s="8">
        <v>46267</v>
      </c>
      <c r="M2979" s="17">
        <f>MAX(1,NETWORKDAYS(A2979,L2979,Table2[Dias no laborales]))</f>
        <v>1</v>
      </c>
    </row>
    <row r="2980" spans="1:13" hidden="1" x14ac:dyDescent="0.3">
      <c r="A2980" s="8">
        <v>46267</v>
      </c>
      <c r="B2980" s="16" t="s">
        <v>5551</v>
      </c>
      <c r="C2980" s="6" t="s">
        <v>4988</v>
      </c>
      <c r="D2980" s="6" t="s">
        <v>392</v>
      </c>
      <c r="E2980" s="14">
        <v>46267.365972222222</v>
      </c>
      <c r="F2980" s="25">
        <f>IF(HOUR(Table1[[#This Row],[CORREO]])&gt;=11,WORKDAY(Table1[[#This Row],[CORREO]],1,Table2[Dias no laborales]),E2980)</f>
        <v>46267.365972222222</v>
      </c>
      <c r="G2980" s="8">
        <v>46267</v>
      </c>
      <c r="H2980" s="6">
        <f t="shared" si="161"/>
        <v>35</v>
      </c>
      <c r="I2980" s="6">
        <f>MAX(1, NETWORKDAYS(A2980, G2980,Table2[Dias no laborales]))</f>
        <v>1</v>
      </c>
      <c r="J2980" s="6" t="str">
        <f>IF(Table1[[#This Row],[FIN]]="","Acumulado",IF(ISNUMBER(SEARCH("ASAP",C2980)),"ASAP",IF(NETWORKDAYS.INTL(F2980,G2980,1,Table2[Dias no laborales]) &lt;= 7, "Dentro", IF(A2980&gt;F2980,"Programado","Fuera"))))</f>
        <v>Dentro</v>
      </c>
      <c r="K2980" s="6" t="str">
        <f t="shared" si="162"/>
        <v>A tiempo</v>
      </c>
      <c r="L2980" s="8">
        <v>46267</v>
      </c>
      <c r="M2980" s="17">
        <f>MAX(1,NETWORKDAYS(A2980,L2980,Table2[Dias no laborales]))</f>
        <v>1</v>
      </c>
    </row>
    <row r="2981" spans="1:13" x14ac:dyDescent="0.3">
      <c r="A2981" s="8"/>
      <c r="B2981" s="16" t="s">
        <v>5552</v>
      </c>
      <c r="C2981" s="6"/>
      <c r="D2981" s="6"/>
      <c r="E2981" s="14"/>
      <c r="F2981" s="25">
        <f>IF(HOUR(Table1[[#This Row],[CORREO]])&gt;=11,WORKDAY(Table1[[#This Row],[CORREO]],1,Table2[Dias no laborales]),E2981)</f>
        <v>0</v>
      </c>
      <c r="G2981" s="8"/>
      <c r="H2981" s="6">
        <f t="shared" si="161"/>
        <v>0</v>
      </c>
      <c r="I2981" s="6">
        <f>MAX(1, NETWORKDAYS(A2981, G2981,Table2[Dias no laborales]))</f>
        <v>1</v>
      </c>
      <c r="J2981" s="6" t="str">
        <f>IF(Table1[[#This Row],[FIN]]="","Acumulado",IF(ISNUMBER(SEARCH("ASAP",C2981)),"ASAP",IF(NETWORKDAYS.INTL(F2981,G2981,1,Table2[Dias no laborales]) &lt;= 7, "Dentro", IF(A2981&gt;F2981,"Programado","Fuera"))))</f>
        <v>Acumulado</v>
      </c>
      <c r="K2981" s="6" t="str">
        <f t="shared" si="162"/>
        <v>A tiempo</v>
      </c>
      <c r="L2981" s="8"/>
      <c r="M2981" s="17">
        <f>MAX(1,NETWORKDAYS(A2981,L2981,Table2[Dias no laborales]))</f>
        <v>1</v>
      </c>
    </row>
    <row r="2982" spans="1:13" x14ac:dyDescent="0.3">
      <c r="A2982" s="8"/>
      <c r="B2982" s="16" t="s">
        <v>5553</v>
      </c>
      <c r="C2982" s="6"/>
      <c r="D2982" s="6"/>
      <c r="E2982" s="14"/>
      <c r="F2982" s="25">
        <f>IF(HOUR(Table1[[#This Row],[CORREO]])&gt;=11,WORKDAY(Table1[[#This Row],[CORREO]],1,Table2[Dias no laborales]),E2982)</f>
        <v>0</v>
      </c>
      <c r="G2982" s="8"/>
      <c r="H2982" s="6">
        <f t="shared" si="161"/>
        <v>0</v>
      </c>
      <c r="I2982" s="6">
        <f>MAX(1, NETWORKDAYS(A2982, G2982,Table2[Dias no laborales]))</f>
        <v>1</v>
      </c>
      <c r="J2982" s="6" t="str">
        <f>IF(Table1[[#This Row],[FIN]]="","Acumulado",IF(ISNUMBER(SEARCH("ASAP",C2982)),"ASAP",IF(NETWORKDAYS.INTL(F2982,G2982,1,Table2[Dias no laborales]) &lt;= 7, "Dentro", IF(A2982&gt;F2982,"Programado","Fuera"))))</f>
        <v>Acumulado</v>
      </c>
      <c r="K2982" s="6" t="str">
        <f t="shared" si="162"/>
        <v>A tiempo</v>
      </c>
      <c r="L2982" s="8"/>
      <c r="M2982" s="17">
        <f>MAX(1,NETWORKDAYS(A2982,L2982,Table2[Dias no laborales]))</f>
        <v>1</v>
      </c>
    </row>
    <row r="2983" spans="1:13" x14ac:dyDescent="0.3">
      <c r="A2983" s="8"/>
      <c r="B2983" s="16" t="s">
        <v>5554</v>
      </c>
      <c r="C2983" s="6"/>
      <c r="D2983" s="6"/>
      <c r="E2983" s="14"/>
      <c r="F2983" s="25">
        <f>IF(HOUR(Table1[[#This Row],[CORREO]])&gt;=11,WORKDAY(Table1[[#This Row],[CORREO]],1,Table2[Dias no laborales]),E2983)</f>
        <v>0</v>
      </c>
      <c r="G2983" s="8"/>
      <c r="H2983" s="6">
        <f t="shared" si="161"/>
        <v>0</v>
      </c>
      <c r="I2983" s="6">
        <f>MAX(1, NETWORKDAYS(A2983, G2983,Table2[Dias no laborales]))</f>
        <v>1</v>
      </c>
      <c r="J2983" s="6" t="str">
        <f>IF(Table1[[#This Row],[FIN]]="","Acumulado",IF(ISNUMBER(SEARCH("ASAP",C2983)),"ASAP",IF(NETWORKDAYS.INTL(F2983,G2983,1,Table2[Dias no laborales]) &lt;= 7, "Dentro", IF(A2983&gt;F2983,"Programado","Fuera"))))</f>
        <v>Acumulado</v>
      </c>
      <c r="K2983" s="6" t="str">
        <f t="shared" si="162"/>
        <v>A tiempo</v>
      </c>
      <c r="L2983" s="8"/>
      <c r="M2983" s="17">
        <f>MAX(1,NETWORKDAYS(A2983,L2983,Table2[Dias no laborales]))</f>
        <v>1</v>
      </c>
    </row>
    <row r="2984" spans="1:13" x14ac:dyDescent="0.3">
      <c r="A2984" s="8"/>
      <c r="B2984" s="16" t="s">
        <v>5555</v>
      </c>
      <c r="C2984" s="6"/>
      <c r="D2984" s="6"/>
      <c r="E2984" s="14"/>
      <c r="F2984" s="25">
        <f>IF(HOUR(Table1[[#This Row],[CORREO]])&gt;=11,WORKDAY(Table1[[#This Row],[CORREO]],1,Table2[Dias no laborales]),E2984)</f>
        <v>0</v>
      </c>
      <c r="G2984" s="8"/>
      <c r="H2984" s="6">
        <f t="shared" si="161"/>
        <v>0</v>
      </c>
      <c r="I2984" s="6">
        <f>MAX(1, NETWORKDAYS(A2984, G2984,Table2[Dias no laborales]))</f>
        <v>1</v>
      </c>
      <c r="J2984" s="6" t="str">
        <f>IF(Table1[[#This Row],[FIN]]="","Acumulado",IF(ISNUMBER(SEARCH("ASAP",C2984)),"ASAP",IF(NETWORKDAYS.INTL(F2984,G2984,1,Table2[Dias no laborales]) &lt;= 7, "Dentro", IF(A2984&gt;F2984,"Programado","Fuera"))))</f>
        <v>Acumulado</v>
      </c>
      <c r="K2984" s="6" t="str">
        <f t="shared" si="162"/>
        <v>A tiempo</v>
      </c>
      <c r="L2984" s="8"/>
      <c r="M2984" s="17">
        <f>MAX(1,NETWORKDAYS(A2984,L2984,Table2[Dias no laborales]))</f>
        <v>1</v>
      </c>
    </row>
    <row r="2985" spans="1:13" x14ac:dyDescent="0.3">
      <c r="A2985" s="8"/>
      <c r="B2985" s="16" t="s">
        <v>5556</v>
      </c>
      <c r="C2985" s="6"/>
      <c r="D2985" s="6"/>
      <c r="E2985" s="14"/>
      <c r="F2985" s="25">
        <f>IF(HOUR(Table1[[#This Row],[CORREO]])&gt;=11,WORKDAY(Table1[[#This Row],[CORREO]],1,Table2[Dias no laborales]),E2985)</f>
        <v>0</v>
      </c>
      <c r="G2985" s="8"/>
      <c r="H2985" s="6">
        <f t="shared" si="161"/>
        <v>0</v>
      </c>
      <c r="I2985" s="6">
        <f>MAX(1, NETWORKDAYS(A2985, G2985,Table2[Dias no laborales]))</f>
        <v>1</v>
      </c>
      <c r="J2985" s="6" t="str">
        <f>IF(Table1[[#This Row],[FIN]]="","Acumulado",IF(ISNUMBER(SEARCH("ASAP",C2985)),"ASAP",IF(NETWORKDAYS.INTL(F2985,G2985,1,Table2[Dias no laborales]) &lt;= 7, "Dentro", IF(A2985&gt;F2985,"Programado","Fuera"))))</f>
        <v>Acumulado</v>
      </c>
      <c r="K2985" s="6" t="str">
        <f t="shared" si="162"/>
        <v>A tiempo</v>
      </c>
      <c r="L2985" s="8"/>
      <c r="M2985" s="17">
        <f>MAX(1,NETWORKDAYS(A2985,L2985,Table2[Dias no laborales]))</f>
        <v>1</v>
      </c>
    </row>
    <row r="2986" spans="1:13" x14ac:dyDescent="0.3">
      <c r="A2986" s="8"/>
      <c r="B2986" s="16" t="s">
        <v>5557</v>
      </c>
      <c r="C2986" s="6"/>
      <c r="D2986" s="6"/>
      <c r="E2986" s="14"/>
      <c r="F2986" s="25">
        <f>IF(HOUR(Table1[[#This Row],[CORREO]])&gt;=11,WORKDAY(Table1[[#This Row],[CORREO]],1,Table2[Dias no laborales]),E2986)</f>
        <v>0</v>
      </c>
      <c r="G2986" s="8"/>
      <c r="H2986" s="6">
        <f t="shared" si="161"/>
        <v>0</v>
      </c>
      <c r="I2986" s="6">
        <f>MAX(1, NETWORKDAYS(A2986, G2986,Table2[Dias no laborales]))</f>
        <v>1</v>
      </c>
      <c r="J2986" s="6" t="str">
        <f>IF(Table1[[#This Row],[FIN]]="","Acumulado",IF(ISNUMBER(SEARCH("ASAP",C2986)),"ASAP",IF(NETWORKDAYS.INTL(F2986,G2986,1,Table2[Dias no laborales]) &lt;= 7, "Dentro", IF(A2986&gt;F2986,"Programado","Fuera"))))</f>
        <v>Acumulado</v>
      </c>
      <c r="K2986" s="6" t="str">
        <f t="shared" si="162"/>
        <v>A tiempo</v>
      </c>
      <c r="L2986" s="8"/>
      <c r="M2986" s="17">
        <f>MAX(1,NETWORKDAYS(A2986,L2986,Table2[Dias no laborales]))</f>
        <v>1</v>
      </c>
    </row>
    <row r="2987" spans="1:13" x14ac:dyDescent="0.3">
      <c r="A2987" s="8"/>
      <c r="B2987" s="16" t="s">
        <v>5558</v>
      </c>
      <c r="C2987" s="6"/>
      <c r="D2987" s="6"/>
      <c r="E2987" s="14"/>
      <c r="F2987" s="25">
        <f>IF(HOUR(Table1[[#This Row],[CORREO]])&gt;=11,WORKDAY(Table1[[#This Row],[CORREO]],1,Table2[Dias no laborales]),E2987)</f>
        <v>0</v>
      </c>
      <c r="G2987" s="8"/>
      <c r="H2987" s="6">
        <f t="shared" si="161"/>
        <v>0</v>
      </c>
      <c r="I2987" s="6">
        <f>MAX(1, NETWORKDAYS(A2987, G2987,Table2[Dias no laborales]))</f>
        <v>1</v>
      </c>
      <c r="J2987" s="6" t="str">
        <f>IF(Table1[[#This Row],[FIN]]="","Acumulado",IF(ISNUMBER(SEARCH("ASAP",C2987)),"ASAP",IF(NETWORKDAYS.INTL(F2987,G2987,1,Table2[Dias no laborales]) &lt;= 7, "Dentro", IF(A2987&gt;F2987,"Programado","Fuera"))))</f>
        <v>Acumulado</v>
      </c>
      <c r="K2987" s="6" t="str">
        <f t="shared" si="162"/>
        <v>A tiempo</v>
      </c>
      <c r="L2987" s="8"/>
      <c r="M2987" s="17">
        <f>MAX(1,NETWORKDAYS(A2987,L2987,Table2[Dias no laborales]))</f>
        <v>1</v>
      </c>
    </row>
    <row r="2988" spans="1:13" x14ac:dyDescent="0.3">
      <c r="A2988" s="8"/>
      <c r="B2988" s="16" t="s">
        <v>5559</v>
      </c>
      <c r="C2988" s="6"/>
      <c r="D2988" s="6"/>
      <c r="E2988" s="14"/>
      <c r="F2988" s="25">
        <f>IF(HOUR(Table1[[#This Row],[CORREO]])&gt;=11,WORKDAY(Table1[[#This Row],[CORREO]],1,Table2[Dias no laborales]),E2988)</f>
        <v>0</v>
      </c>
      <c r="G2988" s="8"/>
      <c r="H2988" s="6">
        <f t="shared" si="161"/>
        <v>0</v>
      </c>
      <c r="I2988" s="6">
        <f>MAX(1, NETWORKDAYS(A2988, G2988,Table2[Dias no laborales]))</f>
        <v>1</v>
      </c>
      <c r="J2988" s="6" t="str">
        <f>IF(Table1[[#This Row],[FIN]]="","Acumulado",IF(ISNUMBER(SEARCH("ASAP",C2988)),"ASAP",IF(NETWORKDAYS.INTL(F2988,G2988,1,Table2[Dias no laborales]) &lt;= 7, "Dentro", IF(A2988&gt;F2988,"Programado","Fuera"))))</f>
        <v>Acumulado</v>
      </c>
      <c r="K2988" s="6" t="str">
        <f t="shared" si="162"/>
        <v>A tiempo</v>
      </c>
      <c r="L2988" s="8"/>
      <c r="M2988" s="17">
        <f>MAX(1,NETWORKDAYS(A2988,L2988,Table2[Dias no laborales]))</f>
        <v>1</v>
      </c>
    </row>
    <row r="2989" spans="1:13" x14ac:dyDescent="0.3">
      <c r="A2989" s="8"/>
      <c r="B2989" s="16" t="s">
        <v>5560</v>
      </c>
      <c r="C2989" s="6"/>
      <c r="D2989" s="6"/>
      <c r="E2989" s="14"/>
      <c r="F2989" s="25">
        <f>IF(HOUR(Table1[[#This Row],[CORREO]])&gt;=11,WORKDAY(Table1[[#This Row],[CORREO]],1,Table2[Dias no laborales]),E2989)</f>
        <v>0</v>
      </c>
      <c r="G2989" s="8"/>
      <c r="H2989" s="6">
        <f t="shared" si="161"/>
        <v>0</v>
      </c>
      <c r="I2989" s="6">
        <f>MAX(1, NETWORKDAYS(A2989, G2989,Table2[Dias no laborales]))</f>
        <v>1</v>
      </c>
      <c r="J2989" s="6" t="str">
        <f>IF(Table1[[#This Row],[FIN]]="","Acumulado",IF(ISNUMBER(SEARCH("ASAP",C2989)),"ASAP",IF(NETWORKDAYS.INTL(F2989,G2989,1,Table2[Dias no laborales]) &lt;= 7, "Dentro", IF(A2989&gt;F2989,"Programado","Fuera"))))</f>
        <v>Acumulado</v>
      </c>
      <c r="K2989" s="6" t="str">
        <f t="shared" si="162"/>
        <v>A tiempo</v>
      </c>
      <c r="L2989" s="8"/>
      <c r="M2989" s="17">
        <f>MAX(1,NETWORKDAYS(A2989,L2989,Table2[Dias no laborales]))</f>
        <v>1</v>
      </c>
    </row>
    <row r="2990" spans="1:13" x14ac:dyDescent="0.3">
      <c r="A2990" s="8"/>
      <c r="B2990" s="16" t="s">
        <v>5561</v>
      </c>
      <c r="C2990" s="6"/>
      <c r="D2990" s="6"/>
      <c r="E2990" s="14"/>
      <c r="F2990" s="25">
        <f>IF(HOUR(Table1[[#This Row],[CORREO]])&gt;=11,WORKDAY(Table1[[#This Row],[CORREO]],1,Table2[Dias no laborales]),E2990)</f>
        <v>0</v>
      </c>
      <c r="G2990" s="8"/>
      <c r="H2990" s="6">
        <f t="shared" si="161"/>
        <v>0</v>
      </c>
      <c r="I2990" s="6">
        <f>MAX(1, NETWORKDAYS(A2990, G2990,Table2[Dias no laborales]))</f>
        <v>1</v>
      </c>
      <c r="J2990" s="6" t="str">
        <f>IF(Table1[[#This Row],[FIN]]="","Acumulado",IF(ISNUMBER(SEARCH("ASAP",C2990)),"ASAP",IF(NETWORKDAYS.INTL(F2990,G2990,1,Table2[Dias no laborales]) &lt;= 7, "Dentro", IF(A2990&gt;F2990,"Programado","Fuera"))))</f>
        <v>Acumulado</v>
      </c>
      <c r="K2990" s="6" t="str">
        <f t="shared" si="162"/>
        <v>A tiempo</v>
      </c>
      <c r="L2990" s="8"/>
      <c r="M2990" s="17">
        <f>MAX(1,NETWORKDAYS(A2990,L2990,Table2[Dias no laborales]))</f>
        <v>1</v>
      </c>
    </row>
    <row r="2991" spans="1:13" x14ac:dyDescent="0.3">
      <c r="A2991" s="8"/>
      <c r="B2991" s="16" t="s">
        <v>5562</v>
      </c>
      <c r="C2991" s="6"/>
      <c r="D2991" s="6"/>
      <c r="E2991" s="14"/>
      <c r="F2991" s="25">
        <f>IF(HOUR(Table1[[#This Row],[CORREO]])&gt;=11,WORKDAY(Table1[[#This Row],[CORREO]],1,Table2[Dias no laborales]),E2991)</f>
        <v>0</v>
      </c>
      <c r="G2991" s="8"/>
      <c r="H2991" s="6">
        <f t="shared" si="161"/>
        <v>0</v>
      </c>
      <c r="I2991" s="6">
        <f>MAX(1, NETWORKDAYS(A2991, G2991,Table2[Dias no laborales]))</f>
        <v>1</v>
      </c>
      <c r="J2991" s="6" t="str">
        <f>IF(Table1[[#This Row],[FIN]]="","Acumulado",IF(ISNUMBER(SEARCH("ASAP",C2991)),"ASAP",IF(NETWORKDAYS.INTL(F2991,G2991,1,Table2[Dias no laborales]) &lt;= 7, "Dentro", IF(A2991&gt;F2991,"Programado","Fuera"))))</f>
        <v>Acumulado</v>
      </c>
      <c r="K2991" s="6" t="str">
        <f t="shared" si="162"/>
        <v>A tiempo</v>
      </c>
      <c r="L2991" s="8"/>
      <c r="M2991" s="17">
        <f>MAX(1,NETWORKDAYS(A2991,L2991,Table2[Dias no laborales]))</f>
        <v>1</v>
      </c>
    </row>
    <row r="2992" spans="1:13" x14ac:dyDescent="0.3">
      <c r="A2992" s="8"/>
      <c r="B2992" s="16" t="s">
        <v>5563</v>
      </c>
      <c r="C2992" s="6"/>
      <c r="D2992" s="6"/>
      <c r="E2992" s="14"/>
      <c r="F2992" s="25">
        <f>IF(HOUR(Table1[[#This Row],[CORREO]])&gt;=11,WORKDAY(Table1[[#This Row],[CORREO]],1,Table2[Dias no laborales]),E2992)</f>
        <v>0</v>
      </c>
      <c r="G2992" s="8"/>
      <c r="H2992" s="6">
        <f t="shared" si="161"/>
        <v>0</v>
      </c>
      <c r="I2992" s="6">
        <f>MAX(1, NETWORKDAYS(A2992, G2992,Table2[Dias no laborales]))</f>
        <v>1</v>
      </c>
      <c r="J2992" s="6" t="str">
        <f>IF(Table1[[#This Row],[FIN]]="","Acumulado",IF(ISNUMBER(SEARCH("ASAP",C2992)),"ASAP",IF(NETWORKDAYS.INTL(F2992,G2992,1,Table2[Dias no laborales]) &lt;= 7, "Dentro", IF(A2992&gt;F2992,"Programado","Fuera"))))</f>
        <v>Acumulado</v>
      </c>
      <c r="K2992" s="6" t="str">
        <f t="shared" si="162"/>
        <v>A tiempo</v>
      </c>
      <c r="L2992" s="8"/>
      <c r="M2992" s="17">
        <f>MAX(1,NETWORKDAYS(A2992,L2992,Table2[Dias no laborales]))</f>
        <v>1</v>
      </c>
    </row>
    <row r="2993" spans="1:13" x14ac:dyDescent="0.3">
      <c r="A2993" s="8"/>
      <c r="B2993" s="16" t="s">
        <v>5564</v>
      </c>
      <c r="C2993" s="6"/>
      <c r="D2993" s="6"/>
      <c r="E2993" s="14"/>
      <c r="F2993" s="25">
        <f>IF(HOUR(Table1[[#This Row],[CORREO]])&gt;=11,WORKDAY(Table1[[#This Row],[CORREO]],1,Table2[Dias no laborales]),E2993)</f>
        <v>0</v>
      </c>
      <c r="G2993" s="8"/>
      <c r="H2993" s="6">
        <f t="shared" si="161"/>
        <v>0</v>
      </c>
      <c r="I2993" s="6">
        <f>MAX(1, NETWORKDAYS(A2993, G2993,Table2[Dias no laborales]))</f>
        <v>1</v>
      </c>
      <c r="J2993" s="6" t="str">
        <f>IF(Table1[[#This Row],[FIN]]="","Acumulado",IF(ISNUMBER(SEARCH("ASAP",C2993)),"ASAP",IF(NETWORKDAYS.INTL(F2993,G2993,1,Table2[Dias no laborales]) &lt;= 7, "Dentro", IF(A2993&gt;F2993,"Programado","Fuera"))))</f>
        <v>Acumulado</v>
      </c>
      <c r="K2993" s="6" t="str">
        <f t="shared" si="162"/>
        <v>A tiempo</v>
      </c>
      <c r="L2993" s="8"/>
      <c r="M2993" s="17">
        <f>MAX(1,NETWORKDAYS(A2993,L2993,Table2[Dias no laborales]))</f>
        <v>1</v>
      </c>
    </row>
    <row r="2994" spans="1:13" x14ac:dyDescent="0.3">
      <c r="A2994" s="8"/>
      <c r="B2994" s="16" t="s">
        <v>5565</v>
      </c>
      <c r="C2994" s="6"/>
      <c r="D2994" s="6"/>
      <c r="E2994" s="14"/>
      <c r="F2994" s="25">
        <f>IF(HOUR(Table1[[#This Row],[CORREO]])&gt;=11,WORKDAY(Table1[[#This Row],[CORREO]],1,Table2[Dias no laborales]),E2994)</f>
        <v>0</v>
      </c>
      <c r="G2994" s="8"/>
      <c r="H2994" s="6">
        <f t="shared" ref="H2994:H3004" si="163">INT((A2994-DATE(YEAR(A2994),1,1))/7) + 1</f>
        <v>0</v>
      </c>
      <c r="I2994" s="6">
        <f>MAX(1, NETWORKDAYS(A2994, G2994,Table2[Dias no laborales]))</f>
        <v>1</v>
      </c>
      <c r="J2994" s="6" t="str">
        <f>IF(Table1[[#This Row],[FIN]]="","Acumulado",IF(ISNUMBER(SEARCH("ASAP",C2994)),"ASAP",IF(NETWORKDAYS.INTL(F2994,G2994,1,Table2[Dias no laborales]) &lt;= 7, "Dentro", IF(A2994&gt;F2994,"Programado","Fuera"))))</f>
        <v>Acumulado</v>
      </c>
      <c r="K2994" s="6" t="str">
        <f t="shared" ref="K2994:K3004" si="164">IF(INT(A2994)=INT(F2994),"A tiempo", IF(A2994&lt;F2994,"Mismo día","Programados"))</f>
        <v>A tiempo</v>
      </c>
      <c r="L2994" s="8"/>
      <c r="M2994" s="17">
        <f>MAX(1,NETWORKDAYS(A2994,L2994,Table2[Dias no laborales]))</f>
        <v>1</v>
      </c>
    </row>
    <row r="2995" spans="1:13" x14ac:dyDescent="0.3">
      <c r="A2995" s="8"/>
      <c r="B2995" s="16" t="s">
        <v>5566</v>
      </c>
      <c r="C2995" s="6"/>
      <c r="D2995" s="6"/>
      <c r="E2995" s="14"/>
      <c r="F2995" s="25">
        <f>IF(HOUR(Table1[[#This Row],[CORREO]])&gt;=11,WORKDAY(Table1[[#This Row],[CORREO]],1,Table2[Dias no laborales]),E2995)</f>
        <v>0</v>
      </c>
      <c r="G2995" s="8"/>
      <c r="H2995" s="6">
        <f t="shared" si="163"/>
        <v>0</v>
      </c>
      <c r="I2995" s="6">
        <f>MAX(1, NETWORKDAYS(A2995, G2995,Table2[Dias no laborales]))</f>
        <v>1</v>
      </c>
      <c r="J2995" s="6" t="str">
        <f>IF(Table1[[#This Row],[FIN]]="","Acumulado",IF(ISNUMBER(SEARCH("ASAP",C2995)),"ASAP",IF(NETWORKDAYS.INTL(F2995,G2995,1,Table2[Dias no laborales]) &lt;= 7, "Dentro", IF(A2995&gt;F2995,"Programado","Fuera"))))</f>
        <v>Acumulado</v>
      </c>
      <c r="K2995" s="6" t="str">
        <f t="shared" si="164"/>
        <v>A tiempo</v>
      </c>
      <c r="L2995" s="8"/>
      <c r="M2995" s="17">
        <f>MAX(1,NETWORKDAYS(A2995,L2995,Table2[Dias no laborales]))</f>
        <v>1</v>
      </c>
    </row>
    <row r="2996" spans="1:13" x14ac:dyDescent="0.3">
      <c r="A2996" s="8"/>
      <c r="B2996" s="16" t="s">
        <v>5567</v>
      </c>
      <c r="C2996" s="6"/>
      <c r="D2996" s="6"/>
      <c r="E2996" s="14"/>
      <c r="F2996" s="25">
        <f>IF(HOUR(Table1[[#This Row],[CORREO]])&gt;=11,WORKDAY(Table1[[#This Row],[CORREO]],1,Table2[Dias no laborales]),E2996)</f>
        <v>0</v>
      </c>
      <c r="G2996" s="8"/>
      <c r="H2996" s="6">
        <f t="shared" si="163"/>
        <v>0</v>
      </c>
      <c r="I2996" s="6">
        <f>MAX(1, NETWORKDAYS(A2996, G2996,Table2[Dias no laborales]))</f>
        <v>1</v>
      </c>
      <c r="J2996" s="6" t="str">
        <f>IF(Table1[[#This Row],[FIN]]="","Acumulado",IF(ISNUMBER(SEARCH("ASAP",C2996)),"ASAP",IF(NETWORKDAYS.INTL(F2996,G2996,1,Table2[Dias no laborales]) &lt;= 7, "Dentro", IF(A2996&gt;F2996,"Programado","Fuera"))))</f>
        <v>Acumulado</v>
      </c>
      <c r="K2996" s="6" t="str">
        <f t="shared" si="164"/>
        <v>A tiempo</v>
      </c>
      <c r="L2996" s="8"/>
      <c r="M2996" s="17">
        <f>MAX(1,NETWORKDAYS(A2996,L2996,Table2[Dias no laborales]))</f>
        <v>1</v>
      </c>
    </row>
    <row r="2997" spans="1:13" x14ac:dyDescent="0.3">
      <c r="A2997" s="8"/>
      <c r="B2997" s="16" t="s">
        <v>5568</v>
      </c>
      <c r="C2997" s="6"/>
      <c r="D2997" s="6"/>
      <c r="E2997" s="14"/>
      <c r="F2997" s="25">
        <f>IF(HOUR(Table1[[#This Row],[CORREO]])&gt;=11,WORKDAY(Table1[[#This Row],[CORREO]],1,Table2[Dias no laborales]),E2997)</f>
        <v>0</v>
      </c>
      <c r="G2997" s="8"/>
      <c r="H2997" s="6">
        <f t="shared" si="163"/>
        <v>0</v>
      </c>
      <c r="I2997" s="6">
        <f>MAX(1, NETWORKDAYS(A2997, G2997,Table2[Dias no laborales]))</f>
        <v>1</v>
      </c>
      <c r="J2997" s="6" t="str">
        <f>IF(Table1[[#This Row],[FIN]]="","Acumulado",IF(ISNUMBER(SEARCH("ASAP",C2997)),"ASAP",IF(NETWORKDAYS.INTL(F2997,G2997,1,Table2[Dias no laborales]) &lt;= 7, "Dentro", IF(A2997&gt;F2997,"Programado","Fuera"))))</f>
        <v>Acumulado</v>
      </c>
      <c r="K2997" s="6" t="str">
        <f t="shared" si="164"/>
        <v>A tiempo</v>
      </c>
      <c r="L2997" s="8"/>
      <c r="M2997" s="17">
        <f>MAX(1,NETWORKDAYS(A2997,L2997,Table2[Dias no laborales]))</f>
        <v>1</v>
      </c>
    </row>
    <row r="2998" spans="1:13" x14ac:dyDescent="0.3">
      <c r="A2998" s="8"/>
      <c r="B2998" s="16" t="s">
        <v>5569</v>
      </c>
      <c r="C2998" s="6"/>
      <c r="D2998" s="6"/>
      <c r="E2998" s="14"/>
      <c r="F2998" s="25">
        <f>IF(HOUR(Table1[[#This Row],[CORREO]])&gt;=11,WORKDAY(Table1[[#This Row],[CORREO]],1,Table2[Dias no laborales]),E2998)</f>
        <v>0</v>
      </c>
      <c r="G2998" s="8"/>
      <c r="H2998" s="6">
        <f t="shared" si="163"/>
        <v>0</v>
      </c>
      <c r="I2998" s="6">
        <f>MAX(1, NETWORKDAYS(A2998, G2998,Table2[Dias no laborales]))</f>
        <v>1</v>
      </c>
      <c r="J2998" s="6" t="str">
        <f>IF(Table1[[#This Row],[FIN]]="","Acumulado",IF(ISNUMBER(SEARCH("ASAP",C2998)),"ASAP",IF(NETWORKDAYS.INTL(F2998,G2998,1,Table2[Dias no laborales]) &lt;= 7, "Dentro", IF(A2998&gt;F2998,"Programado","Fuera"))))</f>
        <v>Acumulado</v>
      </c>
      <c r="K2998" s="6" t="str">
        <f t="shared" si="164"/>
        <v>A tiempo</v>
      </c>
      <c r="L2998" s="8"/>
      <c r="M2998" s="17">
        <f>MAX(1,NETWORKDAYS(A2998,L2998,Table2[Dias no laborales]))</f>
        <v>1</v>
      </c>
    </row>
    <row r="2999" spans="1:13" x14ac:dyDescent="0.3">
      <c r="A2999" s="8"/>
      <c r="B2999" s="16" t="s">
        <v>5570</v>
      </c>
      <c r="C2999" s="6"/>
      <c r="D2999" s="6"/>
      <c r="E2999" s="14"/>
      <c r="F2999" s="25">
        <f>IF(HOUR(Table1[[#This Row],[CORREO]])&gt;=11,WORKDAY(Table1[[#This Row],[CORREO]],1,Table2[Dias no laborales]),E2999)</f>
        <v>0</v>
      </c>
      <c r="G2999" s="8"/>
      <c r="H2999" s="6">
        <f t="shared" si="163"/>
        <v>0</v>
      </c>
      <c r="I2999" s="6">
        <f>MAX(1, NETWORKDAYS(A2999, G2999,Table2[Dias no laborales]))</f>
        <v>1</v>
      </c>
      <c r="J2999" s="6" t="str">
        <f>IF(Table1[[#This Row],[FIN]]="","Acumulado",IF(ISNUMBER(SEARCH("ASAP",C2999)),"ASAP",IF(NETWORKDAYS.INTL(F2999,G2999,1,Table2[Dias no laborales]) &lt;= 7, "Dentro", IF(A2999&gt;F2999,"Programado","Fuera"))))</f>
        <v>Acumulado</v>
      </c>
      <c r="K2999" s="6" t="str">
        <f t="shared" si="164"/>
        <v>A tiempo</v>
      </c>
      <c r="L2999" s="8"/>
      <c r="M2999" s="17">
        <f>MAX(1,NETWORKDAYS(A2999,L2999,Table2[Dias no laborales]))</f>
        <v>1</v>
      </c>
    </row>
    <row r="3000" spans="1:13" x14ac:dyDescent="0.3">
      <c r="A3000" s="8"/>
      <c r="B3000" s="16" t="s">
        <v>5571</v>
      </c>
      <c r="C3000" s="6"/>
      <c r="D3000" s="6"/>
      <c r="E3000" s="14"/>
      <c r="F3000" s="25">
        <f>IF(HOUR(Table1[[#This Row],[CORREO]])&gt;=11,WORKDAY(Table1[[#This Row],[CORREO]],1,Table2[Dias no laborales]),E3000)</f>
        <v>0</v>
      </c>
      <c r="G3000" s="8"/>
      <c r="H3000" s="6">
        <f t="shared" si="163"/>
        <v>0</v>
      </c>
      <c r="I3000" s="6">
        <f>MAX(1, NETWORKDAYS(A3000, G3000,Table2[Dias no laborales]))</f>
        <v>1</v>
      </c>
      <c r="J3000" s="6" t="str">
        <f>IF(Table1[[#This Row],[FIN]]="","Acumulado",IF(ISNUMBER(SEARCH("ASAP",C3000)),"ASAP",IF(NETWORKDAYS.INTL(F3000,G3000,1,Table2[Dias no laborales]) &lt;= 7, "Dentro", IF(A3000&gt;F3000,"Programado","Fuera"))))</f>
        <v>Acumulado</v>
      </c>
      <c r="K3000" s="6" t="str">
        <f t="shared" si="164"/>
        <v>A tiempo</v>
      </c>
      <c r="L3000" s="8"/>
      <c r="M3000" s="17">
        <f>MAX(1,NETWORKDAYS(A3000,L3000,Table2[Dias no laborales]))</f>
        <v>1</v>
      </c>
    </row>
    <row r="3001" spans="1:13" x14ac:dyDescent="0.3">
      <c r="A3001" s="8"/>
      <c r="B3001" s="16" t="s">
        <v>5572</v>
      </c>
      <c r="C3001" s="6"/>
      <c r="D3001" s="6"/>
      <c r="E3001" s="14"/>
      <c r="F3001" s="25">
        <f>IF(HOUR(Table1[[#This Row],[CORREO]])&gt;=11,WORKDAY(Table1[[#This Row],[CORREO]],1,Table2[Dias no laborales]),E3001)</f>
        <v>0</v>
      </c>
      <c r="G3001" s="8"/>
      <c r="H3001" s="6">
        <f t="shared" si="163"/>
        <v>0</v>
      </c>
      <c r="I3001" s="6">
        <f>MAX(1, NETWORKDAYS(A3001, G3001,Table2[Dias no laborales]))</f>
        <v>1</v>
      </c>
      <c r="J3001" s="6" t="str">
        <f>IF(Table1[[#This Row],[FIN]]="","Acumulado",IF(ISNUMBER(SEARCH("ASAP",C3001)),"ASAP",IF(NETWORKDAYS.INTL(F3001,G3001,1,Table2[Dias no laborales]) &lt;= 7, "Dentro", IF(A3001&gt;F3001,"Programado","Fuera"))))</f>
        <v>Acumulado</v>
      </c>
      <c r="K3001" s="6" t="str">
        <f t="shared" si="164"/>
        <v>A tiempo</v>
      </c>
      <c r="L3001" s="8"/>
      <c r="M3001" s="17">
        <f>MAX(1,NETWORKDAYS(A3001,L3001,Table2[Dias no laborales]))</f>
        <v>1</v>
      </c>
    </row>
    <row r="3002" spans="1:13" x14ac:dyDescent="0.3">
      <c r="A3002" s="8"/>
      <c r="B3002" s="16" t="s">
        <v>5573</v>
      </c>
      <c r="C3002" s="6"/>
      <c r="D3002" s="6"/>
      <c r="E3002" s="14"/>
      <c r="F3002" s="25">
        <f>IF(HOUR(Table1[[#This Row],[CORREO]])&gt;=11,WORKDAY(Table1[[#This Row],[CORREO]],1,Table2[Dias no laborales]),E3002)</f>
        <v>0</v>
      </c>
      <c r="G3002" s="8"/>
      <c r="H3002" s="6">
        <f t="shared" si="163"/>
        <v>0</v>
      </c>
      <c r="I3002" s="6">
        <f>MAX(1, NETWORKDAYS(A3002, G3002,Table2[Dias no laborales]))</f>
        <v>1</v>
      </c>
      <c r="J3002" s="6" t="str">
        <f>IF(Table1[[#This Row],[FIN]]="","Acumulado",IF(ISNUMBER(SEARCH("ASAP",C3002)),"ASAP",IF(NETWORKDAYS.INTL(F3002,G3002,1,Table2[Dias no laborales]) &lt;= 7, "Dentro", IF(A3002&gt;F3002,"Programado","Fuera"))))</f>
        <v>Acumulado</v>
      </c>
      <c r="K3002" s="6" t="str">
        <f t="shared" si="164"/>
        <v>A tiempo</v>
      </c>
      <c r="L3002" s="8"/>
      <c r="M3002" s="17">
        <f>MAX(1,NETWORKDAYS(A3002,L3002,Table2[Dias no laborales]))</f>
        <v>1</v>
      </c>
    </row>
    <row r="3003" spans="1:13" x14ac:dyDescent="0.3">
      <c r="A3003" s="8"/>
      <c r="B3003" s="16" t="s">
        <v>5574</v>
      </c>
      <c r="C3003" s="6"/>
      <c r="D3003" s="6"/>
      <c r="E3003" s="14"/>
      <c r="F3003" s="25">
        <f>IF(HOUR(Table1[[#This Row],[CORREO]])&gt;=11,WORKDAY(Table1[[#This Row],[CORREO]],1,Table2[Dias no laborales]),E3003)</f>
        <v>0</v>
      </c>
      <c r="G3003" s="8"/>
      <c r="H3003" s="6">
        <f t="shared" si="163"/>
        <v>0</v>
      </c>
      <c r="I3003" s="6">
        <f>MAX(1, NETWORKDAYS(A3003, G3003,Table2[Dias no laborales]))</f>
        <v>1</v>
      </c>
      <c r="J3003" s="6" t="str">
        <f>IF(Table1[[#This Row],[FIN]]="","Acumulado",IF(ISNUMBER(SEARCH("ASAP",C3003)),"ASAP",IF(NETWORKDAYS.INTL(F3003,G3003,1,Table2[Dias no laborales]) &lt;= 7, "Dentro", IF(A3003&gt;F3003,"Programado","Fuera"))))</f>
        <v>Acumulado</v>
      </c>
      <c r="K3003" s="6" t="str">
        <f t="shared" si="164"/>
        <v>A tiempo</v>
      </c>
      <c r="L3003" s="8"/>
      <c r="M3003" s="17">
        <f>MAX(1,NETWORKDAYS(A3003,L3003,Table2[Dias no laborales]))</f>
        <v>1</v>
      </c>
    </row>
    <row r="3004" spans="1:13" x14ac:dyDescent="0.3">
      <c r="A3004" s="8"/>
      <c r="B3004" s="16" t="s">
        <v>5575</v>
      </c>
      <c r="C3004" s="6"/>
      <c r="D3004" s="6"/>
      <c r="E3004" s="14"/>
      <c r="F3004" s="25">
        <f>IF(HOUR(Table1[[#This Row],[CORREO]])&gt;=11,WORKDAY(Table1[[#This Row],[CORREO]],1,Table2[Dias no laborales]),E3004)</f>
        <v>0</v>
      </c>
      <c r="G3004" s="8"/>
      <c r="H3004" s="6">
        <f t="shared" si="163"/>
        <v>0</v>
      </c>
      <c r="I3004" s="6">
        <f>MAX(1, NETWORKDAYS(A3004, G3004,Table2[Dias no laborales]))</f>
        <v>1</v>
      </c>
      <c r="J3004" s="6" t="str">
        <f>IF(Table1[[#This Row],[FIN]]="","Acumulado",IF(ISNUMBER(SEARCH("ASAP",C3004)),"ASAP",IF(NETWORKDAYS.INTL(F3004,G3004,1,Table2[Dias no laborales]) &lt;= 7, "Dentro", IF(A3004&gt;F3004,"Programado","Fuera"))))</f>
        <v>Acumulado</v>
      </c>
      <c r="K3004" s="6" t="str">
        <f t="shared" si="164"/>
        <v>A tiempo</v>
      </c>
      <c r="L3004" s="8"/>
      <c r="M3004" s="17">
        <f>MAX(1,NETWORKDAYS(A3004,L3004,Table2[Dias no laborales]))</f>
        <v>1</v>
      </c>
    </row>
    <row r="3005" spans="1:13" x14ac:dyDescent="0.3">
      <c r="A3005" s="8"/>
      <c r="B3005" s="16" t="s">
        <v>5622</v>
      </c>
      <c r="C3005" s="6"/>
      <c r="D3005" s="6"/>
      <c r="E3005" s="14"/>
      <c r="F3005" s="25">
        <f>IF(HOUR(Table1[[#This Row],[CORREO]])&gt;=11,WORKDAY(Table1[[#This Row],[CORREO]],1,Table2[Dias no laborales]),E3005)</f>
        <v>0</v>
      </c>
      <c r="G3005" s="8"/>
      <c r="H3005" s="6">
        <f t="shared" ref="H3005:H3036" si="165">INT((A3005-DATE(YEAR(A3005),1,1))/7) + 1</f>
        <v>0</v>
      </c>
      <c r="I3005" s="6">
        <f>MAX(1, NETWORKDAYS(A3005, G3005,Table2[Dias no laborales]))</f>
        <v>1</v>
      </c>
      <c r="J3005" s="6" t="str">
        <f>IF(Table1[[#This Row],[FIN]]="","Acumulado",IF(ISNUMBER(SEARCH("ASAP",C3005)),"ASAP",IF(NETWORKDAYS.INTL(F3005,G3005,1,Table2[Dias no laborales]) &lt;= 7, "Dentro", IF(A3005&gt;F3005,"Programado","Fuera"))))</f>
        <v>Acumulado</v>
      </c>
      <c r="K3005" s="6" t="str">
        <f t="shared" ref="K3005:K3036" si="166">IF(INT(A3005)=INT(F3005),"A tiempo", IF(A3005&lt;F3005,"Mismo día","Programados"))</f>
        <v>A tiempo</v>
      </c>
      <c r="L3005" s="8"/>
      <c r="M3005" s="17">
        <f>MAX(1,NETWORKDAYS(A3005,L3005,Table2[Dias no laborales]))</f>
        <v>1</v>
      </c>
    </row>
    <row r="3006" spans="1:13" x14ac:dyDescent="0.3">
      <c r="A3006" s="8"/>
      <c r="B3006" s="16" t="s">
        <v>5623</v>
      </c>
      <c r="C3006" s="6"/>
      <c r="D3006" s="6"/>
      <c r="E3006" s="14"/>
      <c r="F3006" s="25">
        <f>IF(HOUR(Table1[[#This Row],[CORREO]])&gt;=11,WORKDAY(Table1[[#This Row],[CORREO]],1,Table2[Dias no laborales]),E3006)</f>
        <v>0</v>
      </c>
      <c r="G3006" s="8"/>
      <c r="H3006" s="6">
        <f t="shared" si="165"/>
        <v>0</v>
      </c>
      <c r="I3006" s="6">
        <f>MAX(1, NETWORKDAYS(A3006, G3006,Table2[Dias no laborales]))</f>
        <v>1</v>
      </c>
      <c r="J3006" s="6" t="str">
        <f>IF(Table1[[#This Row],[FIN]]="","Acumulado",IF(ISNUMBER(SEARCH("ASAP",C3006)),"ASAP",IF(NETWORKDAYS.INTL(F3006,G3006,1,Table2[Dias no laborales]) &lt;= 7, "Dentro", IF(A3006&gt;F3006,"Programado","Fuera"))))</f>
        <v>Acumulado</v>
      </c>
      <c r="K3006" s="6" t="str">
        <f t="shared" si="166"/>
        <v>A tiempo</v>
      </c>
      <c r="L3006" s="8"/>
      <c r="M3006" s="17">
        <f>MAX(1,NETWORKDAYS(A3006,L3006,Table2[Dias no laborales]))</f>
        <v>1</v>
      </c>
    </row>
    <row r="3007" spans="1:13" x14ac:dyDescent="0.3">
      <c r="A3007" s="8"/>
      <c r="B3007" s="16" t="s">
        <v>5624</v>
      </c>
      <c r="C3007" s="6"/>
      <c r="D3007" s="6"/>
      <c r="E3007" s="14"/>
      <c r="F3007" s="25">
        <f>IF(HOUR(Table1[[#This Row],[CORREO]])&gt;=11,WORKDAY(Table1[[#This Row],[CORREO]],1,Table2[Dias no laborales]),E3007)</f>
        <v>0</v>
      </c>
      <c r="G3007" s="8"/>
      <c r="H3007" s="6">
        <f t="shared" si="165"/>
        <v>0</v>
      </c>
      <c r="I3007" s="6">
        <f>MAX(1, NETWORKDAYS(A3007, G3007,Table2[Dias no laborales]))</f>
        <v>1</v>
      </c>
      <c r="J3007" s="6" t="str">
        <f>IF(Table1[[#This Row],[FIN]]="","Acumulado",IF(ISNUMBER(SEARCH("ASAP",C3007)),"ASAP",IF(NETWORKDAYS.INTL(F3007,G3007,1,Table2[Dias no laborales]) &lt;= 7, "Dentro", IF(A3007&gt;F3007,"Programado","Fuera"))))</f>
        <v>Acumulado</v>
      </c>
      <c r="K3007" s="6" t="str">
        <f t="shared" si="166"/>
        <v>A tiempo</v>
      </c>
      <c r="L3007" s="8"/>
      <c r="M3007" s="17">
        <f>MAX(1,NETWORKDAYS(A3007,L3007,Table2[Dias no laborales]))</f>
        <v>1</v>
      </c>
    </row>
    <row r="3008" spans="1:13" x14ac:dyDescent="0.3">
      <c r="A3008" s="8"/>
      <c r="B3008" s="16" t="s">
        <v>5625</v>
      </c>
      <c r="C3008" s="6"/>
      <c r="D3008" s="6"/>
      <c r="E3008" s="14"/>
      <c r="F3008" s="25">
        <f>IF(HOUR(Table1[[#This Row],[CORREO]])&gt;=11,WORKDAY(Table1[[#This Row],[CORREO]],1,Table2[Dias no laborales]),E3008)</f>
        <v>0</v>
      </c>
      <c r="G3008" s="8"/>
      <c r="H3008" s="6">
        <f t="shared" si="165"/>
        <v>0</v>
      </c>
      <c r="I3008" s="6">
        <f>MAX(1, NETWORKDAYS(A3008, G3008,Table2[Dias no laborales]))</f>
        <v>1</v>
      </c>
      <c r="J3008" s="6" t="str">
        <f>IF(Table1[[#This Row],[FIN]]="","Acumulado",IF(ISNUMBER(SEARCH("ASAP",C3008)),"ASAP",IF(NETWORKDAYS.INTL(F3008,G3008,1,Table2[Dias no laborales]) &lt;= 7, "Dentro", IF(A3008&gt;F3008,"Programado","Fuera"))))</f>
        <v>Acumulado</v>
      </c>
      <c r="K3008" s="6" t="str">
        <f t="shared" si="166"/>
        <v>A tiempo</v>
      </c>
      <c r="L3008" s="8"/>
      <c r="M3008" s="17">
        <f>MAX(1,NETWORKDAYS(A3008,L3008,Table2[Dias no laborales]))</f>
        <v>1</v>
      </c>
    </row>
    <row r="3009" spans="1:13" x14ac:dyDescent="0.3">
      <c r="A3009" s="8"/>
      <c r="B3009" s="16" t="s">
        <v>5626</v>
      </c>
      <c r="C3009" s="6"/>
      <c r="D3009" s="6"/>
      <c r="E3009" s="14"/>
      <c r="F3009" s="25">
        <f>IF(HOUR(Table1[[#This Row],[CORREO]])&gt;=11,WORKDAY(Table1[[#This Row],[CORREO]],1,Table2[Dias no laborales]),E3009)</f>
        <v>0</v>
      </c>
      <c r="G3009" s="8"/>
      <c r="H3009" s="6">
        <f t="shared" si="165"/>
        <v>0</v>
      </c>
      <c r="I3009" s="6">
        <f>MAX(1, NETWORKDAYS(A3009, G3009,Table2[Dias no laborales]))</f>
        <v>1</v>
      </c>
      <c r="J3009" s="6" t="str">
        <f>IF(Table1[[#This Row],[FIN]]="","Acumulado",IF(ISNUMBER(SEARCH("ASAP",C3009)),"ASAP",IF(NETWORKDAYS.INTL(F3009,G3009,1,Table2[Dias no laborales]) &lt;= 7, "Dentro", IF(A3009&gt;F3009,"Programado","Fuera"))))</f>
        <v>Acumulado</v>
      </c>
      <c r="K3009" s="6" t="str">
        <f t="shared" si="166"/>
        <v>A tiempo</v>
      </c>
      <c r="L3009" s="8"/>
      <c r="M3009" s="17">
        <f>MAX(1,NETWORKDAYS(A3009,L3009,Table2[Dias no laborales]))</f>
        <v>1</v>
      </c>
    </row>
    <row r="3010" spans="1:13" x14ac:dyDescent="0.3">
      <c r="A3010" s="8"/>
      <c r="B3010" s="16" t="s">
        <v>5627</v>
      </c>
      <c r="C3010" s="6"/>
      <c r="D3010" s="6"/>
      <c r="E3010" s="14"/>
      <c r="F3010" s="25">
        <f>IF(HOUR(Table1[[#This Row],[CORREO]])&gt;=11,WORKDAY(Table1[[#This Row],[CORREO]],1,Table2[Dias no laborales]),E3010)</f>
        <v>0</v>
      </c>
      <c r="G3010" s="8"/>
      <c r="H3010" s="6">
        <f t="shared" si="165"/>
        <v>0</v>
      </c>
      <c r="I3010" s="6">
        <f>MAX(1, NETWORKDAYS(A3010, G3010,Table2[Dias no laborales]))</f>
        <v>1</v>
      </c>
      <c r="J3010" s="6" t="str">
        <f>IF(Table1[[#This Row],[FIN]]="","Acumulado",IF(ISNUMBER(SEARCH("ASAP",C3010)),"ASAP",IF(NETWORKDAYS.INTL(F3010,G3010,1,Table2[Dias no laborales]) &lt;= 7, "Dentro", IF(A3010&gt;F3010,"Programado","Fuera"))))</f>
        <v>Acumulado</v>
      </c>
      <c r="K3010" s="6" t="str">
        <f t="shared" si="166"/>
        <v>A tiempo</v>
      </c>
      <c r="L3010" s="8"/>
      <c r="M3010" s="17">
        <f>MAX(1,NETWORKDAYS(A3010,L3010,Table2[Dias no laborales]))</f>
        <v>1</v>
      </c>
    </row>
    <row r="3011" spans="1:13" x14ac:dyDescent="0.3">
      <c r="A3011" s="8"/>
      <c r="B3011" s="16" t="s">
        <v>5628</v>
      </c>
      <c r="C3011" s="6"/>
      <c r="D3011" s="6"/>
      <c r="E3011" s="14"/>
      <c r="F3011" s="25">
        <f>IF(HOUR(Table1[[#This Row],[CORREO]])&gt;=11,WORKDAY(Table1[[#This Row],[CORREO]],1,Table2[Dias no laborales]),E3011)</f>
        <v>0</v>
      </c>
      <c r="G3011" s="8"/>
      <c r="H3011" s="6">
        <f t="shared" si="165"/>
        <v>0</v>
      </c>
      <c r="I3011" s="6">
        <f>MAX(1, NETWORKDAYS(A3011, G3011,Table2[Dias no laborales]))</f>
        <v>1</v>
      </c>
      <c r="J3011" s="6" t="str">
        <f>IF(Table1[[#This Row],[FIN]]="","Acumulado",IF(ISNUMBER(SEARCH("ASAP",C3011)),"ASAP",IF(NETWORKDAYS.INTL(F3011,G3011,1,Table2[Dias no laborales]) &lt;= 7, "Dentro", IF(A3011&gt;F3011,"Programado","Fuera"))))</f>
        <v>Acumulado</v>
      </c>
      <c r="K3011" s="6" t="str">
        <f t="shared" si="166"/>
        <v>A tiempo</v>
      </c>
      <c r="L3011" s="8"/>
      <c r="M3011" s="17">
        <f>MAX(1,NETWORKDAYS(A3011,L3011,Table2[Dias no laborales]))</f>
        <v>1</v>
      </c>
    </row>
    <row r="3012" spans="1:13" x14ac:dyDescent="0.3">
      <c r="A3012" s="8"/>
      <c r="B3012" s="16" t="s">
        <v>5629</v>
      </c>
      <c r="C3012" s="6"/>
      <c r="D3012" s="6"/>
      <c r="E3012" s="14"/>
      <c r="F3012" s="25">
        <f>IF(HOUR(Table1[[#This Row],[CORREO]])&gt;=11,WORKDAY(Table1[[#This Row],[CORREO]],1,Table2[Dias no laborales]),E3012)</f>
        <v>0</v>
      </c>
      <c r="G3012" s="8"/>
      <c r="H3012" s="6">
        <f t="shared" si="165"/>
        <v>0</v>
      </c>
      <c r="I3012" s="6">
        <f>MAX(1, NETWORKDAYS(A3012, G3012,Table2[Dias no laborales]))</f>
        <v>1</v>
      </c>
      <c r="J3012" s="6" t="str">
        <f>IF(Table1[[#This Row],[FIN]]="","Acumulado",IF(ISNUMBER(SEARCH("ASAP",C3012)),"ASAP",IF(NETWORKDAYS.INTL(F3012,G3012,1,Table2[Dias no laborales]) &lt;= 7, "Dentro", IF(A3012&gt;F3012,"Programado","Fuera"))))</f>
        <v>Acumulado</v>
      </c>
      <c r="K3012" s="6" t="str">
        <f t="shared" si="166"/>
        <v>A tiempo</v>
      </c>
      <c r="L3012" s="8"/>
      <c r="M3012" s="17">
        <f>MAX(1,NETWORKDAYS(A3012,L3012,Table2[Dias no laborales]))</f>
        <v>1</v>
      </c>
    </row>
    <row r="3013" spans="1:13" x14ac:dyDescent="0.3">
      <c r="A3013" s="8"/>
      <c r="B3013" s="16" t="s">
        <v>5630</v>
      </c>
      <c r="C3013" s="6"/>
      <c r="D3013" s="6"/>
      <c r="E3013" s="14"/>
      <c r="F3013" s="25">
        <f>IF(HOUR(Table1[[#This Row],[CORREO]])&gt;=11,WORKDAY(Table1[[#This Row],[CORREO]],1,Table2[Dias no laborales]),E3013)</f>
        <v>0</v>
      </c>
      <c r="G3013" s="8"/>
      <c r="H3013" s="6">
        <f t="shared" si="165"/>
        <v>0</v>
      </c>
      <c r="I3013" s="6">
        <f>MAX(1, NETWORKDAYS(A3013, G3013,Table2[Dias no laborales]))</f>
        <v>1</v>
      </c>
      <c r="J3013" s="6" t="str">
        <f>IF(Table1[[#This Row],[FIN]]="","Acumulado",IF(ISNUMBER(SEARCH("ASAP",C3013)),"ASAP",IF(NETWORKDAYS.INTL(F3013,G3013,1,Table2[Dias no laborales]) &lt;= 7, "Dentro", IF(A3013&gt;F3013,"Programado","Fuera"))))</f>
        <v>Acumulado</v>
      </c>
      <c r="K3013" s="6" t="str">
        <f t="shared" si="166"/>
        <v>A tiempo</v>
      </c>
      <c r="L3013" s="8"/>
      <c r="M3013" s="17">
        <f>MAX(1,NETWORKDAYS(A3013,L3013,Table2[Dias no laborales]))</f>
        <v>1</v>
      </c>
    </row>
    <row r="3014" spans="1:13" x14ac:dyDescent="0.3">
      <c r="A3014" s="8"/>
      <c r="B3014" s="16" t="s">
        <v>5631</v>
      </c>
      <c r="C3014" s="6"/>
      <c r="D3014" s="6"/>
      <c r="E3014" s="14"/>
      <c r="F3014" s="25">
        <f>IF(HOUR(Table1[[#This Row],[CORREO]])&gt;=11,WORKDAY(Table1[[#This Row],[CORREO]],1,Table2[Dias no laborales]),E3014)</f>
        <v>0</v>
      </c>
      <c r="G3014" s="8"/>
      <c r="H3014" s="6">
        <f t="shared" si="165"/>
        <v>0</v>
      </c>
      <c r="I3014" s="6">
        <f>MAX(1, NETWORKDAYS(A3014, G3014,Table2[Dias no laborales]))</f>
        <v>1</v>
      </c>
      <c r="J3014" s="6" t="str">
        <f>IF(Table1[[#This Row],[FIN]]="","Acumulado",IF(ISNUMBER(SEARCH("ASAP",C3014)),"ASAP",IF(NETWORKDAYS.INTL(F3014,G3014,1,Table2[Dias no laborales]) &lt;= 7, "Dentro", IF(A3014&gt;F3014,"Programado","Fuera"))))</f>
        <v>Acumulado</v>
      </c>
      <c r="K3014" s="6" t="str">
        <f t="shared" si="166"/>
        <v>A tiempo</v>
      </c>
      <c r="L3014" s="8"/>
      <c r="M3014" s="17">
        <f>MAX(1,NETWORKDAYS(A3014,L3014,Table2[Dias no laborales]))</f>
        <v>1</v>
      </c>
    </row>
    <row r="3015" spans="1:13" x14ac:dyDescent="0.3">
      <c r="A3015" s="8"/>
      <c r="B3015" s="16" t="s">
        <v>5632</v>
      </c>
      <c r="C3015" s="6"/>
      <c r="D3015" s="6"/>
      <c r="E3015" s="14"/>
      <c r="F3015" s="25">
        <f>IF(HOUR(Table1[[#This Row],[CORREO]])&gt;=11,WORKDAY(Table1[[#This Row],[CORREO]],1,Table2[Dias no laborales]),E3015)</f>
        <v>0</v>
      </c>
      <c r="G3015" s="8"/>
      <c r="H3015" s="6">
        <f t="shared" si="165"/>
        <v>0</v>
      </c>
      <c r="I3015" s="6">
        <f>MAX(1, NETWORKDAYS(A3015, G3015,Table2[Dias no laborales]))</f>
        <v>1</v>
      </c>
      <c r="J3015" s="6" t="str">
        <f>IF(Table1[[#This Row],[FIN]]="","Acumulado",IF(ISNUMBER(SEARCH("ASAP",C3015)),"ASAP",IF(NETWORKDAYS.INTL(F3015,G3015,1,Table2[Dias no laborales]) &lt;= 7, "Dentro", IF(A3015&gt;F3015,"Programado","Fuera"))))</f>
        <v>Acumulado</v>
      </c>
      <c r="K3015" s="6" t="str">
        <f t="shared" si="166"/>
        <v>A tiempo</v>
      </c>
      <c r="L3015" s="8"/>
      <c r="M3015" s="17">
        <f>MAX(1,NETWORKDAYS(A3015,L3015,Table2[Dias no laborales]))</f>
        <v>1</v>
      </c>
    </row>
    <row r="3016" spans="1:13" x14ac:dyDescent="0.3">
      <c r="A3016" s="8"/>
      <c r="B3016" s="16" t="s">
        <v>5633</v>
      </c>
      <c r="C3016" s="6"/>
      <c r="D3016" s="6"/>
      <c r="E3016" s="14"/>
      <c r="F3016" s="25">
        <f>IF(HOUR(Table1[[#This Row],[CORREO]])&gt;=11,WORKDAY(Table1[[#This Row],[CORREO]],1,Table2[Dias no laborales]),E3016)</f>
        <v>0</v>
      </c>
      <c r="G3016" s="8"/>
      <c r="H3016" s="6">
        <f t="shared" si="165"/>
        <v>0</v>
      </c>
      <c r="I3016" s="6">
        <f>MAX(1, NETWORKDAYS(A3016, G3016,Table2[Dias no laborales]))</f>
        <v>1</v>
      </c>
      <c r="J3016" s="6" t="str">
        <f>IF(Table1[[#This Row],[FIN]]="","Acumulado",IF(ISNUMBER(SEARCH("ASAP",C3016)),"ASAP",IF(NETWORKDAYS.INTL(F3016,G3016,1,Table2[Dias no laborales]) &lt;= 7, "Dentro", IF(A3016&gt;F3016,"Programado","Fuera"))))</f>
        <v>Acumulado</v>
      </c>
      <c r="K3016" s="6" t="str">
        <f t="shared" si="166"/>
        <v>A tiempo</v>
      </c>
      <c r="L3016" s="8"/>
      <c r="M3016" s="17">
        <f>MAX(1,NETWORKDAYS(A3016,L3016,Table2[Dias no laborales]))</f>
        <v>1</v>
      </c>
    </row>
    <row r="3017" spans="1:13" x14ac:dyDescent="0.3">
      <c r="A3017" s="8"/>
      <c r="B3017" s="16" t="s">
        <v>5634</v>
      </c>
      <c r="C3017" s="6"/>
      <c r="D3017" s="6"/>
      <c r="E3017" s="14"/>
      <c r="F3017" s="25">
        <f>IF(HOUR(Table1[[#This Row],[CORREO]])&gt;=11,WORKDAY(Table1[[#This Row],[CORREO]],1,Table2[Dias no laborales]),E3017)</f>
        <v>0</v>
      </c>
      <c r="G3017" s="8"/>
      <c r="H3017" s="6">
        <f t="shared" si="165"/>
        <v>0</v>
      </c>
      <c r="I3017" s="6">
        <f>MAX(1, NETWORKDAYS(A3017, G3017,Table2[Dias no laborales]))</f>
        <v>1</v>
      </c>
      <c r="J3017" s="6" t="str">
        <f>IF(Table1[[#This Row],[FIN]]="","Acumulado",IF(ISNUMBER(SEARCH("ASAP",C3017)),"ASAP",IF(NETWORKDAYS.INTL(F3017,G3017,1,Table2[Dias no laborales]) &lt;= 7, "Dentro", IF(A3017&gt;F3017,"Programado","Fuera"))))</f>
        <v>Acumulado</v>
      </c>
      <c r="K3017" s="6" t="str">
        <f t="shared" si="166"/>
        <v>A tiempo</v>
      </c>
      <c r="L3017" s="8"/>
      <c r="M3017" s="17">
        <f>MAX(1,NETWORKDAYS(A3017,L3017,Table2[Dias no laborales]))</f>
        <v>1</v>
      </c>
    </row>
    <row r="3018" spans="1:13" x14ac:dyDescent="0.3">
      <c r="A3018" s="8"/>
      <c r="B3018" s="16" t="s">
        <v>5635</v>
      </c>
      <c r="C3018" s="6"/>
      <c r="D3018" s="6"/>
      <c r="E3018" s="14"/>
      <c r="F3018" s="25">
        <f>IF(HOUR(Table1[[#This Row],[CORREO]])&gt;=11,WORKDAY(Table1[[#This Row],[CORREO]],1,Table2[Dias no laborales]),E3018)</f>
        <v>0</v>
      </c>
      <c r="G3018" s="8"/>
      <c r="H3018" s="6">
        <f t="shared" si="165"/>
        <v>0</v>
      </c>
      <c r="I3018" s="6">
        <f>MAX(1, NETWORKDAYS(A3018, G3018,Table2[Dias no laborales]))</f>
        <v>1</v>
      </c>
      <c r="J3018" s="6" t="str">
        <f>IF(Table1[[#This Row],[FIN]]="","Acumulado",IF(ISNUMBER(SEARCH("ASAP",C3018)),"ASAP",IF(NETWORKDAYS.INTL(F3018,G3018,1,Table2[Dias no laborales]) &lt;= 7, "Dentro", IF(A3018&gt;F3018,"Programado","Fuera"))))</f>
        <v>Acumulado</v>
      </c>
      <c r="K3018" s="6" t="str">
        <f t="shared" si="166"/>
        <v>A tiempo</v>
      </c>
      <c r="L3018" s="8"/>
      <c r="M3018" s="17">
        <f>MAX(1,NETWORKDAYS(A3018,L3018,Table2[Dias no laborales]))</f>
        <v>1</v>
      </c>
    </row>
    <row r="3019" spans="1:13" x14ac:dyDescent="0.3">
      <c r="A3019" s="8"/>
      <c r="B3019" s="16" t="s">
        <v>5636</v>
      </c>
      <c r="C3019" s="6"/>
      <c r="D3019" s="6"/>
      <c r="E3019" s="14"/>
      <c r="F3019" s="25">
        <f>IF(HOUR(Table1[[#This Row],[CORREO]])&gt;=11,WORKDAY(Table1[[#This Row],[CORREO]],1,Table2[Dias no laborales]),E3019)</f>
        <v>0</v>
      </c>
      <c r="G3019" s="8"/>
      <c r="H3019" s="6">
        <f t="shared" si="165"/>
        <v>0</v>
      </c>
      <c r="I3019" s="6">
        <f>MAX(1, NETWORKDAYS(A3019, G3019,Table2[Dias no laborales]))</f>
        <v>1</v>
      </c>
      <c r="J3019" s="6" t="str">
        <f>IF(Table1[[#This Row],[FIN]]="","Acumulado",IF(ISNUMBER(SEARCH("ASAP",C3019)),"ASAP",IF(NETWORKDAYS.INTL(F3019,G3019,1,Table2[Dias no laborales]) &lt;= 7, "Dentro", IF(A3019&gt;F3019,"Programado","Fuera"))))</f>
        <v>Acumulado</v>
      </c>
      <c r="K3019" s="6" t="str">
        <f t="shared" si="166"/>
        <v>A tiempo</v>
      </c>
      <c r="L3019" s="8"/>
      <c r="M3019" s="17">
        <f>MAX(1,NETWORKDAYS(A3019,L3019,Table2[Dias no laborales]))</f>
        <v>1</v>
      </c>
    </row>
    <row r="3020" spans="1:13" x14ac:dyDescent="0.3">
      <c r="A3020" s="8"/>
      <c r="B3020" s="16" t="s">
        <v>5637</v>
      </c>
      <c r="C3020" s="6"/>
      <c r="D3020" s="6"/>
      <c r="E3020" s="14"/>
      <c r="F3020" s="25">
        <f>IF(HOUR(Table1[[#This Row],[CORREO]])&gt;=11,WORKDAY(Table1[[#This Row],[CORREO]],1,Table2[Dias no laborales]),E3020)</f>
        <v>0</v>
      </c>
      <c r="G3020" s="8"/>
      <c r="H3020" s="6">
        <f t="shared" si="165"/>
        <v>0</v>
      </c>
      <c r="I3020" s="6">
        <f>MAX(1, NETWORKDAYS(A3020, G3020,Table2[Dias no laborales]))</f>
        <v>1</v>
      </c>
      <c r="J3020" s="6" t="str">
        <f>IF(Table1[[#This Row],[FIN]]="","Acumulado",IF(ISNUMBER(SEARCH("ASAP",C3020)),"ASAP",IF(NETWORKDAYS.INTL(F3020,G3020,1,Table2[Dias no laborales]) &lt;= 7, "Dentro", IF(A3020&gt;F3020,"Programado","Fuera"))))</f>
        <v>Acumulado</v>
      </c>
      <c r="K3020" s="6" t="str">
        <f t="shared" si="166"/>
        <v>A tiempo</v>
      </c>
      <c r="L3020" s="8"/>
      <c r="M3020" s="17">
        <f>MAX(1,NETWORKDAYS(A3020,L3020,Table2[Dias no laborales]))</f>
        <v>1</v>
      </c>
    </row>
    <row r="3021" spans="1:13" x14ac:dyDescent="0.3">
      <c r="A3021" s="8"/>
      <c r="B3021" s="16" t="s">
        <v>5638</v>
      </c>
      <c r="C3021" s="6"/>
      <c r="D3021" s="6"/>
      <c r="E3021" s="14"/>
      <c r="F3021" s="25">
        <f>IF(HOUR(Table1[[#This Row],[CORREO]])&gt;=11,WORKDAY(Table1[[#This Row],[CORREO]],1,Table2[Dias no laborales]),E3021)</f>
        <v>0</v>
      </c>
      <c r="G3021" s="8"/>
      <c r="H3021" s="6">
        <f t="shared" si="165"/>
        <v>0</v>
      </c>
      <c r="I3021" s="6">
        <f>MAX(1, NETWORKDAYS(A3021, G3021,Table2[Dias no laborales]))</f>
        <v>1</v>
      </c>
      <c r="J3021" s="6" t="str">
        <f>IF(Table1[[#This Row],[FIN]]="","Acumulado",IF(ISNUMBER(SEARCH("ASAP",C3021)),"ASAP",IF(NETWORKDAYS.INTL(F3021,G3021,1,Table2[Dias no laborales]) &lt;= 7, "Dentro", IF(A3021&gt;F3021,"Programado","Fuera"))))</f>
        <v>Acumulado</v>
      </c>
      <c r="K3021" s="6" t="str">
        <f t="shared" si="166"/>
        <v>A tiempo</v>
      </c>
      <c r="L3021" s="8"/>
      <c r="M3021" s="17">
        <f>MAX(1,NETWORKDAYS(A3021,L3021,Table2[Dias no laborales]))</f>
        <v>1</v>
      </c>
    </row>
    <row r="3022" spans="1:13" x14ac:dyDescent="0.3">
      <c r="A3022" s="8"/>
      <c r="B3022" s="16" t="s">
        <v>5639</v>
      </c>
      <c r="C3022" s="6"/>
      <c r="D3022" s="6"/>
      <c r="E3022" s="14"/>
      <c r="F3022" s="25">
        <f>IF(HOUR(Table1[[#This Row],[CORREO]])&gt;=11,WORKDAY(Table1[[#This Row],[CORREO]],1,Table2[Dias no laborales]),E3022)</f>
        <v>0</v>
      </c>
      <c r="G3022" s="8"/>
      <c r="H3022" s="6">
        <f t="shared" si="165"/>
        <v>0</v>
      </c>
      <c r="I3022" s="6">
        <f>MAX(1, NETWORKDAYS(A3022, G3022,Table2[Dias no laborales]))</f>
        <v>1</v>
      </c>
      <c r="J3022" s="6" t="str">
        <f>IF(Table1[[#This Row],[FIN]]="","Acumulado",IF(ISNUMBER(SEARCH("ASAP",C3022)),"ASAP",IF(NETWORKDAYS.INTL(F3022,G3022,1,Table2[Dias no laborales]) &lt;= 7, "Dentro", IF(A3022&gt;F3022,"Programado","Fuera"))))</f>
        <v>Acumulado</v>
      </c>
      <c r="K3022" s="6" t="str">
        <f t="shared" si="166"/>
        <v>A tiempo</v>
      </c>
      <c r="L3022" s="8"/>
      <c r="M3022" s="17">
        <f>MAX(1,NETWORKDAYS(A3022,L3022,Table2[Dias no laborales]))</f>
        <v>1</v>
      </c>
    </row>
    <row r="3023" spans="1:13" x14ac:dyDescent="0.3">
      <c r="A3023" s="8"/>
      <c r="B3023" s="16" t="s">
        <v>5640</v>
      </c>
      <c r="C3023" s="6"/>
      <c r="D3023" s="6"/>
      <c r="E3023" s="14"/>
      <c r="F3023" s="25">
        <f>IF(HOUR(Table1[[#This Row],[CORREO]])&gt;=11,WORKDAY(Table1[[#This Row],[CORREO]],1,Table2[Dias no laborales]),E3023)</f>
        <v>0</v>
      </c>
      <c r="G3023" s="8"/>
      <c r="H3023" s="6">
        <f t="shared" si="165"/>
        <v>0</v>
      </c>
      <c r="I3023" s="6">
        <f>MAX(1, NETWORKDAYS(A3023, G3023,Table2[Dias no laborales]))</f>
        <v>1</v>
      </c>
      <c r="J3023" s="6" t="str">
        <f>IF(Table1[[#This Row],[FIN]]="","Acumulado",IF(ISNUMBER(SEARCH("ASAP",C3023)),"ASAP",IF(NETWORKDAYS.INTL(F3023,G3023,1,Table2[Dias no laborales]) &lt;= 7, "Dentro", IF(A3023&gt;F3023,"Programado","Fuera"))))</f>
        <v>Acumulado</v>
      </c>
      <c r="K3023" s="6" t="str">
        <f t="shared" si="166"/>
        <v>A tiempo</v>
      </c>
      <c r="L3023" s="8"/>
      <c r="M3023" s="17">
        <f>MAX(1,NETWORKDAYS(A3023,L3023,Table2[Dias no laborales]))</f>
        <v>1</v>
      </c>
    </row>
    <row r="3024" spans="1:13" x14ac:dyDescent="0.3">
      <c r="A3024" s="8"/>
      <c r="B3024" s="16" t="s">
        <v>5641</v>
      </c>
      <c r="C3024" s="6"/>
      <c r="D3024" s="6"/>
      <c r="E3024" s="14"/>
      <c r="F3024" s="25">
        <f>IF(HOUR(Table1[[#This Row],[CORREO]])&gt;=11,WORKDAY(Table1[[#This Row],[CORREO]],1,Table2[Dias no laborales]),E3024)</f>
        <v>0</v>
      </c>
      <c r="G3024" s="8"/>
      <c r="H3024" s="6">
        <f t="shared" si="165"/>
        <v>0</v>
      </c>
      <c r="I3024" s="6">
        <f>MAX(1, NETWORKDAYS(A3024, G3024,Table2[Dias no laborales]))</f>
        <v>1</v>
      </c>
      <c r="J3024" s="6" t="str">
        <f>IF(Table1[[#This Row],[FIN]]="","Acumulado",IF(ISNUMBER(SEARCH("ASAP",C3024)),"ASAP",IF(NETWORKDAYS.INTL(F3024,G3024,1,Table2[Dias no laborales]) &lt;= 7, "Dentro", IF(A3024&gt;F3024,"Programado","Fuera"))))</f>
        <v>Acumulado</v>
      </c>
      <c r="K3024" s="6" t="str">
        <f t="shared" si="166"/>
        <v>A tiempo</v>
      </c>
      <c r="L3024" s="8"/>
      <c r="M3024" s="17">
        <f>MAX(1,NETWORKDAYS(A3024,L3024,Table2[Dias no laborales]))</f>
        <v>1</v>
      </c>
    </row>
    <row r="3025" spans="1:13" x14ac:dyDescent="0.3">
      <c r="A3025" s="8"/>
      <c r="B3025" s="16" t="s">
        <v>5642</v>
      </c>
      <c r="C3025" s="6"/>
      <c r="D3025" s="6"/>
      <c r="E3025" s="14"/>
      <c r="F3025" s="25">
        <f>IF(HOUR(Table1[[#This Row],[CORREO]])&gt;=11,WORKDAY(Table1[[#This Row],[CORREO]],1,Table2[Dias no laborales]),E3025)</f>
        <v>0</v>
      </c>
      <c r="G3025" s="8"/>
      <c r="H3025" s="6">
        <f t="shared" si="165"/>
        <v>0</v>
      </c>
      <c r="I3025" s="6">
        <f>MAX(1, NETWORKDAYS(A3025, G3025,Table2[Dias no laborales]))</f>
        <v>1</v>
      </c>
      <c r="J3025" s="6" t="str">
        <f>IF(Table1[[#This Row],[FIN]]="","Acumulado",IF(ISNUMBER(SEARCH("ASAP",C3025)),"ASAP",IF(NETWORKDAYS.INTL(F3025,G3025,1,Table2[Dias no laborales]) &lt;= 7, "Dentro", IF(A3025&gt;F3025,"Programado","Fuera"))))</f>
        <v>Acumulado</v>
      </c>
      <c r="K3025" s="6" t="str">
        <f t="shared" si="166"/>
        <v>A tiempo</v>
      </c>
      <c r="L3025" s="8"/>
      <c r="M3025" s="17">
        <f>MAX(1,NETWORKDAYS(A3025,L3025,Table2[Dias no laborales]))</f>
        <v>1</v>
      </c>
    </row>
    <row r="3026" spans="1:13" x14ac:dyDescent="0.3">
      <c r="A3026" s="8"/>
      <c r="B3026" s="16" t="s">
        <v>5643</v>
      </c>
      <c r="C3026" s="6"/>
      <c r="D3026" s="6"/>
      <c r="E3026" s="14"/>
      <c r="F3026" s="25">
        <f>IF(HOUR(Table1[[#This Row],[CORREO]])&gt;=11,WORKDAY(Table1[[#This Row],[CORREO]],1,Table2[Dias no laborales]),E3026)</f>
        <v>0</v>
      </c>
      <c r="G3026" s="8"/>
      <c r="H3026" s="6">
        <f t="shared" si="165"/>
        <v>0</v>
      </c>
      <c r="I3026" s="6">
        <f>MAX(1, NETWORKDAYS(A3026, G3026,Table2[Dias no laborales]))</f>
        <v>1</v>
      </c>
      <c r="J3026" s="6" t="str">
        <f>IF(Table1[[#This Row],[FIN]]="","Acumulado",IF(ISNUMBER(SEARCH("ASAP",C3026)),"ASAP",IF(NETWORKDAYS.INTL(F3026,G3026,1,Table2[Dias no laborales]) &lt;= 7, "Dentro", IF(A3026&gt;F3026,"Programado","Fuera"))))</f>
        <v>Acumulado</v>
      </c>
      <c r="K3026" s="6" t="str">
        <f t="shared" si="166"/>
        <v>A tiempo</v>
      </c>
      <c r="L3026" s="8"/>
      <c r="M3026" s="17">
        <f>MAX(1,NETWORKDAYS(A3026,L3026,Table2[Dias no laborales]))</f>
        <v>1</v>
      </c>
    </row>
    <row r="3027" spans="1:13" x14ac:dyDescent="0.3">
      <c r="A3027" s="8"/>
      <c r="B3027" s="16" t="s">
        <v>5644</v>
      </c>
      <c r="C3027" s="6"/>
      <c r="D3027" s="6"/>
      <c r="E3027" s="14"/>
      <c r="F3027" s="25">
        <f>IF(HOUR(Table1[[#This Row],[CORREO]])&gt;=11,WORKDAY(Table1[[#This Row],[CORREO]],1,Table2[Dias no laborales]),E3027)</f>
        <v>0</v>
      </c>
      <c r="G3027" s="8"/>
      <c r="H3027" s="6">
        <f t="shared" si="165"/>
        <v>0</v>
      </c>
      <c r="I3027" s="6">
        <f>MAX(1, NETWORKDAYS(A3027, G3027,Table2[Dias no laborales]))</f>
        <v>1</v>
      </c>
      <c r="J3027" s="6" t="str">
        <f>IF(Table1[[#This Row],[FIN]]="","Acumulado",IF(ISNUMBER(SEARCH("ASAP",C3027)),"ASAP",IF(NETWORKDAYS.INTL(F3027,G3027,1,Table2[Dias no laborales]) &lt;= 7, "Dentro", IF(A3027&gt;F3027,"Programado","Fuera"))))</f>
        <v>Acumulado</v>
      </c>
      <c r="K3027" s="6" t="str">
        <f t="shared" si="166"/>
        <v>A tiempo</v>
      </c>
      <c r="L3027" s="8"/>
      <c r="M3027" s="17">
        <f>MAX(1,NETWORKDAYS(A3027,L3027,Table2[Dias no laborales]))</f>
        <v>1</v>
      </c>
    </row>
    <row r="3028" spans="1:13" x14ac:dyDescent="0.3">
      <c r="A3028" s="8"/>
      <c r="B3028" s="16" t="s">
        <v>5645</v>
      </c>
      <c r="C3028" s="6"/>
      <c r="D3028" s="6"/>
      <c r="E3028" s="14"/>
      <c r="F3028" s="25">
        <f>IF(HOUR(Table1[[#This Row],[CORREO]])&gt;=11,WORKDAY(Table1[[#This Row],[CORREO]],1,Table2[Dias no laborales]),E3028)</f>
        <v>0</v>
      </c>
      <c r="G3028" s="8"/>
      <c r="H3028" s="6">
        <f t="shared" si="165"/>
        <v>0</v>
      </c>
      <c r="I3028" s="6">
        <f>MAX(1, NETWORKDAYS(A3028, G3028,Table2[Dias no laborales]))</f>
        <v>1</v>
      </c>
      <c r="J3028" s="6" t="str">
        <f>IF(Table1[[#This Row],[FIN]]="","Acumulado",IF(ISNUMBER(SEARCH("ASAP",C3028)),"ASAP",IF(NETWORKDAYS.INTL(F3028,G3028,1,Table2[Dias no laborales]) &lt;= 7, "Dentro", IF(A3028&gt;F3028,"Programado","Fuera"))))</f>
        <v>Acumulado</v>
      </c>
      <c r="K3028" s="6" t="str">
        <f t="shared" si="166"/>
        <v>A tiempo</v>
      </c>
      <c r="L3028" s="8"/>
      <c r="M3028" s="17">
        <f>MAX(1,NETWORKDAYS(A3028,L3028,Table2[Dias no laborales]))</f>
        <v>1</v>
      </c>
    </row>
    <row r="3029" spans="1:13" x14ac:dyDescent="0.3">
      <c r="A3029" s="8"/>
      <c r="B3029" s="16" t="s">
        <v>5646</v>
      </c>
      <c r="C3029" s="6"/>
      <c r="D3029" s="6"/>
      <c r="E3029" s="14"/>
      <c r="F3029" s="25">
        <f>IF(HOUR(Table1[[#This Row],[CORREO]])&gt;=11,WORKDAY(Table1[[#This Row],[CORREO]],1,Table2[Dias no laborales]),E3029)</f>
        <v>0</v>
      </c>
      <c r="G3029" s="8"/>
      <c r="H3029" s="6">
        <f t="shared" si="165"/>
        <v>0</v>
      </c>
      <c r="I3029" s="6">
        <f>MAX(1, NETWORKDAYS(A3029, G3029,Table2[Dias no laborales]))</f>
        <v>1</v>
      </c>
      <c r="J3029" s="6" t="str">
        <f>IF(Table1[[#This Row],[FIN]]="","Acumulado",IF(ISNUMBER(SEARCH("ASAP",C3029)),"ASAP",IF(NETWORKDAYS.INTL(F3029,G3029,1,Table2[Dias no laborales]) &lt;= 7, "Dentro", IF(A3029&gt;F3029,"Programado","Fuera"))))</f>
        <v>Acumulado</v>
      </c>
      <c r="K3029" s="6" t="str">
        <f t="shared" si="166"/>
        <v>A tiempo</v>
      </c>
      <c r="L3029" s="8"/>
      <c r="M3029" s="17">
        <f>MAX(1,NETWORKDAYS(A3029,L3029,Table2[Dias no laborales]))</f>
        <v>1</v>
      </c>
    </row>
    <row r="3030" spans="1:13" x14ac:dyDescent="0.3">
      <c r="A3030" s="8"/>
      <c r="B3030" s="16" t="s">
        <v>5647</v>
      </c>
      <c r="C3030" s="6"/>
      <c r="D3030" s="6"/>
      <c r="E3030" s="14"/>
      <c r="F3030" s="25">
        <f>IF(HOUR(Table1[[#This Row],[CORREO]])&gt;=11,WORKDAY(Table1[[#This Row],[CORREO]],1,Table2[Dias no laborales]),E3030)</f>
        <v>0</v>
      </c>
      <c r="G3030" s="8"/>
      <c r="H3030" s="6">
        <f t="shared" si="165"/>
        <v>0</v>
      </c>
      <c r="I3030" s="6">
        <f>MAX(1, NETWORKDAYS(A3030, G3030,Table2[Dias no laborales]))</f>
        <v>1</v>
      </c>
      <c r="J3030" s="6" t="str">
        <f>IF(Table1[[#This Row],[FIN]]="","Acumulado",IF(ISNUMBER(SEARCH("ASAP",C3030)),"ASAP",IF(NETWORKDAYS.INTL(F3030,G3030,1,Table2[Dias no laborales]) &lt;= 7, "Dentro", IF(A3030&gt;F3030,"Programado","Fuera"))))</f>
        <v>Acumulado</v>
      </c>
      <c r="K3030" s="6" t="str">
        <f t="shared" si="166"/>
        <v>A tiempo</v>
      </c>
      <c r="L3030" s="8"/>
      <c r="M3030" s="17">
        <f>MAX(1,NETWORKDAYS(A3030,L3030,Table2[Dias no laborales]))</f>
        <v>1</v>
      </c>
    </row>
    <row r="3031" spans="1:13" x14ac:dyDescent="0.3">
      <c r="A3031" s="8"/>
      <c r="B3031" s="16" t="s">
        <v>5648</v>
      </c>
      <c r="C3031" s="6"/>
      <c r="D3031" s="6"/>
      <c r="E3031" s="14"/>
      <c r="F3031" s="25">
        <f>IF(HOUR(Table1[[#This Row],[CORREO]])&gt;=11,WORKDAY(Table1[[#This Row],[CORREO]],1,Table2[Dias no laborales]),E3031)</f>
        <v>0</v>
      </c>
      <c r="G3031" s="8"/>
      <c r="H3031" s="6">
        <f t="shared" si="165"/>
        <v>0</v>
      </c>
      <c r="I3031" s="6">
        <f>MAX(1, NETWORKDAYS(A3031, G3031,Table2[Dias no laborales]))</f>
        <v>1</v>
      </c>
      <c r="J3031" s="6" t="str">
        <f>IF(Table1[[#This Row],[FIN]]="","Acumulado",IF(ISNUMBER(SEARCH("ASAP",C3031)),"ASAP",IF(NETWORKDAYS.INTL(F3031,G3031,1,Table2[Dias no laborales]) &lt;= 7, "Dentro", IF(A3031&gt;F3031,"Programado","Fuera"))))</f>
        <v>Acumulado</v>
      </c>
      <c r="K3031" s="6" t="str">
        <f t="shared" si="166"/>
        <v>A tiempo</v>
      </c>
      <c r="L3031" s="8"/>
      <c r="M3031" s="17">
        <f>MAX(1,NETWORKDAYS(A3031,L3031,Table2[Dias no laborales]))</f>
        <v>1</v>
      </c>
    </row>
    <row r="3032" spans="1:13" x14ac:dyDescent="0.3">
      <c r="A3032" s="8"/>
      <c r="B3032" s="16" t="s">
        <v>5649</v>
      </c>
      <c r="C3032" s="6"/>
      <c r="D3032" s="6"/>
      <c r="E3032" s="14"/>
      <c r="F3032" s="25">
        <f>IF(HOUR(Table1[[#This Row],[CORREO]])&gt;=11,WORKDAY(Table1[[#This Row],[CORREO]],1,Table2[Dias no laborales]),E3032)</f>
        <v>0</v>
      </c>
      <c r="G3032" s="8"/>
      <c r="H3032" s="6">
        <f t="shared" si="165"/>
        <v>0</v>
      </c>
      <c r="I3032" s="6">
        <f>MAX(1, NETWORKDAYS(A3032, G3032,Table2[Dias no laborales]))</f>
        <v>1</v>
      </c>
      <c r="J3032" s="6" t="str">
        <f>IF(Table1[[#This Row],[FIN]]="","Acumulado",IF(ISNUMBER(SEARCH("ASAP",C3032)),"ASAP",IF(NETWORKDAYS.INTL(F3032,G3032,1,Table2[Dias no laborales]) &lt;= 7, "Dentro", IF(A3032&gt;F3032,"Programado","Fuera"))))</f>
        <v>Acumulado</v>
      </c>
      <c r="K3032" s="6" t="str">
        <f t="shared" si="166"/>
        <v>A tiempo</v>
      </c>
      <c r="L3032" s="8"/>
      <c r="M3032" s="17">
        <f>MAX(1,NETWORKDAYS(A3032,L3032,Table2[Dias no laborales]))</f>
        <v>1</v>
      </c>
    </row>
    <row r="3033" spans="1:13" x14ac:dyDescent="0.3">
      <c r="A3033" s="8"/>
      <c r="B3033" s="16" t="s">
        <v>5650</v>
      </c>
      <c r="C3033" s="6"/>
      <c r="D3033" s="6"/>
      <c r="E3033" s="14"/>
      <c r="F3033" s="25">
        <f>IF(HOUR(Table1[[#This Row],[CORREO]])&gt;=11,WORKDAY(Table1[[#This Row],[CORREO]],1,Table2[Dias no laborales]),E3033)</f>
        <v>0</v>
      </c>
      <c r="G3033" s="8"/>
      <c r="H3033" s="6">
        <f t="shared" si="165"/>
        <v>0</v>
      </c>
      <c r="I3033" s="6">
        <f>MAX(1, NETWORKDAYS(A3033, G3033,Table2[Dias no laborales]))</f>
        <v>1</v>
      </c>
      <c r="J3033" s="6" t="str">
        <f>IF(Table1[[#This Row],[FIN]]="","Acumulado",IF(ISNUMBER(SEARCH("ASAP",C3033)),"ASAP",IF(NETWORKDAYS.INTL(F3033,G3033,1,Table2[Dias no laborales]) &lt;= 7, "Dentro", IF(A3033&gt;F3033,"Programado","Fuera"))))</f>
        <v>Acumulado</v>
      </c>
      <c r="K3033" s="6" t="str">
        <f t="shared" si="166"/>
        <v>A tiempo</v>
      </c>
      <c r="L3033" s="8"/>
      <c r="M3033" s="17">
        <f>MAX(1,NETWORKDAYS(A3033,L3033,Table2[Dias no laborales]))</f>
        <v>1</v>
      </c>
    </row>
    <row r="3034" spans="1:13" x14ac:dyDescent="0.3">
      <c r="A3034" s="8"/>
      <c r="B3034" s="16" t="s">
        <v>5651</v>
      </c>
      <c r="C3034" s="6"/>
      <c r="D3034" s="6"/>
      <c r="E3034" s="14"/>
      <c r="F3034" s="25">
        <f>IF(HOUR(Table1[[#This Row],[CORREO]])&gt;=11,WORKDAY(Table1[[#This Row],[CORREO]],1,Table2[Dias no laborales]),E3034)</f>
        <v>0</v>
      </c>
      <c r="G3034" s="8"/>
      <c r="H3034" s="6">
        <f t="shared" si="165"/>
        <v>0</v>
      </c>
      <c r="I3034" s="6">
        <f>MAX(1, NETWORKDAYS(A3034, G3034,Table2[Dias no laborales]))</f>
        <v>1</v>
      </c>
      <c r="J3034" s="6" t="str">
        <f>IF(Table1[[#This Row],[FIN]]="","Acumulado",IF(ISNUMBER(SEARCH("ASAP",C3034)),"ASAP",IF(NETWORKDAYS.INTL(F3034,G3034,1,Table2[Dias no laborales]) &lt;= 7, "Dentro", IF(A3034&gt;F3034,"Programado","Fuera"))))</f>
        <v>Acumulado</v>
      </c>
      <c r="K3034" s="6" t="str">
        <f t="shared" si="166"/>
        <v>A tiempo</v>
      </c>
      <c r="L3034" s="8"/>
      <c r="M3034" s="17">
        <f>MAX(1,NETWORKDAYS(A3034,L3034,Table2[Dias no laborales]))</f>
        <v>1</v>
      </c>
    </row>
    <row r="3035" spans="1:13" x14ac:dyDescent="0.3">
      <c r="A3035" s="8"/>
      <c r="B3035" s="16" t="s">
        <v>5652</v>
      </c>
      <c r="C3035" s="6"/>
      <c r="D3035" s="6"/>
      <c r="E3035" s="14"/>
      <c r="F3035" s="25">
        <f>IF(HOUR(Table1[[#This Row],[CORREO]])&gt;=11,WORKDAY(Table1[[#This Row],[CORREO]],1,Table2[Dias no laborales]),E3035)</f>
        <v>0</v>
      </c>
      <c r="G3035" s="8"/>
      <c r="H3035" s="6">
        <f t="shared" si="165"/>
        <v>0</v>
      </c>
      <c r="I3035" s="6">
        <f>MAX(1, NETWORKDAYS(A3035, G3035,Table2[Dias no laborales]))</f>
        <v>1</v>
      </c>
      <c r="J3035" s="6" t="str">
        <f>IF(Table1[[#This Row],[FIN]]="","Acumulado",IF(ISNUMBER(SEARCH("ASAP",C3035)),"ASAP",IF(NETWORKDAYS.INTL(F3035,G3035,1,Table2[Dias no laborales]) &lt;= 7, "Dentro", IF(A3035&gt;F3035,"Programado","Fuera"))))</f>
        <v>Acumulado</v>
      </c>
      <c r="K3035" s="6" t="str">
        <f t="shared" si="166"/>
        <v>A tiempo</v>
      </c>
      <c r="L3035" s="8"/>
      <c r="M3035" s="17">
        <f>MAX(1,NETWORKDAYS(A3035,L3035,Table2[Dias no laborales]))</f>
        <v>1</v>
      </c>
    </row>
    <row r="3036" spans="1:13" x14ac:dyDescent="0.3">
      <c r="A3036" s="8"/>
      <c r="B3036" s="16" t="s">
        <v>5653</v>
      </c>
      <c r="C3036" s="6"/>
      <c r="D3036" s="6"/>
      <c r="E3036" s="14"/>
      <c r="F3036" s="25">
        <f>IF(HOUR(Table1[[#This Row],[CORREO]])&gt;=11,WORKDAY(Table1[[#This Row],[CORREO]],1,Table2[Dias no laborales]),E3036)</f>
        <v>0</v>
      </c>
      <c r="G3036" s="8"/>
      <c r="H3036" s="6">
        <f t="shared" si="165"/>
        <v>0</v>
      </c>
      <c r="I3036" s="6">
        <f>MAX(1, NETWORKDAYS(A3036, G3036,Table2[Dias no laborales]))</f>
        <v>1</v>
      </c>
      <c r="J3036" s="6" t="str">
        <f>IF(Table1[[#This Row],[FIN]]="","Acumulado",IF(ISNUMBER(SEARCH("ASAP",C3036)),"ASAP",IF(NETWORKDAYS.INTL(F3036,G3036,1,Table2[Dias no laborales]) &lt;= 7, "Dentro", IF(A3036&gt;F3036,"Programado","Fuera"))))</f>
        <v>Acumulado</v>
      </c>
      <c r="K3036" s="6" t="str">
        <f t="shared" si="166"/>
        <v>A tiempo</v>
      </c>
      <c r="L3036" s="8"/>
      <c r="M3036" s="17">
        <f>MAX(1,NETWORKDAYS(A3036,L3036,Table2[Dias no laborales]))</f>
        <v>1</v>
      </c>
    </row>
    <row r="3037" spans="1:13" x14ac:dyDescent="0.3">
      <c r="A3037" s="8"/>
      <c r="B3037" s="16" t="s">
        <v>5654</v>
      </c>
      <c r="C3037" s="6"/>
      <c r="D3037" s="6"/>
      <c r="E3037" s="14"/>
      <c r="F3037" s="25">
        <f>IF(HOUR(Table1[[#This Row],[CORREO]])&gt;=11,WORKDAY(Table1[[#This Row],[CORREO]],1,Table2[Dias no laborales]),E3037)</f>
        <v>0</v>
      </c>
      <c r="G3037" s="8"/>
      <c r="H3037" s="6">
        <f t="shared" ref="H3037:H3068" si="167">INT((A3037-DATE(YEAR(A3037),1,1))/7) + 1</f>
        <v>0</v>
      </c>
      <c r="I3037" s="6">
        <f>MAX(1, NETWORKDAYS(A3037, G3037,Table2[Dias no laborales]))</f>
        <v>1</v>
      </c>
      <c r="J3037" s="6" t="str">
        <f>IF(Table1[[#This Row],[FIN]]="","Acumulado",IF(ISNUMBER(SEARCH("ASAP",C3037)),"ASAP",IF(NETWORKDAYS.INTL(F3037,G3037,1,Table2[Dias no laborales]) &lt;= 7, "Dentro", IF(A3037&gt;F3037,"Programado","Fuera"))))</f>
        <v>Acumulado</v>
      </c>
      <c r="K3037" s="6" t="str">
        <f t="shared" ref="K3037:K3068" si="168">IF(INT(A3037)=INT(F3037),"A tiempo", IF(A3037&lt;F3037,"Mismo día","Programados"))</f>
        <v>A tiempo</v>
      </c>
      <c r="L3037" s="8"/>
      <c r="M3037" s="17">
        <f>MAX(1,NETWORKDAYS(A3037,L3037,Table2[Dias no laborales]))</f>
        <v>1</v>
      </c>
    </row>
    <row r="3038" spans="1:13" x14ac:dyDescent="0.3">
      <c r="A3038" s="8"/>
      <c r="B3038" s="16" t="s">
        <v>5655</v>
      </c>
      <c r="C3038" s="6"/>
      <c r="D3038" s="6"/>
      <c r="E3038" s="14"/>
      <c r="F3038" s="25">
        <f>IF(HOUR(Table1[[#This Row],[CORREO]])&gt;=11,WORKDAY(Table1[[#This Row],[CORREO]],1,Table2[Dias no laborales]),E3038)</f>
        <v>0</v>
      </c>
      <c r="G3038" s="8"/>
      <c r="H3038" s="6">
        <f t="shared" si="167"/>
        <v>0</v>
      </c>
      <c r="I3038" s="6">
        <f>MAX(1, NETWORKDAYS(A3038, G3038,Table2[Dias no laborales]))</f>
        <v>1</v>
      </c>
      <c r="J3038" s="6" t="str">
        <f>IF(Table1[[#This Row],[FIN]]="","Acumulado",IF(ISNUMBER(SEARCH("ASAP",C3038)),"ASAP",IF(NETWORKDAYS.INTL(F3038,G3038,1,Table2[Dias no laborales]) &lt;= 7, "Dentro", IF(A3038&gt;F3038,"Programado","Fuera"))))</f>
        <v>Acumulado</v>
      </c>
      <c r="K3038" s="6" t="str">
        <f t="shared" si="168"/>
        <v>A tiempo</v>
      </c>
      <c r="L3038" s="8"/>
      <c r="M3038" s="17">
        <f>MAX(1,NETWORKDAYS(A3038,L3038,Table2[Dias no laborales]))</f>
        <v>1</v>
      </c>
    </row>
    <row r="3039" spans="1:13" x14ac:dyDescent="0.3">
      <c r="A3039" s="8"/>
      <c r="B3039" s="16" t="s">
        <v>5656</v>
      </c>
      <c r="C3039" s="6"/>
      <c r="D3039" s="6"/>
      <c r="E3039" s="14"/>
      <c r="F3039" s="25">
        <f>IF(HOUR(Table1[[#This Row],[CORREO]])&gt;=11,WORKDAY(Table1[[#This Row],[CORREO]],1,Table2[Dias no laborales]),E3039)</f>
        <v>0</v>
      </c>
      <c r="G3039" s="8"/>
      <c r="H3039" s="6">
        <f t="shared" si="167"/>
        <v>0</v>
      </c>
      <c r="I3039" s="6">
        <f>MAX(1, NETWORKDAYS(A3039, G3039,Table2[Dias no laborales]))</f>
        <v>1</v>
      </c>
      <c r="J3039" s="6" t="str">
        <f>IF(Table1[[#This Row],[FIN]]="","Acumulado",IF(ISNUMBER(SEARCH("ASAP",C3039)),"ASAP",IF(NETWORKDAYS.INTL(F3039,G3039,1,Table2[Dias no laborales]) &lt;= 7, "Dentro", IF(A3039&gt;F3039,"Programado","Fuera"))))</f>
        <v>Acumulado</v>
      </c>
      <c r="K3039" s="6" t="str">
        <f t="shared" si="168"/>
        <v>A tiempo</v>
      </c>
      <c r="L3039" s="8"/>
      <c r="M3039" s="17">
        <f>MAX(1,NETWORKDAYS(A3039,L3039,Table2[Dias no laborales]))</f>
        <v>1</v>
      </c>
    </row>
    <row r="3040" spans="1:13" x14ac:dyDescent="0.3">
      <c r="A3040" s="8"/>
      <c r="B3040" s="16" t="s">
        <v>5657</v>
      </c>
      <c r="C3040" s="6"/>
      <c r="D3040" s="6"/>
      <c r="E3040" s="14"/>
      <c r="F3040" s="25">
        <f>IF(HOUR(Table1[[#This Row],[CORREO]])&gt;=11,WORKDAY(Table1[[#This Row],[CORREO]],1,Table2[Dias no laborales]),E3040)</f>
        <v>0</v>
      </c>
      <c r="G3040" s="8"/>
      <c r="H3040" s="6">
        <f t="shared" si="167"/>
        <v>0</v>
      </c>
      <c r="I3040" s="6">
        <f>MAX(1, NETWORKDAYS(A3040, G3040,Table2[Dias no laborales]))</f>
        <v>1</v>
      </c>
      <c r="J3040" s="6" t="str">
        <f>IF(Table1[[#This Row],[FIN]]="","Acumulado",IF(ISNUMBER(SEARCH("ASAP",C3040)),"ASAP",IF(NETWORKDAYS.INTL(F3040,G3040,1,Table2[Dias no laborales]) &lt;= 7, "Dentro", IF(A3040&gt;F3040,"Programado","Fuera"))))</f>
        <v>Acumulado</v>
      </c>
      <c r="K3040" s="6" t="str">
        <f t="shared" si="168"/>
        <v>A tiempo</v>
      </c>
      <c r="L3040" s="8"/>
      <c r="M3040" s="17">
        <f>MAX(1,NETWORKDAYS(A3040,L3040,Table2[Dias no laborales]))</f>
        <v>1</v>
      </c>
    </row>
    <row r="3041" spans="1:13" x14ac:dyDescent="0.3">
      <c r="A3041" s="8"/>
      <c r="B3041" s="16" t="s">
        <v>5658</v>
      </c>
      <c r="C3041" s="6"/>
      <c r="D3041" s="6"/>
      <c r="E3041" s="14"/>
      <c r="F3041" s="25">
        <f>IF(HOUR(Table1[[#This Row],[CORREO]])&gt;=11,WORKDAY(Table1[[#This Row],[CORREO]],1,Table2[Dias no laborales]),E3041)</f>
        <v>0</v>
      </c>
      <c r="G3041" s="8"/>
      <c r="H3041" s="6">
        <f t="shared" si="167"/>
        <v>0</v>
      </c>
      <c r="I3041" s="6">
        <f>MAX(1, NETWORKDAYS(A3041, G3041,Table2[Dias no laborales]))</f>
        <v>1</v>
      </c>
      <c r="J3041" s="6" t="str">
        <f>IF(Table1[[#This Row],[FIN]]="","Acumulado",IF(ISNUMBER(SEARCH("ASAP",C3041)),"ASAP",IF(NETWORKDAYS.INTL(F3041,G3041,1,Table2[Dias no laborales]) &lt;= 7, "Dentro", IF(A3041&gt;F3041,"Programado","Fuera"))))</f>
        <v>Acumulado</v>
      </c>
      <c r="K3041" s="6" t="str">
        <f t="shared" si="168"/>
        <v>A tiempo</v>
      </c>
      <c r="L3041" s="8"/>
      <c r="M3041" s="17">
        <f>MAX(1,NETWORKDAYS(A3041,L3041,Table2[Dias no laborales]))</f>
        <v>1</v>
      </c>
    </row>
    <row r="3042" spans="1:13" x14ac:dyDescent="0.3">
      <c r="A3042" s="8"/>
      <c r="B3042" s="16" t="s">
        <v>5659</v>
      </c>
      <c r="C3042" s="6"/>
      <c r="D3042" s="6"/>
      <c r="E3042" s="14"/>
      <c r="F3042" s="25">
        <f>IF(HOUR(Table1[[#This Row],[CORREO]])&gt;=11,WORKDAY(Table1[[#This Row],[CORREO]],1,Table2[Dias no laborales]),E3042)</f>
        <v>0</v>
      </c>
      <c r="G3042" s="8"/>
      <c r="H3042" s="6">
        <f t="shared" si="167"/>
        <v>0</v>
      </c>
      <c r="I3042" s="6">
        <f>MAX(1, NETWORKDAYS(A3042, G3042,Table2[Dias no laborales]))</f>
        <v>1</v>
      </c>
      <c r="J3042" s="6" t="str">
        <f>IF(Table1[[#This Row],[FIN]]="","Acumulado",IF(ISNUMBER(SEARCH("ASAP",C3042)),"ASAP",IF(NETWORKDAYS.INTL(F3042,G3042,1,Table2[Dias no laborales]) &lt;= 7, "Dentro", IF(A3042&gt;F3042,"Programado","Fuera"))))</f>
        <v>Acumulado</v>
      </c>
      <c r="K3042" s="6" t="str">
        <f t="shared" si="168"/>
        <v>A tiempo</v>
      </c>
      <c r="L3042" s="8"/>
      <c r="M3042" s="17">
        <f>MAX(1,NETWORKDAYS(A3042,L3042,Table2[Dias no laborales]))</f>
        <v>1</v>
      </c>
    </row>
    <row r="3043" spans="1:13" x14ac:dyDescent="0.3">
      <c r="A3043" s="8"/>
      <c r="B3043" s="16" t="s">
        <v>5660</v>
      </c>
      <c r="C3043" s="6"/>
      <c r="D3043" s="6"/>
      <c r="E3043" s="14"/>
      <c r="F3043" s="25">
        <f>IF(HOUR(Table1[[#This Row],[CORREO]])&gt;=11,WORKDAY(Table1[[#This Row],[CORREO]],1,Table2[Dias no laborales]),E3043)</f>
        <v>0</v>
      </c>
      <c r="G3043" s="8"/>
      <c r="H3043" s="6">
        <f t="shared" si="167"/>
        <v>0</v>
      </c>
      <c r="I3043" s="6">
        <f>MAX(1, NETWORKDAYS(A3043, G3043,Table2[Dias no laborales]))</f>
        <v>1</v>
      </c>
      <c r="J3043" s="6" t="str">
        <f>IF(Table1[[#This Row],[FIN]]="","Acumulado",IF(ISNUMBER(SEARCH("ASAP",C3043)),"ASAP",IF(NETWORKDAYS.INTL(F3043,G3043,1,Table2[Dias no laborales]) &lt;= 7, "Dentro", IF(A3043&gt;F3043,"Programado","Fuera"))))</f>
        <v>Acumulado</v>
      </c>
      <c r="K3043" s="6" t="str">
        <f t="shared" si="168"/>
        <v>A tiempo</v>
      </c>
      <c r="L3043" s="8"/>
      <c r="M3043" s="17">
        <f>MAX(1,NETWORKDAYS(A3043,L3043,Table2[Dias no laborales]))</f>
        <v>1</v>
      </c>
    </row>
    <row r="3044" spans="1:13" x14ac:dyDescent="0.3">
      <c r="A3044" s="8"/>
      <c r="B3044" s="16" t="s">
        <v>5661</v>
      </c>
      <c r="C3044" s="6"/>
      <c r="D3044" s="6"/>
      <c r="E3044" s="14"/>
      <c r="F3044" s="25">
        <f>IF(HOUR(Table1[[#This Row],[CORREO]])&gt;=11,WORKDAY(Table1[[#This Row],[CORREO]],1,Table2[Dias no laborales]),E3044)</f>
        <v>0</v>
      </c>
      <c r="G3044" s="8"/>
      <c r="H3044" s="6">
        <f t="shared" si="167"/>
        <v>0</v>
      </c>
      <c r="I3044" s="6">
        <f>MAX(1, NETWORKDAYS(A3044, G3044,Table2[Dias no laborales]))</f>
        <v>1</v>
      </c>
      <c r="J3044" s="6" t="str">
        <f>IF(Table1[[#This Row],[FIN]]="","Acumulado",IF(ISNUMBER(SEARCH("ASAP",C3044)),"ASAP",IF(NETWORKDAYS.INTL(F3044,G3044,1,Table2[Dias no laborales]) &lt;= 7, "Dentro", IF(A3044&gt;F3044,"Programado","Fuera"))))</f>
        <v>Acumulado</v>
      </c>
      <c r="K3044" s="6" t="str">
        <f t="shared" si="168"/>
        <v>A tiempo</v>
      </c>
      <c r="L3044" s="8"/>
      <c r="M3044" s="17">
        <f>MAX(1,NETWORKDAYS(A3044,L3044,Table2[Dias no laborales]))</f>
        <v>1</v>
      </c>
    </row>
    <row r="3045" spans="1:13" x14ac:dyDescent="0.3">
      <c r="A3045" s="8"/>
      <c r="B3045" s="16" t="s">
        <v>5662</v>
      </c>
      <c r="C3045" s="6"/>
      <c r="D3045" s="6"/>
      <c r="E3045" s="14"/>
      <c r="F3045" s="25">
        <f>IF(HOUR(Table1[[#This Row],[CORREO]])&gt;=11,WORKDAY(Table1[[#This Row],[CORREO]],1,Table2[Dias no laborales]),E3045)</f>
        <v>0</v>
      </c>
      <c r="G3045" s="8"/>
      <c r="H3045" s="6">
        <f t="shared" si="167"/>
        <v>0</v>
      </c>
      <c r="I3045" s="6">
        <f>MAX(1, NETWORKDAYS(A3045, G3045,Table2[Dias no laborales]))</f>
        <v>1</v>
      </c>
      <c r="J3045" s="6" t="str">
        <f>IF(Table1[[#This Row],[FIN]]="","Acumulado",IF(ISNUMBER(SEARCH("ASAP",C3045)),"ASAP",IF(NETWORKDAYS.INTL(F3045,G3045,1,Table2[Dias no laborales]) &lt;= 7, "Dentro", IF(A3045&gt;F3045,"Programado","Fuera"))))</f>
        <v>Acumulado</v>
      </c>
      <c r="K3045" s="6" t="str">
        <f t="shared" si="168"/>
        <v>A tiempo</v>
      </c>
      <c r="L3045" s="8"/>
      <c r="M3045" s="17">
        <f>MAX(1,NETWORKDAYS(A3045,L3045,Table2[Dias no laborales]))</f>
        <v>1</v>
      </c>
    </row>
    <row r="3046" spans="1:13" x14ac:dyDescent="0.3">
      <c r="A3046" s="8"/>
      <c r="B3046" s="16" t="s">
        <v>5663</v>
      </c>
      <c r="C3046" s="6"/>
      <c r="D3046" s="6"/>
      <c r="E3046" s="14"/>
      <c r="F3046" s="25">
        <f>IF(HOUR(Table1[[#This Row],[CORREO]])&gt;=11,WORKDAY(Table1[[#This Row],[CORREO]],1,Table2[Dias no laborales]),E3046)</f>
        <v>0</v>
      </c>
      <c r="G3046" s="8"/>
      <c r="H3046" s="6">
        <f t="shared" si="167"/>
        <v>0</v>
      </c>
      <c r="I3046" s="6">
        <f>MAX(1, NETWORKDAYS(A3046, G3046,Table2[Dias no laborales]))</f>
        <v>1</v>
      </c>
      <c r="J3046" s="6" t="str">
        <f>IF(Table1[[#This Row],[FIN]]="","Acumulado",IF(ISNUMBER(SEARCH("ASAP",C3046)),"ASAP",IF(NETWORKDAYS.INTL(F3046,G3046,1,Table2[Dias no laborales]) &lt;= 7, "Dentro", IF(A3046&gt;F3046,"Programado","Fuera"))))</f>
        <v>Acumulado</v>
      </c>
      <c r="K3046" s="6" t="str">
        <f t="shared" si="168"/>
        <v>A tiempo</v>
      </c>
      <c r="L3046" s="8"/>
      <c r="M3046" s="17">
        <f>MAX(1,NETWORKDAYS(A3046,L3046,Table2[Dias no laborales]))</f>
        <v>1</v>
      </c>
    </row>
    <row r="3047" spans="1:13" x14ac:dyDescent="0.3">
      <c r="A3047" s="8"/>
      <c r="B3047" s="16" t="s">
        <v>5664</v>
      </c>
      <c r="C3047" s="6"/>
      <c r="D3047" s="6"/>
      <c r="E3047" s="14"/>
      <c r="F3047" s="25">
        <f>IF(HOUR(Table1[[#This Row],[CORREO]])&gt;=11,WORKDAY(Table1[[#This Row],[CORREO]],1,Table2[Dias no laborales]),E3047)</f>
        <v>0</v>
      </c>
      <c r="G3047" s="8"/>
      <c r="H3047" s="6">
        <f t="shared" si="167"/>
        <v>0</v>
      </c>
      <c r="I3047" s="6">
        <f>MAX(1, NETWORKDAYS(A3047, G3047,Table2[Dias no laborales]))</f>
        <v>1</v>
      </c>
      <c r="J3047" s="6" t="str">
        <f>IF(Table1[[#This Row],[FIN]]="","Acumulado",IF(ISNUMBER(SEARCH("ASAP",C3047)),"ASAP",IF(NETWORKDAYS.INTL(F3047,G3047,1,Table2[Dias no laborales]) &lt;= 7, "Dentro", IF(A3047&gt;F3047,"Programado","Fuera"))))</f>
        <v>Acumulado</v>
      </c>
      <c r="K3047" s="6" t="str">
        <f t="shared" si="168"/>
        <v>A tiempo</v>
      </c>
      <c r="L3047" s="8"/>
      <c r="M3047" s="17">
        <f>MAX(1,NETWORKDAYS(A3047,L3047,Table2[Dias no laborales]))</f>
        <v>1</v>
      </c>
    </row>
    <row r="3048" spans="1:13" x14ac:dyDescent="0.3">
      <c r="A3048" s="8"/>
      <c r="B3048" s="16" t="s">
        <v>5665</v>
      </c>
      <c r="C3048" s="6"/>
      <c r="D3048" s="6"/>
      <c r="E3048" s="14"/>
      <c r="F3048" s="25">
        <f>IF(HOUR(Table1[[#This Row],[CORREO]])&gt;=11,WORKDAY(Table1[[#This Row],[CORREO]],1,Table2[Dias no laborales]),E3048)</f>
        <v>0</v>
      </c>
      <c r="G3048" s="8"/>
      <c r="H3048" s="6">
        <f t="shared" si="167"/>
        <v>0</v>
      </c>
      <c r="I3048" s="6">
        <f>MAX(1, NETWORKDAYS(A3048, G3048,Table2[Dias no laborales]))</f>
        <v>1</v>
      </c>
      <c r="J3048" s="6" t="str">
        <f>IF(Table1[[#This Row],[FIN]]="","Acumulado",IF(ISNUMBER(SEARCH("ASAP",C3048)),"ASAP",IF(NETWORKDAYS.INTL(F3048,G3048,1,Table2[Dias no laborales]) &lt;= 7, "Dentro", IF(A3048&gt;F3048,"Programado","Fuera"))))</f>
        <v>Acumulado</v>
      </c>
      <c r="K3048" s="6" t="str">
        <f t="shared" si="168"/>
        <v>A tiempo</v>
      </c>
      <c r="L3048" s="8"/>
      <c r="M3048" s="17">
        <f>MAX(1,NETWORKDAYS(A3048,L3048,Table2[Dias no laborales]))</f>
        <v>1</v>
      </c>
    </row>
    <row r="3049" spans="1:13" x14ac:dyDescent="0.3">
      <c r="A3049" s="8"/>
      <c r="B3049" s="16" t="s">
        <v>5666</v>
      </c>
      <c r="C3049" s="6"/>
      <c r="D3049" s="6"/>
      <c r="E3049" s="14"/>
      <c r="F3049" s="25">
        <f>IF(HOUR(Table1[[#This Row],[CORREO]])&gt;=11,WORKDAY(Table1[[#This Row],[CORREO]],1,Table2[Dias no laborales]),E3049)</f>
        <v>0</v>
      </c>
      <c r="G3049" s="8"/>
      <c r="H3049" s="6">
        <f t="shared" si="167"/>
        <v>0</v>
      </c>
      <c r="I3049" s="6">
        <f>MAX(1, NETWORKDAYS(A3049, G3049,Table2[Dias no laborales]))</f>
        <v>1</v>
      </c>
      <c r="J3049" s="6" t="str">
        <f>IF(Table1[[#This Row],[FIN]]="","Acumulado",IF(ISNUMBER(SEARCH("ASAP",C3049)),"ASAP",IF(NETWORKDAYS.INTL(F3049,G3049,1,Table2[Dias no laborales]) &lt;= 7, "Dentro", IF(A3049&gt;F3049,"Programado","Fuera"))))</f>
        <v>Acumulado</v>
      </c>
      <c r="K3049" s="6" t="str">
        <f t="shared" si="168"/>
        <v>A tiempo</v>
      </c>
      <c r="L3049" s="8"/>
      <c r="M3049" s="17">
        <f>MAX(1,NETWORKDAYS(A3049,L3049,Table2[Dias no laborales]))</f>
        <v>1</v>
      </c>
    </row>
    <row r="3050" spans="1:13" x14ac:dyDescent="0.3">
      <c r="A3050" s="8"/>
      <c r="B3050" s="16" t="s">
        <v>5667</v>
      </c>
      <c r="C3050" s="6"/>
      <c r="D3050" s="6"/>
      <c r="E3050" s="14"/>
      <c r="F3050" s="25">
        <f>IF(HOUR(Table1[[#This Row],[CORREO]])&gt;=11,WORKDAY(Table1[[#This Row],[CORREO]],1,Table2[Dias no laborales]),E3050)</f>
        <v>0</v>
      </c>
      <c r="G3050" s="8"/>
      <c r="H3050" s="6">
        <f t="shared" si="167"/>
        <v>0</v>
      </c>
      <c r="I3050" s="6">
        <f>MAX(1, NETWORKDAYS(A3050, G3050,Table2[Dias no laborales]))</f>
        <v>1</v>
      </c>
      <c r="J3050" s="6" t="str">
        <f>IF(Table1[[#This Row],[FIN]]="","Acumulado",IF(ISNUMBER(SEARCH("ASAP",C3050)),"ASAP",IF(NETWORKDAYS.INTL(F3050,G3050,1,Table2[Dias no laborales]) &lt;= 7, "Dentro", IF(A3050&gt;F3050,"Programado","Fuera"))))</f>
        <v>Acumulado</v>
      </c>
      <c r="K3050" s="6" t="str">
        <f t="shared" si="168"/>
        <v>A tiempo</v>
      </c>
      <c r="L3050" s="8"/>
      <c r="M3050" s="17">
        <f>MAX(1,NETWORKDAYS(A3050,L3050,Table2[Dias no laborales]))</f>
        <v>1</v>
      </c>
    </row>
    <row r="3051" spans="1:13" x14ac:dyDescent="0.3">
      <c r="A3051" s="8"/>
      <c r="B3051" s="16" t="s">
        <v>5668</v>
      </c>
      <c r="C3051" s="6"/>
      <c r="D3051" s="6"/>
      <c r="E3051" s="14"/>
      <c r="F3051" s="25">
        <f>IF(HOUR(Table1[[#This Row],[CORREO]])&gt;=11,WORKDAY(Table1[[#This Row],[CORREO]],1,Table2[Dias no laborales]),E3051)</f>
        <v>0</v>
      </c>
      <c r="G3051" s="8"/>
      <c r="H3051" s="6">
        <f t="shared" si="167"/>
        <v>0</v>
      </c>
      <c r="I3051" s="6">
        <f>MAX(1, NETWORKDAYS(A3051, G3051,Table2[Dias no laborales]))</f>
        <v>1</v>
      </c>
      <c r="J3051" s="6" t="str">
        <f>IF(Table1[[#This Row],[FIN]]="","Acumulado",IF(ISNUMBER(SEARCH("ASAP",C3051)),"ASAP",IF(NETWORKDAYS.INTL(F3051,G3051,1,Table2[Dias no laborales]) &lt;= 7, "Dentro", IF(A3051&gt;F3051,"Programado","Fuera"))))</f>
        <v>Acumulado</v>
      </c>
      <c r="K3051" s="6" t="str">
        <f t="shared" si="168"/>
        <v>A tiempo</v>
      </c>
      <c r="L3051" s="8"/>
      <c r="M3051" s="17">
        <f>MAX(1,NETWORKDAYS(A3051,L3051,Table2[Dias no laborales]))</f>
        <v>1</v>
      </c>
    </row>
    <row r="3052" spans="1:13" x14ac:dyDescent="0.3">
      <c r="A3052" s="8"/>
      <c r="B3052" s="16" t="s">
        <v>5669</v>
      </c>
      <c r="C3052" s="6"/>
      <c r="D3052" s="6"/>
      <c r="E3052" s="14"/>
      <c r="F3052" s="25">
        <f>IF(HOUR(Table1[[#This Row],[CORREO]])&gt;=11,WORKDAY(Table1[[#This Row],[CORREO]],1,Table2[Dias no laborales]),E3052)</f>
        <v>0</v>
      </c>
      <c r="G3052" s="8"/>
      <c r="H3052" s="6">
        <f t="shared" si="167"/>
        <v>0</v>
      </c>
      <c r="I3052" s="6">
        <f>MAX(1, NETWORKDAYS(A3052, G3052,Table2[Dias no laborales]))</f>
        <v>1</v>
      </c>
      <c r="J3052" s="6" t="str">
        <f>IF(Table1[[#This Row],[FIN]]="","Acumulado",IF(ISNUMBER(SEARCH("ASAP",C3052)),"ASAP",IF(NETWORKDAYS.INTL(F3052,G3052,1,Table2[Dias no laborales]) &lt;= 7, "Dentro", IF(A3052&gt;F3052,"Programado","Fuera"))))</f>
        <v>Acumulado</v>
      </c>
      <c r="K3052" s="6" t="str">
        <f t="shared" si="168"/>
        <v>A tiempo</v>
      </c>
      <c r="L3052" s="8"/>
      <c r="M3052" s="17">
        <f>MAX(1,NETWORKDAYS(A3052,L3052,Table2[Dias no laborales]))</f>
        <v>1</v>
      </c>
    </row>
    <row r="3053" spans="1:13" x14ac:dyDescent="0.3">
      <c r="A3053" s="8"/>
      <c r="B3053" s="16" t="s">
        <v>5670</v>
      </c>
      <c r="C3053" s="6"/>
      <c r="D3053" s="6"/>
      <c r="E3053" s="14"/>
      <c r="F3053" s="25">
        <f>IF(HOUR(Table1[[#This Row],[CORREO]])&gt;=11,WORKDAY(Table1[[#This Row],[CORREO]],1,Table2[Dias no laborales]),E3053)</f>
        <v>0</v>
      </c>
      <c r="G3053" s="8"/>
      <c r="H3053" s="6">
        <f t="shared" si="167"/>
        <v>0</v>
      </c>
      <c r="I3053" s="6">
        <f>MAX(1, NETWORKDAYS(A3053, G3053,Table2[Dias no laborales]))</f>
        <v>1</v>
      </c>
      <c r="J3053" s="6" t="str">
        <f>IF(Table1[[#This Row],[FIN]]="","Acumulado",IF(ISNUMBER(SEARCH("ASAP",C3053)),"ASAP",IF(NETWORKDAYS.INTL(F3053,G3053,1,Table2[Dias no laborales]) &lt;= 7, "Dentro", IF(A3053&gt;F3053,"Programado","Fuera"))))</f>
        <v>Acumulado</v>
      </c>
      <c r="K3053" s="6" t="str">
        <f t="shared" si="168"/>
        <v>A tiempo</v>
      </c>
      <c r="L3053" s="8"/>
      <c r="M3053" s="17">
        <f>MAX(1,NETWORKDAYS(A3053,L3053,Table2[Dias no laborales]))</f>
        <v>1</v>
      </c>
    </row>
    <row r="3054" spans="1:13" x14ac:dyDescent="0.3">
      <c r="A3054" s="8"/>
      <c r="B3054" s="16" t="s">
        <v>5671</v>
      </c>
      <c r="C3054" s="6"/>
      <c r="D3054" s="6"/>
      <c r="E3054" s="14"/>
      <c r="F3054" s="25">
        <f>IF(HOUR(Table1[[#This Row],[CORREO]])&gt;=11,WORKDAY(Table1[[#This Row],[CORREO]],1,Table2[Dias no laborales]),E3054)</f>
        <v>0</v>
      </c>
      <c r="G3054" s="8"/>
      <c r="H3054" s="6">
        <f t="shared" si="167"/>
        <v>0</v>
      </c>
      <c r="I3054" s="6">
        <f>MAX(1, NETWORKDAYS(A3054, G3054,Table2[Dias no laborales]))</f>
        <v>1</v>
      </c>
      <c r="J3054" s="6" t="str">
        <f>IF(Table1[[#This Row],[FIN]]="","Acumulado",IF(ISNUMBER(SEARCH("ASAP",C3054)),"ASAP",IF(NETWORKDAYS.INTL(F3054,G3054,1,Table2[Dias no laborales]) &lt;= 7, "Dentro", IF(A3054&gt;F3054,"Programado","Fuera"))))</f>
        <v>Acumulado</v>
      </c>
      <c r="K3054" s="6" t="str">
        <f t="shared" si="168"/>
        <v>A tiempo</v>
      </c>
      <c r="L3054" s="8"/>
      <c r="M3054" s="17">
        <f>MAX(1,NETWORKDAYS(A3054,L3054,Table2[Dias no laborales]))</f>
        <v>1</v>
      </c>
    </row>
    <row r="3055" spans="1:13" x14ac:dyDescent="0.3">
      <c r="A3055" s="8"/>
      <c r="B3055" s="16" t="s">
        <v>5672</v>
      </c>
      <c r="C3055" s="6"/>
      <c r="D3055" s="6"/>
      <c r="E3055" s="14"/>
      <c r="F3055" s="25">
        <f>IF(HOUR(Table1[[#This Row],[CORREO]])&gt;=11,WORKDAY(Table1[[#This Row],[CORREO]],1,Table2[Dias no laborales]),E3055)</f>
        <v>0</v>
      </c>
      <c r="G3055" s="8"/>
      <c r="H3055" s="6">
        <f t="shared" si="167"/>
        <v>0</v>
      </c>
      <c r="I3055" s="6">
        <f>MAX(1, NETWORKDAYS(A3055, G3055,Table2[Dias no laborales]))</f>
        <v>1</v>
      </c>
      <c r="J3055" s="6" t="str">
        <f>IF(Table1[[#This Row],[FIN]]="","Acumulado",IF(ISNUMBER(SEARCH("ASAP",C3055)),"ASAP",IF(NETWORKDAYS.INTL(F3055,G3055,1,Table2[Dias no laborales]) &lt;= 7, "Dentro", IF(A3055&gt;F3055,"Programado","Fuera"))))</f>
        <v>Acumulado</v>
      </c>
      <c r="K3055" s="6" t="str">
        <f t="shared" si="168"/>
        <v>A tiempo</v>
      </c>
      <c r="L3055" s="8"/>
      <c r="M3055" s="17">
        <f>MAX(1,NETWORKDAYS(A3055,L3055,Table2[Dias no laborales]))</f>
        <v>1</v>
      </c>
    </row>
    <row r="3056" spans="1:13" x14ac:dyDescent="0.3">
      <c r="A3056" s="8"/>
      <c r="B3056" s="16" t="s">
        <v>5673</v>
      </c>
      <c r="C3056" s="6"/>
      <c r="D3056" s="6"/>
      <c r="E3056" s="14"/>
      <c r="F3056" s="25">
        <f>IF(HOUR(Table1[[#This Row],[CORREO]])&gt;=11,WORKDAY(Table1[[#This Row],[CORREO]],1,Table2[Dias no laborales]),E3056)</f>
        <v>0</v>
      </c>
      <c r="G3056" s="8"/>
      <c r="H3056" s="6">
        <f t="shared" si="167"/>
        <v>0</v>
      </c>
      <c r="I3056" s="6">
        <f>MAX(1, NETWORKDAYS(A3056, G3056,Table2[Dias no laborales]))</f>
        <v>1</v>
      </c>
      <c r="J3056" s="6" t="str">
        <f>IF(Table1[[#This Row],[FIN]]="","Acumulado",IF(ISNUMBER(SEARCH("ASAP",C3056)),"ASAP",IF(NETWORKDAYS.INTL(F3056,G3056,1,Table2[Dias no laborales]) &lt;= 7, "Dentro", IF(A3056&gt;F3056,"Programado","Fuera"))))</f>
        <v>Acumulado</v>
      </c>
      <c r="K3056" s="6" t="str">
        <f t="shared" si="168"/>
        <v>A tiempo</v>
      </c>
      <c r="L3056" s="8"/>
      <c r="M3056" s="17">
        <f>MAX(1,NETWORKDAYS(A3056,L3056,Table2[Dias no laborales]))</f>
        <v>1</v>
      </c>
    </row>
    <row r="3057" spans="1:13" x14ac:dyDescent="0.3">
      <c r="A3057" s="8"/>
      <c r="B3057" s="16" t="s">
        <v>5674</v>
      </c>
      <c r="C3057" s="6"/>
      <c r="D3057" s="6"/>
      <c r="E3057" s="14"/>
      <c r="F3057" s="25">
        <f>IF(HOUR(Table1[[#This Row],[CORREO]])&gt;=11,WORKDAY(Table1[[#This Row],[CORREO]],1,Table2[Dias no laborales]),E3057)</f>
        <v>0</v>
      </c>
      <c r="G3057" s="8"/>
      <c r="H3057" s="6">
        <f t="shared" si="167"/>
        <v>0</v>
      </c>
      <c r="I3057" s="6">
        <f>MAX(1, NETWORKDAYS(A3057, G3057,Table2[Dias no laborales]))</f>
        <v>1</v>
      </c>
      <c r="J3057" s="6" t="str">
        <f>IF(Table1[[#This Row],[FIN]]="","Acumulado",IF(ISNUMBER(SEARCH("ASAP",C3057)),"ASAP",IF(NETWORKDAYS.INTL(F3057,G3057,1,Table2[Dias no laborales]) &lt;= 7, "Dentro", IF(A3057&gt;F3057,"Programado","Fuera"))))</f>
        <v>Acumulado</v>
      </c>
      <c r="K3057" s="6" t="str">
        <f t="shared" si="168"/>
        <v>A tiempo</v>
      </c>
      <c r="L3057" s="8"/>
      <c r="M3057" s="17">
        <f>MAX(1,NETWORKDAYS(A3057,L3057,Table2[Dias no laborales]))</f>
        <v>1</v>
      </c>
    </row>
    <row r="3058" spans="1:13" x14ac:dyDescent="0.3">
      <c r="A3058" s="8"/>
      <c r="B3058" s="16" t="s">
        <v>5675</v>
      </c>
      <c r="C3058" s="6"/>
      <c r="D3058" s="6"/>
      <c r="E3058" s="14"/>
      <c r="F3058" s="25">
        <f>IF(HOUR(Table1[[#This Row],[CORREO]])&gt;=11,WORKDAY(Table1[[#This Row],[CORREO]],1,Table2[Dias no laborales]),E3058)</f>
        <v>0</v>
      </c>
      <c r="G3058" s="8"/>
      <c r="H3058" s="6">
        <f t="shared" si="167"/>
        <v>0</v>
      </c>
      <c r="I3058" s="6">
        <f>MAX(1, NETWORKDAYS(A3058, G3058,Table2[Dias no laborales]))</f>
        <v>1</v>
      </c>
      <c r="J3058" s="6" t="str">
        <f>IF(Table1[[#This Row],[FIN]]="","Acumulado",IF(ISNUMBER(SEARCH("ASAP",C3058)),"ASAP",IF(NETWORKDAYS.INTL(F3058,G3058,1,Table2[Dias no laborales]) &lt;= 7, "Dentro", IF(A3058&gt;F3058,"Programado","Fuera"))))</f>
        <v>Acumulado</v>
      </c>
      <c r="K3058" s="6" t="str">
        <f t="shared" si="168"/>
        <v>A tiempo</v>
      </c>
      <c r="L3058" s="8"/>
      <c r="M3058" s="17">
        <f>MAX(1,NETWORKDAYS(A3058,L3058,Table2[Dias no laborales]))</f>
        <v>1</v>
      </c>
    </row>
    <row r="3059" spans="1:13" x14ac:dyDescent="0.3">
      <c r="A3059" s="8"/>
      <c r="B3059" s="16" t="s">
        <v>5676</v>
      </c>
      <c r="C3059" s="6"/>
      <c r="D3059" s="6"/>
      <c r="E3059" s="14"/>
      <c r="F3059" s="25">
        <f>IF(HOUR(Table1[[#This Row],[CORREO]])&gt;=11,WORKDAY(Table1[[#This Row],[CORREO]],1,Table2[Dias no laborales]),E3059)</f>
        <v>0</v>
      </c>
      <c r="G3059" s="8"/>
      <c r="H3059" s="6">
        <f t="shared" si="167"/>
        <v>0</v>
      </c>
      <c r="I3059" s="6">
        <f>MAX(1, NETWORKDAYS(A3059, G3059,Table2[Dias no laborales]))</f>
        <v>1</v>
      </c>
      <c r="J3059" s="6" t="str">
        <f>IF(Table1[[#This Row],[FIN]]="","Acumulado",IF(ISNUMBER(SEARCH("ASAP",C3059)),"ASAP",IF(NETWORKDAYS.INTL(F3059,G3059,1,Table2[Dias no laborales]) &lt;= 7, "Dentro", IF(A3059&gt;F3059,"Programado","Fuera"))))</f>
        <v>Acumulado</v>
      </c>
      <c r="K3059" s="6" t="str">
        <f t="shared" si="168"/>
        <v>A tiempo</v>
      </c>
      <c r="L3059" s="8"/>
      <c r="M3059" s="17">
        <f>MAX(1,NETWORKDAYS(A3059,L3059,Table2[Dias no laborales]))</f>
        <v>1</v>
      </c>
    </row>
    <row r="3060" spans="1:13" x14ac:dyDescent="0.3">
      <c r="A3060" s="8"/>
      <c r="B3060" s="16" t="s">
        <v>5677</v>
      </c>
      <c r="C3060" s="6"/>
      <c r="D3060" s="6"/>
      <c r="E3060" s="14"/>
      <c r="F3060" s="25">
        <f>IF(HOUR(Table1[[#This Row],[CORREO]])&gt;=11,WORKDAY(Table1[[#This Row],[CORREO]],1,Table2[Dias no laborales]),E3060)</f>
        <v>0</v>
      </c>
      <c r="G3060" s="8"/>
      <c r="H3060" s="6">
        <f t="shared" si="167"/>
        <v>0</v>
      </c>
      <c r="I3060" s="6">
        <f>MAX(1, NETWORKDAYS(A3060, G3060,Table2[Dias no laborales]))</f>
        <v>1</v>
      </c>
      <c r="J3060" s="6" t="str">
        <f>IF(Table1[[#This Row],[FIN]]="","Acumulado",IF(ISNUMBER(SEARCH("ASAP",C3060)),"ASAP",IF(NETWORKDAYS.INTL(F3060,G3060,1,Table2[Dias no laborales]) &lt;= 7, "Dentro", IF(A3060&gt;F3060,"Programado","Fuera"))))</f>
        <v>Acumulado</v>
      </c>
      <c r="K3060" s="6" t="str">
        <f t="shared" si="168"/>
        <v>A tiempo</v>
      </c>
      <c r="L3060" s="8"/>
      <c r="M3060" s="17">
        <f>MAX(1,NETWORKDAYS(A3060,L3060,Table2[Dias no laborales]))</f>
        <v>1</v>
      </c>
    </row>
    <row r="3061" spans="1:13" x14ac:dyDescent="0.3">
      <c r="A3061" s="8"/>
      <c r="B3061" s="16" t="s">
        <v>5678</v>
      </c>
      <c r="C3061" s="6"/>
      <c r="D3061" s="6"/>
      <c r="E3061" s="14"/>
      <c r="F3061" s="25">
        <f>IF(HOUR(Table1[[#This Row],[CORREO]])&gt;=11,WORKDAY(Table1[[#This Row],[CORREO]],1,Table2[Dias no laborales]),E3061)</f>
        <v>0</v>
      </c>
      <c r="G3061" s="8"/>
      <c r="H3061" s="6">
        <f t="shared" si="167"/>
        <v>0</v>
      </c>
      <c r="I3061" s="6">
        <f>MAX(1, NETWORKDAYS(A3061, G3061,Table2[Dias no laborales]))</f>
        <v>1</v>
      </c>
      <c r="J3061" s="6" t="str">
        <f>IF(Table1[[#This Row],[FIN]]="","Acumulado",IF(ISNUMBER(SEARCH("ASAP",C3061)),"ASAP",IF(NETWORKDAYS.INTL(F3061,G3061,1,Table2[Dias no laborales]) &lt;= 7, "Dentro", IF(A3061&gt;F3061,"Programado","Fuera"))))</f>
        <v>Acumulado</v>
      </c>
      <c r="K3061" s="6" t="str">
        <f t="shared" si="168"/>
        <v>A tiempo</v>
      </c>
      <c r="L3061" s="8"/>
      <c r="M3061" s="17">
        <f>MAX(1,NETWORKDAYS(A3061,L3061,Table2[Dias no laborales]))</f>
        <v>1</v>
      </c>
    </row>
    <row r="3062" spans="1:13" x14ac:dyDescent="0.3">
      <c r="A3062" s="8"/>
      <c r="B3062" s="16" t="s">
        <v>5679</v>
      </c>
      <c r="C3062" s="6"/>
      <c r="D3062" s="6"/>
      <c r="E3062" s="14"/>
      <c r="F3062" s="25">
        <f>IF(HOUR(Table1[[#This Row],[CORREO]])&gt;=11,WORKDAY(Table1[[#This Row],[CORREO]],1,Table2[Dias no laborales]),E3062)</f>
        <v>0</v>
      </c>
      <c r="G3062" s="8"/>
      <c r="H3062" s="6">
        <f t="shared" si="167"/>
        <v>0</v>
      </c>
      <c r="I3062" s="6">
        <f>MAX(1, NETWORKDAYS(A3062, G3062,Table2[Dias no laborales]))</f>
        <v>1</v>
      </c>
      <c r="J3062" s="6" t="str">
        <f>IF(Table1[[#This Row],[FIN]]="","Acumulado",IF(ISNUMBER(SEARCH("ASAP",C3062)),"ASAP",IF(NETWORKDAYS.INTL(F3062,G3062,1,Table2[Dias no laborales]) &lt;= 7, "Dentro", IF(A3062&gt;F3062,"Programado","Fuera"))))</f>
        <v>Acumulado</v>
      </c>
      <c r="K3062" s="6" t="str">
        <f t="shared" si="168"/>
        <v>A tiempo</v>
      </c>
      <c r="L3062" s="8"/>
      <c r="M3062" s="17">
        <f>MAX(1,NETWORKDAYS(A3062,L3062,Table2[Dias no laborales]))</f>
        <v>1</v>
      </c>
    </row>
    <row r="3063" spans="1:13" x14ac:dyDescent="0.3">
      <c r="A3063" s="8"/>
      <c r="B3063" s="16" t="s">
        <v>5680</v>
      </c>
      <c r="C3063" s="6"/>
      <c r="D3063" s="6"/>
      <c r="E3063" s="14"/>
      <c r="F3063" s="25">
        <f>IF(HOUR(Table1[[#This Row],[CORREO]])&gt;=11,WORKDAY(Table1[[#This Row],[CORREO]],1,Table2[Dias no laborales]),E3063)</f>
        <v>0</v>
      </c>
      <c r="G3063" s="8"/>
      <c r="H3063" s="6">
        <f t="shared" si="167"/>
        <v>0</v>
      </c>
      <c r="I3063" s="6">
        <f>MAX(1, NETWORKDAYS(A3063, G3063,Table2[Dias no laborales]))</f>
        <v>1</v>
      </c>
      <c r="J3063" s="6" t="str">
        <f>IF(Table1[[#This Row],[FIN]]="","Acumulado",IF(ISNUMBER(SEARCH("ASAP",C3063)),"ASAP",IF(NETWORKDAYS.INTL(F3063,G3063,1,Table2[Dias no laborales]) &lt;= 7, "Dentro", IF(A3063&gt;F3063,"Programado","Fuera"))))</f>
        <v>Acumulado</v>
      </c>
      <c r="K3063" s="6" t="str">
        <f t="shared" si="168"/>
        <v>A tiempo</v>
      </c>
      <c r="L3063" s="8"/>
      <c r="M3063" s="17">
        <f>MAX(1,NETWORKDAYS(A3063,L3063,Table2[Dias no laborales]))</f>
        <v>1</v>
      </c>
    </row>
    <row r="3064" spans="1:13" x14ac:dyDescent="0.3">
      <c r="A3064" s="8"/>
      <c r="B3064" s="16" t="s">
        <v>5681</v>
      </c>
      <c r="C3064" s="6"/>
      <c r="D3064" s="6"/>
      <c r="E3064" s="14"/>
      <c r="F3064" s="25">
        <f>IF(HOUR(Table1[[#This Row],[CORREO]])&gt;=11,WORKDAY(Table1[[#This Row],[CORREO]],1,Table2[Dias no laborales]),E3064)</f>
        <v>0</v>
      </c>
      <c r="G3064" s="8"/>
      <c r="H3064" s="6">
        <f t="shared" si="167"/>
        <v>0</v>
      </c>
      <c r="I3064" s="6">
        <f>MAX(1, NETWORKDAYS(A3064, G3064,Table2[Dias no laborales]))</f>
        <v>1</v>
      </c>
      <c r="J3064" s="6" t="str">
        <f>IF(Table1[[#This Row],[FIN]]="","Acumulado",IF(ISNUMBER(SEARCH("ASAP",C3064)),"ASAP",IF(NETWORKDAYS.INTL(F3064,G3064,1,Table2[Dias no laborales]) &lt;= 7, "Dentro", IF(A3064&gt;F3064,"Programado","Fuera"))))</f>
        <v>Acumulado</v>
      </c>
      <c r="K3064" s="6" t="str">
        <f t="shared" si="168"/>
        <v>A tiempo</v>
      </c>
      <c r="L3064" s="8"/>
      <c r="M3064" s="17">
        <f>MAX(1,NETWORKDAYS(A3064,L3064,Table2[Dias no laborales]))</f>
        <v>1</v>
      </c>
    </row>
    <row r="3065" spans="1:13" x14ac:dyDescent="0.3">
      <c r="A3065" s="8"/>
      <c r="B3065" s="16" t="s">
        <v>5682</v>
      </c>
      <c r="C3065" s="6"/>
      <c r="D3065" s="6"/>
      <c r="E3065" s="14"/>
      <c r="F3065" s="25">
        <f>IF(HOUR(Table1[[#This Row],[CORREO]])&gt;=11,WORKDAY(Table1[[#This Row],[CORREO]],1,Table2[Dias no laborales]),E3065)</f>
        <v>0</v>
      </c>
      <c r="G3065" s="8"/>
      <c r="H3065" s="6">
        <f t="shared" si="167"/>
        <v>0</v>
      </c>
      <c r="I3065" s="6">
        <f>MAX(1, NETWORKDAYS(A3065, G3065,Table2[Dias no laborales]))</f>
        <v>1</v>
      </c>
      <c r="J3065" s="6" t="str">
        <f>IF(Table1[[#This Row],[FIN]]="","Acumulado",IF(ISNUMBER(SEARCH("ASAP",C3065)),"ASAP",IF(NETWORKDAYS.INTL(F3065,G3065,1,Table2[Dias no laborales]) &lt;= 7, "Dentro", IF(A3065&gt;F3065,"Programado","Fuera"))))</f>
        <v>Acumulado</v>
      </c>
      <c r="K3065" s="6" t="str">
        <f t="shared" si="168"/>
        <v>A tiempo</v>
      </c>
      <c r="L3065" s="8"/>
      <c r="M3065" s="17">
        <f>MAX(1,NETWORKDAYS(A3065,L3065,Table2[Dias no laborales]))</f>
        <v>1</v>
      </c>
    </row>
    <row r="3066" spans="1:13" x14ac:dyDescent="0.3">
      <c r="A3066" s="8"/>
      <c r="B3066" s="16" t="s">
        <v>5683</v>
      </c>
      <c r="C3066" s="6"/>
      <c r="D3066" s="6"/>
      <c r="E3066" s="14"/>
      <c r="F3066" s="25">
        <f>IF(HOUR(Table1[[#This Row],[CORREO]])&gt;=11,WORKDAY(Table1[[#This Row],[CORREO]],1,Table2[Dias no laborales]),E3066)</f>
        <v>0</v>
      </c>
      <c r="G3066" s="8"/>
      <c r="H3066" s="6">
        <f t="shared" si="167"/>
        <v>0</v>
      </c>
      <c r="I3066" s="6">
        <f>MAX(1, NETWORKDAYS(A3066, G3066,Table2[Dias no laborales]))</f>
        <v>1</v>
      </c>
      <c r="J3066" s="6" t="str">
        <f>IF(Table1[[#This Row],[FIN]]="","Acumulado",IF(ISNUMBER(SEARCH("ASAP",C3066)),"ASAP",IF(NETWORKDAYS.INTL(F3066,G3066,1,Table2[Dias no laborales]) &lt;= 7, "Dentro", IF(A3066&gt;F3066,"Programado","Fuera"))))</f>
        <v>Acumulado</v>
      </c>
      <c r="K3066" s="6" t="str">
        <f t="shared" si="168"/>
        <v>A tiempo</v>
      </c>
      <c r="L3066" s="8"/>
      <c r="M3066" s="17">
        <f>MAX(1,NETWORKDAYS(A3066,L3066,Table2[Dias no laborales]))</f>
        <v>1</v>
      </c>
    </row>
    <row r="3067" spans="1:13" x14ac:dyDescent="0.3">
      <c r="A3067" s="8"/>
      <c r="B3067" s="16" t="s">
        <v>5684</v>
      </c>
      <c r="C3067" s="6"/>
      <c r="D3067" s="6"/>
      <c r="E3067" s="14"/>
      <c r="F3067" s="25">
        <f>IF(HOUR(Table1[[#This Row],[CORREO]])&gt;=11,WORKDAY(Table1[[#This Row],[CORREO]],1,Table2[Dias no laborales]),E3067)</f>
        <v>0</v>
      </c>
      <c r="G3067" s="8"/>
      <c r="H3067" s="6">
        <f t="shared" si="167"/>
        <v>0</v>
      </c>
      <c r="I3067" s="6">
        <f>MAX(1, NETWORKDAYS(A3067, G3067,Table2[Dias no laborales]))</f>
        <v>1</v>
      </c>
      <c r="J3067" s="6" t="str">
        <f>IF(Table1[[#This Row],[FIN]]="","Acumulado",IF(ISNUMBER(SEARCH("ASAP",C3067)),"ASAP",IF(NETWORKDAYS.INTL(F3067,G3067,1,Table2[Dias no laborales]) &lt;= 7, "Dentro", IF(A3067&gt;F3067,"Programado","Fuera"))))</f>
        <v>Acumulado</v>
      </c>
      <c r="K3067" s="6" t="str">
        <f t="shared" si="168"/>
        <v>A tiempo</v>
      </c>
      <c r="L3067" s="8"/>
      <c r="M3067" s="17">
        <f>MAX(1,NETWORKDAYS(A3067,L3067,Table2[Dias no laborales]))</f>
        <v>1</v>
      </c>
    </row>
    <row r="3068" spans="1:13" x14ac:dyDescent="0.3">
      <c r="A3068" s="8"/>
      <c r="B3068" s="16" t="s">
        <v>5685</v>
      </c>
      <c r="C3068" s="6"/>
      <c r="D3068" s="6"/>
      <c r="E3068" s="14"/>
      <c r="F3068" s="25">
        <f>IF(HOUR(Table1[[#This Row],[CORREO]])&gt;=11,WORKDAY(Table1[[#This Row],[CORREO]],1,Table2[Dias no laborales]),E3068)</f>
        <v>0</v>
      </c>
      <c r="G3068" s="8"/>
      <c r="H3068" s="6">
        <f t="shared" si="167"/>
        <v>0</v>
      </c>
      <c r="I3068" s="6">
        <f>MAX(1, NETWORKDAYS(A3068, G3068,Table2[Dias no laborales]))</f>
        <v>1</v>
      </c>
      <c r="J3068" s="6" t="str">
        <f>IF(Table1[[#This Row],[FIN]]="","Acumulado",IF(ISNUMBER(SEARCH("ASAP",C3068)),"ASAP",IF(NETWORKDAYS.INTL(F3068,G3068,1,Table2[Dias no laborales]) &lt;= 7, "Dentro", IF(A3068&gt;F3068,"Programado","Fuera"))))</f>
        <v>Acumulado</v>
      </c>
      <c r="K3068" s="6" t="str">
        <f t="shared" si="168"/>
        <v>A tiempo</v>
      </c>
      <c r="L3068" s="8"/>
      <c r="M3068" s="17">
        <f>MAX(1,NETWORKDAYS(A3068,L3068,Table2[Dias no laborales]))</f>
        <v>1</v>
      </c>
    </row>
    <row r="3069" spans="1:13" x14ac:dyDescent="0.3">
      <c r="A3069" s="8"/>
      <c r="B3069" s="16" t="s">
        <v>5686</v>
      </c>
      <c r="C3069" s="6"/>
      <c r="D3069" s="6"/>
      <c r="E3069" s="14"/>
      <c r="F3069" s="25">
        <f>IF(HOUR(Table1[[#This Row],[CORREO]])&gt;=11,WORKDAY(Table1[[#This Row],[CORREO]],1,Table2[Dias no laborales]),E3069)</f>
        <v>0</v>
      </c>
      <c r="G3069" s="8"/>
      <c r="H3069" s="6">
        <f t="shared" ref="H3069:H3100" si="169">INT((A3069-DATE(YEAR(A3069),1,1))/7) + 1</f>
        <v>0</v>
      </c>
      <c r="I3069" s="6">
        <f>MAX(1, NETWORKDAYS(A3069, G3069,Table2[Dias no laborales]))</f>
        <v>1</v>
      </c>
      <c r="J3069" s="6" t="str">
        <f>IF(Table1[[#This Row],[FIN]]="","Acumulado",IF(ISNUMBER(SEARCH("ASAP",C3069)),"ASAP",IF(NETWORKDAYS.INTL(F3069,G3069,1,Table2[Dias no laborales]) &lt;= 7, "Dentro", IF(A3069&gt;F3069,"Programado","Fuera"))))</f>
        <v>Acumulado</v>
      </c>
      <c r="K3069" s="6" t="str">
        <f t="shared" ref="K3069:K3100" si="170">IF(INT(A3069)=INT(F3069),"A tiempo", IF(A3069&lt;F3069,"Mismo día","Programados"))</f>
        <v>A tiempo</v>
      </c>
      <c r="L3069" s="8"/>
      <c r="M3069" s="17">
        <f>MAX(1,NETWORKDAYS(A3069,L3069,Table2[Dias no laborales]))</f>
        <v>1</v>
      </c>
    </row>
    <row r="3070" spans="1:13" x14ac:dyDescent="0.3">
      <c r="A3070" s="8"/>
      <c r="B3070" s="16" t="s">
        <v>5687</v>
      </c>
      <c r="C3070" s="6"/>
      <c r="D3070" s="6"/>
      <c r="E3070" s="14"/>
      <c r="F3070" s="25">
        <f>IF(HOUR(Table1[[#This Row],[CORREO]])&gt;=11,WORKDAY(Table1[[#This Row],[CORREO]],1,Table2[Dias no laborales]),E3070)</f>
        <v>0</v>
      </c>
      <c r="G3070" s="8"/>
      <c r="H3070" s="6">
        <f t="shared" si="169"/>
        <v>0</v>
      </c>
      <c r="I3070" s="6">
        <f>MAX(1, NETWORKDAYS(A3070, G3070,Table2[Dias no laborales]))</f>
        <v>1</v>
      </c>
      <c r="J3070" s="6" t="str">
        <f>IF(Table1[[#This Row],[FIN]]="","Acumulado",IF(ISNUMBER(SEARCH("ASAP",C3070)),"ASAP",IF(NETWORKDAYS.INTL(F3070,G3070,1,Table2[Dias no laborales]) &lt;= 7, "Dentro", IF(A3070&gt;F3070,"Programado","Fuera"))))</f>
        <v>Acumulado</v>
      </c>
      <c r="K3070" s="6" t="str">
        <f t="shared" si="170"/>
        <v>A tiempo</v>
      </c>
      <c r="L3070" s="8"/>
      <c r="M3070" s="17">
        <f>MAX(1,NETWORKDAYS(A3070,L3070,Table2[Dias no laborales]))</f>
        <v>1</v>
      </c>
    </row>
    <row r="3071" spans="1:13" x14ac:dyDescent="0.3">
      <c r="A3071" s="8"/>
      <c r="B3071" s="16" t="s">
        <v>5688</v>
      </c>
      <c r="C3071" s="6"/>
      <c r="D3071" s="6"/>
      <c r="E3071" s="14"/>
      <c r="F3071" s="25">
        <f>IF(HOUR(Table1[[#This Row],[CORREO]])&gt;=11,WORKDAY(Table1[[#This Row],[CORREO]],1,Table2[Dias no laborales]),E3071)</f>
        <v>0</v>
      </c>
      <c r="G3071" s="8"/>
      <c r="H3071" s="6">
        <f t="shared" si="169"/>
        <v>0</v>
      </c>
      <c r="I3071" s="6">
        <f>MAX(1, NETWORKDAYS(A3071, G3071,Table2[Dias no laborales]))</f>
        <v>1</v>
      </c>
      <c r="J3071" s="6" t="str">
        <f>IF(Table1[[#This Row],[FIN]]="","Acumulado",IF(ISNUMBER(SEARCH("ASAP",C3071)),"ASAP",IF(NETWORKDAYS.INTL(F3071,G3071,1,Table2[Dias no laborales]) &lt;= 7, "Dentro", IF(A3071&gt;F3071,"Programado","Fuera"))))</f>
        <v>Acumulado</v>
      </c>
      <c r="K3071" s="6" t="str">
        <f t="shared" si="170"/>
        <v>A tiempo</v>
      </c>
      <c r="L3071" s="8"/>
      <c r="M3071" s="17">
        <f>MAX(1,NETWORKDAYS(A3071,L3071,Table2[Dias no laborales]))</f>
        <v>1</v>
      </c>
    </row>
    <row r="3072" spans="1:13" x14ac:dyDescent="0.3">
      <c r="A3072" s="8"/>
      <c r="B3072" s="16" t="s">
        <v>5689</v>
      </c>
      <c r="C3072" s="6"/>
      <c r="D3072" s="6"/>
      <c r="E3072" s="14"/>
      <c r="F3072" s="25">
        <f>IF(HOUR(Table1[[#This Row],[CORREO]])&gt;=11,WORKDAY(Table1[[#This Row],[CORREO]],1,Table2[Dias no laborales]),E3072)</f>
        <v>0</v>
      </c>
      <c r="G3072" s="8"/>
      <c r="H3072" s="6">
        <f t="shared" si="169"/>
        <v>0</v>
      </c>
      <c r="I3072" s="6">
        <f>MAX(1, NETWORKDAYS(A3072, G3072,Table2[Dias no laborales]))</f>
        <v>1</v>
      </c>
      <c r="J3072" s="6" t="str">
        <f>IF(Table1[[#This Row],[FIN]]="","Acumulado",IF(ISNUMBER(SEARCH("ASAP",C3072)),"ASAP",IF(NETWORKDAYS.INTL(F3072,G3072,1,Table2[Dias no laborales]) &lt;= 7, "Dentro", IF(A3072&gt;F3072,"Programado","Fuera"))))</f>
        <v>Acumulado</v>
      </c>
      <c r="K3072" s="6" t="str">
        <f t="shared" si="170"/>
        <v>A tiempo</v>
      </c>
      <c r="L3072" s="8"/>
      <c r="M3072" s="17">
        <f>MAX(1,NETWORKDAYS(A3072,L3072,Table2[Dias no laborales]))</f>
        <v>1</v>
      </c>
    </row>
    <row r="3073" spans="1:13" x14ac:dyDescent="0.3">
      <c r="A3073" s="8"/>
      <c r="B3073" s="16" t="s">
        <v>5690</v>
      </c>
      <c r="C3073" s="6"/>
      <c r="D3073" s="6"/>
      <c r="E3073" s="14"/>
      <c r="F3073" s="25">
        <f>IF(HOUR(Table1[[#This Row],[CORREO]])&gt;=11,WORKDAY(Table1[[#This Row],[CORREO]],1,Table2[Dias no laborales]),E3073)</f>
        <v>0</v>
      </c>
      <c r="G3073" s="8"/>
      <c r="H3073" s="6">
        <f t="shared" si="169"/>
        <v>0</v>
      </c>
      <c r="I3073" s="6">
        <f>MAX(1, NETWORKDAYS(A3073, G3073,Table2[Dias no laborales]))</f>
        <v>1</v>
      </c>
      <c r="J3073" s="6" t="str">
        <f>IF(Table1[[#This Row],[FIN]]="","Acumulado",IF(ISNUMBER(SEARCH("ASAP",C3073)),"ASAP",IF(NETWORKDAYS.INTL(F3073,G3073,1,Table2[Dias no laborales]) &lt;= 7, "Dentro", IF(A3073&gt;F3073,"Programado","Fuera"))))</f>
        <v>Acumulado</v>
      </c>
      <c r="K3073" s="6" t="str">
        <f t="shared" si="170"/>
        <v>A tiempo</v>
      </c>
      <c r="L3073" s="8"/>
      <c r="M3073" s="17">
        <f>MAX(1,NETWORKDAYS(A3073,L3073,Table2[Dias no laborales]))</f>
        <v>1</v>
      </c>
    </row>
    <row r="3074" spans="1:13" x14ac:dyDescent="0.3">
      <c r="A3074" s="8"/>
      <c r="B3074" s="16" t="s">
        <v>5691</v>
      </c>
      <c r="C3074" s="6"/>
      <c r="D3074" s="6"/>
      <c r="E3074" s="14"/>
      <c r="F3074" s="25">
        <f>IF(HOUR(Table1[[#This Row],[CORREO]])&gt;=11,WORKDAY(Table1[[#This Row],[CORREO]],1,Table2[Dias no laborales]),E3074)</f>
        <v>0</v>
      </c>
      <c r="G3074" s="8"/>
      <c r="H3074" s="6">
        <f t="shared" si="169"/>
        <v>0</v>
      </c>
      <c r="I3074" s="6">
        <f>MAX(1, NETWORKDAYS(A3074, G3074,Table2[Dias no laborales]))</f>
        <v>1</v>
      </c>
      <c r="J3074" s="6" t="str">
        <f>IF(Table1[[#This Row],[FIN]]="","Acumulado",IF(ISNUMBER(SEARCH("ASAP",C3074)),"ASAP",IF(NETWORKDAYS.INTL(F3074,G3074,1,Table2[Dias no laborales]) &lt;= 7, "Dentro", IF(A3074&gt;F3074,"Programado","Fuera"))))</f>
        <v>Acumulado</v>
      </c>
      <c r="K3074" s="6" t="str">
        <f t="shared" si="170"/>
        <v>A tiempo</v>
      </c>
      <c r="L3074" s="8"/>
      <c r="M3074" s="17">
        <f>MAX(1,NETWORKDAYS(A3074,L3074,Table2[Dias no laborales]))</f>
        <v>1</v>
      </c>
    </row>
    <row r="3075" spans="1:13" x14ac:dyDescent="0.3">
      <c r="A3075" s="8"/>
      <c r="B3075" s="16" t="s">
        <v>5692</v>
      </c>
      <c r="C3075" s="6"/>
      <c r="D3075" s="6"/>
      <c r="E3075" s="14"/>
      <c r="F3075" s="25">
        <f>IF(HOUR(Table1[[#This Row],[CORREO]])&gt;=11,WORKDAY(Table1[[#This Row],[CORREO]],1,Table2[Dias no laborales]),E3075)</f>
        <v>0</v>
      </c>
      <c r="G3075" s="8"/>
      <c r="H3075" s="6">
        <f t="shared" si="169"/>
        <v>0</v>
      </c>
      <c r="I3075" s="6">
        <f>MAX(1, NETWORKDAYS(A3075, G3075,Table2[Dias no laborales]))</f>
        <v>1</v>
      </c>
      <c r="J3075" s="6" t="str">
        <f>IF(Table1[[#This Row],[FIN]]="","Acumulado",IF(ISNUMBER(SEARCH("ASAP",C3075)),"ASAP",IF(NETWORKDAYS.INTL(F3075,G3075,1,Table2[Dias no laborales]) &lt;= 7, "Dentro", IF(A3075&gt;F3075,"Programado","Fuera"))))</f>
        <v>Acumulado</v>
      </c>
      <c r="K3075" s="6" t="str">
        <f t="shared" si="170"/>
        <v>A tiempo</v>
      </c>
      <c r="L3075" s="8"/>
      <c r="M3075" s="17">
        <f>MAX(1,NETWORKDAYS(A3075,L3075,Table2[Dias no laborales]))</f>
        <v>1</v>
      </c>
    </row>
    <row r="3076" spans="1:13" x14ac:dyDescent="0.3">
      <c r="A3076" s="8"/>
      <c r="B3076" s="16" t="s">
        <v>5693</v>
      </c>
      <c r="C3076" s="6"/>
      <c r="D3076" s="6"/>
      <c r="E3076" s="14"/>
      <c r="F3076" s="25">
        <f>IF(HOUR(Table1[[#This Row],[CORREO]])&gt;=11,WORKDAY(Table1[[#This Row],[CORREO]],1,Table2[Dias no laborales]),E3076)</f>
        <v>0</v>
      </c>
      <c r="G3076" s="8"/>
      <c r="H3076" s="6">
        <f t="shared" si="169"/>
        <v>0</v>
      </c>
      <c r="I3076" s="6">
        <f>MAX(1, NETWORKDAYS(A3076, G3076,Table2[Dias no laborales]))</f>
        <v>1</v>
      </c>
      <c r="J3076" s="6" t="str">
        <f>IF(Table1[[#This Row],[FIN]]="","Acumulado",IF(ISNUMBER(SEARCH("ASAP",C3076)),"ASAP",IF(NETWORKDAYS.INTL(F3076,G3076,1,Table2[Dias no laborales]) &lt;= 7, "Dentro", IF(A3076&gt;F3076,"Programado","Fuera"))))</f>
        <v>Acumulado</v>
      </c>
      <c r="K3076" s="6" t="str">
        <f t="shared" si="170"/>
        <v>A tiempo</v>
      </c>
      <c r="L3076" s="8"/>
      <c r="M3076" s="17">
        <f>MAX(1,NETWORKDAYS(A3076,L3076,Table2[Dias no laborales]))</f>
        <v>1</v>
      </c>
    </row>
    <row r="3077" spans="1:13" x14ac:dyDescent="0.3">
      <c r="A3077" s="8"/>
      <c r="B3077" s="16" t="s">
        <v>5694</v>
      </c>
      <c r="C3077" s="6"/>
      <c r="D3077" s="6"/>
      <c r="E3077" s="14"/>
      <c r="F3077" s="25">
        <f>IF(HOUR(Table1[[#This Row],[CORREO]])&gt;=11,WORKDAY(Table1[[#This Row],[CORREO]],1,Table2[Dias no laborales]),E3077)</f>
        <v>0</v>
      </c>
      <c r="G3077" s="8"/>
      <c r="H3077" s="6">
        <f t="shared" si="169"/>
        <v>0</v>
      </c>
      <c r="I3077" s="6">
        <f>MAX(1, NETWORKDAYS(A3077, G3077,Table2[Dias no laborales]))</f>
        <v>1</v>
      </c>
      <c r="J3077" s="6" t="str">
        <f>IF(Table1[[#This Row],[FIN]]="","Acumulado",IF(ISNUMBER(SEARCH("ASAP",C3077)),"ASAP",IF(NETWORKDAYS.INTL(F3077,G3077,1,Table2[Dias no laborales]) &lt;= 7, "Dentro", IF(A3077&gt;F3077,"Programado","Fuera"))))</f>
        <v>Acumulado</v>
      </c>
      <c r="K3077" s="6" t="str">
        <f t="shared" si="170"/>
        <v>A tiempo</v>
      </c>
      <c r="L3077" s="8"/>
      <c r="M3077" s="17">
        <f>MAX(1,NETWORKDAYS(A3077,L3077,Table2[Dias no laborales]))</f>
        <v>1</v>
      </c>
    </row>
    <row r="3078" spans="1:13" x14ac:dyDescent="0.3">
      <c r="A3078" s="8"/>
      <c r="B3078" s="16" t="s">
        <v>5695</v>
      </c>
      <c r="C3078" s="6"/>
      <c r="D3078" s="6"/>
      <c r="E3078" s="14"/>
      <c r="F3078" s="25">
        <f>IF(HOUR(Table1[[#This Row],[CORREO]])&gt;=11,WORKDAY(Table1[[#This Row],[CORREO]],1,Table2[Dias no laborales]),E3078)</f>
        <v>0</v>
      </c>
      <c r="G3078" s="8"/>
      <c r="H3078" s="6">
        <f t="shared" si="169"/>
        <v>0</v>
      </c>
      <c r="I3078" s="6">
        <f>MAX(1, NETWORKDAYS(A3078, G3078,Table2[Dias no laborales]))</f>
        <v>1</v>
      </c>
      <c r="J3078" s="6" t="str">
        <f>IF(Table1[[#This Row],[FIN]]="","Acumulado",IF(ISNUMBER(SEARCH("ASAP",C3078)),"ASAP",IF(NETWORKDAYS.INTL(F3078,G3078,1,Table2[Dias no laborales]) &lt;= 7, "Dentro", IF(A3078&gt;F3078,"Programado","Fuera"))))</f>
        <v>Acumulado</v>
      </c>
      <c r="K3078" s="6" t="str">
        <f t="shared" si="170"/>
        <v>A tiempo</v>
      </c>
      <c r="L3078" s="8"/>
      <c r="M3078" s="17">
        <f>MAX(1,NETWORKDAYS(A3078,L3078,Table2[Dias no laborales]))</f>
        <v>1</v>
      </c>
    </row>
    <row r="3079" spans="1:13" x14ac:dyDescent="0.3">
      <c r="A3079" s="8"/>
      <c r="B3079" s="16" t="s">
        <v>5696</v>
      </c>
      <c r="C3079" s="6"/>
      <c r="D3079" s="6"/>
      <c r="E3079" s="14"/>
      <c r="F3079" s="25">
        <f>IF(HOUR(Table1[[#This Row],[CORREO]])&gt;=11,WORKDAY(Table1[[#This Row],[CORREO]],1,Table2[Dias no laborales]),E3079)</f>
        <v>0</v>
      </c>
      <c r="G3079" s="8"/>
      <c r="H3079" s="6">
        <f t="shared" si="169"/>
        <v>0</v>
      </c>
      <c r="I3079" s="6">
        <f>MAX(1, NETWORKDAYS(A3079, G3079,Table2[Dias no laborales]))</f>
        <v>1</v>
      </c>
      <c r="J3079" s="6" t="str">
        <f>IF(Table1[[#This Row],[FIN]]="","Acumulado",IF(ISNUMBER(SEARCH("ASAP",C3079)),"ASAP",IF(NETWORKDAYS.INTL(F3079,G3079,1,Table2[Dias no laborales]) &lt;= 7, "Dentro", IF(A3079&gt;F3079,"Programado","Fuera"))))</f>
        <v>Acumulado</v>
      </c>
      <c r="K3079" s="6" t="str">
        <f t="shared" si="170"/>
        <v>A tiempo</v>
      </c>
      <c r="L3079" s="8"/>
      <c r="M3079" s="17">
        <f>MAX(1,NETWORKDAYS(A3079,L3079,Table2[Dias no laborales]))</f>
        <v>1</v>
      </c>
    </row>
    <row r="3080" spans="1:13" x14ac:dyDescent="0.3">
      <c r="A3080" s="8"/>
      <c r="B3080" s="16" t="s">
        <v>5697</v>
      </c>
      <c r="C3080" s="6"/>
      <c r="D3080" s="6"/>
      <c r="E3080" s="14"/>
      <c r="F3080" s="25">
        <f>IF(HOUR(Table1[[#This Row],[CORREO]])&gt;=11,WORKDAY(Table1[[#This Row],[CORREO]],1,Table2[Dias no laborales]),E3080)</f>
        <v>0</v>
      </c>
      <c r="G3080" s="8"/>
      <c r="H3080" s="6">
        <f t="shared" si="169"/>
        <v>0</v>
      </c>
      <c r="I3080" s="6">
        <f>MAX(1, NETWORKDAYS(A3080, G3080,Table2[Dias no laborales]))</f>
        <v>1</v>
      </c>
      <c r="J3080" s="6" t="str">
        <f>IF(Table1[[#This Row],[FIN]]="","Acumulado",IF(ISNUMBER(SEARCH("ASAP",C3080)),"ASAP",IF(NETWORKDAYS.INTL(F3080,G3080,1,Table2[Dias no laborales]) &lt;= 7, "Dentro", IF(A3080&gt;F3080,"Programado","Fuera"))))</f>
        <v>Acumulado</v>
      </c>
      <c r="K3080" s="6" t="str">
        <f t="shared" si="170"/>
        <v>A tiempo</v>
      </c>
      <c r="L3080" s="8"/>
      <c r="M3080" s="17">
        <f>MAX(1,NETWORKDAYS(A3080,L3080,Table2[Dias no laborales]))</f>
        <v>1</v>
      </c>
    </row>
    <row r="3081" spans="1:13" x14ac:dyDescent="0.3">
      <c r="A3081" s="8"/>
      <c r="B3081" s="16" t="s">
        <v>5698</v>
      </c>
      <c r="C3081" s="6"/>
      <c r="D3081" s="6"/>
      <c r="E3081" s="14"/>
      <c r="F3081" s="25">
        <f>IF(HOUR(Table1[[#This Row],[CORREO]])&gt;=11,WORKDAY(Table1[[#This Row],[CORREO]],1,Table2[Dias no laborales]),E3081)</f>
        <v>0</v>
      </c>
      <c r="G3081" s="8"/>
      <c r="H3081" s="6">
        <f t="shared" si="169"/>
        <v>0</v>
      </c>
      <c r="I3081" s="6">
        <f>MAX(1, NETWORKDAYS(A3081, G3081,Table2[Dias no laborales]))</f>
        <v>1</v>
      </c>
      <c r="J3081" s="6" t="str">
        <f>IF(Table1[[#This Row],[FIN]]="","Acumulado",IF(ISNUMBER(SEARCH("ASAP",C3081)),"ASAP",IF(NETWORKDAYS.INTL(F3081,G3081,1,Table2[Dias no laborales]) &lt;= 7, "Dentro", IF(A3081&gt;F3081,"Programado","Fuera"))))</f>
        <v>Acumulado</v>
      </c>
      <c r="K3081" s="6" t="str">
        <f t="shared" si="170"/>
        <v>A tiempo</v>
      </c>
      <c r="L3081" s="8"/>
      <c r="M3081" s="17">
        <f>MAX(1,NETWORKDAYS(A3081,L3081,Table2[Dias no laborales]))</f>
        <v>1</v>
      </c>
    </row>
    <row r="3082" spans="1:13" x14ac:dyDescent="0.3">
      <c r="A3082" s="8"/>
      <c r="B3082" s="16" t="s">
        <v>5699</v>
      </c>
      <c r="C3082" s="6"/>
      <c r="D3082" s="6"/>
      <c r="E3082" s="14"/>
      <c r="F3082" s="25">
        <f>IF(HOUR(Table1[[#This Row],[CORREO]])&gt;=11,WORKDAY(Table1[[#This Row],[CORREO]],1,Table2[Dias no laborales]),E3082)</f>
        <v>0</v>
      </c>
      <c r="G3082" s="8"/>
      <c r="H3082" s="6">
        <f t="shared" si="169"/>
        <v>0</v>
      </c>
      <c r="I3082" s="6">
        <f>MAX(1, NETWORKDAYS(A3082, G3082,Table2[Dias no laborales]))</f>
        <v>1</v>
      </c>
      <c r="J3082" s="6" t="str">
        <f>IF(Table1[[#This Row],[FIN]]="","Acumulado",IF(ISNUMBER(SEARCH("ASAP",C3082)),"ASAP",IF(NETWORKDAYS.INTL(F3082,G3082,1,Table2[Dias no laborales]) &lt;= 7, "Dentro", IF(A3082&gt;F3082,"Programado","Fuera"))))</f>
        <v>Acumulado</v>
      </c>
      <c r="K3082" s="6" t="str">
        <f t="shared" si="170"/>
        <v>A tiempo</v>
      </c>
      <c r="L3082" s="8"/>
      <c r="M3082" s="17">
        <f>MAX(1,NETWORKDAYS(A3082,L3082,Table2[Dias no laborales]))</f>
        <v>1</v>
      </c>
    </row>
    <row r="3083" spans="1:13" x14ac:dyDescent="0.3">
      <c r="A3083" s="8"/>
      <c r="B3083" s="16" t="s">
        <v>5700</v>
      </c>
      <c r="C3083" s="6"/>
      <c r="D3083" s="6"/>
      <c r="E3083" s="14"/>
      <c r="F3083" s="25">
        <f>IF(HOUR(Table1[[#This Row],[CORREO]])&gt;=11,WORKDAY(Table1[[#This Row],[CORREO]],1,Table2[Dias no laborales]),E3083)</f>
        <v>0</v>
      </c>
      <c r="G3083" s="8"/>
      <c r="H3083" s="6">
        <f t="shared" si="169"/>
        <v>0</v>
      </c>
      <c r="I3083" s="6">
        <f>MAX(1, NETWORKDAYS(A3083, G3083,Table2[Dias no laborales]))</f>
        <v>1</v>
      </c>
      <c r="J3083" s="6" t="str">
        <f>IF(Table1[[#This Row],[FIN]]="","Acumulado",IF(ISNUMBER(SEARCH("ASAP",C3083)),"ASAP",IF(NETWORKDAYS.INTL(F3083,G3083,1,Table2[Dias no laborales]) &lt;= 7, "Dentro", IF(A3083&gt;F3083,"Programado","Fuera"))))</f>
        <v>Acumulado</v>
      </c>
      <c r="K3083" s="6" t="str">
        <f t="shared" si="170"/>
        <v>A tiempo</v>
      </c>
      <c r="L3083" s="8"/>
      <c r="M3083" s="17">
        <f>MAX(1,NETWORKDAYS(A3083,L3083,Table2[Dias no laborales]))</f>
        <v>1</v>
      </c>
    </row>
    <row r="3084" spans="1:13" x14ac:dyDescent="0.3">
      <c r="A3084" s="8"/>
      <c r="B3084" s="16" t="s">
        <v>5701</v>
      </c>
      <c r="C3084" s="6"/>
      <c r="D3084" s="6"/>
      <c r="E3084" s="14"/>
      <c r="F3084" s="25">
        <f>IF(HOUR(Table1[[#This Row],[CORREO]])&gt;=11,WORKDAY(Table1[[#This Row],[CORREO]],1,Table2[Dias no laborales]),E3084)</f>
        <v>0</v>
      </c>
      <c r="G3084" s="8"/>
      <c r="H3084" s="6">
        <f t="shared" si="169"/>
        <v>0</v>
      </c>
      <c r="I3084" s="6">
        <f>MAX(1, NETWORKDAYS(A3084, G3084,Table2[Dias no laborales]))</f>
        <v>1</v>
      </c>
      <c r="J3084" s="6" t="str">
        <f>IF(Table1[[#This Row],[FIN]]="","Acumulado",IF(ISNUMBER(SEARCH("ASAP",C3084)),"ASAP",IF(NETWORKDAYS.INTL(F3084,G3084,1,Table2[Dias no laborales]) &lt;= 7, "Dentro", IF(A3084&gt;F3084,"Programado","Fuera"))))</f>
        <v>Acumulado</v>
      </c>
      <c r="K3084" s="6" t="str">
        <f t="shared" si="170"/>
        <v>A tiempo</v>
      </c>
      <c r="L3084" s="8"/>
      <c r="M3084" s="17">
        <f>MAX(1,NETWORKDAYS(A3084,L3084,Table2[Dias no laborales]))</f>
        <v>1</v>
      </c>
    </row>
    <row r="3085" spans="1:13" x14ac:dyDescent="0.3">
      <c r="A3085" s="8"/>
      <c r="B3085" s="16" t="s">
        <v>5702</v>
      </c>
      <c r="C3085" s="6"/>
      <c r="D3085" s="6"/>
      <c r="E3085" s="14"/>
      <c r="F3085" s="25">
        <f>IF(HOUR(Table1[[#This Row],[CORREO]])&gt;=11,WORKDAY(Table1[[#This Row],[CORREO]],1,Table2[Dias no laborales]),E3085)</f>
        <v>0</v>
      </c>
      <c r="G3085" s="8"/>
      <c r="H3085" s="6">
        <f t="shared" si="169"/>
        <v>0</v>
      </c>
      <c r="I3085" s="6">
        <f>MAX(1, NETWORKDAYS(A3085, G3085,Table2[Dias no laborales]))</f>
        <v>1</v>
      </c>
      <c r="J3085" s="6" t="str">
        <f>IF(Table1[[#This Row],[FIN]]="","Acumulado",IF(ISNUMBER(SEARCH("ASAP",C3085)),"ASAP",IF(NETWORKDAYS.INTL(F3085,G3085,1,Table2[Dias no laborales]) &lt;= 7, "Dentro", IF(A3085&gt;F3085,"Programado","Fuera"))))</f>
        <v>Acumulado</v>
      </c>
      <c r="K3085" s="6" t="str">
        <f t="shared" si="170"/>
        <v>A tiempo</v>
      </c>
      <c r="L3085" s="8"/>
      <c r="M3085" s="17">
        <f>MAX(1,NETWORKDAYS(A3085,L3085,Table2[Dias no laborales]))</f>
        <v>1</v>
      </c>
    </row>
    <row r="3086" spans="1:13" x14ac:dyDescent="0.3">
      <c r="A3086" s="8"/>
      <c r="B3086" s="16" t="s">
        <v>5703</v>
      </c>
      <c r="C3086" s="6"/>
      <c r="D3086" s="6"/>
      <c r="E3086" s="14"/>
      <c r="F3086" s="25">
        <f>IF(HOUR(Table1[[#This Row],[CORREO]])&gt;=11,WORKDAY(Table1[[#This Row],[CORREO]],1,Table2[Dias no laborales]),E3086)</f>
        <v>0</v>
      </c>
      <c r="G3086" s="8"/>
      <c r="H3086" s="6">
        <f t="shared" si="169"/>
        <v>0</v>
      </c>
      <c r="I3086" s="6">
        <f>MAX(1, NETWORKDAYS(A3086, G3086,Table2[Dias no laborales]))</f>
        <v>1</v>
      </c>
      <c r="J3086" s="6" t="str">
        <f>IF(Table1[[#This Row],[FIN]]="","Acumulado",IF(ISNUMBER(SEARCH("ASAP",C3086)),"ASAP",IF(NETWORKDAYS.INTL(F3086,G3086,1,Table2[Dias no laborales]) &lt;= 7, "Dentro", IF(A3086&gt;F3086,"Programado","Fuera"))))</f>
        <v>Acumulado</v>
      </c>
      <c r="K3086" s="6" t="str">
        <f t="shared" si="170"/>
        <v>A tiempo</v>
      </c>
      <c r="L3086" s="8"/>
      <c r="M3086" s="17">
        <f>MAX(1,NETWORKDAYS(A3086,L3086,Table2[Dias no laborales]))</f>
        <v>1</v>
      </c>
    </row>
    <row r="3087" spans="1:13" x14ac:dyDescent="0.3">
      <c r="A3087" s="8"/>
      <c r="B3087" s="16" t="s">
        <v>5704</v>
      </c>
      <c r="C3087" s="6"/>
      <c r="D3087" s="6"/>
      <c r="E3087" s="14"/>
      <c r="F3087" s="25">
        <f>IF(HOUR(Table1[[#This Row],[CORREO]])&gt;=11,WORKDAY(Table1[[#This Row],[CORREO]],1,Table2[Dias no laborales]),E3087)</f>
        <v>0</v>
      </c>
      <c r="G3087" s="8"/>
      <c r="H3087" s="6">
        <f t="shared" si="169"/>
        <v>0</v>
      </c>
      <c r="I3087" s="6">
        <f>MAX(1, NETWORKDAYS(A3087, G3087,Table2[Dias no laborales]))</f>
        <v>1</v>
      </c>
      <c r="J3087" s="6" t="str">
        <f>IF(Table1[[#This Row],[FIN]]="","Acumulado",IF(ISNUMBER(SEARCH("ASAP",C3087)),"ASAP",IF(NETWORKDAYS.INTL(F3087,G3087,1,Table2[Dias no laborales]) &lt;= 7, "Dentro", IF(A3087&gt;F3087,"Programado","Fuera"))))</f>
        <v>Acumulado</v>
      </c>
      <c r="K3087" s="6" t="str">
        <f t="shared" si="170"/>
        <v>A tiempo</v>
      </c>
      <c r="L3087" s="8"/>
      <c r="M3087" s="17">
        <f>MAX(1,NETWORKDAYS(A3087,L3087,Table2[Dias no laborales]))</f>
        <v>1</v>
      </c>
    </row>
    <row r="3088" spans="1:13" x14ac:dyDescent="0.3">
      <c r="A3088" s="8"/>
      <c r="B3088" s="16" t="s">
        <v>5705</v>
      </c>
      <c r="C3088" s="6"/>
      <c r="D3088" s="6"/>
      <c r="E3088" s="14"/>
      <c r="F3088" s="25">
        <f>IF(HOUR(Table1[[#This Row],[CORREO]])&gt;=11,WORKDAY(Table1[[#This Row],[CORREO]],1,Table2[Dias no laborales]),E3088)</f>
        <v>0</v>
      </c>
      <c r="G3088" s="8"/>
      <c r="H3088" s="6">
        <f t="shared" si="169"/>
        <v>0</v>
      </c>
      <c r="I3088" s="6">
        <f>MAX(1, NETWORKDAYS(A3088, G3088,Table2[Dias no laborales]))</f>
        <v>1</v>
      </c>
      <c r="J3088" s="6" t="str">
        <f>IF(Table1[[#This Row],[FIN]]="","Acumulado",IF(ISNUMBER(SEARCH("ASAP",C3088)),"ASAP",IF(NETWORKDAYS.INTL(F3088,G3088,1,Table2[Dias no laborales]) &lt;= 7, "Dentro", IF(A3088&gt;F3088,"Programado","Fuera"))))</f>
        <v>Acumulado</v>
      </c>
      <c r="K3088" s="6" t="str">
        <f t="shared" si="170"/>
        <v>A tiempo</v>
      </c>
      <c r="L3088" s="8"/>
      <c r="M3088" s="17">
        <f>MAX(1,NETWORKDAYS(A3088,L3088,Table2[Dias no laborales]))</f>
        <v>1</v>
      </c>
    </row>
    <row r="3089" spans="1:13" x14ac:dyDescent="0.3">
      <c r="A3089" s="8"/>
      <c r="B3089" s="16" t="s">
        <v>5706</v>
      </c>
      <c r="C3089" s="6"/>
      <c r="D3089" s="6"/>
      <c r="E3089" s="14"/>
      <c r="F3089" s="25">
        <f>IF(HOUR(Table1[[#This Row],[CORREO]])&gt;=11,WORKDAY(Table1[[#This Row],[CORREO]],1,Table2[Dias no laborales]),E3089)</f>
        <v>0</v>
      </c>
      <c r="G3089" s="8"/>
      <c r="H3089" s="6">
        <f t="shared" si="169"/>
        <v>0</v>
      </c>
      <c r="I3089" s="6">
        <f>MAX(1, NETWORKDAYS(A3089, G3089,Table2[Dias no laborales]))</f>
        <v>1</v>
      </c>
      <c r="J3089" s="6" t="str">
        <f>IF(Table1[[#This Row],[FIN]]="","Acumulado",IF(ISNUMBER(SEARCH("ASAP",C3089)),"ASAP",IF(NETWORKDAYS.INTL(F3089,G3089,1,Table2[Dias no laborales]) &lt;= 7, "Dentro", IF(A3089&gt;F3089,"Programado","Fuera"))))</f>
        <v>Acumulado</v>
      </c>
      <c r="K3089" s="6" t="str">
        <f t="shared" si="170"/>
        <v>A tiempo</v>
      </c>
      <c r="L3089" s="8"/>
      <c r="M3089" s="17">
        <f>MAX(1,NETWORKDAYS(A3089,L3089,Table2[Dias no laborales]))</f>
        <v>1</v>
      </c>
    </row>
    <row r="3090" spans="1:13" x14ac:dyDescent="0.3">
      <c r="A3090" s="8"/>
      <c r="B3090" s="16" t="s">
        <v>5707</v>
      </c>
      <c r="C3090" s="6"/>
      <c r="D3090" s="6"/>
      <c r="E3090" s="14"/>
      <c r="F3090" s="25">
        <f>IF(HOUR(Table1[[#This Row],[CORREO]])&gt;=11,WORKDAY(Table1[[#This Row],[CORREO]],1,Table2[Dias no laborales]),E3090)</f>
        <v>0</v>
      </c>
      <c r="G3090" s="8"/>
      <c r="H3090" s="6">
        <f t="shared" si="169"/>
        <v>0</v>
      </c>
      <c r="I3090" s="6">
        <f>MAX(1, NETWORKDAYS(A3090, G3090,Table2[Dias no laborales]))</f>
        <v>1</v>
      </c>
      <c r="J3090" s="6" t="str">
        <f>IF(Table1[[#This Row],[FIN]]="","Acumulado",IF(ISNUMBER(SEARCH("ASAP",C3090)),"ASAP",IF(NETWORKDAYS.INTL(F3090,G3090,1,Table2[Dias no laborales]) &lt;= 7, "Dentro", IF(A3090&gt;F3090,"Programado","Fuera"))))</f>
        <v>Acumulado</v>
      </c>
      <c r="K3090" s="6" t="str">
        <f t="shared" si="170"/>
        <v>A tiempo</v>
      </c>
      <c r="L3090" s="8"/>
      <c r="M3090" s="17">
        <f>MAX(1,NETWORKDAYS(A3090,L3090,Table2[Dias no laborales]))</f>
        <v>1</v>
      </c>
    </row>
    <row r="3091" spans="1:13" x14ac:dyDescent="0.3">
      <c r="A3091" s="8"/>
      <c r="B3091" s="16" t="s">
        <v>5708</v>
      </c>
      <c r="C3091" s="6"/>
      <c r="D3091" s="6"/>
      <c r="E3091" s="14"/>
      <c r="F3091" s="25">
        <f>IF(HOUR(Table1[[#This Row],[CORREO]])&gt;=11,WORKDAY(Table1[[#This Row],[CORREO]],1,Table2[Dias no laborales]),E3091)</f>
        <v>0</v>
      </c>
      <c r="G3091" s="8"/>
      <c r="H3091" s="6">
        <f t="shared" si="169"/>
        <v>0</v>
      </c>
      <c r="I3091" s="6">
        <f>MAX(1, NETWORKDAYS(A3091, G3091,Table2[Dias no laborales]))</f>
        <v>1</v>
      </c>
      <c r="J3091" s="6" t="str">
        <f>IF(Table1[[#This Row],[FIN]]="","Acumulado",IF(ISNUMBER(SEARCH("ASAP",C3091)),"ASAP",IF(NETWORKDAYS.INTL(F3091,G3091,1,Table2[Dias no laborales]) &lt;= 7, "Dentro", IF(A3091&gt;F3091,"Programado","Fuera"))))</f>
        <v>Acumulado</v>
      </c>
      <c r="K3091" s="6" t="str">
        <f t="shared" si="170"/>
        <v>A tiempo</v>
      </c>
      <c r="L3091" s="8"/>
      <c r="M3091" s="17">
        <f>MAX(1,NETWORKDAYS(A3091,L3091,Table2[Dias no laborales]))</f>
        <v>1</v>
      </c>
    </row>
    <row r="3092" spans="1:13" x14ac:dyDescent="0.3">
      <c r="A3092" s="8"/>
      <c r="B3092" s="16" t="s">
        <v>5709</v>
      </c>
      <c r="C3092" s="6"/>
      <c r="D3092" s="6"/>
      <c r="E3092" s="14"/>
      <c r="F3092" s="25">
        <f>IF(HOUR(Table1[[#This Row],[CORREO]])&gt;=11,WORKDAY(Table1[[#This Row],[CORREO]],1,Table2[Dias no laborales]),E3092)</f>
        <v>0</v>
      </c>
      <c r="G3092" s="8"/>
      <c r="H3092" s="6">
        <f t="shared" si="169"/>
        <v>0</v>
      </c>
      <c r="I3092" s="6">
        <f>MAX(1, NETWORKDAYS(A3092, G3092,Table2[Dias no laborales]))</f>
        <v>1</v>
      </c>
      <c r="J3092" s="6" t="str">
        <f>IF(Table1[[#This Row],[FIN]]="","Acumulado",IF(ISNUMBER(SEARCH("ASAP",C3092)),"ASAP",IF(NETWORKDAYS.INTL(F3092,G3092,1,Table2[Dias no laborales]) &lt;= 7, "Dentro", IF(A3092&gt;F3092,"Programado","Fuera"))))</f>
        <v>Acumulado</v>
      </c>
      <c r="K3092" s="6" t="str">
        <f t="shared" si="170"/>
        <v>A tiempo</v>
      </c>
      <c r="L3092" s="8"/>
      <c r="M3092" s="17">
        <f>MAX(1,NETWORKDAYS(A3092,L3092,Table2[Dias no laborales]))</f>
        <v>1</v>
      </c>
    </row>
    <row r="3093" spans="1:13" x14ac:dyDescent="0.3">
      <c r="A3093" s="8"/>
      <c r="B3093" s="16" t="s">
        <v>5710</v>
      </c>
      <c r="C3093" s="6"/>
      <c r="D3093" s="6"/>
      <c r="E3093" s="14"/>
      <c r="F3093" s="25">
        <f>IF(HOUR(Table1[[#This Row],[CORREO]])&gt;=11,WORKDAY(Table1[[#This Row],[CORREO]],1,Table2[Dias no laborales]),E3093)</f>
        <v>0</v>
      </c>
      <c r="G3093" s="8"/>
      <c r="H3093" s="6">
        <f t="shared" si="169"/>
        <v>0</v>
      </c>
      <c r="I3093" s="6">
        <f>MAX(1, NETWORKDAYS(A3093, G3093,Table2[Dias no laborales]))</f>
        <v>1</v>
      </c>
      <c r="J3093" s="6" t="str">
        <f>IF(Table1[[#This Row],[FIN]]="","Acumulado",IF(ISNUMBER(SEARCH("ASAP",C3093)),"ASAP",IF(NETWORKDAYS.INTL(F3093,G3093,1,Table2[Dias no laborales]) &lt;= 7, "Dentro", IF(A3093&gt;F3093,"Programado","Fuera"))))</f>
        <v>Acumulado</v>
      </c>
      <c r="K3093" s="6" t="str">
        <f t="shared" si="170"/>
        <v>A tiempo</v>
      </c>
      <c r="L3093" s="8"/>
      <c r="M3093" s="17">
        <f>MAX(1,NETWORKDAYS(A3093,L3093,Table2[Dias no laborales]))</f>
        <v>1</v>
      </c>
    </row>
    <row r="3094" spans="1:13" x14ac:dyDescent="0.3">
      <c r="A3094" s="8"/>
      <c r="B3094" s="16" t="s">
        <v>5711</v>
      </c>
      <c r="C3094" s="6"/>
      <c r="D3094" s="6"/>
      <c r="E3094" s="14"/>
      <c r="F3094" s="25">
        <f>IF(HOUR(Table1[[#This Row],[CORREO]])&gt;=11,WORKDAY(Table1[[#This Row],[CORREO]],1,Table2[Dias no laborales]),E3094)</f>
        <v>0</v>
      </c>
      <c r="G3094" s="8"/>
      <c r="H3094" s="6">
        <f t="shared" si="169"/>
        <v>0</v>
      </c>
      <c r="I3094" s="6">
        <f>MAX(1, NETWORKDAYS(A3094, G3094,Table2[Dias no laborales]))</f>
        <v>1</v>
      </c>
      <c r="J3094" s="6" t="str">
        <f>IF(Table1[[#This Row],[FIN]]="","Acumulado",IF(ISNUMBER(SEARCH("ASAP",C3094)),"ASAP",IF(NETWORKDAYS.INTL(F3094,G3094,1,Table2[Dias no laborales]) &lt;= 7, "Dentro", IF(A3094&gt;F3094,"Programado","Fuera"))))</f>
        <v>Acumulado</v>
      </c>
      <c r="K3094" s="6" t="str">
        <f t="shared" si="170"/>
        <v>A tiempo</v>
      </c>
      <c r="L3094" s="8"/>
      <c r="M3094" s="17">
        <f>MAX(1,NETWORKDAYS(A3094,L3094,Table2[Dias no laborales]))</f>
        <v>1</v>
      </c>
    </row>
    <row r="3095" spans="1:13" x14ac:dyDescent="0.3">
      <c r="A3095" s="8"/>
      <c r="B3095" s="16" t="s">
        <v>5712</v>
      </c>
      <c r="C3095" s="6"/>
      <c r="D3095" s="6"/>
      <c r="E3095" s="14"/>
      <c r="F3095" s="25">
        <f>IF(HOUR(Table1[[#This Row],[CORREO]])&gt;=11,WORKDAY(Table1[[#This Row],[CORREO]],1,Table2[Dias no laborales]),E3095)</f>
        <v>0</v>
      </c>
      <c r="G3095" s="8"/>
      <c r="H3095" s="6">
        <f t="shared" si="169"/>
        <v>0</v>
      </c>
      <c r="I3095" s="6">
        <f>MAX(1, NETWORKDAYS(A3095, G3095,Table2[Dias no laborales]))</f>
        <v>1</v>
      </c>
      <c r="J3095" s="6" t="str">
        <f>IF(Table1[[#This Row],[FIN]]="","Acumulado",IF(ISNUMBER(SEARCH("ASAP",C3095)),"ASAP",IF(NETWORKDAYS.INTL(F3095,G3095,1,Table2[Dias no laborales]) &lt;= 7, "Dentro", IF(A3095&gt;F3095,"Programado","Fuera"))))</f>
        <v>Acumulado</v>
      </c>
      <c r="K3095" s="6" t="str">
        <f t="shared" si="170"/>
        <v>A tiempo</v>
      </c>
      <c r="L3095" s="8"/>
      <c r="M3095" s="17">
        <f>MAX(1,NETWORKDAYS(A3095,L3095,Table2[Dias no laborales]))</f>
        <v>1</v>
      </c>
    </row>
    <row r="3096" spans="1:13" x14ac:dyDescent="0.3">
      <c r="A3096" s="8"/>
      <c r="B3096" s="16" t="s">
        <v>5713</v>
      </c>
      <c r="C3096" s="6"/>
      <c r="D3096" s="6"/>
      <c r="E3096" s="14"/>
      <c r="F3096" s="25">
        <f>IF(HOUR(Table1[[#This Row],[CORREO]])&gt;=11,WORKDAY(Table1[[#This Row],[CORREO]],1,Table2[Dias no laborales]),E3096)</f>
        <v>0</v>
      </c>
      <c r="G3096" s="8"/>
      <c r="H3096" s="6">
        <f t="shared" si="169"/>
        <v>0</v>
      </c>
      <c r="I3096" s="6">
        <f>MAX(1, NETWORKDAYS(A3096, G3096,Table2[Dias no laborales]))</f>
        <v>1</v>
      </c>
      <c r="J3096" s="6" t="str">
        <f>IF(Table1[[#This Row],[FIN]]="","Acumulado",IF(ISNUMBER(SEARCH("ASAP",C3096)),"ASAP",IF(NETWORKDAYS.INTL(F3096,G3096,1,Table2[Dias no laborales]) &lt;= 7, "Dentro", IF(A3096&gt;F3096,"Programado","Fuera"))))</f>
        <v>Acumulado</v>
      </c>
      <c r="K3096" s="6" t="str">
        <f t="shared" si="170"/>
        <v>A tiempo</v>
      </c>
      <c r="L3096" s="8"/>
      <c r="M3096" s="17">
        <f>MAX(1,NETWORKDAYS(A3096,L3096,Table2[Dias no laborales]))</f>
        <v>1</v>
      </c>
    </row>
    <row r="3097" spans="1:13" x14ac:dyDescent="0.3">
      <c r="A3097" s="8"/>
      <c r="B3097" s="16" t="s">
        <v>5714</v>
      </c>
      <c r="C3097" s="6"/>
      <c r="D3097" s="6"/>
      <c r="E3097" s="14"/>
      <c r="F3097" s="25">
        <f>IF(HOUR(Table1[[#This Row],[CORREO]])&gt;=11,WORKDAY(Table1[[#This Row],[CORREO]],1,Table2[Dias no laborales]),E3097)</f>
        <v>0</v>
      </c>
      <c r="G3097" s="8"/>
      <c r="H3097" s="6">
        <f t="shared" si="169"/>
        <v>0</v>
      </c>
      <c r="I3097" s="6">
        <f>MAX(1, NETWORKDAYS(A3097, G3097,Table2[Dias no laborales]))</f>
        <v>1</v>
      </c>
      <c r="J3097" s="6" t="str">
        <f>IF(Table1[[#This Row],[FIN]]="","Acumulado",IF(ISNUMBER(SEARCH("ASAP",C3097)),"ASAP",IF(NETWORKDAYS.INTL(F3097,G3097,1,Table2[Dias no laborales]) &lt;= 7, "Dentro", IF(A3097&gt;F3097,"Programado","Fuera"))))</f>
        <v>Acumulado</v>
      </c>
      <c r="K3097" s="6" t="str">
        <f t="shared" si="170"/>
        <v>A tiempo</v>
      </c>
      <c r="L3097" s="8"/>
      <c r="M3097" s="17">
        <f>MAX(1,NETWORKDAYS(A3097,L3097,Table2[Dias no laborales]))</f>
        <v>1</v>
      </c>
    </row>
    <row r="3098" spans="1:13" x14ac:dyDescent="0.3">
      <c r="A3098" s="8"/>
      <c r="B3098" s="16" t="s">
        <v>5715</v>
      </c>
      <c r="C3098" s="6"/>
      <c r="D3098" s="6"/>
      <c r="E3098" s="14"/>
      <c r="F3098" s="25">
        <f>IF(HOUR(Table1[[#This Row],[CORREO]])&gt;=11,WORKDAY(Table1[[#This Row],[CORREO]],1,Table2[Dias no laborales]),E3098)</f>
        <v>0</v>
      </c>
      <c r="G3098" s="8"/>
      <c r="H3098" s="6">
        <f t="shared" si="169"/>
        <v>0</v>
      </c>
      <c r="I3098" s="6">
        <f>MAX(1, NETWORKDAYS(A3098, G3098,Table2[Dias no laborales]))</f>
        <v>1</v>
      </c>
      <c r="J3098" s="6" t="str">
        <f>IF(Table1[[#This Row],[FIN]]="","Acumulado",IF(ISNUMBER(SEARCH("ASAP",C3098)),"ASAP",IF(NETWORKDAYS.INTL(F3098,G3098,1,Table2[Dias no laborales]) &lt;= 7, "Dentro", IF(A3098&gt;F3098,"Programado","Fuera"))))</f>
        <v>Acumulado</v>
      </c>
      <c r="K3098" s="6" t="str">
        <f t="shared" si="170"/>
        <v>A tiempo</v>
      </c>
      <c r="L3098" s="8"/>
      <c r="M3098" s="17">
        <f>MAX(1,NETWORKDAYS(A3098,L3098,Table2[Dias no laborales]))</f>
        <v>1</v>
      </c>
    </row>
    <row r="3099" spans="1:13" x14ac:dyDescent="0.3">
      <c r="A3099" s="8"/>
      <c r="B3099" s="16" t="s">
        <v>5716</v>
      </c>
      <c r="C3099" s="6"/>
      <c r="D3099" s="6"/>
      <c r="E3099" s="14"/>
      <c r="F3099" s="25">
        <f>IF(HOUR(Table1[[#This Row],[CORREO]])&gt;=11,WORKDAY(Table1[[#This Row],[CORREO]],1,Table2[Dias no laborales]),E3099)</f>
        <v>0</v>
      </c>
      <c r="G3099" s="8"/>
      <c r="H3099" s="6">
        <f t="shared" si="169"/>
        <v>0</v>
      </c>
      <c r="I3099" s="6">
        <f>MAX(1, NETWORKDAYS(A3099, G3099,Table2[Dias no laborales]))</f>
        <v>1</v>
      </c>
      <c r="J3099" s="6" t="str">
        <f>IF(Table1[[#This Row],[FIN]]="","Acumulado",IF(ISNUMBER(SEARCH("ASAP",C3099)),"ASAP",IF(NETWORKDAYS.INTL(F3099,G3099,1,Table2[Dias no laborales]) &lt;= 7, "Dentro", IF(A3099&gt;F3099,"Programado","Fuera"))))</f>
        <v>Acumulado</v>
      </c>
      <c r="K3099" s="6" t="str">
        <f t="shared" si="170"/>
        <v>A tiempo</v>
      </c>
      <c r="L3099" s="8"/>
      <c r="M3099" s="17">
        <f>MAX(1,NETWORKDAYS(A3099,L3099,Table2[Dias no laborales]))</f>
        <v>1</v>
      </c>
    </row>
    <row r="3100" spans="1:13" x14ac:dyDescent="0.3">
      <c r="A3100" s="8"/>
      <c r="B3100" s="16" t="s">
        <v>5717</v>
      </c>
      <c r="C3100" s="6"/>
      <c r="D3100" s="6"/>
      <c r="E3100" s="14"/>
      <c r="F3100" s="25">
        <f>IF(HOUR(Table1[[#This Row],[CORREO]])&gt;=11,WORKDAY(Table1[[#This Row],[CORREO]],1,Table2[Dias no laborales]),E3100)</f>
        <v>0</v>
      </c>
      <c r="G3100" s="8"/>
      <c r="H3100" s="6">
        <f t="shared" si="169"/>
        <v>0</v>
      </c>
      <c r="I3100" s="6">
        <f>MAX(1, NETWORKDAYS(A3100, G3100,Table2[Dias no laborales]))</f>
        <v>1</v>
      </c>
      <c r="J3100" s="6" t="str">
        <f>IF(Table1[[#This Row],[FIN]]="","Acumulado",IF(ISNUMBER(SEARCH("ASAP",C3100)),"ASAP",IF(NETWORKDAYS.INTL(F3100,G3100,1,Table2[Dias no laborales]) &lt;= 7, "Dentro", IF(A3100&gt;F3100,"Programado","Fuera"))))</f>
        <v>Acumulado</v>
      </c>
      <c r="K3100" s="6" t="str">
        <f t="shared" si="170"/>
        <v>A tiempo</v>
      </c>
      <c r="L3100" s="8"/>
      <c r="M3100" s="17">
        <f>MAX(1,NETWORKDAYS(A3100,L3100,Table2[Dias no laborales]))</f>
        <v>1</v>
      </c>
    </row>
    <row r="3101" spans="1:13" x14ac:dyDescent="0.3">
      <c r="A3101" s="8"/>
      <c r="B3101" s="16" t="s">
        <v>5718</v>
      </c>
      <c r="C3101" s="6"/>
      <c r="D3101" s="6"/>
      <c r="E3101" s="14"/>
      <c r="F3101" s="25">
        <f>IF(HOUR(Table1[[#This Row],[CORREO]])&gt;=11,WORKDAY(Table1[[#This Row],[CORREO]],1,Table2[Dias no laborales]),E3101)</f>
        <v>0</v>
      </c>
      <c r="G3101" s="8"/>
      <c r="H3101" s="6">
        <f t="shared" ref="H3101:H3132" si="171">INT((A3101-DATE(YEAR(A3101),1,1))/7) + 1</f>
        <v>0</v>
      </c>
      <c r="I3101" s="6">
        <f>MAX(1, NETWORKDAYS(A3101, G3101,Table2[Dias no laborales]))</f>
        <v>1</v>
      </c>
      <c r="J3101" s="6" t="str">
        <f>IF(Table1[[#This Row],[FIN]]="","Acumulado",IF(ISNUMBER(SEARCH("ASAP",C3101)),"ASAP",IF(NETWORKDAYS.INTL(F3101,G3101,1,Table2[Dias no laborales]) &lt;= 7, "Dentro", IF(A3101&gt;F3101,"Programado","Fuera"))))</f>
        <v>Acumulado</v>
      </c>
      <c r="K3101" s="6" t="str">
        <f t="shared" ref="K3101:K3132" si="172">IF(INT(A3101)=INT(F3101),"A tiempo", IF(A3101&lt;F3101,"Mismo día","Programados"))</f>
        <v>A tiempo</v>
      </c>
      <c r="L3101" s="8"/>
      <c r="M3101" s="17">
        <f>MAX(1,NETWORKDAYS(A3101,L3101,Table2[Dias no laborales]))</f>
        <v>1</v>
      </c>
    </row>
    <row r="3102" spans="1:13" x14ac:dyDescent="0.3">
      <c r="A3102" s="8"/>
      <c r="B3102" s="16" t="s">
        <v>5719</v>
      </c>
      <c r="C3102" s="6"/>
      <c r="D3102" s="6"/>
      <c r="E3102" s="14"/>
      <c r="F3102" s="25">
        <f>IF(HOUR(Table1[[#This Row],[CORREO]])&gt;=11,WORKDAY(Table1[[#This Row],[CORREO]],1,Table2[Dias no laborales]),E3102)</f>
        <v>0</v>
      </c>
      <c r="G3102" s="8"/>
      <c r="H3102" s="6">
        <f t="shared" si="171"/>
        <v>0</v>
      </c>
      <c r="I3102" s="6">
        <f>MAX(1, NETWORKDAYS(A3102, G3102,Table2[Dias no laborales]))</f>
        <v>1</v>
      </c>
      <c r="J3102" s="6" t="str">
        <f>IF(Table1[[#This Row],[FIN]]="","Acumulado",IF(ISNUMBER(SEARCH("ASAP",C3102)),"ASAP",IF(NETWORKDAYS.INTL(F3102,G3102,1,Table2[Dias no laborales]) &lt;= 7, "Dentro", IF(A3102&gt;F3102,"Programado","Fuera"))))</f>
        <v>Acumulado</v>
      </c>
      <c r="K3102" s="6" t="str">
        <f t="shared" si="172"/>
        <v>A tiempo</v>
      </c>
      <c r="L3102" s="8"/>
      <c r="M3102" s="17">
        <f>MAX(1,NETWORKDAYS(A3102,L3102,Table2[Dias no laborales]))</f>
        <v>1</v>
      </c>
    </row>
    <row r="3103" spans="1:13" x14ac:dyDescent="0.3">
      <c r="A3103" s="8"/>
      <c r="B3103" s="16" t="s">
        <v>5720</v>
      </c>
      <c r="C3103" s="6"/>
      <c r="D3103" s="6"/>
      <c r="E3103" s="14"/>
      <c r="F3103" s="25">
        <f>IF(HOUR(Table1[[#This Row],[CORREO]])&gt;=11,WORKDAY(Table1[[#This Row],[CORREO]],1,Table2[Dias no laborales]),E3103)</f>
        <v>0</v>
      </c>
      <c r="G3103" s="8"/>
      <c r="H3103" s="6">
        <f t="shared" si="171"/>
        <v>0</v>
      </c>
      <c r="I3103" s="6">
        <f>MAX(1, NETWORKDAYS(A3103, G3103,Table2[Dias no laborales]))</f>
        <v>1</v>
      </c>
      <c r="J3103" s="6" t="str">
        <f>IF(Table1[[#This Row],[FIN]]="","Acumulado",IF(ISNUMBER(SEARCH("ASAP",C3103)),"ASAP",IF(NETWORKDAYS.INTL(F3103,G3103,1,Table2[Dias no laborales]) &lt;= 7, "Dentro", IF(A3103&gt;F3103,"Programado","Fuera"))))</f>
        <v>Acumulado</v>
      </c>
      <c r="K3103" s="6" t="str">
        <f t="shared" si="172"/>
        <v>A tiempo</v>
      </c>
      <c r="L3103" s="8"/>
      <c r="M3103" s="17">
        <f>MAX(1,NETWORKDAYS(A3103,L3103,Table2[Dias no laborales]))</f>
        <v>1</v>
      </c>
    </row>
    <row r="3104" spans="1:13" x14ac:dyDescent="0.3">
      <c r="A3104" s="8"/>
      <c r="B3104" s="16" t="s">
        <v>5721</v>
      </c>
      <c r="C3104" s="6"/>
      <c r="D3104" s="6"/>
      <c r="E3104" s="14"/>
      <c r="F3104" s="25">
        <f>IF(HOUR(Table1[[#This Row],[CORREO]])&gt;=11,WORKDAY(Table1[[#This Row],[CORREO]],1,Table2[Dias no laborales]),E3104)</f>
        <v>0</v>
      </c>
      <c r="G3104" s="8"/>
      <c r="H3104" s="6">
        <f t="shared" si="171"/>
        <v>0</v>
      </c>
      <c r="I3104" s="6">
        <f>MAX(1, NETWORKDAYS(A3104, G3104,Table2[Dias no laborales]))</f>
        <v>1</v>
      </c>
      <c r="J3104" s="6" t="str">
        <f>IF(Table1[[#This Row],[FIN]]="","Acumulado",IF(ISNUMBER(SEARCH("ASAP",C3104)),"ASAP",IF(NETWORKDAYS.INTL(F3104,G3104,1,Table2[Dias no laborales]) &lt;= 7, "Dentro", IF(A3104&gt;F3104,"Programado","Fuera"))))</f>
        <v>Acumulado</v>
      </c>
      <c r="K3104" s="6" t="str">
        <f t="shared" si="172"/>
        <v>A tiempo</v>
      </c>
      <c r="L3104" s="8"/>
      <c r="M3104" s="17">
        <f>MAX(1,NETWORKDAYS(A3104,L3104,Table2[Dias no laborales]))</f>
        <v>1</v>
      </c>
    </row>
    <row r="3105" spans="1:13" x14ac:dyDescent="0.3">
      <c r="A3105" s="8"/>
      <c r="B3105" s="16" t="s">
        <v>5722</v>
      </c>
      <c r="C3105" s="6"/>
      <c r="D3105" s="6"/>
      <c r="E3105" s="14"/>
      <c r="F3105" s="25">
        <f>IF(HOUR(Table1[[#This Row],[CORREO]])&gt;=11,WORKDAY(Table1[[#This Row],[CORREO]],1,Table2[Dias no laborales]),E3105)</f>
        <v>0</v>
      </c>
      <c r="G3105" s="8"/>
      <c r="H3105" s="6">
        <f t="shared" si="171"/>
        <v>0</v>
      </c>
      <c r="I3105" s="6">
        <f>MAX(1, NETWORKDAYS(A3105, G3105,Table2[Dias no laborales]))</f>
        <v>1</v>
      </c>
      <c r="J3105" s="6" t="str">
        <f>IF(Table1[[#This Row],[FIN]]="","Acumulado",IF(ISNUMBER(SEARCH("ASAP",C3105)),"ASAP",IF(NETWORKDAYS.INTL(F3105,G3105,1,Table2[Dias no laborales]) &lt;= 7, "Dentro", IF(A3105&gt;F3105,"Programado","Fuera"))))</f>
        <v>Acumulado</v>
      </c>
      <c r="K3105" s="6" t="str">
        <f t="shared" si="172"/>
        <v>A tiempo</v>
      </c>
      <c r="L3105" s="8"/>
      <c r="M3105" s="17">
        <f>MAX(1,NETWORKDAYS(A3105,L3105,Table2[Dias no laborales]))</f>
        <v>1</v>
      </c>
    </row>
    <row r="3106" spans="1:13" x14ac:dyDescent="0.3">
      <c r="A3106" s="8"/>
      <c r="B3106" s="16" t="s">
        <v>5723</v>
      </c>
      <c r="C3106" s="6"/>
      <c r="D3106" s="6"/>
      <c r="E3106" s="14"/>
      <c r="F3106" s="25">
        <f>IF(HOUR(Table1[[#This Row],[CORREO]])&gt;=11,WORKDAY(Table1[[#This Row],[CORREO]],1,Table2[Dias no laborales]),E3106)</f>
        <v>0</v>
      </c>
      <c r="G3106" s="8"/>
      <c r="H3106" s="6">
        <f t="shared" si="171"/>
        <v>0</v>
      </c>
      <c r="I3106" s="6">
        <f>MAX(1, NETWORKDAYS(A3106, G3106,Table2[Dias no laborales]))</f>
        <v>1</v>
      </c>
      <c r="J3106" s="6" t="str">
        <f>IF(Table1[[#This Row],[FIN]]="","Acumulado",IF(ISNUMBER(SEARCH("ASAP",C3106)),"ASAP",IF(NETWORKDAYS.INTL(F3106,G3106,1,Table2[Dias no laborales]) &lt;= 7, "Dentro", IF(A3106&gt;F3106,"Programado","Fuera"))))</f>
        <v>Acumulado</v>
      </c>
      <c r="K3106" s="6" t="str">
        <f t="shared" si="172"/>
        <v>A tiempo</v>
      </c>
      <c r="L3106" s="8"/>
      <c r="M3106" s="17">
        <f>MAX(1,NETWORKDAYS(A3106,L3106,Table2[Dias no laborales]))</f>
        <v>1</v>
      </c>
    </row>
    <row r="3107" spans="1:13" x14ac:dyDescent="0.3">
      <c r="A3107" s="8"/>
      <c r="B3107" s="16" t="s">
        <v>5724</v>
      </c>
      <c r="C3107" s="6"/>
      <c r="D3107" s="6"/>
      <c r="E3107" s="14"/>
      <c r="F3107" s="25">
        <f>IF(HOUR(Table1[[#This Row],[CORREO]])&gt;=11,WORKDAY(Table1[[#This Row],[CORREO]],1,Table2[Dias no laborales]),E3107)</f>
        <v>0</v>
      </c>
      <c r="G3107" s="8"/>
      <c r="H3107" s="6">
        <f t="shared" si="171"/>
        <v>0</v>
      </c>
      <c r="I3107" s="6">
        <f>MAX(1, NETWORKDAYS(A3107, G3107,Table2[Dias no laborales]))</f>
        <v>1</v>
      </c>
      <c r="J3107" s="6" t="str">
        <f>IF(Table1[[#This Row],[FIN]]="","Acumulado",IF(ISNUMBER(SEARCH("ASAP",C3107)),"ASAP",IF(NETWORKDAYS.INTL(F3107,G3107,1,Table2[Dias no laborales]) &lt;= 7, "Dentro", IF(A3107&gt;F3107,"Programado","Fuera"))))</f>
        <v>Acumulado</v>
      </c>
      <c r="K3107" s="6" t="str">
        <f t="shared" si="172"/>
        <v>A tiempo</v>
      </c>
      <c r="L3107" s="8"/>
      <c r="M3107" s="17">
        <f>MAX(1,NETWORKDAYS(A3107,L3107,Table2[Dias no laborales]))</f>
        <v>1</v>
      </c>
    </row>
    <row r="3108" spans="1:13" x14ac:dyDescent="0.3">
      <c r="A3108" s="8"/>
      <c r="B3108" s="16" t="s">
        <v>5725</v>
      </c>
      <c r="C3108" s="6"/>
      <c r="D3108" s="6"/>
      <c r="E3108" s="14"/>
      <c r="F3108" s="25">
        <f>IF(HOUR(Table1[[#This Row],[CORREO]])&gt;=11,WORKDAY(Table1[[#This Row],[CORREO]],1,Table2[Dias no laborales]),E3108)</f>
        <v>0</v>
      </c>
      <c r="G3108" s="8"/>
      <c r="H3108" s="6">
        <f t="shared" si="171"/>
        <v>0</v>
      </c>
      <c r="I3108" s="6">
        <f>MAX(1, NETWORKDAYS(A3108, G3108,Table2[Dias no laborales]))</f>
        <v>1</v>
      </c>
      <c r="J3108" s="6" t="str">
        <f>IF(Table1[[#This Row],[FIN]]="","Acumulado",IF(ISNUMBER(SEARCH("ASAP",C3108)),"ASAP",IF(NETWORKDAYS.INTL(F3108,G3108,1,Table2[Dias no laborales]) &lt;= 7, "Dentro", IF(A3108&gt;F3108,"Programado","Fuera"))))</f>
        <v>Acumulado</v>
      </c>
      <c r="K3108" s="6" t="str">
        <f t="shared" si="172"/>
        <v>A tiempo</v>
      </c>
      <c r="L3108" s="8"/>
      <c r="M3108" s="17">
        <f>MAX(1,NETWORKDAYS(A3108,L3108,Table2[Dias no laborales]))</f>
        <v>1</v>
      </c>
    </row>
    <row r="3109" spans="1:13" x14ac:dyDescent="0.3">
      <c r="A3109" s="8"/>
      <c r="B3109" s="16" t="s">
        <v>5726</v>
      </c>
      <c r="C3109" s="6"/>
      <c r="D3109" s="6"/>
      <c r="E3109" s="14"/>
      <c r="F3109" s="25">
        <f>IF(HOUR(Table1[[#This Row],[CORREO]])&gt;=11,WORKDAY(Table1[[#This Row],[CORREO]],1,Table2[Dias no laborales]),E3109)</f>
        <v>0</v>
      </c>
      <c r="G3109" s="8"/>
      <c r="H3109" s="6">
        <f t="shared" si="171"/>
        <v>0</v>
      </c>
      <c r="I3109" s="6">
        <f>MAX(1, NETWORKDAYS(A3109, G3109,Table2[Dias no laborales]))</f>
        <v>1</v>
      </c>
      <c r="J3109" s="6" t="str">
        <f>IF(Table1[[#This Row],[FIN]]="","Acumulado",IF(ISNUMBER(SEARCH("ASAP",C3109)),"ASAP",IF(NETWORKDAYS.INTL(F3109,G3109,1,Table2[Dias no laborales]) &lt;= 7, "Dentro", IF(A3109&gt;F3109,"Programado","Fuera"))))</f>
        <v>Acumulado</v>
      </c>
      <c r="K3109" s="6" t="str">
        <f t="shared" si="172"/>
        <v>A tiempo</v>
      </c>
      <c r="L3109" s="8"/>
      <c r="M3109" s="17">
        <f>MAX(1,NETWORKDAYS(A3109,L3109,Table2[Dias no laborales]))</f>
        <v>1</v>
      </c>
    </row>
    <row r="3110" spans="1:13" x14ac:dyDescent="0.3">
      <c r="A3110" s="8"/>
      <c r="B3110" s="16" t="s">
        <v>5727</v>
      </c>
      <c r="C3110" s="6"/>
      <c r="D3110" s="6"/>
      <c r="E3110" s="14"/>
      <c r="F3110" s="25">
        <f>IF(HOUR(Table1[[#This Row],[CORREO]])&gt;=11,WORKDAY(Table1[[#This Row],[CORREO]],1,Table2[Dias no laborales]),E3110)</f>
        <v>0</v>
      </c>
      <c r="G3110" s="8"/>
      <c r="H3110" s="6">
        <f t="shared" si="171"/>
        <v>0</v>
      </c>
      <c r="I3110" s="6">
        <f>MAX(1, NETWORKDAYS(A3110, G3110,Table2[Dias no laborales]))</f>
        <v>1</v>
      </c>
      <c r="J3110" s="6" t="str">
        <f>IF(Table1[[#This Row],[FIN]]="","Acumulado",IF(ISNUMBER(SEARCH("ASAP",C3110)),"ASAP",IF(NETWORKDAYS.INTL(F3110,G3110,1,Table2[Dias no laborales]) &lt;= 7, "Dentro", IF(A3110&gt;F3110,"Programado","Fuera"))))</f>
        <v>Acumulado</v>
      </c>
      <c r="K3110" s="6" t="str">
        <f t="shared" si="172"/>
        <v>A tiempo</v>
      </c>
      <c r="L3110" s="8"/>
      <c r="M3110" s="17">
        <f>MAX(1,NETWORKDAYS(A3110,L3110,Table2[Dias no laborales]))</f>
        <v>1</v>
      </c>
    </row>
    <row r="3111" spans="1:13" x14ac:dyDescent="0.3">
      <c r="A3111" s="8"/>
      <c r="B3111" s="16" t="s">
        <v>5728</v>
      </c>
      <c r="C3111" s="6"/>
      <c r="D3111" s="6"/>
      <c r="E3111" s="14"/>
      <c r="F3111" s="25">
        <f>IF(HOUR(Table1[[#This Row],[CORREO]])&gt;=11,WORKDAY(Table1[[#This Row],[CORREO]],1,Table2[Dias no laborales]),E3111)</f>
        <v>0</v>
      </c>
      <c r="G3111" s="8"/>
      <c r="H3111" s="6">
        <f t="shared" si="171"/>
        <v>0</v>
      </c>
      <c r="I3111" s="6">
        <f>MAX(1, NETWORKDAYS(A3111, G3111,Table2[Dias no laborales]))</f>
        <v>1</v>
      </c>
      <c r="J3111" s="6" t="str">
        <f>IF(Table1[[#This Row],[FIN]]="","Acumulado",IF(ISNUMBER(SEARCH("ASAP",C3111)),"ASAP",IF(NETWORKDAYS.INTL(F3111,G3111,1,Table2[Dias no laborales]) &lt;= 7, "Dentro", IF(A3111&gt;F3111,"Programado","Fuera"))))</f>
        <v>Acumulado</v>
      </c>
      <c r="K3111" s="6" t="str">
        <f t="shared" si="172"/>
        <v>A tiempo</v>
      </c>
      <c r="L3111" s="8"/>
      <c r="M3111" s="17">
        <f>MAX(1,NETWORKDAYS(A3111,L3111,Table2[Dias no laborales]))</f>
        <v>1</v>
      </c>
    </row>
    <row r="3112" spans="1:13" x14ac:dyDescent="0.3">
      <c r="A3112" s="8"/>
      <c r="B3112" s="16" t="s">
        <v>5729</v>
      </c>
      <c r="C3112" s="6"/>
      <c r="D3112" s="6"/>
      <c r="E3112" s="14"/>
      <c r="F3112" s="25">
        <f>IF(HOUR(Table1[[#This Row],[CORREO]])&gt;=11,WORKDAY(Table1[[#This Row],[CORREO]],1,Table2[Dias no laborales]),E3112)</f>
        <v>0</v>
      </c>
      <c r="G3112" s="8"/>
      <c r="H3112" s="6">
        <f t="shared" si="171"/>
        <v>0</v>
      </c>
      <c r="I3112" s="6">
        <f>MAX(1, NETWORKDAYS(A3112, G3112,Table2[Dias no laborales]))</f>
        <v>1</v>
      </c>
      <c r="J3112" s="6" t="str">
        <f>IF(Table1[[#This Row],[FIN]]="","Acumulado",IF(ISNUMBER(SEARCH("ASAP",C3112)),"ASAP",IF(NETWORKDAYS.INTL(F3112,G3112,1,Table2[Dias no laborales]) &lt;= 7, "Dentro", IF(A3112&gt;F3112,"Programado","Fuera"))))</f>
        <v>Acumulado</v>
      </c>
      <c r="K3112" s="6" t="str">
        <f t="shared" si="172"/>
        <v>A tiempo</v>
      </c>
      <c r="L3112" s="8"/>
      <c r="M3112" s="17">
        <f>MAX(1,NETWORKDAYS(A3112,L3112,Table2[Dias no laborales]))</f>
        <v>1</v>
      </c>
    </row>
    <row r="3113" spans="1:13" x14ac:dyDescent="0.3">
      <c r="A3113" s="8"/>
      <c r="B3113" s="16" t="s">
        <v>5730</v>
      </c>
      <c r="C3113" s="6"/>
      <c r="D3113" s="6"/>
      <c r="E3113" s="14"/>
      <c r="F3113" s="25">
        <f>IF(HOUR(Table1[[#This Row],[CORREO]])&gt;=11,WORKDAY(Table1[[#This Row],[CORREO]],1,Table2[Dias no laborales]),E3113)</f>
        <v>0</v>
      </c>
      <c r="G3113" s="8"/>
      <c r="H3113" s="6">
        <f t="shared" si="171"/>
        <v>0</v>
      </c>
      <c r="I3113" s="6">
        <f>MAX(1, NETWORKDAYS(A3113, G3113,Table2[Dias no laborales]))</f>
        <v>1</v>
      </c>
      <c r="J3113" s="6" t="str">
        <f>IF(Table1[[#This Row],[FIN]]="","Acumulado",IF(ISNUMBER(SEARCH("ASAP",C3113)),"ASAP",IF(NETWORKDAYS.INTL(F3113,G3113,1,Table2[Dias no laborales]) &lt;= 7, "Dentro", IF(A3113&gt;F3113,"Programado","Fuera"))))</f>
        <v>Acumulado</v>
      </c>
      <c r="K3113" s="6" t="str">
        <f t="shared" si="172"/>
        <v>A tiempo</v>
      </c>
      <c r="L3113" s="8"/>
      <c r="M3113" s="17">
        <f>MAX(1,NETWORKDAYS(A3113,L3113,Table2[Dias no laborales]))</f>
        <v>1</v>
      </c>
    </row>
    <row r="3114" spans="1:13" x14ac:dyDescent="0.3">
      <c r="A3114" s="8"/>
      <c r="B3114" s="16" t="s">
        <v>5731</v>
      </c>
      <c r="C3114" s="6"/>
      <c r="D3114" s="6"/>
      <c r="E3114" s="14"/>
      <c r="F3114" s="25">
        <f>IF(HOUR(Table1[[#This Row],[CORREO]])&gt;=11,WORKDAY(Table1[[#This Row],[CORREO]],1,Table2[Dias no laborales]),E3114)</f>
        <v>0</v>
      </c>
      <c r="G3114" s="8"/>
      <c r="H3114" s="6">
        <f t="shared" si="171"/>
        <v>0</v>
      </c>
      <c r="I3114" s="6">
        <f>MAX(1, NETWORKDAYS(A3114, G3114,Table2[Dias no laborales]))</f>
        <v>1</v>
      </c>
      <c r="J3114" s="6" t="str">
        <f>IF(Table1[[#This Row],[FIN]]="","Acumulado",IF(ISNUMBER(SEARCH("ASAP",C3114)),"ASAP",IF(NETWORKDAYS.INTL(F3114,G3114,1,Table2[Dias no laborales]) &lt;= 7, "Dentro", IF(A3114&gt;F3114,"Programado","Fuera"))))</f>
        <v>Acumulado</v>
      </c>
      <c r="K3114" s="6" t="str">
        <f t="shared" si="172"/>
        <v>A tiempo</v>
      </c>
      <c r="L3114" s="8"/>
      <c r="M3114" s="17">
        <f>MAX(1,NETWORKDAYS(A3114,L3114,Table2[Dias no laborales]))</f>
        <v>1</v>
      </c>
    </row>
    <row r="3115" spans="1:13" x14ac:dyDescent="0.3">
      <c r="A3115" s="8"/>
      <c r="B3115" s="16" t="s">
        <v>5732</v>
      </c>
      <c r="C3115" s="6"/>
      <c r="D3115" s="6"/>
      <c r="E3115" s="14"/>
      <c r="F3115" s="25">
        <f>IF(HOUR(Table1[[#This Row],[CORREO]])&gt;=11,WORKDAY(Table1[[#This Row],[CORREO]],1,Table2[Dias no laborales]),E3115)</f>
        <v>0</v>
      </c>
      <c r="G3115" s="8"/>
      <c r="H3115" s="6">
        <f t="shared" si="171"/>
        <v>0</v>
      </c>
      <c r="I3115" s="6">
        <f>MAX(1, NETWORKDAYS(A3115, G3115,Table2[Dias no laborales]))</f>
        <v>1</v>
      </c>
      <c r="J3115" s="6" t="str">
        <f>IF(Table1[[#This Row],[FIN]]="","Acumulado",IF(ISNUMBER(SEARCH("ASAP",C3115)),"ASAP",IF(NETWORKDAYS.INTL(F3115,G3115,1,Table2[Dias no laborales]) &lt;= 7, "Dentro", IF(A3115&gt;F3115,"Programado","Fuera"))))</f>
        <v>Acumulado</v>
      </c>
      <c r="K3115" s="6" t="str">
        <f t="shared" si="172"/>
        <v>A tiempo</v>
      </c>
      <c r="L3115" s="8"/>
      <c r="M3115" s="17">
        <f>MAX(1,NETWORKDAYS(A3115,L3115,Table2[Dias no laborales]))</f>
        <v>1</v>
      </c>
    </row>
    <row r="3116" spans="1:13" x14ac:dyDescent="0.3">
      <c r="A3116" s="8"/>
      <c r="B3116" s="16" t="s">
        <v>5733</v>
      </c>
      <c r="C3116" s="6"/>
      <c r="D3116" s="6"/>
      <c r="E3116" s="14"/>
      <c r="F3116" s="25">
        <f>IF(HOUR(Table1[[#This Row],[CORREO]])&gt;=11,WORKDAY(Table1[[#This Row],[CORREO]],1,Table2[Dias no laborales]),E3116)</f>
        <v>0</v>
      </c>
      <c r="G3116" s="8"/>
      <c r="H3116" s="6">
        <f t="shared" si="171"/>
        <v>0</v>
      </c>
      <c r="I3116" s="6">
        <f>MAX(1, NETWORKDAYS(A3116, G3116,Table2[Dias no laborales]))</f>
        <v>1</v>
      </c>
      <c r="J3116" s="6" t="str">
        <f>IF(Table1[[#This Row],[FIN]]="","Acumulado",IF(ISNUMBER(SEARCH("ASAP",C3116)),"ASAP",IF(NETWORKDAYS.INTL(F3116,G3116,1,Table2[Dias no laborales]) &lt;= 7, "Dentro", IF(A3116&gt;F3116,"Programado","Fuera"))))</f>
        <v>Acumulado</v>
      </c>
      <c r="K3116" s="6" t="str">
        <f t="shared" si="172"/>
        <v>A tiempo</v>
      </c>
      <c r="L3116" s="8"/>
      <c r="M3116" s="17">
        <f>MAX(1,NETWORKDAYS(A3116,L3116,Table2[Dias no laborales]))</f>
        <v>1</v>
      </c>
    </row>
    <row r="3117" spans="1:13" x14ac:dyDescent="0.3">
      <c r="A3117" s="8"/>
      <c r="B3117" s="16" t="s">
        <v>5734</v>
      </c>
      <c r="C3117" s="6"/>
      <c r="D3117" s="6"/>
      <c r="E3117" s="14"/>
      <c r="F3117" s="25">
        <f>IF(HOUR(Table1[[#This Row],[CORREO]])&gt;=11,WORKDAY(Table1[[#This Row],[CORREO]],1,Table2[Dias no laborales]),E3117)</f>
        <v>0</v>
      </c>
      <c r="G3117" s="8"/>
      <c r="H3117" s="6">
        <f t="shared" si="171"/>
        <v>0</v>
      </c>
      <c r="I3117" s="6">
        <f>MAX(1, NETWORKDAYS(A3117, G3117,Table2[Dias no laborales]))</f>
        <v>1</v>
      </c>
      <c r="J3117" s="6" t="str">
        <f>IF(Table1[[#This Row],[FIN]]="","Acumulado",IF(ISNUMBER(SEARCH("ASAP",C3117)),"ASAP",IF(NETWORKDAYS.INTL(F3117,G3117,1,Table2[Dias no laborales]) &lt;= 7, "Dentro", IF(A3117&gt;F3117,"Programado","Fuera"))))</f>
        <v>Acumulado</v>
      </c>
      <c r="K3117" s="6" t="str">
        <f t="shared" si="172"/>
        <v>A tiempo</v>
      </c>
      <c r="L3117" s="8"/>
      <c r="M3117" s="17">
        <f>MAX(1,NETWORKDAYS(A3117,L3117,Table2[Dias no laborales]))</f>
        <v>1</v>
      </c>
    </row>
    <row r="3118" spans="1:13" x14ac:dyDescent="0.3">
      <c r="A3118" s="8"/>
      <c r="B3118" s="16" t="s">
        <v>5735</v>
      </c>
      <c r="C3118" s="6"/>
      <c r="D3118" s="6"/>
      <c r="E3118" s="14"/>
      <c r="F3118" s="25">
        <f>IF(HOUR(Table1[[#This Row],[CORREO]])&gt;=11,WORKDAY(Table1[[#This Row],[CORREO]],1,Table2[Dias no laborales]),E3118)</f>
        <v>0</v>
      </c>
      <c r="G3118" s="8"/>
      <c r="H3118" s="6">
        <f t="shared" si="171"/>
        <v>0</v>
      </c>
      <c r="I3118" s="6">
        <f>MAX(1, NETWORKDAYS(A3118, G3118,Table2[Dias no laborales]))</f>
        <v>1</v>
      </c>
      <c r="J3118" s="6" t="str">
        <f>IF(Table1[[#This Row],[FIN]]="","Acumulado",IF(ISNUMBER(SEARCH("ASAP",C3118)),"ASAP",IF(NETWORKDAYS.INTL(F3118,G3118,1,Table2[Dias no laborales]) &lt;= 7, "Dentro", IF(A3118&gt;F3118,"Programado","Fuera"))))</f>
        <v>Acumulado</v>
      </c>
      <c r="K3118" s="6" t="str">
        <f t="shared" si="172"/>
        <v>A tiempo</v>
      </c>
      <c r="L3118" s="8"/>
      <c r="M3118" s="17">
        <f>MAX(1,NETWORKDAYS(A3118,L3118,Table2[Dias no laborales]))</f>
        <v>1</v>
      </c>
    </row>
    <row r="3119" spans="1:13" x14ac:dyDescent="0.3">
      <c r="A3119" s="8"/>
      <c r="B3119" s="16" t="s">
        <v>5736</v>
      </c>
      <c r="C3119" s="6"/>
      <c r="D3119" s="6"/>
      <c r="E3119" s="14"/>
      <c r="F3119" s="25">
        <f>IF(HOUR(Table1[[#This Row],[CORREO]])&gt;=11,WORKDAY(Table1[[#This Row],[CORREO]],1,Table2[Dias no laborales]),E3119)</f>
        <v>0</v>
      </c>
      <c r="G3119" s="8"/>
      <c r="H3119" s="6">
        <f t="shared" si="171"/>
        <v>0</v>
      </c>
      <c r="I3119" s="6">
        <f>MAX(1, NETWORKDAYS(A3119, G3119,Table2[Dias no laborales]))</f>
        <v>1</v>
      </c>
      <c r="J3119" s="6" t="str">
        <f>IF(Table1[[#This Row],[FIN]]="","Acumulado",IF(ISNUMBER(SEARCH("ASAP",C3119)),"ASAP",IF(NETWORKDAYS.INTL(F3119,G3119,1,Table2[Dias no laborales]) &lt;= 7, "Dentro", IF(A3119&gt;F3119,"Programado","Fuera"))))</f>
        <v>Acumulado</v>
      </c>
      <c r="K3119" s="6" t="str">
        <f t="shared" si="172"/>
        <v>A tiempo</v>
      </c>
      <c r="L3119" s="8"/>
      <c r="M3119" s="17">
        <f>MAX(1,NETWORKDAYS(A3119,L3119,Table2[Dias no laborales]))</f>
        <v>1</v>
      </c>
    </row>
    <row r="3120" spans="1:13" x14ac:dyDescent="0.3">
      <c r="A3120" s="8"/>
      <c r="B3120" s="16" t="s">
        <v>5737</v>
      </c>
      <c r="C3120" s="6"/>
      <c r="D3120" s="6"/>
      <c r="E3120" s="14"/>
      <c r="F3120" s="25">
        <f>IF(HOUR(Table1[[#This Row],[CORREO]])&gt;=11,WORKDAY(Table1[[#This Row],[CORREO]],1,Table2[Dias no laborales]),E3120)</f>
        <v>0</v>
      </c>
      <c r="G3120" s="8"/>
      <c r="H3120" s="6">
        <f t="shared" si="171"/>
        <v>0</v>
      </c>
      <c r="I3120" s="6">
        <f>MAX(1, NETWORKDAYS(A3120, G3120,Table2[Dias no laborales]))</f>
        <v>1</v>
      </c>
      <c r="J3120" s="6" t="str">
        <f>IF(Table1[[#This Row],[FIN]]="","Acumulado",IF(ISNUMBER(SEARCH("ASAP",C3120)),"ASAP",IF(NETWORKDAYS.INTL(F3120,G3120,1,Table2[Dias no laborales]) &lt;= 7, "Dentro", IF(A3120&gt;F3120,"Programado","Fuera"))))</f>
        <v>Acumulado</v>
      </c>
      <c r="K3120" s="6" t="str">
        <f t="shared" si="172"/>
        <v>A tiempo</v>
      </c>
      <c r="L3120" s="8"/>
      <c r="M3120" s="17">
        <f>MAX(1,NETWORKDAYS(A3120,L3120,Table2[Dias no laborales]))</f>
        <v>1</v>
      </c>
    </row>
    <row r="3121" spans="1:13" x14ac:dyDescent="0.3">
      <c r="A3121" s="8"/>
      <c r="B3121" s="16" t="s">
        <v>5738</v>
      </c>
      <c r="C3121" s="6"/>
      <c r="D3121" s="6"/>
      <c r="E3121" s="14"/>
      <c r="F3121" s="25">
        <f>IF(HOUR(Table1[[#This Row],[CORREO]])&gt;=11,WORKDAY(Table1[[#This Row],[CORREO]],1,Table2[Dias no laborales]),E3121)</f>
        <v>0</v>
      </c>
      <c r="G3121" s="8"/>
      <c r="H3121" s="6">
        <f t="shared" si="171"/>
        <v>0</v>
      </c>
      <c r="I3121" s="6">
        <f>MAX(1, NETWORKDAYS(A3121, G3121,Table2[Dias no laborales]))</f>
        <v>1</v>
      </c>
      <c r="J3121" s="6" t="str">
        <f>IF(Table1[[#This Row],[FIN]]="","Acumulado",IF(ISNUMBER(SEARCH("ASAP",C3121)),"ASAP",IF(NETWORKDAYS.INTL(F3121,G3121,1,Table2[Dias no laborales]) &lt;= 7, "Dentro", IF(A3121&gt;F3121,"Programado","Fuera"))))</f>
        <v>Acumulado</v>
      </c>
      <c r="K3121" s="6" t="str">
        <f t="shared" si="172"/>
        <v>A tiempo</v>
      </c>
      <c r="L3121" s="8"/>
      <c r="M3121" s="17">
        <f>MAX(1,NETWORKDAYS(A3121,L3121,Table2[Dias no laborales]))</f>
        <v>1</v>
      </c>
    </row>
    <row r="3122" spans="1:13" x14ac:dyDescent="0.3">
      <c r="A3122" s="8"/>
      <c r="B3122" s="16" t="s">
        <v>5739</v>
      </c>
      <c r="C3122" s="6"/>
      <c r="D3122" s="6"/>
      <c r="E3122" s="14"/>
      <c r="F3122" s="25">
        <f>IF(HOUR(Table1[[#This Row],[CORREO]])&gt;=11,WORKDAY(Table1[[#This Row],[CORREO]],1,Table2[Dias no laborales]),E3122)</f>
        <v>0</v>
      </c>
      <c r="G3122" s="8"/>
      <c r="H3122" s="6">
        <f t="shared" si="171"/>
        <v>0</v>
      </c>
      <c r="I3122" s="6">
        <f>MAX(1, NETWORKDAYS(A3122, G3122,Table2[Dias no laborales]))</f>
        <v>1</v>
      </c>
      <c r="J3122" s="6" t="str">
        <f>IF(Table1[[#This Row],[FIN]]="","Acumulado",IF(ISNUMBER(SEARCH("ASAP",C3122)),"ASAP",IF(NETWORKDAYS.INTL(F3122,G3122,1,Table2[Dias no laborales]) &lt;= 7, "Dentro", IF(A3122&gt;F3122,"Programado","Fuera"))))</f>
        <v>Acumulado</v>
      </c>
      <c r="K3122" s="6" t="str">
        <f t="shared" si="172"/>
        <v>A tiempo</v>
      </c>
      <c r="L3122" s="8"/>
      <c r="M3122" s="17">
        <f>MAX(1,NETWORKDAYS(A3122,L3122,Table2[Dias no laborales]))</f>
        <v>1</v>
      </c>
    </row>
    <row r="3123" spans="1:13" x14ac:dyDescent="0.3">
      <c r="A3123" s="8"/>
      <c r="B3123" s="16" t="s">
        <v>5740</v>
      </c>
      <c r="C3123" s="6"/>
      <c r="D3123" s="6"/>
      <c r="E3123" s="14"/>
      <c r="F3123" s="25">
        <f>IF(HOUR(Table1[[#This Row],[CORREO]])&gt;=11,WORKDAY(Table1[[#This Row],[CORREO]],1,Table2[Dias no laborales]),E3123)</f>
        <v>0</v>
      </c>
      <c r="G3123" s="8"/>
      <c r="H3123" s="6">
        <f t="shared" si="171"/>
        <v>0</v>
      </c>
      <c r="I3123" s="6">
        <f>MAX(1, NETWORKDAYS(A3123, G3123,Table2[Dias no laborales]))</f>
        <v>1</v>
      </c>
      <c r="J3123" s="6" t="str">
        <f>IF(Table1[[#This Row],[FIN]]="","Acumulado",IF(ISNUMBER(SEARCH("ASAP",C3123)),"ASAP",IF(NETWORKDAYS.INTL(F3123,G3123,1,Table2[Dias no laborales]) &lt;= 7, "Dentro", IF(A3123&gt;F3123,"Programado","Fuera"))))</f>
        <v>Acumulado</v>
      </c>
      <c r="K3123" s="6" t="str">
        <f t="shared" si="172"/>
        <v>A tiempo</v>
      </c>
      <c r="L3123" s="8"/>
      <c r="M3123" s="17">
        <f>MAX(1,NETWORKDAYS(A3123,L3123,Table2[Dias no laborales]))</f>
        <v>1</v>
      </c>
    </row>
    <row r="3124" spans="1:13" x14ac:dyDescent="0.3">
      <c r="A3124" s="8"/>
      <c r="B3124" s="16" t="s">
        <v>5741</v>
      </c>
      <c r="C3124" s="6"/>
      <c r="D3124" s="6"/>
      <c r="E3124" s="14"/>
      <c r="F3124" s="25">
        <f>IF(HOUR(Table1[[#This Row],[CORREO]])&gt;=11,WORKDAY(Table1[[#This Row],[CORREO]],1,Table2[Dias no laborales]),E3124)</f>
        <v>0</v>
      </c>
      <c r="G3124" s="8"/>
      <c r="H3124" s="6">
        <f t="shared" si="171"/>
        <v>0</v>
      </c>
      <c r="I3124" s="6">
        <f>MAX(1, NETWORKDAYS(A3124, G3124,Table2[Dias no laborales]))</f>
        <v>1</v>
      </c>
      <c r="J3124" s="6" t="str">
        <f>IF(Table1[[#This Row],[FIN]]="","Acumulado",IF(ISNUMBER(SEARCH("ASAP",C3124)),"ASAP",IF(NETWORKDAYS.INTL(F3124,G3124,1,Table2[Dias no laborales]) &lt;= 7, "Dentro", IF(A3124&gt;F3124,"Programado","Fuera"))))</f>
        <v>Acumulado</v>
      </c>
      <c r="K3124" s="6" t="str">
        <f t="shared" si="172"/>
        <v>A tiempo</v>
      </c>
      <c r="L3124" s="8"/>
      <c r="M3124" s="17">
        <f>MAX(1,NETWORKDAYS(A3124,L3124,Table2[Dias no laborales]))</f>
        <v>1</v>
      </c>
    </row>
    <row r="3125" spans="1:13" x14ac:dyDescent="0.3">
      <c r="A3125" s="8"/>
      <c r="B3125" s="16" t="s">
        <v>5742</v>
      </c>
      <c r="C3125" s="6"/>
      <c r="D3125" s="6"/>
      <c r="E3125" s="14"/>
      <c r="F3125" s="25">
        <f>IF(HOUR(Table1[[#This Row],[CORREO]])&gt;=11,WORKDAY(Table1[[#This Row],[CORREO]],1,Table2[Dias no laborales]),E3125)</f>
        <v>0</v>
      </c>
      <c r="G3125" s="8"/>
      <c r="H3125" s="6">
        <f t="shared" si="171"/>
        <v>0</v>
      </c>
      <c r="I3125" s="6">
        <f>MAX(1, NETWORKDAYS(A3125, G3125,Table2[Dias no laborales]))</f>
        <v>1</v>
      </c>
      <c r="J3125" s="6" t="str">
        <f>IF(Table1[[#This Row],[FIN]]="","Acumulado",IF(ISNUMBER(SEARCH("ASAP",C3125)),"ASAP",IF(NETWORKDAYS.INTL(F3125,G3125,1,Table2[Dias no laborales]) &lt;= 7, "Dentro", IF(A3125&gt;F3125,"Programado","Fuera"))))</f>
        <v>Acumulado</v>
      </c>
      <c r="K3125" s="6" t="str">
        <f t="shared" si="172"/>
        <v>A tiempo</v>
      </c>
      <c r="L3125" s="8"/>
      <c r="M3125" s="17">
        <f>MAX(1,NETWORKDAYS(A3125,L3125,Table2[Dias no laborales]))</f>
        <v>1</v>
      </c>
    </row>
    <row r="3126" spans="1:13" hidden="1" x14ac:dyDescent="0.3">
      <c r="A3126" s="8">
        <v>46287</v>
      </c>
      <c r="B3126" s="16" t="s">
        <v>5743</v>
      </c>
      <c r="C3126" s="6" t="s">
        <v>5819</v>
      </c>
      <c r="D3126" s="6" t="s">
        <v>5820</v>
      </c>
      <c r="E3126" s="14">
        <v>46287.451388888891</v>
      </c>
      <c r="F3126" s="25">
        <f>IF(HOUR(Table1[[#This Row],[CORREO]])&gt;=11,WORKDAY(Table1[[#This Row],[CORREO]],1,Table2[Dias no laborales]),E3126)</f>
        <v>46287.451388888891</v>
      </c>
      <c r="G3126" s="8">
        <v>46288</v>
      </c>
      <c r="H3126" s="6">
        <f t="shared" si="171"/>
        <v>38</v>
      </c>
      <c r="I3126" s="6">
        <f>MAX(1, NETWORKDAYS(A3126, G3126,Table2[Dias no laborales]))</f>
        <v>2</v>
      </c>
      <c r="J3126" s="6" t="str">
        <f>IF(Table1[[#This Row],[FIN]]="","Acumulado",IF(ISNUMBER(SEARCH("ASAP",C3126)),"ASAP",IF(NETWORKDAYS.INTL(F3126,G3126,1,Table2[Dias no laborales]) &lt;= 7, "Dentro", IF(A3126&gt;F3126,"Programado","Fuera"))))</f>
        <v>Dentro</v>
      </c>
      <c r="K3126" s="6" t="str">
        <f t="shared" si="172"/>
        <v>A tiempo</v>
      </c>
      <c r="L3126" s="8">
        <v>46287</v>
      </c>
      <c r="M3126" s="17">
        <f>MAX(1,NETWORKDAYS(A3126,L3126,Table2[Dias no laborales]))</f>
        <v>1</v>
      </c>
    </row>
    <row r="3127" spans="1:13" hidden="1" x14ac:dyDescent="0.3">
      <c r="A3127" s="8">
        <v>46287</v>
      </c>
      <c r="B3127" s="16" t="s">
        <v>5744</v>
      </c>
      <c r="C3127" s="6" t="s">
        <v>5821</v>
      </c>
      <c r="D3127" s="6" t="s">
        <v>269</v>
      </c>
      <c r="E3127" s="14">
        <v>46287.515277777777</v>
      </c>
      <c r="F3127" s="25">
        <f>IF(HOUR(Table1[[#This Row],[CORREO]])&gt;=11,WORKDAY(Table1[[#This Row],[CORREO]],1,Table2[Dias no laborales]),E3127)</f>
        <v>46288</v>
      </c>
      <c r="G3127" s="8">
        <v>46289</v>
      </c>
      <c r="H3127" s="6">
        <f t="shared" si="171"/>
        <v>38</v>
      </c>
      <c r="I3127" s="6">
        <f>MAX(1, NETWORKDAYS(A3127, G3127,Table2[Dias no laborales]))</f>
        <v>3</v>
      </c>
      <c r="J3127" s="6" t="str">
        <f>IF(Table1[[#This Row],[FIN]]="","Acumulado",IF(ISNUMBER(SEARCH("ASAP",C3127)),"ASAP",IF(NETWORKDAYS.INTL(F3127,G3127,1,Table2[Dias no laborales]) &lt;= 7, "Dentro", IF(A3127&gt;F3127,"Programado","Fuera"))))</f>
        <v>Dentro</v>
      </c>
      <c r="K3127" s="6" t="str">
        <f t="shared" si="172"/>
        <v>Mismo día</v>
      </c>
      <c r="L3127" s="8">
        <v>46287</v>
      </c>
      <c r="M3127" s="17">
        <f>MAX(1,NETWORKDAYS(A3127,L3127,Table2[Dias no laborales]))</f>
        <v>1</v>
      </c>
    </row>
    <row r="3128" spans="1:13" hidden="1" x14ac:dyDescent="0.3">
      <c r="A3128" s="8">
        <v>46287</v>
      </c>
      <c r="B3128" s="16" t="s">
        <v>5745</v>
      </c>
      <c r="C3128" s="6" t="s">
        <v>5822</v>
      </c>
      <c r="D3128" s="6" t="s">
        <v>5823</v>
      </c>
      <c r="E3128" s="14">
        <v>46287.572916666664</v>
      </c>
      <c r="F3128" s="25">
        <f>IF(HOUR(Table1[[#This Row],[CORREO]])&gt;=11,WORKDAY(Table1[[#This Row],[CORREO]],1,Table2[Dias no laborales]),E3128)</f>
        <v>46288</v>
      </c>
      <c r="G3128" s="8">
        <v>46289</v>
      </c>
      <c r="H3128" s="6">
        <f t="shared" si="171"/>
        <v>38</v>
      </c>
      <c r="I3128" s="6">
        <f>MAX(1, NETWORKDAYS(A3128, G3128,Table2[Dias no laborales]))</f>
        <v>3</v>
      </c>
      <c r="J3128" s="6" t="str">
        <f>IF(Table1[[#This Row],[FIN]]="","Acumulado",IF(ISNUMBER(SEARCH("ASAP",C3128)),"ASAP",IF(NETWORKDAYS.INTL(F3128,G3128,1,Table2[Dias no laborales]) &lt;= 7, "Dentro", IF(A3128&gt;F3128,"Programado","Fuera"))))</f>
        <v>Dentro</v>
      </c>
      <c r="K3128" s="6" t="str">
        <f t="shared" si="172"/>
        <v>Mismo día</v>
      </c>
      <c r="L3128" s="8">
        <v>46287</v>
      </c>
      <c r="M3128" s="17">
        <f>MAX(1,NETWORKDAYS(A3128,L3128,Table2[Dias no laborales]))</f>
        <v>1</v>
      </c>
    </row>
    <row r="3129" spans="1:13" x14ac:dyDescent="0.3">
      <c r="A3129" s="8"/>
      <c r="B3129" s="16" t="s">
        <v>5746</v>
      </c>
      <c r="C3129" s="6"/>
      <c r="D3129" s="6"/>
      <c r="E3129" s="14"/>
      <c r="F3129" s="25">
        <f>IF(HOUR(Table1[[#This Row],[CORREO]])&gt;=11,WORKDAY(Table1[[#This Row],[CORREO]],1,Table2[Dias no laborales]),E3129)</f>
        <v>0</v>
      </c>
      <c r="G3129" s="8"/>
      <c r="H3129" s="6">
        <f t="shared" si="171"/>
        <v>0</v>
      </c>
      <c r="I3129" s="6">
        <f>MAX(1, NETWORKDAYS(A3129, G3129,Table2[Dias no laborales]))</f>
        <v>1</v>
      </c>
      <c r="J3129" s="6" t="str">
        <f>IF(Table1[[#This Row],[FIN]]="","Acumulado",IF(ISNUMBER(SEARCH("ASAP",C3129)),"ASAP",IF(NETWORKDAYS.INTL(F3129,G3129,1,Table2[Dias no laborales]) &lt;= 7, "Dentro", IF(A3129&gt;F3129,"Programado","Fuera"))))</f>
        <v>Acumulado</v>
      </c>
      <c r="K3129" s="6" t="str">
        <f t="shared" si="172"/>
        <v>A tiempo</v>
      </c>
      <c r="L3129" s="8"/>
      <c r="M3129" s="17">
        <f>MAX(1,NETWORKDAYS(A3129,L3129,Table2[Dias no laborales]))</f>
        <v>1</v>
      </c>
    </row>
    <row r="3130" spans="1:13" x14ac:dyDescent="0.3">
      <c r="A3130" s="8"/>
      <c r="B3130" s="16" t="s">
        <v>5747</v>
      </c>
      <c r="C3130" s="6"/>
      <c r="D3130" s="6"/>
      <c r="E3130" s="14"/>
      <c r="F3130" s="25">
        <f>IF(HOUR(Table1[[#This Row],[CORREO]])&gt;=11,WORKDAY(Table1[[#This Row],[CORREO]],1,Table2[Dias no laborales]),E3130)</f>
        <v>0</v>
      </c>
      <c r="G3130" s="8"/>
      <c r="H3130" s="6">
        <f t="shared" si="171"/>
        <v>0</v>
      </c>
      <c r="I3130" s="6">
        <f>MAX(1, NETWORKDAYS(A3130, G3130,Table2[Dias no laborales]))</f>
        <v>1</v>
      </c>
      <c r="J3130" s="6" t="str">
        <f>IF(Table1[[#This Row],[FIN]]="","Acumulado",IF(ISNUMBER(SEARCH("ASAP",C3130)),"ASAP",IF(NETWORKDAYS.INTL(F3130,G3130,1,Table2[Dias no laborales]) &lt;= 7, "Dentro", IF(A3130&gt;F3130,"Programado","Fuera"))))</f>
        <v>Acumulado</v>
      </c>
      <c r="K3130" s="6" t="str">
        <f t="shared" si="172"/>
        <v>A tiempo</v>
      </c>
      <c r="L3130" s="8"/>
      <c r="M3130" s="17">
        <f>MAX(1,NETWORKDAYS(A3130,L3130,Table2[Dias no laborales]))</f>
        <v>1</v>
      </c>
    </row>
    <row r="3131" spans="1:13" x14ac:dyDescent="0.3">
      <c r="A3131" s="8"/>
      <c r="B3131" s="16" t="s">
        <v>5748</v>
      </c>
      <c r="C3131" s="6"/>
      <c r="D3131" s="6"/>
      <c r="E3131" s="14"/>
      <c r="F3131" s="25">
        <f>IF(HOUR(Table1[[#This Row],[CORREO]])&gt;=11,WORKDAY(Table1[[#This Row],[CORREO]],1,Table2[Dias no laborales]),E3131)</f>
        <v>0</v>
      </c>
      <c r="G3131" s="8"/>
      <c r="H3131" s="6">
        <f t="shared" si="171"/>
        <v>0</v>
      </c>
      <c r="I3131" s="6">
        <f>MAX(1, NETWORKDAYS(A3131, G3131,Table2[Dias no laborales]))</f>
        <v>1</v>
      </c>
      <c r="J3131" s="6" t="str">
        <f>IF(Table1[[#This Row],[FIN]]="","Acumulado",IF(ISNUMBER(SEARCH("ASAP",C3131)),"ASAP",IF(NETWORKDAYS.INTL(F3131,G3131,1,Table2[Dias no laborales]) &lt;= 7, "Dentro", IF(A3131&gt;F3131,"Programado","Fuera"))))</f>
        <v>Acumulado</v>
      </c>
      <c r="K3131" s="6" t="str">
        <f t="shared" si="172"/>
        <v>A tiempo</v>
      </c>
      <c r="L3131" s="8"/>
      <c r="M3131" s="17">
        <f>MAX(1,NETWORKDAYS(A3131,L3131,Table2[Dias no laborales]))</f>
        <v>1</v>
      </c>
    </row>
    <row r="3132" spans="1:13" x14ac:dyDescent="0.3">
      <c r="A3132" s="8"/>
      <c r="B3132" s="16" t="s">
        <v>5749</v>
      </c>
      <c r="C3132" s="6"/>
      <c r="D3132" s="6"/>
      <c r="E3132" s="14"/>
      <c r="F3132" s="25">
        <f>IF(HOUR(Table1[[#This Row],[CORREO]])&gt;=11,WORKDAY(Table1[[#This Row],[CORREO]],1,Table2[Dias no laborales]),E3132)</f>
        <v>0</v>
      </c>
      <c r="G3132" s="8"/>
      <c r="H3132" s="6">
        <f t="shared" si="171"/>
        <v>0</v>
      </c>
      <c r="I3132" s="6">
        <f>MAX(1, NETWORKDAYS(A3132, G3132,Table2[Dias no laborales]))</f>
        <v>1</v>
      </c>
      <c r="J3132" s="6" t="str">
        <f>IF(Table1[[#This Row],[FIN]]="","Acumulado",IF(ISNUMBER(SEARCH("ASAP",C3132)),"ASAP",IF(NETWORKDAYS.INTL(F3132,G3132,1,Table2[Dias no laborales]) &lt;= 7, "Dentro", IF(A3132&gt;F3132,"Programado","Fuera"))))</f>
        <v>Acumulado</v>
      </c>
      <c r="K3132" s="6" t="str">
        <f t="shared" si="172"/>
        <v>A tiempo</v>
      </c>
      <c r="L3132" s="8"/>
      <c r="M3132" s="17">
        <f>MAX(1,NETWORKDAYS(A3132,L3132,Table2[Dias no laborales]))</f>
        <v>1</v>
      </c>
    </row>
    <row r="3133" spans="1:13" x14ac:dyDescent="0.3">
      <c r="A3133" s="8"/>
      <c r="B3133" s="16" t="s">
        <v>5750</v>
      </c>
      <c r="C3133" s="6"/>
      <c r="D3133" s="6"/>
      <c r="E3133" s="14"/>
      <c r="F3133" s="25">
        <f>IF(HOUR(Table1[[#This Row],[CORREO]])&gt;=11,WORKDAY(Table1[[#This Row],[CORREO]],1,Table2[Dias no laborales]),E3133)</f>
        <v>0</v>
      </c>
      <c r="G3133" s="8"/>
      <c r="H3133" s="6">
        <f t="shared" ref="H3133:H3160" si="173">INT((A3133-DATE(YEAR(A3133),1,1))/7) + 1</f>
        <v>0</v>
      </c>
      <c r="I3133" s="6">
        <f>MAX(1, NETWORKDAYS(A3133, G3133,Table2[Dias no laborales]))</f>
        <v>1</v>
      </c>
      <c r="J3133" s="6" t="str">
        <f>IF(Table1[[#This Row],[FIN]]="","Acumulado",IF(ISNUMBER(SEARCH("ASAP",C3133)),"ASAP",IF(NETWORKDAYS.INTL(F3133,G3133,1,Table2[Dias no laborales]) &lt;= 7, "Dentro", IF(A3133&gt;F3133,"Programado","Fuera"))))</f>
        <v>Acumulado</v>
      </c>
      <c r="K3133" s="6" t="str">
        <f t="shared" ref="K3133:K3160" si="174">IF(INT(A3133)=INT(F3133),"A tiempo", IF(A3133&lt;F3133,"Mismo día","Programados"))</f>
        <v>A tiempo</v>
      </c>
      <c r="L3133" s="8"/>
      <c r="M3133" s="17">
        <f>MAX(1,NETWORKDAYS(A3133,L3133,Table2[Dias no laborales]))</f>
        <v>1</v>
      </c>
    </row>
    <row r="3134" spans="1:13" x14ac:dyDescent="0.3">
      <c r="A3134" s="8"/>
      <c r="B3134" s="16" t="s">
        <v>5751</v>
      </c>
      <c r="C3134" s="6"/>
      <c r="D3134" s="6"/>
      <c r="E3134" s="14"/>
      <c r="F3134" s="25">
        <f>IF(HOUR(Table1[[#This Row],[CORREO]])&gt;=11,WORKDAY(Table1[[#This Row],[CORREO]],1,Table2[Dias no laborales]),E3134)</f>
        <v>0</v>
      </c>
      <c r="G3134" s="8"/>
      <c r="H3134" s="6">
        <f t="shared" si="173"/>
        <v>0</v>
      </c>
      <c r="I3134" s="6">
        <f>MAX(1, NETWORKDAYS(A3134, G3134,Table2[Dias no laborales]))</f>
        <v>1</v>
      </c>
      <c r="J3134" s="6" t="str">
        <f>IF(Table1[[#This Row],[FIN]]="","Acumulado",IF(ISNUMBER(SEARCH("ASAP",C3134)),"ASAP",IF(NETWORKDAYS.INTL(F3134,G3134,1,Table2[Dias no laborales]) &lt;= 7, "Dentro", IF(A3134&gt;F3134,"Programado","Fuera"))))</f>
        <v>Acumulado</v>
      </c>
      <c r="K3134" s="6" t="str">
        <f t="shared" si="174"/>
        <v>A tiempo</v>
      </c>
      <c r="L3134" s="8"/>
      <c r="M3134" s="17">
        <f>MAX(1,NETWORKDAYS(A3134,L3134,Table2[Dias no laborales]))</f>
        <v>1</v>
      </c>
    </row>
    <row r="3135" spans="1:13" x14ac:dyDescent="0.3">
      <c r="A3135" s="8"/>
      <c r="B3135" s="16" t="s">
        <v>5752</v>
      </c>
      <c r="C3135" s="6"/>
      <c r="D3135" s="6"/>
      <c r="E3135" s="14"/>
      <c r="F3135" s="25">
        <f>IF(HOUR(Table1[[#This Row],[CORREO]])&gt;=11,WORKDAY(Table1[[#This Row],[CORREO]],1,Table2[Dias no laborales]),E3135)</f>
        <v>0</v>
      </c>
      <c r="G3135" s="8"/>
      <c r="H3135" s="6">
        <f t="shared" si="173"/>
        <v>0</v>
      </c>
      <c r="I3135" s="6">
        <f>MAX(1, NETWORKDAYS(A3135, G3135,Table2[Dias no laborales]))</f>
        <v>1</v>
      </c>
      <c r="J3135" s="6" t="str">
        <f>IF(Table1[[#This Row],[FIN]]="","Acumulado",IF(ISNUMBER(SEARCH("ASAP",C3135)),"ASAP",IF(NETWORKDAYS.INTL(F3135,G3135,1,Table2[Dias no laborales]) &lt;= 7, "Dentro", IF(A3135&gt;F3135,"Programado","Fuera"))))</f>
        <v>Acumulado</v>
      </c>
      <c r="K3135" s="6" t="str">
        <f t="shared" si="174"/>
        <v>A tiempo</v>
      </c>
      <c r="L3135" s="8"/>
      <c r="M3135" s="17">
        <f>MAX(1,NETWORKDAYS(A3135,L3135,Table2[Dias no laborales]))</f>
        <v>1</v>
      </c>
    </row>
    <row r="3136" spans="1:13" x14ac:dyDescent="0.3">
      <c r="A3136" s="8"/>
      <c r="B3136" s="16" t="s">
        <v>5753</v>
      </c>
      <c r="C3136" s="6"/>
      <c r="D3136" s="6"/>
      <c r="E3136" s="14"/>
      <c r="F3136" s="25">
        <f>IF(HOUR(Table1[[#This Row],[CORREO]])&gt;=11,WORKDAY(Table1[[#This Row],[CORREO]],1,Table2[Dias no laborales]),E3136)</f>
        <v>0</v>
      </c>
      <c r="G3136" s="8"/>
      <c r="H3136" s="6">
        <f t="shared" si="173"/>
        <v>0</v>
      </c>
      <c r="I3136" s="6">
        <f>MAX(1, NETWORKDAYS(A3136, G3136,Table2[Dias no laborales]))</f>
        <v>1</v>
      </c>
      <c r="J3136" s="6" t="str">
        <f>IF(Table1[[#This Row],[FIN]]="","Acumulado",IF(ISNUMBER(SEARCH("ASAP",C3136)),"ASAP",IF(NETWORKDAYS.INTL(F3136,G3136,1,Table2[Dias no laborales]) &lt;= 7, "Dentro", IF(A3136&gt;F3136,"Programado","Fuera"))))</f>
        <v>Acumulado</v>
      </c>
      <c r="K3136" s="6" t="str">
        <f t="shared" si="174"/>
        <v>A tiempo</v>
      </c>
      <c r="L3136" s="8"/>
      <c r="M3136" s="17">
        <f>MAX(1,NETWORKDAYS(A3136,L3136,Table2[Dias no laborales]))</f>
        <v>1</v>
      </c>
    </row>
    <row r="3137" spans="1:13" x14ac:dyDescent="0.3">
      <c r="A3137" s="8"/>
      <c r="B3137" s="16" t="s">
        <v>5754</v>
      </c>
      <c r="C3137" s="6"/>
      <c r="D3137" s="6"/>
      <c r="E3137" s="14"/>
      <c r="F3137" s="25">
        <f>IF(HOUR(Table1[[#This Row],[CORREO]])&gt;=11,WORKDAY(Table1[[#This Row],[CORREO]],1,Table2[Dias no laborales]),E3137)</f>
        <v>0</v>
      </c>
      <c r="G3137" s="8"/>
      <c r="H3137" s="6">
        <f t="shared" si="173"/>
        <v>0</v>
      </c>
      <c r="I3137" s="6">
        <f>MAX(1, NETWORKDAYS(A3137, G3137,Table2[Dias no laborales]))</f>
        <v>1</v>
      </c>
      <c r="J3137" s="6" t="str">
        <f>IF(Table1[[#This Row],[FIN]]="","Acumulado",IF(ISNUMBER(SEARCH("ASAP",C3137)),"ASAP",IF(NETWORKDAYS.INTL(F3137,G3137,1,Table2[Dias no laborales]) &lt;= 7, "Dentro", IF(A3137&gt;F3137,"Programado","Fuera"))))</f>
        <v>Acumulado</v>
      </c>
      <c r="K3137" s="6" t="str">
        <f t="shared" si="174"/>
        <v>A tiempo</v>
      </c>
      <c r="L3137" s="8"/>
      <c r="M3137" s="17">
        <f>MAX(1,NETWORKDAYS(A3137,L3137,Table2[Dias no laborales]))</f>
        <v>1</v>
      </c>
    </row>
    <row r="3138" spans="1:13" x14ac:dyDescent="0.3">
      <c r="A3138" s="8"/>
      <c r="B3138" s="16" t="s">
        <v>5755</v>
      </c>
      <c r="C3138" s="6"/>
      <c r="D3138" s="6"/>
      <c r="E3138" s="14"/>
      <c r="F3138" s="25">
        <f>IF(HOUR(Table1[[#This Row],[CORREO]])&gt;=11,WORKDAY(Table1[[#This Row],[CORREO]],1,Table2[Dias no laborales]),E3138)</f>
        <v>0</v>
      </c>
      <c r="G3138" s="8"/>
      <c r="H3138" s="6">
        <f t="shared" si="173"/>
        <v>0</v>
      </c>
      <c r="I3138" s="6">
        <f>MAX(1, NETWORKDAYS(A3138, G3138,Table2[Dias no laborales]))</f>
        <v>1</v>
      </c>
      <c r="J3138" s="6" t="str">
        <f>IF(Table1[[#This Row],[FIN]]="","Acumulado",IF(ISNUMBER(SEARCH("ASAP",C3138)),"ASAP",IF(NETWORKDAYS.INTL(F3138,G3138,1,Table2[Dias no laborales]) &lt;= 7, "Dentro", IF(A3138&gt;F3138,"Programado","Fuera"))))</f>
        <v>Acumulado</v>
      </c>
      <c r="K3138" s="6" t="str">
        <f t="shared" si="174"/>
        <v>A tiempo</v>
      </c>
      <c r="L3138" s="8"/>
      <c r="M3138" s="17">
        <f>MAX(1,NETWORKDAYS(A3138,L3138,Table2[Dias no laborales]))</f>
        <v>1</v>
      </c>
    </row>
    <row r="3139" spans="1:13" x14ac:dyDescent="0.3">
      <c r="A3139" s="8"/>
      <c r="B3139" s="16" t="s">
        <v>5756</v>
      </c>
      <c r="C3139" s="6"/>
      <c r="D3139" s="6"/>
      <c r="E3139" s="14"/>
      <c r="F3139" s="25">
        <f>IF(HOUR(Table1[[#This Row],[CORREO]])&gt;=11,WORKDAY(Table1[[#This Row],[CORREO]],1,Table2[Dias no laborales]),E3139)</f>
        <v>0</v>
      </c>
      <c r="G3139" s="8"/>
      <c r="H3139" s="6">
        <f t="shared" si="173"/>
        <v>0</v>
      </c>
      <c r="I3139" s="6">
        <f>MAX(1, NETWORKDAYS(A3139, G3139,Table2[Dias no laborales]))</f>
        <v>1</v>
      </c>
      <c r="J3139" s="6" t="str">
        <f>IF(Table1[[#This Row],[FIN]]="","Acumulado",IF(ISNUMBER(SEARCH("ASAP",C3139)),"ASAP",IF(NETWORKDAYS.INTL(F3139,G3139,1,Table2[Dias no laborales]) &lt;= 7, "Dentro", IF(A3139&gt;F3139,"Programado","Fuera"))))</f>
        <v>Acumulado</v>
      </c>
      <c r="K3139" s="6" t="str">
        <f t="shared" si="174"/>
        <v>A tiempo</v>
      </c>
      <c r="L3139" s="8"/>
      <c r="M3139" s="17">
        <f>MAX(1,NETWORKDAYS(A3139,L3139,Table2[Dias no laborales]))</f>
        <v>1</v>
      </c>
    </row>
    <row r="3140" spans="1:13" x14ac:dyDescent="0.3">
      <c r="A3140" s="8"/>
      <c r="B3140" s="16" t="s">
        <v>5757</v>
      </c>
      <c r="C3140" s="6"/>
      <c r="D3140" s="6"/>
      <c r="E3140" s="14"/>
      <c r="F3140" s="25">
        <f>IF(HOUR(Table1[[#This Row],[CORREO]])&gt;=11,WORKDAY(Table1[[#This Row],[CORREO]],1,Table2[Dias no laborales]),E3140)</f>
        <v>0</v>
      </c>
      <c r="G3140" s="8"/>
      <c r="H3140" s="6">
        <f t="shared" si="173"/>
        <v>0</v>
      </c>
      <c r="I3140" s="6">
        <f>MAX(1, NETWORKDAYS(A3140, G3140,Table2[Dias no laborales]))</f>
        <v>1</v>
      </c>
      <c r="J3140" s="6" t="str">
        <f>IF(Table1[[#This Row],[FIN]]="","Acumulado",IF(ISNUMBER(SEARCH("ASAP",C3140)),"ASAP",IF(NETWORKDAYS.INTL(F3140,G3140,1,Table2[Dias no laborales]) &lt;= 7, "Dentro", IF(A3140&gt;F3140,"Programado","Fuera"))))</f>
        <v>Acumulado</v>
      </c>
      <c r="K3140" s="6" t="str">
        <f t="shared" si="174"/>
        <v>A tiempo</v>
      </c>
      <c r="L3140" s="8"/>
      <c r="M3140" s="17">
        <f>MAX(1,NETWORKDAYS(A3140,L3140,Table2[Dias no laborales]))</f>
        <v>1</v>
      </c>
    </row>
    <row r="3141" spans="1:13" x14ac:dyDescent="0.3">
      <c r="A3141" s="8"/>
      <c r="B3141" s="16" t="s">
        <v>5758</v>
      </c>
      <c r="C3141" s="6"/>
      <c r="D3141" s="6"/>
      <c r="E3141" s="14"/>
      <c r="F3141" s="25">
        <f>IF(HOUR(Table1[[#This Row],[CORREO]])&gt;=11,WORKDAY(Table1[[#This Row],[CORREO]],1,Table2[Dias no laborales]),E3141)</f>
        <v>0</v>
      </c>
      <c r="G3141" s="8"/>
      <c r="H3141" s="6">
        <f t="shared" si="173"/>
        <v>0</v>
      </c>
      <c r="I3141" s="6">
        <f>MAX(1, NETWORKDAYS(A3141, G3141,Table2[Dias no laborales]))</f>
        <v>1</v>
      </c>
      <c r="J3141" s="6" t="str">
        <f>IF(Table1[[#This Row],[FIN]]="","Acumulado",IF(ISNUMBER(SEARCH("ASAP",C3141)),"ASAP",IF(NETWORKDAYS.INTL(F3141,G3141,1,Table2[Dias no laborales]) &lt;= 7, "Dentro", IF(A3141&gt;F3141,"Programado","Fuera"))))</f>
        <v>Acumulado</v>
      </c>
      <c r="K3141" s="6" t="str">
        <f t="shared" si="174"/>
        <v>A tiempo</v>
      </c>
      <c r="L3141" s="8"/>
      <c r="M3141" s="17">
        <f>MAX(1,NETWORKDAYS(A3141,L3141,Table2[Dias no laborales]))</f>
        <v>1</v>
      </c>
    </row>
    <row r="3142" spans="1:13" x14ac:dyDescent="0.3">
      <c r="A3142" s="8"/>
      <c r="B3142" s="16" t="s">
        <v>5759</v>
      </c>
      <c r="C3142" s="6"/>
      <c r="D3142" s="6"/>
      <c r="E3142" s="14"/>
      <c r="F3142" s="25">
        <f>IF(HOUR(Table1[[#This Row],[CORREO]])&gt;=11,WORKDAY(Table1[[#This Row],[CORREO]],1,Table2[Dias no laborales]),E3142)</f>
        <v>0</v>
      </c>
      <c r="G3142" s="8"/>
      <c r="H3142" s="6">
        <f t="shared" si="173"/>
        <v>0</v>
      </c>
      <c r="I3142" s="6">
        <f>MAX(1, NETWORKDAYS(A3142, G3142,Table2[Dias no laborales]))</f>
        <v>1</v>
      </c>
      <c r="J3142" s="6" t="str">
        <f>IF(Table1[[#This Row],[FIN]]="","Acumulado",IF(ISNUMBER(SEARCH("ASAP",C3142)),"ASAP",IF(NETWORKDAYS.INTL(F3142,G3142,1,Table2[Dias no laborales]) &lt;= 7, "Dentro", IF(A3142&gt;F3142,"Programado","Fuera"))))</f>
        <v>Acumulado</v>
      </c>
      <c r="K3142" s="6" t="str">
        <f t="shared" si="174"/>
        <v>A tiempo</v>
      </c>
      <c r="L3142" s="8"/>
      <c r="M3142" s="17">
        <f>MAX(1,NETWORKDAYS(A3142,L3142,Table2[Dias no laborales]))</f>
        <v>1</v>
      </c>
    </row>
    <row r="3143" spans="1:13" x14ac:dyDescent="0.3">
      <c r="A3143" s="8"/>
      <c r="B3143" s="16" t="s">
        <v>5760</v>
      </c>
      <c r="C3143" s="6"/>
      <c r="D3143" s="6"/>
      <c r="E3143" s="14"/>
      <c r="F3143" s="25">
        <f>IF(HOUR(Table1[[#This Row],[CORREO]])&gt;=11,WORKDAY(Table1[[#This Row],[CORREO]],1,Table2[Dias no laborales]),E3143)</f>
        <v>0</v>
      </c>
      <c r="G3143" s="8"/>
      <c r="H3143" s="6">
        <f t="shared" si="173"/>
        <v>0</v>
      </c>
      <c r="I3143" s="6">
        <f>MAX(1, NETWORKDAYS(A3143, G3143,Table2[Dias no laborales]))</f>
        <v>1</v>
      </c>
      <c r="J3143" s="6" t="str">
        <f>IF(Table1[[#This Row],[FIN]]="","Acumulado",IF(ISNUMBER(SEARCH("ASAP",C3143)),"ASAP",IF(NETWORKDAYS.INTL(F3143,G3143,1,Table2[Dias no laborales]) &lt;= 7, "Dentro", IF(A3143&gt;F3143,"Programado","Fuera"))))</f>
        <v>Acumulado</v>
      </c>
      <c r="K3143" s="6" t="str">
        <f t="shared" si="174"/>
        <v>A tiempo</v>
      </c>
      <c r="L3143" s="8"/>
      <c r="M3143" s="17">
        <f>MAX(1,NETWORKDAYS(A3143,L3143,Table2[Dias no laborales]))</f>
        <v>1</v>
      </c>
    </row>
    <row r="3144" spans="1:13" x14ac:dyDescent="0.3">
      <c r="A3144" s="8"/>
      <c r="B3144" s="16" t="s">
        <v>5761</v>
      </c>
      <c r="C3144" s="6"/>
      <c r="D3144" s="6"/>
      <c r="E3144" s="14"/>
      <c r="F3144" s="25">
        <f>IF(HOUR(Table1[[#This Row],[CORREO]])&gt;=11,WORKDAY(Table1[[#This Row],[CORREO]],1,Table2[Dias no laborales]),E3144)</f>
        <v>0</v>
      </c>
      <c r="G3144" s="8"/>
      <c r="H3144" s="6">
        <f t="shared" si="173"/>
        <v>0</v>
      </c>
      <c r="I3144" s="6">
        <f>MAX(1, NETWORKDAYS(A3144, G3144,Table2[Dias no laborales]))</f>
        <v>1</v>
      </c>
      <c r="J3144" s="6" t="str">
        <f>IF(Table1[[#This Row],[FIN]]="","Acumulado",IF(ISNUMBER(SEARCH("ASAP",C3144)),"ASAP",IF(NETWORKDAYS.INTL(F3144,G3144,1,Table2[Dias no laborales]) &lt;= 7, "Dentro", IF(A3144&gt;F3144,"Programado","Fuera"))))</f>
        <v>Acumulado</v>
      </c>
      <c r="K3144" s="6" t="str">
        <f t="shared" si="174"/>
        <v>A tiempo</v>
      </c>
      <c r="L3144" s="8"/>
      <c r="M3144" s="17">
        <f>MAX(1,NETWORKDAYS(A3144,L3144,Table2[Dias no laborales]))</f>
        <v>1</v>
      </c>
    </row>
    <row r="3145" spans="1:13" x14ac:dyDescent="0.3">
      <c r="A3145" s="8"/>
      <c r="B3145" s="16" t="s">
        <v>5762</v>
      </c>
      <c r="C3145" s="6"/>
      <c r="D3145" s="6"/>
      <c r="E3145" s="14"/>
      <c r="F3145" s="25">
        <f>IF(HOUR(Table1[[#This Row],[CORREO]])&gt;=11,WORKDAY(Table1[[#This Row],[CORREO]],1,Table2[Dias no laborales]),E3145)</f>
        <v>0</v>
      </c>
      <c r="G3145" s="8"/>
      <c r="H3145" s="6">
        <f t="shared" si="173"/>
        <v>0</v>
      </c>
      <c r="I3145" s="6">
        <f>MAX(1, NETWORKDAYS(A3145, G3145,Table2[Dias no laborales]))</f>
        <v>1</v>
      </c>
      <c r="J3145" s="6" t="str">
        <f>IF(Table1[[#This Row],[FIN]]="","Acumulado",IF(ISNUMBER(SEARCH("ASAP",C3145)),"ASAP",IF(NETWORKDAYS.INTL(F3145,G3145,1,Table2[Dias no laborales]) &lt;= 7, "Dentro", IF(A3145&gt;F3145,"Programado","Fuera"))))</f>
        <v>Acumulado</v>
      </c>
      <c r="K3145" s="6" t="str">
        <f t="shared" si="174"/>
        <v>A tiempo</v>
      </c>
      <c r="L3145" s="8"/>
      <c r="M3145" s="17">
        <f>MAX(1,NETWORKDAYS(A3145,L3145,Table2[Dias no laborales]))</f>
        <v>1</v>
      </c>
    </row>
    <row r="3146" spans="1:13" x14ac:dyDescent="0.3">
      <c r="A3146" s="8"/>
      <c r="B3146" s="16" t="s">
        <v>5763</v>
      </c>
      <c r="C3146" s="6"/>
      <c r="D3146" s="6"/>
      <c r="E3146" s="14"/>
      <c r="F3146" s="25">
        <f>IF(HOUR(Table1[[#This Row],[CORREO]])&gt;=11,WORKDAY(Table1[[#This Row],[CORREO]],1,Table2[Dias no laborales]),E3146)</f>
        <v>0</v>
      </c>
      <c r="G3146" s="8"/>
      <c r="H3146" s="6">
        <f t="shared" si="173"/>
        <v>0</v>
      </c>
      <c r="I3146" s="6">
        <f>MAX(1, NETWORKDAYS(A3146, G3146,Table2[Dias no laborales]))</f>
        <v>1</v>
      </c>
      <c r="J3146" s="6" t="str">
        <f>IF(Table1[[#This Row],[FIN]]="","Acumulado",IF(ISNUMBER(SEARCH("ASAP",C3146)),"ASAP",IF(NETWORKDAYS.INTL(F3146,G3146,1,Table2[Dias no laborales]) &lt;= 7, "Dentro", IF(A3146&gt;F3146,"Programado","Fuera"))))</f>
        <v>Acumulado</v>
      </c>
      <c r="K3146" s="6" t="str">
        <f t="shared" si="174"/>
        <v>A tiempo</v>
      </c>
      <c r="L3146" s="8"/>
      <c r="M3146" s="17">
        <f>MAX(1,NETWORKDAYS(A3146,L3146,Table2[Dias no laborales]))</f>
        <v>1</v>
      </c>
    </row>
    <row r="3147" spans="1:13" x14ac:dyDescent="0.3">
      <c r="A3147" s="8"/>
      <c r="B3147" s="16" t="s">
        <v>5764</v>
      </c>
      <c r="C3147" s="6"/>
      <c r="D3147" s="6"/>
      <c r="E3147" s="14"/>
      <c r="F3147" s="25">
        <f>IF(HOUR(Table1[[#This Row],[CORREO]])&gt;=11,WORKDAY(Table1[[#This Row],[CORREO]],1,Table2[Dias no laborales]),E3147)</f>
        <v>0</v>
      </c>
      <c r="G3147" s="8"/>
      <c r="H3147" s="6">
        <f t="shared" si="173"/>
        <v>0</v>
      </c>
      <c r="I3147" s="6">
        <f>MAX(1, NETWORKDAYS(A3147, G3147,Table2[Dias no laborales]))</f>
        <v>1</v>
      </c>
      <c r="J3147" s="6" t="str">
        <f>IF(Table1[[#This Row],[FIN]]="","Acumulado",IF(ISNUMBER(SEARCH("ASAP",C3147)),"ASAP",IF(NETWORKDAYS.INTL(F3147,G3147,1,Table2[Dias no laborales]) &lt;= 7, "Dentro", IF(A3147&gt;F3147,"Programado","Fuera"))))</f>
        <v>Acumulado</v>
      </c>
      <c r="K3147" s="6" t="str">
        <f t="shared" si="174"/>
        <v>A tiempo</v>
      </c>
      <c r="L3147" s="8"/>
      <c r="M3147" s="17">
        <f>MAX(1,NETWORKDAYS(A3147,L3147,Table2[Dias no laborales]))</f>
        <v>1</v>
      </c>
    </row>
    <row r="3148" spans="1:13" x14ac:dyDescent="0.3">
      <c r="A3148" s="8"/>
      <c r="B3148" s="16" t="s">
        <v>5765</v>
      </c>
      <c r="C3148" s="6"/>
      <c r="D3148" s="6"/>
      <c r="E3148" s="14"/>
      <c r="F3148" s="25">
        <f>IF(HOUR(Table1[[#This Row],[CORREO]])&gt;=11,WORKDAY(Table1[[#This Row],[CORREO]],1,Table2[Dias no laborales]),E3148)</f>
        <v>0</v>
      </c>
      <c r="G3148" s="8"/>
      <c r="H3148" s="6">
        <f t="shared" si="173"/>
        <v>0</v>
      </c>
      <c r="I3148" s="6">
        <f>MAX(1, NETWORKDAYS(A3148, G3148,Table2[Dias no laborales]))</f>
        <v>1</v>
      </c>
      <c r="J3148" s="6" t="str">
        <f>IF(Table1[[#This Row],[FIN]]="","Acumulado",IF(ISNUMBER(SEARCH("ASAP",C3148)),"ASAP",IF(NETWORKDAYS.INTL(F3148,G3148,1,Table2[Dias no laborales]) &lt;= 7, "Dentro", IF(A3148&gt;F3148,"Programado","Fuera"))))</f>
        <v>Acumulado</v>
      </c>
      <c r="K3148" s="6" t="str">
        <f t="shared" si="174"/>
        <v>A tiempo</v>
      </c>
      <c r="L3148" s="8"/>
      <c r="M3148" s="17">
        <f>MAX(1,NETWORKDAYS(A3148,L3148,Table2[Dias no laborales]))</f>
        <v>1</v>
      </c>
    </row>
    <row r="3149" spans="1:13" x14ac:dyDescent="0.3">
      <c r="A3149" s="8"/>
      <c r="B3149" s="16" t="s">
        <v>5766</v>
      </c>
      <c r="C3149" s="6"/>
      <c r="D3149" s="6"/>
      <c r="E3149" s="14"/>
      <c r="F3149" s="25">
        <f>IF(HOUR(Table1[[#This Row],[CORREO]])&gt;=11,WORKDAY(Table1[[#This Row],[CORREO]],1,Table2[Dias no laborales]),E3149)</f>
        <v>0</v>
      </c>
      <c r="G3149" s="8"/>
      <c r="H3149" s="6">
        <f t="shared" si="173"/>
        <v>0</v>
      </c>
      <c r="I3149" s="6">
        <f>MAX(1, NETWORKDAYS(A3149, G3149,Table2[Dias no laborales]))</f>
        <v>1</v>
      </c>
      <c r="J3149" s="6" t="str">
        <f>IF(Table1[[#This Row],[FIN]]="","Acumulado",IF(ISNUMBER(SEARCH("ASAP",C3149)),"ASAP",IF(NETWORKDAYS.INTL(F3149,G3149,1,Table2[Dias no laborales]) &lt;= 7, "Dentro", IF(A3149&gt;F3149,"Programado","Fuera"))))</f>
        <v>Acumulado</v>
      </c>
      <c r="K3149" s="6" t="str">
        <f t="shared" si="174"/>
        <v>A tiempo</v>
      </c>
      <c r="L3149" s="8"/>
      <c r="M3149" s="17">
        <f>MAX(1,NETWORKDAYS(A3149,L3149,Table2[Dias no laborales]))</f>
        <v>1</v>
      </c>
    </row>
    <row r="3150" spans="1:13" x14ac:dyDescent="0.3">
      <c r="A3150" s="8"/>
      <c r="B3150" s="16" t="s">
        <v>5767</v>
      </c>
      <c r="C3150" s="6"/>
      <c r="D3150" s="6"/>
      <c r="E3150" s="14"/>
      <c r="F3150" s="25">
        <f>IF(HOUR(Table1[[#This Row],[CORREO]])&gt;=11,WORKDAY(Table1[[#This Row],[CORREO]],1,Table2[Dias no laborales]),E3150)</f>
        <v>0</v>
      </c>
      <c r="G3150" s="8"/>
      <c r="H3150" s="6">
        <f t="shared" si="173"/>
        <v>0</v>
      </c>
      <c r="I3150" s="6">
        <f>MAX(1, NETWORKDAYS(A3150, G3150,Table2[Dias no laborales]))</f>
        <v>1</v>
      </c>
      <c r="J3150" s="6" t="str">
        <f>IF(Table1[[#This Row],[FIN]]="","Acumulado",IF(ISNUMBER(SEARCH("ASAP",C3150)),"ASAP",IF(NETWORKDAYS.INTL(F3150,G3150,1,Table2[Dias no laborales]) &lt;= 7, "Dentro", IF(A3150&gt;F3150,"Programado","Fuera"))))</f>
        <v>Acumulado</v>
      </c>
      <c r="K3150" s="6" t="str">
        <f t="shared" si="174"/>
        <v>A tiempo</v>
      </c>
      <c r="L3150" s="8"/>
      <c r="M3150" s="17">
        <f>MAX(1,NETWORKDAYS(A3150,L3150,Table2[Dias no laborales]))</f>
        <v>1</v>
      </c>
    </row>
    <row r="3151" spans="1:13" x14ac:dyDescent="0.3">
      <c r="A3151" s="8"/>
      <c r="B3151" s="16" t="s">
        <v>5768</v>
      </c>
      <c r="C3151" s="6"/>
      <c r="D3151" s="6"/>
      <c r="E3151" s="14"/>
      <c r="F3151" s="25">
        <f>IF(HOUR(Table1[[#This Row],[CORREO]])&gt;=11,WORKDAY(Table1[[#This Row],[CORREO]],1,Table2[Dias no laborales]),E3151)</f>
        <v>0</v>
      </c>
      <c r="G3151" s="8"/>
      <c r="H3151" s="6">
        <f t="shared" si="173"/>
        <v>0</v>
      </c>
      <c r="I3151" s="6">
        <f>MAX(1, NETWORKDAYS(A3151, G3151,Table2[Dias no laborales]))</f>
        <v>1</v>
      </c>
      <c r="J3151" s="6" t="str">
        <f>IF(Table1[[#This Row],[FIN]]="","Acumulado",IF(ISNUMBER(SEARCH("ASAP",C3151)),"ASAP",IF(NETWORKDAYS.INTL(F3151,G3151,1,Table2[Dias no laborales]) &lt;= 7, "Dentro", IF(A3151&gt;F3151,"Programado","Fuera"))))</f>
        <v>Acumulado</v>
      </c>
      <c r="K3151" s="6" t="str">
        <f t="shared" si="174"/>
        <v>A tiempo</v>
      </c>
      <c r="L3151" s="8"/>
      <c r="M3151" s="17">
        <f>MAX(1,NETWORKDAYS(A3151,L3151,Table2[Dias no laborales]))</f>
        <v>1</v>
      </c>
    </row>
    <row r="3152" spans="1:13" x14ac:dyDescent="0.3">
      <c r="A3152" s="8"/>
      <c r="B3152" s="16" t="s">
        <v>5769</v>
      </c>
      <c r="C3152" s="6"/>
      <c r="D3152" s="6"/>
      <c r="E3152" s="14"/>
      <c r="F3152" s="25">
        <f>IF(HOUR(Table1[[#This Row],[CORREO]])&gt;=11,WORKDAY(Table1[[#This Row],[CORREO]],1,Table2[Dias no laborales]),E3152)</f>
        <v>0</v>
      </c>
      <c r="G3152" s="8"/>
      <c r="H3152" s="6">
        <f t="shared" si="173"/>
        <v>0</v>
      </c>
      <c r="I3152" s="6">
        <f>MAX(1, NETWORKDAYS(A3152, G3152,Table2[Dias no laborales]))</f>
        <v>1</v>
      </c>
      <c r="J3152" s="6" t="str">
        <f>IF(Table1[[#This Row],[FIN]]="","Acumulado",IF(ISNUMBER(SEARCH("ASAP",C3152)),"ASAP",IF(NETWORKDAYS.INTL(F3152,G3152,1,Table2[Dias no laborales]) &lt;= 7, "Dentro", IF(A3152&gt;F3152,"Programado","Fuera"))))</f>
        <v>Acumulado</v>
      </c>
      <c r="K3152" s="6" t="str">
        <f t="shared" si="174"/>
        <v>A tiempo</v>
      </c>
      <c r="L3152" s="8"/>
      <c r="M3152" s="17">
        <f>MAX(1,NETWORKDAYS(A3152,L3152,Table2[Dias no laborales]))</f>
        <v>1</v>
      </c>
    </row>
    <row r="3153" spans="1:13" x14ac:dyDescent="0.3">
      <c r="A3153" s="8"/>
      <c r="B3153" s="16" t="s">
        <v>5770</v>
      </c>
      <c r="C3153" s="6"/>
      <c r="D3153" s="6"/>
      <c r="E3153" s="14"/>
      <c r="F3153" s="25">
        <f>IF(HOUR(Table1[[#This Row],[CORREO]])&gt;=11,WORKDAY(Table1[[#This Row],[CORREO]],1,Table2[Dias no laborales]),E3153)</f>
        <v>0</v>
      </c>
      <c r="G3153" s="8"/>
      <c r="H3153" s="6">
        <f t="shared" si="173"/>
        <v>0</v>
      </c>
      <c r="I3153" s="6">
        <f>MAX(1, NETWORKDAYS(A3153, G3153,Table2[Dias no laborales]))</f>
        <v>1</v>
      </c>
      <c r="J3153" s="6" t="str">
        <f>IF(Table1[[#This Row],[FIN]]="","Acumulado",IF(ISNUMBER(SEARCH("ASAP",C3153)),"ASAP",IF(NETWORKDAYS.INTL(F3153,G3153,1,Table2[Dias no laborales]) &lt;= 7, "Dentro", IF(A3153&gt;F3153,"Programado","Fuera"))))</f>
        <v>Acumulado</v>
      </c>
      <c r="K3153" s="6" t="str">
        <f t="shared" si="174"/>
        <v>A tiempo</v>
      </c>
      <c r="L3153" s="8"/>
      <c r="M3153" s="17">
        <f>MAX(1,NETWORKDAYS(A3153,L3153,Table2[Dias no laborales]))</f>
        <v>1</v>
      </c>
    </row>
    <row r="3154" spans="1:13" x14ac:dyDescent="0.3">
      <c r="A3154" s="8"/>
      <c r="B3154" s="16" t="s">
        <v>5771</v>
      </c>
      <c r="C3154" s="6"/>
      <c r="D3154" s="6"/>
      <c r="E3154" s="14"/>
      <c r="F3154" s="25">
        <f>IF(HOUR(Table1[[#This Row],[CORREO]])&gt;=11,WORKDAY(Table1[[#This Row],[CORREO]],1,Table2[Dias no laborales]),E3154)</f>
        <v>0</v>
      </c>
      <c r="G3154" s="8"/>
      <c r="H3154" s="6">
        <f t="shared" si="173"/>
        <v>0</v>
      </c>
      <c r="I3154" s="6">
        <f>MAX(1, NETWORKDAYS(A3154, G3154,Table2[Dias no laborales]))</f>
        <v>1</v>
      </c>
      <c r="J3154" s="6" t="str">
        <f>IF(Table1[[#This Row],[FIN]]="","Acumulado",IF(ISNUMBER(SEARCH("ASAP",C3154)),"ASAP",IF(NETWORKDAYS.INTL(F3154,G3154,1,Table2[Dias no laborales]) &lt;= 7, "Dentro", IF(A3154&gt;F3154,"Programado","Fuera"))))</f>
        <v>Acumulado</v>
      </c>
      <c r="K3154" s="6" t="str">
        <f t="shared" si="174"/>
        <v>A tiempo</v>
      </c>
      <c r="L3154" s="8"/>
      <c r="M3154" s="17">
        <f>MAX(1,NETWORKDAYS(A3154,L3154,Table2[Dias no laborales]))</f>
        <v>1</v>
      </c>
    </row>
    <row r="3155" spans="1:13" x14ac:dyDescent="0.3">
      <c r="A3155" s="8"/>
      <c r="B3155" s="16" t="s">
        <v>5772</v>
      </c>
      <c r="C3155" s="6"/>
      <c r="D3155" s="6"/>
      <c r="E3155" s="14"/>
      <c r="F3155" s="25">
        <f>IF(HOUR(Table1[[#This Row],[CORREO]])&gt;=11,WORKDAY(Table1[[#This Row],[CORREO]],1,Table2[Dias no laborales]),E3155)</f>
        <v>0</v>
      </c>
      <c r="G3155" s="8"/>
      <c r="H3155" s="6">
        <f t="shared" si="173"/>
        <v>0</v>
      </c>
      <c r="I3155" s="6">
        <f>MAX(1, NETWORKDAYS(A3155, G3155,Table2[Dias no laborales]))</f>
        <v>1</v>
      </c>
      <c r="J3155" s="6" t="str">
        <f>IF(Table1[[#This Row],[FIN]]="","Acumulado",IF(ISNUMBER(SEARCH("ASAP",C3155)),"ASAP",IF(NETWORKDAYS.INTL(F3155,G3155,1,Table2[Dias no laborales]) &lt;= 7, "Dentro", IF(A3155&gt;F3155,"Programado","Fuera"))))</f>
        <v>Acumulado</v>
      </c>
      <c r="K3155" s="6" t="str">
        <f t="shared" si="174"/>
        <v>A tiempo</v>
      </c>
      <c r="L3155" s="8"/>
      <c r="M3155" s="17">
        <f>MAX(1,NETWORKDAYS(A3155,L3155,Table2[Dias no laborales]))</f>
        <v>1</v>
      </c>
    </row>
    <row r="3156" spans="1:13" x14ac:dyDescent="0.3">
      <c r="A3156" s="8"/>
      <c r="B3156" s="16" t="s">
        <v>5773</v>
      </c>
      <c r="C3156" s="6"/>
      <c r="D3156" s="6"/>
      <c r="E3156" s="14"/>
      <c r="F3156" s="25">
        <f>IF(HOUR(Table1[[#This Row],[CORREO]])&gt;=11,WORKDAY(Table1[[#This Row],[CORREO]],1,Table2[Dias no laborales]),E3156)</f>
        <v>0</v>
      </c>
      <c r="G3156" s="8"/>
      <c r="H3156" s="6">
        <f t="shared" si="173"/>
        <v>0</v>
      </c>
      <c r="I3156" s="6">
        <f>MAX(1, NETWORKDAYS(A3156, G3156,Table2[Dias no laborales]))</f>
        <v>1</v>
      </c>
      <c r="J3156" s="6" t="str">
        <f>IF(Table1[[#This Row],[FIN]]="","Acumulado",IF(ISNUMBER(SEARCH("ASAP",C3156)),"ASAP",IF(NETWORKDAYS.INTL(F3156,G3156,1,Table2[Dias no laborales]) &lt;= 7, "Dentro", IF(A3156&gt;F3156,"Programado","Fuera"))))</f>
        <v>Acumulado</v>
      </c>
      <c r="K3156" s="6" t="str">
        <f t="shared" si="174"/>
        <v>A tiempo</v>
      </c>
      <c r="L3156" s="8"/>
      <c r="M3156" s="17">
        <f>MAX(1,NETWORKDAYS(A3156,L3156,Table2[Dias no laborales]))</f>
        <v>1</v>
      </c>
    </row>
    <row r="3157" spans="1:13" x14ac:dyDescent="0.3">
      <c r="A3157" s="8"/>
      <c r="B3157" s="16" t="s">
        <v>5774</v>
      </c>
      <c r="C3157" s="6"/>
      <c r="D3157" s="6"/>
      <c r="E3157" s="14"/>
      <c r="F3157" s="25">
        <f>IF(HOUR(Table1[[#This Row],[CORREO]])&gt;=11,WORKDAY(Table1[[#This Row],[CORREO]],1,Table2[Dias no laborales]),E3157)</f>
        <v>0</v>
      </c>
      <c r="G3157" s="8"/>
      <c r="H3157" s="6">
        <f t="shared" si="173"/>
        <v>0</v>
      </c>
      <c r="I3157" s="6">
        <f>MAX(1, NETWORKDAYS(A3157, G3157,Table2[Dias no laborales]))</f>
        <v>1</v>
      </c>
      <c r="J3157" s="6" t="str">
        <f>IF(Table1[[#This Row],[FIN]]="","Acumulado",IF(ISNUMBER(SEARCH("ASAP",C3157)),"ASAP",IF(NETWORKDAYS.INTL(F3157,G3157,1,Table2[Dias no laborales]) &lt;= 7, "Dentro", IF(A3157&gt;F3157,"Programado","Fuera"))))</f>
        <v>Acumulado</v>
      </c>
      <c r="K3157" s="6" t="str">
        <f t="shared" si="174"/>
        <v>A tiempo</v>
      </c>
      <c r="L3157" s="8"/>
      <c r="M3157" s="17">
        <f>MAX(1,NETWORKDAYS(A3157,L3157,Table2[Dias no laborales]))</f>
        <v>1</v>
      </c>
    </row>
    <row r="3158" spans="1:13" x14ac:dyDescent="0.3">
      <c r="A3158" s="8"/>
      <c r="B3158" s="16" t="s">
        <v>5775</v>
      </c>
      <c r="C3158" s="6"/>
      <c r="D3158" s="6"/>
      <c r="E3158" s="14"/>
      <c r="F3158" s="25">
        <f>IF(HOUR(Table1[[#This Row],[CORREO]])&gt;=11,WORKDAY(Table1[[#This Row],[CORREO]],1,Table2[Dias no laborales]),E3158)</f>
        <v>0</v>
      </c>
      <c r="G3158" s="8"/>
      <c r="H3158" s="6">
        <f t="shared" si="173"/>
        <v>0</v>
      </c>
      <c r="I3158" s="6">
        <f>MAX(1, NETWORKDAYS(A3158, G3158,Table2[Dias no laborales]))</f>
        <v>1</v>
      </c>
      <c r="J3158" s="6" t="str">
        <f>IF(Table1[[#This Row],[FIN]]="","Acumulado",IF(ISNUMBER(SEARCH("ASAP",C3158)),"ASAP",IF(NETWORKDAYS.INTL(F3158,G3158,1,Table2[Dias no laborales]) &lt;= 7, "Dentro", IF(A3158&gt;F3158,"Programado","Fuera"))))</f>
        <v>Acumulado</v>
      </c>
      <c r="K3158" s="6" t="str">
        <f t="shared" si="174"/>
        <v>A tiempo</v>
      </c>
      <c r="L3158" s="8"/>
      <c r="M3158" s="17">
        <f>MAX(1,NETWORKDAYS(A3158,L3158,Table2[Dias no laborales]))</f>
        <v>1</v>
      </c>
    </row>
    <row r="3159" spans="1:13" x14ac:dyDescent="0.3">
      <c r="A3159" s="8"/>
      <c r="B3159" s="16" t="s">
        <v>5776</v>
      </c>
      <c r="C3159" s="6"/>
      <c r="D3159" s="6"/>
      <c r="E3159" s="14"/>
      <c r="F3159" s="25">
        <f>IF(HOUR(Table1[[#This Row],[CORREO]])&gt;=11,WORKDAY(Table1[[#This Row],[CORREO]],1,Table2[Dias no laborales]),E3159)</f>
        <v>0</v>
      </c>
      <c r="G3159" s="8"/>
      <c r="H3159" s="6">
        <f t="shared" si="173"/>
        <v>0</v>
      </c>
      <c r="I3159" s="6">
        <f>MAX(1, NETWORKDAYS(A3159, G3159,Table2[Dias no laborales]))</f>
        <v>1</v>
      </c>
      <c r="J3159" s="6" t="str">
        <f>IF(Table1[[#This Row],[FIN]]="","Acumulado",IF(ISNUMBER(SEARCH("ASAP",C3159)),"ASAP",IF(NETWORKDAYS.INTL(F3159,G3159,1,Table2[Dias no laborales]) &lt;= 7, "Dentro", IF(A3159&gt;F3159,"Programado","Fuera"))))</f>
        <v>Acumulado</v>
      </c>
      <c r="K3159" s="6" t="str">
        <f t="shared" si="174"/>
        <v>A tiempo</v>
      </c>
      <c r="L3159" s="8"/>
      <c r="M3159" s="17">
        <f>MAX(1,NETWORKDAYS(A3159,L3159,Table2[Dias no laborales]))</f>
        <v>1</v>
      </c>
    </row>
    <row r="3160" spans="1:13" x14ac:dyDescent="0.3">
      <c r="A3160" s="8"/>
      <c r="B3160" s="16" t="s">
        <v>5777</v>
      </c>
      <c r="C3160" s="6"/>
      <c r="D3160" s="6"/>
      <c r="E3160" s="14"/>
      <c r="F3160" s="25">
        <f>IF(HOUR(Table1[[#This Row],[CORREO]])&gt;=11,WORKDAY(Table1[[#This Row],[CORREO]],1,Table2[Dias no laborales]),E3160)</f>
        <v>0</v>
      </c>
      <c r="G3160" s="8"/>
      <c r="H3160" s="6">
        <f t="shared" si="173"/>
        <v>0</v>
      </c>
      <c r="I3160" s="6">
        <f>MAX(1, NETWORKDAYS(A3160, G3160,Table2[Dias no laborales]))</f>
        <v>1</v>
      </c>
      <c r="J3160" s="6" t="str">
        <f>IF(Table1[[#This Row],[FIN]]="","Acumulado",IF(ISNUMBER(SEARCH("ASAP",C3160)),"ASAP",IF(NETWORKDAYS.INTL(F3160,G3160,1,Table2[Dias no laborales]) &lt;= 7, "Dentro", IF(A3160&gt;F3160,"Programado","Fuera"))))</f>
        <v>Acumulado</v>
      </c>
      <c r="K3160" s="6" t="str">
        <f t="shared" si="174"/>
        <v>A tiempo</v>
      </c>
      <c r="L3160" s="8"/>
      <c r="M3160" s="17">
        <f>MAX(1,NETWORKDAYS(A3160,L3160,Table2[Dias no laborales]))</f>
        <v>1</v>
      </c>
    </row>
    <row r="3161" spans="1:13" x14ac:dyDescent="0.3">
      <c r="A3161" s="8"/>
      <c r="B3161" s="16" t="s">
        <v>5825</v>
      </c>
      <c r="C3161" s="6"/>
      <c r="D3161" s="6"/>
      <c r="E3161" s="14"/>
      <c r="F3161" s="25">
        <f>IF(HOUR(Table1[[#This Row],[CORREO]])&gt;=11,WORKDAY(Table1[[#This Row],[CORREO]],1,Table2[Dias no laborales]),E3161)</f>
        <v>0</v>
      </c>
      <c r="G3161" s="8"/>
      <c r="H3161" s="6">
        <f t="shared" ref="H3161:H3192" si="175">INT((A3161-DATE(YEAR(A3161),1,1))/7) + 1</f>
        <v>0</v>
      </c>
      <c r="I3161" s="6">
        <f>MAX(1, NETWORKDAYS(A3161, G3161,Table2[Dias no laborales]))</f>
        <v>1</v>
      </c>
      <c r="J3161" s="6" t="str">
        <f>IF(Table1[[#This Row],[FIN]]="","Acumulado",IF(ISNUMBER(SEARCH("ASAP",C3161)),"ASAP",IF(NETWORKDAYS.INTL(F3161,G3161,1,Table2[Dias no laborales]) &lt;= 7, "Dentro", IF(A3161&gt;F3161,"Programado","Fuera"))))</f>
        <v>Acumulado</v>
      </c>
      <c r="K3161" s="6" t="str">
        <f t="shared" ref="K3161:K3192" si="176">IF(INT(A3161)=INT(F3161),"A tiempo", IF(A3161&lt;F3161,"Mismo día","Programados"))</f>
        <v>A tiempo</v>
      </c>
      <c r="L3161" s="8"/>
      <c r="M3161" s="17">
        <f>MAX(1,NETWORKDAYS(A3161,L3161,Table2[Dias no laborales]))</f>
        <v>1</v>
      </c>
    </row>
    <row r="3162" spans="1:13" x14ac:dyDescent="0.3">
      <c r="A3162" s="8"/>
      <c r="B3162" s="16" t="s">
        <v>5826</v>
      </c>
      <c r="C3162" s="6"/>
      <c r="D3162" s="6"/>
      <c r="E3162" s="14"/>
      <c r="F3162" s="25">
        <f>IF(HOUR(Table1[[#This Row],[CORREO]])&gt;=11,WORKDAY(Table1[[#This Row],[CORREO]],1,Table2[Dias no laborales]),E3162)</f>
        <v>0</v>
      </c>
      <c r="G3162" s="8"/>
      <c r="H3162" s="6">
        <f t="shared" si="175"/>
        <v>0</v>
      </c>
      <c r="I3162" s="6">
        <f>MAX(1, NETWORKDAYS(A3162, G3162,Table2[Dias no laborales]))</f>
        <v>1</v>
      </c>
      <c r="J3162" s="6" t="str">
        <f>IF(Table1[[#This Row],[FIN]]="","Acumulado",IF(ISNUMBER(SEARCH("ASAP",C3162)),"ASAP",IF(NETWORKDAYS.INTL(F3162,G3162,1,Table2[Dias no laborales]) &lt;= 7, "Dentro", IF(A3162&gt;F3162,"Programado","Fuera"))))</f>
        <v>Acumulado</v>
      </c>
      <c r="K3162" s="6" t="str">
        <f t="shared" si="176"/>
        <v>A tiempo</v>
      </c>
      <c r="L3162" s="8"/>
      <c r="M3162" s="17">
        <f>MAX(1,NETWORKDAYS(A3162,L3162,Table2[Dias no laborales]))</f>
        <v>1</v>
      </c>
    </row>
    <row r="3163" spans="1:13" x14ac:dyDescent="0.3">
      <c r="A3163" s="8"/>
      <c r="B3163" s="16" t="s">
        <v>5827</v>
      </c>
      <c r="C3163" s="6"/>
      <c r="D3163" s="6"/>
      <c r="E3163" s="14"/>
      <c r="F3163" s="25">
        <f>IF(HOUR(Table1[[#This Row],[CORREO]])&gt;=11,WORKDAY(Table1[[#This Row],[CORREO]],1,Table2[Dias no laborales]),E3163)</f>
        <v>0</v>
      </c>
      <c r="G3163" s="8"/>
      <c r="H3163" s="6">
        <f t="shared" si="175"/>
        <v>0</v>
      </c>
      <c r="I3163" s="6">
        <f>MAX(1, NETWORKDAYS(A3163, G3163,Table2[Dias no laborales]))</f>
        <v>1</v>
      </c>
      <c r="J3163" s="6" t="str">
        <f>IF(Table1[[#This Row],[FIN]]="","Acumulado",IF(ISNUMBER(SEARCH("ASAP",C3163)),"ASAP",IF(NETWORKDAYS.INTL(F3163,G3163,1,Table2[Dias no laborales]) &lt;= 7, "Dentro", IF(A3163&gt;F3163,"Programado","Fuera"))))</f>
        <v>Acumulado</v>
      </c>
      <c r="K3163" s="6" t="str">
        <f t="shared" si="176"/>
        <v>A tiempo</v>
      </c>
      <c r="L3163" s="8"/>
      <c r="M3163" s="17">
        <f>MAX(1,NETWORKDAYS(A3163,L3163,Table2[Dias no laborales]))</f>
        <v>1</v>
      </c>
    </row>
    <row r="3164" spans="1:13" x14ac:dyDescent="0.3">
      <c r="A3164" s="8"/>
      <c r="B3164" s="16" t="s">
        <v>5828</v>
      </c>
      <c r="C3164" s="6"/>
      <c r="D3164" s="6"/>
      <c r="E3164" s="14"/>
      <c r="F3164" s="25">
        <f>IF(HOUR(Table1[[#This Row],[CORREO]])&gt;=11,WORKDAY(Table1[[#This Row],[CORREO]],1,Table2[Dias no laborales]),E3164)</f>
        <v>0</v>
      </c>
      <c r="G3164" s="8"/>
      <c r="H3164" s="6">
        <f t="shared" si="175"/>
        <v>0</v>
      </c>
      <c r="I3164" s="6">
        <f>MAX(1, NETWORKDAYS(A3164, G3164,Table2[Dias no laborales]))</f>
        <v>1</v>
      </c>
      <c r="J3164" s="6" t="str">
        <f>IF(Table1[[#This Row],[FIN]]="","Acumulado",IF(ISNUMBER(SEARCH("ASAP",C3164)),"ASAP",IF(NETWORKDAYS.INTL(F3164,G3164,1,Table2[Dias no laborales]) &lt;= 7, "Dentro", IF(A3164&gt;F3164,"Programado","Fuera"))))</f>
        <v>Acumulado</v>
      </c>
      <c r="K3164" s="6" t="str">
        <f t="shared" si="176"/>
        <v>A tiempo</v>
      </c>
      <c r="L3164" s="8"/>
      <c r="M3164" s="17">
        <f>MAX(1,NETWORKDAYS(A3164,L3164,Table2[Dias no laborales]))</f>
        <v>1</v>
      </c>
    </row>
    <row r="3165" spans="1:13" x14ac:dyDescent="0.3">
      <c r="A3165" s="8"/>
      <c r="B3165" s="16" t="s">
        <v>5829</v>
      </c>
      <c r="C3165" s="6"/>
      <c r="D3165" s="6"/>
      <c r="E3165" s="14"/>
      <c r="F3165" s="25">
        <f>IF(HOUR(Table1[[#This Row],[CORREO]])&gt;=11,WORKDAY(Table1[[#This Row],[CORREO]],1,Table2[Dias no laborales]),E3165)</f>
        <v>0</v>
      </c>
      <c r="G3165" s="8"/>
      <c r="H3165" s="6">
        <f t="shared" si="175"/>
        <v>0</v>
      </c>
      <c r="I3165" s="6">
        <f>MAX(1, NETWORKDAYS(A3165, G3165,Table2[Dias no laborales]))</f>
        <v>1</v>
      </c>
      <c r="J3165" s="6" t="str">
        <f>IF(Table1[[#This Row],[FIN]]="","Acumulado",IF(ISNUMBER(SEARCH("ASAP",C3165)),"ASAP",IF(NETWORKDAYS.INTL(F3165,G3165,1,Table2[Dias no laborales]) &lt;= 7, "Dentro", IF(A3165&gt;F3165,"Programado","Fuera"))))</f>
        <v>Acumulado</v>
      </c>
      <c r="K3165" s="6" t="str">
        <f t="shared" si="176"/>
        <v>A tiempo</v>
      </c>
      <c r="L3165" s="8"/>
      <c r="M3165" s="17">
        <f>MAX(1,NETWORKDAYS(A3165,L3165,Table2[Dias no laborales]))</f>
        <v>1</v>
      </c>
    </row>
    <row r="3166" spans="1:13" x14ac:dyDescent="0.3">
      <c r="A3166" s="8"/>
      <c r="B3166" s="16" t="s">
        <v>5830</v>
      </c>
      <c r="C3166" s="6"/>
      <c r="D3166" s="6"/>
      <c r="E3166" s="14"/>
      <c r="F3166" s="25">
        <f>IF(HOUR(Table1[[#This Row],[CORREO]])&gt;=11,WORKDAY(Table1[[#This Row],[CORREO]],1,Table2[Dias no laborales]),E3166)</f>
        <v>0</v>
      </c>
      <c r="G3166" s="8"/>
      <c r="H3166" s="6">
        <f t="shared" si="175"/>
        <v>0</v>
      </c>
      <c r="I3166" s="6">
        <f>MAX(1, NETWORKDAYS(A3166, G3166,Table2[Dias no laborales]))</f>
        <v>1</v>
      </c>
      <c r="J3166" s="6" t="str">
        <f>IF(Table1[[#This Row],[FIN]]="","Acumulado",IF(ISNUMBER(SEARCH("ASAP",C3166)),"ASAP",IF(NETWORKDAYS.INTL(F3166,G3166,1,Table2[Dias no laborales]) &lt;= 7, "Dentro", IF(A3166&gt;F3166,"Programado","Fuera"))))</f>
        <v>Acumulado</v>
      </c>
      <c r="K3166" s="6" t="str">
        <f t="shared" si="176"/>
        <v>A tiempo</v>
      </c>
      <c r="L3166" s="8"/>
      <c r="M3166" s="17">
        <f>MAX(1,NETWORKDAYS(A3166,L3166,Table2[Dias no laborales]))</f>
        <v>1</v>
      </c>
    </row>
    <row r="3167" spans="1:13" x14ac:dyDescent="0.3">
      <c r="A3167" s="8"/>
      <c r="B3167" s="16" t="s">
        <v>5831</v>
      </c>
      <c r="C3167" s="6"/>
      <c r="D3167" s="6"/>
      <c r="E3167" s="14"/>
      <c r="F3167" s="25">
        <f>IF(HOUR(Table1[[#This Row],[CORREO]])&gt;=11,WORKDAY(Table1[[#This Row],[CORREO]],1,Table2[Dias no laborales]),E3167)</f>
        <v>0</v>
      </c>
      <c r="G3167" s="8"/>
      <c r="H3167" s="6">
        <f t="shared" si="175"/>
        <v>0</v>
      </c>
      <c r="I3167" s="6">
        <f>MAX(1, NETWORKDAYS(A3167, G3167,Table2[Dias no laborales]))</f>
        <v>1</v>
      </c>
      <c r="J3167" s="6" t="str">
        <f>IF(Table1[[#This Row],[FIN]]="","Acumulado",IF(ISNUMBER(SEARCH("ASAP",C3167)),"ASAP",IF(NETWORKDAYS.INTL(F3167,G3167,1,Table2[Dias no laborales]) &lt;= 7, "Dentro", IF(A3167&gt;F3167,"Programado","Fuera"))))</f>
        <v>Acumulado</v>
      </c>
      <c r="K3167" s="6" t="str">
        <f t="shared" si="176"/>
        <v>A tiempo</v>
      </c>
      <c r="L3167" s="8"/>
      <c r="M3167" s="17">
        <f>MAX(1,NETWORKDAYS(A3167,L3167,Table2[Dias no laborales]))</f>
        <v>1</v>
      </c>
    </row>
    <row r="3168" spans="1:13" x14ac:dyDescent="0.3">
      <c r="A3168" s="8"/>
      <c r="B3168" s="16" t="s">
        <v>5832</v>
      </c>
      <c r="C3168" s="6"/>
      <c r="D3168" s="6"/>
      <c r="E3168" s="14"/>
      <c r="F3168" s="25">
        <f>IF(HOUR(Table1[[#This Row],[CORREO]])&gt;=11,WORKDAY(Table1[[#This Row],[CORREO]],1,Table2[Dias no laborales]),E3168)</f>
        <v>0</v>
      </c>
      <c r="G3168" s="8"/>
      <c r="H3168" s="6">
        <f t="shared" si="175"/>
        <v>0</v>
      </c>
      <c r="I3168" s="6">
        <f>MAX(1, NETWORKDAYS(A3168, G3168,Table2[Dias no laborales]))</f>
        <v>1</v>
      </c>
      <c r="J3168" s="6" t="str">
        <f>IF(Table1[[#This Row],[FIN]]="","Acumulado",IF(ISNUMBER(SEARCH("ASAP",C3168)),"ASAP",IF(NETWORKDAYS.INTL(F3168,G3168,1,Table2[Dias no laborales]) &lt;= 7, "Dentro", IF(A3168&gt;F3168,"Programado","Fuera"))))</f>
        <v>Acumulado</v>
      </c>
      <c r="K3168" s="6" t="str">
        <f t="shared" si="176"/>
        <v>A tiempo</v>
      </c>
      <c r="L3168" s="8"/>
      <c r="M3168" s="17">
        <f>MAX(1,NETWORKDAYS(A3168,L3168,Table2[Dias no laborales]))</f>
        <v>1</v>
      </c>
    </row>
    <row r="3169" spans="1:13" x14ac:dyDescent="0.3">
      <c r="A3169" s="8"/>
      <c r="B3169" s="16" t="s">
        <v>5833</v>
      </c>
      <c r="C3169" s="6"/>
      <c r="D3169" s="6"/>
      <c r="E3169" s="14"/>
      <c r="F3169" s="25">
        <f>IF(HOUR(Table1[[#This Row],[CORREO]])&gt;=11,WORKDAY(Table1[[#This Row],[CORREO]],1,Table2[Dias no laborales]),E3169)</f>
        <v>0</v>
      </c>
      <c r="G3169" s="8"/>
      <c r="H3169" s="6">
        <f t="shared" si="175"/>
        <v>0</v>
      </c>
      <c r="I3169" s="6">
        <f>MAX(1, NETWORKDAYS(A3169, G3169,Table2[Dias no laborales]))</f>
        <v>1</v>
      </c>
      <c r="J3169" s="6" t="str">
        <f>IF(Table1[[#This Row],[FIN]]="","Acumulado",IF(ISNUMBER(SEARCH("ASAP",C3169)),"ASAP",IF(NETWORKDAYS.INTL(F3169,G3169,1,Table2[Dias no laborales]) &lt;= 7, "Dentro", IF(A3169&gt;F3169,"Programado","Fuera"))))</f>
        <v>Acumulado</v>
      </c>
      <c r="K3169" s="6" t="str">
        <f t="shared" si="176"/>
        <v>A tiempo</v>
      </c>
      <c r="L3169" s="8"/>
      <c r="M3169" s="17">
        <f>MAX(1,NETWORKDAYS(A3169,L3169,Table2[Dias no laborales]))</f>
        <v>1</v>
      </c>
    </row>
    <row r="3170" spans="1:13" x14ac:dyDescent="0.3">
      <c r="A3170" s="8"/>
      <c r="B3170" s="16" t="s">
        <v>5834</v>
      </c>
      <c r="C3170" s="6"/>
      <c r="D3170" s="6"/>
      <c r="E3170" s="14"/>
      <c r="F3170" s="25">
        <f>IF(HOUR(Table1[[#This Row],[CORREO]])&gt;=11,WORKDAY(Table1[[#This Row],[CORREO]],1,Table2[Dias no laborales]),E3170)</f>
        <v>0</v>
      </c>
      <c r="G3170" s="8"/>
      <c r="H3170" s="6">
        <f t="shared" si="175"/>
        <v>0</v>
      </c>
      <c r="I3170" s="6">
        <f>MAX(1, NETWORKDAYS(A3170, G3170,Table2[Dias no laborales]))</f>
        <v>1</v>
      </c>
      <c r="J3170" s="6" t="str">
        <f>IF(Table1[[#This Row],[FIN]]="","Acumulado",IF(ISNUMBER(SEARCH("ASAP",C3170)),"ASAP",IF(NETWORKDAYS.INTL(F3170,G3170,1,Table2[Dias no laborales]) &lt;= 7, "Dentro", IF(A3170&gt;F3170,"Programado","Fuera"))))</f>
        <v>Acumulado</v>
      </c>
      <c r="K3170" s="6" t="str">
        <f t="shared" si="176"/>
        <v>A tiempo</v>
      </c>
      <c r="L3170" s="8"/>
      <c r="M3170" s="17">
        <f>MAX(1,NETWORKDAYS(A3170,L3170,Table2[Dias no laborales]))</f>
        <v>1</v>
      </c>
    </row>
    <row r="3171" spans="1:13" x14ac:dyDescent="0.3">
      <c r="A3171" s="8"/>
      <c r="B3171" s="16" t="s">
        <v>5835</v>
      </c>
      <c r="C3171" s="6"/>
      <c r="D3171" s="6"/>
      <c r="E3171" s="14"/>
      <c r="F3171" s="25">
        <f>IF(HOUR(Table1[[#This Row],[CORREO]])&gt;=11,WORKDAY(Table1[[#This Row],[CORREO]],1,Table2[Dias no laborales]),E3171)</f>
        <v>0</v>
      </c>
      <c r="G3171" s="8"/>
      <c r="H3171" s="6">
        <f t="shared" si="175"/>
        <v>0</v>
      </c>
      <c r="I3171" s="6">
        <f>MAX(1, NETWORKDAYS(A3171, G3171,Table2[Dias no laborales]))</f>
        <v>1</v>
      </c>
      <c r="J3171" s="6" t="str">
        <f>IF(Table1[[#This Row],[FIN]]="","Acumulado",IF(ISNUMBER(SEARCH("ASAP",C3171)),"ASAP",IF(NETWORKDAYS.INTL(F3171,G3171,1,Table2[Dias no laborales]) &lt;= 7, "Dentro", IF(A3171&gt;F3171,"Programado","Fuera"))))</f>
        <v>Acumulado</v>
      </c>
      <c r="K3171" s="6" t="str">
        <f t="shared" si="176"/>
        <v>A tiempo</v>
      </c>
      <c r="L3171" s="8"/>
      <c r="M3171" s="17">
        <f>MAX(1,NETWORKDAYS(A3171,L3171,Table2[Dias no laborales]))</f>
        <v>1</v>
      </c>
    </row>
    <row r="3172" spans="1:13" x14ac:dyDescent="0.3">
      <c r="A3172" s="8"/>
      <c r="B3172" s="16" t="s">
        <v>5836</v>
      </c>
      <c r="C3172" s="6"/>
      <c r="D3172" s="6"/>
      <c r="E3172" s="14"/>
      <c r="F3172" s="25">
        <f>IF(HOUR(Table1[[#This Row],[CORREO]])&gt;=11,WORKDAY(Table1[[#This Row],[CORREO]],1,Table2[Dias no laborales]),E3172)</f>
        <v>0</v>
      </c>
      <c r="G3172" s="8"/>
      <c r="H3172" s="6">
        <f t="shared" si="175"/>
        <v>0</v>
      </c>
      <c r="I3172" s="6">
        <f>MAX(1, NETWORKDAYS(A3172, G3172,Table2[Dias no laborales]))</f>
        <v>1</v>
      </c>
      <c r="J3172" s="6" t="str">
        <f>IF(Table1[[#This Row],[FIN]]="","Acumulado",IF(ISNUMBER(SEARCH("ASAP",C3172)),"ASAP",IF(NETWORKDAYS.INTL(F3172,G3172,1,Table2[Dias no laborales]) &lt;= 7, "Dentro", IF(A3172&gt;F3172,"Programado","Fuera"))))</f>
        <v>Acumulado</v>
      </c>
      <c r="K3172" s="6" t="str">
        <f t="shared" si="176"/>
        <v>A tiempo</v>
      </c>
      <c r="L3172" s="8"/>
      <c r="M3172" s="17">
        <f>MAX(1,NETWORKDAYS(A3172,L3172,Table2[Dias no laborales]))</f>
        <v>1</v>
      </c>
    </row>
    <row r="3173" spans="1:13" x14ac:dyDescent="0.3">
      <c r="A3173" s="8"/>
      <c r="B3173" s="16" t="s">
        <v>5837</v>
      </c>
      <c r="C3173" s="6"/>
      <c r="D3173" s="6"/>
      <c r="E3173" s="14"/>
      <c r="F3173" s="25">
        <f>IF(HOUR(Table1[[#This Row],[CORREO]])&gt;=11,WORKDAY(Table1[[#This Row],[CORREO]],1,Table2[Dias no laborales]),E3173)</f>
        <v>0</v>
      </c>
      <c r="G3173" s="8"/>
      <c r="H3173" s="6">
        <f t="shared" si="175"/>
        <v>0</v>
      </c>
      <c r="I3173" s="6">
        <f>MAX(1, NETWORKDAYS(A3173, G3173,Table2[Dias no laborales]))</f>
        <v>1</v>
      </c>
      <c r="J3173" s="6" t="str">
        <f>IF(Table1[[#This Row],[FIN]]="","Acumulado",IF(ISNUMBER(SEARCH("ASAP",C3173)),"ASAP",IF(NETWORKDAYS.INTL(F3173,G3173,1,Table2[Dias no laborales]) &lt;= 7, "Dentro", IF(A3173&gt;F3173,"Programado","Fuera"))))</f>
        <v>Acumulado</v>
      </c>
      <c r="K3173" s="6" t="str">
        <f t="shared" si="176"/>
        <v>A tiempo</v>
      </c>
      <c r="L3173" s="8"/>
      <c r="M3173" s="17">
        <f>MAX(1,NETWORKDAYS(A3173,L3173,Table2[Dias no laborales]))</f>
        <v>1</v>
      </c>
    </row>
    <row r="3174" spans="1:13" x14ac:dyDescent="0.3">
      <c r="A3174" s="8"/>
      <c r="B3174" s="16" t="s">
        <v>5838</v>
      </c>
      <c r="C3174" s="6"/>
      <c r="D3174" s="6"/>
      <c r="E3174" s="14"/>
      <c r="F3174" s="25">
        <f>IF(HOUR(Table1[[#This Row],[CORREO]])&gt;=11,WORKDAY(Table1[[#This Row],[CORREO]],1,Table2[Dias no laborales]),E3174)</f>
        <v>0</v>
      </c>
      <c r="G3174" s="8"/>
      <c r="H3174" s="6">
        <f t="shared" si="175"/>
        <v>0</v>
      </c>
      <c r="I3174" s="6">
        <f>MAX(1, NETWORKDAYS(A3174, G3174,Table2[Dias no laborales]))</f>
        <v>1</v>
      </c>
      <c r="J3174" s="6" t="str">
        <f>IF(Table1[[#This Row],[FIN]]="","Acumulado",IF(ISNUMBER(SEARCH("ASAP",C3174)),"ASAP",IF(NETWORKDAYS.INTL(F3174,G3174,1,Table2[Dias no laborales]) &lt;= 7, "Dentro", IF(A3174&gt;F3174,"Programado","Fuera"))))</f>
        <v>Acumulado</v>
      </c>
      <c r="K3174" s="6" t="str">
        <f t="shared" si="176"/>
        <v>A tiempo</v>
      </c>
      <c r="L3174" s="8"/>
      <c r="M3174" s="17">
        <f>MAX(1,NETWORKDAYS(A3174,L3174,Table2[Dias no laborales]))</f>
        <v>1</v>
      </c>
    </row>
    <row r="3175" spans="1:13" x14ac:dyDescent="0.3">
      <c r="A3175" s="8"/>
      <c r="B3175" s="16" t="s">
        <v>5839</v>
      </c>
      <c r="C3175" s="6"/>
      <c r="D3175" s="6"/>
      <c r="E3175" s="14"/>
      <c r="F3175" s="25">
        <f>IF(HOUR(Table1[[#This Row],[CORREO]])&gt;=11,WORKDAY(Table1[[#This Row],[CORREO]],1,Table2[Dias no laborales]),E3175)</f>
        <v>0</v>
      </c>
      <c r="G3175" s="8"/>
      <c r="H3175" s="6">
        <f t="shared" si="175"/>
        <v>0</v>
      </c>
      <c r="I3175" s="6">
        <f>MAX(1, NETWORKDAYS(A3175, G3175,Table2[Dias no laborales]))</f>
        <v>1</v>
      </c>
      <c r="J3175" s="6" t="str">
        <f>IF(Table1[[#This Row],[FIN]]="","Acumulado",IF(ISNUMBER(SEARCH("ASAP",C3175)),"ASAP",IF(NETWORKDAYS.INTL(F3175,G3175,1,Table2[Dias no laborales]) &lt;= 7, "Dentro", IF(A3175&gt;F3175,"Programado","Fuera"))))</f>
        <v>Acumulado</v>
      </c>
      <c r="K3175" s="6" t="str">
        <f t="shared" si="176"/>
        <v>A tiempo</v>
      </c>
      <c r="L3175" s="8"/>
      <c r="M3175" s="17">
        <f>MAX(1,NETWORKDAYS(A3175,L3175,Table2[Dias no laborales]))</f>
        <v>1</v>
      </c>
    </row>
    <row r="3176" spans="1:13" x14ac:dyDescent="0.3">
      <c r="A3176" s="8"/>
      <c r="B3176" s="16" t="s">
        <v>5840</v>
      </c>
      <c r="C3176" s="6"/>
      <c r="D3176" s="6"/>
      <c r="E3176" s="14"/>
      <c r="F3176" s="25">
        <f>IF(HOUR(Table1[[#This Row],[CORREO]])&gt;=11,WORKDAY(Table1[[#This Row],[CORREO]],1,Table2[Dias no laborales]),E3176)</f>
        <v>0</v>
      </c>
      <c r="G3176" s="8"/>
      <c r="H3176" s="6">
        <f t="shared" si="175"/>
        <v>0</v>
      </c>
      <c r="I3176" s="6">
        <f>MAX(1, NETWORKDAYS(A3176, G3176,Table2[Dias no laborales]))</f>
        <v>1</v>
      </c>
      <c r="J3176" s="6" t="str">
        <f>IF(Table1[[#This Row],[FIN]]="","Acumulado",IF(ISNUMBER(SEARCH("ASAP",C3176)),"ASAP",IF(NETWORKDAYS.INTL(F3176,G3176,1,Table2[Dias no laborales]) &lt;= 7, "Dentro", IF(A3176&gt;F3176,"Programado","Fuera"))))</f>
        <v>Acumulado</v>
      </c>
      <c r="K3176" s="6" t="str">
        <f t="shared" si="176"/>
        <v>A tiempo</v>
      </c>
      <c r="L3176" s="8"/>
      <c r="M3176" s="17">
        <f>MAX(1,NETWORKDAYS(A3176,L3176,Table2[Dias no laborales]))</f>
        <v>1</v>
      </c>
    </row>
    <row r="3177" spans="1:13" x14ac:dyDescent="0.3">
      <c r="A3177" s="8"/>
      <c r="B3177" s="16" t="s">
        <v>5841</v>
      </c>
      <c r="C3177" s="6"/>
      <c r="D3177" s="6"/>
      <c r="E3177" s="14"/>
      <c r="F3177" s="25">
        <f>IF(HOUR(Table1[[#This Row],[CORREO]])&gt;=11,WORKDAY(Table1[[#This Row],[CORREO]],1,Table2[Dias no laborales]),E3177)</f>
        <v>0</v>
      </c>
      <c r="G3177" s="8"/>
      <c r="H3177" s="6">
        <f t="shared" si="175"/>
        <v>0</v>
      </c>
      <c r="I3177" s="6">
        <f>MAX(1, NETWORKDAYS(A3177, G3177,Table2[Dias no laborales]))</f>
        <v>1</v>
      </c>
      <c r="J3177" s="6" t="str">
        <f>IF(Table1[[#This Row],[FIN]]="","Acumulado",IF(ISNUMBER(SEARCH("ASAP",C3177)),"ASAP",IF(NETWORKDAYS.INTL(F3177,G3177,1,Table2[Dias no laborales]) &lt;= 7, "Dentro", IF(A3177&gt;F3177,"Programado","Fuera"))))</f>
        <v>Acumulado</v>
      </c>
      <c r="K3177" s="6" t="str">
        <f t="shared" si="176"/>
        <v>A tiempo</v>
      </c>
      <c r="L3177" s="8"/>
      <c r="M3177" s="17">
        <f>MAX(1,NETWORKDAYS(A3177,L3177,Table2[Dias no laborales]))</f>
        <v>1</v>
      </c>
    </row>
    <row r="3178" spans="1:13" x14ac:dyDescent="0.3">
      <c r="A3178" s="8"/>
      <c r="B3178" s="16" t="s">
        <v>5842</v>
      </c>
      <c r="C3178" s="6"/>
      <c r="D3178" s="6"/>
      <c r="E3178" s="14"/>
      <c r="F3178" s="25">
        <f>IF(HOUR(Table1[[#This Row],[CORREO]])&gt;=11,WORKDAY(Table1[[#This Row],[CORREO]],1,Table2[Dias no laborales]),E3178)</f>
        <v>0</v>
      </c>
      <c r="G3178" s="8"/>
      <c r="H3178" s="6">
        <f t="shared" si="175"/>
        <v>0</v>
      </c>
      <c r="I3178" s="6">
        <f>MAX(1, NETWORKDAYS(A3178, G3178,Table2[Dias no laborales]))</f>
        <v>1</v>
      </c>
      <c r="J3178" s="6" t="str">
        <f>IF(Table1[[#This Row],[FIN]]="","Acumulado",IF(ISNUMBER(SEARCH("ASAP",C3178)),"ASAP",IF(NETWORKDAYS.INTL(F3178,G3178,1,Table2[Dias no laborales]) &lt;= 7, "Dentro", IF(A3178&gt;F3178,"Programado","Fuera"))))</f>
        <v>Acumulado</v>
      </c>
      <c r="K3178" s="6" t="str">
        <f t="shared" si="176"/>
        <v>A tiempo</v>
      </c>
      <c r="L3178" s="8"/>
      <c r="M3178" s="17">
        <f>MAX(1,NETWORKDAYS(A3178,L3178,Table2[Dias no laborales]))</f>
        <v>1</v>
      </c>
    </row>
    <row r="3179" spans="1:13" x14ac:dyDescent="0.3">
      <c r="A3179" s="8"/>
      <c r="B3179" s="16" t="s">
        <v>5843</v>
      </c>
      <c r="C3179" s="6"/>
      <c r="D3179" s="6"/>
      <c r="E3179" s="14"/>
      <c r="F3179" s="25">
        <f>IF(HOUR(Table1[[#This Row],[CORREO]])&gt;=11,WORKDAY(Table1[[#This Row],[CORREO]],1,Table2[Dias no laborales]),E3179)</f>
        <v>0</v>
      </c>
      <c r="G3179" s="8"/>
      <c r="H3179" s="6">
        <f t="shared" si="175"/>
        <v>0</v>
      </c>
      <c r="I3179" s="6">
        <f>MAX(1, NETWORKDAYS(A3179, G3179,Table2[Dias no laborales]))</f>
        <v>1</v>
      </c>
      <c r="J3179" s="6" t="str">
        <f>IF(Table1[[#This Row],[FIN]]="","Acumulado",IF(ISNUMBER(SEARCH("ASAP",C3179)),"ASAP",IF(NETWORKDAYS.INTL(F3179,G3179,1,Table2[Dias no laborales]) &lt;= 7, "Dentro", IF(A3179&gt;F3179,"Programado","Fuera"))))</f>
        <v>Acumulado</v>
      </c>
      <c r="K3179" s="6" t="str">
        <f t="shared" si="176"/>
        <v>A tiempo</v>
      </c>
      <c r="L3179" s="8"/>
      <c r="M3179" s="17">
        <f>MAX(1,NETWORKDAYS(A3179,L3179,Table2[Dias no laborales]))</f>
        <v>1</v>
      </c>
    </row>
    <row r="3180" spans="1:13" x14ac:dyDescent="0.3">
      <c r="A3180" s="8"/>
      <c r="B3180" s="16" t="s">
        <v>5844</v>
      </c>
      <c r="C3180" s="6"/>
      <c r="D3180" s="6"/>
      <c r="E3180" s="14"/>
      <c r="F3180" s="25">
        <f>IF(HOUR(Table1[[#This Row],[CORREO]])&gt;=11,WORKDAY(Table1[[#This Row],[CORREO]],1,Table2[Dias no laborales]),E3180)</f>
        <v>0</v>
      </c>
      <c r="G3180" s="8"/>
      <c r="H3180" s="6">
        <f t="shared" si="175"/>
        <v>0</v>
      </c>
      <c r="I3180" s="6">
        <f>MAX(1, NETWORKDAYS(A3180, G3180,Table2[Dias no laborales]))</f>
        <v>1</v>
      </c>
      <c r="J3180" s="6" t="str">
        <f>IF(Table1[[#This Row],[FIN]]="","Acumulado",IF(ISNUMBER(SEARCH("ASAP",C3180)),"ASAP",IF(NETWORKDAYS.INTL(F3180,G3180,1,Table2[Dias no laborales]) &lt;= 7, "Dentro", IF(A3180&gt;F3180,"Programado","Fuera"))))</f>
        <v>Acumulado</v>
      </c>
      <c r="K3180" s="6" t="str">
        <f t="shared" si="176"/>
        <v>A tiempo</v>
      </c>
      <c r="L3180" s="8"/>
      <c r="M3180" s="17">
        <f>MAX(1,NETWORKDAYS(A3180,L3180,Table2[Dias no laborales]))</f>
        <v>1</v>
      </c>
    </row>
    <row r="3181" spans="1:13" x14ac:dyDescent="0.3">
      <c r="A3181" s="8"/>
      <c r="B3181" s="16" t="s">
        <v>5845</v>
      </c>
      <c r="C3181" s="6"/>
      <c r="D3181" s="6"/>
      <c r="E3181" s="14"/>
      <c r="F3181" s="25">
        <f>IF(HOUR(Table1[[#This Row],[CORREO]])&gt;=11,WORKDAY(Table1[[#This Row],[CORREO]],1,Table2[Dias no laborales]),E3181)</f>
        <v>0</v>
      </c>
      <c r="G3181" s="8"/>
      <c r="H3181" s="6">
        <f t="shared" si="175"/>
        <v>0</v>
      </c>
      <c r="I3181" s="6">
        <f>MAX(1, NETWORKDAYS(A3181, G3181,Table2[Dias no laborales]))</f>
        <v>1</v>
      </c>
      <c r="J3181" s="6" t="str">
        <f>IF(Table1[[#This Row],[FIN]]="","Acumulado",IF(ISNUMBER(SEARCH("ASAP",C3181)),"ASAP",IF(NETWORKDAYS.INTL(F3181,G3181,1,Table2[Dias no laborales]) &lt;= 7, "Dentro", IF(A3181&gt;F3181,"Programado","Fuera"))))</f>
        <v>Acumulado</v>
      </c>
      <c r="K3181" s="6" t="str">
        <f t="shared" si="176"/>
        <v>A tiempo</v>
      </c>
      <c r="L3181" s="8"/>
      <c r="M3181" s="17">
        <f>MAX(1,NETWORKDAYS(A3181,L3181,Table2[Dias no laborales]))</f>
        <v>1</v>
      </c>
    </row>
    <row r="3182" spans="1:13" x14ac:dyDescent="0.3">
      <c r="A3182" s="8"/>
      <c r="B3182" s="16" t="s">
        <v>5846</v>
      </c>
      <c r="C3182" s="6"/>
      <c r="D3182" s="6"/>
      <c r="E3182" s="14"/>
      <c r="F3182" s="25">
        <f>IF(HOUR(Table1[[#This Row],[CORREO]])&gt;=11,WORKDAY(Table1[[#This Row],[CORREO]],1,Table2[Dias no laborales]),E3182)</f>
        <v>0</v>
      </c>
      <c r="G3182" s="8"/>
      <c r="H3182" s="6">
        <f t="shared" si="175"/>
        <v>0</v>
      </c>
      <c r="I3182" s="6">
        <f>MAX(1, NETWORKDAYS(A3182, G3182,Table2[Dias no laborales]))</f>
        <v>1</v>
      </c>
      <c r="J3182" s="6" t="str">
        <f>IF(Table1[[#This Row],[FIN]]="","Acumulado",IF(ISNUMBER(SEARCH("ASAP",C3182)),"ASAP",IF(NETWORKDAYS.INTL(F3182,G3182,1,Table2[Dias no laborales]) &lt;= 7, "Dentro", IF(A3182&gt;F3182,"Programado","Fuera"))))</f>
        <v>Acumulado</v>
      </c>
      <c r="K3182" s="6" t="str">
        <f t="shared" si="176"/>
        <v>A tiempo</v>
      </c>
      <c r="L3182" s="8"/>
      <c r="M3182" s="17">
        <f>MAX(1,NETWORKDAYS(A3182,L3182,Table2[Dias no laborales]))</f>
        <v>1</v>
      </c>
    </row>
    <row r="3183" spans="1:13" x14ac:dyDescent="0.3">
      <c r="A3183" s="8"/>
      <c r="B3183" s="16" t="s">
        <v>5847</v>
      </c>
      <c r="C3183" s="6"/>
      <c r="D3183" s="6"/>
      <c r="E3183" s="14"/>
      <c r="F3183" s="25">
        <f>IF(HOUR(Table1[[#This Row],[CORREO]])&gt;=11,WORKDAY(Table1[[#This Row],[CORREO]],1,Table2[Dias no laborales]),E3183)</f>
        <v>0</v>
      </c>
      <c r="G3183" s="8"/>
      <c r="H3183" s="6">
        <f t="shared" si="175"/>
        <v>0</v>
      </c>
      <c r="I3183" s="6">
        <f>MAX(1, NETWORKDAYS(A3183, G3183,Table2[Dias no laborales]))</f>
        <v>1</v>
      </c>
      <c r="J3183" s="6" t="str">
        <f>IF(Table1[[#This Row],[FIN]]="","Acumulado",IF(ISNUMBER(SEARCH("ASAP",C3183)),"ASAP",IF(NETWORKDAYS.INTL(F3183,G3183,1,Table2[Dias no laborales]) &lt;= 7, "Dentro", IF(A3183&gt;F3183,"Programado","Fuera"))))</f>
        <v>Acumulado</v>
      </c>
      <c r="K3183" s="6" t="str">
        <f t="shared" si="176"/>
        <v>A tiempo</v>
      </c>
      <c r="L3183" s="8"/>
      <c r="M3183" s="17">
        <f>MAX(1,NETWORKDAYS(A3183,L3183,Table2[Dias no laborales]))</f>
        <v>1</v>
      </c>
    </row>
    <row r="3184" spans="1:13" x14ac:dyDescent="0.3">
      <c r="A3184" s="8"/>
      <c r="B3184" s="16" t="s">
        <v>5848</v>
      </c>
      <c r="C3184" s="6"/>
      <c r="D3184" s="6"/>
      <c r="E3184" s="14"/>
      <c r="F3184" s="25">
        <f>IF(HOUR(Table1[[#This Row],[CORREO]])&gt;=11,WORKDAY(Table1[[#This Row],[CORREO]],1,Table2[Dias no laborales]),E3184)</f>
        <v>0</v>
      </c>
      <c r="G3184" s="8"/>
      <c r="H3184" s="6">
        <f t="shared" si="175"/>
        <v>0</v>
      </c>
      <c r="I3184" s="6">
        <f>MAX(1, NETWORKDAYS(A3184, G3184,Table2[Dias no laborales]))</f>
        <v>1</v>
      </c>
      <c r="J3184" s="6" t="str">
        <f>IF(Table1[[#This Row],[FIN]]="","Acumulado",IF(ISNUMBER(SEARCH("ASAP",C3184)),"ASAP",IF(NETWORKDAYS.INTL(F3184,G3184,1,Table2[Dias no laborales]) &lt;= 7, "Dentro", IF(A3184&gt;F3184,"Programado","Fuera"))))</f>
        <v>Acumulado</v>
      </c>
      <c r="K3184" s="6" t="str">
        <f t="shared" si="176"/>
        <v>A tiempo</v>
      </c>
      <c r="L3184" s="8"/>
      <c r="M3184" s="17">
        <f>MAX(1,NETWORKDAYS(A3184,L3184,Table2[Dias no laborales]))</f>
        <v>1</v>
      </c>
    </row>
    <row r="3185" spans="1:13" x14ac:dyDescent="0.3">
      <c r="A3185" s="8"/>
      <c r="B3185" s="16" t="s">
        <v>5849</v>
      </c>
      <c r="C3185" s="6"/>
      <c r="D3185" s="6"/>
      <c r="E3185" s="14"/>
      <c r="F3185" s="25">
        <f>IF(HOUR(Table1[[#This Row],[CORREO]])&gt;=11,WORKDAY(Table1[[#This Row],[CORREO]],1,Table2[Dias no laborales]),E3185)</f>
        <v>0</v>
      </c>
      <c r="G3185" s="8"/>
      <c r="H3185" s="6">
        <f t="shared" si="175"/>
        <v>0</v>
      </c>
      <c r="I3185" s="6">
        <f>MAX(1, NETWORKDAYS(A3185, G3185,Table2[Dias no laborales]))</f>
        <v>1</v>
      </c>
      <c r="J3185" s="6" t="str">
        <f>IF(Table1[[#This Row],[FIN]]="","Acumulado",IF(ISNUMBER(SEARCH("ASAP",C3185)),"ASAP",IF(NETWORKDAYS.INTL(F3185,G3185,1,Table2[Dias no laborales]) &lt;= 7, "Dentro", IF(A3185&gt;F3185,"Programado","Fuera"))))</f>
        <v>Acumulado</v>
      </c>
      <c r="K3185" s="6" t="str">
        <f t="shared" si="176"/>
        <v>A tiempo</v>
      </c>
      <c r="L3185" s="8"/>
      <c r="M3185" s="17">
        <f>MAX(1,NETWORKDAYS(A3185,L3185,Table2[Dias no laborales]))</f>
        <v>1</v>
      </c>
    </row>
    <row r="3186" spans="1:13" x14ac:dyDescent="0.3">
      <c r="A3186" s="8"/>
      <c r="B3186" s="16" t="s">
        <v>5850</v>
      </c>
      <c r="C3186" s="6"/>
      <c r="D3186" s="6"/>
      <c r="E3186" s="14"/>
      <c r="F3186" s="25">
        <f>IF(HOUR(Table1[[#This Row],[CORREO]])&gt;=11,WORKDAY(Table1[[#This Row],[CORREO]],1,Table2[Dias no laborales]),E3186)</f>
        <v>0</v>
      </c>
      <c r="G3186" s="8"/>
      <c r="H3186" s="6">
        <f t="shared" si="175"/>
        <v>0</v>
      </c>
      <c r="I3186" s="6">
        <f>MAX(1, NETWORKDAYS(A3186, G3186,Table2[Dias no laborales]))</f>
        <v>1</v>
      </c>
      <c r="J3186" s="6" t="str">
        <f>IF(Table1[[#This Row],[FIN]]="","Acumulado",IF(ISNUMBER(SEARCH("ASAP",C3186)),"ASAP",IF(NETWORKDAYS.INTL(F3186,G3186,1,Table2[Dias no laborales]) &lt;= 7, "Dentro", IF(A3186&gt;F3186,"Programado","Fuera"))))</f>
        <v>Acumulado</v>
      </c>
      <c r="K3186" s="6" t="str">
        <f t="shared" si="176"/>
        <v>A tiempo</v>
      </c>
      <c r="L3186" s="8"/>
      <c r="M3186" s="17">
        <f>MAX(1,NETWORKDAYS(A3186,L3186,Table2[Dias no laborales]))</f>
        <v>1</v>
      </c>
    </row>
    <row r="3187" spans="1:13" x14ac:dyDescent="0.3">
      <c r="A3187" s="8"/>
      <c r="B3187" s="16" t="s">
        <v>5851</v>
      </c>
      <c r="C3187" s="6"/>
      <c r="D3187" s="6"/>
      <c r="E3187" s="14"/>
      <c r="F3187" s="25">
        <f>IF(HOUR(Table1[[#This Row],[CORREO]])&gt;=11,WORKDAY(Table1[[#This Row],[CORREO]],1,Table2[Dias no laborales]),E3187)</f>
        <v>0</v>
      </c>
      <c r="G3187" s="8"/>
      <c r="H3187" s="6">
        <f t="shared" si="175"/>
        <v>0</v>
      </c>
      <c r="I3187" s="6">
        <f>MAX(1, NETWORKDAYS(A3187, G3187,Table2[Dias no laborales]))</f>
        <v>1</v>
      </c>
      <c r="J3187" s="6" t="str">
        <f>IF(Table1[[#This Row],[FIN]]="","Acumulado",IF(ISNUMBER(SEARCH("ASAP",C3187)),"ASAP",IF(NETWORKDAYS.INTL(F3187,G3187,1,Table2[Dias no laborales]) &lt;= 7, "Dentro", IF(A3187&gt;F3187,"Programado","Fuera"))))</f>
        <v>Acumulado</v>
      </c>
      <c r="K3187" s="6" t="str">
        <f t="shared" si="176"/>
        <v>A tiempo</v>
      </c>
      <c r="L3187" s="8"/>
      <c r="M3187" s="17">
        <f>MAX(1,NETWORKDAYS(A3187,L3187,Table2[Dias no laborales]))</f>
        <v>1</v>
      </c>
    </row>
    <row r="3188" spans="1:13" x14ac:dyDescent="0.3">
      <c r="A3188" s="8"/>
      <c r="B3188" s="16" t="s">
        <v>5852</v>
      </c>
      <c r="C3188" s="6"/>
      <c r="D3188" s="6"/>
      <c r="E3188" s="14"/>
      <c r="F3188" s="25">
        <f>IF(HOUR(Table1[[#This Row],[CORREO]])&gt;=11,WORKDAY(Table1[[#This Row],[CORREO]],1,Table2[Dias no laborales]),E3188)</f>
        <v>0</v>
      </c>
      <c r="G3188" s="8"/>
      <c r="H3188" s="6">
        <f t="shared" si="175"/>
        <v>0</v>
      </c>
      <c r="I3188" s="6">
        <f>MAX(1, NETWORKDAYS(A3188, G3188,Table2[Dias no laborales]))</f>
        <v>1</v>
      </c>
      <c r="J3188" s="6" t="str">
        <f>IF(Table1[[#This Row],[FIN]]="","Acumulado",IF(ISNUMBER(SEARCH("ASAP",C3188)),"ASAP",IF(NETWORKDAYS.INTL(F3188,G3188,1,Table2[Dias no laborales]) &lt;= 7, "Dentro", IF(A3188&gt;F3188,"Programado","Fuera"))))</f>
        <v>Acumulado</v>
      </c>
      <c r="K3188" s="6" t="str">
        <f t="shared" si="176"/>
        <v>A tiempo</v>
      </c>
      <c r="L3188" s="8"/>
      <c r="M3188" s="17">
        <f>MAX(1,NETWORKDAYS(A3188,L3188,Table2[Dias no laborales]))</f>
        <v>1</v>
      </c>
    </row>
    <row r="3189" spans="1:13" x14ac:dyDescent="0.3">
      <c r="A3189" s="8"/>
      <c r="B3189" s="16" t="s">
        <v>5853</v>
      </c>
      <c r="C3189" s="6"/>
      <c r="D3189" s="6"/>
      <c r="E3189" s="14"/>
      <c r="F3189" s="25">
        <f>IF(HOUR(Table1[[#This Row],[CORREO]])&gt;=11,WORKDAY(Table1[[#This Row],[CORREO]],1,Table2[Dias no laborales]),E3189)</f>
        <v>0</v>
      </c>
      <c r="G3189" s="8"/>
      <c r="H3189" s="6">
        <f t="shared" si="175"/>
        <v>0</v>
      </c>
      <c r="I3189" s="6">
        <f>MAX(1, NETWORKDAYS(A3189, G3189,Table2[Dias no laborales]))</f>
        <v>1</v>
      </c>
      <c r="J3189" s="6" t="str">
        <f>IF(Table1[[#This Row],[FIN]]="","Acumulado",IF(ISNUMBER(SEARCH("ASAP",C3189)),"ASAP",IF(NETWORKDAYS.INTL(F3189,G3189,1,Table2[Dias no laborales]) &lt;= 7, "Dentro", IF(A3189&gt;F3189,"Programado","Fuera"))))</f>
        <v>Acumulado</v>
      </c>
      <c r="K3189" s="6" t="str">
        <f t="shared" si="176"/>
        <v>A tiempo</v>
      </c>
      <c r="L3189" s="8"/>
      <c r="M3189" s="17">
        <f>MAX(1,NETWORKDAYS(A3189,L3189,Table2[Dias no laborales]))</f>
        <v>1</v>
      </c>
    </row>
    <row r="3190" spans="1:13" x14ac:dyDescent="0.3">
      <c r="A3190" s="8"/>
      <c r="B3190" s="16" t="s">
        <v>5854</v>
      </c>
      <c r="C3190" s="6"/>
      <c r="D3190" s="6"/>
      <c r="E3190" s="14"/>
      <c r="F3190" s="25">
        <f>IF(HOUR(Table1[[#This Row],[CORREO]])&gt;=11,WORKDAY(Table1[[#This Row],[CORREO]],1,Table2[Dias no laborales]),E3190)</f>
        <v>0</v>
      </c>
      <c r="G3190" s="8"/>
      <c r="H3190" s="6">
        <f t="shared" si="175"/>
        <v>0</v>
      </c>
      <c r="I3190" s="6">
        <f>MAX(1, NETWORKDAYS(A3190, G3190,Table2[Dias no laborales]))</f>
        <v>1</v>
      </c>
      <c r="J3190" s="6" t="str">
        <f>IF(Table1[[#This Row],[FIN]]="","Acumulado",IF(ISNUMBER(SEARCH("ASAP",C3190)),"ASAP",IF(NETWORKDAYS.INTL(F3190,G3190,1,Table2[Dias no laborales]) &lt;= 7, "Dentro", IF(A3190&gt;F3190,"Programado","Fuera"))))</f>
        <v>Acumulado</v>
      </c>
      <c r="K3190" s="6" t="str">
        <f t="shared" si="176"/>
        <v>A tiempo</v>
      </c>
      <c r="L3190" s="8"/>
      <c r="M3190" s="17">
        <f>MAX(1,NETWORKDAYS(A3190,L3190,Table2[Dias no laborales]))</f>
        <v>1</v>
      </c>
    </row>
    <row r="3191" spans="1:13" x14ac:dyDescent="0.3">
      <c r="A3191" s="8"/>
      <c r="B3191" s="16" t="s">
        <v>5855</v>
      </c>
      <c r="C3191" s="6"/>
      <c r="D3191" s="6"/>
      <c r="E3191" s="14"/>
      <c r="F3191" s="25">
        <f>IF(HOUR(Table1[[#This Row],[CORREO]])&gt;=11,WORKDAY(Table1[[#This Row],[CORREO]],1,Table2[Dias no laborales]),E3191)</f>
        <v>0</v>
      </c>
      <c r="G3191" s="8"/>
      <c r="H3191" s="6">
        <f t="shared" si="175"/>
        <v>0</v>
      </c>
      <c r="I3191" s="6">
        <f>MAX(1, NETWORKDAYS(A3191, G3191,Table2[Dias no laborales]))</f>
        <v>1</v>
      </c>
      <c r="J3191" s="6" t="str">
        <f>IF(Table1[[#This Row],[FIN]]="","Acumulado",IF(ISNUMBER(SEARCH("ASAP",C3191)),"ASAP",IF(NETWORKDAYS.INTL(F3191,G3191,1,Table2[Dias no laborales]) &lt;= 7, "Dentro", IF(A3191&gt;F3191,"Programado","Fuera"))))</f>
        <v>Acumulado</v>
      </c>
      <c r="K3191" s="6" t="str">
        <f t="shared" si="176"/>
        <v>A tiempo</v>
      </c>
      <c r="L3191" s="8"/>
      <c r="M3191" s="17">
        <f>MAX(1,NETWORKDAYS(A3191,L3191,Table2[Dias no laborales]))</f>
        <v>1</v>
      </c>
    </row>
    <row r="3192" spans="1:13" x14ac:dyDescent="0.3">
      <c r="A3192" s="8"/>
      <c r="B3192" s="16" t="s">
        <v>5856</v>
      </c>
      <c r="C3192" s="6"/>
      <c r="D3192" s="6"/>
      <c r="E3192" s="14"/>
      <c r="F3192" s="25">
        <f>IF(HOUR(Table1[[#This Row],[CORREO]])&gt;=11,WORKDAY(Table1[[#This Row],[CORREO]],1,Table2[Dias no laborales]),E3192)</f>
        <v>0</v>
      </c>
      <c r="G3192" s="8"/>
      <c r="H3192" s="6">
        <f t="shared" si="175"/>
        <v>0</v>
      </c>
      <c r="I3192" s="6">
        <f>MAX(1, NETWORKDAYS(A3192, G3192,Table2[Dias no laborales]))</f>
        <v>1</v>
      </c>
      <c r="J3192" s="6" t="str">
        <f>IF(Table1[[#This Row],[FIN]]="","Acumulado",IF(ISNUMBER(SEARCH("ASAP",C3192)),"ASAP",IF(NETWORKDAYS.INTL(F3192,G3192,1,Table2[Dias no laborales]) &lt;= 7, "Dentro", IF(A3192&gt;F3192,"Programado","Fuera"))))</f>
        <v>Acumulado</v>
      </c>
      <c r="K3192" s="6" t="str">
        <f t="shared" si="176"/>
        <v>A tiempo</v>
      </c>
      <c r="L3192" s="8"/>
      <c r="M3192" s="17">
        <f>MAX(1,NETWORKDAYS(A3192,L3192,Table2[Dias no laborales]))</f>
        <v>1</v>
      </c>
    </row>
    <row r="3193" spans="1:13" x14ac:dyDescent="0.3">
      <c r="A3193" s="8"/>
      <c r="B3193" s="16" t="s">
        <v>5857</v>
      </c>
      <c r="C3193" s="6"/>
      <c r="D3193" s="6"/>
      <c r="E3193" s="14"/>
      <c r="F3193" s="25">
        <f>IF(HOUR(Table1[[#This Row],[CORREO]])&gt;=11,WORKDAY(Table1[[#This Row],[CORREO]],1,Table2[Dias no laborales]),E3193)</f>
        <v>0</v>
      </c>
      <c r="G3193" s="8"/>
      <c r="H3193" s="6">
        <f t="shared" ref="H3193:H3212" si="177">INT((A3193-DATE(YEAR(A3193),1,1))/7) + 1</f>
        <v>0</v>
      </c>
      <c r="I3193" s="6">
        <f>MAX(1, NETWORKDAYS(A3193, G3193,Table2[Dias no laborales]))</f>
        <v>1</v>
      </c>
      <c r="J3193" s="6" t="str">
        <f>IF(Table1[[#This Row],[FIN]]="","Acumulado",IF(ISNUMBER(SEARCH("ASAP",C3193)),"ASAP",IF(NETWORKDAYS.INTL(F3193,G3193,1,Table2[Dias no laborales]) &lt;= 7, "Dentro", IF(A3193&gt;F3193,"Programado","Fuera"))))</f>
        <v>Acumulado</v>
      </c>
      <c r="K3193" s="6" t="str">
        <f t="shared" ref="K3193:K3212" si="178">IF(INT(A3193)=INT(F3193),"A tiempo", IF(A3193&lt;F3193,"Mismo día","Programados"))</f>
        <v>A tiempo</v>
      </c>
      <c r="L3193" s="8"/>
      <c r="M3193" s="17">
        <f>MAX(1,NETWORKDAYS(A3193,L3193,Table2[Dias no laborales]))</f>
        <v>1</v>
      </c>
    </row>
    <row r="3194" spans="1:13" x14ac:dyDescent="0.3">
      <c r="A3194" s="8"/>
      <c r="B3194" s="16" t="s">
        <v>5858</v>
      </c>
      <c r="C3194" s="6"/>
      <c r="D3194" s="6"/>
      <c r="E3194" s="14"/>
      <c r="F3194" s="25">
        <f>IF(HOUR(Table1[[#This Row],[CORREO]])&gt;=11,WORKDAY(Table1[[#This Row],[CORREO]],1,Table2[Dias no laborales]),E3194)</f>
        <v>0</v>
      </c>
      <c r="G3194" s="8"/>
      <c r="H3194" s="6">
        <f t="shared" si="177"/>
        <v>0</v>
      </c>
      <c r="I3194" s="6">
        <f>MAX(1, NETWORKDAYS(A3194, G3194,Table2[Dias no laborales]))</f>
        <v>1</v>
      </c>
      <c r="J3194" s="6" t="str">
        <f>IF(Table1[[#This Row],[FIN]]="","Acumulado",IF(ISNUMBER(SEARCH("ASAP",C3194)),"ASAP",IF(NETWORKDAYS.INTL(F3194,G3194,1,Table2[Dias no laborales]) &lt;= 7, "Dentro", IF(A3194&gt;F3194,"Programado","Fuera"))))</f>
        <v>Acumulado</v>
      </c>
      <c r="K3194" s="6" t="str">
        <f t="shared" si="178"/>
        <v>A tiempo</v>
      </c>
      <c r="L3194" s="8"/>
      <c r="M3194" s="17">
        <f>MAX(1,NETWORKDAYS(A3194,L3194,Table2[Dias no laborales]))</f>
        <v>1</v>
      </c>
    </row>
    <row r="3195" spans="1:13" x14ac:dyDescent="0.3">
      <c r="A3195" s="8"/>
      <c r="B3195" s="16" t="s">
        <v>5859</v>
      </c>
      <c r="C3195" s="6"/>
      <c r="D3195" s="6"/>
      <c r="E3195" s="14"/>
      <c r="F3195" s="25">
        <f>IF(HOUR(Table1[[#This Row],[CORREO]])&gt;=11,WORKDAY(Table1[[#This Row],[CORREO]],1,Table2[Dias no laborales]),E3195)</f>
        <v>0</v>
      </c>
      <c r="G3195" s="8"/>
      <c r="H3195" s="6">
        <f t="shared" si="177"/>
        <v>0</v>
      </c>
      <c r="I3195" s="6">
        <f>MAX(1, NETWORKDAYS(A3195, G3195,Table2[Dias no laborales]))</f>
        <v>1</v>
      </c>
      <c r="J3195" s="6" t="str">
        <f>IF(Table1[[#This Row],[FIN]]="","Acumulado",IF(ISNUMBER(SEARCH("ASAP",C3195)),"ASAP",IF(NETWORKDAYS.INTL(F3195,G3195,1,Table2[Dias no laborales]) &lt;= 7, "Dentro", IF(A3195&gt;F3195,"Programado","Fuera"))))</f>
        <v>Acumulado</v>
      </c>
      <c r="K3195" s="6" t="str">
        <f t="shared" si="178"/>
        <v>A tiempo</v>
      </c>
      <c r="L3195" s="8"/>
      <c r="M3195" s="17">
        <f>MAX(1,NETWORKDAYS(A3195,L3195,Table2[Dias no laborales]))</f>
        <v>1</v>
      </c>
    </row>
    <row r="3196" spans="1:13" x14ac:dyDescent="0.3">
      <c r="A3196" s="8"/>
      <c r="B3196" s="16" t="s">
        <v>5860</v>
      </c>
      <c r="C3196" s="6"/>
      <c r="D3196" s="6"/>
      <c r="E3196" s="14"/>
      <c r="F3196" s="25">
        <f>IF(HOUR(Table1[[#This Row],[CORREO]])&gt;=11,WORKDAY(Table1[[#This Row],[CORREO]],1,Table2[Dias no laborales]),E3196)</f>
        <v>0</v>
      </c>
      <c r="G3196" s="8"/>
      <c r="H3196" s="6">
        <f t="shared" si="177"/>
        <v>0</v>
      </c>
      <c r="I3196" s="6">
        <f>MAX(1, NETWORKDAYS(A3196, G3196,Table2[Dias no laborales]))</f>
        <v>1</v>
      </c>
      <c r="J3196" s="6" t="str">
        <f>IF(Table1[[#This Row],[FIN]]="","Acumulado",IF(ISNUMBER(SEARCH("ASAP",C3196)),"ASAP",IF(NETWORKDAYS.INTL(F3196,G3196,1,Table2[Dias no laborales]) &lt;= 7, "Dentro", IF(A3196&gt;F3196,"Programado","Fuera"))))</f>
        <v>Acumulado</v>
      </c>
      <c r="K3196" s="6" t="str">
        <f t="shared" si="178"/>
        <v>A tiempo</v>
      </c>
      <c r="L3196" s="8"/>
      <c r="M3196" s="17">
        <f>MAX(1,NETWORKDAYS(A3196,L3196,Table2[Dias no laborales]))</f>
        <v>1</v>
      </c>
    </row>
    <row r="3197" spans="1:13" x14ac:dyDescent="0.3">
      <c r="A3197" s="8"/>
      <c r="B3197" s="16" t="s">
        <v>5861</v>
      </c>
      <c r="C3197" s="6"/>
      <c r="D3197" s="6"/>
      <c r="E3197" s="14"/>
      <c r="F3197" s="25">
        <f>IF(HOUR(Table1[[#This Row],[CORREO]])&gt;=11,WORKDAY(Table1[[#This Row],[CORREO]],1,Table2[Dias no laborales]),E3197)</f>
        <v>0</v>
      </c>
      <c r="G3197" s="8"/>
      <c r="H3197" s="6">
        <f t="shared" si="177"/>
        <v>0</v>
      </c>
      <c r="I3197" s="6">
        <f>MAX(1, NETWORKDAYS(A3197, G3197,Table2[Dias no laborales]))</f>
        <v>1</v>
      </c>
      <c r="J3197" s="6" t="str">
        <f>IF(Table1[[#This Row],[FIN]]="","Acumulado",IF(ISNUMBER(SEARCH("ASAP",C3197)),"ASAP",IF(NETWORKDAYS.INTL(F3197,G3197,1,Table2[Dias no laborales]) &lt;= 7, "Dentro", IF(A3197&gt;F3197,"Programado","Fuera"))))</f>
        <v>Acumulado</v>
      </c>
      <c r="K3197" s="6" t="str">
        <f t="shared" si="178"/>
        <v>A tiempo</v>
      </c>
      <c r="L3197" s="8"/>
      <c r="M3197" s="17">
        <f>MAX(1,NETWORKDAYS(A3197,L3197,Table2[Dias no laborales]))</f>
        <v>1</v>
      </c>
    </row>
    <row r="3198" spans="1:13" x14ac:dyDescent="0.3">
      <c r="A3198" s="8"/>
      <c r="B3198" s="16" t="s">
        <v>5862</v>
      </c>
      <c r="C3198" s="6"/>
      <c r="D3198" s="6"/>
      <c r="E3198" s="14"/>
      <c r="F3198" s="25">
        <f>IF(HOUR(Table1[[#This Row],[CORREO]])&gt;=11,WORKDAY(Table1[[#This Row],[CORREO]],1,Table2[Dias no laborales]),E3198)</f>
        <v>0</v>
      </c>
      <c r="G3198" s="8"/>
      <c r="H3198" s="6">
        <f t="shared" si="177"/>
        <v>0</v>
      </c>
      <c r="I3198" s="6">
        <f>MAX(1, NETWORKDAYS(A3198, G3198,Table2[Dias no laborales]))</f>
        <v>1</v>
      </c>
      <c r="J3198" s="6" t="str">
        <f>IF(Table1[[#This Row],[FIN]]="","Acumulado",IF(ISNUMBER(SEARCH("ASAP",C3198)),"ASAP",IF(NETWORKDAYS.INTL(F3198,G3198,1,Table2[Dias no laborales]) &lt;= 7, "Dentro", IF(A3198&gt;F3198,"Programado","Fuera"))))</f>
        <v>Acumulado</v>
      </c>
      <c r="K3198" s="6" t="str">
        <f t="shared" si="178"/>
        <v>A tiempo</v>
      </c>
      <c r="L3198" s="8"/>
      <c r="M3198" s="17">
        <f>MAX(1,NETWORKDAYS(A3198,L3198,Table2[Dias no laborales]))</f>
        <v>1</v>
      </c>
    </row>
    <row r="3199" spans="1:13" x14ac:dyDescent="0.3">
      <c r="A3199" s="8"/>
      <c r="B3199" s="16" t="s">
        <v>5863</v>
      </c>
      <c r="C3199" s="6"/>
      <c r="D3199" s="6"/>
      <c r="E3199" s="14"/>
      <c r="F3199" s="25">
        <f>IF(HOUR(Table1[[#This Row],[CORREO]])&gt;=11,WORKDAY(Table1[[#This Row],[CORREO]],1,Table2[Dias no laborales]),E3199)</f>
        <v>0</v>
      </c>
      <c r="G3199" s="8"/>
      <c r="H3199" s="6">
        <f t="shared" si="177"/>
        <v>0</v>
      </c>
      <c r="I3199" s="6">
        <f>MAX(1, NETWORKDAYS(A3199, G3199,Table2[Dias no laborales]))</f>
        <v>1</v>
      </c>
      <c r="J3199" s="6" t="str">
        <f>IF(Table1[[#This Row],[FIN]]="","Acumulado",IF(ISNUMBER(SEARCH("ASAP",C3199)),"ASAP",IF(NETWORKDAYS.INTL(F3199,G3199,1,Table2[Dias no laborales]) &lt;= 7, "Dentro", IF(A3199&gt;F3199,"Programado","Fuera"))))</f>
        <v>Acumulado</v>
      </c>
      <c r="K3199" s="6" t="str">
        <f t="shared" si="178"/>
        <v>A tiempo</v>
      </c>
      <c r="L3199" s="8"/>
      <c r="M3199" s="17">
        <f>MAX(1,NETWORKDAYS(A3199,L3199,Table2[Dias no laborales]))</f>
        <v>1</v>
      </c>
    </row>
    <row r="3200" spans="1:13" x14ac:dyDescent="0.3">
      <c r="A3200" s="8"/>
      <c r="B3200" s="16" t="s">
        <v>5864</v>
      </c>
      <c r="C3200" s="6"/>
      <c r="D3200" s="6"/>
      <c r="E3200" s="14"/>
      <c r="F3200" s="25">
        <f>IF(HOUR(Table1[[#This Row],[CORREO]])&gt;=11,WORKDAY(Table1[[#This Row],[CORREO]],1,Table2[Dias no laborales]),E3200)</f>
        <v>0</v>
      </c>
      <c r="G3200" s="8"/>
      <c r="H3200" s="6">
        <f t="shared" si="177"/>
        <v>0</v>
      </c>
      <c r="I3200" s="6">
        <f>MAX(1, NETWORKDAYS(A3200, G3200,Table2[Dias no laborales]))</f>
        <v>1</v>
      </c>
      <c r="J3200" s="6" t="str">
        <f>IF(Table1[[#This Row],[FIN]]="","Acumulado",IF(ISNUMBER(SEARCH("ASAP",C3200)),"ASAP",IF(NETWORKDAYS.INTL(F3200,G3200,1,Table2[Dias no laborales]) &lt;= 7, "Dentro", IF(A3200&gt;F3200,"Programado","Fuera"))))</f>
        <v>Acumulado</v>
      </c>
      <c r="K3200" s="6" t="str">
        <f t="shared" si="178"/>
        <v>A tiempo</v>
      </c>
      <c r="L3200" s="8"/>
      <c r="M3200" s="17">
        <f>MAX(1,NETWORKDAYS(A3200,L3200,Table2[Dias no laborales]))</f>
        <v>1</v>
      </c>
    </row>
    <row r="3201" spans="1:13" x14ac:dyDescent="0.3">
      <c r="A3201" s="8"/>
      <c r="B3201" s="16" t="s">
        <v>5865</v>
      </c>
      <c r="C3201" s="6"/>
      <c r="D3201" s="6"/>
      <c r="E3201" s="14"/>
      <c r="F3201" s="25">
        <f>IF(HOUR(Table1[[#This Row],[CORREO]])&gt;=11,WORKDAY(Table1[[#This Row],[CORREO]],1,Table2[Dias no laborales]),E3201)</f>
        <v>0</v>
      </c>
      <c r="G3201" s="8"/>
      <c r="H3201" s="6">
        <f t="shared" si="177"/>
        <v>0</v>
      </c>
      <c r="I3201" s="6">
        <f>MAX(1, NETWORKDAYS(A3201, G3201,Table2[Dias no laborales]))</f>
        <v>1</v>
      </c>
      <c r="J3201" s="6" t="str">
        <f>IF(Table1[[#This Row],[FIN]]="","Acumulado",IF(ISNUMBER(SEARCH("ASAP",C3201)),"ASAP",IF(NETWORKDAYS.INTL(F3201,G3201,1,Table2[Dias no laborales]) &lt;= 7, "Dentro", IF(A3201&gt;F3201,"Programado","Fuera"))))</f>
        <v>Acumulado</v>
      </c>
      <c r="K3201" s="6" t="str">
        <f t="shared" si="178"/>
        <v>A tiempo</v>
      </c>
      <c r="L3201" s="8"/>
      <c r="M3201" s="17">
        <f>MAX(1,NETWORKDAYS(A3201,L3201,Table2[Dias no laborales]))</f>
        <v>1</v>
      </c>
    </row>
    <row r="3202" spans="1:13" x14ac:dyDescent="0.3">
      <c r="A3202" s="8"/>
      <c r="B3202" s="16" t="s">
        <v>5866</v>
      </c>
      <c r="C3202" s="6"/>
      <c r="D3202" s="6"/>
      <c r="E3202" s="14"/>
      <c r="F3202" s="25">
        <f>IF(HOUR(Table1[[#This Row],[CORREO]])&gt;=11,WORKDAY(Table1[[#This Row],[CORREO]],1,Table2[Dias no laborales]),E3202)</f>
        <v>0</v>
      </c>
      <c r="G3202" s="8"/>
      <c r="H3202" s="6">
        <f t="shared" si="177"/>
        <v>0</v>
      </c>
      <c r="I3202" s="6">
        <f>MAX(1, NETWORKDAYS(A3202, G3202,Table2[Dias no laborales]))</f>
        <v>1</v>
      </c>
      <c r="J3202" s="6" t="str">
        <f>IF(Table1[[#This Row],[FIN]]="","Acumulado",IF(ISNUMBER(SEARCH("ASAP",C3202)),"ASAP",IF(NETWORKDAYS.INTL(F3202,G3202,1,Table2[Dias no laborales]) &lt;= 7, "Dentro", IF(A3202&gt;F3202,"Programado","Fuera"))))</f>
        <v>Acumulado</v>
      </c>
      <c r="K3202" s="6" t="str">
        <f t="shared" si="178"/>
        <v>A tiempo</v>
      </c>
      <c r="L3202" s="8"/>
      <c r="M3202" s="17">
        <f>MAX(1,NETWORKDAYS(A3202,L3202,Table2[Dias no laborales]))</f>
        <v>1</v>
      </c>
    </row>
    <row r="3203" spans="1:13" x14ac:dyDescent="0.3">
      <c r="A3203" s="8"/>
      <c r="B3203" s="16" t="s">
        <v>5867</v>
      </c>
      <c r="C3203" s="6"/>
      <c r="D3203" s="6"/>
      <c r="E3203" s="14"/>
      <c r="F3203" s="25">
        <f>IF(HOUR(Table1[[#This Row],[CORREO]])&gt;=11,WORKDAY(Table1[[#This Row],[CORREO]],1,Table2[Dias no laborales]),E3203)</f>
        <v>0</v>
      </c>
      <c r="G3203" s="8"/>
      <c r="H3203" s="6">
        <f t="shared" si="177"/>
        <v>0</v>
      </c>
      <c r="I3203" s="6">
        <f>MAX(1, NETWORKDAYS(A3203, G3203,Table2[Dias no laborales]))</f>
        <v>1</v>
      </c>
      <c r="J3203" s="6" t="str">
        <f>IF(Table1[[#This Row],[FIN]]="","Acumulado",IF(ISNUMBER(SEARCH("ASAP",C3203)),"ASAP",IF(NETWORKDAYS.INTL(F3203,G3203,1,Table2[Dias no laborales]) &lt;= 7, "Dentro", IF(A3203&gt;F3203,"Programado","Fuera"))))</f>
        <v>Acumulado</v>
      </c>
      <c r="K3203" s="6" t="str">
        <f t="shared" si="178"/>
        <v>A tiempo</v>
      </c>
      <c r="L3203" s="8"/>
      <c r="M3203" s="17">
        <f>MAX(1,NETWORKDAYS(A3203,L3203,Table2[Dias no laborales]))</f>
        <v>1</v>
      </c>
    </row>
    <row r="3204" spans="1:13" x14ac:dyDescent="0.3">
      <c r="A3204" s="8"/>
      <c r="B3204" s="16" t="s">
        <v>5868</v>
      </c>
      <c r="C3204" s="6"/>
      <c r="D3204" s="6"/>
      <c r="E3204" s="14"/>
      <c r="F3204" s="25">
        <f>IF(HOUR(Table1[[#This Row],[CORREO]])&gt;=11,WORKDAY(Table1[[#This Row],[CORREO]],1,Table2[Dias no laborales]),E3204)</f>
        <v>0</v>
      </c>
      <c r="G3204" s="8"/>
      <c r="H3204" s="6">
        <f t="shared" si="177"/>
        <v>0</v>
      </c>
      <c r="I3204" s="6">
        <f>MAX(1, NETWORKDAYS(A3204, G3204,Table2[Dias no laborales]))</f>
        <v>1</v>
      </c>
      <c r="J3204" s="6" t="str">
        <f>IF(Table1[[#This Row],[FIN]]="","Acumulado",IF(ISNUMBER(SEARCH("ASAP",C3204)),"ASAP",IF(NETWORKDAYS.INTL(F3204,G3204,1,Table2[Dias no laborales]) &lt;= 7, "Dentro", IF(A3204&gt;F3204,"Programado","Fuera"))))</f>
        <v>Acumulado</v>
      </c>
      <c r="K3204" s="6" t="str">
        <f t="shared" si="178"/>
        <v>A tiempo</v>
      </c>
      <c r="L3204" s="8"/>
      <c r="M3204" s="17">
        <f>MAX(1,NETWORKDAYS(A3204,L3204,Table2[Dias no laborales]))</f>
        <v>1</v>
      </c>
    </row>
    <row r="3205" spans="1:13" x14ac:dyDescent="0.3">
      <c r="A3205" s="8"/>
      <c r="B3205" s="16" t="s">
        <v>5869</v>
      </c>
      <c r="C3205" s="6"/>
      <c r="D3205" s="6"/>
      <c r="E3205" s="14"/>
      <c r="F3205" s="25">
        <f>IF(HOUR(Table1[[#This Row],[CORREO]])&gt;=11,WORKDAY(Table1[[#This Row],[CORREO]],1,Table2[Dias no laborales]),E3205)</f>
        <v>0</v>
      </c>
      <c r="G3205" s="8"/>
      <c r="H3205" s="6">
        <f t="shared" si="177"/>
        <v>0</v>
      </c>
      <c r="I3205" s="6">
        <f>MAX(1, NETWORKDAYS(A3205, G3205,Table2[Dias no laborales]))</f>
        <v>1</v>
      </c>
      <c r="J3205" s="6" t="str">
        <f>IF(Table1[[#This Row],[FIN]]="","Acumulado",IF(ISNUMBER(SEARCH("ASAP",C3205)),"ASAP",IF(NETWORKDAYS.INTL(F3205,G3205,1,Table2[Dias no laborales]) &lt;= 7, "Dentro", IF(A3205&gt;F3205,"Programado","Fuera"))))</f>
        <v>Acumulado</v>
      </c>
      <c r="K3205" s="6" t="str">
        <f t="shared" si="178"/>
        <v>A tiempo</v>
      </c>
      <c r="L3205" s="8"/>
      <c r="M3205" s="17">
        <f>MAX(1,NETWORKDAYS(A3205,L3205,Table2[Dias no laborales]))</f>
        <v>1</v>
      </c>
    </row>
    <row r="3206" spans="1:13" x14ac:dyDescent="0.3">
      <c r="A3206" s="8"/>
      <c r="B3206" s="16" t="s">
        <v>5870</v>
      </c>
      <c r="C3206" s="6"/>
      <c r="D3206" s="6"/>
      <c r="E3206" s="14"/>
      <c r="F3206" s="25">
        <f>IF(HOUR(Table1[[#This Row],[CORREO]])&gt;=11,WORKDAY(Table1[[#This Row],[CORREO]],1,Table2[Dias no laborales]),E3206)</f>
        <v>0</v>
      </c>
      <c r="G3206" s="8"/>
      <c r="H3206" s="6">
        <f t="shared" si="177"/>
        <v>0</v>
      </c>
      <c r="I3206" s="6">
        <f>MAX(1, NETWORKDAYS(A3206, G3206,Table2[Dias no laborales]))</f>
        <v>1</v>
      </c>
      <c r="J3206" s="6" t="str">
        <f>IF(Table1[[#This Row],[FIN]]="","Acumulado",IF(ISNUMBER(SEARCH("ASAP",C3206)),"ASAP",IF(NETWORKDAYS.INTL(F3206,G3206,1,Table2[Dias no laborales]) &lt;= 7, "Dentro", IF(A3206&gt;F3206,"Programado","Fuera"))))</f>
        <v>Acumulado</v>
      </c>
      <c r="K3206" s="6" t="str">
        <f t="shared" si="178"/>
        <v>A tiempo</v>
      </c>
      <c r="L3206" s="8"/>
      <c r="M3206" s="17">
        <f>MAX(1,NETWORKDAYS(A3206,L3206,Table2[Dias no laborales]))</f>
        <v>1</v>
      </c>
    </row>
    <row r="3207" spans="1:13" x14ac:dyDescent="0.3">
      <c r="A3207" s="8"/>
      <c r="B3207" s="16" t="s">
        <v>5871</v>
      </c>
      <c r="C3207" s="6"/>
      <c r="D3207" s="6"/>
      <c r="E3207" s="14"/>
      <c r="F3207" s="25">
        <f>IF(HOUR(Table1[[#This Row],[CORREO]])&gt;=11,WORKDAY(Table1[[#This Row],[CORREO]],1,Table2[Dias no laborales]),E3207)</f>
        <v>0</v>
      </c>
      <c r="G3207" s="8"/>
      <c r="H3207" s="6">
        <f t="shared" si="177"/>
        <v>0</v>
      </c>
      <c r="I3207" s="6">
        <f>MAX(1, NETWORKDAYS(A3207, G3207,Table2[Dias no laborales]))</f>
        <v>1</v>
      </c>
      <c r="J3207" s="6" t="str">
        <f>IF(Table1[[#This Row],[FIN]]="","Acumulado",IF(ISNUMBER(SEARCH("ASAP",C3207)),"ASAP",IF(NETWORKDAYS.INTL(F3207,G3207,1,Table2[Dias no laborales]) &lt;= 7, "Dentro", IF(A3207&gt;F3207,"Programado","Fuera"))))</f>
        <v>Acumulado</v>
      </c>
      <c r="K3207" s="6" t="str">
        <f t="shared" si="178"/>
        <v>A tiempo</v>
      </c>
      <c r="L3207" s="8"/>
      <c r="M3207" s="17">
        <f>MAX(1,NETWORKDAYS(A3207,L3207,Table2[Dias no laborales]))</f>
        <v>1</v>
      </c>
    </row>
    <row r="3208" spans="1:13" x14ac:dyDescent="0.3">
      <c r="A3208" s="8"/>
      <c r="B3208" s="16" t="s">
        <v>5872</v>
      </c>
      <c r="C3208" s="6"/>
      <c r="D3208" s="6"/>
      <c r="E3208" s="14"/>
      <c r="F3208" s="25">
        <f>IF(HOUR(Table1[[#This Row],[CORREO]])&gt;=11,WORKDAY(Table1[[#This Row],[CORREO]],1,Table2[Dias no laborales]),E3208)</f>
        <v>0</v>
      </c>
      <c r="G3208" s="8"/>
      <c r="H3208" s="6">
        <f t="shared" si="177"/>
        <v>0</v>
      </c>
      <c r="I3208" s="6">
        <f>MAX(1, NETWORKDAYS(A3208, G3208,Table2[Dias no laborales]))</f>
        <v>1</v>
      </c>
      <c r="J3208" s="6" t="str">
        <f>IF(Table1[[#This Row],[FIN]]="","Acumulado",IF(ISNUMBER(SEARCH("ASAP",C3208)),"ASAP",IF(NETWORKDAYS.INTL(F3208,G3208,1,Table2[Dias no laborales]) &lt;= 7, "Dentro", IF(A3208&gt;F3208,"Programado","Fuera"))))</f>
        <v>Acumulado</v>
      </c>
      <c r="K3208" s="6" t="str">
        <f t="shared" si="178"/>
        <v>A tiempo</v>
      </c>
      <c r="L3208" s="8"/>
      <c r="M3208" s="17">
        <f>MAX(1,NETWORKDAYS(A3208,L3208,Table2[Dias no laborales]))</f>
        <v>1</v>
      </c>
    </row>
    <row r="3209" spans="1:13" x14ac:dyDescent="0.3">
      <c r="A3209" s="8"/>
      <c r="B3209" s="16" t="s">
        <v>5873</v>
      </c>
      <c r="C3209" s="6"/>
      <c r="D3209" s="6"/>
      <c r="E3209" s="14"/>
      <c r="F3209" s="25">
        <f>IF(HOUR(Table1[[#This Row],[CORREO]])&gt;=11,WORKDAY(Table1[[#This Row],[CORREO]],1,Table2[Dias no laborales]),E3209)</f>
        <v>0</v>
      </c>
      <c r="G3209" s="8"/>
      <c r="H3209" s="6">
        <f t="shared" si="177"/>
        <v>0</v>
      </c>
      <c r="I3209" s="6">
        <f>MAX(1, NETWORKDAYS(A3209, G3209,Table2[Dias no laborales]))</f>
        <v>1</v>
      </c>
      <c r="J3209" s="6" t="str">
        <f>IF(Table1[[#This Row],[FIN]]="","Acumulado",IF(ISNUMBER(SEARCH("ASAP",C3209)),"ASAP",IF(NETWORKDAYS.INTL(F3209,G3209,1,Table2[Dias no laborales]) &lt;= 7, "Dentro", IF(A3209&gt;F3209,"Programado","Fuera"))))</f>
        <v>Acumulado</v>
      </c>
      <c r="K3209" s="6" t="str">
        <f t="shared" si="178"/>
        <v>A tiempo</v>
      </c>
      <c r="L3209" s="8"/>
      <c r="M3209" s="17">
        <f>MAX(1,NETWORKDAYS(A3209,L3209,Table2[Dias no laborales]))</f>
        <v>1</v>
      </c>
    </row>
    <row r="3210" spans="1:13" x14ac:dyDescent="0.3">
      <c r="A3210" s="8"/>
      <c r="B3210" s="16" t="s">
        <v>5874</v>
      </c>
      <c r="C3210" s="6"/>
      <c r="D3210" s="6"/>
      <c r="E3210" s="14"/>
      <c r="F3210" s="25">
        <f>IF(HOUR(Table1[[#This Row],[CORREO]])&gt;=11,WORKDAY(Table1[[#This Row],[CORREO]],1,Table2[Dias no laborales]),E3210)</f>
        <v>0</v>
      </c>
      <c r="G3210" s="8"/>
      <c r="H3210" s="6">
        <f t="shared" si="177"/>
        <v>0</v>
      </c>
      <c r="I3210" s="6">
        <f>MAX(1, NETWORKDAYS(A3210, G3210,Table2[Dias no laborales]))</f>
        <v>1</v>
      </c>
      <c r="J3210" s="6" t="str">
        <f>IF(Table1[[#This Row],[FIN]]="","Acumulado",IF(ISNUMBER(SEARCH("ASAP",C3210)),"ASAP",IF(NETWORKDAYS.INTL(F3210,G3210,1,Table2[Dias no laborales]) &lt;= 7, "Dentro", IF(A3210&gt;F3210,"Programado","Fuera"))))</f>
        <v>Acumulado</v>
      </c>
      <c r="K3210" s="6" t="str">
        <f t="shared" si="178"/>
        <v>A tiempo</v>
      </c>
      <c r="L3210" s="8"/>
      <c r="M3210" s="17">
        <f>MAX(1,NETWORKDAYS(A3210,L3210,Table2[Dias no laborales]))</f>
        <v>1</v>
      </c>
    </row>
    <row r="3211" spans="1:13" x14ac:dyDescent="0.3">
      <c r="A3211" s="8"/>
      <c r="B3211" s="16" t="s">
        <v>5875</v>
      </c>
      <c r="C3211" s="6"/>
      <c r="D3211" s="6"/>
      <c r="E3211" s="14"/>
      <c r="F3211" s="25">
        <f>IF(HOUR(Table1[[#This Row],[CORREO]])&gt;=11,WORKDAY(Table1[[#This Row],[CORREO]],1,Table2[Dias no laborales]),E3211)</f>
        <v>0</v>
      </c>
      <c r="G3211" s="8"/>
      <c r="H3211" s="6">
        <f t="shared" si="177"/>
        <v>0</v>
      </c>
      <c r="I3211" s="6">
        <f>MAX(1, NETWORKDAYS(A3211, G3211,Table2[Dias no laborales]))</f>
        <v>1</v>
      </c>
      <c r="J3211" s="6" t="str">
        <f>IF(Table1[[#This Row],[FIN]]="","Acumulado",IF(ISNUMBER(SEARCH("ASAP",C3211)),"ASAP",IF(NETWORKDAYS.INTL(F3211,G3211,1,Table2[Dias no laborales]) &lt;= 7, "Dentro", IF(A3211&gt;F3211,"Programado","Fuera"))))</f>
        <v>Acumulado</v>
      </c>
      <c r="K3211" s="6" t="str">
        <f t="shared" si="178"/>
        <v>A tiempo</v>
      </c>
      <c r="L3211" s="8"/>
      <c r="M3211" s="17">
        <f>MAX(1,NETWORKDAYS(A3211,L3211,Table2[Dias no laborales]))</f>
        <v>1</v>
      </c>
    </row>
    <row r="3212" spans="1:13" x14ac:dyDescent="0.3">
      <c r="A3212" s="8"/>
      <c r="B3212" s="16" t="s">
        <v>5876</v>
      </c>
      <c r="C3212" s="6"/>
      <c r="D3212" s="6"/>
      <c r="E3212" s="14"/>
      <c r="F3212" s="25">
        <f>IF(HOUR(Table1[[#This Row],[CORREO]])&gt;=11,WORKDAY(Table1[[#This Row],[CORREO]],1,Table2[Dias no laborales]),E3212)</f>
        <v>0</v>
      </c>
      <c r="G3212" s="8"/>
      <c r="H3212" s="6">
        <f t="shared" si="177"/>
        <v>0</v>
      </c>
      <c r="I3212" s="6">
        <f>MAX(1, NETWORKDAYS(A3212, G3212,Table2[Dias no laborales]))</f>
        <v>1</v>
      </c>
      <c r="J3212" s="6" t="str">
        <f>IF(Table1[[#This Row],[FIN]]="","Acumulado",IF(ISNUMBER(SEARCH("ASAP",C3212)),"ASAP",IF(NETWORKDAYS.INTL(F3212,G3212,1,Table2[Dias no laborales]) &lt;= 7, "Dentro", IF(A3212&gt;F3212,"Programado","Fuera"))))</f>
        <v>Acumulado</v>
      </c>
      <c r="K3212" s="6" t="str">
        <f t="shared" si="178"/>
        <v>A tiempo</v>
      </c>
      <c r="L3212" s="8"/>
      <c r="M3212" s="17">
        <f>MAX(1,NETWORKDAYS(A3212,L3212,Table2[Dias no laborales]))</f>
        <v>1</v>
      </c>
    </row>
    <row r="3213" spans="1:13" x14ac:dyDescent="0.3">
      <c r="A3213" s="8"/>
      <c r="B3213" s="16" t="s">
        <v>5920</v>
      </c>
      <c r="C3213" s="6"/>
      <c r="D3213" s="6"/>
      <c r="E3213" s="14"/>
      <c r="F3213" s="25">
        <f>IF(HOUR(Table1[[#This Row],[CORREO]])&gt;=11,WORKDAY(Table1[[#This Row],[CORREO]],1,Table2[Dias no laborales]),E3213)</f>
        <v>0</v>
      </c>
      <c r="G3213" s="8"/>
      <c r="H3213" s="6">
        <f t="shared" ref="H3213:H3244" si="179">INT((A3213-DATE(YEAR(A3213),1,1))/7) + 1</f>
        <v>0</v>
      </c>
      <c r="I3213" s="6">
        <f>MAX(1, NETWORKDAYS(A3213, G3213,Table2[Dias no laborales]))</f>
        <v>1</v>
      </c>
      <c r="J3213" s="6" t="str">
        <f>IF(Table1[[#This Row],[FIN]]="","Acumulado",IF(ISNUMBER(SEARCH("ASAP",C3213)),"ASAP",IF(NETWORKDAYS.INTL(F3213,G3213,1,Table2[Dias no laborales]) &lt;= 7, "Dentro", IF(A3213&gt;F3213,"Programado","Fuera"))))</f>
        <v>Acumulado</v>
      </c>
      <c r="K3213" s="6" t="str">
        <f t="shared" ref="K3213:K3244" si="180">IF(INT(A3213)=INT(F3213),"A tiempo", IF(A3213&lt;F3213,"Mismo día","Programados"))</f>
        <v>A tiempo</v>
      </c>
      <c r="L3213" s="8"/>
      <c r="M3213" s="17">
        <f>MAX(1,NETWORKDAYS(A3213,L3213,Table2[Dias no laborales]))</f>
        <v>1</v>
      </c>
    </row>
    <row r="3214" spans="1:13" x14ac:dyDescent="0.3">
      <c r="A3214" s="8"/>
      <c r="B3214" s="16" t="s">
        <v>5921</v>
      </c>
      <c r="C3214" s="6"/>
      <c r="D3214" s="6"/>
      <c r="E3214" s="14"/>
      <c r="F3214" s="25">
        <f>IF(HOUR(Table1[[#This Row],[CORREO]])&gt;=11,WORKDAY(Table1[[#This Row],[CORREO]],1,Table2[Dias no laborales]),E3214)</f>
        <v>0</v>
      </c>
      <c r="G3214" s="8"/>
      <c r="H3214" s="6">
        <f t="shared" si="179"/>
        <v>0</v>
      </c>
      <c r="I3214" s="6">
        <f>MAX(1, NETWORKDAYS(A3214, G3214,Table2[Dias no laborales]))</f>
        <v>1</v>
      </c>
      <c r="J3214" s="6" t="str">
        <f>IF(Table1[[#This Row],[FIN]]="","Acumulado",IF(ISNUMBER(SEARCH("ASAP",C3214)),"ASAP",IF(NETWORKDAYS.INTL(F3214,G3214,1,Table2[Dias no laborales]) &lt;= 7, "Dentro", IF(A3214&gt;F3214,"Programado","Fuera"))))</f>
        <v>Acumulado</v>
      </c>
      <c r="K3214" s="6" t="str">
        <f t="shared" si="180"/>
        <v>A tiempo</v>
      </c>
      <c r="L3214" s="8"/>
      <c r="M3214" s="17">
        <f>MAX(1,NETWORKDAYS(A3214,L3214,Table2[Dias no laborales]))</f>
        <v>1</v>
      </c>
    </row>
    <row r="3215" spans="1:13" x14ac:dyDescent="0.3">
      <c r="A3215" s="8"/>
      <c r="B3215" s="16" t="s">
        <v>5922</v>
      </c>
      <c r="C3215" s="6"/>
      <c r="D3215" s="6"/>
      <c r="E3215" s="14"/>
      <c r="F3215" s="25">
        <f>IF(HOUR(Table1[[#This Row],[CORREO]])&gt;=11,WORKDAY(Table1[[#This Row],[CORREO]],1,Table2[Dias no laborales]),E3215)</f>
        <v>0</v>
      </c>
      <c r="G3215" s="8"/>
      <c r="H3215" s="6">
        <f t="shared" si="179"/>
        <v>0</v>
      </c>
      <c r="I3215" s="6">
        <f>MAX(1, NETWORKDAYS(A3215, G3215,Table2[Dias no laborales]))</f>
        <v>1</v>
      </c>
      <c r="J3215" s="6" t="str">
        <f>IF(Table1[[#This Row],[FIN]]="","Acumulado",IF(ISNUMBER(SEARCH("ASAP",C3215)),"ASAP",IF(NETWORKDAYS.INTL(F3215,G3215,1,Table2[Dias no laborales]) &lt;= 7, "Dentro", IF(A3215&gt;F3215,"Programado","Fuera"))))</f>
        <v>Acumulado</v>
      </c>
      <c r="K3215" s="6" t="str">
        <f t="shared" si="180"/>
        <v>A tiempo</v>
      </c>
      <c r="L3215" s="8"/>
      <c r="M3215" s="17">
        <f>MAX(1,NETWORKDAYS(A3215,L3215,Table2[Dias no laborales]))</f>
        <v>1</v>
      </c>
    </row>
    <row r="3216" spans="1:13" x14ac:dyDescent="0.3">
      <c r="A3216" s="8"/>
      <c r="B3216" s="16" t="s">
        <v>5923</v>
      </c>
      <c r="C3216" s="6"/>
      <c r="D3216" s="6"/>
      <c r="E3216" s="14"/>
      <c r="F3216" s="25">
        <f>IF(HOUR(Table1[[#This Row],[CORREO]])&gt;=11,WORKDAY(Table1[[#This Row],[CORREO]],1,Table2[Dias no laborales]),E3216)</f>
        <v>0</v>
      </c>
      <c r="G3216" s="8"/>
      <c r="H3216" s="6">
        <f t="shared" si="179"/>
        <v>0</v>
      </c>
      <c r="I3216" s="6">
        <f>MAX(1, NETWORKDAYS(A3216, G3216,Table2[Dias no laborales]))</f>
        <v>1</v>
      </c>
      <c r="J3216" s="6" t="str">
        <f>IF(Table1[[#This Row],[FIN]]="","Acumulado",IF(ISNUMBER(SEARCH("ASAP",C3216)),"ASAP",IF(NETWORKDAYS.INTL(F3216,G3216,1,Table2[Dias no laborales]) &lt;= 7, "Dentro", IF(A3216&gt;F3216,"Programado","Fuera"))))</f>
        <v>Acumulado</v>
      </c>
      <c r="K3216" s="6" t="str">
        <f t="shared" si="180"/>
        <v>A tiempo</v>
      </c>
      <c r="L3216" s="8"/>
      <c r="M3216" s="17">
        <f>MAX(1,NETWORKDAYS(A3216,L3216,Table2[Dias no laborales]))</f>
        <v>1</v>
      </c>
    </row>
    <row r="3217" spans="1:13" x14ac:dyDescent="0.3">
      <c r="A3217" s="8"/>
      <c r="B3217" s="16" t="s">
        <v>5924</v>
      </c>
      <c r="C3217" s="6"/>
      <c r="D3217" s="6"/>
      <c r="E3217" s="14"/>
      <c r="F3217" s="25">
        <f>IF(HOUR(Table1[[#This Row],[CORREO]])&gt;=11,WORKDAY(Table1[[#This Row],[CORREO]],1,Table2[Dias no laborales]),E3217)</f>
        <v>0</v>
      </c>
      <c r="G3217" s="8"/>
      <c r="H3217" s="6">
        <f t="shared" si="179"/>
        <v>0</v>
      </c>
      <c r="I3217" s="6">
        <f>MAX(1, NETWORKDAYS(A3217, G3217,Table2[Dias no laborales]))</f>
        <v>1</v>
      </c>
      <c r="J3217" s="6" t="str">
        <f>IF(Table1[[#This Row],[FIN]]="","Acumulado",IF(ISNUMBER(SEARCH("ASAP",C3217)),"ASAP",IF(NETWORKDAYS.INTL(F3217,G3217,1,Table2[Dias no laborales]) &lt;= 7, "Dentro", IF(A3217&gt;F3217,"Programado","Fuera"))))</f>
        <v>Acumulado</v>
      </c>
      <c r="K3217" s="6" t="str">
        <f t="shared" si="180"/>
        <v>A tiempo</v>
      </c>
      <c r="L3217" s="8"/>
      <c r="M3217" s="17">
        <f>MAX(1,NETWORKDAYS(A3217,L3217,Table2[Dias no laborales]))</f>
        <v>1</v>
      </c>
    </row>
    <row r="3218" spans="1:13" x14ac:dyDescent="0.3">
      <c r="A3218" s="8"/>
      <c r="B3218" s="16" t="s">
        <v>5925</v>
      </c>
      <c r="C3218" s="6"/>
      <c r="D3218" s="6"/>
      <c r="E3218" s="14"/>
      <c r="F3218" s="25">
        <f>IF(HOUR(Table1[[#This Row],[CORREO]])&gt;=11,WORKDAY(Table1[[#This Row],[CORREO]],1,Table2[Dias no laborales]),E3218)</f>
        <v>0</v>
      </c>
      <c r="G3218" s="8"/>
      <c r="H3218" s="6">
        <f t="shared" si="179"/>
        <v>0</v>
      </c>
      <c r="I3218" s="6">
        <f>MAX(1, NETWORKDAYS(A3218, G3218,Table2[Dias no laborales]))</f>
        <v>1</v>
      </c>
      <c r="J3218" s="6" t="str">
        <f>IF(Table1[[#This Row],[FIN]]="","Acumulado",IF(ISNUMBER(SEARCH("ASAP",C3218)),"ASAP",IF(NETWORKDAYS.INTL(F3218,G3218,1,Table2[Dias no laborales]) &lt;= 7, "Dentro", IF(A3218&gt;F3218,"Programado","Fuera"))))</f>
        <v>Acumulado</v>
      </c>
      <c r="K3218" s="6" t="str">
        <f t="shared" si="180"/>
        <v>A tiempo</v>
      </c>
      <c r="L3218" s="8"/>
      <c r="M3218" s="17">
        <f>MAX(1,NETWORKDAYS(A3218,L3218,Table2[Dias no laborales]))</f>
        <v>1</v>
      </c>
    </row>
    <row r="3219" spans="1:13" x14ac:dyDescent="0.3">
      <c r="A3219" s="8"/>
      <c r="B3219" s="16" t="s">
        <v>5926</v>
      </c>
      <c r="C3219" s="6"/>
      <c r="D3219" s="6"/>
      <c r="E3219" s="14"/>
      <c r="F3219" s="25">
        <f>IF(HOUR(Table1[[#This Row],[CORREO]])&gt;=11,WORKDAY(Table1[[#This Row],[CORREO]],1,Table2[Dias no laborales]),E3219)</f>
        <v>0</v>
      </c>
      <c r="G3219" s="8"/>
      <c r="H3219" s="6">
        <f t="shared" si="179"/>
        <v>0</v>
      </c>
      <c r="I3219" s="6">
        <f>MAX(1, NETWORKDAYS(A3219, G3219,Table2[Dias no laborales]))</f>
        <v>1</v>
      </c>
      <c r="J3219" s="6" t="str">
        <f>IF(Table1[[#This Row],[FIN]]="","Acumulado",IF(ISNUMBER(SEARCH("ASAP",C3219)),"ASAP",IF(NETWORKDAYS.INTL(F3219,G3219,1,Table2[Dias no laborales]) &lt;= 7, "Dentro", IF(A3219&gt;F3219,"Programado","Fuera"))))</f>
        <v>Acumulado</v>
      </c>
      <c r="K3219" s="6" t="str">
        <f t="shared" si="180"/>
        <v>A tiempo</v>
      </c>
      <c r="L3219" s="8"/>
      <c r="M3219" s="17">
        <f>MAX(1,NETWORKDAYS(A3219,L3219,Table2[Dias no laborales]))</f>
        <v>1</v>
      </c>
    </row>
    <row r="3220" spans="1:13" x14ac:dyDescent="0.3">
      <c r="A3220" s="8"/>
      <c r="B3220" s="16" t="s">
        <v>5927</v>
      </c>
      <c r="C3220" s="6"/>
      <c r="D3220" s="6"/>
      <c r="E3220" s="14"/>
      <c r="F3220" s="25">
        <f>IF(HOUR(Table1[[#This Row],[CORREO]])&gt;=11,WORKDAY(Table1[[#This Row],[CORREO]],1,Table2[Dias no laborales]),E3220)</f>
        <v>0</v>
      </c>
      <c r="G3220" s="8"/>
      <c r="H3220" s="6">
        <f t="shared" si="179"/>
        <v>0</v>
      </c>
      <c r="I3220" s="6">
        <f>MAX(1, NETWORKDAYS(A3220, G3220,Table2[Dias no laborales]))</f>
        <v>1</v>
      </c>
      <c r="J3220" s="6" t="str">
        <f>IF(Table1[[#This Row],[FIN]]="","Acumulado",IF(ISNUMBER(SEARCH("ASAP",C3220)),"ASAP",IF(NETWORKDAYS.INTL(F3220,G3220,1,Table2[Dias no laborales]) &lt;= 7, "Dentro", IF(A3220&gt;F3220,"Programado","Fuera"))))</f>
        <v>Acumulado</v>
      </c>
      <c r="K3220" s="6" t="str">
        <f t="shared" si="180"/>
        <v>A tiempo</v>
      </c>
      <c r="L3220" s="8"/>
      <c r="M3220" s="17">
        <f>MAX(1,NETWORKDAYS(A3220,L3220,Table2[Dias no laborales]))</f>
        <v>1</v>
      </c>
    </row>
    <row r="3221" spans="1:13" x14ac:dyDescent="0.3">
      <c r="A3221" s="8"/>
      <c r="B3221" s="16" t="s">
        <v>5928</v>
      </c>
      <c r="C3221" s="6"/>
      <c r="D3221" s="6"/>
      <c r="E3221" s="14"/>
      <c r="F3221" s="25">
        <f>IF(HOUR(Table1[[#This Row],[CORREO]])&gt;=11,WORKDAY(Table1[[#This Row],[CORREO]],1,Table2[Dias no laborales]),E3221)</f>
        <v>0</v>
      </c>
      <c r="G3221" s="8"/>
      <c r="H3221" s="6">
        <f t="shared" si="179"/>
        <v>0</v>
      </c>
      <c r="I3221" s="6">
        <f>MAX(1, NETWORKDAYS(A3221, G3221,Table2[Dias no laborales]))</f>
        <v>1</v>
      </c>
      <c r="J3221" s="6" t="str">
        <f>IF(Table1[[#This Row],[FIN]]="","Acumulado",IF(ISNUMBER(SEARCH("ASAP",C3221)),"ASAP",IF(NETWORKDAYS.INTL(F3221,G3221,1,Table2[Dias no laborales]) &lt;= 7, "Dentro", IF(A3221&gt;F3221,"Programado","Fuera"))))</f>
        <v>Acumulado</v>
      </c>
      <c r="K3221" s="6" t="str">
        <f t="shared" si="180"/>
        <v>A tiempo</v>
      </c>
      <c r="L3221" s="8"/>
      <c r="M3221" s="17">
        <f>MAX(1,NETWORKDAYS(A3221,L3221,Table2[Dias no laborales]))</f>
        <v>1</v>
      </c>
    </row>
    <row r="3222" spans="1:13" x14ac:dyDescent="0.3">
      <c r="A3222" s="8"/>
      <c r="B3222" s="16" t="s">
        <v>5929</v>
      </c>
      <c r="C3222" s="6"/>
      <c r="D3222" s="6"/>
      <c r="E3222" s="14"/>
      <c r="F3222" s="25">
        <f>IF(HOUR(Table1[[#This Row],[CORREO]])&gt;=11,WORKDAY(Table1[[#This Row],[CORREO]],1,Table2[Dias no laborales]),E3222)</f>
        <v>0</v>
      </c>
      <c r="G3222" s="8"/>
      <c r="H3222" s="6">
        <f t="shared" si="179"/>
        <v>0</v>
      </c>
      <c r="I3222" s="6">
        <f>MAX(1, NETWORKDAYS(A3222, G3222,Table2[Dias no laborales]))</f>
        <v>1</v>
      </c>
      <c r="J3222" s="6" t="str">
        <f>IF(Table1[[#This Row],[FIN]]="","Acumulado",IF(ISNUMBER(SEARCH("ASAP",C3222)),"ASAP",IF(NETWORKDAYS.INTL(F3222,G3222,1,Table2[Dias no laborales]) &lt;= 7, "Dentro", IF(A3222&gt;F3222,"Programado","Fuera"))))</f>
        <v>Acumulado</v>
      </c>
      <c r="K3222" s="6" t="str">
        <f t="shared" si="180"/>
        <v>A tiempo</v>
      </c>
      <c r="L3222" s="8"/>
      <c r="M3222" s="17">
        <f>MAX(1,NETWORKDAYS(A3222,L3222,Table2[Dias no laborales]))</f>
        <v>1</v>
      </c>
    </row>
    <row r="3223" spans="1:13" x14ac:dyDescent="0.3">
      <c r="A3223" s="8"/>
      <c r="B3223" s="16" t="s">
        <v>5930</v>
      </c>
      <c r="C3223" s="6"/>
      <c r="D3223" s="6"/>
      <c r="E3223" s="14"/>
      <c r="F3223" s="25">
        <f>IF(HOUR(Table1[[#This Row],[CORREO]])&gt;=11,WORKDAY(Table1[[#This Row],[CORREO]],1,Table2[Dias no laborales]),E3223)</f>
        <v>0</v>
      </c>
      <c r="G3223" s="8"/>
      <c r="H3223" s="6">
        <f t="shared" si="179"/>
        <v>0</v>
      </c>
      <c r="I3223" s="6">
        <f>MAX(1, NETWORKDAYS(A3223, G3223,Table2[Dias no laborales]))</f>
        <v>1</v>
      </c>
      <c r="J3223" s="6" t="str">
        <f>IF(Table1[[#This Row],[FIN]]="","Acumulado",IF(ISNUMBER(SEARCH("ASAP",C3223)),"ASAP",IF(NETWORKDAYS.INTL(F3223,G3223,1,Table2[Dias no laborales]) &lt;= 7, "Dentro", IF(A3223&gt;F3223,"Programado","Fuera"))))</f>
        <v>Acumulado</v>
      </c>
      <c r="K3223" s="6" t="str">
        <f t="shared" si="180"/>
        <v>A tiempo</v>
      </c>
      <c r="L3223" s="8"/>
      <c r="M3223" s="17">
        <f>MAX(1,NETWORKDAYS(A3223,L3223,Table2[Dias no laborales]))</f>
        <v>1</v>
      </c>
    </row>
    <row r="3224" spans="1:13" x14ac:dyDescent="0.3">
      <c r="A3224" s="8"/>
      <c r="B3224" s="16" t="s">
        <v>5931</v>
      </c>
      <c r="C3224" s="6"/>
      <c r="D3224" s="6"/>
      <c r="E3224" s="14"/>
      <c r="F3224" s="25">
        <f>IF(HOUR(Table1[[#This Row],[CORREO]])&gt;=11,WORKDAY(Table1[[#This Row],[CORREO]],1,Table2[Dias no laborales]),E3224)</f>
        <v>0</v>
      </c>
      <c r="G3224" s="8"/>
      <c r="H3224" s="6">
        <f t="shared" si="179"/>
        <v>0</v>
      </c>
      <c r="I3224" s="6">
        <f>MAX(1, NETWORKDAYS(A3224, G3224,Table2[Dias no laborales]))</f>
        <v>1</v>
      </c>
      <c r="J3224" s="6" t="str">
        <f>IF(Table1[[#This Row],[FIN]]="","Acumulado",IF(ISNUMBER(SEARCH("ASAP",C3224)),"ASAP",IF(NETWORKDAYS.INTL(F3224,G3224,1,Table2[Dias no laborales]) &lt;= 7, "Dentro", IF(A3224&gt;F3224,"Programado","Fuera"))))</f>
        <v>Acumulado</v>
      </c>
      <c r="K3224" s="6" t="str">
        <f t="shared" si="180"/>
        <v>A tiempo</v>
      </c>
      <c r="L3224" s="8"/>
      <c r="M3224" s="17">
        <f>MAX(1,NETWORKDAYS(A3224,L3224,Table2[Dias no laborales]))</f>
        <v>1</v>
      </c>
    </row>
    <row r="3225" spans="1:13" x14ac:dyDescent="0.3">
      <c r="A3225" s="8"/>
      <c r="B3225" s="16" t="s">
        <v>5932</v>
      </c>
      <c r="C3225" s="6"/>
      <c r="D3225" s="6"/>
      <c r="E3225" s="14"/>
      <c r="F3225" s="25">
        <f>IF(HOUR(Table1[[#This Row],[CORREO]])&gt;=11,WORKDAY(Table1[[#This Row],[CORREO]],1,Table2[Dias no laborales]),E3225)</f>
        <v>0</v>
      </c>
      <c r="G3225" s="8"/>
      <c r="H3225" s="6">
        <f t="shared" si="179"/>
        <v>0</v>
      </c>
      <c r="I3225" s="6">
        <f>MAX(1, NETWORKDAYS(A3225, G3225,Table2[Dias no laborales]))</f>
        <v>1</v>
      </c>
      <c r="J3225" s="6" t="str">
        <f>IF(Table1[[#This Row],[FIN]]="","Acumulado",IF(ISNUMBER(SEARCH("ASAP",C3225)),"ASAP",IF(NETWORKDAYS.INTL(F3225,G3225,1,Table2[Dias no laborales]) &lt;= 7, "Dentro", IF(A3225&gt;F3225,"Programado","Fuera"))))</f>
        <v>Acumulado</v>
      </c>
      <c r="K3225" s="6" t="str">
        <f t="shared" si="180"/>
        <v>A tiempo</v>
      </c>
      <c r="L3225" s="8"/>
      <c r="M3225" s="17">
        <f>MAX(1,NETWORKDAYS(A3225,L3225,Table2[Dias no laborales]))</f>
        <v>1</v>
      </c>
    </row>
    <row r="3226" spans="1:13" x14ac:dyDescent="0.3">
      <c r="A3226" s="8"/>
      <c r="B3226" s="16" t="s">
        <v>5933</v>
      </c>
      <c r="C3226" s="6"/>
      <c r="D3226" s="6"/>
      <c r="E3226" s="14"/>
      <c r="F3226" s="25">
        <f>IF(HOUR(Table1[[#This Row],[CORREO]])&gt;=11,WORKDAY(Table1[[#This Row],[CORREO]],1,Table2[Dias no laborales]),E3226)</f>
        <v>0</v>
      </c>
      <c r="G3226" s="8"/>
      <c r="H3226" s="6">
        <f t="shared" si="179"/>
        <v>0</v>
      </c>
      <c r="I3226" s="6">
        <f>MAX(1, NETWORKDAYS(A3226, G3226,Table2[Dias no laborales]))</f>
        <v>1</v>
      </c>
      <c r="J3226" s="6" t="str">
        <f>IF(Table1[[#This Row],[FIN]]="","Acumulado",IF(ISNUMBER(SEARCH("ASAP",C3226)),"ASAP",IF(NETWORKDAYS.INTL(F3226,G3226,1,Table2[Dias no laborales]) &lt;= 7, "Dentro", IF(A3226&gt;F3226,"Programado","Fuera"))))</f>
        <v>Acumulado</v>
      </c>
      <c r="K3226" s="6" t="str">
        <f t="shared" si="180"/>
        <v>A tiempo</v>
      </c>
      <c r="L3226" s="8"/>
      <c r="M3226" s="17">
        <f>MAX(1,NETWORKDAYS(A3226,L3226,Table2[Dias no laborales]))</f>
        <v>1</v>
      </c>
    </row>
    <row r="3227" spans="1:13" x14ac:dyDescent="0.3">
      <c r="A3227" s="8"/>
      <c r="B3227" s="16" t="s">
        <v>5934</v>
      </c>
      <c r="C3227" s="6"/>
      <c r="D3227" s="6"/>
      <c r="E3227" s="14"/>
      <c r="F3227" s="25">
        <f>IF(HOUR(Table1[[#This Row],[CORREO]])&gt;=11,WORKDAY(Table1[[#This Row],[CORREO]],1,Table2[Dias no laborales]),E3227)</f>
        <v>0</v>
      </c>
      <c r="G3227" s="8"/>
      <c r="H3227" s="6">
        <f t="shared" si="179"/>
        <v>0</v>
      </c>
      <c r="I3227" s="6">
        <f>MAX(1, NETWORKDAYS(A3227, G3227,Table2[Dias no laborales]))</f>
        <v>1</v>
      </c>
      <c r="J3227" s="6" t="str">
        <f>IF(Table1[[#This Row],[FIN]]="","Acumulado",IF(ISNUMBER(SEARCH("ASAP",C3227)),"ASAP",IF(NETWORKDAYS.INTL(F3227,G3227,1,Table2[Dias no laborales]) &lt;= 7, "Dentro", IF(A3227&gt;F3227,"Programado","Fuera"))))</f>
        <v>Acumulado</v>
      </c>
      <c r="K3227" s="6" t="str">
        <f t="shared" si="180"/>
        <v>A tiempo</v>
      </c>
      <c r="L3227" s="8"/>
      <c r="M3227" s="17">
        <f>MAX(1,NETWORKDAYS(A3227,L3227,Table2[Dias no laborales]))</f>
        <v>1</v>
      </c>
    </row>
    <row r="3228" spans="1:13" x14ac:dyDescent="0.3">
      <c r="A3228" s="8"/>
      <c r="B3228" s="16" t="s">
        <v>5935</v>
      </c>
      <c r="C3228" s="6"/>
      <c r="D3228" s="6"/>
      <c r="E3228" s="14"/>
      <c r="F3228" s="25">
        <f>IF(HOUR(Table1[[#This Row],[CORREO]])&gt;=11,WORKDAY(Table1[[#This Row],[CORREO]],1,Table2[Dias no laborales]),E3228)</f>
        <v>0</v>
      </c>
      <c r="G3228" s="8"/>
      <c r="H3228" s="6">
        <f t="shared" si="179"/>
        <v>0</v>
      </c>
      <c r="I3228" s="6">
        <f>MAX(1, NETWORKDAYS(A3228, G3228,Table2[Dias no laborales]))</f>
        <v>1</v>
      </c>
      <c r="J3228" s="6" t="str">
        <f>IF(Table1[[#This Row],[FIN]]="","Acumulado",IF(ISNUMBER(SEARCH("ASAP",C3228)),"ASAP",IF(NETWORKDAYS.INTL(F3228,G3228,1,Table2[Dias no laborales]) &lt;= 7, "Dentro", IF(A3228&gt;F3228,"Programado","Fuera"))))</f>
        <v>Acumulado</v>
      </c>
      <c r="K3228" s="6" t="str">
        <f t="shared" si="180"/>
        <v>A tiempo</v>
      </c>
      <c r="L3228" s="8"/>
      <c r="M3228" s="17">
        <f>MAX(1,NETWORKDAYS(A3228,L3228,Table2[Dias no laborales]))</f>
        <v>1</v>
      </c>
    </row>
    <row r="3229" spans="1:13" x14ac:dyDescent="0.3">
      <c r="A3229" s="8"/>
      <c r="B3229" s="16" t="s">
        <v>5936</v>
      </c>
      <c r="C3229" s="6"/>
      <c r="D3229" s="6"/>
      <c r="E3229" s="14"/>
      <c r="F3229" s="25">
        <f>IF(HOUR(Table1[[#This Row],[CORREO]])&gt;=11,WORKDAY(Table1[[#This Row],[CORREO]],1,Table2[Dias no laborales]),E3229)</f>
        <v>0</v>
      </c>
      <c r="G3229" s="8"/>
      <c r="H3229" s="6">
        <f t="shared" si="179"/>
        <v>0</v>
      </c>
      <c r="I3229" s="6">
        <f>MAX(1, NETWORKDAYS(A3229, G3229,Table2[Dias no laborales]))</f>
        <v>1</v>
      </c>
      <c r="J3229" s="6" t="str">
        <f>IF(Table1[[#This Row],[FIN]]="","Acumulado",IF(ISNUMBER(SEARCH("ASAP",C3229)),"ASAP",IF(NETWORKDAYS.INTL(F3229,G3229,1,Table2[Dias no laborales]) &lt;= 7, "Dentro", IF(A3229&gt;F3229,"Programado","Fuera"))))</f>
        <v>Acumulado</v>
      </c>
      <c r="K3229" s="6" t="str">
        <f t="shared" si="180"/>
        <v>A tiempo</v>
      </c>
      <c r="L3229" s="8"/>
      <c r="M3229" s="17">
        <f>MAX(1,NETWORKDAYS(A3229,L3229,Table2[Dias no laborales]))</f>
        <v>1</v>
      </c>
    </row>
    <row r="3230" spans="1:13" x14ac:dyDescent="0.3">
      <c r="A3230" s="8"/>
      <c r="B3230" s="16" t="s">
        <v>5937</v>
      </c>
      <c r="C3230" s="6"/>
      <c r="D3230" s="6"/>
      <c r="E3230" s="14"/>
      <c r="F3230" s="25">
        <f>IF(HOUR(Table1[[#This Row],[CORREO]])&gt;=11,WORKDAY(Table1[[#This Row],[CORREO]],1,Table2[Dias no laborales]),E3230)</f>
        <v>0</v>
      </c>
      <c r="G3230" s="8"/>
      <c r="H3230" s="6">
        <f t="shared" si="179"/>
        <v>0</v>
      </c>
      <c r="I3230" s="6">
        <f>MAX(1, NETWORKDAYS(A3230, G3230,Table2[Dias no laborales]))</f>
        <v>1</v>
      </c>
      <c r="J3230" s="6" t="str">
        <f>IF(Table1[[#This Row],[FIN]]="","Acumulado",IF(ISNUMBER(SEARCH("ASAP",C3230)),"ASAP",IF(NETWORKDAYS.INTL(F3230,G3230,1,Table2[Dias no laborales]) &lt;= 7, "Dentro", IF(A3230&gt;F3230,"Programado","Fuera"))))</f>
        <v>Acumulado</v>
      </c>
      <c r="K3230" s="6" t="str">
        <f t="shared" si="180"/>
        <v>A tiempo</v>
      </c>
      <c r="L3230" s="8"/>
      <c r="M3230" s="17">
        <f>MAX(1,NETWORKDAYS(A3230,L3230,Table2[Dias no laborales]))</f>
        <v>1</v>
      </c>
    </row>
    <row r="3231" spans="1:13" x14ac:dyDescent="0.3">
      <c r="A3231" s="8"/>
      <c r="B3231" s="16" t="s">
        <v>5938</v>
      </c>
      <c r="C3231" s="6"/>
      <c r="D3231" s="6"/>
      <c r="E3231" s="14"/>
      <c r="F3231" s="25">
        <f>IF(HOUR(Table1[[#This Row],[CORREO]])&gt;=11,WORKDAY(Table1[[#This Row],[CORREO]],1,Table2[Dias no laborales]),E3231)</f>
        <v>0</v>
      </c>
      <c r="G3231" s="8"/>
      <c r="H3231" s="6">
        <f t="shared" si="179"/>
        <v>0</v>
      </c>
      <c r="I3231" s="6">
        <f>MAX(1, NETWORKDAYS(A3231, G3231,Table2[Dias no laborales]))</f>
        <v>1</v>
      </c>
      <c r="J3231" s="6" t="str">
        <f>IF(Table1[[#This Row],[FIN]]="","Acumulado",IF(ISNUMBER(SEARCH("ASAP",C3231)),"ASAP",IF(NETWORKDAYS.INTL(F3231,G3231,1,Table2[Dias no laborales]) &lt;= 7, "Dentro", IF(A3231&gt;F3231,"Programado","Fuera"))))</f>
        <v>Acumulado</v>
      </c>
      <c r="K3231" s="6" t="str">
        <f t="shared" si="180"/>
        <v>A tiempo</v>
      </c>
      <c r="L3231" s="8"/>
      <c r="M3231" s="17">
        <f>MAX(1,NETWORKDAYS(A3231,L3231,Table2[Dias no laborales]))</f>
        <v>1</v>
      </c>
    </row>
    <row r="3232" spans="1:13" x14ac:dyDescent="0.3">
      <c r="A3232" s="8"/>
      <c r="B3232" s="16" t="s">
        <v>5939</v>
      </c>
      <c r="C3232" s="6"/>
      <c r="D3232" s="6"/>
      <c r="E3232" s="14"/>
      <c r="F3232" s="25">
        <f>IF(HOUR(Table1[[#This Row],[CORREO]])&gt;=11,WORKDAY(Table1[[#This Row],[CORREO]],1,Table2[Dias no laborales]),E3232)</f>
        <v>0</v>
      </c>
      <c r="G3232" s="8"/>
      <c r="H3232" s="6">
        <f t="shared" si="179"/>
        <v>0</v>
      </c>
      <c r="I3232" s="6">
        <f>MAX(1, NETWORKDAYS(A3232, G3232,Table2[Dias no laborales]))</f>
        <v>1</v>
      </c>
      <c r="J3232" s="6" t="str">
        <f>IF(Table1[[#This Row],[FIN]]="","Acumulado",IF(ISNUMBER(SEARCH("ASAP",C3232)),"ASAP",IF(NETWORKDAYS.INTL(F3232,G3232,1,Table2[Dias no laborales]) &lt;= 7, "Dentro", IF(A3232&gt;F3232,"Programado","Fuera"))))</f>
        <v>Acumulado</v>
      </c>
      <c r="K3232" s="6" t="str">
        <f t="shared" si="180"/>
        <v>A tiempo</v>
      </c>
      <c r="L3232" s="8"/>
      <c r="M3232" s="17">
        <f>MAX(1,NETWORKDAYS(A3232,L3232,Table2[Dias no laborales]))</f>
        <v>1</v>
      </c>
    </row>
    <row r="3233" spans="1:13" x14ac:dyDescent="0.3">
      <c r="A3233" s="8"/>
      <c r="B3233" s="16" t="s">
        <v>5940</v>
      </c>
      <c r="C3233" s="6"/>
      <c r="D3233" s="6"/>
      <c r="E3233" s="14"/>
      <c r="F3233" s="25">
        <f>IF(HOUR(Table1[[#This Row],[CORREO]])&gt;=11,WORKDAY(Table1[[#This Row],[CORREO]],1,Table2[Dias no laborales]),E3233)</f>
        <v>0</v>
      </c>
      <c r="G3233" s="8"/>
      <c r="H3233" s="6">
        <f t="shared" si="179"/>
        <v>0</v>
      </c>
      <c r="I3233" s="6">
        <f>MAX(1, NETWORKDAYS(A3233, G3233,Table2[Dias no laborales]))</f>
        <v>1</v>
      </c>
      <c r="J3233" s="6" t="str">
        <f>IF(Table1[[#This Row],[FIN]]="","Acumulado",IF(ISNUMBER(SEARCH("ASAP",C3233)),"ASAP",IF(NETWORKDAYS.INTL(F3233,G3233,1,Table2[Dias no laborales]) &lt;= 7, "Dentro", IF(A3233&gt;F3233,"Programado","Fuera"))))</f>
        <v>Acumulado</v>
      </c>
      <c r="K3233" s="6" t="str">
        <f t="shared" si="180"/>
        <v>A tiempo</v>
      </c>
      <c r="L3233" s="8"/>
      <c r="M3233" s="17">
        <f>MAX(1,NETWORKDAYS(A3233,L3233,Table2[Dias no laborales]))</f>
        <v>1</v>
      </c>
    </row>
    <row r="3234" spans="1:13" x14ac:dyDescent="0.3">
      <c r="A3234" s="8"/>
      <c r="B3234" s="16" t="s">
        <v>5941</v>
      </c>
      <c r="C3234" s="6"/>
      <c r="D3234" s="6"/>
      <c r="E3234" s="14"/>
      <c r="F3234" s="25">
        <f>IF(HOUR(Table1[[#This Row],[CORREO]])&gt;=11,WORKDAY(Table1[[#This Row],[CORREO]],1,Table2[Dias no laborales]),E3234)</f>
        <v>0</v>
      </c>
      <c r="G3234" s="8"/>
      <c r="H3234" s="6">
        <f t="shared" si="179"/>
        <v>0</v>
      </c>
      <c r="I3234" s="6">
        <f>MAX(1, NETWORKDAYS(A3234, G3234,Table2[Dias no laborales]))</f>
        <v>1</v>
      </c>
      <c r="J3234" s="6" t="str">
        <f>IF(Table1[[#This Row],[FIN]]="","Acumulado",IF(ISNUMBER(SEARCH("ASAP",C3234)),"ASAP",IF(NETWORKDAYS.INTL(F3234,G3234,1,Table2[Dias no laborales]) &lt;= 7, "Dentro", IF(A3234&gt;F3234,"Programado","Fuera"))))</f>
        <v>Acumulado</v>
      </c>
      <c r="K3234" s="6" t="str">
        <f t="shared" si="180"/>
        <v>A tiempo</v>
      </c>
      <c r="L3234" s="8"/>
      <c r="M3234" s="17">
        <f>MAX(1,NETWORKDAYS(A3234,L3234,Table2[Dias no laborales]))</f>
        <v>1</v>
      </c>
    </row>
    <row r="3235" spans="1:13" x14ac:dyDescent="0.3">
      <c r="A3235" s="8"/>
      <c r="B3235" s="16" t="s">
        <v>5942</v>
      </c>
      <c r="C3235" s="6"/>
      <c r="D3235" s="6"/>
      <c r="E3235" s="14"/>
      <c r="F3235" s="25">
        <f>IF(HOUR(Table1[[#This Row],[CORREO]])&gt;=11,WORKDAY(Table1[[#This Row],[CORREO]],1,Table2[Dias no laborales]),E3235)</f>
        <v>0</v>
      </c>
      <c r="G3235" s="8"/>
      <c r="H3235" s="6">
        <f t="shared" si="179"/>
        <v>0</v>
      </c>
      <c r="I3235" s="6">
        <f>MAX(1, NETWORKDAYS(A3235, G3235,Table2[Dias no laborales]))</f>
        <v>1</v>
      </c>
      <c r="J3235" s="6" t="str">
        <f>IF(Table1[[#This Row],[FIN]]="","Acumulado",IF(ISNUMBER(SEARCH("ASAP",C3235)),"ASAP",IF(NETWORKDAYS.INTL(F3235,G3235,1,Table2[Dias no laborales]) &lt;= 7, "Dentro", IF(A3235&gt;F3235,"Programado","Fuera"))))</f>
        <v>Acumulado</v>
      </c>
      <c r="K3235" s="6" t="str">
        <f t="shared" si="180"/>
        <v>A tiempo</v>
      </c>
      <c r="L3235" s="8"/>
      <c r="M3235" s="17">
        <f>MAX(1,NETWORKDAYS(A3235,L3235,Table2[Dias no laborales]))</f>
        <v>1</v>
      </c>
    </row>
    <row r="3236" spans="1:13" x14ac:dyDescent="0.3">
      <c r="A3236" s="8"/>
      <c r="B3236" s="16" t="s">
        <v>5943</v>
      </c>
      <c r="C3236" s="6"/>
      <c r="D3236" s="6"/>
      <c r="E3236" s="14"/>
      <c r="F3236" s="25">
        <f>IF(HOUR(Table1[[#This Row],[CORREO]])&gt;=11,WORKDAY(Table1[[#This Row],[CORREO]],1,Table2[Dias no laborales]),E3236)</f>
        <v>0</v>
      </c>
      <c r="G3236" s="8"/>
      <c r="H3236" s="6">
        <f t="shared" si="179"/>
        <v>0</v>
      </c>
      <c r="I3236" s="6">
        <f>MAX(1, NETWORKDAYS(A3236, G3236,Table2[Dias no laborales]))</f>
        <v>1</v>
      </c>
      <c r="J3236" s="6" t="str">
        <f>IF(Table1[[#This Row],[FIN]]="","Acumulado",IF(ISNUMBER(SEARCH("ASAP",C3236)),"ASAP",IF(NETWORKDAYS.INTL(F3236,G3236,1,Table2[Dias no laborales]) &lt;= 7, "Dentro", IF(A3236&gt;F3236,"Programado","Fuera"))))</f>
        <v>Acumulado</v>
      </c>
      <c r="K3236" s="6" t="str">
        <f t="shared" si="180"/>
        <v>A tiempo</v>
      </c>
      <c r="L3236" s="8"/>
      <c r="M3236" s="17">
        <f>MAX(1,NETWORKDAYS(A3236,L3236,Table2[Dias no laborales]))</f>
        <v>1</v>
      </c>
    </row>
    <row r="3237" spans="1:13" x14ac:dyDescent="0.3">
      <c r="A3237" s="8"/>
      <c r="B3237" s="16" t="s">
        <v>5944</v>
      </c>
      <c r="C3237" s="6"/>
      <c r="D3237" s="6"/>
      <c r="E3237" s="14"/>
      <c r="F3237" s="25">
        <f>IF(HOUR(Table1[[#This Row],[CORREO]])&gt;=11,WORKDAY(Table1[[#This Row],[CORREO]],1,Table2[Dias no laborales]),E3237)</f>
        <v>0</v>
      </c>
      <c r="G3237" s="8"/>
      <c r="H3237" s="6">
        <f t="shared" si="179"/>
        <v>0</v>
      </c>
      <c r="I3237" s="6">
        <f>MAX(1, NETWORKDAYS(A3237, G3237,Table2[Dias no laborales]))</f>
        <v>1</v>
      </c>
      <c r="J3237" s="6" t="str">
        <f>IF(Table1[[#This Row],[FIN]]="","Acumulado",IF(ISNUMBER(SEARCH("ASAP",C3237)),"ASAP",IF(NETWORKDAYS.INTL(F3237,G3237,1,Table2[Dias no laborales]) &lt;= 7, "Dentro", IF(A3237&gt;F3237,"Programado","Fuera"))))</f>
        <v>Acumulado</v>
      </c>
      <c r="K3237" s="6" t="str">
        <f t="shared" si="180"/>
        <v>A tiempo</v>
      </c>
      <c r="L3237" s="8"/>
      <c r="M3237" s="17">
        <f>MAX(1,NETWORKDAYS(A3237,L3237,Table2[Dias no laborales]))</f>
        <v>1</v>
      </c>
    </row>
    <row r="3238" spans="1:13" x14ac:dyDescent="0.3">
      <c r="A3238" s="8"/>
      <c r="B3238" s="16" t="s">
        <v>5945</v>
      </c>
      <c r="C3238" s="6"/>
      <c r="D3238" s="6"/>
      <c r="E3238" s="14"/>
      <c r="F3238" s="25">
        <f>IF(HOUR(Table1[[#This Row],[CORREO]])&gt;=11,WORKDAY(Table1[[#This Row],[CORREO]],1,Table2[Dias no laborales]),E3238)</f>
        <v>0</v>
      </c>
      <c r="G3238" s="8"/>
      <c r="H3238" s="6">
        <f t="shared" si="179"/>
        <v>0</v>
      </c>
      <c r="I3238" s="6">
        <f>MAX(1, NETWORKDAYS(A3238, G3238,Table2[Dias no laborales]))</f>
        <v>1</v>
      </c>
      <c r="J3238" s="6" t="str">
        <f>IF(Table1[[#This Row],[FIN]]="","Acumulado",IF(ISNUMBER(SEARCH("ASAP",C3238)),"ASAP",IF(NETWORKDAYS.INTL(F3238,G3238,1,Table2[Dias no laborales]) &lt;= 7, "Dentro", IF(A3238&gt;F3238,"Programado","Fuera"))))</f>
        <v>Acumulado</v>
      </c>
      <c r="K3238" s="6" t="str">
        <f t="shared" si="180"/>
        <v>A tiempo</v>
      </c>
      <c r="L3238" s="8"/>
      <c r="M3238" s="17">
        <f>MAX(1,NETWORKDAYS(A3238,L3238,Table2[Dias no laborales]))</f>
        <v>1</v>
      </c>
    </row>
    <row r="3239" spans="1:13" x14ac:dyDescent="0.3">
      <c r="A3239" s="8"/>
      <c r="B3239" s="16" t="s">
        <v>5946</v>
      </c>
      <c r="C3239" s="6"/>
      <c r="D3239" s="6"/>
      <c r="E3239" s="14"/>
      <c r="F3239" s="25">
        <f>IF(HOUR(Table1[[#This Row],[CORREO]])&gt;=11,WORKDAY(Table1[[#This Row],[CORREO]],1,Table2[Dias no laborales]),E3239)</f>
        <v>0</v>
      </c>
      <c r="G3239" s="8"/>
      <c r="H3239" s="6">
        <f t="shared" si="179"/>
        <v>0</v>
      </c>
      <c r="I3239" s="6">
        <f>MAX(1, NETWORKDAYS(A3239, G3239,Table2[Dias no laborales]))</f>
        <v>1</v>
      </c>
      <c r="J3239" s="6" t="str">
        <f>IF(Table1[[#This Row],[FIN]]="","Acumulado",IF(ISNUMBER(SEARCH("ASAP",C3239)),"ASAP",IF(NETWORKDAYS.INTL(F3239,G3239,1,Table2[Dias no laborales]) &lt;= 7, "Dentro", IF(A3239&gt;F3239,"Programado","Fuera"))))</f>
        <v>Acumulado</v>
      </c>
      <c r="K3239" s="6" t="str">
        <f t="shared" si="180"/>
        <v>A tiempo</v>
      </c>
      <c r="L3239" s="8"/>
      <c r="M3239" s="17">
        <f>MAX(1,NETWORKDAYS(A3239,L3239,Table2[Dias no laborales]))</f>
        <v>1</v>
      </c>
    </row>
    <row r="3240" spans="1:13" x14ac:dyDescent="0.3">
      <c r="A3240" s="8"/>
      <c r="B3240" s="16" t="s">
        <v>5947</v>
      </c>
      <c r="C3240" s="6"/>
      <c r="D3240" s="6"/>
      <c r="E3240" s="14"/>
      <c r="F3240" s="25">
        <f>IF(HOUR(Table1[[#This Row],[CORREO]])&gt;=11,WORKDAY(Table1[[#This Row],[CORREO]],1,Table2[Dias no laborales]),E3240)</f>
        <v>0</v>
      </c>
      <c r="G3240" s="8"/>
      <c r="H3240" s="6">
        <f t="shared" si="179"/>
        <v>0</v>
      </c>
      <c r="I3240" s="6">
        <f>MAX(1, NETWORKDAYS(A3240, G3240,Table2[Dias no laborales]))</f>
        <v>1</v>
      </c>
      <c r="J3240" s="6" t="str">
        <f>IF(Table1[[#This Row],[FIN]]="","Acumulado",IF(ISNUMBER(SEARCH("ASAP",C3240)),"ASAP",IF(NETWORKDAYS.INTL(F3240,G3240,1,Table2[Dias no laborales]) &lt;= 7, "Dentro", IF(A3240&gt;F3240,"Programado","Fuera"))))</f>
        <v>Acumulado</v>
      </c>
      <c r="K3240" s="6" t="str">
        <f t="shared" si="180"/>
        <v>A tiempo</v>
      </c>
      <c r="L3240" s="8"/>
      <c r="M3240" s="17">
        <f>MAX(1,NETWORKDAYS(A3240,L3240,Table2[Dias no laborales]))</f>
        <v>1</v>
      </c>
    </row>
    <row r="3241" spans="1:13" x14ac:dyDescent="0.3">
      <c r="A3241" s="8"/>
      <c r="B3241" s="16" t="s">
        <v>5948</v>
      </c>
      <c r="C3241" s="6"/>
      <c r="D3241" s="6"/>
      <c r="E3241" s="14"/>
      <c r="F3241" s="25">
        <f>IF(HOUR(Table1[[#This Row],[CORREO]])&gt;=11,WORKDAY(Table1[[#This Row],[CORREO]],1,Table2[Dias no laborales]),E3241)</f>
        <v>0</v>
      </c>
      <c r="G3241" s="8"/>
      <c r="H3241" s="6">
        <f t="shared" si="179"/>
        <v>0</v>
      </c>
      <c r="I3241" s="6">
        <f>MAX(1, NETWORKDAYS(A3241, G3241,Table2[Dias no laborales]))</f>
        <v>1</v>
      </c>
      <c r="J3241" s="6" t="str">
        <f>IF(Table1[[#This Row],[FIN]]="","Acumulado",IF(ISNUMBER(SEARCH("ASAP",C3241)),"ASAP",IF(NETWORKDAYS.INTL(F3241,G3241,1,Table2[Dias no laborales]) &lt;= 7, "Dentro", IF(A3241&gt;F3241,"Programado","Fuera"))))</f>
        <v>Acumulado</v>
      </c>
      <c r="K3241" s="6" t="str">
        <f t="shared" si="180"/>
        <v>A tiempo</v>
      </c>
      <c r="L3241" s="8"/>
      <c r="M3241" s="17">
        <f>MAX(1,NETWORKDAYS(A3241,L3241,Table2[Dias no laborales]))</f>
        <v>1</v>
      </c>
    </row>
    <row r="3242" spans="1:13" x14ac:dyDescent="0.3">
      <c r="A3242" s="8"/>
      <c r="B3242" s="16" t="s">
        <v>5949</v>
      </c>
      <c r="C3242" s="6"/>
      <c r="D3242" s="6"/>
      <c r="E3242" s="14"/>
      <c r="F3242" s="25">
        <f>IF(HOUR(Table1[[#This Row],[CORREO]])&gt;=11,WORKDAY(Table1[[#This Row],[CORREO]],1,Table2[Dias no laborales]),E3242)</f>
        <v>0</v>
      </c>
      <c r="G3242" s="8"/>
      <c r="H3242" s="6">
        <f t="shared" si="179"/>
        <v>0</v>
      </c>
      <c r="I3242" s="6">
        <f>MAX(1, NETWORKDAYS(A3242, G3242,Table2[Dias no laborales]))</f>
        <v>1</v>
      </c>
      <c r="J3242" s="6" t="str">
        <f>IF(Table1[[#This Row],[FIN]]="","Acumulado",IF(ISNUMBER(SEARCH("ASAP",C3242)),"ASAP",IF(NETWORKDAYS.INTL(F3242,G3242,1,Table2[Dias no laborales]) &lt;= 7, "Dentro", IF(A3242&gt;F3242,"Programado","Fuera"))))</f>
        <v>Acumulado</v>
      </c>
      <c r="K3242" s="6" t="str">
        <f t="shared" si="180"/>
        <v>A tiempo</v>
      </c>
      <c r="L3242" s="8"/>
      <c r="M3242" s="17">
        <f>MAX(1,NETWORKDAYS(A3242,L3242,Table2[Dias no laborales]))</f>
        <v>1</v>
      </c>
    </row>
    <row r="3243" spans="1:13" x14ac:dyDescent="0.3">
      <c r="A3243" s="8"/>
      <c r="B3243" s="16" t="s">
        <v>5950</v>
      </c>
      <c r="C3243" s="6"/>
      <c r="D3243" s="6"/>
      <c r="E3243" s="14"/>
      <c r="F3243" s="25">
        <f>IF(HOUR(Table1[[#This Row],[CORREO]])&gt;=11,WORKDAY(Table1[[#This Row],[CORREO]],1,Table2[Dias no laborales]),E3243)</f>
        <v>0</v>
      </c>
      <c r="G3243" s="8"/>
      <c r="H3243" s="6">
        <f t="shared" si="179"/>
        <v>0</v>
      </c>
      <c r="I3243" s="6">
        <f>MAX(1, NETWORKDAYS(A3243, G3243,Table2[Dias no laborales]))</f>
        <v>1</v>
      </c>
      <c r="J3243" s="6" t="str">
        <f>IF(Table1[[#This Row],[FIN]]="","Acumulado",IF(ISNUMBER(SEARCH("ASAP",C3243)),"ASAP",IF(NETWORKDAYS.INTL(F3243,G3243,1,Table2[Dias no laborales]) &lt;= 7, "Dentro", IF(A3243&gt;F3243,"Programado","Fuera"))))</f>
        <v>Acumulado</v>
      </c>
      <c r="K3243" s="6" t="str">
        <f t="shared" si="180"/>
        <v>A tiempo</v>
      </c>
      <c r="L3243" s="8"/>
      <c r="M3243" s="17">
        <f>MAX(1,NETWORKDAYS(A3243,L3243,Table2[Dias no laborales]))</f>
        <v>1</v>
      </c>
    </row>
    <row r="3244" spans="1:13" x14ac:dyDescent="0.3">
      <c r="A3244" s="8"/>
      <c r="B3244" s="16" t="s">
        <v>5951</v>
      </c>
      <c r="C3244" s="6"/>
      <c r="D3244" s="6"/>
      <c r="E3244" s="14"/>
      <c r="F3244" s="25">
        <f>IF(HOUR(Table1[[#This Row],[CORREO]])&gt;=11,WORKDAY(Table1[[#This Row],[CORREO]],1,Table2[Dias no laborales]),E3244)</f>
        <v>0</v>
      </c>
      <c r="G3244" s="8"/>
      <c r="H3244" s="6">
        <f t="shared" si="179"/>
        <v>0</v>
      </c>
      <c r="I3244" s="6">
        <f>MAX(1, NETWORKDAYS(A3244, G3244,Table2[Dias no laborales]))</f>
        <v>1</v>
      </c>
      <c r="J3244" s="6" t="str">
        <f>IF(Table1[[#This Row],[FIN]]="","Acumulado",IF(ISNUMBER(SEARCH("ASAP",C3244)),"ASAP",IF(NETWORKDAYS.INTL(F3244,G3244,1,Table2[Dias no laborales]) &lt;= 7, "Dentro", IF(A3244&gt;F3244,"Programado","Fuera"))))</f>
        <v>Acumulado</v>
      </c>
      <c r="K3244" s="6" t="str">
        <f t="shared" si="180"/>
        <v>A tiempo</v>
      </c>
      <c r="L3244" s="8"/>
      <c r="M3244" s="17">
        <f>MAX(1,NETWORKDAYS(A3244,L3244,Table2[Dias no laborales]))</f>
        <v>1</v>
      </c>
    </row>
    <row r="3245" spans="1:13" x14ac:dyDescent="0.3">
      <c r="A3245" s="8"/>
      <c r="B3245" s="16" t="s">
        <v>5952</v>
      </c>
      <c r="C3245" s="6"/>
      <c r="D3245" s="6"/>
      <c r="E3245" s="14"/>
      <c r="F3245" s="25">
        <f>IF(HOUR(Table1[[#This Row],[CORREO]])&gt;=11,WORKDAY(Table1[[#This Row],[CORREO]],1,Table2[Dias no laborales]),E3245)</f>
        <v>0</v>
      </c>
      <c r="G3245" s="8"/>
      <c r="H3245" s="6">
        <f t="shared" ref="H3245:H3271" si="181">INT((A3245-DATE(YEAR(A3245),1,1))/7) + 1</f>
        <v>0</v>
      </c>
      <c r="I3245" s="6">
        <f>MAX(1, NETWORKDAYS(A3245, G3245,Table2[Dias no laborales]))</f>
        <v>1</v>
      </c>
      <c r="J3245" s="6" t="str">
        <f>IF(Table1[[#This Row],[FIN]]="","Acumulado",IF(ISNUMBER(SEARCH("ASAP",C3245)),"ASAP",IF(NETWORKDAYS.INTL(F3245,G3245,1,Table2[Dias no laborales]) &lt;= 7, "Dentro", IF(A3245&gt;F3245,"Programado","Fuera"))))</f>
        <v>Acumulado</v>
      </c>
      <c r="K3245" s="6" t="str">
        <f t="shared" ref="K3245:K3271" si="182">IF(INT(A3245)=INT(F3245),"A tiempo", IF(A3245&lt;F3245,"Mismo día","Programados"))</f>
        <v>A tiempo</v>
      </c>
      <c r="L3245" s="8"/>
      <c r="M3245" s="17">
        <f>MAX(1,NETWORKDAYS(A3245,L3245,Table2[Dias no laborales]))</f>
        <v>1</v>
      </c>
    </row>
    <row r="3246" spans="1:13" x14ac:dyDescent="0.3">
      <c r="A3246" s="8"/>
      <c r="B3246" s="16" t="s">
        <v>5953</v>
      </c>
      <c r="C3246" s="6"/>
      <c r="D3246" s="6"/>
      <c r="E3246" s="14"/>
      <c r="F3246" s="25">
        <f>IF(HOUR(Table1[[#This Row],[CORREO]])&gt;=11,WORKDAY(Table1[[#This Row],[CORREO]],1,Table2[Dias no laborales]),E3246)</f>
        <v>0</v>
      </c>
      <c r="G3246" s="8"/>
      <c r="H3246" s="6">
        <f t="shared" si="181"/>
        <v>0</v>
      </c>
      <c r="I3246" s="6">
        <f>MAX(1, NETWORKDAYS(A3246, G3246,Table2[Dias no laborales]))</f>
        <v>1</v>
      </c>
      <c r="J3246" s="6" t="str">
        <f>IF(Table1[[#This Row],[FIN]]="","Acumulado",IF(ISNUMBER(SEARCH("ASAP",C3246)),"ASAP",IF(NETWORKDAYS.INTL(F3246,G3246,1,Table2[Dias no laborales]) &lt;= 7, "Dentro", IF(A3246&gt;F3246,"Programado","Fuera"))))</f>
        <v>Acumulado</v>
      </c>
      <c r="K3246" s="6" t="str">
        <f t="shared" si="182"/>
        <v>A tiempo</v>
      </c>
      <c r="L3246" s="8"/>
      <c r="M3246" s="17">
        <f>MAX(1,NETWORKDAYS(A3246,L3246,Table2[Dias no laborales]))</f>
        <v>1</v>
      </c>
    </row>
    <row r="3247" spans="1:13" x14ac:dyDescent="0.3">
      <c r="A3247" s="8"/>
      <c r="B3247" s="16" t="s">
        <v>5954</v>
      </c>
      <c r="C3247" s="6"/>
      <c r="D3247" s="6"/>
      <c r="E3247" s="14"/>
      <c r="F3247" s="25">
        <f>IF(HOUR(Table1[[#This Row],[CORREO]])&gt;=11,WORKDAY(Table1[[#This Row],[CORREO]],1,Table2[Dias no laborales]),E3247)</f>
        <v>0</v>
      </c>
      <c r="G3247" s="8"/>
      <c r="H3247" s="6">
        <f t="shared" si="181"/>
        <v>0</v>
      </c>
      <c r="I3247" s="6">
        <f>MAX(1, NETWORKDAYS(A3247, G3247,Table2[Dias no laborales]))</f>
        <v>1</v>
      </c>
      <c r="J3247" s="6" t="str">
        <f>IF(Table1[[#This Row],[FIN]]="","Acumulado",IF(ISNUMBER(SEARCH("ASAP",C3247)),"ASAP",IF(NETWORKDAYS.INTL(F3247,G3247,1,Table2[Dias no laborales]) &lt;= 7, "Dentro", IF(A3247&gt;F3247,"Programado","Fuera"))))</f>
        <v>Acumulado</v>
      </c>
      <c r="K3247" s="6" t="str">
        <f t="shared" si="182"/>
        <v>A tiempo</v>
      </c>
      <c r="L3247" s="8"/>
      <c r="M3247" s="17">
        <f>MAX(1,NETWORKDAYS(A3247,L3247,Table2[Dias no laborales]))</f>
        <v>1</v>
      </c>
    </row>
    <row r="3248" spans="1:13" x14ac:dyDescent="0.3">
      <c r="A3248" s="8"/>
      <c r="B3248" s="16" t="s">
        <v>5955</v>
      </c>
      <c r="C3248" s="6"/>
      <c r="D3248" s="6"/>
      <c r="E3248" s="14"/>
      <c r="F3248" s="25">
        <f>IF(HOUR(Table1[[#This Row],[CORREO]])&gt;=11,WORKDAY(Table1[[#This Row],[CORREO]],1,Table2[Dias no laborales]),E3248)</f>
        <v>0</v>
      </c>
      <c r="G3248" s="8"/>
      <c r="H3248" s="6">
        <f t="shared" si="181"/>
        <v>0</v>
      </c>
      <c r="I3248" s="6">
        <f>MAX(1, NETWORKDAYS(A3248, G3248,Table2[Dias no laborales]))</f>
        <v>1</v>
      </c>
      <c r="J3248" s="6" t="str">
        <f>IF(Table1[[#This Row],[FIN]]="","Acumulado",IF(ISNUMBER(SEARCH("ASAP",C3248)),"ASAP",IF(NETWORKDAYS.INTL(F3248,G3248,1,Table2[Dias no laborales]) &lt;= 7, "Dentro", IF(A3248&gt;F3248,"Programado","Fuera"))))</f>
        <v>Acumulado</v>
      </c>
      <c r="K3248" s="6" t="str">
        <f t="shared" si="182"/>
        <v>A tiempo</v>
      </c>
      <c r="L3248" s="8"/>
      <c r="M3248" s="17">
        <f>MAX(1,NETWORKDAYS(A3248,L3248,Table2[Dias no laborales]))</f>
        <v>1</v>
      </c>
    </row>
    <row r="3249" spans="1:13" x14ac:dyDescent="0.3">
      <c r="A3249" s="8"/>
      <c r="B3249" s="16" t="s">
        <v>5956</v>
      </c>
      <c r="C3249" s="6"/>
      <c r="D3249" s="6"/>
      <c r="E3249" s="14"/>
      <c r="F3249" s="25">
        <f>IF(HOUR(Table1[[#This Row],[CORREO]])&gt;=11,WORKDAY(Table1[[#This Row],[CORREO]],1,Table2[Dias no laborales]),E3249)</f>
        <v>0</v>
      </c>
      <c r="G3249" s="8"/>
      <c r="H3249" s="6">
        <f t="shared" si="181"/>
        <v>0</v>
      </c>
      <c r="I3249" s="6">
        <f>MAX(1, NETWORKDAYS(A3249, G3249,Table2[Dias no laborales]))</f>
        <v>1</v>
      </c>
      <c r="J3249" s="6" t="str">
        <f>IF(Table1[[#This Row],[FIN]]="","Acumulado",IF(ISNUMBER(SEARCH("ASAP",C3249)),"ASAP",IF(NETWORKDAYS.INTL(F3249,G3249,1,Table2[Dias no laborales]) &lt;= 7, "Dentro", IF(A3249&gt;F3249,"Programado","Fuera"))))</f>
        <v>Acumulado</v>
      </c>
      <c r="K3249" s="6" t="str">
        <f t="shared" si="182"/>
        <v>A tiempo</v>
      </c>
      <c r="L3249" s="8"/>
      <c r="M3249" s="17">
        <f>MAX(1,NETWORKDAYS(A3249,L3249,Table2[Dias no laborales]))</f>
        <v>1</v>
      </c>
    </row>
    <row r="3250" spans="1:13" x14ac:dyDescent="0.3">
      <c r="A3250" s="8"/>
      <c r="B3250" s="16" t="s">
        <v>5957</v>
      </c>
      <c r="C3250" s="6"/>
      <c r="D3250" s="6"/>
      <c r="E3250" s="14"/>
      <c r="F3250" s="25">
        <f>IF(HOUR(Table1[[#This Row],[CORREO]])&gt;=11,WORKDAY(Table1[[#This Row],[CORREO]],1,Table2[Dias no laborales]),E3250)</f>
        <v>0</v>
      </c>
      <c r="G3250" s="8"/>
      <c r="H3250" s="6">
        <f t="shared" si="181"/>
        <v>0</v>
      </c>
      <c r="I3250" s="6">
        <f>MAX(1, NETWORKDAYS(A3250, G3250,Table2[Dias no laborales]))</f>
        <v>1</v>
      </c>
      <c r="J3250" s="6" t="str">
        <f>IF(Table1[[#This Row],[FIN]]="","Acumulado",IF(ISNUMBER(SEARCH("ASAP",C3250)),"ASAP",IF(NETWORKDAYS.INTL(F3250,G3250,1,Table2[Dias no laborales]) &lt;= 7, "Dentro", IF(A3250&gt;F3250,"Programado","Fuera"))))</f>
        <v>Acumulado</v>
      </c>
      <c r="K3250" s="6" t="str">
        <f t="shared" si="182"/>
        <v>A tiempo</v>
      </c>
      <c r="L3250" s="8"/>
      <c r="M3250" s="17">
        <f>MAX(1,NETWORKDAYS(A3250,L3250,Table2[Dias no laborales]))</f>
        <v>1</v>
      </c>
    </row>
    <row r="3251" spans="1:13" x14ac:dyDescent="0.3">
      <c r="A3251" s="8"/>
      <c r="B3251" s="16" t="s">
        <v>5958</v>
      </c>
      <c r="C3251" s="6"/>
      <c r="D3251" s="6"/>
      <c r="E3251" s="14"/>
      <c r="F3251" s="25">
        <f>IF(HOUR(Table1[[#This Row],[CORREO]])&gt;=11,WORKDAY(Table1[[#This Row],[CORREO]],1,Table2[Dias no laborales]),E3251)</f>
        <v>0</v>
      </c>
      <c r="G3251" s="8"/>
      <c r="H3251" s="6">
        <f t="shared" si="181"/>
        <v>0</v>
      </c>
      <c r="I3251" s="6">
        <f>MAX(1, NETWORKDAYS(A3251, G3251,Table2[Dias no laborales]))</f>
        <v>1</v>
      </c>
      <c r="J3251" s="6" t="str">
        <f>IF(Table1[[#This Row],[FIN]]="","Acumulado",IF(ISNUMBER(SEARCH("ASAP",C3251)),"ASAP",IF(NETWORKDAYS.INTL(F3251,G3251,1,Table2[Dias no laborales]) &lt;= 7, "Dentro", IF(A3251&gt;F3251,"Programado","Fuera"))))</f>
        <v>Acumulado</v>
      </c>
      <c r="K3251" s="6" t="str">
        <f t="shared" si="182"/>
        <v>A tiempo</v>
      </c>
      <c r="L3251" s="8"/>
      <c r="M3251" s="17">
        <f>MAX(1,NETWORKDAYS(A3251,L3251,Table2[Dias no laborales]))</f>
        <v>1</v>
      </c>
    </row>
    <row r="3252" spans="1:13" x14ac:dyDescent="0.3">
      <c r="A3252" s="8"/>
      <c r="B3252" s="16" t="s">
        <v>5959</v>
      </c>
      <c r="C3252" s="6"/>
      <c r="D3252" s="6"/>
      <c r="E3252" s="14"/>
      <c r="F3252" s="25">
        <f>IF(HOUR(Table1[[#This Row],[CORREO]])&gt;=11,WORKDAY(Table1[[#This Row],[CORREO]],1,Table2[Dias no laborales]),E3252)</f>
        <v>0</v>
      </c>
      <c r="G3252" s="8"/>
      <c r="H3252" s="6">
        <f t="shared" si="181"/>
        <v>0</v>
      </c>
      <c r="I3252" s="6">
        <f>MAX(1, NETWORKDAYS(A3252, G3252,Table2[Dias no laborales]))</f>
        <v>1</v>
      </c>
      <c r="J3252" s="6" t="str">
        <f>IF(Table1[[#This Row],[FIN]]="","Acumulado",IF(ISNUMBER(SEARCH("ASAP",C3252)),"ASAP",IF(NETWORKDAYS.INTL(F3252,G3252,1,Table2[Dias no laborales]) &lt;= 7, "Dentro", IF(A3252&gt;F3252,"Programado","Fuera"))))</f>
        <v>Acumulado</v>
      </c>
      <c r="K3252" s="6" t="str">
        <f t="shared" si="182"/>
        <v>A tiempo</v>
      </c>
      <c r="L3252" s="8"/>
      <c r="M3252" s="17">
        <f>MAX(1,NETWORKDAYS(A3252,L3252,Table2[Dias no laborales]))</f>
        <v>1</v>
      </c>
    </row>
    <row r="3253" spans="1:13" x14ac:dyDescent="0.3">
      <c r="A3253" s="8"/>
      <c r="B3253" s="16" t="s">
        <v>5960</v>
      </c>
      <c r="C3253" s="6"/>
      <c r="D3253" s="6"/>
      <c r="E3253" s="14"/>
      <c r="F3253" s="25">
        <f>IF(HOUR(Table1[[#This Row],[CORREO]])&gt;=11,WORKDAY(Table1[[#This Row],[CORREO]],1,Table2[Dias no laborales]),E3253)</f>
        <v>0</v>
      </c>
      <c r="G3253" s="8"/>
      <c r="H3253" s="6">
        <f t="shared" si="181"/>
        <v>0</v>
      </c>
      <c r="I3253" s="6">
        <f>MAX(1, NETWORKDAYS(A3253, G3253,Table2[Dias no laborales]))</f>
        <v>1</v>
      </c>
      <c r="J3253" s="6" t="str">
        <f>IF(Table1[[#This Row],[FIN]]="","Acumulado",IF(ISNUMBER(SEARCH("ASAP",C3253)),"ASAP",IF(NETWORKDAYS.INTL(F3253,G3253,1,Table2[Dias no laborales]) &lt;= 7, "Dentro", IF(A3253&gt;F3253,"Programado","Fuera"))))</f>
        <v>Acumulado</v>
      </c>
      <c r="K3253" s="6" t="str">
        <f t="shared" si="182"/>
        <v>A tiempo</v>
      </c>
      <c r="L3253" s="8"/>
      <c r="M3253" s="17">
        <f>MAX(1,NETWORKDAYS(A3253,L3253,Table2[Dias no laborales]))</f>
        <v>1</v>
      </c>
    </row>
    <row r="3254" spans="1:13" x14ac:dyDescent="0.3">
      <c r="A3254" s="8"/>
      <c r="B3254" s="16" t="s">
        <v>5961</v>
      </c>
      <c r="C3254" s="6"/>
      <c r="D3254" s="6"/>
      <c r="E3254" s="14"/>
      <c r="F3254" s="25">
        <f>IF(HOUR(Table1[[#This Row],[CORREO]])&gt;=11,WORKDAY(Table1[[#This Row],[CORREO]],1,Table2[Dias no laborales]),E3254)</f>
        <v>0</v>
      </c>
      <c r="G3254" s="8"/>
      <c r="H3254" s="6">
        <f t="shared" si="181"/>
        <v>0</v>
      </c>
      <c r="I3254" s="6">
        <f>MAX(1, NETWORKDAYS(A3254, G3254,Table2[Dias no laborales]))</f>
        <v>1</v>
      </c>
      <c r="J3254" s="6" t="str">
        <f>IF(Table1[[#This Row],[FIN]]="","Acumulado",IF(ISNUMBER(SEARCH("ASAP",C3254)),"ASAP",IF(NETWORKDAYS.INTL(F3254,G3254,1,Table2[Dias no laborales]) &lt;= 7, "Dentro", IF(A3254&gt;F3254,"Programado","Fuera"))))</f>
        <v>Acumulado</v>
      </c>
      <c r="K3254" s="6" t="str">
        <f t="shared" si="182"/>
        <v>A tiempo</v>
      </c>
      <c r="L3254" s="8"/>
      <c r="M3254" s="17">
        <f>MAX(1,NETWORKDAYS(A3254,L3254,Table2[Dias no laborales]))</f>
        <v>1</v>
      </c>
    </row>
    <row r="3255" spans="1:13" x14ac:dyDescent="0.3">
      <c r="A3255" s="8"/>
      <c r="B3255" s="16" t="s">
        <v>5962</v>
      </c>
      <c r="C3255" s="6"/>
      <c r="D3255" s="6"/>
      <c r="E3255" s="14"/>
      <c r="F3255" s="25">
        <f>IF(HOUR(Table1[[#This Row],[CORREO]])&gt;=11,WORKDAY(Table1[[#This Row],[CORREO]],1,Table2[Dias no laborales]),E3255)</f>
        <v>0</v>
      </c>
      <c r="G3255" s="8"/>
      <c r="H3255" s="6">
        <f t="shared" si="181"/>
        <v>0</v>
      </c>
      <c r="I3255" s="6">
        <f>MAX(1, NETWORKDAYS(A3255, G3255,Table2[Dias no laborales]))</f>
        <v>1</v>
      </c>
      <c r="J3255" s="6" t="str">
        <f>IF(Table1[[#This Row],[FIN]]="","Acumulado",IF(ISNUMBER(SEARCH("ASAP",C3255)),"ASAP",IF(NETWORKDAYS.INTL(F3255,G3255,1,Table2[Dias no laborales]) &lt;= 7, "Dentro", IF(A3255&gt;F3255,"Programado","Fuera"))))</f>
        <v>Acumulado</v>
      </c>
      <c r="K3255" s="6" t="str">
        <f t="shared" si="182"/>
        <v>A tiempo</v>
      </c>
      <c r="L3255" s="8"/>
      <c r="M3255" s="17">
        <f>MAX(1,NETWORKDAYS(A3255,L3255,Table2[Dias no laborales]))</f>
        <v>1</v>
      </c>
    </row>
    <row r="3256" spans="1:13" x14ac:dyDescent="0.3">
      <c r="A3256" s="8"/>
      <c r="B3256" s="16" t="s">
        <v>5963</v>
      </c>
      <c r="C3256" s="6"/>
      <c r="D3256" s="6"/>
      <c r="E3256" s="14"/>
      <c r="F3256" s="25">
        <f>IF(HOUR(Table1[[#This Row],[CORREO]])&gt;=11,WORKDAY(Table1[[#This Row],[CORREO]],1,Table2[Dias no laborales]),E3256)</f>
        <v>0</v>
      </c>
      <c r="G3256" s="8"/>
      <c r="H3256" s="6">
        <f t="shared" si="181"/>
        <v>0</v>
      </c>
      <c r="I3256" s="6">
        <f>MAX(1, NETWORKDAYS(A3256, G3256,Table2[Dias no laborales]))</f>
        <v>1</v>
      </c>
      <c r="J3256" s="6" t="str">
        <f>IF(Table1[[#This Row],[FIN]]="","Acumulado",IF(ISNUMBER(SEARCH("ASAP",C3256)),"ASAP",IF(NETWORKDAYS.INTL(F3256,G3256,1,Table2[Dias no laborales]) &lt;= 7, "Dentro", IF(A3256&gt;F3256,"Programado","Fuera"))))</f>
        <v>Acumulado</v>
      </c>
      <c r="K3256" s="6" t="str">
        <f t="shared" si="182"/>
        <v>A tiempo</v>
      </c>
      <c r="L3256" s="8"/>
      <c r="M3256" s="17">
        <f>MAX(1,NETWORKDAYS(A3256,L3256,Table2[Dias no laborales]))</f>
        <v>1</v>
      </c>
    </row>
    <row r="3257" spans="1:13" x14ac:dyDescent="0.3">
      <c r="A3257" s="8"/>
      <c r="B3257" s="16" t="s">
        <v>5964</v>
      </c>
      <c r="C3257" s="6"/>
      <c r="D3257" s="6"/>
      <c r="E3257" s="14"/>
      <c r="F3257" s="25">
        <f>IF(HOUR(Table1[[#This Row],[CORREO]])&gt;=11,WORKDAY(Table1[[#This Row],[CORREO]],1,Table2[Dias no laborales]),E3257)</f>
        <v>0</v>
      </c>
      <c r="G3257" s="8"/>
      <c r="H3257" s="6">
        <f t="shared" si="181"/>
        <v>0</v>
      </c>
      <c r="I3257" s="6">
        <f>MAX(1, NETWORKDAYS(A3257, G3257,Table2[Dias no laborales]))</f>
        <v>1</v>
      </c>
      <c r="J3257" s="6" t="str">
        <f>IF(Table1[[#This Row],[FIN]]="","Acumulado",IF(ISNUMBER(SEARCH("ASAP",C3257)),"ASAP",IF(NETWORKDAYS.INTL(F3257,G3257,1,Table2[Dias no laborales]) &lt;= 7, "Dentro", IF(A3257&gt;F3257,"Programado","Fuera"))))</f>
        <v>Acumulado</v>
      </c>
      <c r="K3257" s="6" t="str">
        <f t="shared" si="182"/>
        <v>A tiempo</v>
      </c>
      <c r="L3257" s="8"/>
      <c r="M3257" s="17">
        <f>MAX(1,NETWORKDAYS(A3257,L3257,Table2[Dias no laborales]))</f>
        <v>1</v>
      </c>
    </row>
    <row r="3258" spans="1:13" x14ac:dyDescent="0.3">
      <c r="A3258" s="8"/>
      <c r="B3258" s="16" t="s">
        <v>5965</v>
      </c>
      <c r="C3258" s="6"/>
      <c r="D3258" s="6"/>
      <c r="E3258" s="14"/>
      <c r="F3258" s="25">
        <f>IF(HOUR(Table1[[#This Row],[CORREO]])&gt;=11,WORKDAY(Table1[[#This Row],[CORREO]],1,Table2[Dias no laborales]),E3258)</f>
        <v>0</v>
      </c>
      <c r="G3258" s="8"/>
      <c r="H3258" s="6">
        <f t="shared" si="181"/>
        <v>0</v>
      </c>
      <c r="I3258" s="6">
        <f>MAX(1, NETWORKDAYS(A3258, G3258,Table2[Dias no laborales]))</f>
        <v>1</v>
      </c>
      <c r="J3258" s="6" t="str">
        <f>IF(Table1[[#This Row],[FIN]]="","Acumulado",IF(ISNUMBER(SEARCH("ASAP",C3258)),"ASAP",IF(NETWORKDAYS.INTL(F3258,G3258,1,Table2[Dias no laborales]) &lt;= 7, "Dentro", IF(A3258&gt;F3258,"Programado","Fuera"))))</f>
        <v>Acumulado</v>
      </c>
      <c r="K3258" s="6" t="str">
        <f t="shared" si="182"/>
        <v>A tiempo</v>
      </c>
      <c r="L3258" s="8"/>
      <c r="M3258" s="17">
        <f>MAX(1,NETWORKDAYS(A3258,L3258,Table2[Dias no laborales]))</f>
        <v>1</v>
      </c>
    </row>
    <row r="3259" spans="1:13" x14ac:dyDescent="0.3">
      <c r="A3259" s="8"/>
      <c r="B3259" s="16" t="s">
        <v>5966</v>
      </c>
      <c r="C3259" s="6"/>
      <c r="D3259" s="6"/>
      <c r="E3259" s="14"/>
      <c r="F3259" s="25">
        <f>IF(HOUR(Table1[[#This Row],[CORREO]])&gt;=11,WORKDAY(Table1[[#This Row],[CORREO]],1,Table2[Dias no laborales]),E3259)</f>
        <v>0</v>
      </c>
      <c r="G3259" s="8"/>
      <c r="H3259" s="6">
        <f t="shared" si="181"/>
        <v>0</v>
      </c>
      <c r="I3259" s="6">
        <f>MAX(1, NETWORKDAYS(A3259, G3259,Table2[Dias no laborales]))</f>
        <v>1</v>
      </c>
      <c r="J3259" s="6" t="str">
        <f>IF(Table1[[#This Row],[FIN]]="","Acumulado",IF(ISNUMBER(SEARCH("ASAP",C3259)),"ASAP",IF(NETWORKDAYS.INTL(F3259,G3259,1,Table2[Dias no laborales]) &lt;= 7, "Dentro", IF(A3259&gt;F3259,"Programado","Fuera"))))</f>
        <v>Acumulado</v>
      </c>
      <c r="K3259" s="6" t="str">
        <f t="shared" si="182"/>
        <v>A tiempo</v>
      </c>
      <c r="L3259" s="8"/>
      <c r="M3259" s="17">
        <f>MAX(1,NETWORKDAYS(A3259,L3259,Table2[Dias no laborales]))</f>
        <v>1</v>
      </c>
    </row>
    <row r="3260" spans="1:13" x14ac:dyDescent="0.3">
      <c r="A3260" s="8"/>
      <c r="B3260" s="16" t="s">
        <v>5967</v>
      </c>
      <c r="C3260" s="6"/>
      <c r="D3260" s="6"/>
      <c r="E3260" s="14"/>
      <c r="F3260" s="25">
        <f>IF(HOUR(Table1[[#This Row],[CORREO]])&gt;=11,WORKDAY(Table1[[#This Row],[CORREO]],1,Table2[Dias no laborales]),E3260)</f>
        <v>0</v>
      </c>
      <c r="G3260" s="8"/>
      <c r="H3260" s="6">
        <f t="shared" si="181"/>
        <v>0</v>
      </c>
      <c r="I3260" s="6">
        <f>MAX(1, NETWORKDAYS(A3260, G3260,Table2[Dias no laborales]))</f>
        <v>1</v>
      </c>
      <c r="J3260" s="6" t="str">
        <f>IF(Table1[[#This Row],[FIN]]="","Acumulado",IF(ISNUMBER(SEARCH("ASAP",C3260)),"ASAP",IF(NETWORKDAYS.INTL(F3260,G3260,1,Table2[Dias no laborales]) &lt;= 7, "Dentro", IF(A3260&gt;F3260,"Programado","Fuera"))))</f>
        <v>Acumulado</v>
      </c>
      <c r="K3260" s="6" t="str">
        <f t="shared" si="182"/>
        <v>A tiempo</v>
      </c>
      <c r="L3260" s="8"/>
      <c r="M3260" s="17">
        <f>MAX(1,NETWORKDAYS(A3260,L3260,Table2[Dias no laborales]))</f>
        <v>1</v>
      </c>
    </row>
    <row r="3261" spans="1:13" x14ac:dyDescent="0.3">
      <c r="A3261" s="8"/>
      <c r="B3261" s="16" t="s">
        <v>5968</v>
      </c>
      <c r="C3261" s="6"/>
      <c r="D3261" s="6"/>
      <c r="E3261" s="14"/>
      <c r="F3261" s="25">
        <f>IF(HOUR(Table1[[#This Row],[CORREO]])&gt;=11,WORKDAY(Table1[[#This Row],[CORREO]],1,Table2[Dias no laborales]),E3261)</f>
        <v>0</v>
      </c>
      <c r="G3261" s="8"/>
      <c r="H3261" s="6">
        <f t="shared" si="181"/>
        <v>0</v>
      </c>
      <c r="I3261" s="6">
        <f>MAX(1, NETWORKDAYS(A3261, G3261,Table2[Dias no laborales]))</f>
        <v>1</v>
      </c>
      <c r="J3261" s="6" t="str">
        <f>IF(Table1[[#This Row],[FIN]]="","Acumulado",IF(ISNUMBER(SEARCH("ASAP",C3261)),"ASAP",IF(NETWORKDAYS.INTL(F3261,G3261,1,Table2[Dias no laborales]) &lt;= 7, "Dentro", IF(A3261&gt;F3261,"Programado","Fuera"))))</f>
        <v>Acumulado</v>
      </c>
      <c r="K3261" s="6" t="str">
        <f t="shared" si="182"/>
        <v>A tiempo</v>
      </c>
      <c r="L3261" s="8"/>
      <c r="M3261" s="17">
        <f>MAX(1,NETWORKDAYS(A3261,L3261,Table2[Dias no laborales]))</f>
        <v>1</v>
      </c>
    </row>
    <row r="3262" spans="1:13" x14ac:dyDescent="0.3">
      <c r="A3262" s="8"/>
      <c r="B3262" s="16" t="s">
        <v>5969</v>
      </c>
      <c r="C3262" s="6"/>
      <c r="D3262" s="6"/>
      <c r="E3262" s="14"/>
      <c r="F3262" s="25">
        <f>IF(HOUR(Table1[[#This Row],[CORREO]])&gt;=11,WORKDAY(Table1[[#This Row],[CORREO]],1,Table2[Dias no laborales]),E3262)</f>
        <v>0</v>
      </c>
      <c r="G3262" s="8"/>
      <c r="H3262" s="6">
        <f t="shared" si="181"/>
        <v>0</v>
      </c>
      <c r="I3262" s="6">
        <f>MAX(1, NETWORKDAYS(A3262, G3262,Table2[Dias no laborales]))</f>
        <v>1</v>
      </c>
      <c r="J3262" s="6" t="str">
        <f>IF(Table1[[#This Row],[FIN]]="","Acumulado",IF(ISNUMBER(SEARCH("ASAP",C3262)),"ASAP",IF(NETWORKDAYS.INTL(F3262,G3262,1,Table2[Dias no laborales]) &lt;= 7, "Dentro", IF(A3262&gt;F3262,"Programado","Fuera"))))</f>
        <v>Acumulado</v>
      </c>
      <c r="K3262" s="6" t="str">
        <f t="shared" si="182"/>
        <v>A tiempo</v>
      </c>
      <c r="L3262" s="8"/>
      <c r="M3262" s="17">
        <f>MAX(1,NETWORKDAYS(A3262,L3262,Table2[Dias no laborales]))</f>
        <v>1</v>
      </c>
    </row>
    <row r="3263" spans="1:13" x14ac:dyDescent="0.3">
      <c r="A3263" s="8"/>
      <c r="B3263" s="16" t="s">
        <v>5970</v>
      </c>
      <c r="C3263" s="6"/>
      <c r="D3263" s="6"/>
      <c r="E3263" s="14"/>
      <c r="F3263" s="25">
        <f>IF(HOUR(Table1[[#This Row],[CORREO]])&gt;=11,WORKDAY(Table1[[#This Row],[CORREO]],1,Table2[Dias no laborales]),E3263)</f>
        <v>0</v>
      </c>
      <c r="G3263" s="8"/>
      <c r="H3263" s="6">
        <f t="shared" si="181"/>
        <v>0</v>
      </c>
      <c r="I3263" s="6">
        <f>MAX(1, NETWORKDAYS(A3263, G3263,Table2[Dias no laborales]))</f>
        <v>1</v>
      </c>
      <c r="J3263" s="6" t="str">
        <f>IF(Table1[[#This Row],[FIN]]="","Acumulado",IF(ISNUMBER(SEARCH("ASAP",C3263)),"ASAP",IF(NETWORKDAYS.INTL(F3263,G3263,1,Table2[Dias no laborales]) &lt;= 7, "Dentro", IF(A3263&gt;F3263,"Programado","Fuera"))))</f>
        <v>Acumulado</v>
      </c>
      <c r="K3263" s="6" t="str">
        <f t="shared" si="182"/>
        <v>A tiempo</v>
      </c>
      <c r="L3263" s="8"/>
      <c r="M3263" s="17">
        <f>MAX(1,NETWORKDAYS(A3263,L3263,Table2[Dias no laborales]))</f>
        <v>1</v>
      </c>
    </row>
    <row r="3264" spans="1:13" x14ac:dyDescent="0.3">
      <c r="A3264" s="8"/>
      <c r="B3264" s="16" t="s">
        <v>5971</v>
      </c>
      <c r="C3264" s="6"/>
      <c r="D3264" s="6"/>
      <c r="E3264" s="14"/>
      <c r="F3264" s="25">
        <f>IF(HOUR(Table1[[#This Row],[CORREO]])&gt;=11,WORKDAY(Table1[[#This Row],[CORREO]],1,Table2[Dias no laborales]),E3264)</f>
        <v>0</v>
      </c>
      <c r="G3264" s="8"/>
      <c r="H3264" s="6">
        <f t="shared" si="181"/>
        <v>0</v>
      </c>
      <c r="I3264" s="6">
        <f>MAX(1, NETWORKDAYS(A3264, G3264,Table2[Dias no laborales]))</f>
        <v>1</v>
      </c>
      <c r="J3264" s="6" t="str">
        <f>IF(Table1[[#This Row],[FIN]]="","Acumulado",IF(ISNUMBER(SEARCH("ASAP",C3264)),"ASAP",IF(NETWORKDAYS.INTL(F3264,G3264,1,Table2[Dias no laborales]) &lt;= 7, "Dentro", IF(A3264&gt;F3264,"Programado","Fuera"))))</f>
        <v>Acumulado</v>
      </c>
      <c r="K3264" s="6" t="str">
        <f t="shared" si="182"/>
        <v>A tiempo</v>
      </c>
      <c r="L3264" s="8"/>
      <c r="M3264" s="17">
        <f>MAX(1,NETWORKDAYS(A3264,L3264,Table2[Dias no laborales]))</f>
        <v>1</v>
      </c>
    </row>
    <row r="3265" spans="1:13" x14ac:dyDescent="0.3">
      <c r="A3265" s="8"/>
      <c r="B3265" s="16" t="s">
        <v>5972</v>
      </c>
      <c r="C3265" s="6"/>
      <c r="D3265" s="6"/>
      <c r="E3265" s="14"/>
      <c r="F3265" s="25">
        <f>IF(HOUR(Table1[[#This Row],[CORREO]])&gt;=11,WORKDAY(Table1[[#This Row],[CORREO]],1,Table2[Dias no laborales]),E3265)</f>
        <v>0</v>
      </c>
      <c r="G3265" s="8"/>
      <c r="H3265" s="6">
        <f t="shared" si="181"/>
        <v>0</v>
      </c>
      <c r="I3265" s="6">
        <f>MAX(1, NETWORKDAYS(A3265, G3265,Table2[Dias no laborales]))</f>
        <v>1</v>
      </c>
      <c r="J3265" s="6" t="str">
        <f>IF(Table1[[#This Row],[FIN]]="","Acumulado",IF(ISNUMBER(SEARCH("ASAP",C3265)),"ASAP",IF(NETWORKDAYS.INTL(F3265,G3265,1,Table2[Dias no laborales]) &lt;= 7, "Dentro", IF(A3265&gt;F3265,"Programado","Fuera"))))</f>
        <v>Acumulado</v>
      </c>
      <c r="K3265" s="6" t="str">
        <f t="shared" si="182"/>
        <v>A tiempo</v>
      </c>
      <c r="L3265" s="8"/>
      <c r="M3265" s="17">
        <f>MAX(1,NETWORKDAYS(A3265,L3265,Table2[Dias no laborales]))</f>
        <v>1</v>
      </c>
    </row>
    <row r="3266" spans="1:13" x14ac:dyDescent="0.3">
      <c r="A3266" s="8"/>
      <c r="B3266" s="16" t="s">
        <v>5973</v>
      </c>
      <c r="C3266" s="6"/>
      <c r="D3266" s="6"/>
      <c r="E3266" s="14"/>
      <c r="F3266" s="25">
        <f>IF(HOUR(Table1[[#This Row],[CORREO]])&gt;=11,WORKDAY(Table1[[#This Row],[CORREO]],1,Table2[Dias no laborales]),E3266)</f>
        <v>0</v>
      </c>
      <c r="G3266" s="8"/>
      <c r="H3266" s="6">
        <f t="shared" si="181"/>
        <v>0</v>
      </c>
      <c r="I3266" s="6">
        <f>MAX(1, NETWORKDAYS(A3266, G3266,Table2[Dias no laborales]))</f>
        <v>1</v>
      </c>
      <c r="J3266" s="6" t="str">
        <f>IF(Table1[[#This Row],[FIN]]="","Acumulado",IF(ISNUMBER(SEARCH("ASAP",C3266)),"ASAP",IF(NETWORKDAYS.INTL(F3266,G3266,1,Table2[Dias no laborales]) &lt;= 7, "Dentro", IF(A3266&gt;F3266,"Programado","Fuera"))))</f>
        <v>Acumulado</v>
      </c>
      <c r="K3266" s="6" t="str">
        <f t="shared" si="182"/>
        <v>A tiempo</v>
      </c>
      <c r="L3266" s="8"/>
      <c r="M3266" s="17">
        <f>MAX(1,NETWORKDAYS(A3266,L3266,Table2[Dias no laborales]))</f>
        <v>1</v>
      </c>
    </row>
    <row r="3267" spans="1:13" x14ac:dyDescent="0.3">
      <c r="A3267" s="8"/>
      <c r="B3267" s="16" t="s">
        <v>5974</v>
      </c>
      <c r="C3267" s="6"/>
      <c r="D3267" s="6"/>
      <c r="E3267" s="14"/>
      <c r="F3267" s="25">
        <f>IF(HOUR(Table1[[#This Row],[CORREO]])&gt;=11,WORKDAY(Table1[[#This Row],[CORREO]],1,Table2[Dias no laborales]),E3267)</f>
        <v>0</v>
      </c>
      <c r="G3267" s="8"/>
      <c r="H3267" s="6">
        <f t="shared" si="181"/>
        <v>0</v>
      </c>
      <c r="I3267" s="6">
        <f>MAX(1, NETWORKDAYS(A3267, G3267,Table2[Dias no laborales]))</f>
        <v>1</v>
      </c>
      <c r="J3267" s="6" t="str">
        <f>IF(Table1[[#This Row],[FIN]]="","Acumulado",IF(ISNUMBER(SEARCH("ASAP",C3267)),"ASAP",IF(NETWORKDAYS.INTL(F3267,G3267,1,Table2[Dias no laborales]) &lt;= 7, "Dentro", IF(A3267&gt;F3267,"Programado","Fuera"))))</f>
        <v>Acumulado</v>
      </c>
      <c r="K3267" s="6" t="str">
        <f t="shared" si="182"/>
        <v>A tiempo</v>
      </c>
      <c r="L3267" s="8"/>
      <c r="M3267" s="17">
        <f>MAX(1,NETWORKDAYS(A3267,L3267,Table2[Dias no laborales]))</f>
        <v>1</v>
      </c>
    </row>
    <row r="3268" spans="1:13" x14ac:dyDescent="0.3">
      <c r="A3268" s="8"/>
      <c r="B3268" s="16" t="s">
        <v>5975</v>
      </c>
      <c r="C3268" s="6"/>
      <c r="D3268" s="6"/>
      <c r="E3268" s="14"/>
      <c r="F3268" s="25">
        <f>IF(HOUR(Table1[[#This Row],[CORREO]])&gt;=11,WORKDAY(Table1[[#This Row],[CORREO]],1,Table2[Dias no laborales]),E3268)</f>
        <v>0</v>
      </c>
      <c r="G3268" s="8"/>
      <c r="H3268" s="6">
        <f t="shared" si="181"/>
        <v>0</v>
      </c>
      <c r="I3268" s="6">
        <f>MAX(1, NETWORKDAYS(A3268, G3268,Table2[Dias no laborales]))</f>
        <v>1</v>
      </c>
      <c r="J3268" s="6" t="str">
        <f>IF(Table1[[#This Row],[FIN]]="","Acumulado",IF(ISNUMBER(SEARCH("ASAP",C3268)),"ASAP",IF(NETWORKDAYS.INTL(F3268,G3268,1,Table2[Dias no laborales]) &lt;= 7, "Dentro", IF(A3268&gt;F3268,"Programado","Fuera"))))</f>
        <v>Acumulado</v>
      </c>
      <c r="K3268" s="6" t="str">
        <f t="shared" si="182"/>
        <v>A tiempo</v>
      </c>
      <c r="L3268" s="8"/>
      <c r="M3268" s="17">
        <f>MAX(1,NETWORKDAYS(A3268,L3268,Table2[Dias no laborales]))</f>
        <v>1</v>
      </c>
    </row>
    <row r="3269" spans="1:13" x14ac:dyDescent="0.3">
      <c r="A3269" s="8"/>
      <c r="B3269" s="16" t="s">
        <v>5976</v>
      </c>
      <c r="C3269" s="6"/>
      <c r="D3269" s="6"/>
      <c r="E3269" s="14"/>
      <c r="F3269" s="25">
        <f>IF(HOUR(Table1[[#This Row],[CORREO]])&gt;=11,WORKDAY(Table1[[#This Row],[CORREO]],1,Table2[Dias no laborales]),E3269)</f>
        <v>0</v>
      </c>
      <c r="G3269" s="8"/>
      <c r="H3269" s="6">
        <f t="shared" si="181"/>
        <v>0</v>
      </c>
      <c r="I3269" s="6">
        <f>MAX(1, NETWORKDAYS(A3269, G3269,Table2[Dias no laborales]))</f>
        <v>1</v>
      </c>
      <c r="J3269" s="6" t="str">
        <f>IF(Table1[[#This Row],[FIN]]="","Acumulado",IF(ISNUMBER(SEARCH("ASAP",C3269)),"ASAP",IF(NETWORKDAYS.INTL(F3269,G3269,1,Table2[Dias no laborales]) &lt;= 7, "Dentro", IF(A3269&gt;F3269,"Programado","Fuera"))))</f>
        <v>Acumulado</v>
      </c>
      <c r="K3269" s="6" t="str">
        <f t="shared" si="182"/>
        <v>A tiempo</v>
      </c>
      <c r="L3269" s="8"/>
      <c r="M3269" s="17">
        <f>MAX(1,NETWORKDAYS(A3269,L3269,Table2[Dias no laborales]))</f>
        <v>1</v>
      </c>
    </row>
    <row r="3270" spans="1:13" x14ac:dyDescent="0.3">
      <c r="A3270" s="8"/>
      <c r="B3270" s="16" t="s">
        <v>5977</v>
      </c>
      <c r="C3270" s="6"/>
      <c r="D3270" s="6"/>
      <c r="E3270" s="14"/>
      <c r="F3270" s="25">
        <f>IF(HOUR(Table1[[#This Row],[CORREO]])&gt;=11,WORKDAY(Table1[[#This Row],[CORREO]],1,Table2[Dias no laborales]),E3270)</f>
        <v>0</v>
      </c>
      <c r="G3270" s="8"/>
      <c r="H3270" s="6">
        <f t="shared" si="181"/>
        <v>0</v>
      </c>
      <c r="I3270" s="6">
        <f>MAX(1, NETWORKDAYS(A3270, G3270,Table2[Dias no laborales]))</f>
        <v>1</v>
      </c>
      <c r="J3270" s="6" t="str">
        <f>IF(Table1[[#This Row],[FIN]]="","Acumulado",IF(ISNUMBER(SEARCH("ASAP",C3270)),"ASAP",IF(NETWORKDAYS.INTL(F3270,G3270,1,Table2[Dias no laborales]) &lt;= 7, "Dentro", IF(A3270&gt;F3270,"Programado","Fuera"))))</f>
        <v>Acumulado</v>
      </c>
      <c r="K3270" s="6" t="str">
        <f t="shared" si="182"/>
        <v>A tiempo</v>
      </c>
      <c r="L3270" s="8"/>
      <c r="M3270" s="17">
        <f>MAX(1,NETWORKDAYS(A3270,L3270,Table2[Dias no laborales]))</f>
        <v>1</v>
      </c>
    </row>
    <row r="3271" spans="1:13" x14ac:dyDescent="0.3">
      <c r="A3271" s="8"/>
      <c r="B3271" s="16" t="s">
        <v>5978</v>
      </c>
      <c r="C3271" s="6"/>
      <c r="D3271" s="6"/>
      <c r="E3271" s="14"/>
      <c r="F3271" s="25">
        <f>IF(HOUR(Table1[[#This Row],[CORREO]])&gt;=11,WORKDAY(Table1[[#This Row],[CORREO]],1,Table2[Dias no laborales]),E3271)</f>
        <v>0</v>
      </c>
      <c r="G3271" s="8"/>
      <c r="H3271" s="6">
        <f t="shared" si="181"/>
        <v>0</v>
      </c>
      <c r="I3271" s="6">
        <f>MAX(1, NETWORKDAYS(A3271, G3271,Table2[Dias no laborales]))</f>
        <v>1</v>
      </c>
      <c r="J3271" s="6" t="str">
        <f>IF(Table1[[#This Row],[FIN]]="","Acumulado",IF(ISNUMBER(SEARCH("ASAP",C3271)),"ASAP",IF(NETWORKDAYS.INTL(F3271,G3271,1,Table2[Dias no laborales]) &lt;= 7, "Dentro", IF(A3271&gt;F3271,"Programado","Fuera"))))</f>
        <v>Acumulado</v>
      </c>
      <c r="K3271" s="6" t="str">
        <f t="shared" si="182"/>
        <v>A tiempo</v>
      </c>
      <c r="L3271" s="8"/>
      <c r="M3271" s="17">
        <f>MAX(1,NETWORKDAYS(A3271,L3271,Table2[Dias no laborales]))</f>
        <v>1</v>
      </c>
    </row>
  </sheetData>
  <phoneticPr fontId="2" type="noConversion"/>
  <conditionalFormatting sqref="B1:B1411 B1413:B1048576">
    <cfRule type="duplicateValues" dxfId="1" priority="2"/>
  </conditionalFormatting>
  <conditionalFormatting sqref="B1412">
    <cfRule type="duplicateValues" dxfId="0" priority="1"/>
  </conditionalFormatting>
  <dataValidations count="3">
    <dataValidation type="custom" allowBlank="1" showErrorMessage="1" errorTitle="Dato duplicado" error="Este valor ya existe en la lista ingresa un valor unico" prompt="Este valor ya existe en la lista ingresa uno unico " sqref="B1390:B1394" xr:uid="{B5BB8361-3ECC-4EE1-A77C-FC7040DCEE3C}">
      <formula1>COUNTIF($C:$C, B1390) &lt;= 1</formula1>
    </dataValidation>
    <dataValidation type="custom" allowBlank="1" showInputMessage="1" showErrorMessage="1" errorTitle="Dato duplicado" error="Este ticket ya se encuentra en la lista" sqref="B2:B1389" xr:uid="{EA912A40-7174-4284-85D8-E7BD9B9D9CF8}">
      <formula1>COUNTIF($B:$B,B2)&lt;=1</formula1>
    </dataValidation>
    <dataValidation type="custom" allowBlank="1" showErrorMessage="1" errorTitle="Dato duplicado" error="Este valor ya existe en la lista ingresa un valor unico" prompt="Este valor ya existe en la lista ingresa uno unico " sqref="B1395:B1400" xr:uid="{5AA08D1C-F4DF-4B2B-B54F-4D73E1A35CAA}">
      <formula1>COUNTIF($A:$A, XFD1395) &lt;= 1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6C8-BEEA-4139-B0DF-CB9DC7ED7570}">
  <dimension ref="A1:A13"/>
  <sheetViews>
    <sheetView workbookViewId="0">
      <selection activeCell="A14" sqref="A14"/>
    </sheetView>
  </sheetViews>
  <sheetFormatPr defaultRowHeight="14.4" x14ac:dyDescent="0.3"/>
  <cols>
    <col min="1" max="1" width="16.6640625" style="23" customWidth="1"/>
  </cols>
  <sheetData>
    <row r="1" spans="1:1" x14ac:dyDescent="0.3">
      <c r="A1" s="23" t="s">
        <v>3340</v>
      </c>
    </row>
    <row r="2" spans="1:1" x14ac:dyDescent="0.3">
      <c r="A2" s="23">
        <v>45978</v>
      </c>
    </row>
    <row r="3" spans="1:1" x14ac:dyDescent="0.3">
      <c r="A3" s="23">
        <v>46015</v>
      </c>
    </row>
    <row r="4" spans="1:1" x14ac:dyDescent="0.3">
      <c r="A4" s="23">
        <v>46016</v>
      </c>
    </row>
    <row r="5" spans="1:1" x14ac:dyDescent="0.3">
      <c r="A5" s="23">
        <v>46022</v>
      </c>
    </row>
    <row r="6" spans="1:1" x14ac:dyDescent="0.3">
      <c r="A6" s="23">
        <v>46023</v>
      </c>
    </row>
    <row r="7" spans="1:1" x14ac:dyDescent="0.3">
      <c r="A7" s="23">
        <v>46055</v>
      </c>
    </row>
    <row r="8" spans="1:1" x14ac:dyDescent="0.3">
      <c r="A8" s="23">
        <v>46097</v>
      </c>
    </row>
    <row r="9" spans="1:1" x14ac:dyDescent="0.3">
      <c r="A9" s="23">
        <v>46114</v>
      </c>
    </row>
    <row r="10" spans="1:1" x14ac:dyDescent="0.3">
      <c r="A10" s="23">
        <v>46115</v>
      </c>
    </row>
    <row r="11" spans="1:1" x14ac:dyDescent="0.3">
      <c r="A11" s="23">
        <v>46143</v>
      </c>
    </row>
    <row r="12" spans="1:1" x14ac:dyDescent="0.3">
      <c r="A12" s="23">
        <v>46147</v>
      </c>
    </row>
    <row r="13" spans="1:1" x14ac:dyDescent="0.3">
      <c r="A13" s="28">
        <v>46281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BF186FD1AD2439B4485692326A2C1" ma:contentTypeVersion="11" ma:contentTypeDescription="Create a new document." ma:contentTypeScope="" ma:versionID="16c00868c62a6d04f5ab65f7f1e51a2e">
  <xsd:schema xmlns:xsd="http://www.w3.org/2001/XMLSchema" xmlns:xs="http://www.w3.org/2001/XMLSchema" xmlns:p="http://schemas.microsoft.com/office/2006/metadata/properties" xmlns:ns3="a64998cf-cf83-41f5-8035-6179a29b75f5" targetNamespace="http://schemas.microsoft.com/office/2006/metadata/properties" ma:root="true" ma:fieldsID="f9201c9590aa9e2b03dccb5f0312f7ba" ns3:_="">
    <xsd:import namespace="a64998cf-cf83-41f5-8035-6179a29b75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998cf-cf83-41f5-8035-6179a29b75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4998cf-cf83-41f5-8035-6179a29b75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3FBED-3605-438A-AA2E-0C6540DCF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998cf-cf83-41f5-8035-6179a29b7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34801F-93EC-4464-93FF-65010DFB5927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a64998cf-cf83-41f5-8035-6179a29b75f5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1B820FD-D80D-47C3-B40F-F2564B00BC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DANNA PATRICIA RIVEROLL MARTINEZ</dc:creator>
  <cp:keywords/>
  <dc:description/>
  <cp:lastModifiedBy>DANNA PATRICIA RIVEROLL MARTINEZ</cp:lastModifiedBy>
  <cp:revision/>
  <dcterms:created xsi:type="dcterms:W3CDTF">2025-12-17T19:08:05Z</dcterms:created>
  <dcterms:modified xsi:type="dcterms:W3CDTF">2026-10-09T23:40:38Z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0x0101009D7BF186FD1AD2439B4485692326A2C1</vt:lpwstr>
  </property>
</Properties>
</file>