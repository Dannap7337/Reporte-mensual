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C4D7BE00-4650-4C4B-A975-4BF49BA22628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76" i="1" l="1"/>
  <c r="K1876" i="1" s="1"/>
  <c r="F1877" i="1"/>
  <c r="F1878" i="1"/>
  <c r="H1876" i="1"/>
  <c r="H1877" i="1"/>
  <c r="H1878" i="1"/>
  <c r="I1876" i="1"/>
  <c r="I1877" i="1"/>
  <c r="I1878" i="1"/>
  <c r="J1876" i="1"/>
  <c r="J1877" i="1"/>
  <c r="J1878" i="1"/>
  <c r="K1877" i="1"/>
  <c r="K1878" i="1"/>
  <c r="M1876" i="1"/>
  <c r="M1877" i="1"/>
  <c r="M1878" i="1"/>
  <c r="F1873" i="1"/>
  <c r="K1873" i="1" s="1"/>
  <c r="F1874" i="1"/>
  <c r="K1874" i="1" s="1"/>
  <c r="F1875" i="1"/>
  <c r="K1875" i="1" s="1"/>
  <c r="H1873" i="1"/>
  <c r="H1874" i="1"/>
  <c r="H1875" i="1"/>
  <c r="I1873" i="1"/>
  <c r="I1874" i="1"/>
  <c r="I1875" i="1"/>
  <c r="J1873" i="1"/>
  <c r="J1874" i="1"/>
  <c r="J1875" i="1"/>
  <c r="M1873" i="1"/>
  <c r="M1874" i="1"/>
  <c r="M1875" i="1"/>
  <c r="F1866" i="1"/>
  <c r="K1866" i="1" s="1"/>
  <c r="F1867" i="1"/>
  <c r="K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J1867" i="1"/>
  <c r="J1870" i="1"/>
  <c r="J1871" i="1"/>
  <c r="M1866" i="1"/>
  <c r="M1867" i="1"/>
  <c r="M1868" i="1"/>
  <c r="M1869" i="1"/>
  <c r="M1870" i="1"/>
  <c r="M1871" i="1"/>
  <c r="M1872" i="1"/>
  <c r="F1858" i="1"/>
  <c r="K1858" i="1" s="1"/>
  <c r="F1859" i="1"/>
  <c r="K1859" i="1" s="1"/>
  <c r="F1860" i="1"/>
  <c r="K1860" i="1" s="1"/>
  <c r="F1861" i="1"/>
  <c r="K1861" i="1" s="1"/>
  <c r="F1862" i="1"/>
  <c r="K1862" i="1" s="1"/>
  <c r="F1863" i="1"/>
  <c r="K1863" i="1" s="1"/>
  <c r="F1864" i="1"/>
  <c r="K1864" i="1" s="1"/>
  <c r="F1865" i="1"/>
  <c r="K1865" i="1" s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58" i="1"/>
  <c r="J1859" i="1"/>
  <c r="J1860" i="1"/>
  <c r="J1861" i="1"/>
  <c r="J1862" i="1"/>
  <c r="J1863" i="1"/>
  <c r="J1864" i="1"/>
  <c r="J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K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790" i="1"/>
  <c r="J1801" i="1"/>
  <c r="J1812" i="1"/>
  <c r="J1826" i="1"/>
  <c r="J1827" i="1"/>
  <c r="J1830" i="1"/>
  <c r="J1832" i="1"/>
  <c r="J1833" i="1"/>
  <c r="J1840" i="1"/>
  <c r="J1841" i="1"/>
  <c r="J1844" i="1"/>
  <c r="J1848" i="1"/>
  <c r="J1850" i="1"/>
  <c r="J1851" i="1"/>
  <c r="J1853" i="1"/>
  <c r="J1854" i="1"/>
  <c r="J1855" i="1"/>
  <c r="J1857" i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45" i="1"/>
  <c r="J1751" i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F1655" i="1"/>
  <c r="K1655" i="1" s="1"/>
  <c r="F1656" i="1"/>
  <c r="K1656" i="1" s="1"/>
  <c r="F1657" i="1"/>
  <c r="K1657" i="1" s="1"/>
  <c r="F1658" i="1"/>
  <c r="K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F1599" i="1"/>
  <c r="K1599" i="1" s="1"/>
  <c r="H1599" i="1"/>
  <c r="J1869" i="1" l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F1614" i="1"/>
  <c r="F1615" i="1"/>
  <c r="K1615" i="1" s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K1635" i="1" s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K1592" i="1" s="1"/>
  <c r="F1593" i="1"/>
  <c r="F1594" i="1"/>
  <c r="F1595" i="1"/>
  <c r="F1596" i="1"/>
  <c r="K1596" i="1" s="1"/>
  <c r="F1597" i="1"/>
  <c r="F1598" i="1"/>
  <c r="F1600" i="1"/>
  <c r="F1601" i="1"/>
  <c r="F1602" i="1"/>
  <c r="F1603" i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F1528" i="1"/>
  <c r="H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F1520" i="1"/>
  <c r="H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K1493" i="1" s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F1513" i="1"/>
  <c r="F1514" i="1"/>
  <c r="F1515" i="1"/>
  <c r="F1516" i="1"/>
  <c r="F1517" i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F1403" i="1"/>
  <c r="H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F1413" i="1"/>
  <c r="F1421" i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F1359" i="1"/>
  <c r="K1359" i="1" s="1"/>
  <c r="H1359" i="1"/>
  <c r="F1401" i="1"/>
  <c r="H1401" i="1"/>
  <c r="F1400" i="1"/>
  <c r="H1400" i="1"/>
  <c r="F1399" i="1"/>
  <c r="H1399" i="1"/>
  <c r="F1398" i="1"/>
  <c r="H1398" i="1"/>
  <c r="F1397" i="1"/>
  <c r="H1397" i="1"/>
  <c r="F1396" i="1"/>
  <c r="H1396" i="1"/>
  <c r="F1395" i="1"/>
  <c r="H1395" i="1"/>
  <c r="F1394" i="1"/>
  <c r="H1394" i="1"/>
  <c r="F1393" i="1"/>
  <c r="H1393" i="1"/>
  <c r="F2" i="1"/>
  <c r="H2" i="1"/>
  <c r="F1392" i="1"/>
  <c r="H1392" i="1"/>
  <c r="F1391" i="1"/>
  <c r="H1391" i="1"/>
  <c r="F1390" i="1"/>
  <c r="H1390" i="1"/>
  <c r="F1389" i="1"/>
  <c r="H1389" i="1"/>
  <c r="F1388" i="1"/>
  <c r="H1388" i="1"/>
  <c r="F1387" i="1"/>
  <c r="H1387" i="1"/>
  <c r="F1386" i="1"/>
  <c r="H1386" i="1"/>
  <c r="F1385" i="1"/>
  <c r="H1385" i="1"/>
  <c r="F1384" i="1"/>
  <c r="H1384" i="1"/>
  <c r="F1383" i="1"/>
  <c r="H1383" i="1"/>
  <c r="F1382" i="1"/>
  <c r="H1382" i="1"/>
  <c r="F1381" i="1"/>
  <c r="H1381" i="1"/>
  <c r="F1380" i="1"/>
  <c r="H1380" i="1"/>
  <c r="F1379" i="1"/>
  <c r="H1379" i="1"/>
  <c r="F277" i="1"/>
  <c r="K277" i="1" s="1"/>
  <c r="F428" i="1"/>
  <c r="F1334" i="1"/>
  <c r="F1345" i="1"/>
  <c r="F1342" i="1"/>
  <c r="K1342" i="1" s="1"/>
  <c r="F1343" i="1"/>
  <c r="K1343" i="1" s="1"/>
  <c r="H277" i="1"/>
  <c r="H428" i="1"/>
  <c r="H1334" i="1"/>
  <c r="H1345" i="1"/>
  <c r="H1342" i="1"/>
  <c r="H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F1297" i="1"/>
  <c r="H1297" i="1"/>
  <c r="F1298" i="1"/>
  <c r="H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F1242" i="1"/>
  <c r="K1242" i="1" s="1"/>
  <c r="F1243" i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<sst xmlns="http://schemas.openxmlformats.org/spreadsheetml/2006/main" count="5646" uniqueCount="3792">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</sst>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878" totalsRowShown="0" headerRowDxfId="22" dataDxfId="20" headerRowBorderDxfId="21" tableBorderDxfId="19" totalsRowBorderDxfId="18">
  <autoFilter ref="A1:M1878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8" totalsRowShown="0" headerRowDxfId="4" dataDxfId="3">
  <autoFilter ref="A1:A8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878"/>
  <sheetViews>
    <sheetView tabSelected="1" topLeftCell="F1847" zoomScale="75" zoomScaleNormal="32" workbookViewId="0">
      <selection activeCell="L1859" sqref="L1859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>
        <v>46087</v>
      </c>
      <c r="H277" s="7">
        <f t="shared" si="8"/>
        <v>10</v>
      </c>
      <c r="I277" s="20">
        <f>MAX(1, NETWORKDAYS(A277, G277,Table2[Dias no laborales]))</f>
        <v>256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26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26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Fuera</v>
      </c>
      <c r="K936" s="7" t="str">
        <f t="shared" si="29"/>
        <v>A tiempo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34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>
        <v>46094</v>
      </c>
      <c r="H1233" s="7">
        <f t="shared" si="39"/>
        <v>46</v>
      </c>
      <c r="I1233" s="20">
        <f>MAX(1, NETWORKDAYS(A1233, G1233,Table2[Dias no laborales]))</f>
        <v>80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Programados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Programados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39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257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256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45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Row],[CORREO]],1),E1509)</f>
        <v>0</v>
      </c>
      <c r="G1509" s="11"/>
      <c r="H1509" s="7">
        <f t="shared" si="49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>
        <v>46100</v>
      </c>
      <c r="H1517" s="7">
        <f t="shared" si="49"/>
        <v>5</v>
      </c>
      <c r="I1517" s="20">
        <f>MAX(1, NETWORKDAYS(A1517, G1517,Table2[Dias no laborales]))</f>
        <v>33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Row],[CORREO]],1),E1558)</f>
        <v>0</v>
      </c>
      <c r="G1558" s="11">
        <v>46094</v>
      </c>
      <c r="H1558" s="7">
        <f t="shared" si="53"/>
        <v>6</v>
      </c>
      <c r="I1558" s="20">
        <f>MAX(1, NETWORKDAYS(A1558, G1558,Table2[Dias no laborales]))</f>
        <v>26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>
        <v>46085</v>
      </c>
      <c r="H1575" s="7">
        <f t="shared" si="55"/>
        <v>6</v>
      </c>
      <c r="I1575" s="20">
        <f>MAX(1, NETWORKDAYS(A1575, G1575,Table2[Dias no laborales]))</f>
        <v>17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>
        <v>46087</v>
      </c>
      <c r="H1591" s="7">
        <f t="shared" si="55"/>
        <v>6</v>
      </c>
      <c r="I1591" s="20">
        <f>MAX(1, NETWORKDAYS(A1591, G1591,Table2[Dias no laborales]))</f>
        <v>18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55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57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>
        <v>46085</v>
      </c>
      <c r="H1623" s="7">
        <f t="shared" si="57"/>
        <v>7</v>
      </c>
      <c r="I1623" s="20">
        <f>MAX(1, NETWORKDAYS(A1623, G1623,Table2[Dias no laborales]))</f>
        <v>12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Fuera</v>
      </c>
      <c r="K1623" s="7" t="str">
        <f t="shared" si="58"/>
        <v>A tiempo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>
        <v>46085</v>
      </c>
      <c r="H1636" s="7">
        <f t="shared" si="59"/>
        <v>8</v>
      </c>
      <c r="I1636" s="20">
        <f>MAX(1, NETWORKDAYS(A1636, G1636,Table2[Dias no laborales]))</f>
        <v>10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>
        <v>46085</v>
      </c>
      <c r="H1646" s="7">
        <f t="shared" si="59"/>
        <v>8</v>
      </c>
      <c r="I1646" s="20">
        <f>MAX(1, NETWORKDAYS(A1646, G1646,Table2[Dias no laborales]))</f>
        <v>9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Fuera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>
        <v>46111</v>
      </c>
      <c r="H1649" s="7">
        <f t="shared" si="59"/>
        <v>8</v>
      </c>
      <c r="I1649" s="20">
        <f>MAX(1, NETWORKDAYS(A1649, G1649,Table2[Dias no laborales]))</f>
        <v>26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Row],[CORREO]],1),E1720)</f>
        <v>46086.324999999997</v>
      </c>
      <c r="G1720" s="11"/>
      <c r="H1720" s="7">
        <f t="shared" si="65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Row],[CORREO]],1),E1721)</f>
        <v>46087</v>
      </c>
      <c r="G1721" s="11">
        <v>46100</v>
      </c>
      <c r="H1721" s="7">
        <f t="shared" si="65"/>
        <v>10</v>
      </c>
      <c r="I1721" s="7">
        <f>MAX(1, NETWORKDAYS(A1721, G1721,Table2[Dias no laborales]))</f>
        <v>10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Row],[CORREO]],1),E1724)</f>
        <v>0</v>
      </c>
      <c r="G1724" s="11"/>
      <c r="H1724" s="7">
        <f t="shared" si="65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Row],[CORREO]],1),E1725)</f>
        <v>46087</v>
      </c>
      <c r="G1725" s="11">
        <v>46108</v>
      </c>
      <c r="H1725" s="7">
        <f t="shared" si="65"/>
        <v>10</v>
      </c>
      <c r="I1725" s="7">
        <f>MAX(1, NETWORKDAYS(A1725, G1725,Table2[Dias no laborales]))</f>
        <v>16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Row],[CORREO]],1),E1735)</f>
        <v>0</v>
      </c>
      <c r="G1735" s="11">
        <v>46108</v>
      </c>
      <c r="H1735" s="7">
        <f t="shared" si="65"/>
        <v>10</v>
      </c>
      <c r="I1735" s="7">
        <f>MAX(1, NETWORKDAYS(A1735, G1735,Table2[Dias no laborales]))</f>
        <v>15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Row],[CORREO]],1),E1737)</f>
        <v>46090</v>
      </c>
      <c r="G1737" s="11">
        <v>46108</v>
      </c>
      <c r="H1737" s="7">
        <f t="shared" si="65"/>
        <v>10</v>
      </c>
      <c r="I1737" s="7">
        <f>MAX(1, NETWORKDAYS(A1737, G1737,Table2[Dias no laborales]))</f>
        <v>15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Row],[CORREO]],1),E1744)</f>
        <v>46091</v>
      </c>
      <c r="G1744" s="11">
        <v>46106</v>
      </c>
      <c r="H1744" s="7">
        <f t="shared" ref="H1744:H1757" si="67">INT((A1744-DATE(YEAR(A1744),1,1))/7) + 1</f>
        <v>10</v>
      </c>
      <c r="I1744" s="7">
        <f>MAX(1, NETWORKDAYS(A1744, G1744,Table2[Dias no laborales]))</f>
        <v>11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Fuera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Row],[CORREO]],1),E1746)</f>
        <v>46091</v>
      </c>
      <c r="G1746" s="11">
        <v>46106</v>
      </c>
      <c r="H1746" s="7">
        <f t="shared" si="67"/>
        <v>10</v>
      </c>
      <c r="I1746" s="7">
        <f>MAX(1, NETWORKDAYS(A1746, G1746,Table2[Dias no laborales]))</f>
        <v>11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Fuera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Row],[CORREO]],1),E1747)</f>
        <v>46091</v>
      </c>
      <c r="G1747" s="11">
        <v>46106</v>
      </c>
      <c r="H1747" s="7">
        <f t="shared" si="67"/>
        <v>10</v>
      </c>
      <c r="I1747" s="7">
        <f>MAX(1, NETWORKDAYS(A1747, G1747,Table2[Dias no laborales]))</f>
        <v>11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Fuera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Row],[CORREO]],1),E1748)</f>
        <v>46091.359027777777</v>
      </c>
      <c r="G1748" s="11">
        <v>46106</v>
      </c>
      <c r="H1748" s="7">
        <f t="shared" si="67"/>
        <v>10</v>
      </c>
      <c r="I1748" s="7">
        <f>MAX(1, NETWORKDAYS(A1748, G1748,Table2[Dias no laborales]))</f>
        <v>11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Fuera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Row],[CORREO]],1),E1750)</f>
        <v>46092</v>
      </c>
      <c r="G1750" s="11">
        <v>46108</v>
      </c>
      <c r="H1750" s="7">
        <f t="shared" si="67"/>
        <v>10</v>
      </c>
      <c r="I1750" s="7">
        <f>MAX(1, NETWORKDAYS(A1750, G1750,Table2[Dias no laborales]))</f>
        <v>13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Row],[CORREO]],1),E1751)</f>
        <v>46092</v>
      </c>
      <c r="G1751" s="11">
        <v>46094</v>
      </c>
      <c r="H1751" s="7">
        <f t="shared" si="67"/>
        <v>10</v>
      </c>
      <c r="I1751" s="7">
        <f>MAX(1, NETWORKDAYS(A1751, G1751,Table2[Dias no laborales]))</f>
        <v>4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Row],[CORREO]],1),E1752)</f>
        <v>46092</v>
      </c>
      <c r="G1752" s="11">
        <v>46106</v>
      </c>
      <c r="H1752" s="7">
        <f t="shared" si="67"/>
        <v>10</v>
      </c>
      <c r="I1752" s="7">
        <f>MAX(1, NETWORKDAYS(A1752, G1752,Table2[Dias no laborales]))</f>
        <v>10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Fuera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Row],[CORREO]],1),E1753)</f>
        <v>46092</v>
      </c>
      <c r="G1753" s="11">
        <v>46094</v>
      </c>
      <c r="H1753" s="7">
        <f t="shared" si="67"/>
        <v>10</v>
      </c>
      <c r="I1753" s="7">
        <f>MAX(1, NETWORKDAYS(A1753, G1753,Table2[Dias no laborales]))</f>
        <v>3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Row],[CORREO]],1),E1754)</f>
        <v>46092</v>
      </c>
      <c r="G1754" s="11">
        <v>46108</v>
      </c>
      <c r="H1754" s="7">
        <f t="shared" si="67"/>
        <v>10</v>
      </c>
      <c r="I1754" s="7">
        <f>MAX(1, NETWORKDAYS(A1754, G1754,Table2[Dias no laborales]))</f>
        <v>12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Row],[CORREO]],1),E1756)</f>
        <v>0</v>
      </c>
      <c r="G1756" s="11">
        <v>46094</v>
      </c>
      <c r="H1756" s="7">
        <f t="shared" si="67"/>
        <v>10</v>
      </c>
      <c r="I1756" s="7">
        <f>MAX(1, NETWORKDAYS(A1756, G1756,Table2[Dias no laborales]))</f>
        <v>3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Row],[CORREO]],1),E1757)</f>
        <v>46093</v>
      </c>
      <c r="G1757" s="11">
        <v>46094</v>
      </c>
      <c r="H1757" s="7">
        <f t="shared" si="67"/>
        <v>10</v>
      </c>
      <c r="I1757" s="7">
        <f>MAX(1, NETWORKDAYS(A1757, G1757,Table2[Dias no laborales]))</f>
        <v>3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Row],[CORREO]],1),E1771)</f>
        <v>46097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Programados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Row],[CORREO]],1),E1772)</f>
        <v>46097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Programados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Row],[CORREO]],1),E1773)</f>
        <v>46097</v>
      </c>
      <c r="G1773" s="11">
        <v>46108</v>
      </c>
      <c r="H1773" s="7">
        <f t="shared" si="69"/>
        <v>11</v>
      </c>
      <c r="I1773" s="7">
        <f>MAX(1, NETWORKDAYS(A1773, G1773,Table2[Dias no laborales]))</f>
        <v>9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Programado</v>
      </c>
      <c r="K1773" s="7" t="str">
        <f t="shared" si="70"/>
        <v>Programados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Row],[CORREO]],1),E1784)</f>
        <v>46099.388194444444</v>
      </c>
      <c r="G1784" s="11"/>
      <c r="H1784" s="7">
        <f t="shared" si="69"/>
        <v>11</v>
      </c>
      <c r="I1784" s="7">
        <f>MAX(1, NETWORKDAYS(A1784, G1784,Table2[Dias no laborales]))</f>
        <v>1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Acumulado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Row],[CORREO]],1),E1790)</f>
        <v>0</v>
      </c>
      <c r="G1790" s="11"/>
      <c r="H1790" s="7">
        <f t="shared" ref="H1790:H1821" si="71">INT((A1790-DATE(YEAR(A1790),1,1))/7) + 1</f>
        <v>12</v>
      </c>
      <c r="I1790" s="7">
        <f>MAX(1, NETWORKDAYS(A1790, G1790,Table2[Dias no laborales]))</f>
        <v>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Acumulado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Row],[CORREO]],1),E1801)</f>
        <v>0</v>
      </c>
      <c r="G1801" s="11"/>
      <c r="H1801" s="7">
        <f t="shared" si="71"/>
        <v>12</v>
      </c>
      <c r="I1801" s="7">
        <f>MAX(1, NETWORKDAYS(A1801, G1801,Table2[Dias no laborales]))</f>
        <v>1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Acumulado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Row],[CORREO]],1),E1812)</f>
        <v>46104.4375</v>
      </c>
      <c r="G1812" s="11"/>
      <c r="H1812" s="7">
        <f t="shared" si="71"/>
        <v>12</v>
      </c>
      <c r="I1812" s="7">
        <f>MAX(1, NETWORKDAYS(A1812, G1812,Table2[Dias no laborales]))</f>
        <v>1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Acumulado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Row],[CORREO]],1),E1827)</f>
        <v>46105.404166666667</v>
      </c>
      <c r="G1827" s="11"/>
      <c r="H1827" s="7">
        <f t="shared" si="73"/>
        <v>12</v>
      </c>
      <c r="I1827" s="7">
        <f>MAX(1, NETWORKDAYS(A1827, G1827,Table2[Dias no laborales]))</f>
        <v>1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Acumulado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Row],[CORREO]],1),E1830)</f>
        <v>46106</v>
      </c>
      <c r="G1830" s="11"/>
      <c r="H1830" s="7">
        <f t="shared" si="73"/>
        <v>12</v>
      </c>
      <c r="I1830" s="7">
        <f>MAX(1, NETWORKDAYS(A1830, G1830,Table2[Dias no laborales]))</f>
        <v>1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Acumulado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Row],[CORREO]],1),E1832)</f>
        <v>46106</v>
      </c>
      <c r="G1832" s="11"/>
      <c r="H1832" s="7">
        <f t="shared" si="73"/>
        <v>12</v>
      </c>
      <c r="I1832" s="7">
        <f>MAX(1, NETWORKDAYS(A1832, G1832,Table2[Dias no laborales]))</f>
        <v>1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Acumulado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Row],[CORREO]],1),E1833)</f>
        <v>46106</v>
      </c>
      <c r="G1833" s="11"/>
      <c r="H1833" s="7">
        <f t="shared" si="73"/>
        <v>12</v>
      </c>
      <c r="I1833" s="7">
        <f>MAX(1, NETWORKDAYS(A1833, G1833,Table2[Dias no laborales]))</f>
        <v>1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Acumulado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Row],[CORREO]],1),E1840)</f>
        <v>46106.420138888891</v>
      </c>
      <c r="G1840" s="11"/>
      <c r="H1840" s="7">
        <f t="shared" si="73"/>
        <v>12</v>
      </c>
      <c r="I1840" s="7">
        <f>MAX(1, NETWORKDAYS(A1840, G1840,Table2[Dias no laborales]))</f>
        <v>1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Acumulado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Row],[CORREO]],1),E1841)</f>
        <v>46107</v>
      </c>
      <c r="G1841" s="11"/>
      <c r="H1841" s="7">
        <f t="shared" si="73"/>
        <v>12</v>
      </c>
      <c r="I1841" s="7">
        <f>MAX(1, NETWORKDAYS(A1841, G1841,Table2[Dias no laborales]))</f>
        <v>1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Acumulado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Row],[CORREO]],1),E1844)</f>
        <v>46107</v>
      </c>
      <c r="G1844" s="11"/>
      <c r="H1844" s="7">
        <f t="shared" si="73"/>
        <v>13</v>
      </c>
      <c r="I1844" s="7">
        <f>MAX(1, NETWORKDAYS(A1844, G1844,Table2[Dias no laborales]))</f>
        <v>1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Acumulado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Row],[CORREO]],1),E1848)</f>
        <v>46107.376388888886</v>
      </c>
      <c r="G1848" s="11"/>
      <c r="H1848" s="7">
        <f t="shared" si="73"/>
        <v>13</v>
      </c>
      <c r="I1848" s="7">
        <f>MAX(1, NETWORKDAYS(A1848, G1848,Table2[Dias no laborales]))</f>
        <v>1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Acumulado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Row],[CORREO]],1),E1850)</f>
        <v>0</v>
      </c>
      <c r="G1850" s="11"/>
      <c r="H1850" s="7">
        <f t="shared" si="73"/>
        <v>13</v>
      </c>
      <c r="I1850" s="7">
        <f>MAX(1, NETWORKDAYS(A1850, G1850,Table2[Dias no laborales]))</f>
        <v>1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Acumulado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Row],[CORREO]],1),E1851)</f>
        <v>46108</v>
      </c>
      <c r="G1851" s="11"/>
      <c r="H1851" s="7">
        <f t="shared" si="73"/>
        <v>13</v>
      </c>
      <c r="I1851" s="7">
        <f>MAX(1, NETWORKDAYS(A1851, G1851,Table2[Dias no laborales]))</f>
        <v>1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Acumulado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Row],[CORREO]],1),E1853)</f>
        <v>46108.427083333336</v>
      </c>
      <c r="G1853" s="11"/>
      <c r="H1853" s="7">
        <f t="shared" si="73"/>
        <v>13</v>
      </c>
      <c r="I1853" s="7">
        <f>MAX(1, NETWORKDAYS(A1853, G1853,Table2[Dias no laborales]))</f>
        <v>1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Acumulado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Row],[CORREO]],1),E1854)</f>
        <v>0</v>
      </c>
      <c r="G1854" s="11"/>
      <c r="H1854" s="7">
        <f t="shared" si="73"/>
        <v>13</v>
      </c>
      <c r="I1854" s="7">
        <f>MAX(1, NETWORKDAYS(A1854, G1854,Table2[Dias no laborales]))</f>
        <v>1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Acumulado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Row],[CORREO]],1),E1855)</f>
        <v>0</v>
      </c>
      <c r="G1855" s="11"/>
      <c r="H1855" s="7">
        <f t="shared" si="73"/>
        <v>13</v>
      </c>
      <c r="I1855" s="7">
        <f>MAX(1, NETWORKDAYS(A1855, G1855,Table2[Dias no laborales]))</f>
        <v>1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Acumulado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Row],[CORREO]],1),E1856)</f>
        <v>0</v>
      </c>
      <c r="G1856" s="11">
        <v>46115</v>
      </c>
      <c r="H1856" s="7">
        <f t="shared" si="73"/>
        <v>13</v>
      </c>
      <c r="I1856" s="7">
        <f>MAX(1, NETWORKDAYS(A1856, G1856,Table2[Dias no laborales]))</f>
        <v>5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Row],[CORREO]],1),E1857)</f>
        <v>46111</v>
      </c>
      <c r="G1857" s="11"/>
      <c r="H1857" s="7">
        <f t="shared" si="73"/>
        <v>13</v>
      </c>
      <c r="I1857" s="7">
        <f>MAX(1, NETWORKDAYS(A1857, G1857,Table2[Dias no laborales]))</f>
        <v>1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Acumulado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Row],[CORREO]],1),E1860)</f>
        <v>46111</v>
      </c>
      <c r="G1860" s="11"/>
      <c r="H1860" s="7">
        <f t="shared" si="75"/>
        <v>13</v>
      </c>
      <c r="I1860" s="7">
        <f>MAX(1, NETWORKDAYS(A1860, G1860,Table2[Dias no laborales]))</f>
        <v>1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Acumulado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Row],[CORREO]],1),E1864)</f>
        <v>0</v>
      </c>
      <c r="G1864" s="11"/>
      <c r="H1864" s="7">
        <f t="shared" si="75"/>
        <v>13</v>
      </c>
      <c r="I1864" s="7">
        <f>MAX(1, NETWORKDAYS(A1864, G1864,Table2[Dias no laborales]))</f>
        <v>1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Acumulado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Row],[CORREO]],1),E1867)</f>
        <v>46112</v>
      </c>
      <c r="G1867" s="11"/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Acumulado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Row],[CORREO]],1),E1870)</f>
        <v>46112</v>
      </c>
      <c r="G1870" s="11"/>
      <c r="H1870" s="7">
        <f t="shared" si="77"/>
        <v>13</v>
      </c>
      <c r="I1870" s="7">
        <f>MAX(1, NETWORKDAYS(A1870, G1870,Table2[Dias no laborales]))</f>
        <v>1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Acumulado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Row],[CORREO]],1),E1871)</f>
        <v>46112.302777777775</v>
      </c>
      <c r="G1871" s="11"/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Acumulado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Row],[CORREO]],1),E1873)</f>
        <v>46112.370833333334</v>
      </c>
      <c r="G1873" s="11"/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Acumulado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5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Row],[CORREO]],1),E1876)</f>
        <v>46113</v>
      </c>
      <c r="G1876" s="11"/>
      <c r="H1876" s="7">
        <f t="shared" ref="H1876:H1878" si="81">INT((A1876-DATE(YEAR(A1876),1,1))/7) + 1</f>
        <v>13</v>
      </c>
      <c r="I1876" s="7">
        <f>MAX(1, NETWORKDAYS(A1876, G1876,Table2[Dias no laborales]))</f>
        <v>1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Acumulado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5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Row],[CORREO]],1),E1877)</f>
        <v>46113.352083333331</v>
      </c>
      <c r="G1877" s="11"/>
      <c r="H1877" s="7">
        <f t="shared" si="81"/>
        <v>13</v>
      </c>
      <c r="I1877" s="7">
        <f>MAX(1, NETWORKDAYS(A1877, G1877,Table2[Dias no laborales]))</f>
        <v>1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Acumulado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5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8"/>
  <sheetViews>
    <sheetView workbookViewId="0">
      <selection activeCell="A9" sqref="A9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2026-04-01T17:14:06Z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