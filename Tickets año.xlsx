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CA5F23DA-FB25-4437-90B9-1F1D8FD8C948}" xr6:coauthVersionLast="47" xr6:coauthVersionMax="47" xr10:uidLastSave="{00000000-0000-0000-0000-000000000000}"/>
  <bookViews>
    <workbookView xWindow="951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73" i="1" l="1"/>
  <c r="K1873" i="1" s="1"/>
  <c r="F1874" i="1"/>
  <c r="K1874" i="1" s="1"/>
  <c r="F1875" i="1"/>
  <c r="K1875" i="1" s="1"/>
  <c r="H1873" i="1"/>
  <c r="H1874" i="1"/>
  <c r="H1875" i="1"/>
  <c r="I1873" i="1"/>
  <c r="I1874" i="1"/>
  <c r="I1875" i="1"/>
  <c r="J1873" i="1"/>
  <c r="J1874" i="1"/>
  <c r="J1875" i="1"/>
  <c r="M1873" i="1"/>
  <c r="M1874" i="1"/>
  <c r="M1875" i="1"/>
  <c r="F1866" i="1"/>
  <c r="K1866" i="1" s="1"/>
  <c r="F1867" i="1"/>
  <c r="K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J1867" i="1"/>
  <c r="J1868" i="1"/>
  <c r="J1869" i="1"/>
  <c r="J1870" i="1"/>
  <c r="J1871" i="1"/>
  <c r="M1866" i="1"/>
  <c r="M1867" i="1"/>
  <c r="M1868" i="1"/>
  <c r="M1869" i="1"/>
  <c r="M1870" i="1"/>
  <c r="M1871" i="1"/>
  <c r="M1872" i="1"/>
  <c r="F1858" i="1"/>
  <c r="K1858" i="1" s="1"/>
  <c r="F1859" i="1"/>
  <c r="K1859" i="1" s="1"/>
  <c r="F1860" i="1"/>
  <c r="K1860" i="1" s="1"/>
  <c r="F1861" i="1"/>
  <c r="K1861" i="1" s="1"/>
  <c r="F1862" i="1"/>
  <c r="K1862" i="1" s="1"/>
  <c r="F1863" i="1"/>
  <c r="K1863" i="1" s="1"/>
  <c r="F1864" i="1"/>
  <c r="K1864" i="1" s="1"/>
  <c r="F1865" i="1"/>
  <c r="K1865" i="1" s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J1858" i="1"/>
  <c r="J1859" i="1"/>
  <c r="J1860" i="1"/>
  <c r="J1861" i="1"/>
  <c r="J1862" i="1"/>
  <c r="J1863" i="1"/>
  <c r="J1864" i="1"/>
  <c r="J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K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J1784" i="1"/>
  <c r="J1790" i="1"/>
  <c r="J1801" i="1"/>
  <c r="J1811" i="1"/>
  <c r="J1812" i="1"/>
  <c r="J1813" i="1"/>
  <c r="J1826" i="1"/>
  <c r="J1827" i="1"/>
  <c r="J1829" i="1"/>
  <c r="J1830" i="1"/>
  <c r="J1832" i="1"/>
  <c r="J1833" i="1"/>
  <c r="J1837" i="1"/>
  <c r="J1840" i="1"/>
  <c r="J1841" i="1"/>
  <c r="J1844" i="1"/>
  <c r="J1848" i="1"/>
  <c r="J1850" i="1"/>
  <c r="J1851" i="1"/>
  <c r="J1853" i="1"/>
  <c r="J1854" i="1"/>
  <c r="J1855" i="1"/>
  <c r="J1857" i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45" i="1"/>
  <c r="J1751" i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0" i="1"/>
  <c r="J1721" i="1"/>
  <c r="J1722" i="1"/>
  <c r="J1724" i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F1655" i="1"/>
  <c r="K1655" i="1" s="1"/>
  <c r="F1656" i="1"/>
  <c r="K1656" i="1" s="1"/>
  <c r="F1657" i="1"/>
  <c r="K1657" i="1" s="1"/>
  <c r="F1658" i="1"/>
  <c r="K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7" i="1"/>
  <c r="J165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46" i="1"/>
  <c r="J1167" i="1"/>
  <c r="J1168" i="1"/>
  <c r="J1199" i="1"/>
  <c r="J1211" i="1"/>
  <c r="J1213" i="1"/>
  <c r="J1221" i="1"/>
  <c r="J1222" i="1"/>
  <c r="J1242" i="1"/>
  <c r="J1245" i="1"/>
  <c r="J1246" i="1"/>
  <c r="J1272" i="1"/>
  <c r="J1284" i="1"/>
  <c r="J1306" i="1"/>
  <c r="J1330" i="1"/>
  <c r="J1331" i="1"/>
  <c r="J1342" i="1"/>
  <c r="J1343" i="1"/>
  <c r="J1347" i="1"/>
  <c r="J1348" i="1"/>
  <c r="J1359" i="1"/>
  <c r="J1364" i="1"/>
  <c r="J1372" i="1"/>
  <c r="J1373" i="1"/>
  <c r="J1374" i="1"/>
  <c r="J1433" i="1"/>
  <c r="J1493" i="1"/>
  <c r="J1509" i="1"/>
  <c r="J1578" i="1"/>
  <c r="J1592" i="1"/>
  <c r="J1596" i="1"/>
  <c r="J1615" i="1"/>
  <c r="J1635" i="1"/>
  <c r="F1599" i="1"/>
  <c r="K1599" i="1" s="1"/>
  <c r="H1599" i="1"/>
  <c r="J1809" i="1" l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F1606" i="1"/>
  <c r="F1607" i="1"/>
  <c r="J1607" i="1" s="1"/>
  <c r="F1608" i="1"/>
  <c r="F1609" i="1"/>
  <c r="F1610" i="1"/>
  <c r="F1611" i="1"/>
  <c r="F1612" i="1"/>
  <c r="F1613" i="1"/>
  <c r="F1614" i="1"/>
  <c r="F1615" i="1"/>
  <c r="K1615" i="1" s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K1635" i="1" s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J1654" i="1" s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K1578" i="1" s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K1592" i="1" s="1"/>
  <c r="F1593" i="1"/>
  <c r="F1594" i="1"/>
  <c r="F1595" i="1"/>
  <c r="F1596" i="1"/>
  <c r="K1596" i="1" s="1"/>
  <c r="F1597" i="1"/>
  <c r="F1598" i="1"/>
  <c r="F1600" i="1"/>
  <c r="F1601" i="1"/>
  <c r="F1602" i="1"/>
  <c r="F1603" i="1"/>
  <c r="F1604" i="1"/>
  <c r="F1605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F1528" i="1"/>
  <c r="H1528" i="1"/>
  <c r="F1521" i="1"/>
  <c r="F1522" i="1"/>
  <c r="F1523" i="1"/>
  <c r="F1524" i="1"/>
  <c r="F1525" i="1"/>
  <c r="F1526" i="1"/>
  <c r="F1527" i="1"/>
  <c r="H1521" i="1"/>
  <c r="H1522" i="1"/>
  <c r="H1523" i="1"/>
  <c r="H1524" i="1"/>
  <c r="H1525" i="1"/>
  <c r="H1526" i="1"/>
  <c r="H1527" i="1"/>
  <c r="F1520" i="1"/>
  <c r="H1520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K1493" i="1" s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K1509" i="1" s="1"/>
  <c r="F1510" i="1"/>
  <c r="F1511" i="1"/>
  <c r="F1512" i="1"/>
  <c r="F1513" i="1"/>
  <c r="F1514" i="1"/>
  <c r="F1515" i="1"/>
  <c r="F1516" i="1"/>
  <c r="F1517" i="1"/>
  <c r="F1518" i="1"/>
  <c r="F151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F1414" i="1"/>
  <c r="H1414" i="1"/>
  <c r="F1403" i="1"/>
  <c r="H1403" i="1"/>
  <c r="F1358" i="1"/>
  <c r="F1370" i="1"/>
  <c r="F1375" i="1"/>
  <c r="F1404" i="1"/>
  <c r="F1406" i="1"/>
  <c r="F1410" i="1"/>
  <c r="F1411" i="1"/>
  <c r="F1412" i="1"/>
  <c r="F1418" i="1"/>
  <c r="F1420" i="1"/>
  <c r="F1422" i="1"/>
  <c r="F1423" i="1"/>
  <c r="F1424" i="1"/>
  <c r="F1426" i="1"/>
  <c r="F1428" i="1"/>
  <c r="F1429" i="1"/>
  <c r="F1431" i="1"/>
  <c r="F1433" i="1"/>
  <c r="K1433" i="1" s="1"/>
  <c r="F1434" i="1"/>
  <c r="F1435" i="1"/>
  <c r="F1436" i="1"/>
  <c r="F1437" i="1"/>
  <c r="F1438" i="1"/>
  <c r="F1443" i="1"/>
  <c r="F1402" i="1"/>
  <c r="F1405" i="1"/>
  <c r="F1407" i="1"/>
  <c r="F1415" i="1"/>
  <c r="F1416" i="1"/>
  <c r="F1417" i="1"/>
  <c r="F1439" i="1"/>
  <c r="F1441" i="1"/>
  <c r="F1444" i="1"/>
  <c r="F1451" i="1"/>
  <c r="F1442" i="1"/>
  <c r="F1449" i="1"/>
  <c r="F1453" i="1"/>
  <c r="F1455" i="1"/>
  <c r="F1408" i="1"/>
  <c r="F1419" i="1"/>
  <c r="F1462" i="1"/>
  <c r="F1409" i="1"/>
  <c r="F1448" i="1"/>
  <c r="F1445" i="1"/>
  <c r="F1446" i="1"/>
  <c r="F1447" i="1"/>
  <c r="F1454" i="1"/>
  <c r="F1456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F1413" i="1"/>
  <c r="F1421" i="1"/>
  <c r="F1425" i="1"/>
  <c r="F1427" i="1"/>
  <c r="F1430" i="1"/>
  <c r="F1432" i="1"/>
  <c r="F1440" i="1"/>
  <c r="F1450" i="1"/>
  <c r="F1452" i="1"/>
  <c r="F1457" i="1"/>
  <c r="F1458" i="1"/>
  <c r="F1459" i="1"/>
  <c r="F1460" i="1"/>
  <c r="F1461" i="1"/>
  <c r="F1463" i="1"/>
  <c r="F1464" i="1"/>
  <c r="F1465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F1359" i="1"/>
  <c r="K1359" i="1" s="1"/>
  <c r="H1359" i="1"/>
  <c r="F1401" i="1"/>
  <c r="H1401" i="1"/>
  <c r="F1400" i="1"/>
  <c r="H1400" i="1"/>
  <c r="F1399" i="1"/>
  <c r="H1399" i="1"/>
  <c r="F1398" i="1"/>
  <c r="H1398" i="1"/>
  <c r="F1397" i="1"/>
  <c r="H1397" i="1"/>
  <c r="F1396" i="1"/>
  <c r="H1396" i="1"/>
  <c r="F1395" i="1"/>
  <c r="H1395" i="1"/>
  <c r="F1394" i="1"/>
  <c r="H1394" i="1"/>
  <c r="F1393" i="1"/>
  <c r="H1393" i="1"/>
  <c r="F2" i="1"/>
  <c r="H2" i="1"/>
  <c r="F1392" i="1"/>
  <c r="H1392" i="1"/>
  <c r="F1391" i="1"/>
  <c r="H1391" i="1"/>
  <c r="F1390" i="1"/>
  <c r="H1390" i="1"/>
  <c r="F1389" i="1"/>
  <c r="H1389" i="1"/>
  <c r="F1388" i="1"/>
  <c r="H1388" i="1"/>
  <c r="F1387" i="1"/>
  <c r="H1387" i="1"/>
  <c r="F1386" i="1"/>
  <c r="H1386" i="1"/>
  <c r="F1385" i="1"/>
  <c r="H1385" i="1"/>
  <c r="F1384" i="1"/>
  <c r="H1384" i="1"/>
  <c r="F1383" i="1"/>
  <c r="H1383" i="1"/>
  <c r="F1382" i="1"/>
  <c r="H1382" i="1"/>
  <c r="F1381" i="1"/>
  <c r="H1381" i="1"/>
  <c r="F1380" i="1"/>
  <c r="H1380" i="1"/>
  <c r="F1379" i="1"/>
  <c r="H1379" i="1"/>
  <c r="F277" i="1"/>
  <c r="K277" i="1" s="1"/>
  <c r="F428" i="1"/>
  <c r="F1334" i="1"/>
  <c r="F1345" i="1"/>
  <c r="F1342" i="1"/>
  <c r="K1342" i="1" s="1"/>
  <c r="F1343" i="1"/>
  <c r="K1343" i="1" s="1"/>
  <c r="H277" i="1"/>
  <c r="H428" i="1"/>
  <c r="H1334" i="1"/>
  <c r="H1345" i="1"/>
  <c r="H1342" i="1"/>
  <c r="H1343" i="1"/>
  <c r="F1348" i="1"/>
  <c r="K1348" i="1" s="1"/>
  <c r="F1322" i="1"/>
  <c r="F1336" i="1"/>
  <c r="F1335" i="1"/>
  <c r="F1319" i="1"/>
  <c r="F1320" i="1"/>
  <c r="F1356" i="1"/>
  <c r="F1347" i="1"/>
  <c r="K1347" i="1" s="1"/>
  <c r="F1346" i="1"/>
  <c r="F1350" i="1"/>
  <c r="F1352" i="1"/>
  <c r="F1331" i="1"/>
  <c r="K1331" i="1" s="1"/>
  <c r="F1329" i="1"/>
  <c r="F1344" i="1"/>
  <c r="F1363" i="1"/>
  <c r="F1357" i="1"/>
  <c r="F1323" i="1"/>
  <c r="F1324" i="1"/>
  <c r="F1327" i="1"/>
  <c r="F1332" i="1"/>
  <c r="F1361" i="1"/>
  <c r="F1364" i="1"/>
  <c r="K1364" i="1" s="1"/>
  <c r="F1365" i="1"/>
  <c r="F1368" i="1"/>
  <c r="F1369" i="1"/>
  <c r="F1353" i="1"/>
  <c r="F1354" i="1"/>
  <c r="F1355" i="1"/>
  <c r="F1372" i="1"/>
  <c r="K1372" i="1" s="1"/>
  <c r="F1371" i="1"/>
  <c r="F1326" i="1"/>
  <c r="F1325" i="1"/>
  <c r="F1351" i="1"/>
  <c r="F1373" i="1"/>
  <c r="K1373" i="1" s="1"/>
  <c r="F1374" i="1"/>
  <c r="K1374" i="1" s="1"/>
  <c r="F1349" i="1"/>
  <c r="F1376" i="1"/>
  <c r="F1333" i="1"/>
  <c r="F1378" i="1"/>
  <c r="F1362" i="1"/>
  <c r="F1377" i="1"/>
  <c r="F1315" i="1"/>
  <c r="F1367" i="1"/>
  <c r="F1366" i="1"/>
  <c r="F1360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F1292" i="1"/>
  <c r="H1292" i="1"/>
  <c r="F1297" i="1"/>
  <c r="H1297" i="1"/>
  <c r="F1298" i="1"/>
  <c r="H1298" i="1"/>
  <c r="F1281" i="1"/>
  <c r="F1300" i="1"/>
  <c r="F1307" i="1"/>
  <c r="F1305" i="1"/>
  <c r="F1302" i="1"/>
  <c r="F1280" i="1"/>
  <c r="F1309" i="1"/>
  <c r="F1308" i="1"/>
  <c r="F1296" i="1"/>
  <c r="F1301" i="1"/>
  <c r="F1294" i="1"/>
  <c r="F1253" i="1"/>
  <c r="F1311" i="1"/>
  <c r="F1290" i="1"/>
  <c r="F1244" i="1"/>
  <c r="F1310" i="1"/>
  <c r="F1318" i="1"/>
  <c r="F1304" i="1"/>
  <c r="F1316" i="1"/>
  <c r="F1313" i="1"/>
  <c r="F1312" i="1"/>
  <c r="F1314" i="1"/>
  <c r="F1328" i="1"/>
  <c r="F1303" i="1"/>
  <c r="F1338" i="1"/>
  <c r="F1340" i="1"/>
  <c r="F1337" i="1"/>
  <c r="F1339" i="1"/>
  <c r="F1330" i="1"/>
  <c r="K1330" i="1" s="1"/>
  <c r="F1317" i="1"/>
  <c r="F1341" i="1"/>
  <c r="F1306" i="1"/>
  <c r="K1306" i="1" s="1"/>
  <c r="F1321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F5" i="1"/>
  <c r="F13" i="1"/>
  <c r="F10" i="1"/>
  <c r="F16" i="1"/>
  <c r="F14" i="1"/>
  <c r="F4" i="1"/>
  <c r="F6" i="1"/>
  <c r="F7" i="1"/>
  <c r="F9" i="1"/>
  <c r="F11" i="1"/>
  <c r="F12" i="1"/>
  <c r="F17" i="1"/>
  <c r="F33" i="1"/>
  <c r="F27" i="1"/>
  <c r="F30" i="1"/>
  <c r="F32" i="1"/>
  <c r="F26" i="1"/>
  <c r="F15" i="1"/>
  <c r="F38" i="1"/>
  <c r="F22" i="1"/>
  <c r="F25" i="1"/>
  <c r="F24" i="1"/>
  <c r="F36" i="1"/>
  <c r="F37" i="1"/>
  <c r="F42" i="1"/>
  <c r="F18" i="1"/>
  <c r="F19" i="1"/>
  <c r="F20" i="1"/>
  <c r="F41" i="1"/>
  <c r="F21" i="1"/>
  <c r="F23" i="1"/>
  <c r="F35" i="1"/>
  <c r="F46" i="1"/>
  <c r="F28" i="1"/>
  <c r="F29" i="1"/>
  <c r="F34" i="1"/>
  <c r="F31" i="1"/>
  <c r="F52" i="1"/>
  <c r="F49" i="1"/>
  <c r="F54" i="1"/>
  <c r="F55" i="1"/>
  <c r="F50" i="1"/>
  <c r="F62" i="1"/>
  <c r="F67" i="1"/>
  <c r="F45" i="1"/>
  <c r="F68" i="1"/>
  <c r="F56" i="1"/>
  <c r="F69" i="1"/>
  <c r="F71" i="1"/>
  <c r="F66" i="1"/>
  <c r="F3" i="1"/>
  <c r="F70" i="1"/>
  <c r="F72" i="1"/>
  <c r="F63" i="1"/>
  <c r="F39" i="1"/>
  <c r="F40" i="1"/>
  <c r="F58" i="1"/>
  <c r="F73" i="1"/>
  <c r="F43" i="1"/>
  <c r="F47" i="1"/>
  <c r="F51" i="1"/>
  <c r="F59" i="1"/>
  <c r="F57" i="1"/>
  <c r="F44" i="1"/>
  <c r="F48" i="1"/>
  <c r="F80" i="1"/>
  <c r="F76" i="1"/>
  <c r="F77" i="1"/>
  <c r="F53" i="1"/>
  <c r="F91" i="1"/>
  <c r="F79" i="1"/>
  <c r="F81" i="1"/>
  <c r="F90" i="1"/>
  <c r="F64" i="1"/>
  <c r="F89" i="1"/>
  <c r="F74" i="1"/>
  <c r="F82" i="1"/>
  <c r="F88" i="1"/>
  <c r="F85" i="1"/>
  <c r="F60" i="1"/>
  <c r="F65" i="1"/>
  <c r="F61" i="1"/>
  <c r="F83" i="1"/>
  <c r="F86" i="1"/>
  <c r="F75" i="1"/>
  <c r="F102" i="1"/>
  <c r="F92" i="1"/>
  <c r="F103" i="1"/>
  <c r="F104" i="1"/>
  <c r="F93" i="1"/>
  <c r="F101" i="1"/>
  <c r="F97" i="1"/>
  <c r="F78" i="1"/>
  <c r="F87" i="1"/>
  <c r="F105" i="1"/>
  <c r="F84" i="1"/>
  <c r="F94" i="1"/>
  <c r="F110" i="1"/>
  <c r="F109" i="1"/>
  <c r="F114" i="1"/>
  <c r="F113" i="1"/>
  <c r="F111" i="1"/>
  <c r="F95" i="1"/>
  <c r="F96" i="1"/>
  <c r="F98" i="1"/>
  <c r="F99" i="1"/>
  <c r="F100" i="1"/>
  <c r="F129" i="1"/>
  <c r="F122" i="1"/>
  <c r="F119" i="1"/>
  <c r="F120" i="1"/>
  <c r="F118" i="1"/>
  <c r="F112" i="1"/>
  <c r="F128" i="1"/>
  <c r="F130" i="1"/>
  <c r="F126" i="1"/>
  <c r="F134" i="1"/>
  <c r="F133" i="1"/>
  <c r="F131" i="1"/>
  <c r="F107" i="1"/>
  <c r="F108" i="1"/>
  <c r="F125" i="1"/>
  <c r="F138" i="1"/>
  <c r="F115" i="1"/>
  <c r="F124" i="1"/>
  <c r="F135" i="1"/>
  <c r="F121" i="1"/>
  <c r="F123" i="1"/>
  <c r="F147" i="1"/>
  <c r="F137" i="1"/>
  <c r="F148" i="1"/>
  <c r="F153" i="1"/>
  <c r="F136" i="1"/>
  <c r="F150" i="1"/>
  <c r="F151" i="1"/>
  <c r="F145" i="1"/>
  <c r="F142" i="1"/>
  <c r="F143" i="1"/>
  <c r="F144" i="1"/>
  <c r="F156" i="1"/>
  <c r="F149" i="1"/>
  <c r="F170" i="1"/>
  <c r="F159" i="1"/>
  <c r="F162" i="1"/>
  <c r="F141" i="1"/>
  <c r="F140" i="1"/>
  <c r="F106" i="1"/>
  <c r="F174" i="1"/>
  <c r="F180" i="1"/>
  <c r="F127" i="1"/>
  <c r="F172" i="1"/>
  <c r="F155" i="1"/>
  <c r="F177" i="1"/>
  <c r="F158" i="1"/>
  <c r="F166" i="1"/>
  <c r="F167" i="1"/>
  <c r="F168" i="1"/>
  <c r="F146" i="1"/>
  <c r="F178" i="1"/>
  <c r="F185" i="1"/>
  <c r="F191" i="1"/>
  <c r="F189" i="1"/>
  <c r="F169" i="1"/>
  <c r="F195" i="1"/>
  <c r="F165" i="1"/>
  <c r="F164" i="1"/>
  <c r="F176" i="1"/>
  <c r="F175" i="1"/>
  <c r="F192" i="1"/>
  <c r="F188" i="1"/>
  <c r="F205" i="1"/>
  <c r="F200" i="1"/>
  <c r="F201" i="1"/>
  <c r="F204" i="1"/>
  <c r="F208" i="1"/>
  <c r="F117" i="1"/>
  <c r="F181" i="1"/>
  <c r="F217" i="1"/>
  <c r="F182" i="1"/>
  <c r="F203" i="1"/>
  <c r="F154" i="1"/>
  <c r="F160" i="1"/>
  <c r="F206" i="1"/>
  <c r="F211" i="1"/>
  <c r="F116" i="1"/>
  <c r="F224" i="1"/>
  <c r="F198" i="1"/>
  <c r="F218" i="1"/>
  <c r="F219" i="1"/>
  <c r="F214" i="1"/>
  <c r="F226" i="1"/>
  <c r="F190" i="1"/>
  <c r="F225" i="1"/>
  <c r="F223" i="1"/>
  <c r="F152" i="1"/>
  <c r="F229" i="1"/>
  <c r="F171" i="1"/>
  <c r="F187" i="1"/>
  <c r="F183" i="1"/>
  <c r="F228" i="1"/>
  <c r="F196" i="1"/>
  <c r="F237" i="1"/>
  <c r="F238" i="1"/>
  <c r="F194" i="1"/>
  <c r="F216" i="1"/>
  <c r="F221" i="1"/>
  <c r="F231" i="1"/>
  <c r="F215" i="1"/>
  <c r="F235" i="1"/>
  <c r="F173" i="1"/>
  <c r="F243" i="1"/>
  <c r="F249" i="1"/>
  <c r="F247" i="1"/>
  <c r="F233" i="1"/>
  <c r="F222" i="1"/>
  <c r="F163" i="1"/>
  <c r="F236" i="1"/>
  <c r="F245" i="1"/>
  <c r="F179" i="1"/>
  <c r="F230" i="1"/>
  <c r="F250" i="1"/>
  <c r="F255" i="1"/>
  <c r="F254" i="1"/>
  <c r="F132" i="1"/>
  <c r="F248" i="1"/>
  <c r="F184" i="1"/>
  <c r="F202" i="1"/>
  <c r="F257" i="1"/>
  <c r="F265" i="1"/>
  <c r="F234" i="1"/>
  <c r="F252" i="1"/>
  <c r="F240" i="1"/>
  <c r="F266" i="1"/>
  <c r="K266" i="1" s="1"/>
  <c r="F253" i="1"/>
  <c r="F212" i="1"/>
  <c r="F259" i="1"/>
  <c r="F244" i="1"/>
  <c r="F270" i="1"/>
  <c r="F276" i="1"/>
  <c r="F139" i="1"/>
  <c r="F246" i="1"/>
  <c r="F261" i="1"/>
  <c r="F264" i="1"/>
  <c r="F262" i="1"/>
  <c r="F275" i="1"/>
  <c r="F251" i="1"/>
  <c r="F283" i="1"/>
  <c r="F273" i="1"/>
  <c r="F279" i="1"/>
  <c r="F161" i="1"/>
  <c r="F193" i="1"/>
  <c r="F197" i="1"/>
  <c r="F199" i="1"/>
  <c r="F220" i="1"/>
  <c r="F232" i="1"/>
  <c r="F281" i="1"/>
  <c r="F227" i="1"/>
  <c r="F239" i="1"/>
  <c r="F242" i="1"/>
  <c r="F278" i="1"/>
  <c r="F263" i="1"/>
  <c r="F260" i="1"/>
  <c r="F287" i="1"/>
  <c r="F290" i="1"/>
  <c r="F286" i="1"/>
  <c r="F285" i="1"/>
  <c r="F267" i="1"/>
  <c r="F256" i="1"/>
  <c r="F295" i="1"/>
  <c r="F300" i="1"/>
  <c r="F291" i="1"/>
  <c r="F301" i="1"/>
  <c r="F272" i="1"/>
  <c r="F294" i="1"/>
  <c r="F284" i="1"/>
  <c r="F308" i="1"/>
  <c r="F271" i="1"/>
  <c r="F316" i="1"/>
  <c r="F269" i="1"/>
  <c r="F312" i="1"/>
  <c r="F304" i="1"/>
  <c r="F307" i="1"/>
  <c r="F157" i="1"/>
  <c r="F320" i="1"/>
  <c r="F318" i="1"/>
  <c r="F321" i="1"/>
  <c r="F305" i="1"/>
  <c r="F241" i="1"/>
  <c r="F323" i="1"/>
  <c r="F319" i="1"/>
  <c r="F309" i="1"/>
  <c r="K309" i="1" s="1"/>
  <c r="F315" i="1"/>
  <c r="F314" i="1"/>
  <c r="F327" i="1"/>
  <c r="F324" i="1"/>
  <c r="F332" i="1"/>
  <c r="F330" i="1"/>
  <c r="F331" i="1"/>
  <c r="F326" i="1"/>
  <c r="K326" i="1" s="1"/>
  <c r="F268" i="1"/>
  <c r="F334" i="1"/>
  <c r="F298" i="1"/>
  <c r="F335" i="1"/>
  <c r="F311" i="1"/>
  <c r="K311" i="1" s="1"/>
  <c r="F317" i="1"/>
  <c r="F329" i="1"/>
  <c r="F306" i="1"/>
  <c r="F313" i="1"/>
  <c r="F302" i="1"/>
  <c r="F336" i="1"/>
  <c r="F310" i="1"/>
  <c r="F338" i="1"/>
  <c r="F288" i="1"/>
  <c r="F346" i="1"/>
  <c r="F333" i="1"/>
  <c r="F349" i="1"/>
  <c r="F350" i="1"/>
  <c r="F340" i="1"/>
  <c r="F342" i="1"/>
  <c r="F343" i="1"/>
  <c r="F328" i="1"/>
  <c r="F344" i="1"/>
  <c r="F348" i="1"/>
  <c r="F341" i="1"/>
  <c r="F353" i="1"/>
  <c r="F322" i="1"/>
  <c r="F359" i="1"/>
  <c r="F360" i="1"/>
  <c r="K360" i="1" s="1"/>
  <c r="F213" i="1"/>
  <c r="F361" i="1"/>
  <c r="K361" i="1" s="1"/>
  <c r="F358" i="1"/>
  <c r="F356" i="1"/>
  <c r="F303" i="1"/>
  <c r="F357" i="1"/>
  <c r="K357" i="1" s="1"/>
  <c r="F347" i="1"/>
  <c r="F362" i="1"/>
  <c r="K362" i="1" s="1"/>
  <c r="F351" i="1"/>
  <c r="K351" i="1" s="1"/>
  <c r="F379" i="1"/>
  <c r="K379" i="1" s="1"/>
  <c r="F292" i="1"/>
  <c r="F339" i="1"/>
  <c r="K339" i="1" s="1"/>
  <c r="F296" i="1"/>
  <c r="F352" i="1"/>
  <c r="F376" i="1"/>
  <c r="F378" i="1"/>
  <c r="F375" i="1"/>
  <c r="F345" i="1"/>
  <c r="F280" i="1"/>
  <c r="F383" i="1"/>
  <c r="F385" i="1"/>
  <c r="K385" i="1" s="1"/>
  <c r="F393" i="1"/>
  <c r="F390" i="1"/>
  <c r="F382" i="1"/>
  <c r="K382" i="1" s="1"/>
  <c r="F388" i="1"/>
  <c r="F389" i="1"/>
  <c r="F381" i="1"/>
  <c r="F400" i="1"/>
  <c r="F399" i="1"/>
  <c r="F397" i="1"/>
  <c r="F355" i="1"/>
  <c r="F386" i="1"/>
  <c r="F384" i="1"/>
  <c r="F391" i="1"/>
  <c r="F186" i="1"/>
  <c r="F404" i="1"/>
  <c r="F394" i="1"/>
  <c r="F289" i="1"/>
  <c r="F402" i="1"/>
  <c r="F367" i="1"/>
  <c r="F368" i="1"/>
  <c r="F369" i="1"/>
  <c r="F371" i="1"/>
  <c r="F372" i="1"/>
  <c r="F407" i="1"/>
  <c r="F413" i="1"/>
  <c r="F380" i="1"/>
  <c r="F403" i="1"/>
  <c r="K403" i="1" s="1"/>
  <c r="F406" i="1"/>
  <c r="F366" i="1"/>
  <c r="F282" i="1"/>
  <c r="F363" i="1"/>
  <c r="K363" i="1" s="1"/>
  <c r="F412" i="1"/>
  <c r="F420" i="1"/>
  <c r="F410" i="1"/>
  <c r="F417" i="1"/>
  <c r="F416" i="1"/>
  <c r="F409" i="1"/>
  <c r="F392" i="1"/>
  <c r="K392" i="1" s="1"/>
  <c r="F425" i="1"/>
  <c r="F424" i="1"/>
  <c r="K424" i="1" s="1"/>
  <c r="F365" i="1"/>
  <c r="F426" i="1"/>
  <c r="F408" i="1"/>
  <c r="K408" i="1" s="1"/>
  <c r="F429" i="1"/>
  <c r="F427" i="1"/>
  <c r="F422" i="1"/>
  <c r="F274" i="1"/>
  <c r="F325" i="1"/>
  <c r="F423" i="1"/>
  <c r="F414" i="1"/>
  <c r="F297" i="1"/>
  <c r="F370" i="1"/>
  <c r="F377" i="1"/>
  <c r="F432" i="1"/>
  <c r="F398" i="1"/>
  <c r="F354" i="1"/>
  <c r="F401" i="1"/>
  <c r="K401" i="1" s="1"/>
  <c r="F438" i="1"/>
  <c r="F444" i="1"/>
  <c r="F434" i="1"/>
  <c r="F373" i="1"/>
  <c r="F442" i="1"/>
  <c r="F436" i="1"/>
  <c r="F374" i="1"/>
  <c r="F419" i="1"/>
  <c r="F450" i="1"/>
  <c r="F455" i="1"/>
  <c r="F446" i="1"/>
  <c r="K446" i="1" s="1"/>
  <c r="F258" i="1"/>
  <c r="F435" i="1"/>
  <c r="F461" i="1"/>
  <c r="F460" i="1"/>
  <c r="F465" i="1"/>
  <c r="F457" i="1"/>
  <c r="F452" i="1"/>
  <c r="F459" i="1"/>
  <c r="F447" i="1"/>
  <c r="F458" i="1"/>
  <c r="F463" i="1"/>
  <c r="K463" i="1" s="1"/>
  <c r="F415" i="1"/>
  <c r="F470" i="1"/>
  <c r="F433" i="1"/>
  <c r="F468" i="1"/>
  <c r="F466" i="1"/>
  <c r="F472" i="1"/>
  <c r="F477" i="1"/>
  <c r="F464" i="1"/>
  <c r="K464" i="1" s="1"/>
  <c r="F396" i="1"/>
  <c r="F364" i="1"/>
  <c r="F475" i="1"/>
  <c r="F451" i="1"/>
  <c r="F471" i="1"/>
  <c r="F476" i="1"/>
  <c r="F481" i="1"/>
  <c r="F482" i="1"/>
  <c r="F484" i="1"/>
  <c r="F439" i="1"/>
  <c r="F479" i="1"/>
  <c r="F488" i="1"/>
  <c r="F490" i="1"/>
  <c r="F493" i="1"/>
  <c r="F505" i="1"/>
  <c r="F513" i="1"/>
  <c r="F510" i="1"/>
  <c r="F509" i="1"/>
  <c r="F515" i="1"/>
  <c r="F518" i="1"/>
  <c r="F523" i="1"/>
  <c r="F521" i="1"/>
  <c r="F539" i="1"/>
  <c r="F548" i="1"/>
  <c r="K548" i="1" s="1"/>
  <c r="F544" i="1"/>
  <c r="F551" i="1"/>
  <c r="F550" i="1"/>
  <c r="F562" i="1"/>
  <c r="F560" i="1"/>
  <c r="F207" i="1"/>
  <c r="F563" i="1"/>
  <c r="F566" i="1"/>
  <c r="F570" i="1"/>
  <c r="F569" i="1"/>
  <c r="F581" i="1"/>
  <c r="F577" i="1"/>
  <c r="K577" i="1" s="1"/>
  <c r="F586" i="1"/>
  <c r="F589" i="1"/>
  <c r="F591" i="1"/>
  <c r="F593" i="1"/>
  <c r="F597" i="1"/>
  <c r="F600" i="1"/>
  <c r="F602" i="1"/>
  <c r="F603" i="1"/>
  <c r="F606" i="1"/>
  <c r="F612" i="1"/>
  <c r="F610" i="1"/>
  <c r="F617" i="1"/>
  <c r="F614" i="1"/>
  <c r="F615" i="1"/>
  <c r="F506" i="1"/>
  <c r="F494" i="1"/>
  <c r="F511" i="1"/>
  <c r="F524" i="1"/>
  <c r="F517" i="1"/>
  <c r="F531" i="1"/>
  <c r="F526" i="1"/>
  <c r="F530" i="1"/>
  <c r="F527" i="1"/>
  <c r="F540" i="1"/>
  <c r="F545" i="1"/>
  <c r="F543" i="1"/>
  <c r="F547" i="1"/>
  <c r="F553" i="1"/>
  <c r="F573" i="1"/>
  <c r="F574" i="1"/>
  <c r="F578" i="1"/>
  <c r="K578" i="1" s="1"/>
  <c r="F585" i="1"/>
  <c r="K585" i="1" s="1"/>
  <c r="F587" i="1"/>
  <c r="K587" i="1" s="1"/>
  <c r="F598" i="1"/>
  <c r="F595" i="1"/>
  <c r="F605" i="1"/>
  <c r="F613" i="1"/>
  <c r="K613" i="1" s="1"/>
  <c r="F483" i="1"/>
  <c r="F485" i="1"/>
  <c r="F512" i="1"/>
  <c r="F541" i="1"/>
  <c r="F556" i="1"/>
  <c r="F567" i="1"/>
  <c r="F571" i="1"/>
  <c r="F565" i="1"/>
  <c r="F576" i="1"/>
  <c r="K576" i="1" s="1"/>
  <c r="F590" i="1"/>
  <c r="F487" i="1"/>
  <c r="F496" i="1"/>
  <c r="F497" i="1"/>
  <c r="F491" i="1"/>
  <c r="F516" i="1"/>
  <c r="F519" i="1"/>
  <c r="F542" i="1"/>
  <c r="F559" i="1"/>
  <c r="F592" i="1"/>
  <c r="F588" i="1"/>
  <c r="F473" i="1"/>
  <c r="F486" i="1"/>
  <c r="F499" i="1"/>
  <c r="F500" i="1"/>
  <c r="F502" i="1"/>
  <c r="F503" i="1"/>
  <c r="F538" i="1"/>
  <c r="F293" i="1"/>
  <c r="F534" i="1"/>
  <c r="F557" i="1"/>
  <c r="F568" i="1"/>
  <c r="F582" i="1"/>
  <c r="F584" i="1"/>
  <c r="F594" i="1"/>
  <c r="F467" i="1"/>
  <c r="F469" i="1"/>
  <c r="F495" i="1"/>
  <c r="F514" i="1"/>
  <c r="F552" i="1"/>
  <c r="F580" i="1"/>
  <c r="F583" i="1"/>
  <c r="F478" i="1"/>
  <c r="F492" i="1"/>
  <c r="F546" i="1"/>
  <c r="F549" i="1"/>
  <c r="F449" i="1"/>
  <c r="F501" i="1"/>
  <c r="F507" i="1"/>
  <c r="F561" i="1"/>
  <c r="K561" i="1" s="1"/>
  <c r="F579" i="1"/>
  <c r="F462" i="1"/>
  <c r="F533" i="1"/>
  <c r="F554" i="1"/>
  <c r="F474" i="1"/>
  <c r="F480" i="1"/>
  <c r="F529" i="1"/>
  <c r="F453" i="1"/>
  <c r="F445" i="1"/>
  <c r="F498" i="1"/>
  <c r="F536" i="1"/>
  <c r="F504" i="1"/>
  <c r="F431" i="1"/>
  <c r="F532" i="1"/>
  <c r="F437" i="1"/>
  <c r="F441" i="1"/>
  <c r="F405" i="1"/>
  <c r="F395" i="1"/>
  <c r="F443" i="1"/>
  <c r="F456" i="1"/>
  <c r="F418" i="1"/>
  <c r="F337" i="1"/>
  <c r="F411" i="1"/>
  <c r="F387" i="1"/>
  <c r="F299" i="1"/>
  <c r="F209" i="1"/>
  <c r="F210" i="1"/>
  <c r="F430" i="1"/>
  <c r="F522" i="1"/>
  <c r="F508" i="1"/>
  <c r="F448" i="1"/>
  <c r="F645" i="1"/>
  <c r="F564" i="1"/>
  <c r="F650" i="1"/>
  <c r="F421" i="1"/>
  <c r="F535" i="1"/>
  <c r="F520" i="1"/>
  <c r="F625" i="1"/>
  <c r="F528" i="1"/>
  <c r="F630" i="1"/>
  <c r="F572" i="1"/>
  <c r="F609" i="1"/>
  <c r="F489" i="1"/>
  <c r="F555" i="1"/>
  <c r="F558" i="1"/>
  <c r="F637" i="1"/>
  <c r="F668" i="1"/>
  <c r="F575" i="1"/>
  <c r="F662" i="1"/>
  <c r="K662" i="1" s="1"/>
  <c r="F638" i="1"/>
  <c r="F639" i="1"/>
  <c r="F640" i="1"/>
  <c r="F642" i="1"/>
  <c r="F643" i="1"/>
  <c r="F641" i="1"/>
  <c r="F665" i="1"/>
  <c r="F680" i="1"/>
  <c r="F611" i="1"/>
  <c r="F634" i="1"/>
  <c r="F648" i="1"/>
  <c r="F657" i="1"/>
  <c r="F537" i="1"/>
  <c r="F649" i="1"/>
  <c r="K649" i="1" s="1"/>
  <c r="F601" i="1"/>
  <c r="F604" i="1"/>
  <c r="F624" i="1"/>
  <c r="F607" i="1"/>
  <c r="F666" i="1"/>
  <c r="F631" i="1"/>
  <c r="F664" i="1"/>
  <c r="F667" i="1"/>
  <c r="F698" i="1"/>
  <c r="F700" i="1"/>
  <c r="F699" i="1"/>
  <c r="F618" i="1"/>
  <c r="F655" i="1"/>
  <c r="F682" i="1"/>
  <c r="F697" i="1"/>
  <c r="F703" i="1"/>
  <c r="F654" i="1"/>
  <c r="F672" i="1"/>
  <c r="F677" i="1"/>
  <c r="F691" i="1"/>
  <c r="F695" i="1"/>
  <c r="F616" i="1"/>
  <c r="F619" i="1"/>
  <c r="F628" i="1"/>
  <c r="F636" i="1"/>
  <c r="F651" i="1"/>
  <c r="F660" i="1"/>
  <c r="F674" i="1"/>
  <c r="F675" i="1"/>
  <c r="F676" i="1"/>
  <c r="F679" i="1"/>
  <c r="F684" i="1"/>
  <c r="F687" i="1"/>
  <c r="F623" i="1"/>
  <c r="F633" i="1"/>
  <c r="F632" i="1"/>
  <c r="F629" i="1"/>
  <c r="F644" i="1"/>
  <c r="F653" i="1"/>
  <c r="F661" i="1"/>
  <c r="K661" i="1" s="1"/>
  <c r="F683" i="1"/>
  <c r="F689" i="1"/>
  <c r="F704" i="1"/>
  <c r="F707" i="1"/>
  <c r="F718" i="1"/>
  <c r="F717" i="1"/>
  <c r="F620" i="1"/>
  <c r="F622" i="1"/>
  <c r="F626" i="1"/>
  <c r="F646" i="1"/>
  <c r="F647" i="1"/>
  <c r="F659" i="1"/>
  <c r="F671" i="1"/>
  <c r="F670" i="1"/>
  <c r="F673" i="1"/>
  <c r="F681" i="1"/>
  <c r="F688" i="1"/>
  <c r="F686" i="1"/>
  <c r="F685" i="1"/>
  <c r="F692" i="1"/>
  <c r="F701" i="1"/>
  <c r="F709" i="1"/>
  <c r="K709" i="1" s="1"/>
  <c r="F710" i="1"/>
  <c r="K710" i="1" s="1"/>
  <c r="F715" i="1"/>
  <c r="F716" i="1"/>
  <c r="F722" i="1"/>
  <c r="F712" i="1"/>
  <c r="F723" i="1"/>
  <c r="K723" i="1" s="1"/>
  <c r="F711" i="1"/>
  <c r="F658" i="1"/>
  <c r="F724" i="1"/>
  <c r="F727" i="1"/>
  <c r="F669" i="1"/>
  <c r="F714" i="1"/>
  <c r="F731" i="1"/>
  <c r="F720" i="1"/>
  <c r="F740" i="1"/>
  <c r="F721" i="1"/>
  <c r="F702" i="1"/>
  <c r="F729" i="1"/>
  <c r="F735" i="1"/>
  <c r="F746" i="1"/>
  <c r="F656" i="1"/>
  <c r="F748" i="1"/>
  <c r="F725" i="1"/>
  <c r="K725" i="1" s="1"/>
  <c r="F754" i="1"/>
  <c r="F753" i="1"/>
  <c r="F708" i="1"/>
  <c r="F743" i="1"/>
  <c r="F726" i="1"/>
  <c r="F756" i="1"/>
  <c r="F741" i="1"/>
  <c r="F728" i="1"/>
  <c r="F758" i="1"/>
  <c r="F737" i="1"/>
  <c r="F736" i="1"/>
  <c r="F696" i="1"/>
  <c r="F761" i="1"/>
  <c r="F760" i="1"/>
  <c r="F734" i="1"/>
  <c r="F733" i="1"/>
  <c r="F599" i="1"/>
  <c r="F751" i="1"/>
  <c r="F749" i="1"/>
  <c r="F744" i="1"/>
  <c r="F732" i="1"/>
  <c r="F766" i="1"/>
  <c r="F764" i="1"/>
  <c r="F742" i="1"/>
  <c r="F769" i="1"/>
  <c r="F768" i="1"/>
  <c r="F772" i="1"/>
  <c r="F454" i="1"/>
  <c r="F775" i="1"/>
  <c r="F730" i="1"/>
  <c r="F778" i="1"/>
  <c r="F779" i="1"/>
  <c r="F780" i="1"/>
  <c r="F663" i="1"/>
  <c r="F750" i="1"/>
  <c r="F771" i="1"/>
  <c r="F785" i="1"/>
  <c r="F739" i="1"/>
  <c r="F790" i="1"/>
  <c r="F788" i="1"/>
  <c r="F752" i="1"/>
  <c r="F773" i="1"/>
  <c r="F762" i="1"/>
  <c r="F608" i="1"/>
  <c r="F781" i="1"/>
  <c r="F770" i="1"/>
  <c r="F791" i="1"/>
  <c r="F787" i="1"/>
  <c r="F765" i="1"/>
  <c r="F678" i="1"/>
  <c r="F783" i="1"/>
  <c r="F789" i="1"/>
  <c r="F795" i="1"/>
  <c r="F796" i="1"/>
  <c r="F797" i="1"/>
  <c r="F767" i="1"/>
  <c r="F782" i="1"/>
  <c r="F652" i="1"/>
  <c r="F799" i="1"/>
  <c r="F776" i="1"/>
  <c r="F777" i="1"/>
  <c r="F745" i="1"/>
  <c r="F794" i="1"/>
  <c r="F801" i="1"/>
  <c r="F793" i="1"/>
  <c r="F810" i="1"/>
  <c r="F807" i="1"/>
  <c r="F805" i="1"/>
  <c r="K805" i="1" s="1"/>
  <c r="F802" i="1"/>
  <c r="K802" i="1" s="1"/>
  <c r="F812" i="1"/>
  <c r="F798" i="1"/>
  <c r="F811" i="1"/>
  <c r="F706" i="1"/>
  <c r="F816" i="1"/>
  <c r="K816" i="1" s="1"/>
  <c r="F817" i="1"/>
  <c r="K817" i="1" s="1"/>
  <c r="F809" i="1"/>
  <c r="F804" i="1"/>
  <c r="F803" i="1"/>
  <c r="F808" i="1"/>
  <c r="F820" i="1"/>
  <c r="F822" i="1"/>
  <c r="F800" i="1"/>
  <c r="F821" i="1"/>
  <c r="F792" i="1"/>
  <c r="F819" i="1"/>
  <c r="F738" i="1"/>
  <c r="F635" i="1"/>
  <c r="F824" i="1"/>
  <c r="F693" i="1"/>
  <c r="F806" i="1"/>
  <c r="F786" i="1"/>
  <c r="F831" i="1"/>
  <c r="F759" i="1"/>
  <c r="F813" i="1"/>
  <c r="F814" i="1"/>
  <c r="F823" i="1"/>
  <c r="F755" i="1"/>
  <c r="F747" i="1"/>
  <c r="F757" i="1"/>
  <c r="F784" i="1"/>
  <c r="F827" i="1"/>
  <c r="F828" i="1"/>
  <c r="F829" i="1"/>
  <c r="F830" i="1"/>
  <c r="F834" i="1"/>
  <c r="K834" i="1" s="1"/>
  <c r="F837" i="1"/>
  <c r="K837" i="1" s="1"/>
  <c r="F838" i="1"/>
  <c r="F818" i="1"/>
  <c r="F826" i="1"/>
  <c r="F835" i="1"/>
  <c r="F833" i="1"/>
  <c r="F832" i="1"/>
  <c r="F815" i="1"/>
  <c r="F763" i="1"/>
  <c r="F825" i="1"/>
  <c r="K825" i="1" s="1"/>
  <c r="F842" i="1"/>
  <c r="F844" i="1"/>
  <c r="F850" i="1"/>
  <c r="F853" i="1"/>
  <c r="F855" i="1"/>
  <c r="F839" i="1"/>
  <c r="F840" i="1"/>
  <c r="F841" i="1"/>
  <c r="F861" i="1"/>
  <c r="F864" i="1"/>
  <c r="K864" i="1" s="1"/>
  <c r="F857" i="1"/>
  <c r="K857" i="1" s="1"/>
  <c r="F854" i="1"/>
  <c r="F863" i="1"/>
  <c r="F856" i="1"/>
  <c r="F866" i="1"/>
  <c r="F865" i="1"/>
  <c r="F843" i="1"/>
  <c r="F862" i="1"/>
  <c r="F871" i="1"/>
  <c r="F869" i="1"/>
  <c r="F836" i="1"/>
  <c r="F877" i="1"/>
  <c r="F874" i="1"/>
  <c r="F719" i="1"/>
  <c r="F880" i="1"/>
  <c r="F870" i="1"/>
  <c r="F774" i="1"/>
  <c r="F713" i="1"/>
  <c r="F882" i="1"/>
  <c r="K882" i="1" s="1"/>
  <c r="F883" i="1"/>
  <c r="K883" i="1" s="1"/>
  <c r="F879" i="1"/>
  <c r="F885" i="1"/>
  <c r="F860" i="1"/>
  <c r="F859" i="1"/>
  <c r="K859" i="1" s="1"/>
  <c r="F852" i="1"/>
  <c r="F887" i="1"/>
  <c r="F889" i="1"/>
  <c r="F888" i="1"/>
  <c r="F881" i="1"/>
  <c r="F890" i="1"/>
  <c r="F891" i="1"/>
  <c r="F873" i="1"/>
  <c r="F845" i="1"/>
  <c r="F846" i="1"/>
  <c r="F847" i="1"/>
  <c r="F848" i="1"/>
  <c r="F849" i="1"/>
  <c r="F893" i="1"/>
  <c r="K893" i="1" s="1"/>
  <c r="F898" i="1"/>
  <c r="F900" i="1"/>
  <c r="F899" i="1"/>
  <c r="F886" i="1"/>
  <c r="F525" i="1"/>
  <c r="F903" i="1"/>
  <c r="F908" i="1"/>
  <c r="F909" i="1"/>
  <c r="K909" i="1" s="1"/>
  <c r="F905" i="1"/>
  <c r="F916" i="1"/>
  <c r="F901" i="1"/>
  <c r="F906" i="1"/>
  <c r="F902" i="1"/>
  <c r="F920" i="1"/>
  <c r="F878" i="1"/>
  <c r="F914" i="1"/>
  <c r="F910" i="1"/>
  <c r="F872" i="1"/>
  <c r="F896" i="1"/>
  <c r="F897" i="1"/>
  <c r="F876" i="1"/>
  <c r="F895" i="1"/>
  <c r="F918" i="1"/>
  <c r="F919" i="1"/>
  <c r="F911" i="1"/>
  <c r="F922" i="1"/>
  <c r="F915" i="1"/>
  <c r="F907" i="1"/>
  <c r="F927" i="1"/>
  <c r="F884" i="1"/>
  <c r="F928" i="1"/>
  <c r="F912" i="1"/>
  <c r="F931" i="1"/>
  <c r="F926" i="1"/>
  <c r="K926" i="1" s="1"/>
  <c r="F929" i="1"/>
  <c r="F939" i="1"/>
  <c r="F930" i="1"/>
  <c r="F690" i="1"/>
  <c r="F913" i="1"/>
  <c r="F935" i="1"/>
  <c r="F921" i="1"/>
  <c r="F940" i="1"/>
  <c r="F892" i="1"/>
  <c r="F904" i="1"/>
  <c r="F925" i="1"/>
  <c r="F868" i="1"/>
  <c r="F941" i="1"/>
  <c r="F937" i="1"/>
  <c r="F934" i="1"/>
  <c r="F932" i="1"/>
  <c r="F923" i="1"/>
  <c r="F924" i="1"/>
  <c r="F875" i="1"/>
  <c r="F938" i="1"/>
  <c r="F894" i="1"/>
  <c r="K894" i="1" s="1"/>
  <c r="F627" i="1"/>
  <c r="F917" i="1"/>
  <c r="F867" i="1"/>
  <c r="F694" i="1"/>
  <c r="F858" i="1"/>
  <c r="F936" i="1"/>
  <c r="F943" i="1"/>
  <c r="F946" i="1"/>
  <c r="F953" i="1"/>
  <c r="K953" i="1" s="1"/>
  <c r="F957" i="1"/>
  <c r="F947" i="1"/>
  <c r="F956" i="1"/>
  <c r="F596" i="1"/>
  <c r="F958" i="1"/>
  <c r="F959" i="1"/>
  <c r="F960" i="1"/>
  <c r="F962" i="1"/>
  <c r="F963" i="1"/>
  <c r="F705" i="1"/>
  <c r="F942" i="1"/>
  <c r="F955" i="1"/>
  <c r="F961" i="1"/>
  <c r="F973" i="1"/>
  <c r="F967" i="1"/>
  <c r="F970" i="1"/>
  <c r="F965" i="1"/>
  <c r="F968" i="1"/>
  <c r="F952" i="1"/>
  <c r="F980" i="1"/>
  <c r="K980" i="1" s="1"/>
  <c r="F981" i="1"/>
  <c r="F975" i="1"/>
  <c r="F983" i="1"/>
  <c r="F950" i="1"/>
  <c r="F948" i="1"/>
  <c r="F951" i="1"/>
  <c r="F985" i="1"/>
  <c r="F978" i="1"/>
  <c r="F944" i="1"/>
  <c r="F982" i="1"/>
  <c r="F986" i="1"/>
  <c r="F974" i="1"/>
  <c r="F988" i="1"/>
  <c r="F984" i="1"/>
  <c r="F964" i="1"/>
  <c r="F969" i="1"/>
  <c r="F972" i="1"/>
  <c r="F993" i="1"/>
  <c r="F989" i="1"/>
  <c r="F998" i="1"/>
  <c r="F440" i="1"/>
  <c r="F992" i="1"/>
  <c r="F996" i="1"/>
  <c r="F997" i="1"/>
  <c r="F999" i="1"/>
  <c r="F979" i="1"/>
  <c r="F976" i="1"/>
  <c r="F977" i="1"/>
  <c r="F994" i="1"/>
  <c r="F971" i="1"/>
  <c r="F945" i="1"/>
  <c r="F995" i="1"/>
  <c r="F933" i="1"/>
  <c r="F1005" i="1"/>
  <c r="F1003" i="1"/>
  <c r="F1009" i="1"/>
  <c r="F1008" i="1"/>
  <c r="F1001" i="1"/>
  <c r="F1007" i="1"/>
  <c r="F1002" i="1"/>
  <c r="F1016" i="1"/>
  <c r="F1011" i="1"/>
  <c r="F1012" i="1"/>
  <c r="F949" i="1"/>
  <c r="F1014" i="1"/>
  <c r="F1017" i="1"/>
  <c r="F1018" i="1"/>
  <c r="F1019" i="1"/>
  <c r="F1021" i="1"/>
  <c r="F1026" i="1"/>
  <c r="F991" i="1"/>
  <c r="F1024" i="1"/>
  <c r="F1025" i="1"/>
  <c r="F851" i="1"/>
  <c r="F1027" i="1"/>
  <c r="F1032" i="1"/>
  <c r="K1032" i="1" s="1"/>
  <c r="F1029" i="1"/>
  <c r="F1031" i="1"/>
  <c r="F1015" i="1"/>
  <c r="F1036" i="1"/>
  <c r="F1023" i="1"/>
  <c r="K1023" i="1" s="1"/>
  <c r="F987" i="1"/>
  <c r="F1013" i="1"/>
  <c r="F1028" i="1"/>
  <c r="F1045" i="1"/>
  <c r="K1045" i="1" s="1"/>
  <c r="F1037" i="1"/>
  <c r="F1033" i="1"/>
  <c r="F1044" i="1"/>
  <c r="F1035" i="1"/>
  <c r="K1035" i="1" s="1"/>
  <c r="F1041" i="1"/>
  <c r="F954" i="1"/>
  <c r="F1000" i="1"/>
  <c r="F1004" i="1"/>
  <c r="F1006" i="1"/>
  <c r="F1030" i="1"/>
  <c r="F1034" i="1"/>
  <c r="F1042" i="1"/>
  <c r="F1043" i="1"/>
  <c r="F1046" i="1"/>
  <c r="F1048" i="1"/>
  <c r="F966" i="1"/>
  <c r="F1038" i="1"/>
  <c r="F1054" i="1"/>
  <c r="F1010" i="1"/>
  <c r="F1051" i="1"/>
  <c r="F1056" i="1"/>
  <c r="F1039" i="1"/>
  <c r="F990" i="1"/>
  <c r="F1052" i="1"/>
  <c r="F1020" i="1"/>
  <c r="F1022" i="1"/>
  <c r="F1067" i="1"/>
  <c r="F1066" i="1"/>
  <c r="K1066" i="1" s="1"/>
  <c r="F1074" i="1"/>
  <c r="F1070" i="1"/>
  <c r="F1063" i="1"/>
  <c r="F1072" i="1"/>
  <c r="F1077" i="1"/>
  <c r="F1069" i="1"/>
  <c r="F1050" i="1"/>
  <c r="F1083" i="1"/>
  <c r="F1075" i="1"/>
  <c r="F1073" i="1"/>
  <c r="F1071" i="1"/>
  <c r="F1085" i="1"/>
  <c r="F1092" i="1"/>
  <c r="K1092" i="1" s="1"/>
  <c r="F1087" i="1"/>
  <c r="F1084" i="1"/>
  <c r="F1082" i="1"/>
  <c r="F1090" i="1"/>
  <c r="F1091" i="1"/>
  <c r="F1062" i="1"/>
  <c r="F1094" i="1"/>
  <c r="F1093" i="1"/>
  <c r="F1095" i="1"/>
  <c r="K1095" i="1" s="1"/>
  <c r="F1064" i="1"/>
  <c r="F1096" i="1"/>
  <c r="F1088" i="1"/>
  <c r="F1102" i="1"/>
  <c r="F1058" i="1"/>
  <c r="F1059" i="1"/>
  <c r="F1060" i="1"/>
  <c r="F1061" i="1"/>
  <c r="F1076" i="1"/>
  <c r="F1040" i="1"/>
  <c r="F1100" i="1"/>
  <c r="F621" i="1"/>
  <c r="F1098" i="1"/>
  <c r="F1047" i="1"/>
  <c r="F1103" i="1"/>
  <c r="F1081" i="1"/>
  <c r="F1104" i="1"/>
  <c r="F1109" i="1"/>
  <c r="F1108" i="1"/>
  <c r="F1111" i="1"/>
  <c r="F1089" i="1"/>
  <c r="F1117" i="1"/>
  <c r="F1065" i="1"/>
  <c r="F1110" i="1"/>
  <c r="F1057" i="1"/>
  <c r="F1086" i="1"/>
  <c r="F1080" i="1"/>
  <c r="F1115" i="1"/>
  <c r="F1097" i="1"/>
  <c r="F1122" i="1"/>
  <c r="F1124" i="1"/>
  <c r="F1123" i="1"/>
  <c r="F1127" i="1"/>
  <c r="F1053" i="1"/>
  <c r="F1118" i="1"/>
  <c r="K1118" i="1" s="1"/>
  <c r="F1121" i="1"/>
  <c r="F1125" i="1"/>
  <c r="F1130" i="1"/>
  <c r="F1135" i="1"/>
  <c r="F1120" i="1"/>
  <c r="F1049" i="1"/>
  <c r="F1146" i="1"/>
  <c r="K1146" i="1" s="1"/>
  <c r="F1131" i="1"/>
  <c r="F1133" i="1"/>
  <c r="F1099" i="1"/>
  <c r="F1114" i="1"/>
  <c r="F1126" i="1"/>
  <c r="F1106" i="1"/>
  <c r="F1132" i="1"/>
  <c r="F1143" i="1"/>
  <c r="F1142" i="1"/>
  <c r="F1136" i="1"/>
  <c r="F1145" i="1"/>
  <c r="F1116" i="1"/>
  <c r="F1129" i="1"/>
  <c r="F1149" i="1"/>
  <c r="F1140" i="1"/>
  <c r="F1152" i="1"/>
  <c r="F1156" i="1"/>
  <c r="F1150" i="1"/>
  <c r="F1148" i="1"/>
  <c r="F1154" i="1"/>
  <c r="F1134" i="1"/>
  <c r="F1155" i="1"/>
  <c r="F1147" i="1"/>
  <c r="F1113" i="1"/>
  <c r="F1162" i="1"/>
  <c r="F1165" i="1"/>
  <c r="F1160" i="1"/>
  <c r="F1167" i="1"/>
  <c r="K1167" i="1" s="1"/>
  <c r="F1151" i="1"/>
  <c r="F1170" i="1"/>
  <c r="F1168" i="1"/>
  <c r="K1168" i="1" s="1"/>
  <c r="F1169" i="1"/>
  <c r="F1107" i="1"/>
  <c r="F1158" i="1"/>
  <c r="F1175" i="1"/>
  <c r="F1181" i="1"/>
  <c r="F1171" i="1"/>
  <c r="F1161" i="1"/>
  <c r="F1178" i="1"/>
  <c r="F1105" i="1"/>
  <c r="F1112" i="1"/>
  <c r="K1112" i="1" s="1"/>
  <c r="F1119" i="1"/>
  <c r="F1137" i="1"/>
  <c r="F1172" i="1"/>
  <c r="F1180" i="1"/>
  <c r="F1176" i="1"/>
  <c r="F1177" i="1"/>
  <c r="F1163" i="1"/>
  <c r="F1174" i="1"/>
  <c r="F1068" i="1"/>
  <c r="F1166" i="1"/>
  <c r="F1153" i="1"/>
  <c r="F1139" i="1"/>
  <c r="F1079" i="1"/>
  <c r="F1101" i="1"/>
  <c r="K1101" i="1" s="1"/>
  <c r="F1195" i="1"/>
  <c r="F1192" i="1"/>
  <c r="F1191" i="1"/>
  <c r="F1173" i="1"/>
  <c r="F1185" i="1"/>
  <c r="F1128" i="1"/>
  <c r="F1164" i="1"/>
  <c r="F1141" i="1"/>
  <c r="F1196" i="1"/>
  <c r="F1179" i="1"/>
  <c r="F1144" i="1"/>
  <c r="F1194" i="1"/>
  <c r="F1201" i="1"/>
  <c r="F1182" i="1"/>
  <c r="F1183" i="1"/>
  <c r="F1204" i="1"/>
  <c r="F1184" i="1"/>
  <c r="F1205" i="1"/>
  <c r="F1210" i="1"/>
  <c r="F1208" i="1"/>
  <c r="F1209" i="1"/>
  <c r="F1157" i="1"/>
  <c r="J1157" i="1" s="1"/>
  <c r="F1212" i="1"/>
  <c r="F1055" i="1"/>
  <c r="F1190" i="1"/>
  <c r="F1187" i="1"/>
  <c r="F1189" i="1"/>
  <c r="F1188" i="1"/>
  <c r="F1159" i="1"/>
  <c r="F1219" i="1"/>
  <c r="F1213" i="1"/>
  <c r="K1213" i="1" s="1"/>
  <c r="F1218" i="1"/>
  <c r="F1221" i="1"/>
  <c r="K1221" i="1" s="1"/>
  <c r="F1200" i="1"/>
  <c r="F1224" i="1"/>
  <c r="F1223" i="1"/>
  <c r="F1211" i="1"/>
  <c r="K1211" i="1" s="1"/>
  <c r="F1138" i="1"/>
  <c r="F1206" i="1"/>
  <c r="F1186" i="1"/>
  <c r="F1193" i="1"/>
  <c r="F1197" i="1"/>
  <c r="F1198" i="1"/>
  <c r="F1202" i="1"/>
  <c r="F1199" i="1"/>
  <c r="K1199" i="1" s="1"/>
  <c r="F1203" i="1"/>
  <c r="F1214" i="1"/>
  <c r="F1207" i="1"/>
  <c r="F1215" i="1"/>
  <c r="F1216" i="1"/>
  <c r="F1217" i="1"/>
  <c r="F1222" i="1"/>
  <c r="K1222" i="1" s="1"/>
  <c r="F1220" i="1"/>
  <c r="F1226" i="1"/>
  <c r="F1078" i="1"/>
  <c r="F1229" i="1"/>
  <c r="F1234" i="1"/>
  <c r="F1235" i="1"/>
  <c r="F1238" i="1"/>
  <c r="F1236" i="1"/>
  <c r="F1241" i="1"/>
  <c r="F1252" i="1"/>
  <c r="F1249" i="1"/>
  <c r="F1245" i="1"/>
  <c r="K1245" i="1" s="1"/>
  <c r="F1250" i="1"/>
  <c r="F1247" i="1"/>
  <c r="F1231" i="1"/>
  <c r="F1240" i="1"/>
  <c r="F1255" i="1"/>
  <c r="F1225" i="1"/>
  <c r="F1237" i="1"/>
  <c r="F1251" i="1"/>
  <c r="F1262" i="1"/>
  <c r="F1267" i="1"/>
  <c r="F1269" i="1"/>
  <c r="F1270" i="1"/>
  <c r="F1271" i="1"/>
  <c r="F1274" i="1"/>
  <c r="F1277" i="1"/>
  <c r="F1278" i="1"/>
  <c r="F1257" i="1"/>
  <c r="F1272" i="1"/>
  <c r="K1272" i="1" s="1"/>
  <c r="F1276" i="1"/>
  <c r="F1232" i="1"/>
  <c r="F1239" i="1"/>
  <c r="F1254" i="1"/>
  <c r="F1258" i="1"/>
  <c r="F1259" i="1"/>
  <c r="F1260" i="1"/>
  <c r="F1266" i="1"/>
  <c r="F1268" i="1"/>
  <c r="F1275" i="1"/>
  <c r="F1283" i="1"/>
  <c r="F1286" i="1"/>
  <c r="F1287" i="1"/>
  <c r="F1264" i="1"/>
  <c r="F1279" i="1"/>
  <c r="F1282" i="1"/>
  <c r="F1248" i="1"/>
  <c r="F1265" i="1"/>
  <c r="F1273" i="1"/>
  <c r="F1285" i="1"/>
  <c r="F1289" i="1"/>
  <c r="F1227" i="1"/>
  <c r="F1228" i="1"/>
  <c r="F1230" i="1"/>
  <c r="F1233" i="1"/>
  <c r="F1242" i="1"/>
  <c r="K1242" i="1" s="1"/>
  <c r="F1243" i="1"/>
  <c r="F1246" i="1"/>
  <c r="K1246" i="1" s="1"/>
  <c r="F1256" i="1"/>
  <c r="F1261" i="1"/>
  <c r="F1263" i="1"/>
  <c r="F1284" i="1"/>
  <c r="K1284" i="1" s="1"/>
  <c r="F1288" i="1"/>
  <c r="F1291" i="1"/>
  <c r="F1293" i="1"/>
  <c r="F1295" i="1"/>
  <c r="F1299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<sst xmlns="http://schemas.openxmlformats.org/spreadsheetml/2006/main" count="5637" uniqueCount="3786">
  <si>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</si>
  <si>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</si>
  <si>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</si>
  <si>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</si>
  <si>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</si>
  <si>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</si>
  <si>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</si>
  <si>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</si>
  <si>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</si>
  <si>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</si>
  <si>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</si>
  <si>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</si>
  <si>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</si>
  <si>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</si>
  <si>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</si>
  <si>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</si>
  <si>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</si>
  <si>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</si>
  <si>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</si>
  <si>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</si>
  <si>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</si>
  <si>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</si>
  <si>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</si>
  <si>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</si>
  <si>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</si>
  <si>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</si>
  <si>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</si>
  <si>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</si>
  <si>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</si>
  <si>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</si>
  <si>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</si>
  <si>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</si>
  <si>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</si>
  <si>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</si>
  <si>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</si>
  <si>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</si>
  <si>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</si>
  <si>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</si>
  <si>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</si>
  <si>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</si>
  <si>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</si>
  <si>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</si>
  <si>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</si>
  <si>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</si>
  <si>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</si>
  <si>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</si>
  <si>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</si>
  <si>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</si>
  <si>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</si>
  <si>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</si>
  <si>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</si>
  <si>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</si>
  <si>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</si>
  <si>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</si>
  <si>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</si>
  <si>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</si>
  <si>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</si>
  <si>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</si>
  <si>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</si>
  <si>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</si>
  <si>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</si>
  <si>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</si>
  <si>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</si>
  <si>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</si>
  <si>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</si>
  <si>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</si>
  <si>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</si>
  <si>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</si>
  <si>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</si>
  <si>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</si>
  <si>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</si>
  <si>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</si>
  <si>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</si>
  <si>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</si>
  <si>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</si>
  <si>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</si>
  <si>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</si>
  <si>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</si>
  <si>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</si>
  <si>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</si>
  <si>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</si>
  <si>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</si>
  <si>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</si>
  <si>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</si>
  <si>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</si>
  <si>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</si>
  <si>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</si>
  <si>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</si>
  <si>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</si>
  <si>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</si>
  <si>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</si>
  <si>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</si>
  <si>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</si>
  <si>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</si>
  <si>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</si>
  <si>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</si>
  <si>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</si>
  <si>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</si>
  <si>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</si>
  <si>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</si>
  <si>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</si>
  <si>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</si>
  <si>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</si>
  <si>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</si>
  <si>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</si>
  <si>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</si>
  <si>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</si>
  <si>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</si>
  <si>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</si>
  <si>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</si>
  <si>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</si>
  <si>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</si>
  <si>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</si>
  <si>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</si>
  <si>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</si>
  <si>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</si>
  <si>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</si>
  <si>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</si>
  <si>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</si>
  <si>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</si>
  <si>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</si>
  <si>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</si>
  <si>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</si>
  <si>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</si>
  <si>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</si>
  <si>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</si>
  <si>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</si>
  <si>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</si>
  <si>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</si>
  <si>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</si>
  <si>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</si>
  <si>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</si>
  <si>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</si>
  <si>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</si>
  <si>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</si>
  <si>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</si>
  <si>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</si>
  <si>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</si>
  <si>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</si>
  <si>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</si>
  <si>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</si>
  <si>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</si>
  <si>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</si>
  <si>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</si>
  <si>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</si>
  <si>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</si>
  <si>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</si>
  <si>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</si>
  <si>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</si>
  <si>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</si>
  <si>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</si>
  <si>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</si>
  <si>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</si>
  <si>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</si>
  <si>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</si>
  <si>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</si>
  <si>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</si>
  <si>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</si>
  <si>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</si>
  <si>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</si>
  <si>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</si>
  <si>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</si>
  <si>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</si>
  <si>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</si>
  <si>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</si>
  <si>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</si>
  <si>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</si>
  <si>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</si>
  <si>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</si>
  <si>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</si>
  <si>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</si>
  <si>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</si>
  <si>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</si>
  <si>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</si>
  <si>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</si>
  <si>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</si>
  <si>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</si>
  <si>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</si>
  <si>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</si>
  <si>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</si>
  <si>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</si>
  <si>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</si>
  <si>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</si>
  <si>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</si>
  <si>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</si>
  <si>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</si>
  <si>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</si>
  <si>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</si>
  <si>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</si>
  <si>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</si>
  <si>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</si>
  <si>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</si>
  <si>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</si>
  <si>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</si>
  <si>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</si>
  <si>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</si>
  <si>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</si>
  <si>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</si>
  <si>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</si>
  <si>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</si>
  <si>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</si>
  <si>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</si>
  <si>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</si>
  <si>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</si>
  <si>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</si>
  <si>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</si>
  <si>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</si>
  <si>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</si>
  <si>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</si>
  <si>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</si>
  <si>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</si>
  <si>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</si>
  <si>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</si>
  <si>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</si>
  <si>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</si>
  <si>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</si>
  <si>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</si>
  <si>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</si>
  <si>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</si>
  <si>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</si>
  <si>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</si>
  <si>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</si>
  <si>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</si>
  <si>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</si>
  <si>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</si>
  <si>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</si>
  <si>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</si>
  <si>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</si>
  <si>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</si>
  <si>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</si>
  <si>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</si>
  <si>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</si>
  <si>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</si>
  <si>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</si>
  <si>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</si>
  <si>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</si>
  <si>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</si>
  <si>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</si>
  <si>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</si>
  <si>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</si>
  <si>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</si>
  <si>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</si>
  <si>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</si>
  <si>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</si>
  <si>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</si>
  <si>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</si>
  <si>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</si>
  <si>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</si>
  <si>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</si>
  <si>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</si>
  <si>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</si>
  <si>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</si>
  <si>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</si>
  <si>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</si>
  <si>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</si>
  <si>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</si>
  <si>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</si>
  <si>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</si>
  <si>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</si>
  <si>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</si>
  <si>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</si>
  <si>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</si>
  <si>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</si>
  <si>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</si>
  <si>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</si>
  <si>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</si>
  <si>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</si>
  <si>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</si>
  <si>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</si>
  <si>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</si>
  <si>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</si>
  <si>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</si>
  <si>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</si>
  <si>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</si>
  <si>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</si>
  <si>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</si>
  <si>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</si>
  <si>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</si>
  <si>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</si>
  <si>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</si>
  <si>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</si>
  <si>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</si>
  <si>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</si>
  <si>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</si>
  <si>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</si>
  <si>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</si>
  <si>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</si>
  <si>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</si>
  <si>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</si>
  <si>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</si>
  <si>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</si>
  <si>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</si>
  <si>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</si>
  <si>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</si>
  <si>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</si>
  <si>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</si>
  <si>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</si>
  <si>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</si>
  <si>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</si>
  <si>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</si>
  <si>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</si>
  <si>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</si>
  <si>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</si>
  <si>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</si>
  <si>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</si>
  <si>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</si>
  <si>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</si>
  <si>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</si>
  <si>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</si>
  <si>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</si>
  <si>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</si>
  <si>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</si>
  <si>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</si>
  <si>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</si>
  <si>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</si>
  <si>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</si>
  <si>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</si>
  <si>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</si>
  <si>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</si>
  <si>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</si>
  <si>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</si>
  <si>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</si>
  <si>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</si>
  <si>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</si>
  <si>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</si>
  <si>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</si>
  <si>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</si>
  <si>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</si>
  <si>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</si>
  <si>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</si>
  <si>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</si>
  <si>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</si>
  <si>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</si>
  <si>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</si>
  <si>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</si>
  <si>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</si>
  <si>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</si>
  <si>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</si>
  <si>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</si>
  <si>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</si>
  <si>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</si>
  <si>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</si>
  <si>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</si>
  <si>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</si>
  <si>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</si>
  <si>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</si>
  <si>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</si>
  <si>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</si>
  <si>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</si>
  <si>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</si>
  <si>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</si>
  <si>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</si>
  <si>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</si>
  <si>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</si>
  <si>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</si>
  <si>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</si>
  <si>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</si>
  <si>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</si>
  <si>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</si>
  <si>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</si>
  <si>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</si>
  <si>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</si>
  <si>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</si>
  <si>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</si>
  <si>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</si>
  <si>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</si>
  <si>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</si>
  <si>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</si>
  <si>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</si>
  <si>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</si>
  <si>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</si>
  <si>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</si>
  <si>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</si>
  <si>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</si>
  <si>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</si>
  <si>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</si>
  <si>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</si>
  <si>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</si>
  <si>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</si>
  <si>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</si>
  <si>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</si>
  <si>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</si>
  <si>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</si>
  <si>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</si>
  <si>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</si>
  <si>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</si>
  <si>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</si>
  <si>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</si>
  <si>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</si>
  <si>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</si>
  <si>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</si>
  <si>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</si>
  <si>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</si>
  <si>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</si>
  <si>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</si>
  <si>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</si>
  <si>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</si>
  <si>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</si>
  <si>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</si>
  <si>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</si>
  <si>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</si>
  <si>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</si>
  <si>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</si>
  <si>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</si>
  <si>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</si>
  <si>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</si>
  <si>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</si>
  <si>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</si>
  <si>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</si>
  <si>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</si>
  <si>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</si>
  <si>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</si>
  <si>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</si>
  <si>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</si>
  <si>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</si>
  <si>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</si>
  <si>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</si>
  <si>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</si>
  <si>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</si>
  <si>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</si>
  <si>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</si>
  <si>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</si>
  <si>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</si>
  <si>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</si>
  <si>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</si>
  <si>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</si>
  <si>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</si>
  <si>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</si>
  <si>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</si>
  <si>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</si>
  <si>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</si>
  <si>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</si>
  <si>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</si>
  <si>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</si>
  <si>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</si>
  <si>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</si>
  <si>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</si>
  <si>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</si>
  <si>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</si>
  <si>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</si>
  <si>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</si>
  <si>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</si>
  <si>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</si>
  <si>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</si>
  <si>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</si>
  <si>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</si>
  <si>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</si>
  <si>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</si>
  <si>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</si>
  <si>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</si>
  <si>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</si>
  <si>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</si>
  <si>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</si>
  <si>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</si>
  <si>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</si>
  <si>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</si>
  <si>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</si>
  <si>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</si>
  <si>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</si>
  <si>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</si>
  <si>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</si>
  <si>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</si>
  <si>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</si>
  <si>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</si>
  <si>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</si>
  <si>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</si>
  <si>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</si>
  <si>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</si>
  <si>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</si>
  <si>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</si>
  <si>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</si>
  <si>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</si>
  <si>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</si>
  <si>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</si>
  <si>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</si>
  <si>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</si>
  <si>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</si>
  <si>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</si>
  <si>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</si>
  <si>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</si>
  <si>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</si>
  <si>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</si>
  <si>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</si>
  <si>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</si>
  <si>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</si>
  <si>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</si>
  <si>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</si>
  <si>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</si>
  <si>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</si>
  <si>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</si>
  <si>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</si>
  <si>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</si>
  <si>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</si>
  <si>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</si>
  <si>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</si>
  <si>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</si>
  <si>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</si>
  <si>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</si>
  <si>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</si>
  <si>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</si>
  <si>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</si>
  <si>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</si>
  <si>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</si>
  <si>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</si>
  <si>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</si>
  <si>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</si>
  <si>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</si>
  <si>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</si>
  <si>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</si>
  <si>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</si>
  <si>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</si>
  <si>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</si>
  <si>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</si>
  <si>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</si>
  <si>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</si>
  <si>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</si>
  <si>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</si>
  <si>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</si>
  <si>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</si>
  <si>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</si>
  <si>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</si>
  <si>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</si>
  <si>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</si>
  <si>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</si>
  <si>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</si>
  <si>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</si>
  <si>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</si>
  <si>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</si>
  <si>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</si>
  <si>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</si>
  <si>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</si>
  <si>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</si>
  <si>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</si>
  <si>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</si>
  <si>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</si>
  <si>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</si>
  <si>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</si>
  <si>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</si>
  <si>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</si>
  <si>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</si>
  <si>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</si>
  <si>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</si>
  <si>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</si>
  <si>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</si>
  <si>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</si>
  <si>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</si>
  <si>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</si>
  <si>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</si>
  <si>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</si>
  <si>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</si>
  <si>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</si>
  <si>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</si>
  <si>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</si>
  <si>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</si>
  <si>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</si>
  <si>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</si>
  <si>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</si>
  <si>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</si>
  <si>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</si>
  <si>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</si>
  <si>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</si>
  <si>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</si>
  <si>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</si>
  <si>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</si>
  <si>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</si>
  <si>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</si>
  <si>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</si>
  <si>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</si>
  <si>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</si>
  <si>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</si>
  <si>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</si>
  <si>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</si>
  <si>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</si>
  <si>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</si>
  <si>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</si>
  <si>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</si>
  <si>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</si>
  <si>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</si>
  <si>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</si>
  <si>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</si>
  <si>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</si>
  <si>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</si>
  <si>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</si>
  <si>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</si>
  <si>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</si>
  <si>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</si>
  <si>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</si>
  <si>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</si>
  <si>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</si>
  <si>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</si>
  <si>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</si>
  <si>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</si>
  <si>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</si>
  <si>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</si>
  <si>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</si>
  <si>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</si>
  <si>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</si>
  <si>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</si>
  <si>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</si>
  <si>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</si>
  <si>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</si>
  <si>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</si>
  <si>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</si>
  <si>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</si>
  <si>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</si>
  <si>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</si>
  <si>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</si>
  <si>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</si>
  <si>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</si>
  <si>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</si>
  <si>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</si>
  <si>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</si>
  <si>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</si>
  <si>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</si>
  <si>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</si>
  <si>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</si>
  <si>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</si>
  <si>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</si>
  <si>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</si>
  <si>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</si>
  <si>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</si>
  <si>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</si>
  <si>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</si>
  <si>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</si>
  <si>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</si>
  <si>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</si>
  <si>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</si>
  <si>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</si>
  <si>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</si>
  <si>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</si>
  <si>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</si>
  <si>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</si>
  <si>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</si>
  <si>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</si>
  <si>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</si>
  <si>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</si>
  <si>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</si>
  <si>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</si>
  <si>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</si>
  <si>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</si>
  <si>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</si>
  <si>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</si>
  <si>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</si>
  <si>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</si>
  <si>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</si>
  <si>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</si>
  <si>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</si>
  <si>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</si>
  <si>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</si>
  <si>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</si>
  <si>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</si>
  <si>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</si>
  <si>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</si>
  <si>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</si>
  <si>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</si>
  <si>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</si>
  <si>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</si>
  <si>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</si>
  <si>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</si>
  <si>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</si>
  <si>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</si>
  <si>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</si>
  <si>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</si>
  <si>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</si>
  <si>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</si>
  <si>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</si>
  <si>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</si>
  <si>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</si>
  <si>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</si>
  <si>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</si>
  <si>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</si>
  <si>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</si>
  <si>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</si>
  <si>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</si>
  <si>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</si>
  <si>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</si>
  <si>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</si>
  <si>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</si>
  <si>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</si>
  <si>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</si>
  <si>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</si>
  <si>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</si>
  <si>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</si>
  <si>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</si>
  <si>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</si>
  <si>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</si>
  <si>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</si>
  <si>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</si>
  <si>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</si>
  <si>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</si>
  <si>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</si>
  <si>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</si>
  <si>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</si>
  <si>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</si>
  <si>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</si>
  <si>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</si>
  <si>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</si>
  <si>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</si>
  <si>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</si>
  <si>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</si>
  <si>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</si>
  <si>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</si>
  <si>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</si>
  <si>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</si>
  <si>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</si>
  <si>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</si>
  <si>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</si>
  <si>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</si>
  <si>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</si>
  <si>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</si>
  <si>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</si>
  <si>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</si>
  <si>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</si>
  <si>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</si>
  <si>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</si>
  <si>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</si>
  <si>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</si>
  <si>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</si>
  <si>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</si>
  <si>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</si>
  <si>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</si>
  <si>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</si>
  <si>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</si>
  <si>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</si>
  <si>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</si>
  <si>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</si>
  <si>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</si>
  <si>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</si>
  <si>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</si>
  <si>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</si>
  <si>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</si>
  <si>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</si>
  <si>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</si>
  <si>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</si>
  <si>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</si>
  <si>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</si>
  <si>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</si>
  <si>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</si>
  <si>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</si>
  <si>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</si>
  <si>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</si>
  <si>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</si>
  <si>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</si>
  <si>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</si>
  <si>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</si>
  <si>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</si>
  <si>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</si>
  <si>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</si>
  <si>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</si>
  <si>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</si>
  <si>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</si>
  <si>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</si>
  <si>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</si>
  <si>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</si>
  <si>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</si>
  <si>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</si>
  <si>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</si>
  <si>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</si>
  <si>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</si>
  <si>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</si>
  <si>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</si>
  <si>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</si>
  <si>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</si>
  <si>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</si>
  <si>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</si>
  <si>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</si>
  <si>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</si>
  <si>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</si>
  <si>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</si>
  <si>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</si>
  <si>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</si>
  <si>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</si>
  <si>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</si>
  <si>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</si>
  <si>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</si>
  <si>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</si>
  <si>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</si>
  <si>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</si>
  <si>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</si>
  <si>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</si>
  <si>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</si>
  <si>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</si>
  <si>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</si>
  <si>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</si>
  <si>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</si>
  <si>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</si>
  <si>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</si>
  <si>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</si>
  <si>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</si>
  <si>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</si>
  <si>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</si>
  <si>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</si>
  <si>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</si>
  <si>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</si>
  <si>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</si>
  <si>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</si>
  <si>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</si>
  <si>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</si>
  <si>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</si>
  <si>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</si>
  <si>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</si>
  <si>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</si>
  <si>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</si>
  <si>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</si>
  <si>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</si>
  <si>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</si>
  <si>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</si>
  <si>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</si>
  <si>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</si>
  <si>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</si>
  <si>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</si>
  <si>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</si>
  <si>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</si>
  <si>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</si>
  <si>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</si>
  <si>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</si>
  <si>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</si>
  <si>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</si>
  <si>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</si>
  <si>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</si>
  <si>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</si>
  <si>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</si>
  <si>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</si>
  <si>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</si>
  <si>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</si>
  <si>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</si>
  <si>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</si>
  <si>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</si>
  <si>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</si>
  <si>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</si>
  <si>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</si>
  <si>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</si>
  <si>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</si>
  <si>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</si>
  <si>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</si>
  <si>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</si>
  <si>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</si>
  <si>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</si>
  <si>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</si>
  <si>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</si>
  <si>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</si>
  <si>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</si>
  <si>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</si>
  <si>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</si>
  <si>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</si>
  <si>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</si>
  <si>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</si>
  <si>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</si>
  <si>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</si>
  <si>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</si>
  <si>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</si>
  <si>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</si>
  <si>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</si>
  <si>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</si>
  <si>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</si>
  <si>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</si>
  <si>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</si>
  <si>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</si>
  <si>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</si>
  <si>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</si>
  <si>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</si>
  <si>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</si>
  <si>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</si>
  <si>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</si>
  <si>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</si>
  <si>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</si>
  <si>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</si>
  <si>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</si>
  <si>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</si>
  <si>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</si>
  <si>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</si>
  <si>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</si>
  <si>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</si>
  <si>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</si>
  <si>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</si>
  <si>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</si>
  <si>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</si>
  <si>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</si>
  <si>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</si>
  <si>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</si>
  <si>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</si>
  <si>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</si>
  <si>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</si>
  <si>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</si>
  <si>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</si>
  <si>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</si>
  <si>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</si>
  <si>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</si>
  <si>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</si>
  <si>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</si>
  <si>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</si>
  <si>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</si>
  <si>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</si>
  <si>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</si>
  <si>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</si>
  <si>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</si>
  <si>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</si>
  <si>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</si>
  <si>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</si>
  <si>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</si>
  <si>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</si>
  <si>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</si>
  <si>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</si>
  <si>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</si>
  <si>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</si>
  <si>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</si>
  <si>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</si>
  <si>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</si>
  <si>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</si>
  <si>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</si>
  <si>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</si>
  <si>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</si>
  <si>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</si>
  <si>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</si>
  <si>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</si>
  <si>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</si>
  <si>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</si>
  <si>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</si>
  <si>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</si>
  <si>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</si>
  <si>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</si>
  <si>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</si>
  <si>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</si>
  <si>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</si>
  <si>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</si>
  <si>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</si>
  <si>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</si>
  <si>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</si>
  <si>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</si>
  <si>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</si>
  <si>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</si>
  <si>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</si>
  <si>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</si>
  <si>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</si>
  <si>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</si>
  <si>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</si>
  <si>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</si>
  <si>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</si>
  <si>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</si>
  <si>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</si>
  <si>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</si>
  <si>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</si>
  <si>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</si>
  <si>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</si>
  <si>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</si>
  <si>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</si>
  <si>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</si>
  <si>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</si>
  <si>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</si>
  <si>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</si>
  <si>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</si>
  <si>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</si>
  <si>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</si>
  <si>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</si>
  <si>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</si>
  <si>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</si>
  <si>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</si>
  <si>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</si>
  <si>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</si>
  <si>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</si>
  <si>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</si>
  <si>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</si>
  <si>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</si>
  <si>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</si>
  <si>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</si>
  <si>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</si>
  <si>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</si>
  <si>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</si>
  <si>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</si>
  <si>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</si>
  <si>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</si>
  <si>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</si>
  <si>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</si>
  <si>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</si>
  <si>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</si>
  <si>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</si>
  <si>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</si>
  <si>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</si>
  <si>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</si>
  <si>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</si>
  <si>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</si>
  <si>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</si>
  <si>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</si>
  <si>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</si>
  <si>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</si>
  <si>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</si>
  <si>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</si>
  <si>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</si>
  <si>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</si>
  <si>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</si>
  <si>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</si>
  <si>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</si>
  <si>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</si>
  <si>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</si>
  <si>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</si>
  <si>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</si>
  <si>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</si>
  <si>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</si>
  <si>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</si>
  <si>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</si>
  <si>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</si>
  <si>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</si>
  <si>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</si>
  <si>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</si>
  <si>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</si>
  <si>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</si>
  <si>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</si>
  <si>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</si>
  <si>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</si>
  <si>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</si>
  <si>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</si>
  <si>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</si>
  <si>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</si>
  <si>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</si>
  <si>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</si>
  <si>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</si>
  <si>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</si>
  <si>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</si>
  <si>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</si>
  <si>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</si>
  <si>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</si>
  <si>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</si>
  <si>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</si>
  <si>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</si>
  <si>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</si>
  <si>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</si>
  <si>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</si>
  <si>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</si>
  <si>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</si>
  <si>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</si>
  <si>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</si>
  <si>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</si>
  <si>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</si>
  <si>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</si>
  <si>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</si>
  <si>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</si>
  <si>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</si>
  <si>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</si>
  <si>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</si>
  <si>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</si>
  <si>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</si>
  <si>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</si>
  <si>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</si>
  <si>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</si>
  <si>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</si>
  <si>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</si>
  <si>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</si>
  <si>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</si>
  <si>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</si>
  <si>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</si>
  <si>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</si>
  <si>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</si>
  <si>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</si>
  <si>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</si>
  <si>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</si>
  <si>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</si>
  <si>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</si>
  <si>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</si>
  <si>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</si>
  <si>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</si>
  <si>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</si>
  <si>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</si>
  <si>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</si>
  <si>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</si>
  <si>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</si>
  <si>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</si>
  <si>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</si>
  <si>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</si>
  <si>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</si>
  <si>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</si>
  <si>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</si>
  <si>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</si>
  <si>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</si>
  <si>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</si>
  <si>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</si>
  <si>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</si>
  <si>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</si>
  <si>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</si>
  <si>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</si>
  <si>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</si>
  <si>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</si>
  <si>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</si>
  <si>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</si>
  <si>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</si>
  <si>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</si>
  <si>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</si>
  <si>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</si>
  <si>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</si>
  <si>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</si>
  <si>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</si>
  <si>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</si>
  <si>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</si>
  <si>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</si>
  <si>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</si>
  <si>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</si>
  <si>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</si>
  <si>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</si>
  <si>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</si>
  <si>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</si>
  <si>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</si>
  <si>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</si>
  <si>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</si>
  <si>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</si>
  <si>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</si>
  <si>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</si>
  <si>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</si>
  <si>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</si>
  <si>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</si>
  <si>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</si>
  <si>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</si>
  <si>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</si>
  <si>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</si>
  <si>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</si>
  <si>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</si>
  <si>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</si>
  <si>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</si>
  <si>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</si>
  <si>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</si>
  <si>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</si>
  <si>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</si>
  <si>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</si>
  <si>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</si>
  <si>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</si>
  <si>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</si>
  <si>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</si>
  <si>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</si>
  <si>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</si>
  <si>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</si>
  <si>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</si>
  <si>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</si>
  <si>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</si>
  <si>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</si>
  <si>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</si>
  <si>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</si>
  <si>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</si>
  <si>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</si>
  <si>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</si>
  <si>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</si>
  <si>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</si>
  <si>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</si>
  <si>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</si>
  <si>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</si>
  <si>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</si>
  <si>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</si>
  <si>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</si>
  <si>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</si>
  <si>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</si>
  <si>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</si>
  <si>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</si>
  <si>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</si>
  <si>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</si>
  <si>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</si>
  <si>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</si>
  <si>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</si>
  <si>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</si>
  <si>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</si>
  <si>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</si>
  <si>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</si>
  <si>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</si>
  <si>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</si>
  <si>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</si>
  <si>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</si>
  <si>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</si>
  <si>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</si>
  <si>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</si>
  <si>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</si>
  <si>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</si>
  <si>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</si>
  <si>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</si>
  <si>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</si>
  <si>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</si>
  <si>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</si>
  <si>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</si>
  <si>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</si>
  <si>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</si>
  <si>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</si>
  <si>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</si>
  <si>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</si>
  <si>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</si>
  <si>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</si>
  <si>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</si>
  <si>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</si>
  <si>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</si>
  <si>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</si>
  <si>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</si>
  <si>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</si>
  <si>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</si>
  <si>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</si>
  <si>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</si>
  <si>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</si>
  <si>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</si>
  <si>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</si>
  <si>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</si>
  <si>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</si>
  <si>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</si>
  <si>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</si>
  <si>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</si>
  <si>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</si>
  <si>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</si>
  <si>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</si>
  <si>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</si>
  <si>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</si>
  <si>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</si>
  <si>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</si>
  <si>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</si>
  <si>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</si>
  <si>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</si>
  <si>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</si>
  <si>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</si>
  <si>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</si>
  <si>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</si>
  <si>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</si>
  <si>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</si>
  <si>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</si>
  <si>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</si>
  <si>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</si>
  <si>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</si>
  <si>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</si>
  <si>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</si>
  <si>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</si>
  <si>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</si>
  <si>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</si>
  <si>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</si>
  <si>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</si>
  <si>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</si>
  <si>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</si>
  <si>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</si>
  <si>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</si>
  <si>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</si>
  <si>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</si>
  <si>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</si>
  <si>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</si>
  <si>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</si>
  <si>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</si>
  <si>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</si>
  <si>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</si>
  <si>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</si>
  <si>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</si>
  <si>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</si>
  <si>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</si>
  <si>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</si>
  <si>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</si>
  <si>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</si>
  <si>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</si>
  <si>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</si>
  <si>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</si>
  <si>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</si>
  <si>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</si>
  <si>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</si>
  <si>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</si>
  <si>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</si>
  <si>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</si>
  <si>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</si>
  <si>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</si>
  <si>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</si>
  <si>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</si>
  <si>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</si>
  <si>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</si>
  <si>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</si>
  <si>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</si>
  <si>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</si>
  <si>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</si>
  <si>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</si>
  <si>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</si>
  <si>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</si>
  <si>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</si>
  <si>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</si>
  <si>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</si>
  <si>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</si>
  <si>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</si>
  <si>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</si>
  <si>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</si>
  <si>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</si>
  <si>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</si>
  <si>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</si>
  <si>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</si>
  <si>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</si>
  <si>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</si>
  <si>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</si>
  <si>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</si>
  <si>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</si>
  <si>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</si>
  <si>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</si>
  <si>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</si>
  <si>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</si>
  <si>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</si>
  <si>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</si>
  <si>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</si>
  <si>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</si>
  <si>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</si>
  <si>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</si>
  <si>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</si>
  <si>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</si>
  <si>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</si>
  <si>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</si>
  <si>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</si>
  <si>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</si>
  <si>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</si>
  <si>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</si>
  <si>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</si>
  <si>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</si>
  <si>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</si>
  <si>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</si>
  <si>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</si>
  <si>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</si>
  <si>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</si>
  <si>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</si>
  <si>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</si>
  <si>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</si>
  <si>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</si>
  <si>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</si>
  <si>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</si>
  <si>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</si>
  <si>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</si>
  <si>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</si>
  <si>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</si>
  <si>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</si>
  <si>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</si>
  <si>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</si>
  <si>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</si>
  <si>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</si>
  <si>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</si>
  <si>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</si>
  <si>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</si>
  <si>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</si>
  <si>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</si>
  <si>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</si>
  <si>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</si>
  <si>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</si>
  <si>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</si>
  <si>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</si>
  <si>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</si>
  <si>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</si>
  <si>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</si>
  <si>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</si>
  <si>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</si>
  <si>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</si>
  <si>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</si>
  <si>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</si>
  <si>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</si>
  <si>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</si>
  <si>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</si>
  <si>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</si>
  <si>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</si>
  <si>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</si>
  <si>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</si>
  <si>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</si>
  <si>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</si>
  <si>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</si>
  <si>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</si>
  <si>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</si>
  <si>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</si>
  <si>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</si>
  <si>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</si>
  <si>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</si>
  <si>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</si>
  <si>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</si>
  <si>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</si>
  <si>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</si>
  <si>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</si>
  <si>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</si>
  <si>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</si>
  <si>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</si>
  <si>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</si>
  <si>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</si>
  <si>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</si>
  <si>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</si>
  <si>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</si>
  <si>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</si>
  <si>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</si>
  <si>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</si>
  <si>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</si>
  <si>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</si>
  <si>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</si>
  <si>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</si>
  <si>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</si>
  <si>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</si>
  <si>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</si>
  <si>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</si>
  <si>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</si>
  <si>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</si>
  <si>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</si>
  <si>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</si>
  <si>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</si>
  <si>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</si>
  <si>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</si>
  <si>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</si>
  <si>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</si>
  <si>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</si>
  <si>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</si>
  <si>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</si>
  <si>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</si>
  <si>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</si>
  <si>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</si>
  <si>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</si>
  <si>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</si>
  <si>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</si>
  <si>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</si>
  <si>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</si>
  <si>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</si>
  <si>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</si>
  <si>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</si>
  <si>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</si>
  <si>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</si>
  <si>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</si>
  <si>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</si>
  <si>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</si>
  <si>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</si>
  <si>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</si>
  <si>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</si>
  <si>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</si>
  <si>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</si>
  <si>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</si>
  <si>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</si>
  <si>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</si>
  <si>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</si>
  <si>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</si>
  <si>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</si>
  <si>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</si>
  <si>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</si>
  <si>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</si>
  <si>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</si>
  <si>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</si>
  <si>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</si>
  <si>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</si>
  <si>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</si>
  <si>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</si>
  <si>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</si>
  <si>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</si>
  <si>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</si>
  <si>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</si>
  <si>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</si>
  <si>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</si>
  <si>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</si>
  <si>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</si>
  <si>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</si>
  <si>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</si>
  <si>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</si>
  <si>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</si>
  <si>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</si>
  <si>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</si>
  <si>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</si>
  <si>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</si>
  <si>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</si>
  <si>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</si>
  <si>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</si>
  <si>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</si>
  <si>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</si>
  <si>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</si>
  <si>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</si>
  <si>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</si>
  <si>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</si>
  <si>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</si>
  <si>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</si>
  <si>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</si>
  <si>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</si>
  <si>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</si>
  <si>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</si>
  <si>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</si>
  <si>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</si>
  <si>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</si>
  <si>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</si>
  <si>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</si>
  <si>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</si>
  <si>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</si>
  <si>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</si>
  <si>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</si>
  <si>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</si>
  <si>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</si>
  <si>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</si>
  <si>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</si>
  <si>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</si>
  <si>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</si>
  <si>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</si>
  <si>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</si>
  <si>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</si>
  <si>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</si>
  <si>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</si>
  <si>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</si>
  <si>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</si>
  <si>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</si>
  <si>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</si>
  <si>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</si>
  <si>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</si>
  <si>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</si>
  <si>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</si>
  <si>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</si>
  <si>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</si>
  <si>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</si>
  <si>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</si>
  <si>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</si>
  <si>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</si>
  <si>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</si>
  <si>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</si>
  <si>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</si>
  <si>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</si>
  <si>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</si>
  <si>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</si>
  <si>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</si>
  <si>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</si>
  <si>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</si>
  <si>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</si>
  <si>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</si>
  <si>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</si>
  <si>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</si>
  <si>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</si>
  <si>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</si>
  <si>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</si>
  <si>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</si>
  <si>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</si>
  <si>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</si>
  <si>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</si>
  <si>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</si>
  <si>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</si>
  <si>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</si>
  <si>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</si>
  <si>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</si>
  <si>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</si>
  <si>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</si>
  <si>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</si>
  <si>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</si>
  <si>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</si>
  <si>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</si>
  <si>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</si>
  <si>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</si>
  <si>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</si>
  <si>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</si>
  <si>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</si>
  <si>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</si>
  <si>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</si>
  <si>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</si>
  <si>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</si>
  <si>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</si>
  <si>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</si>
  <si>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</si>
  <si>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</si>
  <si>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</si>
  <si>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</si>
  <si>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</si>
  <si>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</si>
  <si>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</si>
  <si>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</si>
  <si>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</si>
  <si>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</si>
  <si>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</si>
  <si>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</si>
  <si>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</si>
  <si>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</si>
  <si>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</si>
  <si>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</si>
  <si>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</si>
  <si>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</si>
  <si>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</si>
  <si>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</si>
  <si>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</si>
  <si>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</si>
  <si>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</si>
  <si>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</si>
  <si>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</si>
  <si>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</si>
  <si>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</si>
  <si>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</si>
  <si>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</si>
  <si>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</si>
  <si>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</si>
  <si>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</si>
  <si>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</si>
  <si>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</si>
  <si>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</si>
  <si>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</si>
  <si>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</si>
  <si>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</si>
  <si>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</si>
  <si>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</si>
  <si>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</si>
  <si>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</si>
  <si>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</si>
  <si>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</si>
  <si>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</si>
  <si>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</si>
  <si>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</si>
  <si>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</si>
  <si>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</si>
  <si>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</si>
  <si>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</si>
  <si>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</si>
  <si>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</si>
  <si>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</si>
  <si>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</si>
  <si>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</si>
  <si>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</si>
  <si>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</si>
  <si>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</si>
  <si>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</si>
  <si>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</si>
  <si>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</si>
  <si>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</si>
  <si>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</si>
  <si>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</si>
  <si>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</si>
  <si>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</si>
  <si>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</si>
  <si>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</si>
  <si>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</si>
  <si>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</si>
  <si>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</si>
  <si>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</si>
  <si>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</si>
  <si>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</si>
  <si>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</si>
  <si>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</si>
  <si>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</si>
  <si>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</si>
  <si>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</si>
  <si>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</si>
  <si>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</si>
  <si>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</si>
  <si>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</si>
  <si>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</si>
  <si>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</si>
  <si>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</si>
  <si>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</si>
  <si>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</si>
  <si>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</si>
  <si>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</si>
  <si>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</si>
  <si>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</si>
  <si>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</si>
  <si>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</si>
  <si>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</si>
  <si>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</si>
  <si>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</si>
  <si>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</si>
  <si>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</si>
  <si>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</si>
  <si>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</si>
  <si>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</si>
  <si>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</si>
  <si>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</si>
  <si>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</si>
  <si>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</si>
  <si>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</si>
  <si>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</si>
  <si>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</si>
  <si>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</si>
  <si>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</si>
  <si>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</si>
  <si>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</si>
  <si>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</si>
  <si>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</si>
  <si>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</si>
  <si>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</si>
  <si>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</si>
  <si>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</si>
  <si>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</si>
  <si>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</si>
  <si>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</si>
  <si>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</si>
  <si>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</si>
  <si>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</si>
  <si>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</si>
  <si>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</si>
  <si>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</si>
  <si>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</si>
  <si>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</si>
  <si>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</si>
  <si>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</si>
  <si>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</si>
  <si>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</si>
  <si>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</si>
  <si>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</si>
  <si>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</si>
  <si>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</si>
  <si>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</si>
  <si>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</si>
  <si>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</si>
  <si>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</si>
  <si>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</si>
  <si>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</si>
  <si>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</si>
  <si>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</si>
  <si>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</si>
  <si>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</si>
  <si>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</si>
  <si>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</si>
  <si>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</si>
  <si>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</si>
  <si>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</si>
  <si>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</si>
  <si>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</si>
  <si>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</si>
  <si>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</si>
  <si>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</si>
  <si>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</si>
  <si>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</si>
  <si>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</si>
  <si>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</si>
  <si>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</si>
  <si>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</si>
  <si>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</si>
  <si>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</si>
  <si>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</si>
  <si>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</si>
  <si>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</si>
  <si>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</si>
  <si>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</si>
  <si>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</si>
  <si>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</si>
  <si>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</si>
  <si>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</si>
  <si>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</si>
  <si>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</si>
  <si>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</si>
  <si>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</si>
  <si>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</si>
  <si>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</si>
  <si>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</si>
  <si>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</si>
  <si>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</si>
  <si>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</si>
  <si>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</si>
  <si>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</si>
  <si>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</si>
  <si>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</si>
  <si>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</si>
  <si>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</si>
  <si>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</si>
  <si>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</si>
  <si>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</si>
  <si>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</si>
  <si>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</si>
  <si>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</si>
  <si>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</si>
  <si>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</si>
  <si>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</si>
  <si>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</si>
  <si>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</si>
  <si>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</si>
  <si>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</si>
  <si>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</si>
  <si>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</si>
  <si>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</si>
  <si>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</si>
  <si>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</si>
  <si>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</si>
  <si>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</si>
  <si>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</si>
  <si>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</si>
  <si>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</si>
  <si>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</si>
  <si>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</si>
  <si>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</si>
  <si>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</si>
  <si>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</si>
  <si>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</si>
  <si>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</si>
  <si>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</si>
  <si>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</si>
  <si>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</si>
  <si>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</si>
  <si>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</si>
  <si>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</si>
  <si>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</si>
  <si>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</si>
  <si>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</si>
  <si>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</si>
  <si>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</si>
  <si>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</si>
  <si>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</si>
  <si>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</si>
  <si>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</si>
  <si>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</si>
  <si>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</si>
  <si>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</si>
  <si>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</si>
  <si>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</si>
  <si>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</si>
  <si>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</si>
  <si>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</si>
  <si>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</si>
  <si>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</si>
  <si>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</si>
  <si>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</si>
  <si>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</si>
  <si>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</si>
  <si>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</si>
  <si>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</si>
  <si>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</si>
  <si>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</si>
  <si>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</si>
  <si>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</si>
  <si>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</si>
  <si>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</si>
  <si>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</si>
  <si>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</si>
  <si>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</si>
  <si>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</si>
  <si>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</si>
  <si>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</si>
  <si>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</si>
  <si>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</si>
  <si>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</si>
  <si>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</si>
  <si>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</si>
  <si>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</si>
  <si>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</si>
  <si>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</si>
  <si>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</si>
  <si>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</si>
  <si>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</si>
  <si>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</si>
  <si>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</si>
  <si>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</si>
  <si>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</si>
  <si>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</si>
  <si>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</si>
  <si>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</si>
  <si>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</si>
  <si>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</si>
  <si>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</si>
  <si>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</si>
  <si>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</si>
  <si>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</si>
  <si>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</si>
  <si>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</si>
  <si>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</si>
  <si>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</si>
  <si>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</si>
  <si>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</si>
  <si>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</si>
  <si>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</si>
  <si>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</si>
  <si>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</si>
  <si>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</si>
  <si>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</si>
  <si>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</si>
  <si>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</si>
  <si>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</si>
  <si>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</si>
  <si>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</si>
  <si>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</si>
  <si>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</si>
  <si>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</si>
  <si>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</si>
  <si>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</si>
  <si>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</si>
  <si>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</si>
  <si>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</si>
  <si>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</si>
  <si>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</si>
  <si>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</si>
  <si>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</si>
  <si>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</si>
  <si>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</si>
  <si>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</si>
  <si>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</si>
  <si>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</si>
  <si>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</si>
  <si>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</si>
  <si>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</si>
  <si>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</si>
  <si>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</si>
  <si>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</si>
  <si>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</si>
  <si>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</si>
  <si>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</si>
  <si>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</si>
  <si>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</si>
  <si>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</si>
  <si>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</si>
  <si>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</si>
  <si>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</si>
  <si>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</si>
  <si>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</si>
  <si>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</si>
  <si>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</si>
  <si>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</si>
  <si>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</si>
  <si>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</si>
  <si>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</si>
  <si>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</si>
  <si>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</si>
  <si>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</si>
  <si>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</si>
  <si>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</si>
  <si>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</si>
  <si>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</si>
  <si>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</si>
  <si>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</si>
  <si>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</si>
  <si>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</si>
  <si>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</si>
  <si>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</si>
  <si>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</si>
  <si>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</si>
  <si>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</si>
  <si>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</si>
  <si>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</si>
  <si>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</si>
  <si>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</si>
  <si>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</si>
  <si>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</si>
  <si>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</si>
  <si>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</si>
  <si>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</si>
  <si>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</si>
  <si>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</si>
  <si>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</si>
  <si>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</si>
  <si>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</si>
  <si>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</si>
  <si>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</si>
  <si>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</si>
  <si>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</si>
  <si>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</si>
  <si>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</si>
  <si>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</si>
  <si>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</si>
  <si>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</si>
  <si>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</si>
  <si>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</si>
  <si>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</si>
  <si>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</si>
  <si>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</si>
  <si>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</si>
  <si>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</si>
  <si>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</si>
  <si>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</si>
  <si>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</si>
  <si>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</si>
  <si>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</si>
  <si>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</si>
  <si>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</si>
  <si>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</si>
  <si>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</si>
  <si>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</si>
  <si>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</si>
  <si>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</si>
  <si>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</si>
  <si>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</si>
  <si>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</si>
  <si>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</si>
  <si>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</si>
  <si>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</si>
  <si>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</si>
  <si>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</si>
  <si>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</si>
  <si>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</si>
  <si>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</si>
  <si>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</si>
  <si>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</si>
  <si>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</si>
  <si>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</si>
  <si>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</si>
  <si>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</si>
  <si>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</si>
  <si>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</si>
  <si>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</si>
  <si>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</si>
  <si>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</si>
  <si>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</si>
  <si>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</si>
  <si>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</si>
  <si>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</si>
  <si>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</si>
  <si>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</si>
  <si>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</si>
  <si>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</si>
  <si>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</si>
  <si>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</si>
  <si>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</si>
  <si>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</si>
  <si>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</si>
  <si>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</si>
  <si>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</si>
  <si>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</si>
  <si>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</si>
  <si>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</si>
  <si>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</si>
  <si>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</si>
  <si>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</si>
  <si>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</si>
  <si>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</si>
  <si>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</si>
  <si>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</si>
  <si>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</si>
  <si>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</si>
  <si>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</si>
  <si>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</si>
  <si>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</si>
  <si>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</si>
  <si>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</si>
  <si>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</si>
  <si>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</si>
  <si>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</si>
  <si>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</si>
  <si>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</si>
  <si>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</si>
  <si>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</si>
  <si>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</si>
  <si>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</si>
  <si>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</si>
  <si>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</si>
  <si>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</si>
  <si>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</si>
  <si>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</si>
  <si>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</si>
  <si>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</si>
  <si>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</si>
  <si>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</si>
  <si>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</si>
  <si>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</si>
  <si>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</si>
  <si>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</si>
  <si>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</si>
  <si>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</si>
  <si>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</si>
  <si>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</si>
  <si>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</si>
  <si>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</si>
  <si>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</si>
  <si>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</si>
  <si>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</si>
  <si>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</si>
  <si>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</si>
  <si>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</si>
  <si>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</si>
  <si>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</si>
  <si>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</si>
  <si>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</si>
  <si>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</si>
  <si>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</si>
  <si>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</si>
  <si>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</si>
  <si>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</si>
  <si>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</si>
  <si>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</si>
  <si>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</si>
  <si>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</si>
  <si>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</si>
  <si>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</si>
  <si>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</si>
  <si>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</si>
  <si>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</si>
  <si>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</si>
  <si>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</si>
  <si>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</si>
  <si>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</si>
  <si>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</si>
  <si>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</si>
  <si>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</si>
  <si>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</si>
  <si>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</si>
  <si>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</si>
  <si>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</si>
  <si>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</si>
  <si>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</si>
  <si>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</si>
  <si>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</si>
  <si>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</si>
  <si>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</si>
  <si>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</si>
  <si>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</si>
  <si>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</si>
  <si>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</si>
  <si>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</si>
  <si>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</si>
  <si>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</si>
  <si>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</si>
  <si>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</si>
  <si>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</si>
  <si>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</si>
  <si>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</si>
  <si>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</si>
  <si>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</si>
  <si>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</si>
  <si>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</si>
  <si>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</si>
  <si>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</si>
  <si>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</si>
  <si>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</si>
  <si>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</si>
  <si>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</si>
  <si>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</si>
  <si>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</si>
  <si>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</si>
  <si>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</si>
  <si>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</si>
  <si>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</si>
  <si>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</si>
  <si>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</si>
  <si>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</si>
  <si>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</si>
  <si>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</si>
  <si>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</si>
  <si>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</si>
  <si>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</si>
  <si>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</si>
  <si>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</si>
  <si>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</si>
  <si>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</si>
  <si>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</si>
  <si>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</si>
  <si>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</si>
  <si>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</si>
  <si>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</si>
  <si>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</si>
  <si>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</si>
  <si>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</si>
  <si>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</si>
  <si>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</si>
  <si>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</si>
  <si>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</si>
  <si>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</si>
  <si>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</si>
  <si>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</si>
  <si>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</si>
  <si>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</si>
  <si>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</si>
  <si>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</si>
  <si>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</si>
  <si>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</si>
  <si>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</si>
  <si>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</si>
  <si>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</si>
  <si>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</si>
  <si>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</si>
  <si>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</si>
  <si>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</si>
  <si>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</si>
  <si>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</si>
  <si>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</si>
  <si>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</si>
  <si>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</si>
  <si>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</si>
  <si>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</si>
  <si>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</si>
  <si>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</si>
  <si>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</si>
  <si>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</si>
  <si>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</si>
  <si>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</si>
  <si>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</si>
  <si>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</si>
  <si>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</si>
  <si>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</si>
  <si>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</si>
  <si>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</si>
  <si>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</si>
  <si>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</si>
  <si>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</si>
  <si>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</si>
  <si>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</si>
  <si>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</si>
  <si>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</si>
  <si>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</si>
  <si>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</si>
  <si>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</si>
  <si>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</si>
  <si>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</si>
  <si>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</si>
  <si>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</si>
  <si>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</si>
  <si>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</si>
  <si>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</si>
  <si>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</si>
  <si>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</si>
  <si>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</si>
  <si>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</si>
  <si>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</si>
  <si>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</si>
  <si>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</si>
  <si>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</si>
  <si>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</si>
  <si>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</si>
  <si>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</si>
  <si>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</si>
  <si>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</si>
  <si>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</si>
  <si>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</si>
  <si>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</si>
  <si>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</si>
  <si>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</si>
  <si>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</si>
  <si>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</si>
  <si>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</si>
  <si>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</si>
  <si>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</si>
  <si>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</si>
  <si>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</si>
  <si>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</si>
  <si>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</si>
  <si>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</si>
  <si>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</si>
  <si>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</si>
  <si>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</si>
  <si>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</si>
  <si>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</si>
  <si>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</si>
  <si>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</si>
  <si>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</si>
  <si>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</si>
  <si>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</si>
  <si>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</si>
  <si>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</si>
  <si>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</si>
  <si>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</si>
  <si>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</si>
  <si>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</si>
  <si>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</si>
  <si>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</si>
  <si>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</si>
  <si>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</si>
  <si>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</si>
  <si>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</si>
  <si>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</si>
  <si>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</si>
  <si>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</si>
  <si>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</si>
  <si>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</si>
  <si>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</si>
  <si>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</si>
  <si>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</si>
  <si>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</si>
  <si>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</si>
  <si>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</si>
  <si>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</si>
  <si>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</si>
  <si>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</si>
  <si>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</si>
  <si>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</si>
  <si>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</si>
  <si>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</si>
  <si>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</si>
  <si>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</si>
  <si>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</si>
  <si>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</si>
  <si>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</si>
  <si>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</si>
  <si>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</si>
  <si>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</si>
  <si>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</si>
  <si>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</si>
  <si>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</si>
  <si>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</si>
  <si>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</si>
  <si>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</si>
  <si>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</si>
  <si>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</si>
  <si>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</si>
  <si>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</si>
  <si>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</si>
  <si>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</si>
  <si>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</si>
  <si>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</si>
  <si>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</si>
  <si>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</si>
  <si>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</si>
  <si>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</si>
  <si>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</si>
  <si>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</si>
  <si>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</si>
  <si>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</si>
  <si>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</si>
  <si>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</si>
  <si>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</si>
  <si>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</si>
  <si>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</si>
  <si>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</si>
  <si>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</si>
  <si>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</si>
  <si>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</si>
  <si>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</si>
  <si>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</si>
  <si>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</si>
  <si>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</si>
  <si>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</si>
  <si>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</si>
  <si>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</si>
  <si>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</si>
  <si>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</si>
  <si>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</si>
  <si>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</si>
  <si>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</si>
  <si>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</si>
  <si>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</si>
  <si>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</si>
  <si>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</si>
  <si>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</si>
  <si>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</si>
  <si>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</si>
  <si>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</si>
  <si>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</si>
  <si>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</si>
  <si>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</si>
  <si>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</si>
  <si>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</si>
  <si>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</si>
  <si>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</si>
  <si>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</si>
  <si>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</si>
  <si>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</si>
  <si>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</si>
  <si>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</si>
  <si>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</si>
  <si>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</si>
  <si>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</si>
  <si>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</si>
  <si>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</si>
  <si>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</si>
  <si>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</si>
  <si>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</si>
  <si>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</si>
  <si>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</si>
  <si>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</si>
  <si>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</si>
  <si>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</si>
  <si>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</si>
  <si>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</si>
  <si>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</si>
  <si>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</si>
  <si>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</si>
  <si>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</si>
  <si>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</si>
  <si>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</si>
  <si>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</si>
  <si>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</si>
  <si>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</si>
  <si>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</si>
  <si>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</si>
  <si>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</si>
  <si>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</si>
  <si>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</si>
  <si>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</si>
  <si>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</si>
  <si>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</si>
  <si>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</si>
  <si>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</si>
  <si>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</si>
  <si>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</si>
  <si>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</si>
  <si>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</si>
  <si>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</si>
  <si>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</si>
  <si>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</si>
  <si>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</si>
  <si>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</si>
  <si>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</si>
  <si>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</si>
  <si>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</si>
  <si>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</si>
  <si>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</si>
  <si>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</si>
  <si>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</si>
  <si>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</si>
  <si>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</si>
  <si>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</si>
  <si>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</si>
  <si>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</si>
  <si>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</si>
  <si>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</si>
  <si>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</si>
  <si>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</si>
  <si>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</si>
  <si>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</si>
  <si>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</si>
  <si>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</si>
  <si>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</si>
  <si>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</si>
  <si>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</si>
  <si>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</si>
  <si>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</si>
  <si>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</si>
  <si>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</si>
  <si>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</si>
  <si>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</si>
  <si>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</si>
  <si>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</si>
  <si>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</si>
  <si>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</si>
  <si>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</si>
  <si>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</si>
  <si>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</si>
  <si>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</si>
  <si>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</si>
  <si>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</si>
  <si>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</si>
  <si>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</si>
  <si>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</si>
  <si>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</si>
  <si>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</si>
  <si>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</si>
  <si>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</si>
  <si>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</si>
  <si>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</si>
  <si>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</si>
  <si>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</si>
  <si>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</si>
  <si>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</si>
  <si>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</si>
  <si>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</si>
  <si>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</si>
  <si>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</si>
  <si>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</si>
  <si>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</si>
  <si>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</si>
  <si>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</si>
  <si>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</si>
  <si>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</si>
  <si>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</si>
  <si>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</si>
  <si>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</si>
  <si>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</si>
  <si>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</si>
  <si>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</si>
  <si>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</si>
  <si>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</si>
  <si>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</si>
  <si>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</si>
  <si>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</si>
  <si>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</si>
  <si>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</si>
  <si>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</si>
  <si>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</si>
  <si>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</si>
  <si>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</si>
  <si>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</si>
  <si>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</si>
  <si>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</si>
  <si>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</si>
  <si>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</si>
  <si>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</si>
  <si>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</si>
  <si>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</si>
  <si>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</si>
  <si>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</si>
  <si>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</si>
  <si>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</si>
  <si>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</si>
  <si>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</si>
  <si>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</si>
  <si>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</si>
  <si>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</si>
  <si>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</si>
  <si>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</si>
  <si>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</si>
  <si>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</si>
  <si>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</si>
  <si>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</si>
  <si>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</si>
  <si>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</si>
  <si>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</si>
  <si>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</si>
  <si>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</si>
  <si>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</si>
  <si>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</si>
  <si>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</si>
  <si>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</si>
  <si>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</si>
  <si>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</si>
  <si>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</si>
  <si>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</si>
  <si>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</si>
  <si>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</si>
  <si>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</si>
  <si>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</si>
  <si>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</si>
  <si>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</si>
  <si>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</si>
  <si>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</si>
  <si>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</si>
  <si>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</si>
  <si>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</si>
  <si>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</si>
  <si>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</si>
  <si>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</si>
  <si>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</si>
  <si>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</si>
  <si>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</si>
  <si>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</si>
  <si>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</si>
  <si>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</si>
  <si>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</si>
  <si>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</si>
  <si>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</si>
  <si>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</si>
  <si>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</si>
  <si>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</si>
  <si>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</si>
  <si>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</si>
  <si>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</si>
  <si>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</si>
  <si>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</si>
  <si>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</si>
  <si>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</si>
  <si>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</si>
  <si>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</si>
  <si>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</si>
  <si>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</si>
  <si>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</si>
  <si>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</si>
  <si>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</si>
  <si>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</si>
  <si>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</si>
  <si>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</si>
  <si>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</si>
  <si>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</si>
  <si>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</si>
  <si>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</si>
  <si>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</si>
  <si>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</si>
  <si>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</si>
  <si>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</si>
  <si>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</si>
  <si>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</si>
  <si>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</si>
  <si>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</si>
  <si>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</si>
  <si>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</si>
  <si>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</si>
  <si>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</si>
  <si>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</si>
  <si>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</si>
  <si>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</si>
  <si>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</si>
  <si>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</si>
  <si>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</si>
  <si>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</si>
  <si>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</si>
  <si>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</si>
  <si>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</si>
  <si>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</si>
  <si>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</si>
  <si>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</si>
  <si>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</si>
  <si>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</si>
  <si>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</si>
  <si>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</si>
  <si>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</si>
  <si>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</si>
  <si>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</si>
  <si>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</si>
  <si>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</si>
  <si>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</si>
  <si>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</si>
  <si>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</si>
  <si>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</si>
  <si>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</si>
  <si>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</si>
  <si>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</si>
  <si>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</si>
  <si>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</si>
  <si>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</si>
  <si>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</si>
  <si>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</si>
  <si>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</si>
  <si>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</si>
  <si>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</si>
  <si>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</si>
  <si>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</si>
  <si>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</si>
  <si>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</si>
  <si>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</si>
  <si>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</si>
  <si>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</si>
  <si>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</si>
  <si>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</si>
  <si>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</si>
  <si>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</si>
  <si>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</si>
  <si>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</si>
  <si>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</si>
  <si>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</si>
  <si>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</si>
  <si>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</si>
  <si>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</si>
  <si>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</si>
  <si>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</si>
  <si>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</si>
  <si>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</si>
  <si>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</si>
  <si>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</si>
  <si>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</si>
  <si>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</si>
  <si>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</si>
  <si>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</si>
  <si>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</si>
  <si>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</si>
  <si>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</si>
  <si>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</si>
  <si>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</si>
  <si>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</si>
  <si>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</si>
  <si>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</si>
  <si>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</si>
  <si>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</si>
  <si>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</si>
  <si>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</si>
  <si>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</si>
  <si>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</si>
  <si>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</si>
  <si>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</si>
  <si>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</si>
  <si>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</si>
  <si>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</si>
  <si>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</si>
  <si>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</si>
  <si>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</si>
  <si>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</si>
  <si>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</si>
  <si>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</si>
  <si>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</si>
  <si>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</si>
  <si>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</si>
  <si>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</si>
  <si>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</si>
  <si>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</si>
  <si>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</si>
  <si>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</si>
  <si>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</si>
  <si>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</si>
  <si>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</si>
  <si>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</si>
  <si>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</si>
  <si>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</si>
  <si>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</si>
  <si>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</si>
  <si>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</si>
  <si>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</si>
  <si>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</si>
  <si>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</si>
  <si>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</si>
  <si>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</si>
  <si>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</si>
  <si>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</si>
  <si>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</si>
  <si>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</si>
  <si>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</si>
  <si>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</si>
  <si>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</si>
  <si>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</si>
  <si>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</si>
  <si>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</si>
  <si>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</si>
  <si>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</si>
  <si>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</si>
  <si>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</si>
  <si>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</si>
  <si>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</si>
  <si>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</si>
  <si>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</si>
  <si>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</si>
  <si>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</si>
  <si>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</si>
  <si>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</si>
  <si>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</si>
  <si>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</si>
  <si>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</si>
  <si>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</si>
  <si>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</si>
  <si>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</si>
  <si>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</si>
  <si>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</si>
  <si>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</si>
  <si>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</si>
  <si>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</si>
  <si>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</si>
  <si>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</si>
  <si>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</si>
  <si>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</si>
  <si>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</si>
  <si>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</si>
  <si>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</si>
  <si>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</si>
  <si>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</si>
  <si>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</si>
  <si>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</si>
  <si>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</si>
  <si>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</si>
  <si>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</si>
  <si>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</si>
  <si>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</si>
  <si>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</si>
  <si>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</si>
  <si>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</si>
  <si>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</si>
  <si>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</si>
  <si>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</si>
  <si>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</si>
  <si>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</si>
  <si>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</si>
  <si>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</si>
  <si>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</si>
  <si>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</si>
  <si>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</si>
  <si>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</si>
  <si>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</si>
  <si>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</si>
  <si>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</si>
  <si>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</si>
  <si>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</si>
  <si>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</si>
  <si>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</si>
  <si>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</si>
  <si>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</si>
  <si>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</si>
  <si>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</si>
  <si>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</si>
  <si>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</si>
  <si>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</si>
  <si>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</si>
  <si>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</si>
  <si>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</si>
  <si>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</si>
  <si>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</si>
  <si>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</si>
  <si>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</si>
  <si>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</si>
  <si>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</si>
  <si>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</si>
  <si>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</si>
  <si>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</si>
  <si>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</si>
  <si>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</si>
  <si>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</si>
  <si>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</si>
  <si>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</si>
  <si>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</si>
  <si>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</si>
  <si>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</si>
  <si>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</si>
  <si>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</si>
  <si>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</si>
  <si>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</si>
  <si>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</si>
  <si>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</si>
  <si>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</si>
  <si>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</si>
  <si>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</si>
  <si>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</si>
  <si>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</si>
  <si>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</si>
  <si>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</si>
  <si>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</si>
  <si>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</si>
  <si>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</si>
  <si>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</si>
  <si>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</si>
  <si>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</si>
  <si>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</si>
  <si>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</si>
  <si>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</si>
  <si>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</si>
  <si>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</si>
  <si>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</si>
  <si>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</si>
  <si>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</si>
  <si>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</si>
  <si>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</si>
  <si>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</si>
  <si>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</si>
  <si>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</si>
  <si>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</si>
  <si>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</si>
  <si>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</si>
  <si>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</si>
  <si>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</si>
  <si>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</si>
  <si>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</si>
  <si>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</si>
  <si>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</si>
  <si>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</si>
  <si>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</si>
  <si>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</si>
  <si>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</si>
  <si>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</si>
  <si>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</si>
  <si>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</si>
  <si>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</si>
  <si>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</si>
  <si>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</si>
  <si>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</si>
  <si>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</si>
  <si>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</si>
  <si>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</si>
  <si>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</si>
  <si>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</si>
  <si>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</si>
  <si>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</si>
  <si>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</si>
  <si>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</si>
  <si>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</si>
  <si>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</si>
  <si>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</si>
  <si>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</si>
  <si>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</si>
  <si>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</si>
  <si>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</si>
  <si>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</si>
  <si>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</si>
  <si>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</si>
  <si>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</si>
  <si>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</si>
  <si>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</si>
  <si>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</si>
  <si>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</si>
  <si>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</si>
  <si>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</si>
  <si>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</si>
  <si>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</si>
  <si>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</si>
  <si>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</si>
  <si>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</si>
  <si>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</si>
  <si>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</si>
  <si>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</si>
  <si>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</si>
  <si>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</si>
  <si>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</si>
  <si>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</si>
  <si>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</si>
  <si>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</si>
  <si>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</si>
  <si>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</si>
  <si>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</si>
  <si>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</si>
  <si>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</si>
  <si>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</si>
  <si>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</si>
  <si>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</si>
  <si>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</si>
  <si>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</si>
  <si>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</si>
  <si>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</si>
  <si>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</si>
  <si>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</si>
  <si>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</si>
  <si>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</si>
  <si>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</si>
  <si>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</si>
  <si>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</si>
  <si>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</si>
  <si>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</si>
  <si>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</si>
  <si>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</si>
  <si>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</si>
  <si>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</si>
  <si>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</si>
  <si>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</si>
  <si>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</si>
  <si>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</si>
  <si>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</si>
  <si>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</si>
  <si>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</si>
  <si>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</si>
  <si>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</si>
  <si>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</si>
  <si>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</si>
  <si>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</si>
  <si>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</si>
  <si>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</si>
  <si>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</si>
  <si>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</si>
  <si>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</si>
  <si>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</si>
  <si>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</si>
  <si>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</si>
  <si>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</si>
  <si>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</si>
  <si>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</si>
  <si>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</si>
  <si>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</si>
  <si>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</si>
  <si>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</si>
  <si>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</si>
  <si>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</si>
  <si>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</si>
  <si>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</si>
  <si>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</si>
  <si>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</si>
  <si>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</si>
  <si>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</si>
  <si>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</si>
  <si>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</si>
  <si>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</si>
  <si>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</si>
  <si>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</si>
  <si>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</si>
  <si>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</si>
  <si>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</si>
  <si>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</si>
  <si>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</si>
  <si>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</si>
  <si>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</si>
  <si>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</si>
  <si>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</si>
  <si>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</si>
  <si>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</si>
  <si>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</si>
  <si>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</si>
  <si>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</si>
  <si>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</si>
  <si>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</si>
  <si>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</si>
  <si>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</si>
  <si>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</si>
  <si>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</si>
  <si>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</si>
  <si>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</si>
  <si>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</si>
  <si>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</si>
  <si>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</si>
  <si>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</si>
  <si>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</si>
  <si>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</si>
  <si>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</si>
  <si>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</si>
  <si>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</si>
  <si>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</si>
  <si>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</si>
  <si>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</si>
  <si>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</si>
  <si>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</si>
  <si>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</si>
  <si>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</si>
  <si>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</si>
  <si>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</si>
  <si>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</si>
  <si>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</si>
  <si>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</si>
  <si>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</si>
  <si>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</si>
  <si>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</si>
  <si>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</si>
  <si>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</si>
  <si>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</si>
  <si>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</si>
  <si>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</si>
  <si>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</si>
  <si>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</si>
  <si>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</si>
  <si>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</si>
  <si>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</si>
  <si>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</si>
  <si>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</si>
  <si>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</si>
  <si>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</si>
  <si>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</si>
  <si>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</si>
  <si>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</si>
  <si>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</si>
  <si>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</si>
  <si>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</si>
  <si>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</si>
  <si>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</si>
  <si>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</si>
  <si>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</si>
  <si>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</si>
  <si>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</si>
  <si>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</si>
  <si>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</si>
  <si>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</si>
  <si>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</si>
  <si>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</si>
  <si>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</si>
  <si>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</si>
  <si>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</si>
  <si>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</si>
  <si>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</si>
  <si>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</si>
  <si>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</si>
  <si>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</si>
  <si>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</si>
  <si>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</si>
  <si>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</si>
  <si>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</si>
  <si>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</si>
  <si>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</si>
  <si>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</si>
  <si>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</si>
  <si>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</si>
  <si>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</si>
  <si>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</si>
  <si>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</si>
  <si>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</si>
  <si>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</si>
  <si>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</si>
  <si>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</si>
  <si>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</si>
  <si>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</si>
  <si>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</si>
  <si>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</si>
  <si>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</si>
  <si>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</si>
  <si>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</si>
  <si>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</si>
  <si>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</si>
  <si>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</si>
  <si>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</si>
  <si>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</si>
  <si>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</si>
  <si>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</si>
  <si>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</si>
  <si>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</si>
  <si>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</si>
  <si>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</si>
  <si>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</si>
  <si>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</si>
  <si>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</si>
  <si>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</si>
  <si>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</si>
  <si>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</si>
  <si>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</si>
  <si>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</si>
  <si>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</si>
  <si>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</si>
  <si>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</si>
  <si>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</si>
  <si>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</si>
  <si>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</si>
  <si>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</si>
  <si>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</si>
  <si>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</si>
  <si>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</si>
  <si>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</si>
  <si>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</si>
  <si>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</si>
  <si>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</si>
  <si>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</si>
  <si>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</si>
  <si>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</si>
  <si>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</si>
  <si>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</si>
  <si>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</si>
  <si>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</si>
  <si>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</si>
  <si>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</si>
  <si>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</si>
  <si>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</si>
  <si>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</si>
  <si>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</si>
  <si>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</si>
  <si>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</si>
  <si>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</si>
  <si>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</si>
  <si>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</si>
  <si>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</si>
  <si>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</si>
  <si>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</si>
  <si>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</si>
  <si>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</si>
  <si>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</si>
  <si>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</si>
  <si>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</si>
  <si>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</si>
  <si>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</si>
  <si>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</si>
  <si>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</si>
  <si>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</si>
  <si>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</si>
  <si>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</si>
  <si>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</si>
  <si>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</si>
  <si>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</si>
  <si>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</si>
  <si>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</si>
  <si>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</si>
  <si>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</si>
  <si>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</si>
  <si>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</si>
  <si>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</si>
  <si>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</si>
  <si>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</si>
  <si>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</si>
  <si>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</si>
  <si>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</si>
  <si>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</si>
  <si>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</si>
  <si>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</si>
  <si>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</si>
  <si>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</si>
  <si>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</si>
  <si>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</si>
  <si>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</si>
  <si>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</si>
  <si>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</si>
  <si>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</si>
  <si>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</si>
  <si>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</si>
  <si>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</si>
  <si>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</si>
  <si>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</si>
  <si>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</si>
  <si>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</si>
  <si>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</si>
  <si>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</si>
  <si>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</si>
  <si>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</si>
  <si>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</si>
  <si>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</si>
  <si>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</si>
  <si>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</si>
  <si>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</si>
  <si>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</si>
  <si>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</si>
  <si>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</si>
  <si>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</si>
  <si>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</si>
  <si>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</si>
  <si>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</si>
  <si>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</si>
  <si>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</si>
  <si>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</si>
  <si>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</si>
  <si>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</si>
  <si>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</si>
  <si>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</si>
  <si>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</si>
  <si>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</si>
  <si>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</si>
  <si>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</si>
  <si>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</si>
  <si>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</si>
  <si>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</si>
  <si>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</si>
  <si>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</si>
  <si>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</si>
  <si>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</si>
  <si>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</si>
  <si>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</si>
  <si>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</si>
  <si>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</si>
  <si>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</si>
  <si>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</si>
  <si>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</si>
  <si>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</si>
  <si>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</si>
  <si>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</si>
  <si>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</si>
  <si>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</si>
  <si>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</si>
  <si>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</si>
  <si>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</si>
  <si>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</si>
  <si>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</si>
  <si>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</si>
  <si>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</si>
  <si>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</si>
  <si>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</si>
  <si>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</si>
  <si>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</si>
  <si>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</si>
  <si>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</si>
  <si>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</si>
  <si>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</si>
  <si>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</si>
  <si>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</si>
  <si>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</si>
  <si>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</si>
  <si>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</si>
  <si>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</si>
  <si>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</si>
  <si>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</si>
  <si>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</si>
  <si>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</si>
  <si>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</si>
  <si>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</si>
  <si>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</si>
  <si>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</si>
  <si>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</si>
  <si>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</si>
  <si>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</si>
  <si>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</si>
  <si>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</si>
  <si>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</si>
  <si>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</si>
  <si>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</si>
  <si>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</si>
  <si>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</si>
  <si>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</si>
  <si>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</si>
  <si>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</si>
  <si>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</si>
  <si>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</si>
  <si>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</si>
  <si>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</si>
  <si>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</si>
  <si>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</si>
  <si>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</si>
  <si>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</si>
  <si>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</si>
  <si>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</si>
  <si>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</si>
  <si>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</si>
  <si>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</si>
  <si>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</si>
  <si>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</si>
  <si>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</si>
  <si>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</si>
  <si>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</si>
  <si>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</si>
  <si>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</si>
  <si>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</si>
  <si>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</si>
  <si>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</si>
  <si>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</si>
  <si>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</si>
  <si>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</si>
  <si>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</si>
  <si>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</si>
  <si>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</si>
  <si>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</si>
  <si>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</si>
  <si>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</si>
  <si>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</si>
  <si>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</si>
  <si>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</si>
  <si>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</si>
  <si>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</si>
  <si>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</si>
  <si>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</si>
  <si>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</si>
  <si>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</si>
  <si>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</si>
  <si>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</si>
  <si>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</si>
  <si>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</si>
  <si>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</si>
  <si>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</si>
  <si>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</si>
  <si>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</si>
  <si>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</si>
  <si>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</si>
  <si>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</si>
  <si>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</si>
  <si>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</si>
  <si>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</si>
  <si>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</si>
  <si>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</si>
  <si>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</si>
  <si>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</si>
  <si>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</si>
  <si>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</si>
  <si>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</si>
  <si>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</si>
  <si>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</si>
  <si>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</si>
  <si>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</si>
  <si>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</si>
  <si>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</si>
  <si>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</si>
  <si>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</si>
  <si>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</si>
  <si>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</si>
  <si>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</si>
  <si>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</si>
  <si>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</si>
  <si>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</si>
  <si>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</si>
  <si>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</si>
  <si>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</si>
  <si>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</si>
  <si>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</si>
  <si>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</si>
  <si>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</si>
  <si>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</si>
  <si>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</si>
  <si>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</si>
  <si>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</si>
  <si>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</si>
  <si>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</si>
  <si>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</si>
  <si>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</si>
  <si>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</si>
  <si>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</si>
  <si>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</si>
  <si>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</si>
  <si>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</si>
  <si>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</si>
  <si>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</si>
  <si>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</si>
  <si>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</si>
  <si>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</si>
  <si>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</si>
  <si>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</si>
  <si>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</si>
  <si>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</si>
  <si>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</si>
  <si>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</si>
  <si>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</si>
  <si>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</si>
  <si>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</si>
  <si>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</si>
  <si>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</si>
  <si>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</si>
  <si>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</si>
  <si>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</si>
  <si>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</si>
  <si>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</si>
  <si>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</si>
  <si>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</si>
  <si>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</si>
  <si>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</si>
  <si>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</si>
  <si>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</si>
  <si>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</si>
  <si>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</si>
  <si>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</si>
  <si>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</si>
  <si>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</si>
  <si>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</si>
  <si>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</si>
  <si>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</si>
  <si>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</si>
  <si>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</si>
  <si>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</si>
  <si>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</si>
  <si>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</si>
  <si>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</si>
  <si>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</si>
  <si>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</si>
  <si>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</si>
  <si>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</si>
  <si>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</si>
  <si>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</si>
  <si>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</si>
  <si>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</si>
  <si>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</si>
  <si>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</si>
  <si>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</si>
  <si>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</si>
  <si>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</si>
  <si>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</si>
  <si>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</si>
  <si>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</si>
  <si>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</si>
  <si>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</si>
  <si>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</si>
  <si>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</si>
  <si>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</si>
  <si>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</si>
  <si>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</si>
  <si>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</si>
  <si>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</si>
  <si>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</si>
  <si>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</si>
  <si>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</si>
  <si>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</si>
  <si>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</si>
  <si>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</si>
  <si>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</si>
  <si>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</si>
  <si>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</si>
  <si>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</si>
  <si>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</si>
  <si>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</si>
  <si>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</si>
  <si>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</si>
  <si>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</si>
  <si>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</si>
  <si>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</si>
  <si>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</si>
  <si>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</si>
  <si>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</si>
  <si>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</si>
  <si>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</si>
  <si>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</si>
  <si>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</si>
  <si>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</si>
  <si>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</si>
  <si>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</si>
  <si>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</si>
  <si>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</si>
  <si>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</si>
  <si>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</si>
  <si>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</si>
  <si>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</si>
  <si>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</si>
  <si>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</si>
  <si>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</si>
  <si>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</si>
  <si>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</si>
  <si>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</si>
  <si>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</si>
  <si>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</si>
  <si>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</si>
  <si>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</si>
  <si>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</si>
  <si>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</si>
  <si>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</si>
  <si>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</si>
  <si>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</si>
  <si>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</si>
  <si>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</si>
  <si>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</si>
  <si>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</si>
  <si>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</si>
  <si>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</si>
  <si>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</si>
  <si>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</si>
  <si>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</si>
  <si>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</si>
  <si>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</si>
  <si>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</si>
  <si>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</si>
  <si>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</si>
  <si>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</si>
  <si>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</si>
  <si>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</si>
  <si>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</si>
  <si>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</si>
  <si>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</si>
  <si>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</si>
  <si>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</si>
  <si>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</si>
  <si>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</si>
  <si>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</si>
  <si>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</si>
  <si>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</si>
  <si>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</si>
  <si>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</si>
  <si>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</si>
  <si>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</si>
  <si>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</si>
  <si>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</si>
  <si>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</si>
  <si>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</si>
  <si>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</si>
  <si>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</si>
  <si>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</si>
  <si>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</si>
  <si>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</si>
  <si>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</si>
  <si>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</si>
  <si>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</si>
  <si>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</si>
  <si>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</si>
  <si>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</si>
  <si>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</si>
  <si>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</si>
  <si>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</si>
  <si>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</si>
  <si>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</si>
  <si>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</si>
  <si>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</si>
  <si>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</si>
  <si>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</si>
  <si>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</si>
  <si>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</si>
  <si>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</si>
  <si>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</si>
  <si>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</si>
  <si>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</si>
  <si>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</si>
  <si>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</si>
  <si>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</si>
  <si>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</si>
  <si>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</si>
  <si>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</si>
  <si>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</si>
  <si>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</si>
  <si>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</si>
  <si>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</si>
  <si>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</si>
  <si>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</si>
  <si>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</si>
  <si>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</si>
  <si>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</si>
  <si>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</si>
  <si>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</si>
  <si>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</si>
  <si>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</si>
  <si>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</si>
  <si>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</si>
  <si>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</si>
  <si>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</si>
  <si>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</si>
  <si>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</si>
  <si>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</si>
  <si>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</si>
  <si>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</si>
  <si>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</si>
  <si>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</si>
  <si>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</si>
  <si>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</si>
  <si>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</si>
  <si>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</si>
  <si>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</si>
  <si>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</si>
  <si>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</si>
  <si>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</si>
  <si>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</si>
  <si>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</si>
  <si>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</si>
  <si>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</si>
  <si>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</si>
  <si>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</si>
  <si>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</si>
  <si>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</si>
  <si>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</si>
  <si>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</si>
  <si>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</si>
  <si>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</si>
  <si>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</si>
  <si>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</si>
  <si>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</si>
  <si>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</si>
  <si>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</si>
  <si>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</si>
  <si>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</si>
  <si>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</si>
  <si>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</si>
  <si>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</si>
  <si>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</si>
  <si>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</si>
  <si>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</si>
  <si>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</si>
  <si>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</si>
  <si>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</si>
  <si>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</si>
  <si>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</si>
  <si>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</si>
  <si>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</si>
  <si>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</si>
  <si>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</si>
  <si>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</si>
  <si>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</si>
  <si>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</si>
  <si>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</si>
  <si>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</si>
  <si>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</si>
  <si>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</si>
  <si>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</si>
  <si>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</si>
  <si>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</si>
  <si>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</si>
  <si>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</si>
  <si>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</si>
  <si>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</si>
  <si>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</si>
  <si>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</si>
  <si>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</si>
  <si>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</si>
  <si>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</si>
  <si>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</si>
  <si>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</si>
  <si>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</si>
  <si>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</si>
  <si>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</si>
  <si>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</si>
  <si>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</si>
  <si>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</si>
  <si>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</si>
  <si>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</si>
  <si>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</si>
  <si>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</si>
  <si>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</si>
  <si>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</si>
  <si>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</si>
  <si>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</si>
  <si>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</si>
  <si>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</si>
  <si>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</si>
  <si>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</si>
  <si>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</si>
  <si>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</si>
  <si>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</si>
  <si>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</si>
  <si>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</si>
  <si>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</si>
  <si>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</si>
  <si>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</si>
  <si>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</si>
  <si>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</si>
  <si>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</si>
  <si>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</si>
  <si>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</si>
  <si>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</si>
  <si>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</si>
  <si>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</si>
  <si>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</si>
  <si>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</si>
  <si>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</si>
  <si>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</si>
  <si>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</si>
  <si>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</si>
  <si>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</si>
  <si>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</si>
  <si>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</si>
  <si>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</si>
  <si>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</si>
  <si>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</si>
  <si>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</si>
  <si>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</si>
  <si>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</si>
  <si>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</si>
  <si>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</si>
  <si>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</si>
  <si>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</si>
  <si>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</si>
  <si>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</si>
  <si>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</si>
  <si>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</si>
  <si>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</si>
  <si>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</si>
  <si>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</si>
  <si>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</si>
  <si>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</si>
  <si>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</si>
  <si>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</si>
  <si>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</si>
  <si>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</si>
  <si>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</si>
  <si>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</si>
  <si>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</si>
  <si>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</si>
  <si>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</si>
  <si>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</si>
  <si>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</si>
  <si>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</si>
  <si>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</si>
  <si>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</si>
  <si>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</si>
  <si>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</si>
  <si>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</si>
  <si>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</si>
  <si>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</si>
  <si>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</si>
  <si>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</si>
  <si>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</si>
  <si>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</si>
  <si>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</si>
  <si>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</si>
  <si>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</si>
  <si>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</si>
  <si>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</si>
  <si>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</si>
  <si>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</si>
  <si>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</si>
  <si>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</si>
  <si>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</si>
  <si>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</si>
  <si>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</si>
  <si>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</si>
  <si>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</si>
  <si>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</si>
  <si>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</si>
  <si>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</si>
  <si>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</si>
  <si>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</si>
  <si>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</si>
  <si>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</si>
  <si>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</si>
  <si>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</si>
  <si>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</si>
  <si>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</si>
  <si>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</si>
  <si>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</si>
  <si>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</si>
  <si>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</si>
  <si>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</si>
  <si>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</si>
  <si>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</si>
  <si>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</si>
  <si>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</si>
  <si>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</si>
  <si>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</si>
  <si>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</si>
  <si>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</si>
  <si>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</si>
  <si>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</si>
  <si>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</si>
  <si>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</si>
  <si>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</si>
  <si>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</si>
  <si>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</si>
  <si>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</si>
  <si>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</si>
  <si>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</si>
  <si>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</si>
  <si>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</si>
  <si>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</si>
  <si>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</si>
  <si>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</si>
  <si>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</si>
  <si>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</si>
  <si>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</si>
  <si>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</si>
  <si>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</si>
  <si>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</si>
  <si>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</si>
  <si>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</si>
  <si>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</si>
  <si>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</si>
  <si>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</si>
  <si>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</si>
  <si>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</si>
  <si>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</si>
  <si>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</si>
  <si>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</si>
  <si>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</si>
  <si>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</si>
  <si>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</si>
  <si>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</si>
  <si>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</si>
  <si>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</si>
  <si>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</si>
  <si>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</si>
  <si>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</si>
  <si>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</si>
  <si>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</si>
  <si>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</si>
  <si>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</si>
  <si>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</si>
  <si>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</si>
  <si>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</si>
  <si>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</si>
  <si>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</si>
  <si>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</si>
  <si>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</si>
  <si>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</si>
  <si>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</si>
  <si>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</si>
  <si>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</si>
  <si>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</si>
  <si>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</si>
  <si>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</si>
  <si>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</si>
  <si>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</si>
  <si>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</si>
  <si>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</si>
  <si>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</si>
  <si>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</si>
  <si>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</si>
  <si>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</si>
  <si>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</si>
  <si>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</si>
  <si>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</si>
  <si>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</si>
  <si>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</si>
  <si>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</si>
  <si>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</si>
  <si>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</si>
  <si>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</si>
  <si>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</si>
  <si>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</si>
  <si>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</si>
  <si>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</si>
  <si>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</si>
  <si>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</si>
  <si>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</si>
  <si>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</si>
  <si>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</si>
  <si>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</si>
  <si>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</si>
  <si>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</si>
  <si>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</si>
  <si>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</si>
  <si>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</si>
  <si>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</si>
  <si>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</si>
  <si>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</si>
  <si>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</si>
  <si>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</si>
  <si>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</si>
  <si>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</si>
  <si>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</si>
  <si>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</si>
  <si>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</si>
  <si>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</si>
  <si>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</si>
  <si>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</si>
  <si>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</si>
  <si>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</si>
  <si>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</si>
  <si>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</si>
  <si>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</si>
  <si>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</si>
  <si>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</si>
  <si>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</si>
  <si>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|</t>
  </si>
  <si>
    <t>SMART.225213</t>
  </si>
  <si>
    <t>SMART.225214</t>
  </si>
  <si>
    <t>SMART.225215</t>
  </si>
  <si>
    <t>FACTURA RETENCION 4500</t>
  </si>
  <si>
    <t>Solicitud de instalación de mobisys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</si>
</sst>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875" totalsRowShown="0" headerRowDxfId="22" dataDxfId="20" headerRowBorderDxfId="21" tableBorderDxfId="19" totalsRowBorderDxfId="18">
  <autoFilter ref="A1:M1875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8" totalsRowShown="0" headerRowDxfId="4" dataDxfId="3">
  <autoFilter ref="A1:A8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875"/>
  <sheetViews>
    <sheetView tabSelected="1" topLeftCell="C1871" zoomScale="75" zoomScaleNormal="32" workbookViewId="0">
      <selection activeCell="C1894" sqref="C1894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>MAX(1,NETWORKDAYS(A2,L2,Table2[Dias no laborales]))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>
        <v>46087</v>
      </c>
      <c r="H277" s="7">
        <f t="shared" si="8"/>
        <v>10</v>
      </c>
      <c r="I277" s="20">
        <f>MAX(1, NETWORKDAYS(A277, G277,Table2[Dias no laborales]))</f>
        <v>256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26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26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Fuera</v>
      </c>
      <c r="K936" s="7" t="str">
        <f t="shared" si="29"/>
        <v>A tiempo</v>
      </c>
      <c r="L936" s="13">
        <v>45897</v>
      </c>
      <c r="M936" s="22">
        <f>MAX(1,NETWORKDAYS(A936,L936,Table2[Dias no laborales]))</f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34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>
        <v>46094</v>
      </c>
      <c r="H1233" s="7">
        <f t="shared" si="39"/>
        <v>46</v>
      </c>
      <c r="I1233" s="20">
        <f>MAX(1, NETWORKDAYS(A1233, G1233,Table2[Dias no laborales]))</f>
        <v>80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Programados</v>
      </c>
      <c r="L1240" s="13">
        <v>45979</v>
      </c>
      <c r="M1240" s="22">
        <f>MAX(1,NETWORKDAYS(A1240,L1240,Table2[Dias no laborales]))</f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Programados</v>
      </c>
      <c r="L1241" s="13">
        <v>45979</v>
      </c>
      <c r="M1241" s="22">
        <f>MAX(1,NETWORKDAYS(A1241,L1241,Table2[Dias no laborales]))</f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39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46009</v>
      </c>
      <c r="M1345" s="22">
        <f>MAX(1,NETWORKDAYS(A1345,L1345,Table2[Dias no laborales]))</f>
        <v>8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256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45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Row],[CORREO]],1),E1509)</f>
        <v>0</v>
      </c>
      <c r="G1509" s="11"/>
      <c r="H1509" s="7">
        <f t="shared" si="49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>
        <v>46100</v>
      </c>
      <c r="H1517" s="7">
        <f t="shared" si="49"/>
        <v>5</v>
      </c>
      <c r="I1517" s="20">
        <f>MAX(1, NETWORKDAYS(A1517, G1517,Table2[Dias no laborales]))</f>
        <v>33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Row],[CORREO]],1),E1558)</f>
        <v>0</v>
      </c>
      <c r="G1558" s="11">
        <v>46094</v>
      </c>
      <c r="H1558" s="7">
        <f t="shared" si="53"/>
        <v>6</v>
      </c>
      <c r="I1558" s="20">
        <f>MAX(1, NETWORKDAYS(A1558, G1558,Table2[Dias no laborales]))</f>
        <v>26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>
        <v>46085</v>
      </c>
      <c r="H1575" s="7">
        <f t="shared" si="55"/>
        <v>6</v>
      </c>
      <c r="I1575" s="20">
        <f>MAX(1, NETWORKDAYS(A1575, G1575,Table2[Dias no laborales]))</f>
        <v>17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>
        <v>46087</v>
      </c>
      <c r="H1591" s="7">
        <f t="shared" si="55"/>
        <v>6</v>
      </c>
      <c r="I1591" s="20">
        <f>MAX(1, NETWORKDAYS(A1591, G1591,Table2[Dias no laborales]))</f>
        <v>18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55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57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>
        <v>46070.397916666669</v>
      </c>
      <c r="F1623" s="11">
        <f>IF(HOUR(Table1[[#This Row],[CORREO]])&gt;=11,WORKDAY(Table1[[#This Row],[CORREO]],1),E1623)</f>
        <v>46070.397916666669</v>
      </c>
      <c r="G1623" s="11">
        <v>46085</v>
      </c>
      <c r="H1623" s="7">
        <f t="shared" si="57"/>
        <v>7</v>
      </c>
      <c r="I1623" s="20">
        <f>MAX(1, NETWORKDAYS(A1623, G1623,Table2[Dias no laborales]))</f>
        <v>12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Fuera</v>
      </c>
      <c r="K1623" s="7" t="str">
        <f t="shared" si="58"/>
        <v>A tiempo</v>
      </c>
      <c r="L1623" s="11">
        <v>46070</v>
      </c>
      <c r="M1623" s="22">
        <f>MAX(1,NETWORKDAYS(A1623,L1623,Table2[Dias no laborales]))</f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>
        <v>46085</v>
      </c>
      <c r="H1636" s="7">
        <f t="shared" si="59"/>
        <v>8</v>
      </c>
      <c r="I1636" s="20">
        <f>MAX(1, NETWORKDAYS(A1636, G1636,Table2[Dias no laborales]))</f>
        <v>10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Row],[CORREO]],1),E1646)</f>
        <v>46073</v>
      </c>
      <c r="G1646" s="11">
        <v>46085</v>
      </c>
      <c r="H1646" s="7">
        <f t="shared" si="59"/>
        <v>8</v>
      </c>
      <c r="I1646" s="20">
        <f>MAX(1, NETWORKDAYS(A1646, G1646,Table2[Dias no laborales]))</f>
        <v>9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Fuera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>
        <v>46111</v>
      </c>
      <c r="H1649" s="7">
        <f t="shared" si="59"/>
        <v>8</v>
      </c>
      <c r="I1649" s="20">
        <f>MAX(1, NETWORKDAYS(A1649, G1649,Table2[Dias no laborales]))</f>
        <v>26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5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5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5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5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5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5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5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5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5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5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5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5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5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5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5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Row],[CORREO]],1),E1708)</f>
        <v>46084</v>
      </c>
      <c r="G1708" s="11"/>
      <c r="H1708" s="7">
        <f t="shared" si="63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5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5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5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5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5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5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5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5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5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5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Row],[CORREO]],1),E1720)</f>
        <v>46086.324999999997</v>
      </c>
      <c r="G1720" s="11"/>
      <c r="H1720" s="7">
        <f t="shared" si="65"/>
        <v>10</v>
      </c>
      <c r="I1720" s="7">
        <f>MAX(1, NETWORKDAYS(A1720, G1720,Table2[Dias no laborales]))</f>
        <v>1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Acumulado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5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Row],[CORREO]],1),E1721)</f>
        <v>46087</v>
      </c>
      <c r="G1721" s="11">
        <v>46100</v>
      </c>
      <c r="H1721" s="7">
        <f t="shared" si="65"/>
        <v>10</v>
      </c>
      <c r="I1721" s="7">
        <f>MAX(1, NETWORKDAYS(A1721, G1721,Table2[Dias no laborales]))</f>
        <v>10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5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5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5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Row],[CORREO]],1),E1724)</f>
        <v>0</v>
      </c>
      <c r="G1724" s="11"/>
      <c r="H1724" s="7">
        <f t="shared" si="65"/>
        <v>10</v>
      </c>
      <c r="I1724" s="7">
        <f>MAX(1, NETWORKDAYS(A1724, G1724,Table2[Dias no laborales]))</f>
        <v>1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Acumulado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5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Row],[CORREO]],1),E1725)</f>
        <v>46087</v>
      </c>
      <c r="G1725" s="11">
        <v>46108</v>
      </c>
      <c r="H1725" s="7">
        <f t="shared" si="65"/>
        <v>10</v>
      </c>
      <c r="I1725" s="7">
        <f>MAX(1, NETWORKDAYS(A1725, G1725,Table2[Dias no laborales]))</f>
        <v>16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5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5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5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5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5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5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5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5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5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5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Row],[CORREO]],1),E1735)</f>
        <v>0</v>
      </c>
      <c r="G1735" s="11">
        <v>46108</v>
      </c>
      <c r="H1735" s="7">
        <f t="shared" si="65"/>
        <v>10</v>
      </c>
      <c r="I1735" s="7">
        <f>MAX(1, NETWORKDAYS(A1735, G1735,Table2[Dias no laborales]))</f>
        <v>15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5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5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Row],[CORREO]],1),E1737)</f>
        <v>46090</v>
      </c>
      <c r="G1737" s="11">
        <v>46108</v>
      </c>
      <c r="H1737" s="7">
        <f t="shared" si="65"/>
        <v>10</v>
      </c>
      <c r="I1737" s="7">
        <f>MAX(1, NETWORKDAYS(A1737, G1737,Table2[Dias no laborales]))</f>
        <v>15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5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5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5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5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5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5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5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Row],[CORREO]],1),E1744)</f>
        <v>46091</v>
      </c>
      <c r="G1744" s="11">
        <v>46106</v>
      </c>
      <c r="H1744" s="7">
        <f t="shared" ref="H1744:H1757" si="67">INT((A1744-DATE(YEAR(A1744),1,1))/7) + 1</f>
        <v>10</v>
      </c>
      <c r="I1744" s="7">
        <f>MAX(1, NETWORKDAYS(A1744, G1744,Table2[Dias no laborales]))</f>
        <v>11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Fuera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5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5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Row],[CORREO]],1),E1746)</f>
        <v>46091</v>
      </c>
      <c r="G1746" s="11">
        <v>46106</v>
      </c>
      <c r="H1746" s="7">
        <f t="shared" si="67"/>
        <v>10</v>
      </c>
      <c r="I1746" s="7">
        <f>MAX(1, NETWORKDAYS(A1746, G1746,Table2[Dias no laborales]))</f>
        <v>11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Fuera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5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Row],[CORREO]],1),E1747)</f>
        <v>46091</v>
      </c>
      <c r="G1747" s="11">
        <v>46106</v>
      </c>
      <c r="H1747" s="7">
        <f t="shared" si="67"/>
        <v>10</v>
      </c>
      <c r="I1747" s="7">
        <f>MAX(1, NETWORKDAYS(A1747, G1747,Table2[Dias no laborales]))</f>
        <v>11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Fuera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5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Row],[CORREO]],1),E1748)</f>
        <v>46091.359027777777</v>
      </c>
      <c r="G1748" s="11">
        <v>46106</v>
      </c>
      <c r="H1748" s="7">
        <f t="shared" si="67"/>
        <v>10</v>
      </c>
      <c r="I1748" s="7">
        <f>MAX(1, NETWORKDAYS(A1748, G1748,Table2[Dias no laborales]))</f>
        <v>11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Fuera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5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5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Row],[CORREO]],1),E1750)</f>
        <v>46092</v>
      </c>
      <c r="G1750" s="11">
        <v>46108</v>
      </c>
      <c r="H1750" s="7">
        <f t="shared" si="67"/>
        <v>10</v>
      </c>
      <c r="I1750" s="7">
        <f>MAX(1, NETWORKDAYS(A1750, G1750,Table2[Dias no laborales]))</f>
        <v>13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5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Row],[CORREO]],1),E1751)</f>
        <v>46092</v>
      </c>
      <c r="G1751" s="11">
        <v>46094</v>
      </c>
      <c r="H1751" s="7">
        <f t="shared" si="67"/>
        <v>10</v>
      </c>
      <c r="I1751" s="7">
        <f>MAX(1, NETWORKDAYS(A1751, G1751,Table2[Dias no laborales]))</f>
        <v>4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5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Row],[CORREO]],1),E1752)</f>
        <v>46092</v>
      </c>
      <c r="G1752" s="11">
        <v>46106</v>
      </c>
      <c r="H1752" s="7">
        <f t="shared" si="67"/>
        <v>10</v>
      </c>
      <c r="I1752" s="7">
        <f>MAX(1, NETWORKDAYS(A1752, G1752,Table2[Dias no laborales]))</f>
        <v>10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Fuera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5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Row],[CORREO]],1),E1753)</f>
        <v>46092</v>
      </c>
      <c r="G1753" s="11">
        <v>46094</v>
      </c>
      <c r="H1753" s="7">
        <f t="shared" si="67"/>
        <v>10</v>
      </c>
      <c r="I1753" s="7">
        <f>MAX(1, NETWORKDAYS(A1753, G1753,Table2[Dias no laborales]))</f>
        <v>3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5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Row],[CORREO]],1),E1754)</f>
        <v>46092</v>
      </c>
      <c r="G1754" s="11">
        <v>46108</v>
      </c>
      <c r="H1754" s="7">
        <f t="shared" si="67"/>
        <v>10</v>
      </c>
      <c r="I1754" s="7">
        <f>MAX(1, NETWORKDAYS(A1754, G1754,Table2[Dias no laborales]))</f>
        <v>12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5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5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Row],[CORREO]],1),E1756)</f>
        <v>0</v>
      </c>
      <c r="G1756" s="11">
        <v>46094</v>
      </c>
      <c r="H1756" s="7">
        <f t="shared" si="67"/>
        <v>10</v>
      </c>
      <c r="I1756" s="7">
        <f>MAX(1, NETWORKDAYS(A1756, G1756,Table2[Dias no laborales]))</f>
        <v>3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5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Row],[CORREO]],1),E1757)</f>
        <v>46093</v>
      </c>
      <c r="G1757" s="11">
        <v>46094</v>
      </c>
      <c r="H1757" s="7">
        <f t="shared" si="67"/>
        <v>10</v>
      </c>
      <c r="I1757" s="7">
        <f>MAX(1, NETWORKDAYS(A1757, G1757,Table2[Dias no laborales]))</f>
        <v>3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5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5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5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5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5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5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5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5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5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5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5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5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5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5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Row],[CORREO]],1),E1771)</f>
        <v>46097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Programados</v>
      </c>
      <c r="L1771" s="11">
        <v>46099</v>
      </c>
      <c r="M1771" s="22">
        <f>MAX(1,NETWORKDAYS(A1771,L1771,Table2[Dias no laborales]))</f>
        <v>2</v>
      </c>
    </row>
    <row r="1772" spans="1:13" x14ac:dyDescent="0.35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Row],[CORREO]],1),E1772)</f>
        <v>46097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Programados</v>
      </c>
      <c r="L1772" s="11">
        <v>46098</v>
      </c>
      <c r="M1772" s="22">
        <f>MAX(1,NETWORKDAYS(A1772,L1772,Table2[Dias no laborales]))</f>
        <v>1</v>
      </c>
    </row>
    <row r="1773" spans="1:13" x14ac:dyDescent="0.35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Row],[CORREO]],1),E1773)</f>
        <v>46097</v>
      </c>
      <c r="G1773" s="11">
        <v>46108</v>
      </c>
      <c r="H1773" s="7">
        <f t="shared" si="69"/>
        <v>11</v>
      </c>
      <c r="I1773" s="7">
        <f>MAX(1, NETWORKDAYS(A1773, G1773,Table2[Dias no laborales]))</f>
        <v>9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Programado</v>
      </c>
      <c r="K1773" s="7" t="str">
        <f t="shared" si="70"/>
        <v>Programados</v>
      </c>
      <c r="L1773" s="11">
        <v>46098</v>
      </c>
      <c r="M1773" s="22">
        <f>MAX(1,NETWORKDAYS(A1773,L1773,Table2[Dias no laborales]))</f>
        <v>1</v>
      </c>
    </row>
    <row r="1774" spans="1:13" x14ac:dyDescent="0.35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5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5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5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5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5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5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5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5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5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5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Row],[CORREO]],1),E1784)</f>
        <v>46099.388194444444</v>
      </c>
      <c r="G1784" s="11"/>
      <c r="H1784" s="7">
        <f t="shared" si="69"/>
        <v>11</v>
      </c>
      <c r="I1784" s="7">
        <f>MAX(1, NETWORKDAYS(A1784, G1784,Table2[Dias no laborales]))</f>
        <v>1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Acumulado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5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5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5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5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5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5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Row],[CORREO]],1),E1790)</f>
        <v>0</v>
      </c>
      <c r="G1790" s="11"/>
      <c r="H1790" s="7">
        <f t="shared" ref="H1790:H1821" si="71">INT((A1790-DATE(YEAR(A1790),1,1))/7) + 1</f>
        <v>12</v>
      </c>
      <c r="I1790" s="7">
        <f>MAX(1, NETWORKDAYS(A1790, G1790,Table2[Dias no laborales]))</f>
        <v>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Acumulado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5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5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5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5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5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5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5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5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5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5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5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Row],[CORREO]],1),E1801)</f>
        <v>0</v>
      </c>
      <c r="G1801" s="11"/>
      <c r="H1801" s="7">
        <f t="shared" si="71"/>
        <v>12</v>
      </c>
      <c r="I1801" s="7">
        <f>MAX(1, NETWORKDAYS(A1801, G1801,Table2[Dias no laborales]))</f>
        <v>1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Acumulado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5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5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5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5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5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5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5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5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5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5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5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Row],[CORREO]],1),E1812)</f>
        <v>46104.4375</v>
      </c>
      <c r="G1812" s="11"/>
      <c r="H1812" s="7">
        <f t="shared" si="71"/>
        <v>12</v>
      </c>
      <c r="I1812" s="7">
        <f>MAX(1, NETWORKDAYS(A1812, G1812,Table2[Dias no laborales]))</f>
        <v>1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Acumulado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5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5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5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5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5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5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5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5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5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5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5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5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5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5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Row],[CORREO]],1),E1826)</f>
        <v>46105.404166666667</v>
      </c>
      <c r="G1826" s="11"/>
      <c r="H1826" s="7">
        <f t="shared" si="73"/>
        <v>12</v>
      </c>
      <c r="I1826" s="7">
        <f>MAX(1, NETWORKDAYS(A1826, G1826,Table2[Dias no laborales]))</f>
        <v>1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Acumulado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5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Row],[CORREO]],1),E1827)</f>
        <v>46105.404166666667</v>
      </c>
      <c r="G1827" s="11"/>
      <c r="H1827" s="7">
        <f t="shared" si="73"/>
        <v>12</v>
      </c>
      <c r="I1827" s="7">
        <f>MAX(1, NETWORKDAYS(A1827, G1827,Table2[Dias no laborales]))</f>
        <v>1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Acumulado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5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5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5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Row],[CORREO]],1),E1830)</f>
        <v>46106</v>
      </c>
      <c r="G1830" s="11"/>
      <c r="H1830" s="7">
        <f t="shared" si="73"/>
        <v>12</v>
      </c>
      <c r="I1830" s="7">
        <f>MAX(1, NETWORKDAYS(A1830, G1830,Table2[Dias no laborales]))</f>
        <v>1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Acumulado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5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5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Row],[CORREO]],1),E1832)</f>
        <v>46106</v>
      </c>
      <c r="G1832" s="11"/>
      <c r="H1832" s="7">
        <f t="shared" si="73"/>
        <v>12</v>
      </c>
      <c r="I1832" s="7">
        <f>MAX(1, NETWORKDAYS(A1832, G1832,Table2[Dias no laborales]))</f>
        <v>1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Acumulado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5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Row],[CORREO]],1),E1833)</f>
        <v>46106</v>
      </c>
      <c r="G1833" s="11"/>
      <c r="H1833" s="7">
        <f t="shared" si="73"/>
        <v>12</v>
      </c>
      <c r="I1833" s="7">
        <f>MAX(1, NETWORKDAYS(A1833, G1833,Table2[Dias no laborales]))</f>
        <v>1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Acumulado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5">
      <c r="A1834" s="11">
        <v>46106</v>
      </c>
      <c r="B1834" s="20" t="s">
        <v>3780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5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5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5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5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5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5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Row],[CORREO]],1),E1840)</f>
        <v>46106.420138888891</v>
      </c>
      <c r="G1840" s="11"/>
      <c r="H1840" s="7">
        <f t="shared" si="73"/>
        <v>12</v>
      </c>
      <c r="I1840" s="7">
        <f>MAX(1, NETWORKDAYS(A1840, G1840,Table2[Dias no laborales]))</f>
        <v>1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Acumulado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5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Row],[CORREO]],1),E1841)</f>
        <v>46107</v>
      </c>
      <c r="G1841" s="11"/>
      <c r="H1841" s="7">
        <f t="shared" si="73"/>
        <v>12</v>
      </c>
      <c r="I1841" s="7">
        <f>MAX(1, NETWORKDAYS(A1841, G1841,Table2[Dias no laborales]))</f>
        <v>1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Acumulado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5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5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5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Row],[CORREO]],1),E1844)</f>
        <v>46107</v>
      </c>
      <c r="G1844" s="11"/>
      <c r="H1844" s="7">
        <f t="shared" si="73"/>
        <v>13</v>
      </c>
      <c r="I1844" s="7">
        <f>MAX(1, NETWORKDAYS(A1844, G1844,Table2[Dias no laborales]))</f>
        <v>1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Acumulado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5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5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5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5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Row],[CORREO]],1),E1848)</f>
        <v>46107.376388888886</v>
      </c>
      <c r="G1848" s="11"/>
      <c r="H1848" s="7">
        <f t="shared" si="73"/>
        <v>13</v>
      </c>
      <c r="I1848" s="7">
        <f>MAX(1, NETWORKDAYS(A1848, G1848,Table2[Dias no laborales]))</f>
        <v>1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Acumulado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5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5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Row],[CORREO]],1),E1850)</f>
        <v>0</v>
      </c>
      <c r="G1850" s="11"/>
      <c r="H1850" s="7">
        <f t="shared" si="73"/>
        <v>13</v>
      </c>
      <c r="I1850" s="7">
        <f>MAX(1, NETWORKDAYS(A1850, G1850,Table2[Dias no laborales]))</f>
        <v>1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Acumulado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5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Row],[CORREO]],1),E1851)</f>
        <v>46108</v>
      </c>
      <c r="G1851" s="11"/>
      <c r="H1851" s="7">
        <f t="shared" si="73"/>
        <v>13</v>
      </c>
      <c r="I1851" s="7">
        <f>MAX(1, NETWORKDAYS(A1851, G1851,Table2[Dias no laborales]))</f>
        <v>1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Acumulado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5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5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Row],[CORREO]],1),E1853)</f>
        <v>46108.427083333336</v>
      </c>
      <c r="G1853" s="11"/>
      <c r="H1853" s="7">
        <f t="shared" si="73"/>
        <v>13</v>
      </c>
      <c r="I1853" s="7">
        <f>MAX(1, NETWORKDAYS(A1853, G1853,Table2[Dias no laborales]))</f>
        <v>1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Acumulado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5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Row],[CORREO]],1),E1854)</f>
        <v>0</v>
      </c>
      <c r="G1854" s="11"/>
      <c r="H1854" s="7">
        <f t="shared" si="73"/>
        <v>13</v>
      </c>
      <c r="I1854" s="7">
        <f>MAX(1, NETWORKDAYS(A1854, G1854,Table2[Dias no laborales]))</f>
        <v>1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Acumulado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5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Row],[CORREO]],1),E1855)</f>
        <v>0</v>
      </c>
      <c r="G1855" s="11"/>
      <c r="H1855" s="7">
        <f t="shared" si="73"/>
        <v>13</v>
      </c>
      <c r="I1855" s="7">
        <f>MAX(1, NETWORKDAYS(A1855, G1855,Table2[Dias no laborales]))</f>
        <v>1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Acumulado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5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Row],[CORREO]],1),E1856)</f>
        <v>0</v>
      </c>
      <c r="G1856" s="11">
        <v>46115</v>
      </c>
      <c r="H1856" s="7">
        <f t="shared" si="73"/>
        <v>13</v>
      </c>
      <c r="I1856" s="7">
        <f>MAX(1, NETWORKDAYS(A1856, G1856,Table2[Dias no laborales]))</f>
        <v>5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5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Row],[CORREO]],1),E1857)</f>
        <v>46111</v>
      </c>
      <c r="G1857" s="11"/>
      <c r="H1857" s="7">
        <f t="shared" si="73"/>
        <v>13</v>
      </c>
      <c r="I1857" s="7">
        <f>MAX(1, NETWORKDAYS(A1857, G1857,Table2[Dias no laborales]))</f>
        <v>1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Acumulado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5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5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Row],[CORREO]],1),E1859)</f>
        <v>46111</v>
      </c>
      <c r="G1859" s="11"/>
      <c r="H1859" s="7">
        <f t="shared" si="75"/>
        <v>13</v>
      </c>
      <c r="I1859" s="7">
        <f>MAX(1, NETWORKDAYS(A1859, G1859,Table2[Dias no laborales]))</f>
        <v>1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Acumulado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5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Row],[CORREO]],1),E1860)</f>
        <v>46111</v>
      </c>
      <c r="G1860" s="11"/>
      <c r="H1860" s="7">
        <f t="shared" si="75"/>
        <v>13</v>
      </c>
      <c r="I1860" s="7">
        <f>MAX(1, NETWORKDAYS(A1860, G1860,Table2[Dias no laborales]))</f>
        <v>1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Acumulado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5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5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5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5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Row],[CORREO]],1),E1864)</f>
        <v>0</v>
      </c>
      <c r="G1864" s="11"/>
      <c r="H1864" s="7">
        <f t="shared" si="75"/>
        <v>13</v>
      </c>
      <c r="I1864" s="7">
        <f>MAX(1, NETWORKDAYS(A1864, G1864,Table2[Dias no laborales]))</f>
        <v>1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Acumulado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5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5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5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Row],[CORREO]],1),E1867)</f>
        <v>46112</v>
      </c>
      <c r="G1867" s="11"/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Acumulado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5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5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5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Row],[CORREO]],1),E1870)</f>
        <v>46112</v>
      </c>
      <c r="G1870" s="11"/>
      <c r="H1870" s="7">
        <f t="shared" si="77"/>
        <v>13</v>
      </c>
      <c r="I1870" s="7">
        <f>MAX(1, NETWORKDAYS(A1870, G1870,Table2[Dias no laborales]))</f>
        <v>1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Acumulado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5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Row],[CORREO]],1),E1871)</f>
        <v>46112.302777777775</v>
      </c>
      <c r="G1871" s="11"/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Acumulado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5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5">
      <c r="A1873" s="11">
        <v>46112</v>
      </c>
      <c r="B1873" s="20" t="s">
        <v>3781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Row],[CORREO]],1),E1873)</f>
        <v>46112.370833333334</v>
      </c>
      <c r="G1873" s="11"/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Acumulado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5">
      <c r="A1874" s="11">
        <v>46112</v>
      </c>
      <c r="B1874" s="20" t="s">
        <v>3782</v>
      </c>
      <c r="C1874" s="7" t="s">
        <v>3784</v>
      </c>
      <c r="D1874" s="7" t="s">
        <v>3020</v>
      </c>
      <c r="E1874" s="18">
        <v>46112.40347222222</v>
      </c>
      <c r="F1874" s="11">
        <f>IF(HOUR(Table1[[#This Row],[CORREO]])&gt;=11,WORKDAY(Table1[[#This Row],[CORREO]],1),E1874)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5">
      <c r="A1875" s="11">
        <v>46112</v>
      </c>
      <c r="B1875" s="20" t="s">
        <v>3783</v>
      </c>
      <c r="C1875" s="7" t="s">
        <v>3785</v>
      </c>
      <c r="D1875" s="7" t="s">
        <v>916</v>
      </c>
      <c r="E1875" s="18">
        <v>46112.431944444441</v>
      </c>
      <c r="F1875" s="11">
        <f>IF(HOUR(Table1[[#This Row],[CORREO]])&gt;=11,WORKDAY(Table1[[#This Row],[CORREO]],1),E1875)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8"/>
  <sheetViews>
    <sheetView workbookViewId="0">
      <selection activeCell="A9" sqref="A9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  <row r="8" spans="1:1" x14ac:dyDescent="0.35">
      <c r="A8" s="28">
        <v>46097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2026-04-01T14:41:11Z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