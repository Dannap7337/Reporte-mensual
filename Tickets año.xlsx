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535E8525-A2F6-4AD2-B0C0-C6A09CFE02C1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3" i="1" l="1"/>
  <c r="K1393" i="1" s="1"/>
  <c r="H1393" i="1"/>
  <c r="I1393" i="1"/>
  <c r="J1393" i="1"/>
  <c r="M1393" i="1"/>
  <c r="F1392" i="1"/>
  <c r="K1392" i="1" s="1"/>
  <c r="H1392" i="1"/>
  <c r="I1392" i="1"/>
  <c r="J1392" i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/>
  <c r="M1389" i="1"/>
  <c r="F1388" i="1"/>
  <c r="K1388" i="1" s="1"/>
  <c r="H1388" i="1"/>
  <c r="I1388" i="1"/>
  <c r="J1388" i="1"/>
  <c r="M1388" i="1"/>
  <c r="F1387" i="1"/>
  <c r="K1387" i="1" s="1"/>
  <c r="H1387" i="1"/>
  <c r="I1387" i="1"/>
  <c r="J1387" i="1"/>
  <c r="M1387" i="1"/>
  <c r="F1386" i="1"/>
  <c r="K1386" i="1" s="1"/>
  <c r="H1386" i="1"/>
  <c r="I1386" i="1"/>
  <c r="J1386" i="1" s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 s="1"/>
  <c r="M1384" i="1"/>
  <c r="F1383" i="1"/>
  <c r="K1383" i="1" s="1"/>
  <c r="H1383" i="1"/>
  <c r="I1383" i="1"/>
  <c r="J1383" i="1"/>
  <c r="M1383" i="1"/>
  <c r="F1382" i="1"/>
  <c r="K1382" i="1" s="1"/>
  <c r="H1382" i="1"/>
  <c r="I1382" i="1"/>
  <c r="J1382" i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I1359" i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23" i="1"/>
  <c r="J1359" i="1"/>
  <c r="J1350" i="1"/>
  <c r="J1334" i="1"/>
  <c r="J1364" i="1"/>
  <c r="J1365" i="1"/>
  <c r="J1366" i="1"/>
  <c r="J1372" i="1"/>
  <c r="J1371" i="1"/>
  <c r="J1373" i="1"/>
  <c r="J1374" i="1"/>
  <c r="J1375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46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7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953" i="1" l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<sst xmlns="http://schemas.openxmlformats.org/spreadsheetml/2006/main" count="4192" uniqueCount="2789">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</sst>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393" totalsRowShown="0" headerRowDxfId="17" dataDxfId="15" headerRowBorderDxfId="16" tableBorderDxfId="14" totalsRowBorderDxfId="13">
  <autoFilter ref="A1:M1393" xr:uid="{F9A8F2CF-541A-476B-BF4C-44E73144D477}">
    <filterColumn colId="6">
      <filters blank="1"/>
    </filterColumn>
  </autoFilter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393"/>
  <sheetViews>
    <sheetView tabSelected="1" topLeftCell="C1197" zoomScale="54" zoomScaleNormal="70" workbookViewId="0">
      <selection activeCell="I1348" sqref="I1348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hidden="1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hidden="1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hidden="1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hidden="1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hidden="1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hidden="1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hidden="1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hidden="1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hidden="1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hidden="1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hidden="1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hidden="1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hidden="1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hidden="1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hidden="1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hidden="1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hidden="1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hidden="1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hidden="1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hidden="1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hidden="1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hidden="1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hidden="1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hidden="1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hidden="1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hidden="1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hidden="1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hidden="1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hidden="1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hidden="1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hidden="1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hidden="1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hidden="1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hidden="1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hidden="1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hidden="1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hidden="1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hidden="1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hidden="1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hidden="1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hidden="1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hidden="1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hidden="1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hidden="1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hidden="1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hidden="1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hidden="1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hidden="1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hidden="1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hidden="1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hidden="1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hidden="1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hidden="1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hidden="1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hidden="1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hidden="1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hidden="1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hidden="1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hidden="1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hidden="1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hidden="1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hidden="1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hidden="1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hidden="1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hidden="1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hidden="1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hidden="1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hidden="1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hidden="1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hidden="1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hidden="1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hidden="1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hidden="1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hidden="1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hidden="1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hidden="1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hidden="1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hidden="1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hidden="1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hidden="1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hidden="1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hidden="1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hidden="1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hidden="1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hidden="1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hidden="1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hidden="1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hidden="1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hidden="1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hidden="1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hidden="1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hidden="1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hidden="1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hidden="1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hidden="1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hidden="1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hidden="1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hidden="1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hidden="1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hidden="1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hidden="1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hidden="1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hidden="1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hidden="1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hidden="1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hidden="1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hidden="1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hidden="1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hidden="1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hidden="1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hidden="1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hidden="1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hidden="1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hidden="1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hidden="1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hidden="1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hidden="1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hidden="1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hidden="1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hidden="1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hidden="1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hidden="1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hidden="1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hidden="1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hidden="1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hidden="1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hidden="1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hidden="1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hidden="1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hidden="1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hidden="1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hidden="1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hidden="1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hidden="1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hidden="1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hidden="1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hidden="1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hidden="1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hidden="1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hidden="1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hidden="1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hidden="1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hidden="1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hidden="1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hidden="1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hidden="1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hidden="1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hidden="1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hidden="1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hidden="1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hidden="1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hidden="1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hidden="1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hidden="1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hidden="1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hidden="1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hidden="1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hidden="1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hidden="1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hidden="1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hidden="1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hidden="1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hidden="1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hidden="1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hidden="1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hidden="1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hidden="1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hidden="1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hidden="1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hidden="1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hidden="1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hidden="1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hidden="1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hidden="1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hidden="1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hidden="1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hidden="1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hidden="1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hidden="1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hidden="1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hidden="1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hidden="1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hidden="1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hidden="1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hidden="1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hidden="1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hidden="1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hidden="1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hidden="1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hidden="1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hidden="1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hidden="1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hidden="1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hidden="1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hidden="1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hidden="1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hidden="1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hidden="1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hidden="1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hidden="1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hidden="1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hidden="1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hidden="1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hidden="1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hidden="1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hidden="1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hidden="1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hidden="1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hidden="1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hidden="1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hidden="1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hidden="1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hidden="1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hidden="1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hidden="1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hidden="1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hidden="1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hidden="1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hidden="1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hidden="1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hidden="1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hidden="1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hidden="1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hidden="1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hidden="1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hidden="1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hidden="1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hidden="1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hidden="1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hidden="1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hidden="1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hidden="1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hidden="1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hidden="1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hidden="1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hidden="1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hidden="1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hidden="1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hidden="1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hidden="1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hidden="1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hidden="1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hidden="1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hidden="1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hidden="1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hidden="1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hidden="1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hidden="1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hidden="1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hidden="1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hidden="1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hidden="1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hidden="1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hidden="1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hidden="1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hidden="1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hidden="1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hidden="1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hidden="1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hidden="1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hidden="1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hidden="1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hidden="1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hidden="1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hidden="1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hidden="1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hidden="1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hidden="1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hidden="1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hidden="1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hidden="1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hidden="1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hidden="1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hidden="1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hidden="1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hidden="1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hidden="1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hidden="1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hidden="1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hidden="1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hidden="1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hidden="1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hidden="1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hidden="1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hidden="1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hidden="1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hidden="1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hidden="1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hidden="1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hidden="1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hidden="1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hidden="1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hidden="1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hidden="1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hidden="1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hidden="1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hidden="1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hidden="1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hidden="1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hidden="1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hidden="1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hidden="1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hidden="1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hidden="1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hidden="1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hidden="1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hidden="1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hidden="1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hidden="1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hidden="1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hidden="1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hidden="1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hidden="1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hidden="1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hidden="1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hidden="1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hidden="1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hidden="1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hidden="1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hidden="1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hidden="1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hidden="1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hidden="1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hidden="1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hidden="1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hidden="1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hidden="1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hidden="1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hidden="1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hidden="1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hidden="1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hidden="1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hidden="1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hidden="1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hidden="1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hidden="1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hidden="1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hidden="1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hidden="1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hidden="1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hidden="1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hidden="1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hidden="1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hidden="1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hidden="1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hidden="1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hidden="1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hidden="1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hidden="1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hidden="1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hidden="1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hidden="1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hidden="1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hidden="1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hidden="1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hidden="1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hidden="1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hidden="1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hidden="1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hidden="1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hidden="1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hidden="1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hidden="1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hidden="1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hidden="1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hidden="1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hidden="1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hidden="1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hidden="1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hidden="1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hidden="1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hidden="1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hidden="1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hidden="1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hidden="1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hidden="1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hidden="1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hidden="1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hidden="1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hidden="1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hidden="1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hidden="1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hidden="1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hidden="1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hidden="1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hidden="1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hidden="1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hidden="1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hidden="1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hidden="1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hidden="1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hidden="1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hidden="1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hidden="1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hidden="1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hidden="1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hidden="1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hidden="1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hidden="1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hidden="1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hidden="1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hidden="1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hidden="1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hidden="1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hidden="1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hidden="1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hidden="1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hidden="1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hidden="1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hidden="1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hidden="1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hidden="1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hidden="1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hidden="1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hidden="1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hidden="1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hidden="1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hidden="1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hidden="1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hidden="1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hidden="1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hidden="1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hidden="1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hidden="1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hidden="1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hidden="1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hidden="1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hidden="1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hidden="1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hidden="1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hidden="1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hidden="1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hidden="1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hidden="1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hidden="1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hidden="1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hidden="1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hidden="1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hidden="1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hidden="1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hidden="1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hidden="1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hidden="1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hidden="1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hidden="1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hidden="1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hidden="1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hidden="1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hidden="1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hidden="1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hidden="1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hidden="1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hidden="1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hidden="1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hidden="1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hidden="1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hidden="1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hidden="1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hidden="1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hidden="1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hidden="1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hidden="1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hidden="1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hidden="1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hidden="1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hidden="1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hidden="1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hidden="1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hidden="1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hidden="1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hidden="1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hidden="1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hidden="1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hidden="1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hidden="1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hidden="1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hidden="1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hidden="1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hidden="1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hidden="1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hidden="1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hidden="1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hidden="1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hidden="1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hidden="1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hidden="1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hidden="1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hidden="1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hidden="1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hidden="1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hidden="1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hidden="1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hidden="1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hidden="1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hidden="1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hidden="1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hidden="1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hidden="1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hidden="1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hidden="1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hidden="1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hidden="1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hidden="1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hidden="1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hidden="1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hidden="1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hidden="1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hidden="1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hidden="1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hidden="1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hidden="1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hidden="1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hidden="1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hidden="1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hidden="1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hidden="1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hidden="1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hidden="1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hidden="1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hidden="1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hidden="1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hidden="1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hidden="1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hidden="1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hidden="1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hidden="1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hidden="1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hidden="1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hidden="1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hidden="1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hidden="1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hidden="1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hidden="1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hidden="1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hidden="1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hidden="1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hidden="1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hidden="1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hidden="1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hidden="1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hidden="1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hidden="1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hidden="1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hidden="1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hidden="1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hidden="1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hidden="1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hidden="1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hidden="1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hidden="1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hidden="1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hidden="1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hidden="1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hidden="1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hidden="1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hidden="1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hidden="1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hidden="1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hidden="1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hidden="1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hidden="1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hidden="1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hidden="1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hidden="1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hidden="1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hidden="1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hidden="1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hidden="1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hidden="1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hidden="1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hidden="1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hidden="1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hidden="1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hidden="1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hidden="1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hidden="1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hidden="1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hidden="1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hidden="1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hidden="1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hidden="1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hidden="1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hidden="1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hidden="1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hidden="1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hidden="1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hidden="1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hidden="1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hidden="1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hidden="1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hidden="1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hidden="1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hidden="1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hidden="1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hidden="1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hidden="1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hidden="1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hidden="1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hidden="1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hidden="1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hidden="1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hidden="1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hidden="1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hidden="1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hidden="1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hidden="1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hidden="1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hidden="1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hidden="1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hidden="1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hidden="1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hidden="1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hidden="1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hidden="1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hidden="1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hidden="1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hidden="1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hidden="1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hidden="1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hidden="1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hidden="1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hidden="1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hidden="1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hidden="1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hidden="1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hidden="1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hidden="1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hidden="1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hidden="1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hidden="1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hidden="1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hidden="1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hidden="1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hidden="1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hidden="1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hidden="1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hidden="1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hidden="1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hidden="1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hidden="1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hidden="1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hidden="1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hidden="1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hidden="1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hidden="1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hidden="1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hidden="1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hidden="1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hidden="1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hidden="1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hidden="1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hidden="1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hidden="1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hidden="1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hidden="1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hidden="1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hidden="1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hidden="1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hidden="1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hidden="1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hidden="1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hidden="1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hidden="1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hidden="1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hidden="1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hidden="1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hidden="1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hidden="1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hidden="1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hidden="1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hidden="1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hidden="1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hidden="1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hidden="1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hidden="1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hidden="1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hidden="1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hidden="1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hidden="1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hidden="1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hidden="1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hidden="1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hidden="1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hidden="1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hidden="1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hidden="1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hidden="1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hidden="1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hidden="1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hidden="1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hidden="1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hidden="1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hidden="1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hidden="1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hidden="1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hidden="1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hidden="1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hidden="1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hidden="1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hidden="1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hidden="1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hidden="1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hidden="1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hidden="1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hidden="1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hidden="1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hidden="1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hidden="1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hidden="1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hidden="1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hidden="1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hidden="1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hidden="1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hidden="1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hidden="1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hidden="1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hidden="1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hidden="1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hidden="1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hidden="1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hidden="1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hidden="1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hidden="1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hidden="1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hidden="1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hidden="1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hidden="1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hidden="1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hidden="1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hidden="1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hidden="1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hidden="1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hidden="1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hidden="1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hidden="1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hidden="1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hidden="1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hidden="1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hidden="1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hidden="1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hidden="1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hidden="1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hidden="1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hidden="1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hidden="1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hidden="1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hidden="1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hidden="1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hidden="1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hidden="1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hidden="1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hidden="1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hidden="1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hidden="1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hidden="1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hidden="1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hidden="1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hidden="1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hidden="1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hidden="1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hidden="1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hidden="1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hidden="1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hidden="1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hidden="1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hidden="1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hidden="1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hidden="1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hidden="1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hidden="1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hidden="1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hidden="1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hidden="1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hidden="1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hidden="1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hidden="1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hidden="1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hidden="1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hidden="1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hidden="1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hidden="1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hidden="1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hidden="1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hidden="1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hidden="1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hidden="1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hidden="1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hidden="1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hidden="1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hidden="1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hidden="1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hidden="1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hidden="1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hidden="1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hidden="1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hidden="1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hidden="1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hidden="1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hidden="1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hidden="1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hidden="1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hidden="1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hidden="1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hidden="1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hidden="1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hidden="1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hidden="1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hidden="1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hidden="1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hidden="1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hidden="1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hidden="1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hidden="1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hidden="1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hidden="1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hidden="1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hidden="1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hidden="1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hidden="1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hidden="1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hidden="1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hidden="1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hidden="1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hidden="1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hidden="1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hidden="1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hidden="1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hidden="1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hidden="1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hidden="1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hidden="1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hidden="1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hidden="1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hidden="1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hidden="1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hidden="1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hidden="1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hidden="1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hidden="1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hidden="1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hidden="1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hidden="1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hidden="1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hidden="1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hidden="1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hidden="1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hidden="1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hidden="1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hidden="1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hidden="1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hidden="1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hidden="1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hidden="1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hidden="1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hidden="1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hidden="1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hidden="1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hidden="1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hidden="1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hidden="1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hidden="1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hidden="1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hidden="1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hidden="1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hidden="1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hidden="1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hidden="1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hidden="1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hidden="1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hidden="1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hidden="1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hidden="1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hidden="1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hidden="1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hidden="1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hidden="1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hidden="1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hidden="1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hidden="1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hidden="1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hidden="1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hidden="1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hidden="1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hidden="1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hidden="1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hidden="1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hidden="1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hidden="1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hidden="1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hidden="1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hidden="1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hidden="1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hidden="1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hidden="1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hidden="1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hidden="1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hidden="1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hidden="1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hidden="1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hidden="1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hidden="1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hidden="1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hidden="1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hidden="1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hidden="1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hidden="1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hidden="1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hidden="1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hidden="1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hidden="1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hidden="1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hidden="1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hidden="1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hidden="1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hidden="1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hidden="1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hidden="1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hidden="1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hidden="1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hidden="1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hidden="1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hidden="1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hidden="1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hidden="1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hidden="1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hidden="1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hidden="1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hidden="1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hidden="1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hidden="1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hidden="1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hidden="1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hidden="1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hidden="1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hidden="1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hidden="1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hidden="1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hidden="1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hidden="1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hidden="1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hidden="1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hidden="1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hidden="1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hidden="1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hidden="1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hidden="1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hidden="1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hidden="1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hidden="1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hidden="1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hidden="1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hidden="1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hidden="1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hidden="1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hidden="1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hidden="1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hidden="1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hidden="1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hidden="1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hidden="1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hidden="1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hidden="1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hidden="1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hidden="1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hidden="1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hidden="1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hidden="1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hidden="1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hidden="1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hidden="1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hidden="1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hidden="1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hidden="1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hidden="1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hidden="1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hidden="1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hidden="1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hidden="1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hidden="1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hidden="1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hidden="1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hidden="1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hidden="1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hidden="1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hidden="1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hidden="1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hidden="1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hidden="1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hidden="1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hidden="1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hidden="1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hidden="1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hidden="1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hidden="1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hidden="1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hidden="1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hidden="1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hidden="1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hidden="1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hidden="1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hidden="1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hidden="1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hidden="1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hidden="1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hidden="1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hidden="1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hidden="1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hidden="1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hidden="1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hidden="1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hidden="1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hidden="1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hidden="1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hidden="1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hidden="1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hidden="1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hidden="1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hidden="1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hidden="1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hidden="1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hidden="1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hidden="1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hidden="1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hidden="1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hidden="1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hidden="1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hidden="1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hidden="1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hidden="1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hidden="1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hidden="1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hidden="1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hidden="1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hidden="1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hidden="1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hidden="1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hidden="1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hidden="1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hidden="1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hidden="1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/>
      <c r="H1046" s="7">
        <f t="shared" si="81"/>
        <v>39</v>
      </c>
      <c r="I1046" s="7">
        <f t="shared" si="82"/>
        <v>1</v>
      </c>
      <c r="J1046" s="7" t="str">
        <f t="shared" si="80"/>
        <v>Acumulado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hidden="1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hidden="1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hidden="1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hidden="1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hidden="1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hidden="1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hidden="1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hidden="1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hidden="1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hidden="1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hidden="1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hidden="1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hidden="1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hidden="1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hidden="1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hidden="1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hidden="1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hidden="1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hidden="1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hidden="1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hidden="1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hidden="1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hidden="1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hidden="1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hidden="1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hidden="1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hidden="1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hidden="1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hidden="1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hidden="1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hidden="1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hidden="1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hidden="1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hidden="1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hidden="1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hidden="1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hidden="1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hidden="1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hidden="1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hidden="1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hidden="1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hidden="1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hidden="1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hidden="1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hidden="1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hidden="1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hidden="1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hidden="1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hidden="1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hidden="1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hidden="1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hidden="1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hidden="1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hidden="1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hidden="1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hidden="1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hidden="1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hidden="1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hidden="1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hidden="1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hidden="1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hidden="1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hidden="1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hidden="1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hidden="1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hidden="1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hidden="1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hidden="1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hidden="1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hidden="1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hidden="1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hidden="1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hidden="1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hidden="1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hidden="1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hidden="1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hidden="1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hidden="1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hidden="1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hidden="1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hidden="1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hidden="1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hidden="1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hidden="1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hidden="1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hidden="1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hidden="1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hidden="1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hidden="1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hidden="1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hidden="1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hidden="1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hidden="1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hidden="1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hidden="1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hidden="1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hidden="1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hidden="1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hidden="1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hidden="1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hidden="1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hidden="1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hidden="1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hidden="1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hidden="1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hidden="1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hidden="1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hidden="1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hidden="1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hidden="1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hidden="1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hidden="1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hidden="1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hidden="1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hidden="1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hidden="1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hidden="1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hidden="1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hidden="1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hidden="1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hidden="1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hidden="1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hidden="1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hidden="1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hidden="1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hidden="1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hidden="1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hidden="1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hidden="1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hidden="1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hidden="1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hidden="1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hidden="1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hidden="1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hidden="1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hidden="1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hidden="1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hidden="1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hidden="1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hidden="1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hidden="1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hidden="1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hidden="1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hidden="1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hidden="1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hidden="1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hidden="1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hidden="1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/>
      <c r="H1197" s="7">
        <f t="shared" si="91"/>
        <v>45</v>
      </c>
      <c r="I1197" s="7">
        <f t="shared" si="92"/>
        <v>1</v>
      </c>
      <c r="J1197" s="7" t="str">
        <f t="shared" si="90"/>
        <v>Acumulado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hidden="1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hidden="1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hidden="1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hidden="1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hidden="1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hidden="1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hidden="1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hidden="1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hidden="1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hidden="1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hidden="1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hidden="1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hidden="1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hidden="1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hidden="1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hidden="1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hidden="1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hidden="1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hidden="1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hidden="1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hidden="1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hidden="1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hidden="1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hidden="1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hidden="1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hidden="1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hidden="1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hidden="1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hidden="1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hidden="1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hidden="1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hidden="1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hidden="1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hidden="1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hidden="1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hidden="1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hidden="1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hidden="1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hidden="1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hidden="1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hidden="1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hidden="1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hidden="1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hidden="1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hidden="1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hidden="1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hidden="1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hidden="1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hidden="1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hidden="1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hidden="1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hidden="1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hidden="1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hidden="1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hidden="1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hidden="1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hidden="1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hidden="1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hidden="1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hidden="1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hidden="1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hidden="1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hidden="1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hidden="1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hidden="1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hidden="1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hidden="1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hidden="1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hidden="1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hidden="1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hidden="1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hidden="1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hidden="1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hidden="1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hidden="1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hidden="1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hidden="1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hidden="1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hidden="1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hidden="1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hidden="1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hidden="1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hidden="1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hidden="1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hidden="1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hidden="1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hidden="1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hidden="1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hidden="1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hidden="1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hidden="1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hidden="1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hidden="1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hidden="1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hidden="1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hidden="1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hidden="1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hidden="1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hidden="1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hidden="1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hidden="1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hidden="1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hidden="1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hidden="1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hidden="1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hidden="1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hidden="1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hidden="1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hidden="1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hidden="1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hidden="1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hidden="1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hidden="1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hidden="1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hidden="1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hidden="1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hidden="1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hidden="1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hidden="1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hidden="1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hidden="1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hidden="1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hidden="1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hidden="1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hidden="1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hidden="1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hidden="1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hidden="1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hidden="1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hidden="1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hidden="1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hidden="1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hidden="1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hidden="1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hidden="1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hidden="1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hidden="1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hidden="1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hidden="1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hidden="1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hidden="1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hidden="1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hidden="1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hidden="1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hidden="1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hidden="1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hidden="1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hidden="1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hidden="1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hidden="1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hidden="1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hidden="1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hidden="1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hidden="1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hidden="1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hidden="1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hidden="1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hidden="1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hidden="1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hidden="1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hidden="1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hidden="1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hidden="1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hidden="1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hidden="1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hidden="1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hidden="1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0">
        <f t="shared" ref="H1378:H1393" si="113">INT((A1378-DATE(YEAR(A1378),1,1))/7) + 1</f>
        <v>50</v>
      </c>
      <c r="I1378" s="20">
        <f t="shared" ref="I1378:I1393" si="114">MAX(1,NETWORKDAYS(A1378,G1378,DATE(2025,11,17)))</f>
        <v>1</v>
      </c>
      <c r="J1378" s="20" t="str">
        <f t="shared" ref="J1378:J1393" si="115">IF(G1378="","Acumulado",IF(ISNUMBER(SEARCH("ASAP",C1378)),"ASAP",IF(I1378&lt;=7,"Dentro",IF(A1378&gt;F1378,"Programado","Fuera"))))</f>
        <v>Acumulado</v>
      </c>
      <c r="K1378" s="20" t="str">
        <f t="shared" ref="K1378:K1393" si="116">IF(INT(A1378)=INT(F1378),"A tiempo", IF(A1378&lt;F1378,"Mismo día","Programados"))</f>
        <v>A tiempo</v>
      </c>
      <c r="L1378" s="16">
        <v>46007</v>
      </c>
      <c r="M1378" s="23">
        <f t="shared" ref="M1378:M1393" si="117">MAX(1,NETWORKDAYS(A1378,L1378))</f>
        <v>1</v>
      </c>
    </row>
    <row r="1379" spans="1:13" hidden="1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0">
        <f t="shared" si="113"/>
        <v>51</v>
      </c>
      <c r="I1379" s="20">
        <f t="shared" si="114"/>
        <v>3</v>
      </c>
      <c r="J1379" s="20" t="str">
        <f t="shared" si="115"/>
        <v>Dentro</v>
      </c>
      <c r="K1379" s="20" t="str">
        <f t="shared" si="116"/>
        <v>Programados</v>
      </c>
      <c r="L1379" s="16">
        <v>46008</v>
      </c>
      <c r="M1379" s="23">
        <f t="shared" si="117"/>
        <v>1</v>
      </c>
    </row>
    <row r="1380" spans="1:13" hidden="1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0">
        <f t="shared" si="113"/>
        <v>51</v>
      </c>
      <c r="I1380" s="20">
        <f t="shared" si="114"/>
        <v>3</v>
      </c>
      <c r="J1380" s="20" t="str">
        <f t="shared" si="115"/>
        <v>Dentro</v>
      </c>
      <c r="K1380" s="20" t="str">
        <f t="shared" si="116"/>
        <v>A tiempo</v>
      </c>
      <c r="L1380" s="16">
        <v>46008</v>
      </c>
      <c r="M1380" s="23">
        <f t="shared" si="117"/>
        <v>1</v>
      </c>
    </row>
    <row r="1381" spans="1:13" hidden="1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0">
        <f t="shared" si="113"/>
        <v>51</v>
      </c>
      <c r="I1381" s="20">
        <f t="shared" si="114"/>
        <v>3</v>
      </c>
      <c r="J1381" s="20" t="str">
        <f t="shared" si="115"/>
        <v>Dentro</v>
      </c>
      <c r="K1381" s="20" t="str">
        <f t="shared" si="116"/>
        <v>Programados</v>
      </c>
      <c r="L1381" s="16">
        <v>46009</v>
      </c>
      <c r="M1381" s="23">
        <f t="shared" si="117"/>
        <v>2</v>
      </c>
    </row>
    <row r="1382" spans="1:13" hidden="1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0">
        <f t="shared" si="113"/>
        <v>51</v>
      </c>
      <c r="I1382" s="20">
        <f t="shared" si="114"/>
        <v>3</v>
      </c>
      <c r="J1382" s="20" t="str">
        <f t="shared" si="115"/>
        <v>Dentro</v>
      </c>
      <c r="K1382" s="20" t="str">
        <f t="shared" si="116"/>
        <v>A tiempo</v>
      </c>
      <c r="L1382" s="16">
        <v>46008</v>
      </c>
      <c r="M1382" s="23">
        <f t="shared" si="117"/>
        <v>1</v>
      </c>
    </row>
    <row r="1383" spans="1:13" hidden="1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0">
        <f t="shared" si="113"/>
        <v>51</v>
      </c>
      <c r="I1383" s="20">
        <f t="shared" si="114"/>
        <v>3</v>
      </c>
      <c r="J1383" s="20" t="str">
        <f t="shared" si="115"/>
        <v>Dentro</v>
      </c>
      <c r="K1383" s="20" t="str">
        <f t="shared" si="116"/>
        <v>A tiempo</v>
      </c>
      <c r="L1383" s="16">
        <v>46008</v>
      </c>
      <c r="M1383" s="23">
        <f t="shared" si="117"/>
        <v>1</v>
      </c>
    </row>
    <row r="1384" spans="1:13" hidden="1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0">
        <f t="shared" si="113"/>
        <v>51</v>
      </c>
      <c r="I1384" s="20">
        <f t="shared" si="114"/>
        <v>2</v>
      </c>
      <c r="J1384" s="20" t="str">
        <f t="shared" si="115"/>
        <v>Dentro</v>
      </c>
      <c r="K1384" s="20" t="str">
        <f t="shared" si="116"/>
        <v>A tiempo</v>
      </c>
      <c r="L1384" s="16">
        <v>46009</v>
      </c>
      <c r="M1384" s="23">
        <f t="shared" si="117"/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0">
        <f t="shared" si="113"/>
        <v>51</v>
      </c>
      <c r="I1385" s="20">
        <f t="shared" si="114"/>
        <v>1</v>
      </c>
      <c r="J1385" s="20" t="str">
        <f t="shared" si="115"/>
        <v>Acumulado</v>
      </c>
      <c r="K1385" s="20" t="str">
        <f t="shared" si="116"/>
        <v>A tiempo</v>
      </c>
      <c r="L1385" s="16">
        <v>46009</v>
      </c>
      <c r="M1385" s="23">
        <f t="shared" si="117"/>
        <v>1</v>
      </c>
    </row>
    <row r="1386" spans="1:13" hidden="1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0">
        <f t="shared" si="113"/>
        <v>51</v>
      </c>
      <c r="I1386" s="20">
        <f t="shared" si="114"/>
        <v>2</v>
      </c>
      <c r="J1386" s="20" t="str">
        <f t="shared" si="115"/>
        <v>Dentro</v>
      </c>
      <c r="K1386" s="20" t="str">
        <f t="shared" si="116"/>
        <v>A tiempo</v>
      </c>
      <c r="L1386" s="16">
        <v>46009</v>
      </c>
      <c r="M1386" s="23">
        <f t="shared" si="117"/>
        <v>1</v>
      </c>
    </row>
    <row r="1387" spans="1:13" hidden="1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0">
        <f t="shared" si="113"/>
        <v>51</v>
      </c>
      <c r="I1387" s="20">
        <f t="shared" si="114"/>
        <v>2</v>
      </c>
      <c r="J1387" s="20" t="str">
        <f t="shared" si="115"/>
        <v>Dentro</v>
      </c>
      <c r="K1387" s="20" t="str">
        <f t="shared" si="116"/>
        <v>A tiempo</v>
      </c>
      <c r="L1387" s="16">
        <v>46009</v>
      </c>
      <c r="M1387" s="23">
        <f t="shared" si="117"/>
        <v>1</v>
      </c>
    </row>
    <row r="1388" spans="1:13" hidden="1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0">
        <f t="shared" si="113"/>
        <v>51</v>
      </c>
      <c r="I1388" s="20">
        <f t="shared" si="114"/>
        <v>1</v>
      </c>
      <c r="J1388" s="20" t="str">
        <f t="shared" si="115"/>
        <v>Dentro</v>
      </c>
      <c r="K1388" s="20" t="str">
        <f t="shared" si="116"/>
        <v>A tiempo</v>
      </c>
      <c r="L1388" s="16">
        <v>46010</v>
      </c>
      <c r="M1388" s="23">
        <f t="shared" si="117"/>
        <v>1</v>
      </c>
    </row>
    <row r="1389" spans="1:13" hidden="1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0">
        <f t="shared" si="113"/>
        <v>51</v>
      </c>
      <c r="I1389" s="20">
        <f t="shared" si="114"/>
        <v>1</v>
      </c>
      <c r="J1389" s="20" t="str">
        <f t="shared" si="115"/>
        <v>Dentro</v>
      </c>
      <c r="K1389" s="20" t="str">
        <f t="shared" si="116"/>
        <v>Programados</v>
      </c>
      <c r="L1389" s="16">
        <v>46010</v>
      </c>
      <c r="M1389" s="23">
        <f t="shared" si="117"/>
        <v>1</v>
      </c>
    </row>
    <row r="1390" spans="1:13" hidden="1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0">
        <f t="shared" si="113"/>
        <v>51</v>
      </c>
      <c r="I1390" s="20">
        <f t="shared" si="114"/>
        <v>1</v>
      </c>
      <c r="J1390" s="20" t="str">
        <f t="shared" si="115"/>
        <v>Dentro</v>
      </c>
      <c r="K1390" s="20" t="str">
        <f t="shared" si="116"/>
        <v>A tiempo</v>
      </c>
      <c r="L1390" s="16">
        <v>46010</v>
      </c>
      <c r="M1390" s="23">
        <f t="shared" si="117"/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/>
      <c r="H1391" s="20">
        <f t="shared" si="113"/>
        <v>52</v>
      </c>
      <c r="I1391" s="20">
        <f t="shared" si="114"/>
        <v>1</v>
      </c>
      <c r="J1391" s="20" t="str">
        <f t="shared" si="115"/>
        <v>Acumulado</v>
      </c>
      <c r="K1391" s="20" t="str">
        <f t="shared" si="116"/>
        <v>Programados</v>
      </c>
      <c r="L1391" s="16">
        <v>46020</v>
      </c>
      <c r="M1391" s="23">
        <f t="shared" si="117"/>
        <v>1</v>
      </c>
    </row>
    <row r="1392" spans="1:13" hidden="1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0">
        <f t="shared" si="113"/>
        <v>52</v>
      </c>
      <c r="I1392" s="20">
        <f t="shared" si="114"/>
        <v>1</v>
      </c>
      <c r="J1392" s="20" t="str">
        <f t="shared" si="115"/>
        <v>Dentro</v>
      </c>
      <c r="K1392" s="20" t="str">
        <f t="shared" si="116"/>
        <v>A tiempo</v>
      </c>
      <c r="L1392" s="16">
        <v>46020</v>
      </c>
      <c r="M1392" s="23">
        <f t="shared" si="117"/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0">
        <f t="shared" si="113"/>
        <v>52</v>
      </c>
      <c r="I1393" s="20">
        <f t="shared" si="114"/>
        <v>1</v>
      </c>
      <c r="J1393" s="20" t="str">
        <f t="shared" si="115"/>
        <v>Acumulado</v>
      </c>
      <c r="K1393" s="20" t="str">
        <f t="shared" si="116"/>
        <v>Programados</v>
      </c>
      <c r="L1393" s="16">
        <v>46020</v>
      </c>
      <c r="M1393" s="23">
        <f t="shared" si="117"/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2026-01-01T19:35:21Z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