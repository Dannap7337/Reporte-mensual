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rreobuap-my.sharepoint.com/personal/rm202455570_alm_buap_mx/Documents/Documentos/Proyectos personales/Reporte mensual/"/>
    </mc:Choice>
  </mc:AlternateContent>
  <xr:revisionPtr revIDLastSave="469" documentId="13_ncr:1_{66DC8E2D-CE0C-4D27-8E33-136B8AB8B3E7}" xr6:coauthVersionLast="47" xr6:coauthVersionMax="47" xr10:uidLastSave="{C9B82E12-5C10-4BDB-B152-9721249F2EF5}"/>
  <bookViews>
    <workbookView xWindow="-110" yWindow="-110" windowWidth="19420" windowHeight="1030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57" i="1" l="1"/>
  <c r="K1957" i="1" s="1"/>
  <c r="F1958" i="1"/>
  <c r="K1958" i="1" s="1"/>
  <c r="F1959" i="1"/>
  <c r="K1959" i="1" s="1"/>
  <c r="F1960" i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F1969" i="1"/>
  <c r="K1969" i="1" s="1"/>
  <c r="F1970" i="1"/>
  <c r="K1970" i="1" s="1"/>
  <c r="F1971" i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F1991" i="1"/>
  <c r="K1991" i="1" s="1"/>
  <c r="F1992" i="1"/>
  <c r="F1993" i="1"/>
  <c r="F1994" i="1"/>
  <c r="K1994" i="1" s="1"/>
  <c r="F1995" i="1"/>
  <c r="F1996" i="1"/>
  <c r="K1996" i="1" s="1"/>
  <c r="F1997" i="1"/>
  <c r="K1997" i="1" s="1"/>
  <c r="F1998" i="1"/>
  <c r="F1999" i="1"/>
  <c r="F2000" i="1"/>
  <c r="K2000" i="1" s="1"/>
  <c r="F2001" i="1"/>
  <c r="K2001" i="1" s="1"/>
  <c r="F2002" i="1"/>
  <c r="K2002" i="1" s="1"/>
  <c r="F2003" i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J1960" i="1"/>
  <c r="J1961" i="1"/>
  <c r="J1963" i="1"/>
  <c r="J1966" i="1"/>
  <c r="J1968" i="1"/>
  <c r="J1971" i="1"/>
  <c r="J1974" i="1"/>
  <c r="J1975" i="1"/>
  <c r="J1976" i="1"/>
  <c r="J1977" i="1"/>
  <c r="J1979" i="1"/>
  <c r="J1982" i="1"/>
  <c r="J1984" i="1"/>
  <c r="J1985" i="1"/>
  <c r="J1987" i="1"/>
  <c r="J1989" i="1"/>
  <c r="J1990" i="1"/>
  <c r="J1991" i="1"/>
  <c r="J1992" i="1"/>
  <c r="J1993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K1960" i="1"/>
  <c r="K1967" i="1"/>
  <c r="K1968" i="1"/>
  <c r="K1971" i="1"/>
  <c r="K1977" i="1"/>
  <c r="K1981" i="1"/>
  <c r="K1983" i="1"/>
  <c r="K1984" i="1"/>
  <c r="K1990" i="1"/>
  <c r="K1992" i="1"/>
  <c r="K1993" i="1"/>
  <c r="K1995" i="1"/>
  <c r="K1998" i="1"/>
  <c r="K1999" i="1"/>
  <c r="K2003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J1918" i="1"/>
  <c r="J1922" i="1"/>
  <c r="J1934" i="1"/>
  <c r="J1935" i="1"/>
  <c r="J1936" i="1"/>
  <c r="J1937" i="1"/>
  <c r="J1938" i="1"/>
  <c r="J1941" i="1"/>
  <c r="J1942" i="1"/>
  <c r="J1943" i="1"/>
  <c r="J1944" i="1"/>
  <c r="J1945" i="1"/>
  <c r="J1946" i="1"/>
  <c r="J1948" i="1"/>
  <c r="J1949" i="1"/>
  <c r="K1916" i="1"/>
  <c r="K1929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F1911" i="1"/>
  <c r="H1910" i="1"/>
  <c r="H1911" i="1"/>
  <c r="I1910" i="1"/>
  <c r="I1911" i="1"/>
  <c r="J1910" i="1"/>
  <c r="J1911" i="1"/>
  <c r="K1910" i="1"/>
  <c r="K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J1899" i="1"/>
  <c r="J1902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J1881" i="1"/>
  <c r="J1882" i="1"/>
  <c r="J1883" i="1"/>
  <c r="J1884" i="1"/>
  <c r="J1889" i="1"/>
  <c r="J1891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J1876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J1860" i="1"/>
  <c r="J1864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J1784" i="1"/>
  <c r="J1812" i="1"/>
  <c r="J1844" i="1"/>
  <c r="J1850" i="1"/>
  <c r="J1851" i="1"/>
  <c r="J1853" i="1"/>
  <c r="J1855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0" i="1"/>
  <c r="J1721" i="1"/>
  <c r="J1722" i="1"/>
  <c r="J1724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7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46" i="1"/>
  <c r="J1167" i="1"/>
  <c r="J1168" i="1"/>
  <c r="J1199" i="1"/>
  <c r="J1211" i="1"/>
  <c r="J1213" i="1"/>
  <c r="J1221" i="1"/>
  <c r="J1222" i="1"/>
  <c r="J1242" i="1"/>
  <c r="J1245" i="1"/>
  <c r="J1246" i="1"/>
  <c r="J1272" i="1"/>
  <c r="J1284" i="1"/>
  <c r="J1306" i="1"/>
  <c r="J1330" i="1"/>
  <c r="J1331" i="1"/>
  <c r="J1342" i="1"/>
  <c r="J1343" i="1"/>
  <c r="J1347" i="1"/>
  <c r="J1348" i="1"/>
  <c r="J1359" i="1"/>
  <c r="J1364" i="1"/>
  <c r="J1372" i="1"/>
  <c r="J1373" i="1"/>
  <c r="J1374" i="1"/>
  <c r="J1433" i="1"/>
  <c r="J1493" i="1"/>
  <c r="J1509" i="1"/>
  <c r="J1578" i="1"/>
  <c r="J1592" i="1"/>
  <c r="J1596" i="1"/>
  <c r="J1615" i="1"/>
  <c r="J1635" i="1"/>
  <c r="H1599" i="1"/>
  <c r="J1895" i="1" l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<sst xmlns="http://schemas.openxmlformats.org/spreadsheetml/2006/main" count="6033" uniqueCount="4054">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</sst>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2007" totalsRowShown="0" headerRowDxfId="22" dataDxfId="20" headerRowBorderDxfId="21" tableBorderDxfId="19" totalsRowBorderDxfId="18">
  <autoFilter ref="A1:M2007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0" totalsRowShown="0" headerRowDxfId="4" dataDxfId="3">
  <autoFilter ref="A1:A10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2007"/>
  <sheetViews>
    <sheetView tabSelected="1" topLeftCell="C1" zoomScale="57" zoomScaleNormal="32" workbookViewId="0">
      <selection activeCell="J9" sqref="J9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Row],[CORREO]],1,Table2[Dias no laborales]),E2)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>MAX(1,NETWORKDAYS(A2,L2,Table2[Dias no laborales]))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Row],[CORREO]],1,Table2[Dias no laborales]),E3)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Row],[CORREO]],1,Table2[Dias no laborales]),E4)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Row],[CORREO]],1,Table2[Dias no laborales]),E5)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Row],[CORREO]],1,Table2[Dias no laborales]),E6)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Row],[CORREO]],1,Table2[Dias no laborales]),E7)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Row],[CORREO]],1,Table2[Dias no laborales]),E8)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Row],[CORREO]],1,Table2[Dias no laborales]),E9)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Row],[CORREO]],1,Table2[Dias no laborales]),E10)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Row],[CORREO]],1,Table2[Dias no laborales]),E11)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Row],[CORREO]],1,Table2[Dias no laborales]),E12)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Row],[CORREO]],1,Table2[Dias no laborales]),E13)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Row],[CORREO]],1,Table2[Dias no laborales]),E14)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Row],[CORREO]],1,Table2[Dias no laborales]),E15)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Row],[CORREO]],1,Table2[Dias no laborales]),E16)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Row],[CORREO]],1,Table2[Dias no laborales]),E17)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Row],[CORREO]],1,Table2[Dias no laborales]),E18)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Row],[CORREO]],1,Table2[Dias no laborales]),E19)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Row],[CORREO]],1,Table2[Dias no laborales]),E20)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Row],[CORREO]],1,Table2[Dias no laborales]),E21)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Row],[CORREO]],1,Table2[Dias no laborales]),E22)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Row],[CORREO]],1,Table2[Dias no laborales]),E23)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Row],[CORREO]],1,Table2[Dias no laborales]),E24)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Row],[CORREO]],1,Table2[Dias no laborales]),E25)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Row],[CORREO]],1,Table2[Dias no laborales]),E26)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Row],[CORREO]],1,Table2[Dias no laborales]),E27)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Row],[CORREO]],1,Table2[Dias no laborales]),E28)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Row],[CORREO]],1,Table2[Dias no laborales]),E29)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Row],[CORREO]],1,Table2[Dias no laborales]),E30)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Row],[CORREO]],1,Table2[Dias no laborales]),E31)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Row],[CORREO]],1,Table2[Dias no laborales]),E32)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Row],[CORREO]],1,Table2[Dias no laborales]),E33)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Row],[CORREO]],1,Table2[Dias no laborales]),E34)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Row],[CORREO]],1,Table2[Dias no laborales]),E35)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Row],[CORREO]],1,Table2[Dias no laborales]),E36)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Row],[CORREO]],1,Table2[Dias no laborales]),E37)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Row],[CORREO]],1,Table2[Dias no laborales]),E38)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Row],[CORREO]],1,Table2[Dias no laborales]),E39)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Row],[CORREO]],1,Table2[Dias no laborales]),E40)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Row],[CORREO]],1,Table2[Dias no laborales]),E41)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Row],[CORREO]],1,Table2[Dias no laborales]),E42)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Row],[CORREO]],1,Table2[Dias no laborales]),E43)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Row],[CORREO]],1,Table2[Dias no laborales]),E44)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Row],[CORREO]],1,Table2[Dias no laborales]),E45)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Row],[CORREO]],1,Table2[Dias no laborales]),E46)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Row],[CORREO]],1,Table2[Dias no laborales]),E47)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Row],[CORREO]],1,Table2[Dias no laborales]),E48)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Row],[CORREO]],1,Table2[Dias no laborales]),E49)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Row],[CORREO]],1,Table2[Dias no laborales]),E50)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Row],[CORREO]],1,Table2[Dias no laborales]),E51)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Row],[CORREO]],1,Table2[Dias no laborales]),E52)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Row],[CORREO]],1,Table2[Dias no laborales]),E53)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Row],[CORREO]],1,Table2[Dias no laborales]),E54)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Row],[CORREO]],1,Table2[Dias no laborales]),E55)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Row],[CORREO]],1,Table2[Dias no laborales]),E56)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Row],[CORREO]],1,Table2[Dias no laborales]),E57)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Row],[CORREO]],1,Table2[Dias no laborales]),E58)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Row],[CORREO]],1,Table2[Dias no laborales]),E59)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Row],[CORREO]],1,Table2[Dias no laborales]),E60)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Row],[CORREO]],1,Table2[Dias no laborales]),E61)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Row],[CORREO]],1,Table2[Dias no laborales]),E62)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Row],[CORREO]],1,Table2[Dias no laborales]),E63)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Row],[CORREO]],1,Table2[Dias no laborales]),E64)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Row],[CORREO]],1,Table2[Dias no laborales]),E65)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Row],[CORREO]],1,Table2[Dias no laborales]),E66)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Row],[CORREO]],1,Table2[Dias no laborales]),E67)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Row],[CORREO]],1,Table2[Dias no laborales]),E68)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Row],[CORREO]],1,Table2[Dias no laborales]),E69)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Row],[CORREO]],1,Table2[Dias no laborales]),E70)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Row],[CORREO]],1,Table2[Dias no laborales]),E71)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Row],[CORREO]],1,Table2[Dias no laborales]),E72)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Row],[CORREO]],1,Table2[Dias no laborales]),E73)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Row],[CORREO]],1,Table2[Dias no laborales]),E74)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Row],[CORREO]],1,Table2[Dias no laborales]),E75)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Row],[CORREO]],1,Table2[Dias no laborales]),E76)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Row],[CORREO]],1,Table2[Dias no laborales]),E77)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Row],[CORREO]],1,Table2[Dias no laborales]),E78)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Row],[CORREO]],1,Table2[Dias no laborales]),E79)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Row],[CORREO]],1,Table2[Dias no laborales]),E80)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Row],[CORREO]],1,Table2[Dias no laborales]),E81)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Row],[CORREO]],1,Table2[Dias no laborales]),E82)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Row],[CORREO]],1,Table2[Dias no laborales]),E83)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Row],[CORREO]],1,Table2[Dias no laborales]),E84)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Row],[CORREO]],1,Table2[Dias no laborales]),E85)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Row],[CORREO]],1,Table2[Dias no laborales]),E86)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Row],[CORREO]],1,Table2[Dias no laborales]),E87)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Row],[CORREO]],1,Table2[Dias no laborales]),E88)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Row],[CORREO]],1,Table2[Dias no laborales]),E89)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Row],[CORREO]],1,Table2[Dias no laborales]),E90)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Row],[CORREO]],1,Table2[Dias no laborales]),E91)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Row],[CORREO]],1,Table2[Dias no laborales]),E92)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Row],[CORREO]],1,Table2[Dias no laborales]),E93)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Row],[CORREO]],1,Table2[Dias no laborales]),E94)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Row],[CORREO]],1,Table2[Dias no laborales]),E95)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Row],[CORREO]],1,Table2[Dias no laborales]),E96)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Row],[CORREO]],1,Table2[Dias no laborales]),E97)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Row],[CORREO]],1,Table2[Dias no laborales]),E98)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Row],[CORREO]],1,Table2[Dias no laborales]),E99)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Row],[CORREO]],1,Table2[Dias no laborales]),E100)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Row],[CORREO]],1,Table2[Dias no laborales]),E101)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Row],[CORREO]],1,Table2[Dias no laborales]),E102)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Row],[CORREO]],1,Table2[Dias no laborales]),E103)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Row],[CORREO]],1,Table2[Dias no laborales]),E104)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Row],[CORREO]],1,Table2[Dias no laborales]),E105)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Row],[CORREO]],1,Table2[Dias no laborales]),E106)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Row],[CORREO]],1,Table2[Dias no laborales]),E107)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Row],[CORREO]],1,Table2[Dias no laborales]),E108)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Row],[CORREO]],1,Table2[Dias no laborales]),E109)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Row],[CORREO]],1,Table2[Dias no laborales]),E110)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Row],[CORREO]],1,Table2[Dias no laborales]),E111)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Row],[CORREO]],1,Table2[Dias no laborales]),E112)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Row],[CORREO]],1,Table2[Dias no laborales]),E113)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Row],[CORREO]],1,Table2[Dias no laborales]),E114)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Row],[CORREO]],1,Table2[Dias no laborales]),E115)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Row],[CORREO]],1,Table2[Dias no laborales]),E116)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Row],[CORREO]],1,Table2[Dias no laborales]),E117)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Row],[CORREO]],1,Table2[Dias no laborales]),E118)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Row],[CORREO]],1,Table2[Dias no laborales]),E119)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Row],[CORREO]],1,Table2[Dias no laborales]),E120)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Row],[CORREO]],1,Table2[Dias no laborales]),E121)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Row],[CORREO]],1,Table2[Dias no laborales]),E122)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Row],[CORREO]],1,Table2[Dias no laborales]),E123)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Row],[CORREO]],1,Table2[Dias no laborales]),E124)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Row],[CORREO]],1,Table2[Dias no laborales]),E125)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Row],[CORREO]],1,Table2[Dias no laborales]),E126)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Row],[CORREO]],1,Table2[Dias no laborales]),E127)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Row],[CORREO]],1,Table2[Dias no laborales]),E128)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Row],[CORREO]],1,Table2[Dias no laborales]),E129)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Row],[CORREO]],1,Table2[Dias no laborales]),E130)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Row],[CORREO]],1,Table2[Dias no laborales]),E131)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Row],[CORREO]],1,Table2[Dias no laborales]),E132)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Row],[CORREO]],1,Table2[Dias no laborales]),E133)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Row],[CORREO]],1,Table2[Dias no laborales]),E134)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Row],[CORREO]],1,Table2[Dias no laborales]),E135)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Row],[CORREO]],1,Table2[Dias no laborales]),E136)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Row],[CORREO]],1,Table2[Dias no laborales]),E137)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Row],[CORREO]],1,Table2[Dias no laborales]),E138)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Row],[CORREO]],1,Table2[Dias no laborales]),E139)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Row],[CORREO]],1,Table2[Dias no laborales]),E140)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Row],[CORREO]],1,Table2[Dias no laborales]),E141)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Row],[CORREO]],1,Table2[Dias no laborales]),E142)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Row],[CORREO]],1,Table2[Dias no laborales]),E143)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Row],[CORREO]],1,Table2[Dias no laborales]),E144)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Row],[CORREO]],1,Table2[Dias no laborales]),E145)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Row],[CORREO]],1,Table2[Dias no laborales]),E146)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Row],[CORREO]],1,Table2[Dias no laborales]),E147)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Row],[CORREO]],1,Table2[Dias no laborales]),E148)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Row],[CORREO]],1,Table2[Dias no laborales]),E149)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Row],[CORREO]],1,Table2[Dias no laborales]),E150)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Row],[CORREO]],1,Table2[Dias no laborales]),E151)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Row],[CORREO]],1,Table2[Dias no laborales]),E152)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Row],[CORREO]],1,Table2[Dias no laborales]),E153)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Row],[CORREO]],1,Table2[Dias no laborales]),E154)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Row],[CORREO]],1,Table2[Dias no laborales]),E155)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Row],[CORREO]],1,Table2[Dias no laborales]),E156)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Row],[CORREO]],1,Table2[Dias no laborales]),E157)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Row],[CORREO]],1,Table2[Dias no laborales]),E158)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Row],[CORREO]],1,Table2[Dias no laborales]),E159)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Row],[CORREO]],1,Table2[Dias no laborales]),E160)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Row],[CORREO]],1,Table2[Dias no laborales]),E161)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Row],[CORREO]],1,Table2[Dias no laborales]),E162)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Row],[CORREO]],1,Table2[Dias no laborales]),E163)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Row],[CORREO]],1,Table2[Dias no laborales]),E164)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Row],[CORREO]],1,Table2[Dias no laborales]),E165)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Row],[CORREO]],1,Table2[Dias no laborales]),E166)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Row],[CORREO]],1,Table2[Dias no laborales]),E167)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Row],[CORREO]],1,Table2[Dias no laborales]),E168)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Row],[CORREO]],1,Table2[Dias no laborales]),E169)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Row],[CORREO]],1,Table2[Dias no laborales]),E170)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Row],[CORREO]],1,Table2[Dias no laborales]),E171)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Row],[CORREO]],1,Table2[Dias no laborales]),E172)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Row],[CORREO]],1,Table2[Dias no laborales]),E173)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Row],[CORREO]],1,Table2[Dias no laborales]),E174)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Row],[CORREO]],1,Table2[Dias no laborales]),E175)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Row],[CORREO]],1,Table2[Dias no laborales]),E176)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Row],[CORREO]],1,Table2[Dias no laborales]),E177)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Row],[CORREO]],1,Table2[Dias no laborales]),E178)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Row],[CORREO]],1,Table2[Dias no laborales]),E179)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Row],[CORREO]],1,Table2[Dias no laborales]),E180)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Row],[CORREO]],1,Table2[Dias no laborales]),E181)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Row],[CORREO]],1,Table2[Dias no laborales]),E182)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Row],[CORREO]],1,Table2[Dias no laborales]),E183)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Row],[CORREO]],1,Table2[Dias no laborales]),E184)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Row],[CORREO]],1,Table2[Dias no laborales]),E185)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Row],[CORREO]],1,Table2[Dias no laborales]),E186)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Row],[CORREO]],1,Table2[Dias no laborales]),E187)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Row],[CORREO]],1,Table2[Dias no laborales]),E188)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Row],[CORREO]],1,Table2[Dias no laborales]),E189)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Row],[CORREO]],1,Table2[Dias no laborales]),E190)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Row],[CORREO]],1,Table2[Dias no laborales]),E191)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Row],[CORREO]],1,Table2[Dias no laborales]),E192)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Row],[CORREO]],1,Table2[Dias no laborales]),E193)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Row],[CORREO]],1,Table2[Dias no laborales]),E194)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Row],[CORREO]],1,Table2[Dias no laborales]),E195)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Row],[CORREO]],1,Table2[Dias no laborales]),E196)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Row],[CORREO]],1,Table2[Dias no laborales]),E197)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Row],[CORREO]],1,Table2[Dias no laborales]),E198)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Row],[CORREO]],1,Table2[Dias no laborales]),E199)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Row],[CORREO]],1,Table2[Dias no laborales]),E200)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Row],[CORREO]],1,Table2[Dias no laborales]),E201)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Row],[CORREO]],1,Table2[Dias no laborales]),E202)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Row],[CORREO]],1,Table2[Dias no laborales]),E203)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Row],[CORREO]],1,Table2[Dias no laborales]),E204)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Row],[CORREO]],1,Table2[Dias no laborales]),E205)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Row],[CORREO]],1,Table2[Dias no laborales]),E206)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Row],[CORREO]],1,Table2[Dias no laborales]),E207)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Row],[CORREO]],1,Table2[Dias no laborales]),E208)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Row],[CORREO]],1,Table2[Dias no laborales]),E209)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Row],[CORREO]],1,Table2[Dias no laborales]),E210)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Row],[CORREO]],1,Table2[Dias no laborales]),E211)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Row],[CORREO]],1,Table2[Dias no laborales]),E212)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Row],[CORREO]],1,Table2[Dias no laborales]),E213)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Row],[CORREO]],1,Table2[Dias no laborales]),E214)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Row],[CORREO]],1,Table2[Dias no laborales]),E215)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Row],[CORREO]],1,Table2[Dias no laborales]),E216)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Row],[CORREO]],1,Table2[Dias no laborales]),E217)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Row],[CORREO]],1,Table2[Dias no laborales]),E218)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Row],[CORREO]],1,Table2[Dias no laborales]),E219)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Row],[CORREO]],1,Table2[Dias no laborales]),E220)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Row],[CORREO]],1,Table2[Dias no laborales]),E221)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Row],[CORREO]],1,Table2[Dias no laborales]),E222)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Row],[CORREO]],1,Table2[Dias no laborales]),E223)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Row],[CORREO]],1,Table2[Dias no laborales]),E224)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Row],[CORREO]],1,Table2[Dias no laborales]),E225)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Row],[CORREO]],1,Table2[Dias no laborales]),E226)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Row],[CORREO]],1,Table2[Dias no laborales]),E227)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Row],[CORREO]],1,Table2[Dias no laborales]),E228)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Row],[CORREO]],1,Table2[Dias no laborales]),E229)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Row],[CORREO]],1,Table2[Dias no laborales]),E230)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Row],[CORREO]],1,Table2[Dias no laborales]),E231)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Row],[CORREO]],1,Table2[Dias no laborales]),E232)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Row],[CORREO]],1,Table2[Dias no laborales]),E233)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Row],[CORREO]],1,Table2[Dias no laborales]),E234)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Row],[CORREO]],1,Table2[Dias no laborales]),E235)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Row],[CORREO]],1,Table2[Dias no laborales]),E236)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Row],[CORREO]],1,Table2[Dias no laborales]),E237)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Row],[CORREO]],1,Table2[Dias no laborales]),E238)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Row],[CORREO]],1,Table2[Dias no laborales]),E239)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Row],[CORREO]],1,Table2[Dias no laborales]),E240)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Row],[CORREO]],1,Table2[Dias no laborales]),E241)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Row],[CORREO]],1,Table2[Dias no laborales]),E242)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Row],[CORREO]],1,Table2[Dias no laborales]),E243)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Row],[CORREO]],1,Table2[Dias no laborales]),E244)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Row],[CORREO]],1,Table2[Dias no laborales]),E245)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Row],[CORREO]],1,Table2[Dias no laborales]),E246)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Row],[CORREO]],1,Table2[Dias no laborales]),E247)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Row],[CORREO]],1,Table2[Dias no laborales]),E248)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Row],[CORREO]],1,Table2[Dias no laborales]),E249)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Row],[CORREO]],1,Table2[Dias no laborales]),E250)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Row],[CORREO]],1,Table2[Dias no laborales]),E251)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Row],[CORREO]],1,Table2[Dias no laborales]),E252)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Row],[CORREO]],1,Table2[Dias no laborales]),E253)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Row],[CORREO]],1,Table2[Dias no laborales]),E254)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Row],[CORREO]],1,Table2[Dias no laborales]),E255)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Row],[CORREO]],1,Table2[Dias no laborales]),E256)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Row],[CORREO]],1,Table2[Dias no laborales]),E257)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Row],[CORREO]],1,Table2[Dias no laborales]),E258)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Row],[CORREO]],1,Table2[Dias no laborales]),E259)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Row],[CORREO]],1,Table2[Dias no laborales]),E260)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Row],[CORREO]],1,Table2[Dias no laborales]),E261)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Row],[CORREO]],1,Table2[Dias no laborales]),E262)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Row],[CORREO]],1,Table2[Dias no laborales]),E263)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Row],[CORREO]],1,Table2[Dias no laborales]),E264)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Row],[CORREO]],1,Table2[Dias no laborales]),E265)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Row],[CORREO]],1,Table2[Dias no laborales]),E266)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Row],[CORREO]],1,Table2[Dias no laborales]),E267)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Row],[CORREO]],1,Table2[Dias no laborales]),E268)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Row],[CORREO]],1,Table2[Dias no laborales]),E269)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Row],[CORREO]],1,Table2[Dias no laborales]),E270)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Row],[CORREO]],1,Table2[Dias no laborales]),E271)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Row],[CORREO]],1,Table2[Dias no laborales]),E272)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Row],[CORREO]],1,Table2[Dias no laborales]),E273)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Row],[CORREO]],1,Table2[Dias no laborales]),E274)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Row],[CORREO]],1,Table2[Dias no laborales]),E275)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Row],[CORREO]],1,Table2[Dias no laborales]),E276)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Row],[CORREO]],1,Table2[Dias no laborales]),E277)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Row],[CORREO]],1,Table2[Dias no laborales]),E278)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Row],[CORREO]],1,Table2[Dias no laborales]),E279)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Row],[CORREO]],1,Table2[Dias no laborales]),E280)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Row],[CORREO]],1,Table2[Dias no laborales]),E281)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Row],[CORREO]],1,Table2[Dias no laborales]),E282)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Row],[CORREO]],1,Table2[Dias no laborales]),E283)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Row],[CORREO]],1,Table2[Dias no laborales]),E284)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Row],[CORREO]],1,Table2[Dias no laborales]),E285)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Row],[CORREO]],1,Table2[Dias no laborales]),E286)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Row],[CORREO]],1,Table2[Dias no laborales]),E287)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Row],[CORREO]],1,Table2[Dias no laborales]),E288)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Row],[CORREO]],1,Table2[Dias no laborales]),E289)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Row],[CORREO]],1,Table2[Dias no laborales]),E290)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Row],[CORREO]],1,Table2[Dias no laborales]),E291)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Row],[CORREO]],1,Table2[Dias no laborales]),E292)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Row],[CORREO]],1,Table2[Dias no laborales]),E293)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Row],[CORREO]],1,Table2[Dias no laborales]),E294)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Row],[CORREO]],1,Table2[Dias no laborales]),E295)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Row],[CORREO]],1,Table2[Dias no laborales]),E296)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Row],[CORREO]],1,Table2[Dias no laborales]),E297)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Row],[CORREO]],1,Table2[Dias no laborales]),E298)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Row],[CORREO]],1,Table2[Dias no laborales]),E299)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Row],[CORREO]],1,Table2[Dias no laborales]),E300)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Row],[CORREO]],1,Table2[Dias no laborales]),E301)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Row],[CORREO]],1,Table2[Dias no laborales]),E302)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Row],[CORREO]],1,Table2[Dias no laborales]),E303)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Row],[CORREO]],1,Table2[Dias no laborales]),E304)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Row],[CORREO]],1,Table2[Dias no laborales]),E305)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Row],[CORREO]],1,Table2[Dias no laborales]),E306)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Row],[CORREO]],1,Table2[Dias no laborales]),E307)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Row],[CORREO]],1,Table2[Dias no laborales]),E308)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Row],[CORREO]],1,Table2[Dias no laborales]),E309)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Row],[CORREO]],1,Table2[Dias no laborales]),E310)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Row],[CORREO]],1,Table2[Dias no laborales]),E311)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Row],[CORREO]],1,Table2[Dias no laborales]),E312)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Row],[CORREO]],1,Table2[Dias no laborales]),E313)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Row],[CORREO]],1,Table2[Dias no laborales]),E314)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Row],[CORREO]],1,Table2[Dias no laborales]),E315)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Row],[CORREO]],1,Table2[Dias no laborales]),E316)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Row],[CORREO]],1,Table2[Dias no laborales]),E317)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Row],[CORREO]],1,Table2[Dias no laborales]),E318)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Row],[CORREO]],1,Table2[Dias no laborales]),E319)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Row],[CORREO]],1,Table2[Dias no laborales]),E320)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Row],[CORREO]],1,Table2[Dias no laborales]),E321)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Row],[CORREO]],1,Table2[Dias no laborales]),E322)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Row],[CORREO]],1,Table2[Dias no laborales]),E323)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Row],[CORREO]],1,Table2[Dias no laborales]),E324)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Row],[CORREO]],1,Table2[Dias no laborales]),E325)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Row],[CORREO]],1,Table2[Dias no laborales]),E326)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Row],[CORREO]],1,Table2[Dias no laborales]),E327)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Row],[CORREO]],1,Table2[Dias no laborales]),E328)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Row],[CORREO]],1,Table2[Dias no laborales]),E329)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Row],[CORREO]],1,Table2[Dias no laborales]),E330)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Row],[CORREO]],1,Table2[Dias no laborales]),E331)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Row],[CORREO]],1,Table2[Dias no laborales]),E332)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Row],[CORREO]],1,Table2[Dias no laborales]),E333)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Row],[CORREO]],1,Table2[Dias no laborales]),E334)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Row],[CORREO]],1,Table2[Dias no laborales]),E335)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Row],[CORREO]],1,Table2[Dias no laborales]),E336)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Row],[CORREO]],1,Table2[Dias no laborales]),E337)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Row],[CORREO]],1,Table2[Dias no laborales]),E338)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Row],[CORREO]],1,Table2[Dias no laborales]),E339)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Row],[CORREO]],1,Table2[Dias no laborales]),E340)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Row],[CORREO]],1,Table2[Dias no laborales]),E341)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Row],[CORREO]],1,Table2[Dias no laborales]),E342)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Row],[CORREO]],1,Table2[Dias no laborales]),E343)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Row],[CORREO]],1,Table2[Dias no laborales]),E344)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Row],[CORREO]],1,Table2[Dias no laborales]),E345)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Row],[CORREO]],1,Table2[Dias no laborales]),E346)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Row],[CORREO]],1,Table2[Dias no laborales]),E347)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Row],[CORREO]],1,Table2[Dias no laborales]),E348)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Row],[CORREO]],1,Table2[Dias no laborales]),E349)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Row],[CORREO]],1,Table2[Dias no laborales]),E350)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Row],[CORREO]],1,Table2[Dias no laborales]),E351)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Row],[CORREO]],1,Table2[Dias no laborales]),E352)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Row],[CORREO]],1,Table2[Dias no laborales]),E353)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Row],[CORREO]],1,Table2[Dias no laborales]),E354)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Row],[CORREO]],1,Table2[Dias no laborales]),E355)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Row],[CORREO]],1,Table2[Dias no laborales]),E356)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Row],[CORREO]],1,Table2[Dias no laborales]),E357)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Row],[CORREO]],1,Table2[Dias no laborales]),E358)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Row],[CORREO]],1,Table2[Dias no laborales]),E359)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Row],[CORREO]],1,Table2[Dias no laborales]),E360)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Row],[CORREO]],1,Table2[Dias no laborales]),E361)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Row],[CORREO]],1,Table2[Dias no laborales]),E362)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Row],[CORREO]],1,Table2[Dias no laborales]),E363)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Row],[CORREO]],1,Table2[Dias no laborales]),E364)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Row],[CORREO]],1,Table2[Dias no laborales]),E365)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Row],[CORREO]],1,Table2[Dias no laborales]),E366)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Row],[CORREO]],1,Table2[Dias no laborales]),E367)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Row],[CORREO]],1,Table2[Dias no laborales]),E368)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Row],[CORREO]],1,Table2[Dias no laborales]),E369)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Row],[CORREO]],1,Table2[Dias no laborales]),E370)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Row],[CORREO]],1,Table2[Dias no laborales]),E371)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Row],[CORREO]],1,Table2[Dias no laborales]),E372)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Row],[CORREO]],1,Table2[Dias no laborales]),E373)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Row],[CORREO]],1,Table2[Dias no laborales]),E374)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Row],[CORREO]],1,Table2[Dias no laborales]),E375)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Row],[CORREO]],1,Table2[Dias no laborales]),E376)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Row],[CORREO]],1,Table2[Dias no laborales]),E377)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Row],[CORREO]],1,Table2[Dias no laborales]),E378)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Row],[CORREO]],1,Table2[Dias no laborales]),E379)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Row],[CORREO]],1,Table2[Dias no laborales]),E380)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Row],[CORREO]],1,Table2[Dias no laborales]),E381)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Row],[CORREO]],1,Table2[Dias no laborales]),E382)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Row],[CORREO]],1,Table2[Dias no laborales]),E383)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Row],[CORREO]],1,Table2[Dias no laborales]),E384)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Row],[CORREO]],1,Table2[Dias no laborales]),E385)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Row],[CORREO]],1,Table2[Dias no laborales]),E386)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Row],[CORREO]],1,Table2[Dias no laborales]),E387)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Row],[CORREO]],1,Table2[Dias no laborales]),E388)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Row],[CORREO]],1,Table2[Dias no laborales]),E389)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Row],[CORREO]],1,Table2[Dias no laborales]),E390)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Row],[CORREO]],1,Table2[Dias no laborales]),E391)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Row],[CORREO]],1,Table2[Dias no laborales]),E392)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Row],[CORREO]],1,Table2[Dias no laborales]),E393)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Row],[CORREO]],1,Table2[Dias no laborales]),E394)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Row],[CORREO]],1,Table2[Dias no laborales]),E395)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Row],[CORREO]],1,Table2[Dias no laborales]),E396)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Row],[CORREO]],1,Table2[Dias no laborales]),E397)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Row],[CORREO]],1,Table2[Dias no laborales]),E398)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Row],[CORREO]],1,Table2[Dias no laborales]),E399)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Row],[CORREO]],1,Table2[Dias no laborales]),E400)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Row],[CORREO]],1,Table2[Dias no laborales]),E401)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Row],[CORREO]],1,Table2[Dias no laborales]),E402)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Row],[CORREO]],1,Table2[Dias no laborales]),E403)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Row],[CORREO]],1,Table2[Dias no laborales]),E404)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Row],[CORREO]],1,Table2[Dias no laborales]),E405)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Row],[CORREO]],1,Table2[Dias no laborales]),E406)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Row],[CORREO]],1,Table2[Dias no laborales]),E407)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Row],[CORREO]],1,Table2[Dias no laborales]),E408)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Row],[CORREO]],1,Table2[Dias no laborales]),E409)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Row],[CORREO]],1,Table2[Dias no laborales]),E410)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Row],[CORREO]],1,Table2[Dias no laborales]),E411)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Row],[CORREO]],1,Table2[Dias no laborales]),E412)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Row],[CORREO]],1,Table2[Dias no laborales]),E413)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Row],[CORREO]],1,Table2[Dias no laborales]),E414)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Row],[CORREO]],1,Table2[Dias no laborales]),E415)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Row],[CORREO]],1,Table2[Dias no laborales]),E416)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Row],[CORREO]],1,Table2[Dias no laborales]),E417)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Row],[CORREO]],1,Table2[Dias no laborales]),E418)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Row],[CORREO]],1,Table2[Dias no laborales]),E419)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Row],[CORREO]],1,Table2[Dias no laborales]),E420)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Row],[CORREO]],1,Table2[Dias no laborales]),E421)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Row],[CORREO]],1,Table2[Dias no laborales]),E422)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Row],[CORREO]],1,Table2[Dias no laborales]),E423)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Row],[CORREO]],1,Table2[Dias no laborales]),E424)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Row],[CORREO]],1,Table2[Dias no laborales]),E425)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Row],[CORREO]],1,Table2[Dias no laborales]),E426)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Row],[CORREO]],1,Table2[Dias no laborales]),E427)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Row],[CORREO]],1,Table2[Dias no laborales]),E428)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Row],[CORREO]],1,Table2[Dias no laborales]),E429)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Row],[CORREO]],1,Table2[Dias no laborales]),E430)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Row],[CORREO]],1,Table2[Dias no laborales]),E431)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Row],[CORREO]],1,Table2[Dias no laborales]),E432)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Row],[CORREO]],1,Table2[Dias no laborales]),E433)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Row],[CORREO]],1,Table2[Dias no laborales]),E434)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Row],[CORREO]],1,Table2[Dias no laborales]),E435)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Row],[CORREO]],1,Table2[Dias no laborales]),E436)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Row],[CORREO]],1,Table2[Dias no laborales]),E437)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Row],[CORREO]],1,Table2[Dias no laborales]),E438)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Row],[CORREO]],1,Table2[Dias no laborales]),E439)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Row],[CORREO]],1,Table2[Dias no laborales]),E440)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Row],[CORREO]],1,Table2[Dias no laborales]),E441)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Row],[CORREO]],1,Table2[Dias no laborales]),E442)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Row],[CORREO]],1,Table2[Dias no laborales]),E443)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Row],[CORREO]],1,Table2[Dias no laborales]),E444)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Row],[CORREO]],1,Table2[Dias no laborales]),E445)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Row],[CORREO]],1,Table2[Dias no laborales]),E446)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Row],[CORREO]],1,Table2[Dias no laborales]),E447)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Row],[CORREO]],1,Table2[Dias no laborales]),E448)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Row],[CORREO]],1,Table2[Dias no laborales]),E449)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Row],[CORREO]],1,Table2[Dias no laborales]),E450)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Row],[CORREO]],1,Table2[Dias no laborales]),E451)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Row],[CORREO]],1,Table2[Dias no laborales]),E452)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Row],[CORREO]],1,Table2[Dias no laborales]),E453)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Row],[CORREO]],1,Table2[Dias no laborales]),E454)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Row],[CORREO]],1,Table2[Dias no laborales]),E455)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Row],[CORREO]],1,Table2[Dias no laborales]),E456)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Row],[CORREO]],1,Table2[Dias no laborales]),E457)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Row],[CORREO]],1,Table2[Dias no laborales]),E458)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Row],[CORREO]],1,Table2[Dias no laborales]),E459)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Row],[CORREO]],1,Table2[Dias no laborales]),E460)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Row],[CORREO]],1,Table2[Dias no laborales]),E461)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Row],[CORREO]],1,Table2[Dias no laborales]),E462)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Row],[CORREO]],1,Table2[Dias no laborales]),E463)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Row],[CORREO]],1,Table2[Dias no laborales]),E464)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Row],[CORREO]],1,Table2[Dias no laborales]),E465)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Row],[CORREO]],1,Table2[Dias no laborales]),E466)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Row],[CORREO]],1,Table2[Dias no laborales]),E467)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Row],[CORREO]],1,Table2[Dias no laborales]),E468)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Row],[CORREO]],1,Table2[Dias no laborales]),E469)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Row],[CORREO]],1,Table2[Dias no laborales]),E470)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Row],[CORREO]],1,Table2[Dias no laborales]),E471)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Row],[CORREO]],1,Table2[Dias no laborales]),E472)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Row],[CORREO]],1,Table2[Dias no laborales]),E473)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Row],[CORREO]],1,Table2[Dias no laborales]),E474)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Row],[CORREO]],1,Table2[Dias no laborales]),E475)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Row],[CORREO]],1,Table2[Dias no laborales]),E476)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Row],[CORREO]],1,Table2[Dias no laborales]),E477)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Row],[CORREO]],1,Table2[Dias no laborales]),E478)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Row],[CORREO]],1,Table2[Dias no laborales]),E479)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Row],[CORREO]],1,Table2[Dias no laborales]),E480)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Row],[CORREO]],1,Table2[Dias no laborales]),E481)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Row],[CORREO]],1,Table2[Dias no laborales]),E482)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Row],[CORREO]],1,Table2[Dias no laborales]),E483)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Row],[CORREO]],1,Table2[Dias no laborales]),E484)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Row],[CORREO]],1,Table2[Dias no laborales]),E485)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Row],[CORREO]],1,Table2[Dias no laborales]),E486)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Row],[CORREO]],1,Table2[Dias no laborales]),E487)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Row],[CORREO]],1,Table2[Dias no laborales]),E488)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Row],[CORREO]],1,Table2[Dias no laborales]),E489)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Row],[CORREO]],1,Table2[Dias no laborales]),E490)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Row],[CORREO]],1,Table2[Dias no laborales]),E491)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Row],[CORREO]],1,Table2[Dias no laborales]),E492)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Row],[CORREO]],1,Table2[Dias no laborales]),E493)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Row],[CORREO]],1,Table2[Dias no laborales]),E494)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Row],[CORREO]],1,Table2[Dias no laborales]),E495)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Row],[CORREO]],1,Table2[Dias no laborales]),E496)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Row],[CORREO]],1,Table2[Dias no laborales]),E497)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Row],[CORREO]],1,Table2[Dias no laborales]),E498)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Row],[CORREO]],1,Table2[Dias no laborales]),E499)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Row],[CORREO]],1,Table2[Dias no laborales]),E500)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Row],[CORREO]],1,Table2[Dias no laborales]),E501)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Row],[CORREO]],1,Table2[Dias no laborales]),E502)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Row],[CORREO]],1,Table2[Dias no laborales]),E503)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Row],[CORREO]],1,Table2[Dias no laborales]),E504)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Row],[CORREO]],1,Table2[Dias no laborales]),E505)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Row],[CORREO]],1,Table2[Dias no laborales]),E506)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Row],[CORREO]],1,Table2[Dias no laborales]),E507)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Row],[CORREO]],1,Table2[Dias no laborales]),E508)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Row],[CORREO]],1,Table2[Dias no laborales]),E509)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Row],[CORREO]],1,Table2[Dias no laborales]),E510)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Row],[CORREO]],1,Table2[Dias no laborales]),E511)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Row],[CORREO]],1,Table2[Dias no laborales]),E512)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Row],[CORREO]],1,Table2[Dias no laborales]),E513)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Row],[CORREO]],1,Table2[Dias no laborales]),E514)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Row],[CORREO]],1,Table2[Dias no laborales]),E515)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Row],[CORREO]],1,Table2[Dias no laborales]),E516)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Row],[CORREO]],1,Table2[Dias no laborales]),E517)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Row],[CORREO]],1,Table2[Dias no laborales]),E518)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Row],[CORREO]],1,Table2[Dias no laborales]),E519)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Row],[CORREO]],1,Table2[Dias no laborales]),E520)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Row],[CORREO]],1,Table2[Dias no laborales]),E521)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Row],[CORREO]],1,Table2[Dias no laborales]),E522)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Row],[CORREO]],1,Table2[Dias no laborales]),E523)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Row],[CORREO]],1,Table2[Dias no laborales]),E524)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Row],[CORREO]],1,Table2[Dias no laborales]),E525)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Row],[CORREO]],1,Table2[Dias no laborales]),E526)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Row],[CORREO]],1,Table2[Dias no laborales]),E527)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Row],[CORREO]],1,Table2[Dias no laborales]),E528)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Row],[CORREO]],1,Table2[Dias no laborales]),E529)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Row],[CORREO]],1,Table2[Dias no laborales]),E530)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Row],[CORREO]],1,Table2[Dias no laborales]),E531)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Row],[CORREO]],1,Table2[Dias no laborales]),E532)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Row],[CORREO]],1,Table2[Dias no laborales]),E533)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Row],[CORREO]],1,Table2[Dias no laborales]),E534)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Row],[CORREO]],1,Table2[Dias no laborales]),E535)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Row],[CORREO]],1,Table2[Dias no laborales]),E536)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Row],[CORREO]],1,Table2[Dias no laborales]),E537)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Row],[CORREO]],1,Table2[Dias no laborales]),E538)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Row],[CORREO]],1,Table2[Dias no laborales]),E539)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Row],[CORREO]],1,Table2[Dias no laborales]),E540)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Row],[CORREO]],1,Table2[Dias no laborales]),E541)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Row],[CORREO]],1,Table2[Dias no laborales]),E542)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Row],[CORREO]],1,Table2[Dias no laborales]),E543)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Row],[CORREO]],1,Table2[Dias no laborales]),E544)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Row],[CORREO]],1,Table2[Dias no laborales]),E545)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Row],[CORREO]],1,Table2[Dias no laborales]),E546)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Row],[CORREO]],1,Table2[Dias no laborales]),E547)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Row],[CORREO]],1,Table2[Dias no laborales]),E548)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Row],[CORREO]],1,Table2[Dias no laborales]),E549)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Row],[CORREO]],1,Table2[Dias no laborales]),E550)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Row],[CORREO]],1,Table2[Dias no laborales]),E551)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Row],[CORREO]],1,Table2[Dias no laborales]),E552)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Row],[CORREO]],1,Table2[Dias no laborales]),E553)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Row],[CORREO]],1,Table2[Dias no laborales]),E554)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Row],[CORREO]],1,Table2[Dias no laborales]),E555)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Row],[CORREO]],1,Table2[Dias no laborales]),E556)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Row],[CORREO]],1,Table2[Dias no laborales]),E557)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Row],[CORREO]],1,Table2[Dias no laborales]),E558)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Row],[CORREO]],1,Table2[Dias no laborales]),E559)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Row],[CORREO]],1,Table2[Dias no laborales]),E560)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Row],[CORREO]],1,Table2[Dias no laborales]),E561)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Row],[CORREO]],1,Table2[Dias no laborales]),E562)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Row],[CORREO]],1,Table2[Dias no laborales]),E563)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Row],[CORREO]],1,Table2[Dias no laborales]),E564)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Row],[CORREO]],1,Table2[Dias no laborales]),E565)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Row],[CORREO]],1,Table2[Dias no laborales]),E566)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Row],[CORREO]],1,Table2[Dias no laborales]),E567)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Row],[CORREO]],1,Table2[Dias no laborales]),E568)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Row],[CORREO]],1,Table2[Dias no laborales]),E569)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Row],[CORREO]],1,Table2[Dias no laborales]),E570)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Row],[CORREO]],1,Table2[Dias no laborales]),E571)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Row],[CORREO]],1,Table2[Dias no laborales]),E572)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Row],[CORREO]],1,Table2[Dias no laborales]),E573)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Row],[CORREO]],1,Table2[Dias no laborales]),E574)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Row],[CORREO]],1,Table2[Dias no laborales]),E575)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Row],[CORREO]],1,Table2[Dias no laborales]),E576)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Row],[CORREO]],1,Table2[Dias no laborales]),E577)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Row],[CORREO]],1,Table2[Dias no laborales]),E578)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Row],[CORREO]],1,Table2[Dias no laborales]),E579)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Row],[CORREO]],1,Table2[Dias no laborales]),E580)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Row],[CORREO]],1,Table2[Dias no laborales]),E581)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Row],[CORREO]],1,Table2[Dias no laborales]),E582)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Row],[CORREO]],1,Table2[Dias no laborales]),E583)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Row],[CORREO]],1,Table2[Dias no laborales]),E584)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Row],[CORREO]],1,Table2[Dias no laborales]),E585)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Row],[CORREO]],1,Table2[Dias no laborales]),E586)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Row],[CORREO]],1,Table2[Dias no laborales]),E587)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Row],[CORREO]],1,Table2[Dias no laborales]),E588)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Row],[CORREO]],1,Table2[Dias no laborales]),E589)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Row],[CORREO]],1,Table2[Dias no laborales]),E590)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Row],[CORREO]],1,Table2[Dias no laborales]),E591)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Row],[CORREO]],1,Table2[Dias no laborales]),E592)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Row],[CORREO]],1,Table2[Dias no laborales]),E593)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Row],[CORREO]],1,Table2[Dias no laborales]),E594)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Row],[CORREO]],1,Table2[Dias no laborales]),E595)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Row],[CORREO]],1,Table2[Dias no laborales]),E596)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Row],[CORREO]],1,Table2[Dias no laborales]),E597)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Row],[CORREO]],1,Table2[Dias no laborales]),E598)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Row],[CORREO]],1,Table2[Dias no laborales]),E599)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Row],[CORREO]],1,Table2[Dias no laborales]),E600)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Row],[CORREO]],1,Table2[Dias no laborales]),E601)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Row],[CORREO]],1,Table2[Dias no laborales]),E602)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Row],[CORREO]],1,Table2[Dias no laborales]),E603)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Row],[CORREO]],1,Table2[Dias no laborales]),E604)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Row],[CORREO]],1,Table2[Dias no laborales]),E605)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Row],[CORREO]],1,Table2[Dias no laborales]),E606)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Row],[CORREO]],1,Table2[Dias no laborales]),E607)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Row],[CORREO]],1,Table2[Dias no laborales]),E608)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Row],[CORREO]],1,Table2[Dias no laborales]),E609)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Row],[CORREO]],1,Table2[Dias no laborales]),E610)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Row],[CORREO]],1,Table2[Dias no laborales]),E611)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Row],[CORREO]],1,Table2[Dias no laborales]),E612)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Row],[CORREO]],1,Table2[Dias no laborales]),E613)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Row],[CORREO]],1,Table2[Dias no laborales]),E614)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Row],[CORREO]],1,Table2[Dias no laborales]),E615)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Row],[CORREO]],1,Table2[Dias no laborales]),E616)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Row],[CORREO]],1,Table2[Dias no laborales]),E617)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Row],[CORREO]],1,Table2[Dias no laborales]),E618)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Row],[CORREO]],1,Table2[Dias no laborales]),E619)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Row],[CORREO]],1,Table2[Dias no laborales]),E620)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Row],[CORREO]],1,Table2[Dias no laborales]),E621)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Row],[CORREO]],1,Table2[Dias no laborales]),E622)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Row],[CORREO]],1,Table2[Dias no laborales]),E623)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Row],[CORREO]],1,Table2[Dias no laborales]),E624)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Row],[CORREO]],1,Table2[Dias no laborales]),E625)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Row],[CORREO]],1,Table2[Dias no laborales]),E626)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Row],[CORREO]],1,Table2[Dias no laborales]),E627)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Row],[CORREO]],1,Table2[Dias no laborales]),E628)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Row],[CORREO]],1,Table2[Dias no laborales]),E629)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Row],[CORREO]],1,Table2[Dias no laborales]),E630)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Row],[CORREO]],1,Table2[Dias no laborales]),E631)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Row],[CORREO]],1,Table2[Dias no laborales]),E632)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Row],[CORREO]],1,Table2[Dias no laborales]),E633)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Row],[CORREO]],1,Table2[Dias no laborales]),E634)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Row],[CORREO]],1,Table2[Dias no laborales]),E635)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Row],[CORREO]],1,Table2[Dias no laborales]),E636)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Row],[CORREO]],1,Table2[Dias no laborales]),E637)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Row],[CORREO]],1,Table2[Dias no laborales]),E638)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Row],[CORREO]],1,Table2[Dias no laborales]),E639)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Row],[CORREO]],1,Table2[Dias no laborales]),E640)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Row],[CORREO]],1,Table2[Dias no laborales]),E641)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Row],[CORREO]],1,Table2[Dias no laborales]),E642)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Row],[CORREO]],1,Table2[Dias no laborales]),E643)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Row],[CORREO]],1,Table2[Dias no laborales]),E644)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Row],[CORREO]],1,Table2[Dias no laborales]),E645)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Row],[CORREO]],1,Table2[Dias no laborales]),E646)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Row],[CORREO]],1,Table2[Dias no laborales]),E647)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Row],[CORREO]],1,Table2[Dias no laborales]),E648)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Row],[CORREO]],1,Table2[Dias no laborales]),E649)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Row],[CORREO]],1,Table2[Dias no laborales]),E650)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Row],[CORREO]],1,Table2[Dias no laborales]),E651)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Row],[CORREO]],1,Table2[Dias no laborales]),E652)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Row],[CORREO]],1,Table2[Dias no laborales]),E653)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Row],[CORREO]],1,Table2[Dias no laborales]),E654)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Row],[CORREO]],1,Table2[Dias no laborales]),E655)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Row],[CORREO]],1,Table2[Dias no laborales]),E656)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Row],[CORREO]],1,Table2[Dias no laborales]),E657)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Row],[CORREO]],1,Table2[Dias no laborales]),E658)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Row],[CORREO]],1,Table2[Dias no laborales]),E659)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Row],[CORREO]],1,Table2[Dias no laborales]),E660)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Row],[CORREO]],1,Table2[Dias no laborales]),E661)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Row],[CORREO]],1,Table2[Dias no laborales]),E662)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Row],[CORREO]],1,Table2[Dias no laborales]),E663)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Row],[CORREO]],1,Table2[Dias no laborales]),E664)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Row],[CORREO]],1,Table2[Dias no laborales]),E665)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Row],[CORREO]],1,Table2[Dias no laborales]),E666)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Row],[CORREO]],1,Table2[Dias no laborales]),E667)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Row],[CORREO]],1,Table2[Dias no laborales]),E668)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Row],[CORREO]],1,Table2[Dias no laborales]),E669)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Row],[CORREO]],1,Table2[Dias no laborales]),E670)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Row],[CORREO]],1,Table2[Dias no laborales]),E671)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Row],[CORREO]],1,Table2[Dias no laborales]),E672)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Row],[CORREO]],1,Table2[Dias no laborales]),E673)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Row],[CORREO]],1,Table2[Dias no laborales]),E674)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Row],[CORREO]],1,Table2[Dias no laborales]),E675)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Row],[CORREO]],1,Table2[Dias no laborales]),E676)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Row],[CORREO]],1,Table2[Dias no laborales]),E677)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Row],[CORREO]],1,Table2[Dias no laborales]),E678)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Row],[CORREO]],1,Table2[Dias no laborales]),E679)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Row],[CORREO]],1,Table2[Dias no laborales]),E680)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Row],[CORREO]],1,Table2[Dias no laborales]),E681)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Row],[CORREO]],1,Table2[Dias no laborales]),E682)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Row],[CORREO]],1,Table2[Dias no laborales]),E683)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Row],[CORREO]],1,Table2[Dias no laborales]),E684)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Row],[CORREO]],1,Table2[Dias no laborales]),E685)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Row],[CORREO]],1,Table2[Dias no laborales]),E686)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Row],[CORREO]],1,Table2[Dias no laborales]),E687)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Row],[CORREO]],1,Table2[Dias no laborales]),E688)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Row],[CORREO]],1,Table2[Dias no laborales]),E689)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Row],[CORREO]],1,Table2[Dias no laborales]),E690)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Row],[CORREO]],1,Table2[Dias no laborales]),E691)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Row],[CORREO]],1,Table2[Dias no laborales]),E692)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Row],[CORREO]],1,Table2[Dias no laborales]),E693)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Row],[CORREO]],1,Table2[Dias no laborales]),E694)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Row],[CORREO]],1,Table2[Dias no laborales]),E695)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Row],[CORREO]],1,Table2[Dias no laborales]),E696)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Row],[CORREO]],1,Table2[Dias no laborales]),E697)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Row],[CORREO]],1,Table2[Dias no laborales]),E698)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Row],[CORREO]],1,Table2[Dias no laborales]),E699)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Row],[CORREO]],1,Table2[Dias no laborales]),E700)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Row],[CORREO]],1,Table2[Dias no laborales]),E701)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Row],[CORREO]],1,Table2[Dias no laborales]),E702)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Row],[CORREO]],1,Table2[Dias no laborales]),E703)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Row],[CORREO]],1,Table2[Dias no laborales]),E704)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Row],[CORREO]],1,Table2[Dias no laborales]),E705)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Row],[CORREO]],1,Table2[Dias no laborales]),E706)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Row],[CORREO]],1,Table2[Dias no laborales]),E707)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Row],[CORREO]],1,Table2[Dias no laborales]),E708)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Row],[CORREO]],1,Table2[Dias no laborales]),E709)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Row],[CORREO]],1,Table2[Dias no laborales]),E710)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Row],[CORREO]],1,Table2[Dias no laborales]),E711)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Row],[CORREO]],1,Table2[Dias no laborales]),E712)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Row],[CORREO]],1,Table2[Dias no laborales]),E713)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Row],[CORREO]],1,Table2[Dias no laborales]),E714)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Row],[CORREO]],1,Table2[Dias no laborales]),E715)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Row],[CORREO]],1,Table2[Dias no laborales]),E716)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Row],[CORREO]],1,Table2[Dias no laborales]),E717)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Row],[CORREO]],1,Table2[Dias no laborales]),E718)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Row],[CORREO]],1,Table2[Dias no laborales]),E719)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Row],[CORREO]],1,Table2[Dias no laborales]),E720)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Row],[CORREO]],1,Table2[Dias no laborales]),E721)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Row],[CORREO]],1,Table2[Dias no laborales]),E722)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Row],[CORREO]],1,Table2[Dias no laborales]),E723)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Row],[CORREO]],1,Table2[Dias no laborales]),E724)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Row],[CORREO]],1,Table2[Dias no laborales]),E725)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Row],[CORREO]],1,Table2[Dias no laborales]),E726)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Row],[CORREO]],1,Table2[Dias no laborales]),E727)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Row],[CORREO]],1,Table2[Dias no laborales]),E728)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Row],[CORREO]],1,Table2[Dias no laborales]),E729)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Row],[CORREO]],1,Table2[Dias no laborales]),E730)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Row],[CORREO]],1,Table2[Dias no laborales]),E731)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Row],[CORREO]],1,Table2[Dias no laborales]),E732)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Row],[CORREO]],1,Table2[Dias no laborales]),E733)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Row],[CORREO]],1,Table2[Dias no laborales]),E734)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Row],[CORREO]],1,Table2[Dias no laborales]),E735)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Row],[CORREO]],1,Table2[Dias no laborales]),E736)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Row],[CORREO]],1,Table2[Dias no laborales]),E737)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Row],[CORREO]],1,Table2[Dias no laborales]),E738)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Row],[CORREO]],1,Table2[Dias no laborales]),E739)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Row],[CORREO]],1,Table2[Dias no laborales]),E740)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Row],[CORREO]],1,Table2[Dias no laborales]),E741)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Row],[CORREO]],1,Table2[Dias no laborales]),E742)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Row],[CORREO]],1,Table2[Dias no laborales]),E743)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Row],[CORREO]],1,Table2[Dias no laborales]),E744)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Row],[CORREO]],1,Table2[Dias no laborales]),E745)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Row],[CORREO]],1,Table2[Dias no laborales]),E746)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Row],[CORREO]],1,Table2[Dias no laborales]),E747)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Row],[CORREO]],1,Table2[Dias no laborales]),E748)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Row],[CORREO]],1,Table2[Dias no laborales]),E749)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Row],[CORREO]],1,Table2[Dias no laborales]),E750)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Row],[CORREO]],1,Table2[Dias no laborales]),E751)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Row],[CORREO]],1,Table2[Dias no laborales]),E752)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Row],[CORREO]],1,Table2[Dias no laborales]),E753)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Row],[CORREO]],1,Table2[Dias no laborales]),E754)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Row],[CORREO]],1,Table2[Dias no laborales]),E755)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Row],[CORREO]],1,Table2[Dias no laborales]),E756)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Row],[CORREO]],1,Table2[Dias no laborales]),E757)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Row],[CORREO]],1,Table2[Dias no laborales]),E758)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Row],[CORREO]],1,Table2[Dias no laborales]),E759)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Row],[CORREO]],1,Table2[Dias no laborales]),E760)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Row],[CORREO]],1,Table2[Dias no laborales]),E761)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Row],[CORREO]],1,Table2[Dias no laborales]),E762)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Row],[CORREO]],1,Table2[Dias no laborales]),E763)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Row],[CORREO]],1,Table2[Dias no laborales]),E764)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Row],[CORREO]],1,Table2[Dias no laborales]),E765)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Row],[CORREO]],1,Table2[Dias no laborales]),E766)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Row],[CORREO]],1,Table2[Dias no laborales]),E767)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Row],[CORREO]],1,Table2[Dias no laborales]),E768)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Row],[CORREO]],1,Table2[Dias no laborales]),E769)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Row],[CORREO]],1,Table2[Dias no laborales]),E770)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Row],[CORREO]],1,Table2[Dias no laborales]),E771)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Row],[CORREO]],1,Table2[Dias no laborales]),E772)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Row],[CORREO]],1,Table2[Dias no laborales]),E773)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Row],[CORREO]],1,Table2[Dias no laborales]),E774)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Row],[CORREO]],1,Table2[Dias no laborales]),E775)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Row],[CORREO]],1,Table2[Dias no laborales]),E776)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Row],[CORREO]],1,Table2[Dias no laborales]),E777)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Row],[CORREO]],1,Table2[Dias no laborales]),E778)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Row],[CORREO]],1,Table2[Dias no laborales]),E779)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Row],[CORREO]],1,Table2[Dias no laborales]),E780)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Row],[CORREO]],1,Table2[Dias no laborales]),E781)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Row],[CORREO]],1,Table2[Dias no laborales]),E782)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Row],[CORREO]],1,Table2[Dias no laborales]),E783)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Row],[CORREO]],1,Table2[Dias no laborales]),E784)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Row],[CORREO]],1,Table2[Dias no laborales]),E785)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Row],[CORREO]],1,Table2[Dias no laborales]),E786)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Row],[CORREO]],1,Table2[Dias no laborales]),E787)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Row],[CORREO]],1,Table2[Dias no laborales]),E788)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Row],[CORREO]],1,Table2[Dias no laborales]),E789)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Row],[CORREO]],1,Table2[Dias no laborales]),E790)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Row],[CORREO]],1,Table2[Dias no laborales]),E791)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Row],[CORREO]],1,Table2[Dias no laborales]),E792)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Row],[CORREO]],1,Table2[Dias no laborales]),E793)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Row],[CORREO]],1,Table2[Dias no laborales]),E794)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Row],[CORREO]],1,Table2[Dias no laborales]),E795)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Row],[CORREO]],1,Table2[Dias no laborales]),E796)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Row],[CORREO]],1,Table2[Dias no laborales]),E797)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Row],[CORREO]],1,Table2[Dias no laborales]),E798)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Row],[CORREO]],1,Table2[Dias no laborales]),E799)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Row],[CORREO]],1,Table2[Dias no laborales]),E800)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Row],[CORREO]],1,Table2[Dias no laborales]),E801)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Row],[CORREO]],1,Table2[Dias no laborales]),E802)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Row],[CORREO]],1,Table2[Dias no laborales]),E803)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Row],[CORREO]],1,Table2[Dias no laborales]),E804)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Row],[CORREO]],1,Table2[Dias no laborales]),E805)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Row],[CORREO]],1,Table2[Dias no laborales]),E806)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Row],[CORREO]],1,Table2[Dias no laborales]),E807)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Row],[CORREO]],1,Table2[Dias no laborales]),E808)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Row],[CORREO]],1,Table2[Dias no laborales]),E809)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Row],[CORREO]],1,Table2[Dias no laborales]),E810)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Row],[CORREO]],1,Table2[Dias no laborales]),E811)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Row],[CORREO]],1,Table2[Dias no laborales]),E812)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Row],[CORREO]],1,Table2[Dias no laborales]),E813)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Row],[CORREO]],1,Table2[Dias no laborales]),E814)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Row],[CORREO]],1,Table2[Dias no laborales]),E815)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Row],[CORREO]],1,Table2[Dias no laborales]),E816)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Row],[CORREO]],1,Table2[Dias no laborales]),E817)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Row],[CORREO]],1,Table2[Dias no laborales]),E818)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Row],[CORREO]],1,Table2[Dias no laborales]),E819)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Row],[CORREO]],1,Table2[Dias no laborales]),E820)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Row],[CORREO]],1,Table2[Dias no laborales]),E821)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Row],[CORREO]],1,Table2[Dias no laborales]),E822)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Row],[CORREO]],1,Table2[Dias no laborales]),E823)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Row],[CORREO]],1,Table2[Dias no laborales]),E824)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Row],[CORREO]],1,Table2[Dias no laborales]),E825)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Row],[CORREO]],1,Table2[Dias no laborales]),E826)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Row],[CORREO]],1,Table2[Dias no laborales]),E827)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Row],[CORREO]],1,Table2[Dias no laborales]),E828)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Row],[CORREO]],1,Table2[Dias no laborales]),E829)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Row],[CORREO]],1,Table2[Dias no laborales]),E830)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Row],[CORREO]],1,Table2[Dias no laborales]),E831)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Row],[CORREO]],1,Table2[Dias no laborales]),E832)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Row],[CORREO]],1,Table2[Dias no laborales]),E833)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Row],[CORREO]],1,Table2[Dias no laborales]),E834)</f>
        <v>0</v>
      </c>
      <c r="G834" s="11">
        <v>46122</v>
      </c>
      <c r="H834" s="7">
        <f t="shared" ref="H834:H897" si="26">INT((A834-DATE(YEAR(A834),1,1))/7) + 1</f>
        <v>31</v>
      </c>
      <c r="I834" s="20">
        <f>MAX(1, NETWORKDAYS(A834, G834,Table2[Dias no laborales]))</f>
        <v>174</v>
      </c>
      <c r="J834" s="7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Row],[CORREO]],1,Table2[Dias no laborales]),E835)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Row],[CORREO]],1,Table2[Dias no laborales]),E836)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Row],[CORREO]],1,Table2[Dias no laborales]),E837)</f>
        <v>45868.374305555553</v>
      </c>
      <c r="G837" s="11">
        <v>46122</v>
      </c>
      <c r="H837" s="7">
        <f t="shared" si="26"/>
        <v>31</v>
      </c>
      <c r="I837" s="20">
        <f>MAX(1, NETWORKDAYS(A837, G837,Table2[Dias no laborales]))</f>
        <v>173</v>
      </c>
      <c r="J837" s="7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Row],[CORREO]],1,Table2[Dias no laborales]),E838)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Row],[CORREO]],1,Table2[Dias no laborales]),E839)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Row],[CORREO]],1,Table2[Dias no laborales]),E840)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Row],[CORREO]],1,Table2[Dias no laborales]),E841)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Row],[CORREO]],1,Table2[Dias no laborales]),E842)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Row],[CORREO]],1,Table2[Dias no laborales]),E843)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Row],[CORREO]],1,Table2[Dias no laborales]),E844)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Row],[CORREO]],1,Table2[Dias no laborales]),E845)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Row],[CORREO]],1,Table2[Dias no laborales]),E846)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Row],[CORREO]],1,Table2[Dias no laborales]),E847)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Row],[CORREO]],1,Table2[Dias no laborales]),E848)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Row],[CORREO]],1,Table2[Dias no laborales]),E849)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Row],[CORREO]],1,Table2[Dias no laborales]),E850)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Row],[CORREO]],1,Table2[Dias no laborales]),E851)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Row],[CORREO]],1,Table2[Dias no laborales]),E852)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Row],[CORREO]],1,Table2[Dias no laborales]),E853)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Row],[CORREO]],1,Table2[Dias no laborales]),E854)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Row],[CORREO]],1,Table2[Dias no laborales]),E855)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Row],[CORREO]],1,Table2[Dias no laborales]),E856)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Row],[CORREO]],1,Table2[Dias no laborales]),E857)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Row],[CORREO]],1,Table2[Dias no laborales]),E858)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Row],[CORREO]],1,Table2[Dias no laborales]),E859)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Row],[CORREO]],1,Table2[Dias no laborales]),E860)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Row],[CORREO]],1,Table2[Dias no laborales]),E861)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Row],[CORREO]],1,Table2[Dias no laborales]),E862)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Row],[CORREO]],1,Table2[Dias no laborales]),E863)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Row],[CORREO]],1,Table2[Dias no laborales]),E864)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Row],[CORREO]],1,Table2[Dias no laborales]),E865)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Row],[CORREO]],1,Table2[Dias no laborales]),E866)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Row],[CORREO]],1,Table2[Dias no laborales]),E867)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Row],[CORREO]],1,Table2[Dias no laborales]),E868)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Row],[CORREO]],1,Table2[Dias no laborales]),E869)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Row],[CORREO]],1,Table2[Dias no laborales]),E870)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Row],[CORREO]],1,Table2[Dias no laborales]),E871)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Row],[CORREO]],1,Table2[Dias no laborales]),E872)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Row],[CORREO]],1,Table2[Dias no laborales]),E873)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Row],[CORREO]],1,Table2[Dias no laborales]),E874)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Row],[CORREO]],1,Table2[Dias no laborales]),E875)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Row],[CORREO]],1,Table2[Dias no laborales]),E876)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Row],[CORREO]],1,Table2[Dias no laborales]),E877)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Row],[CORREO]],1,Table2[Dias no laborales]),E878)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Row],[CORREO]],1,Table2[Dias no laborales]),E879)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Row],[CORREO]],1,Table2[Dias no laborales]),E880)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Row],[CORREO]],1,Table2[Dias no laborales]),E881)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Row],[CORREO]],1,Table2[Dias no laborales]),E882)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Row],[CORREO]],1,Table2[Dias no laborales]),E883)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Row],[CORREO]],1,Table2[Dias no laborales]),E884)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Row],[CORREO]],1,Table2[Dias no laborales]),E885)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Row],[CORREO]],1,Table2[Dias no laborales]),E886)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Row],[CORREO]],1,Table2[Dias no laborales]),E887)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Row],[CORREO]],1,Table2[Dias no laborales]),E888)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Row],[CORREO]],1,Table2[Dias no laborales]),E889)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Row],[CORREO]],1,Table2[Dias no laborales]),E890)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Row],[CORREO]],1,Table2[Dias no laborales]),E891)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Row],[CORREO]],1,Table2[Dias no laborales]),E892)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Row],[CORREO]],1,Table2[Dias no laborales]),E893)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Row],[CORREO]],1,Table2[Dias no laborales]),E894)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Row],[CORREO]],1,Table2[Dias no laborales]),E895)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Row],[CORREO]],1,Table2[Dias no laborales]),E896)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Row],[CORREO]],1,Table2[Dias no laborales]),E897)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Row],[CORREO]],1,Table2[Dias no laborales]),E898)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Row],[CORREO]],1,Table2[Dias no laborales]),E899)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Row],[CORREO]],1,Table2[Dias no laborales]),E900)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Row],[CORREO]],1,Table2[Dias no laborales]),E901)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Row],[CORREO]],1,Table2[Dias no laborales]),E902)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Row],[CORREO]],1,Table2[Dias no laborales]),E903)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Row],[CORREO]],1,Table2[Dias no laborales]),E904)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Row],[CORREO]],1,Table2[Dias no laborales]),E905)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Row],[CORREO]],1,Table2[Dias no laborales]),E906)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Row],[CORREO]],1,Table2[Dias no laborales]),E907)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Row],[CORREO]],1,Table2[Dias no laborales]),E908)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Row],[CORREO]],1,Table2[Dias no laborales]),E909)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Row],[CORREO]],1,Table2[Dias no laborales]),E910)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Row],[CORREO]],1,Table2[Dias no laborales]),E911)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Row],[CORREO]],1,Table2[Dias no laborales]),E912)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Row],[CORREO]],1,Table2[Dias no laborales]),E913)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Row],[CORREO]],1,Table2[Dias no laborales]),E914)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Row],[CORREO]],1,Table2[Dias no laborales]),E915)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Row],[CORREO]],1,Table2[Dias no laborales]),E916)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Row],[CORREO]],1,Table2[Dias no laborales]),E917)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Row],[CORREO]],1,Table2[Dias no laborales]),E918)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Row],[CORREO]],1,Table2[Dias no laborales]),E919)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Row],[CORREO]],1,Table2[Dias no laborales]),E920)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Row],[CORREO]],1,Table2[Dias no laborales]),E921)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Row],[CORREO]],1,Table2[Dias no laborales]),E922)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Row],[CORREO]],1,Table2[Dias no laborales]),E923)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Row],[CORREO]],1,Table2[Dias no laborales]),E924)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Row],[CORREO]],1,Table2[Dias no laborales]),E925)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Row],[CORREO]],1,Table2[Dias no laborales]),E926)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Row],[CORREO]],1,Table2[Dias no laborales]),E927)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Row],[CORREO]],1,Table2[Dias no laborales]),E928)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Row],[CORREO]],1,Table2[Dias no laborales]),E929)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Row],[CORREO]],1,Table2[Dias no laborales]),E930)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Row],[CORREO]],1,Table2[Dias no laborales]),E931)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Row],[CORREO]],1,Table2[Dias no laborales]),E932)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Row],[CORREO]],1,Table2[Dias no laborales]),E933)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Row],[CORREO]],1,Table2[Dias no laborales]),E934)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Row],[CORREO]],1,Table2[Dias no laborales]),E935)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Row],[CORREO]],1,Table2[Dias no laborales]),E936)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Row],[CORREO]],1,Table2[Dias no laborales]),E937)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Row],[CORREO]],1,Table2[Dias no laborales]),E938)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Row],[CORREO]],1,Table2[Dias no laborales]),E939)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Row],[CORREO]],1,Table2[Dias no laborales]),E940)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Row],[CORREO]],1,Table2[Dias no laborales]),E941)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Row],[CORREO]],1,Table2[Dias no laborales]),E942)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Row],[CORREO]],1,Table2[Dias no laborales]),E943)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Row],[CORREO]],1,Table2[Dias no laborales]),E944)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Row],[CORREO]],1,Table2[Dias no laborales]),E945)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Row],[CORREO]],1,Table2[Dias no laborales]),E946)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Row],[CORREO]],1,Table2[Dias no laborales]),E947)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Row],[CORREO]],1,Table2[Dias no laborales]),E948)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Row],[CORREO]],1,Table2[Dias no laborales]),E949)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Row],[CORREO]],1,Table2[Dias no laborales]),E950)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Row],[CORREO]],1,Table2[Dias no laborales]),E951)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Row],[CORREO]],1,Table2[Dias no laborales]),E952)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Row],[CORREO]],1,Table2[Dias no laborales]),E953)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Row],[CORREO]],1,Table2[Dias no laborales]),E954)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Row],[CORREO]],1,Table2[Dias no laborales]),E955)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Row],[CORREO]],1,Table2[Dias no laborales]),E956)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Row],[CORREO]],1,Table2[Dias no laborales]),E957)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Row],[CORREO]],1,Table2[Dias no laborales]),E958)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Row],[CORREO]],1,Table2[Dias no laborales]),E959)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Row],[CORREO]],1,Table2[Dias no laborales]),E960)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Row],[CORREO]],1,Table2[Dias no laborales]),E961)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Row],[CORREO]],1,Table2[Dias no laborales]),E962)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Row],[CORREO]],1,Table2[Dias no laborales]),E963)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Row],[CORREO]],1,Table2[Dias no laborales]),E964)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Row],[CORREO]],1,Table2[Dias no laborales]),E965)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Row],[CORREO]],1,Table2[Dias no laborales]),E966)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Row],[CORREO]],1,Table2[Dias no laborales]),E967)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Row],[CORREO]],1,Table2[Dias no laborales]),E968)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Row],[CORREO]],1,Table2[Dias no laborales]),E969)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Row],[CORREO]],1,Table2[Dias no laborales]),E970)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Row],[CORREO]],1,Table2[Dias no laborales]),E971)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Row],[CORREO]],1,Table2[Dias no laborales]),E972)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Row],[CORREO]],1,Table2[Dias no laborales]),E973)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Row],[CORREO]],1,Table2[Dias no laborales]),E974)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Row],[CORREO]],1,Table2[Dias no laborales]),E975)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Row],[CORREO]],1,Table2[Dias no laborales]),E976)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Row],[CORREO]],1,Table2[Dias no laborales]),E977)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Row],[CORREO]],1,Table2[Dias no laborales]),E978)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Row],[CORREO]],1,Table2[Dias no laborales]),E979)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Row],[CORREO]],1,Table2[Dias no laborales]),E980)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Row],[CORREO]],1,Table2[Dias no laborales]),E981)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Row],[CORREO]],1,Table2[Dias no laborales]),E982)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Row],[CORREO]],1,Table2[Dias no laborales]),E983)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Row],[CORREO]],1,Table2[Dias no laborales]),E984)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Row],[CORREO]],1,Table2[Dias no laborales]),E985)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Row],[CORREO]],1,Table2[Dias no laborales]),E986)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Row],[CORREO]],1,Table2[Dias no laborales]),E987)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Row],[CORREO]],1,Table2[Dias no laborales]),E988)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Row],[CORREO]],1,Table2[Dias no laborales]),E989)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Row],[CORREO]],1,Table2[Dias no laborales]),E990)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Row],[CORREO]],1,Table2[Dias no laborales]),E991)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Row],[CORREO]],1,Table2[Dias no laborales]),E992)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Row],[CORREO]],1,Table2[Dias no laborales]),E993)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Row],[CORREO]],1,Table2[Dias no laborales]),E994)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Row],[CORREO]],1,Table2[Dias no laborales]),E995)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Row],[CORREO]],1,Table2[Dias no laborales]),E996)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Row],[CORREO]],1,Table2[Dias no laborales]),E997)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Row],[CORREO]],1,Table2[Dias no laborales]),E998)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Row],[CORREO]],1,Table2[Dias no laborales]),E999)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Row],[CORREO]],1,Table2[Dias no laborales]),E1000)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Row],[CORREO]],1,Table2[Dias no laborales]),E1001)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Row],[CORREO]],1,Table2[Dias no laborales]),E1002)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Row],[CORREO]],1,Table2[Dias no laborales]),E1003)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Row],[CORREO]],1,Table2[Dias no laborales]),E1004)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Row],[CORREO]],1,Table2[Dias no laborales]),E1005)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Row],[CORREO]],1,Table2[Dias no laborales]),E1006)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Row],[CORREO]],1,Table2[Dias no laborales]),E1007)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Row],[CORREO]],1,Table2[Dias no laborales]),E1008)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Row],[CORREO]],1,Table2[Dias no laborales]),E1009)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Row],[CORREO]],1,Table2[Dias no laborales]),E1010)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Row],[CORREO]],1,Table2[Dias no laborales]),E1011)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Row],[CORREO]],1,Table2[Dias no laborales]),E1012)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Row],[CORREO]],1,Table2[Dias no laborales]),E1013)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Row],[CORREO]],1,Table2[Dias no laborales]),E1014)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Row],[CORREO]],1,Table2[Dias no laborales]),E1015)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Row],[CORREO]],1,Table2[Dias no laborales]),E1016)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Row],[CORREO]],1,Table2[Dias no laborales]),E1017)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Row],[CORREO]],1,Table2[Dias no laborales]),E1018)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Row],[CORREO]],1,Table2[Dias no laborales]),E1019)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Row],[CORREO]],1,Table2[Dias no laborales]),E1020)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Row],[CORREO]],1,Table2[Dias no laborales]),E1021)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Row],[CORREO]],1,Table2[Dias no laborales]),E1022)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Row],[CORREO]],1,Table2[Dias no laborales]),E1023)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Row],[CORREO]],1,Table2[Dias no laborales]),E1024)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Row],[CORREO]],1,Table2[Dias no laborales]),E1025)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Row],[CORREO]],1,Table2[Dias no laborales]),E1026)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Row],[CORREO]],1,Table2[Dias no laborales]),E1027)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Row],[CORREO]],1,Table2[Dias no laborales]),E1028)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Row],[CORREO]],1,Table2[Dias no laborales]),E1029)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Row],[CORREO]],1,Table2[Dias no laborales]),E1030)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Row],[CORREO]],1,Table2[Dias no laborales]),E1031)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Row],[CORREO]],1,Table2[Dias no laborales]),E1032)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Row],[CORREO]],1,Table2[Dias no laborales]),E1033)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Row],[CORREO]],1,Table2[Dias no laborales]),E1034)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Row],[CORREO]],1,Table2[Dias no laborales]),E1035)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Row],[CORREO]],1,Table2[Dias no laborales]),E1036)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Row],[CORREO]],1,Table2[Dias no laborales]),E1037)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Row],[CORREO]],1,Table2[Dias no laborales]),E1038)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Row],[CORREO]],1,Table2[Dias no laborales]),E1039)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Row],[CORREO]],1,Table2[Dias no laborales]),E1040)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Row],[CORREO]],1,Table2[Dias no laborales]),E1041)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Row],[CORREO]],1,Table2[Dias no laborales]),E1042)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Row],[CORREO]],1,Table2[Dias no laborales]),E1043)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Row],[CORREO]],1,Table2[Dias no laborales]),E1044)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Row],[CORREO]],1,Table2[Dias no laborales]),E1045)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Row],[CORREO]],1,Table2[Dias no laborales]),E1046)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Row],[CORREO]],1,Table2[Dias no laborales]),E1047)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Row],[CORREO]],1,Table2[Dias no laborales]),E1048)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Row],[CORREO]],1,Table2[Dias no laborales]),E1049)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Row],[CORREO]],1,Table2[Dias no laborales]),E1050)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Row],[CORREO]],1,Table2[Dias no laborales]),E1051)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Row],[CORREO]],1,Table2[Dias no laborales]),E1052)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Row],[CORREO]],1,Table2[Dias no laborales]),E1053)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Row],[CORREO]],1,Table2[Dias no laborales]),E1054)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Row],[CORREO]],1,Table2[Dias no laborales]),E1055)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Row],[CORREO]],1,Table2[Dias no laborales]),E1056)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Row],[CORREO]],1,Table2[Dias no laborales]),E1057)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Row],[CORREO]],1,Table2[Dias no laborales]),E1058)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Row],[CORREO]],1,Table2[Dias no laborales]),E1059)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Row],[CORREO]],1,Table2[Dias no laborales]),E1060)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Row],[CORREO]],1,Table2[Dias no laborales]),E1061)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Row],[CORREO]],1,Table2[Dias no laborales]),E1062)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Row],[CORREO]],1,Table2[Dias no laborales]),E1063)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Row],[CORREO]],1,Table2[Dias no laborales]),E1064)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Row],[CORREO]],1,Table2[Dias no laborales]),E1065)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Row],[CORREO]],1,Table2[Dias no laborales]),E1066)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Row],[CORREO]],1,Table2[Dias no laborales]),E1067)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Row],[CORREO]],1,Table2[Dias no laborales]),E1068)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Row],[CORREO]],1,Table2[Dias no laborales]),E1069)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Row],[CORREO]],1,Table2[Dias no laborales]),E1070)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Row],[CORREO]],1,Table2[Dias no laborales]),E1071)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Row],[CORREO]],1,Table2[Dias no laborales]),E1072)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Row],[CORREO]],1,Table2[Dias no laborales]),E1073)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Row],[CORREO]],1,Table2[Dias no laborales]),E1074)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Row],[CORREO]],1,Table2[Dias no laborales]),E1075)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Row],[CORREO]],1,Table2[Dias no laborales]),E1076)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Row],[CORREO]],1,Table2[Dias no laborales]),E1077)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Row],[CORREO]],1,Table2[Dias no laborales]),E1078)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Row],[CORREO]],1,Table2[Dias no laborales]),E1079)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Row],[CORREO]],1,Table2[Dias no laborales]),E1080)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Row],[CORREO]],1,Table2[Dias no laborales]),E1081)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Row],[CORREO]],1,Table2[Dias no laborales]),E1082)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Row],[CORREO]],1,Table2[Dias no laborales]),E1083)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Row],[CORREO]],1,Table2[Dias no laborales]),E1084)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Row],[CORREO]],1,Table2[Dias no laborales]),E1085)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Row],[CORREO]],1,Table2[Dias no laborales]),E1086)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Row],[CORREO]],1,Table2[Dias no laborales]),E1087)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Row],[CORREO]],1,Table2[Dias no laborales]),E1088)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Row],[CORREO]],1,Table2[Dias no laborales]),E1089)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Row],[CORREO]],1,Table2[Dias no laborales]),E1090)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Row],[CORREO]],1,Table2[Dias no laborales]),E1091)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Row],[CORREO]],1,Table2[Dias no laborales]),E1092)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Row],[CORREO]],1,Table2[Dias no laborales]),E1093)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Row],[CORREO]],1,Table2[Dias no laborales]),E1094)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Row],[CORREO]],1,Table2[Dias no laborales]),E1095)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Row],[CORREO]],1,Table2[Dias no laborales]),E1096)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Row],[CORREO]],1,Table2[Dias no laborales]),E1097)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Row],[CORREO]],1,Table2[Dias no laborales]),E1098)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Row],[CORREO]],1,Table2[Dias no laborales]),E1099)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Row],[CORREO]],1,Table2[Dias no laborales]),E1100)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Row],[CORREO]],1,Table2[Dias no laborales]),E1101)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Row],[CORREO]],1,Table2[Dias no laborales]),E1102)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Row],[CORREO]],1,Table2[Dias no laborales]),E1103)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Row],[CORREO]],1,Table2[Dias no laborales]),E1104)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Row],[CORREO]],1,Table2[Dias no laborales]),E1105)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Row],[CORREO]],1,Table2[Dias no laborales]),E1106)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Row],[CORREO]],1,Table2[Dias no laborales]),E1107)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Row],[CORREO]],1,Table2[Dias no laborales]),E1108)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Row],[CORREO]],1,Table2[Dias no laborales]),E1109)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Row],[CORREO]],1,Table2[Dias no laborales]),E1110)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Row],[CORREO]],1,Table2[Dias no laborales]),E1111)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Row],[CORREO]],1,Table2[Dias no laborales]),E1112)</f>
        <v>0</v>
      </c>
      <c r="G1112" s="17">
        <v>46135</v>
      </c>
      <c r="H1112" s="7">
        <f t="shared" si="34"/>
        <v>42</v>
      </c>
      <c r="I1112" s="20">
        <f>MAX(1, NETWORKDAYS(A1112, G1112,Table2[Dias no laborales]))</f>
        <v>128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Row],[CORREO]],1,Table2[Dias no laborales]),E1113)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Row],[CORREO]],1,Table2[Dias no laborales]),E1114)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Row],[CORREO]],1,Table2[Dias no laborales]),E1115)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Row],[CORREO]],1,Table2[Dias no laborales]),E1116)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Row],[CORREO]],1,Table2[Dias no laborales]),E1117)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Row],[CORREO]],1,Table2[Dias no laborales]),E1118)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Row],[CORREO]],1,Table2[Dias no laborales]),E1119)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Row],[CORREO]],1,Table2[Dias no laborales]),E1120)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Row],[CORREO]],1,Table2[Dias no laborales]),E1121)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Row],[CORREO]],1,Table2[Dias no laborales]),E1122)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Row],[CORREO]],1,Table2[Dias no laborales]),E1123)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Row],[CORREO]],1,Table2[Dias no laborales]),E1124)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Row],[CORREO]],1,Table2[Dias no laborales]),E1125)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Row],[CORREO]],1,Table2[Dias no laborales]),E1126)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Row],[CORREO]],1,Table2[Dias no laborales]),E1127)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Row],[CORREO]],1,Table2[Dias no laborales]),E1128)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Row],[CORREO]],1,Table2[Dias no laborales]),E1129)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Row],[CORREO]],1,Table2[Dias no laborales]),E1130)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Row],[CORREO]],1,Table2[Dias no laborales]),E1131)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Row],[CORREO]],1,Table2[Dias no laborales]),E1132)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Row],[CORREO]],1,Table2[Dias no laborales]),E1133)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Row],[CORREO]],1,Table2[Dias no laborales]),E1134)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Row],[CORREO]],1,Table2[Dias no laborales]),E1135)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Row],[CORREO]],1,Table2[Dias no laborales]),E1136)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Row],[CORREO]],1,Table2[Dias no laborales]),E1137)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Row],[CORREO]],1,Table2[Dias no laborales]),E1138)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Row],[CORREO]],1,Table2[Dias no laborales]),E1139)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Row],[CORREO]],1,Table2[Dias no laborales]),E1140)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Row],[CORREO]],1,Table2[Dias no laborales]),E1141)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Row],[CORREO]],1,Table2[Dias no laborales]),E1142)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Row],[CORREO]],1,Table2[Dias no laborales]),E1143)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Row],[CORREO]],1,Table2[Dias no laborales]),E1144)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Row],[CORREO]],1,Table2[Dias no laborales]),E1145)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Row],[CORREO]],1,Table2[Dias no laborales]),E1146)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Row],[CORREO]],1,Table2[Dias no laborales]),E1147)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Row],[CORREO]],1,Table2[Dias no laborales]),E1148)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Row],[CORREO]],1,Table2[Dias no laborales]),E1149)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Row],[CORREO]],1,Table2[Dias no laborales]),E1150)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Row],[CORREO]],1,Table2[Dias no laborales]),E1151)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Row],[CORREO]],1,Table2[Dias no laborales]),E1152)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Row],[CORREO]],1,Table2[Dias no laborales]),E1153)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Row],[CORREO]],1,Table2[Dias no laborales]),E1154)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Row],[CORREO]],1,Table2[Dias no laborales]),E1155)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Row],[CORREO]],1,Table2[Dias no laborales]),E1156)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Row],[CORREO]],1,Table2[Dias no laborales]),E1157)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Row],[CORREO]],1,Table2[Dias no laborales]),E1158)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Row],[CORREO]],1,Table2[Dias no laborales]),E1159)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Row],[CORREO]],1,Table2[Dias no laborales]),E1160)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Row],[CORREO]],1,Table2[Dias no laborales]),E1161)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Row],[CORREO]],1,Table2[Dias no laborales]),E1162)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Row],[CORREO]],1,Table2[Dias no laborales]),E1163)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Row],[CORREO]],1,Table2[Dias no laborales]),E1164)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Row],[CORREO]],1,Table2[Dias no laborales]),E1165)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Row],[CORREO]],1,Table2[Dias no laborales]),E1166)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Row],[CORREO]],1,Table2[Dias no laborales]),E1167)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Row],[CORREO]],1,Table2[Dias no laborales]),E1168)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Row],[CORREO]],1,Table2[Dias no laborales]),E1169)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Row],[CORREO]],1,Table2[Dias no laborales]),E1170)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Row],[CORREO]],1,Table2[Dias no laborales]),E1171)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Row],[CORREO]],1,Table2[Dias no laborales]),E1172)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Row],[CORREO]],1,Table2[Dias no laborales]),E1173)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Row],[CORREO]],1,Table2[Dias no laborales]),E1174)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Row],[CORREO]],1,Table2[Dias no laborales]),E1175)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Row],[CORREO]],1,Table2[Dias no laborales]),E1176)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Row],[CORREO]],1,Table2[Dias no laborales]),E1177)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Row],[CORREO]],1,Table2[Dias no laborales]),E1178)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Row],[CORREO]],1,Table2[Dias no laborales]),E1179)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Row],[CORREO]],1,Table2[Dias no laborales]),E1180)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Row],[CORREO]],1,Table2[Dias no laborales]),E1181)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Row],[CORREO]],1,Table2[Dias no laborales]),E1182)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Row],[CORREO]],1,Table2[Dias no laborales]),E1183)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Row],[CORREO]],1,Table2[Dias no laborales]),E1184)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Row],[CORREO]],1,Table2[Dias no laborales]),E1185)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Row],[CORREO]],1,Table2[Dias no laborales]),E1186)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Row],[CORREO]],1,Table2[Dias no laborales]),E1187)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Row],[CORREO]],1,Table2[Dias no laborales]),E1188)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Row],[CORREO]],1,Table2[Dias no laborales]),E1189)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Row],[CORREO]],1,Table2[Dias no laborales]),E1190)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Row],[CORREO]],1,Table2[Dias no laborales]),E1191)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Row],[CORREO]],1,Table2[Dias no laborales]),E1192)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Row],[CORREO]],1,Table2[Dias no laborales]),E1193)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Row],[CORREO]],1,Table2[Dias no laborales]),E1194)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Row],[CORREO]],1,Table2[Dias no laborales]),E1195)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Row],[CORREO]],1,Table2[Dias no laborales]),E1196)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Row],[CORREO]],1,Table2[Dias no laborales]),E1197)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Row],[CORREO]],1,Table2[Dias no laborales]),E1198)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Row],[CORREO]],1,Table2[Dias no laborales]),E1199)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Row],[CORREO]],1,Table2[Dias no laborales]),E1200)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Row],[CORREO]],1,Table2[Dias no laborales]),E1201)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Row],[CORREO]],1,Table2[Dias no laborales]),E1202)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Row],[CORREO]],1,Table2[Dias no laborales]),E1203)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Row],[CORREO]],1,Table2[Dias no laborales]),E1204)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Row],[CORREO]],1,Table2[Dias no laborales]),E1205)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Row],[CORREO]],1,Table2[Dias no laborales]),E1206)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Row],[CORREO]],1,Table2[Dias no laborales]),E1207)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Row],[CORREO]],1,Table2[Dias no laborales]),E1208)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Row],[CORREO]],1,Table2[Dias no laborales]),E1209)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Row],[CORREO]],1,Table2[Dias no laborales]),E1210)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Row],[CORREO]],1,Table2[Dias no laborales]),E1211)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Row],[CORREO]],1,Table2[Dias no laborales]),E1212)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Row],[CORREO]],1,Table2[Dias no laborales]),E1213)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Row],[CORREO]],1,Table2[Dias no laborales]),E1214)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Row],[CORREO]],1,Table2[Dias no laborales]),E1215)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Row],[CORREO]],1,Table2[Dias no laborales]),E1216)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Row],[CORREO]],1,Table2[Dias no laborales]),E1217)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Row],[CORREO]],1,Table2[Dias no laborales]),E1218)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Row],[CORREO]],1,Table2[Dias no laborales]),E1219)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Row],[CORREO]],1,Table2[Dias no laborales]),E1220)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Row],[CORREO]],1,Table2[Dias no laborales]),E1221)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Row],[CORREO]],1,Table2[Dias no laborales]),E1222)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Row],[CORREO]],1,Table2[Dias no laborales]),E1223)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Row],[CORREO]],1,Table2[Dias no laborales]),E1224)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Row],[CORREO]],1,Table2[Dias no laborales]),E1225)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Row],[CORREO]],1,Table2[Dias no laborales]),E1226)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Row],[CORREO]],1,Table2[Dias no laborales]),E1227)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Row],[CORREO]],1,Table2[Dias no laborales]),E1228)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Row],[CORREO]],1,Table2[Dias no laborales]),E1229)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Row],[CORREO]],1,Table2[Dias no laborales]),E1230)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Row],[CORREO]],1,Table2[Dias no laborales]),E1231)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Row],[CORREO]],1,Table2[Dias no laborales]),E1232)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Row],[CORREO]],1,Table2[Dias no laborales]),E1233)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Row],[CORREO]],1,Table2[Dias no laborales]),E1234)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Row],[CORREO]],1,Table2[Dias no laborales]),E1235)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Row],[CORREO]],1,Table2[Dias no laborales]),E1236)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Row],[CORREO]],1,Table2[Dias no laborales]),E1237)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Row],[CORREO]],1,Table2[Dias no laborales]),E1238)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Row],[CORREO]],1,Table2[Dias no laborales]),E1239)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Row],[CORREO]],1,Table2[Dias no laborales]),E1240)</f>
        <v>45979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A tiempo</v>
      </c>
      <c r="L1240" s="13">
        <v>45979</v>
      </c>
      <c r="M1240" s="22">
        <f>MAX(1,NETWORKDAYS(A1240,L1240,Table2[Dias no laborales]))</f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Row],[CORREO]],1,Table2[Dias no laborales]),E1241)</f>
        <v>45979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A tiempo</v>
      </c>
      <c r="L1241" s="13">
        <v>45979</v>
      </c>
      <c r="M1241" s="22">
        <f>MAX(1,NETWORKDAYS(A1241,L1241,Table2[Dias no laborales]))</f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Row],[CORREO]],1,Table2[Dias no laborales]),E1242)</f>
        <v>45979.404861111114</v>
      </c>
      <c r="G1242" s="17">
        <v>46132</v>
      </c>
      <c r="H1242" s="7">
        <f t="shared" si="39"/>
        <v>46</v>
      </c>
      <c r="I1242" s="20">
        <f>MAX(1, NETWORKDAYS(A1242, G1242,Table2[Dias no laborales]))</f>
        <v>102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Row],[CORREO]],1,Table2[Dias no laborales]),E1243)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Row],[CORREO]],1,Table2[Dias no laborales]),E1244)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Row],[CORREO]],1,Table2[Dias no laborales]),E1245)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Row],[CORREO]],1,Table2[Dias no laborales]),E1246)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Row],[CORREO]],1,Table2[Dias no laborales]),E1247)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Row],[CORREO]],1,Table2[Dias no laborales]),E1248)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Row],[CORREO]],1,Table2[Dias no laborales]),E1249)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Row],[CORREO]],1,Table2[Dias no laborales]),E1250)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Row],[CORREO]],1,Table2[Dias no laborales]),E1251)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Row],[CORREO]],1,Table2[Dias no laborales]),E1252)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Row],[CORREO]],1,Table2[Dias no laborales]),E1253)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Row],[CORREO]],1,Table2[Dias no laborales]),E1254)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Row],[CORREO]],1,Table2[Dias no laborales]),E1255)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Row],[CORREO]],1,Table2[Dias no laborales]),E1256)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Row],[CORREO]],1,Table2[Dias no laborales]),E1257)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Row],[CORREO]],1,Table2[Dias no laborales]),E1258)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Row],[CORREO]],1,Table2[Dias no laborales]),E1259)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Row],[CORREO]],1,Table2[Dias no laborales]),E1260)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Row],[CORREO]],1,Table2[Dias no laborales]),E1261)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Row],[CORREO]],1,Table2[Dias no laborales]),E1262)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Row],[CORREO]],1,Table2[Dias no laborales]),E1263)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Row],[CORREO]],1,Table2[Dias no laborales]),E1264)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Row],[CORREO]],1,Table2[Dias no laborales]),E1265)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Row],[CORREO]],1,Table2[Dias no laborales]),E1266)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Row],[CORREO]],1,Table2[Dias no laborales]),E1267)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Row],[CORREO]],1,Table2[Dias no laborales]),E1268)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Row],[CORREO]],1,Table2[Dias no laborales]),E1269)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Row],[CORREO]],1,Table2[Dias no laborales]),E1270)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Row],[CORREO]],1,Table2[Dias no laborales]),E1271)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Row],[CORREO]],1,Table2[Dias no laborales]),E1272)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Row],[CORREO]],1,Table2[Dias no laborales]),E1273)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Row],[CORREO]],1,Table2[Dias no laborales]),E1274)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Row],[CORREO]],1,Table2[Dias no laborales]),E1275)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Row],[CORREO]],1,Table2[Dias no laborales]),E1276)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Row],[CORREO]],1,Table2[Dias no laborales]),E1277)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Row],[CORREO]],1,Table2[Dias no laborales]),E1278)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Row],[CORREO]],1,Table2[Dias no laborales]),E1279)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Row],[CORREO]],1,Table2[Dias no laborales]),E1280)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Row],[CORREO]],1,Table2[Dias no laborales]),E1281)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Row],[CORREO]],1,Table2[Dias no laborales]),E1282)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Row],[CORREO]],1,Table2[Dias no laborales]),E1283)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Row],[CORREO]],1,Table2[Dias no laborales]),E1284)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Row],[CORREO]],1,Table2[Dias no laborales]),E1285)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Row],[CORREO]],1,Table2[Dias no laborales]),E1286)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Row],[CORREO]],1,Table2[Dias no laborales]),E1287)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Row],[CORREO]],1,Table2[Dias no laborales]),E1288)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Row],[CORREO]],1,Table2[Dias no laborales]),E1289)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Row],[CORREO]],1,Table2[Dias no laborales]),E1290)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Row],[CORREO]],1,Table2[Dias no laborales]),E1291)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Row],[CORREO]],1,Table2[Dias no laborales]),E1292)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Row],[CORREO]],1,Table2[Dias no laborales]),E1293)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Row],[CORREO]],1,Table2[Dias no laborales]),E1294)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Row],[CORREO]],1,Table2[Dias no laborales]),E1295)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Row],[CORREO]],1,Table2[Dias no laborales]),E1296)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Row],[CORREO]],1,Table2[Dias no laborales]),E1297)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Row],[CORREO]],1,Table2[Dias no laborales]),E1298)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Row],[CORREO]],1,Table2[Dias no laborales]),E1299)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Row],[CORREO]],1,Table2[Dias no laborales]),E1300)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Row],[CORREO]],1,Table2[Dias no laborales]),E1301)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Row],[CORREO]],1,Table2[Dias no laborales]),E1302)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Row],[CORREO]],1,Table2[Dias no laborales]),E1303)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Row],[CORREO]],1,Table2[Dias no laborales]),E1304)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Row],[CORREO]],1,Table2[Dias no laborales]),E1305)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Row],[CORREO]],1,Table2[Dias no laborales]),E1306)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Row],[CORREO]],1,Table2[Dias no laborales]),E1307)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Row],[CORREO]],1,Table2[Dias no laborales]),E1308)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Row],[CORREO]],1,Table2[Dias no laborales]),E1309)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Row],[CORREO]],1,Table2[Dias no laborales]),E1310)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Row],[CORREO]],1,Table2[Dias no laborales]),E1311)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Row],[CORREO]],1,Table2[Dias no laborales]),E1312)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Row],[CORREO]],1,Table2[Dias no laborales]),E1313)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Row],[CORREO]],1,Table2[Dias no laborales]),E1314)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Row],[CORREO]],1,Table2[Dias no laborales]),E1315)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Row],[CORREO]],1,Table2[Dias no laborales]),E1316)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Row],[CORREO]],1,Table2[Dias no laborales]),E1317)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Row],[CORREO]],1,Table2[Dias no laborales]),E1318)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Row],[CORREO]],1,Table2[Dias no laborales]),E1319)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Row],[CORREO]],1,Table2[Dias no laborales]),E1320)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Row],[CORREO]],1,Table2[Dias no laborales]),E1321)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Row],[CORREO]],1,Table2[Dias no laborales]),E1322)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Row],[CORREO]],1,Table2[Dias no laborales]),E1323)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Row],[CORREO]],1,Table2[Dias no laborales]),E1324)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Row],[CORREO]],1,Table2[Dias no laborales]),E1325)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Row],[CORREO]],1,Table2[Dias no laborales]),E1326)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Row],[CORREO]],1,Table2[Dias no laborales]),E1327)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Row],[CORREO]],1,Table2[Dias no laborales]),E1328)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Row],[CORREO]],1,Table2[Dias no laborales]),E1329)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Row],[CORREO]],1,Table2[Dias no laborales]),E1330)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Row],[CORREO]],1,Table2[Dias no laborales]),E1331)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Row],[CORREO]],1,Table2[Dias no laborales]),E1332)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Row],[CORREO]],1,Table2[Dias no laborales]),E1333)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Row],[CORREO]],1,Table2[Dias no laborales]),E1334)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Row],[CORREO]],1,Table2[Dias no laborales]),E1335)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Row],[CORREO]],1,Table2[Dias no laborales]),E1336)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Row],[CORREO]],1,Table2[Dias no laborales]),E1337)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Row],[CORREO]],1,Table2[Dias no laborales]),E1338)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Row],[CORREO]],1,Table2[Dias no laborales]),E1339)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Row],[CORREO]],1,Table2[Dias no laborales]),E1340)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Row],[CORREO]],1,Table2[Dias no laborales]),E1341)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Row],[CORREO]],1,Table2[Dias no laborales]),E1342)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Row],[CORREO]],1,Table2[Dias no laborales]),E1343)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Row],[CORREO]],1,Table2[Dias no laborales]),E1344)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Row],[CORREO]],1,Table2[Dias no laborales]),E1345)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255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Row],[CORREO]],1,Table2[Dias no laborales]),E1346)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Row],[CORREO]],1,Table2[Dias no laborales]),E1347)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Row],[CORREO]],1,Table2[Dias no laborales]),E1348)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Row],[CORREO]],1,Table2[Dias no laborales]),E1349)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Row],[CORREO]],1,Table2[Dias no laborales]),E1350)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Row],[CORREO]],1,Table2[Dias no laborales]),E1351)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Row],[CORREO]],1,Table2[Dias no laborales]),E1352)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Row],[CORREO]],1,Table2[Dias no laborales]),E1353)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Row],[CORREO]],1,Table2[Dias no laborales]),E1354)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Row],[CORREO]],1,Table2[Dias no laborales]),E1355)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Row],[CORREO]],1,Table2[Dias no laborales]),E1356)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Row],[CORREO]],1,Table2[Dias no laborales]),E1357)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Row],[CORREO]],1,Table2[Dias no laborales]),E1358)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254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Row],[CORREO]],1,Table2[Dias no laborales]),E1359)</f>
        <v>0</v>
      </c>
      <c r="G1359" s="11">
        <v>46122</v>
      </c>
      <c r="H1359" s="7">
        <f t="shared" si="45"/>
        <v>50</v>
      </c>
      <c r="I1359" s="20">
        <f>MAX(1, NETWORKDAYS(A1359, G1359,Table2[Dias no laborales]))</f>
        <v>79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Row],[CORREO]],1,Table2[Dias no laborales]),E1360)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Row],[CORREO]],1,Table2[Dias no laborales]),E1361)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Row],[CORREO]],1,Table2[Dias no laborales]),E1362)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Row],[CORREO]],1,Table2[Dias no laborales]),E1363)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Row],[CORREO]],1,Table2[Dias no laborales]),E1364)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Row],[CORREO]],1,Table2[Dias no laborales]),E1365)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Row],[CORREO]],1,Table2[Dias no laborales]),E1366)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Row],[CORREO]],1,Table2[Dias no laborales]),E1367)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Row],[CORREO]],1,Table2[Dias no laborales]),E1368)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Row],[CORREO]],1,Table2[Dias no laborales]),E1369)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Row],[CORREO]],1,Table2[Dias no laborales]),E1370)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Row],[CORREO]],1,Table2[Dias no laborales]),E1371)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Row],[CORREO]],1,Table2[Dias no laborales]),E1372)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Row],[CORREO]],1,Table2[Dias no laborales]),E1373)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Row],[CORREO]],1,Table2[Dias no laborales]),E1374)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Row],[CORREO]],1,Table2[Dias no laborales]),E1375)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Row],[CORREO]],1,Table2[Dias no laborales]),E1376)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Row],[CORREO]],1,Table2[Dias no laborales]),E1377)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Row],[CORREO]],1,Table2[Dias no laborales]),E1378)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Row],[CORREO]],1,Table2[Dias no laborales]),E1379)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Row],[CORREO]],1,Table2[Dias no laborales]),E1380)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Row],[CORREO]],1,Table2[Dias no laborales]),E1381)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Row],[CORREO]],1,Table2[Dias no laborales]),E1382)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Row],[CORREO]],1,Table2[Dias no laborales]),E1383)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Row],[CORREO]],1,Table2[Dias no laborales]),E1384)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Row],[CORREO]],1,Table2[Dias no laborales]),E1385)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Row],[CORREO]],1,Table2[Dias no laborales]),E1386)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Row],[CORREO]],1,Table2[Dias no laborales]),E1387)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Row],[CORREO]],1,Table2[Dias no laborales]),E1388)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Row],[CORREO]],1,Table2[Dias no laborales]),E1389)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Row],[CORREO]],1,Table2[Dias no laborales]),E1390)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Row],[CORREO]],1,Table2[Dias no laborales]),E1391)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Row],[CORREO]],1,Table2[Dias no laborales]),E1392)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Row],[CORREO]],1,Table2[Dias no laborales]),E1393)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Row],[CORREO]],1,Table2[Dias no laborales]),E1394)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Row],[CORREO]],1,Table2[Dias no laborales]),E1395)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Row],[CORREO]],1,Table2[Dias no laborales]),E1396)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Row],[CORREO]],1,Table2[Dias no laborales]),E1397)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Row],[CORREO]],1,Table2[Dias no laborales]),E1398)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Row],[CORREO]],1,Table2[Dias no laborales]),E1399)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Row],[CORREO]],1,Table2[Dias no laborales]),E1400)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Row],[CORREO]],1,Table2[Dias no laborales]),E1401)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Row],[CORREO]],1,Table2[Dias no laborales]),E1402)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Row],[CORREO]],1,Table2[Dias no laborales]),E1403)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Row],[CORREO]],1,Table2[Dias no laborales]),E1404)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Row],[CORREO]],1,Table2[Dias no laborales]),E1405)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Row],[CORREO]],1,Table2[Dias no laborales]),E1406)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Row],[CORREO]],1,Table2[Dias no laborales]),E1407)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Row],[CORREO]],1,Table2[Dias no laborales]),E1408)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Row],[CORREO]],1,Table2[Dias no laborales]),E1409)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Row],[CORREO]],1,Table2[Dias no laborales]),E1410)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Row],[CORREO]],1,Table2[Dias no laborales]),E1411)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Row],[CORREO]],1,Table2[Dias no laborales]),E1412)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Row],[CORREO]],1,Table2[Dias no laborales]),E1413)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Row],[CORREO]],1,Table2[Dias no laborales]),E1414)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Row],[CORREO]],1,Table2[Dias no laborales]),E1415)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Row],[CORREO]],1,Table2[Dias no laborales]),E1416)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Row],[CORREO]],1,Table2[Dias no laborales]),E1417)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Row],[CORREO]],1,Table2[Dias no laborales]),E1418)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Row],[CORREO]],1,Table2[Dias no laborales]),E1419)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Row],[CORREO]],1,Table2[Dias no laborales]),E1420)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Row],[CORREO]],1,Table2[Dias no laborales]),E1421)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Row],[CORREO]],1,Table2[Dias no laborales]),E1422)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Row],[CORREO]],1,Table2[Dias no laborales]),E1423)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Row],[CORREO]],1,Table2[Dias no laborales]),E1424)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Row],[CORREO]],1,Table2[Dias no laborales]),E1425)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Row],[CORREO]],1,Table2[Dias no laborales]),E1426)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Row],[CORREO]],1,Table2[Dias no laborales]),E1427)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Row],[CORREO]],1,Table2[Dias no laborales]),E1428)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Row],[CORREO]],1,Table2[Dias no laborales]),E1429)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Row],[CORREO]],1,Table2[Dias no laborales]),E1430)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Row],[CORREO]],1,Table2[Dias no laborales]),E1431)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Row],[CORREO]],1,Table2[Dias no laborales]),E1432)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Row],[CORREO]],1,Table2[Dias no laborales]),E1433)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Row],[CORREO]],1,Table2[Dias no laborales]),E1434)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Row],[CORREO]],1,Table2[Dias no laborales]),E1435)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Row],[CORREO]],1,Table2[Dias no laborales]),E1436)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Row],[CORREO]],1,Table2[Dias no laborales]),E1437)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Row],[CORREO]],1,Table2[Dias no laborales]),E1438)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Row],[CORREO]],1,Table2[Dias no laborales]),E1439)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Row],[CORREO]],1,Table2[Dias no laborales]),E1440)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Row],[CORREO]],1,Table2[Dias no laborales]),E1441)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Row],[CORREO]],1,Table2[Dias no laborales]),E1442)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Row],[CORREO]],1,Table2[Dias no laborales]),E1443)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Row],[CORREO]],1,Table2[Dias no laborales]),E1444)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Row],[CORREO]],1,Table2[Dias no laborales]),E1445)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Row],[CORREO]],1,Table2[Dias no laborales]),E1446)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Row],[CORREO]],1,Table2[Dias no laborales]),E1447)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Row],[CORREO]],1,Table2[Dias no laborales]),E1448)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Row],[CORREO]],1,Table2[Dias no laborales]),E1449)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Row],[CORREO]],1,Table2[Dias no laborales]),E1450)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Row],[CORREO]],1,Table2[Dias no laborales]),E1451)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Row],[CORREO]],1,Table2[Dias no laborales]),E1452)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Row],[CORREO]],1,Table2[Dias no laborales]),E1453)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Row],[CORREO]],1,Table2[Dias no laborales]),E1454)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Row],[CORREO]],1,Table2[Dias no laborales]),E1455)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Row],[CORREO]],1,Table2[Dias no laborales]),E1456)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Row],[CORREO]],1,Table2[Dias no laborales]),E1457)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Row],[CORREO]],1,Table2[Dias no laborales]),E1458)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Row],[CORREO]],1,Table2[Dias no laborales]),E1459)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Row],[CORREO]],1,Table2[Dias no laborales]),E1460)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Row],[CORREO]],1,Table2[Dias no laborales]),E1461)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Row],[CORREO]],1,Table2[Dias no laborales]),E1462)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Row],[CORREO]],1,Table2[Dias no laborales]),E1463)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Row],[CORREO]],1,Table2[Dias no laborales]),E1464)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Row],[CORREO]],1,Table2[Dias no laborales]),E1465)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Row],[CORREO]],1,Table2[Dias no laborales]),E1466)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Row],[CORREO]],1,Table2[Dias no laborales]),E1467)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Row],[CORREO]],1,Table2[Dias no laborales]),E1468)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Row],[CORREO]],1,Table2[Dias no laborales]),E1469)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Row],[CORREO]],1,Table2[Dias no laborales]),E1470)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Row],[CORREO]],1,Table2[Dias no laborales]),E1471)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Row],[CORREO]],1,Table2[Dias no laborales]),E1472)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Row],[CORREO]],1,Table2[Dias no laborales]),E1473)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Row],[CORREO]],1,Table2[Dias no laborales]),E1474)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Row],[CORREO]],1,Table2[Dias no laborales]),E1475)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Row],[CORREO]],1,Table2[Dias no laborales]),E1476)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Row],[CORREO]],1,Table2[Dias no laborales]),E1477)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Row],[CORREO]],1,Table2[Dias no laborales]),E1478)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Row],[CORREO]],1,Table2[Dias no laborales]),E1479)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Row],[CORREO]],1,Table2[Dias no laborales]),E1480)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Row],[CORREO]],1,Table2[Dias no laborales]),E1481)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Row],[CORREO]],1,Table2[Dias no laborales]),E1482)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Row],[CORREO]],1,Table2[Dias no laborales]),E1483)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Row],[CORREO]],1,Table2[Dias no laborales]),E1484)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Row],[CORREO]],1,Table2[Dias no laborales]),E1485)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Row],[CORREO]],1,Table2[Dias no laborales]),E1486)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Row],[CORREO]],1,Table2[Dias no laborales]),E1487)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Row],[CORREO]],1,Table2[Dias no laborales]),E1488)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Row],[CORREO]],1,Table2[Dias no laborales]),E1489)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Row],[CORREO]],1,Table2[Dias no laborales]),E1490)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Row],[CORREO]],1,Table2[Dias no laborales]),E1491)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Row],[CORREO]],1,Table2[Dias no laborales]),E1492)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Row],[CORREO]],1,Table2[Dias no laborales]),E1493)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Row],[CORREO]],1,Table2[Dias no laborales]),E1494)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Row],[CORREO]],1,Table2[Dias no laborales]),E1495)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Row],[CORREO]],1,Table2[Dias no laborales]),E1496)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Row],[CORREO]],1,Table2[Dias no laborales]),E1497)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Row],[CORREO]],1,Table2[Dias no laborales]),E1498)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Row],[CORREO]],1,Table2[Dias no laborales]),E1499)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Row],[CORREO]],1,Table2[Dias no laborales]),E1500)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Row],[CORREO]],1,Table2[Dias no laborales]),E1501)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Row],[CORREO]],1,Table2[Dias no laborales]),E1502)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Row],[CORREO]],1,Table2[Dias no laborales]),E1503)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Row],[CORREO]],1,Table2[Dias no laborales]),E1504)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Row],[CORREO]],1,Table2[Dias no laborales]),E1505)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Row],[CORREO]],1,Table2[Dias no laborales]),E1506)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Row],[CORREO]],1,Table2[Dias no laborales]),E1507)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Row],[CORREO]],1,Table2[Dias no laborales]),E1508)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Row],[CORREO]],1,Table2[Dias no laborales]),E1509)</f>
        <v>0</v>
      </c>
      <c r="G1509" s="11">
        <v>46122</v>
      </c>
      <c r="H1509" s="7">
        <f t="shared" si="49"/>
        <v>4</v>
      </c>
      <c r="I1509" s="20">
        <f>MAX(1, NETWORKDAYS(A1509, G1509,Table2[Dias no laborales]))</f>
        <v>49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Row],[CORREO]],1,Table2[Dias no laborales]),E1510)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Row],[CORREO]],1,Table2[Dias no laborales]),E1511)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Row],[CORREO]],1,Table2[Dias no laborales]),E1512)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Row],[CORREO]],1,Table2[Dias no laborales]),E1513)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Row],[CORREO]],1,Table2[Dias no laborales]),E1514)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Row],[CORREO]],1,Table2[Dias no laborales]),E1515)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Row],[CORREO]],1,Table2[Dias no laborales]),E1516)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Row],[CORREO]],1,Table2[Dias no laborales]),E1517)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Row],[CORREO]],1,Table2[Dias no laborales]),E1518)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Row],[CORREO]],1,Table2[Dias no laborales]),E1519)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Row],[CORREO]],1,Table2[Dias no laborales]),E1520)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Row],[CORREO]],1,Table2[Dias no laborales]),E1521)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Row],[CORREO]],1,Table2[Dias no laborales]),E1522)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Row],[CORREO]],1,Table2[Dias no laborales]),E1523)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Row],[CORREO]],1,Table2[Dias no laborales]),E1524)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Row],[CORREO]],1,Table2[Dias no laborales]),E1525)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Row],[CORREO]],1,Table2[Dias no laborales]),E1526)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Row],[CORREO]],1,Table2[Dias no laborales]),E1527)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Row],[CORREO]],1,Table2[Dias no laborales]),E1528)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Row],[CORREO]],1,Table2[Dias no laborales]),E1529)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Row],[CORREO]],1,Table2[Dias no laborales]),E1530)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Row],[CORREO]],1,Table2[Dias no laborales]),E1531)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Row],[CORREO]],1,Table2[Dias no laborales]),E1532)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Row],[CORREO]],1,Table2[Dias no laborales]),E1533)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Row],[CORREO]],1,Table2[Dias no laborales]),E1534)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Row],[CORREO]],1,Table2[Dias no laborales]),E1535)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Row],[CORREO]],1,Table2[Dias no laborales]),E1536)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Row],[CORREO]],1,Table2[Dias no laborales]),E1537)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Row],[CORREO]],1,Table2[Dias no laborales]),E1538)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Row],[CORREO]],1,Table2[Dias no laborales]),E1539)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Row],[CORREO]],1,Table2[Dias no laborales]),E1540)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Row],[CORREO]],1,Table2[Dias no laborales]),E1541)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Row],[CORREO]],1,Table2[Dias no laborales]),E1542)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Row],[CORREO]],1,Table2[Dias no laborales]),E1543)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Row],[CORREO]],1,Table2[Dias no laborales]),E1544)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Row],[CORREO]],1,Table2[Dias no laborales]),E1545)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Row],[CORREO]],1,Table2[Dias no laborales]),E1546)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Row],[CORREO]],1,Table2[Dias no laborales]),E1547)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Row],[CORREO]],1,Table2[Dias no laborales]),E1548)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Row],[CORREO]],1,Table2[Dias no laborales]),E1549)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Row],[CORREO]],1,Table2[Dias no laborales]),E1550)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Row],[CORREO]],1,Table2[Dias no laborales]),E1551)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Row],[CORREO]],1,Table2[Dias no laborales]),E1552)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Row],[CORREO]],1,Table2[Dias no laborales]),E1553)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Row],[CORREO]],1,Table2[Dias no laborales]),E1554)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Row],[CORREO]],1,Table2[Dias no laborales]),E1555)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Row],[CORREO]],1,Table2[Dias no laborales]),E1556)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Row],[CORREO]],1,Table2[Dias no laborales]),E1557)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Row],[CORREO]],1,Table2[Dias no laborales]),E1558)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Row],[CORREO]],1,Table2[Dias no laborales]),E1559)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Row],[CORREO]],1,Table2[Dias no laborales]),E1560)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Row],[CORREO]],1,Table2[Dias no laborales]),E1561)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Row],[CORREO]],1,Table2[Dias no laborales]),E1562)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Row],[CORREO]],1,Table2[Dias no laborales]),E1563)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Row],[CORREO]],1,Table2[Dias no laborales]),E1564)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Row],[CORREO]],1,Table2[Dias no laborales]),E1565)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Row],[CORREO]],1,Table2[Dias no laborales]),E1566)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Row],[CORREO]],1,Table2[Dias no laborales]),E1567)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Row],[CORREO]],1,Table2[Dias no laborales]),E1568)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Row],[CORREO]],1,Table2[Dias no laborales]),E1569)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Row],[CORREO]],1,Table2[Dias no laborales]),E1570)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Row],[CORREO]],1,Table2[Dias no laborales]),E1571)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Row],[CORREO]],1,Table2[Dias no laborales]),E1572)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Row],[CORREO]],1,Table2[Dias no laborales]),E1573)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Row],[CORREO]],1,Table2[Dias no laborales]),E1574)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Row],[CORREO]],1,Table2[Dias no laborales]),E1575)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Row],[CORREO]],1,Table2[Dias no laborales]),E1576)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Row],[CORREO]],1,Table2[Dias no laborales]),E1577)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Row],[CORREO]],1,Table2[Dias no laborales]),E1578)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Row],[CORREO]],1,Table2[Dias no laborales]),E1579)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Row],[CORREO]],1,Table2[Dias no laborales]),E1580)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Row],[CORREO]],1,Table2[Dias no laborales]),E1581)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Row],[CORREO]],1,Table2[Dias no laborales]),E1582)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Row],[CORREO]],1,Table2[Dias no laborales]),E1583)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Row],[CORREO]],1,Table2[Dias no laborales]),E1584)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Row],[CORREO]],1,Table2[Dias no laborales]),E1585)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Row],[CORREO]],1,Table2[Dias no laborales]),E1586)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Row],[CORREO]],1,Table2[Dias no laborales]),E1587)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Row],[CORREO]],1,Table2[Dias no laborales]),E1588)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Row],[CORREO]],1,Table2[Dias no laborales]),E1589)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Row],[CORREO]],1,Table2[Dias no laborales]),E1590)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Row],[CORREO]],1,Table2[Dias no laborales]),E1591)</f>
        <v>46064.456944444442</v>
      </c>
      <c r="G1591" s="11"/>
      <c r="H1591" s="7">
        <f t="shared" si="55"/>
        <v>6</v>
      </c>
      <c r="I1591" s="20">
        <f>MAX(1, NETWORKDAYS(A1591, G1591,Table2[Dias no laborales]))</f>
        <v>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Acumulado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Row],[CORREO]],1,Table2[Dias no laborales]),E1592)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Row],[CORREO]],1,Table2[Dias no laborales]),E1593)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Row],[CORREO]],1,Table2[Dias no laborales]),E1594)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Row],[CORREO]],1,Table2[Dias no laborales]),E1595)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Row],[CORREO]],1,Table2[Dias no laborales]),E1596)</f>
        <v>46065</v>
      </c>
      <c r="G1596" s="11">
        <v>46122</v>
      </c>
      <c r="H1596" s="7">
        <f t="shared" si="55"/>
        <v>7</v>
      </c>
      <c r="I1596" s="20">
        <f>MAX(1, NETWORKDAYS(A1596, G1596,Table2[Dias no laborales]))</f>
        <v>39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Row],[CORREO]],1,Table2[Dias no laborales]),E1597)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Row],[CORREO]],1,Table2[Dias no laborales]),E1598)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Row],[CORREO]],1,Table2[Dias no laborales]),E1599)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Row],[CORREO]],1,Table2[Dias no laborales]),E1600)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Row],[CORREO]],1,Table2[Dias no laborales]),E1601)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Row],[CORREO]],1,Table2[Dias no laborales]),E1602)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Row],[CORREO]],1,Table2[Dias no laborales]),E1603)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Row],[CORREO]],1,Table2[Dias no laborales]),E1604)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Row],[CORREO]],1,Table2[Dias no laborales]),E1605)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Row],[CORREO]],1,Table2[Dias no laborales]),E1606)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Row],[CORREO]],1,Table2[Dias no laborales]),E1607)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Row],[CORREO]],1,Table2[Dias no laborales]),E1608)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Row],[CORREO]],1,Table2[Dias no laborales]),E1609)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Row],[CORREO]],1,Table2[Dias no laborales]),E1610)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Row],[CORREO]],1,Table2[Dias no laborales]),E1611)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Row],[CORREO]],1,Table2[Dias no laborales]),E1612)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Row],[CORREO]],1,Table2[Dias no laborales]),E1613)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Row],[CORREO]],1,Table2[Dias no laborales]),E1614)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Row],[CORREO]],1,Table2[Dias no laborales]),E1615)</f>
        <v>0</v>
      </c>
      <c r="G1615" s="11">
        <v>46122</v>
      </c>
      <c r="H1615" s="7">
        <f t="shared" si="57"/>
        <v>7</v>
      </c>
      <c r="I1615" s="20">
        <f>MAX(1, NETWORKDAYS(A1615, G1615,Table2[Dias no laborales]))</f>
        <v>37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Row],[CORREO]],1,Table2[Dias no laborales]),E1616)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Row],[CORREO]],1,Table2[Dias no laborales]),E1617)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Row],[CORREO]],1,Table2[Dias no laborales]),E1618)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Row],[CORREO]],1,Table2[Dias no laborales]),E1619)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Row],[CORREO]],1,Table2[Dias no laborales]),E1620)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Row],[CORREO]],1,Table2[Dias no laborales]),E1621)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Row],[CORREO]],1,Table2[Dias no laborales]),E1622)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Row],[CORREO]],1,Table2[Dias no laborales]),E1623)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Row],[CORREO]],1,Table2[Dias no laborales]),E1624)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Row],[CORREO]],1,Table2[Dias no laborales]),E1625)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Row],[CORREO]],1,Table2[Dias no laborales]),E1626)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Row],[CORREO]],1,Table2[Dias no laborales]),E1627)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Row],[CORREO]],1,Table2[Dias no laborales]),E1628)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Row],[CORREO]],1,Table2[Dias no laborales]),E1629)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Row],[CORREO]],1,Table2[Dias no laborales]),E1630)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Row],[CORREO]],1,Table2[Dias no laborales]),E1631)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Row],[CORREO]],1,Table2[Dias no laborales]),E1632)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Row],[CORREO]],1,Table2[Dias no laborales]),E1633)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Row],[CORREO]],1,Table2[Dias no laborales]),E1634)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Row],[CORREO]],1,Table2[Dias no laborales]),E1635)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Row],[CORREO]],1,Table2[Dias no laborales]),E1636)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Row],[CORREO]],1,Table2[Dias no laborales]),E1637)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Row],[CORREO]],1,Table2[Dias no laborales]),E1638)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Row],[CORREO]],1,Table2[Dias no laborales]),E1639)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Row],[CORREO]],1,Table2[Dias no laborales]),E1640)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Row],[CORREO]],1,Table2[Dias no laborales]),E1641)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Row],[CORREO]],1,Table2[Dias no laborales]),E1642)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Row],[CORREO]],1,Table2[Dias no laborales]),E1643)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Row],[CORREO]],1,Table2[Dias no laborales]),E1644)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Row],[CORREO]],1,Table2[Dias no laborales]),E1645)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Row],[CORREO]],1,Table2[Dias no laborales]),E1646)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Row],[CORREO]],1,Table2[Dias no laborales]),E1647)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Row],[CORREO]],1,Table2[Dias no laborales]),E1648)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Row],[CORREO]],1,Table2[Dias no laborales]),E1649)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Row],[CORREO]],1,Table2[Dias no laborales]),E1650)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Row],[CORREO]],1,Table2[Dias no laborales]),E1651)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Row],[CORREO]],1,Table2[Dias no laborales]),E1652)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Row],[CORREO]],1,Table2[Dias no laborales]),E1653)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Row],[CORREO]],1,Table2[Dias no laborales]),E1654)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Row],[CORREO]],1,Table2[Dias no laborales]),E1655)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Row],[CORREO]],1,Table2[Dias no laborales]),E1656)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Row],[CORREO]],1,Table2[Dias no laborales]),E1657)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Row],[CORREO]],1,Table2[Dias no laborales]),E1658)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Row],[CORREO]],1,Table2[Dias no laborales]),E1659)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Row],[CORREO]],1,Table2[Dias no laborales]),E1660)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Row],[CORREO]],1,Table2[Dias no laborales]),E1661)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Row],[CORREO]],1,Table2[Dias no laborales]),E1662)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Row],[CORREO]],1,Table2[Dias no laborales]),E1663)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Row],[CORREO]],1,Table2[Dias no laborales]),E1664)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Row],[CORREO]],1,Table2[Dias no laborales]),E1665)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Row],[CORREO]],1,Table2[Dias no laborales]),E1666)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Row],[CORREO]],1,Table2[Dias no laborales]),E1667)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Row],[CORREO]],1,Table2[Dias no laborales]),E1668)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Row],[CORREO]],1,Table2[Dias no laborales]),E1669)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Row],[CORREO]],1,Table2[Dias no laborales]),E1670)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Row],[CORREO]],1,Table2[Dias no laborales]),E1671)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Row],[CORREO]],1,Table2[Dias no laborales]),E1672)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Row],[CORREO]],1,Table2[Dias no laborales]),E1673)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Row],[CORREO]],1,Table2[Dias no laborales]),E1674)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Row],[CORREO]],1,Table2[Dias no laborales]),E1675)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Row],[CORREO]],1,Table2[Dias no laborales]),E1676)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Row],[CORREO]],1,Table2[Dias no laborales]),E1677)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Row],[CORREO]],1,Table2[Dias no laborales]),E1678)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Row],[CORREO]],1,Table2[Dias no laborales]),E1679)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Row],[CORREO]],1,Table2[Dias no laborales]),E1680)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Row],[CORREO]],1,Table2[Dias no laborales]),E1681)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Row],[CORREO]],1,Table2[Dias no laborales]),E1682)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Row],[CORREO]],1,Table2[Dias no laborales]),E1683)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Row],[CORREO]],1,Table2[Dias no laborales]),E1684)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Row],[CORREO]],1,Table2[Dias no laborales]),E1685)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Row],[CORREO]],1,Table2[Dias no laborales]),E1686)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Row],[CORREO]],1,Table2[Dias no laborales]),E1687)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Row],[CORREO]],1,Table2[Dias no laborales]),E1688)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Row],[CORREO]],1,Table2[Dias no laborales]),E1689)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Row],[CORREO]],1,Table2[Dias no laborales]),E1690)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Row],[CORREO]],1,Table2[Dias no laborales]),E1691)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Row],[CORREO]],1,Table2[Dias no laborales]),E1692)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Row],[CORREO]],1,Table2[Dias no laborales]),E1693)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Row],[CORREO]],1,Table2[Dias no laborales]),E1694)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Row],[CORREO]],1,Table2[Dias no laborales]),E1695)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Row],[CORREO]],1,Table2[Dias no laborales]),E1696)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Row],[CORREO]],1,Table2[Dias no laborales]),E1697)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Row],[CORREO]],1,Table2[Dias no laborales]),E1698)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Row],[CORREO]],1,Table2[Dias no laborales]),E1699)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Row],[CORREO]],1,Table2[Dias no laborales]),E1700)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Row],[CORREO]],1,Table2[Dias no laborales]),E1701)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Row],[CORREO]],1,Table2[Dias no laborales]),E1702)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Row],[CORREO]],1,Table2[Dias no laborales]),E1703)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Row],[CORREO]],1,Table2[Dias no laborales]),E1704)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Row],[CORREO]],1,Table2[Dias no laborales]),E1705)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Row],[CORREO]],1,Table2[Dias no laborales]),E1706)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Row],[CORREO]],1,Table2[Dias no laborales]),E1707)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Row],[CORREO]],1,Table2[Dias no laborales]),E1708)</f>
        <v>46084</v>
      </c>
      <c r="G1708" s="11"/>
      <c r="H1708" s="7">
        <f t="shared" si="63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Row],[CORREO]],1,Table2[Dias no laborales]),E1709)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Row],[CORREO]],1,Table2[Dias no laborales]),E1710)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Row],[CORREO]],1,Table2[Dias no laborales]),E1711)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Row],[CORREO]],1,Table2[Dias no laborales]),E1712)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Row],[CORREO]],1,Table2[Dias no laborales]),E1713)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Row],[CORREO]],1,Table2[Dias no laborales]),E1714)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Row],[CORREO]],1,Table2[Dias no laborales]),E1715)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Row],[CORREO]],1,Table2[Dias no laborales]),E1716)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Row],[CORREO]],1,Table2[Dias no laborales]),E1717)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Row],[CORREO]],1,Table2[Dias no laborales]),E1718)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Row],[CORREO]],1,Table2[Dias no laborales]),E1719)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Row],[CORREO]],1,Table2[Dias no laborales]),E1720)</f>
        <v>46086.324999999997</v>
      </c>
      <c r="G1720" s="11">
        <v>46122</v>
      </c>
      <c r="H1720" s="7">
        <f t="shared" si="65"/>
        <v>10</v>
      </c>
      <c r="I1720" s="7">
        <f>MAX(1, NETWORKDAYS(A1720, G1720,Table2[Dias no laborales]))</f>
        <v>24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Row],[CORREO]],1,Table2[Dias no laborales]),E1721)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Row],[CORREO]],1,Table2[Dias no laborales]),E1722)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Row],[CORREO]],1,Table2[Dias no laborales]),E1723)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Row],[CORREO]],1,Table2[Dias no laborales]),E1724)</f>
        <v>0</v>
      </c>
      <c r="G1724" s="11">
        <v>46122</v>
      </c>
      <c r="H1724" s="7">
        <f t="shared" si="65"/>
        <v>10</v>
      </c>
      <c r="I1724" s="7">
        <f>MAX(1, NETWORKDAYS(A1724, G1724,Table2[Dias no laborales]))</f>
        <v>24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Row],[CORREO]],1,Table2[Dias no laborales]),E1725)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Row],[CORREO]],1,Table2[Dias no laborales]),E1726)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Row],[CORREO]],1,Table2[Dias no laborales]),E1727)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Row],[CORREO]],1,Table2[Dias no laborales]),E1728)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Row],[CORREO]],1,Table2[Dias no laborales]),E1729)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Row],[CORREO]],1,Table2[Dias no laborales]),E1730)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Row],[CORREO]],1,Table2[Dias no laborales]),E1731)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Row],[CORREO]],1,Table2[Dias no laborales]),E1732)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Row],[CORREO]],1,Table2[Dias no laborales]),E1733)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Row],[CORREO]],1,Table2[Dias no laborales]),E1734)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Row],[CORREO]],1,Table2[Dias no laborales]),E1735)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Row],[CORREO]],1,Table2[Dias no laborales]),E1736)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Row],[CORREO]],1,Table2[Dias no laborales]),E1737)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Row],[CORREO]],1,Table2[Dias no laborales]),E1738)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Row],[CORREO]],1,Table2[Dias no laborales]),E1739)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Row],[CORREO]],1,Table2[Dias no laborales]),E1740)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Row],[CORREO]],1,Table2[Dias no laborales]),E1741)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Row],[CORREO]],1,Table2[Dias no laborales]),E1742)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Row],[CORREO]],1,Table2[Dias no laborales]),E1743)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Row],[CORREO]],1,Table2[Dias no laborales]),E1744)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5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Row],[CORREO]],1,Table2[Dias no laborales]),E1745)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Row],[CORREO]],1,Table2[Dias no laborales]),E1746)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Row],[CORREO]],1,Table2[Dias no laborales]),E1747)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Row],[CORREO]],1,Table2[Dias no laborales]),E1748)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Row],[CORREO]],1,Table2[Dias no laborales]),E1749)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Row],[CORREO]],1,Table2[Dias no laborales]),E1750)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Row],[CORREO]],1,Table2[Dias no laborales]),E1751)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Row],[CORREO]],1,Table2[Dias no laborales]),E1752)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Row],[CORREO]],1,Table2[Dias no laborales]),E1753)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Row],[CORREO]],1,Table2[Dias no laborales]),E1754)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Row],[CORREO]],1,Table2[Dias no laborales]),E1755)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Row],[CORREO]],1,Table2[Dias no laborales]),E1756)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Row],[CORREO]],1,Table2[Dias no laborales]),E1757)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Row],[CORREO]],1,Table2[Dias no laborales]),E1758)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Row],[CORREO]],1,Table2[Dias no laborales]),E1759)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Row],[CORREO]],1,Table2[Dias no laborales]),E1760)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Row],[CORREO]],1,Table2[Dias no laborales]),E1761)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Row],[CORREO]],1,Table2[Dias no laborales]),E1762)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Row],[CORREO]],1,Table2[Dias no laborales]),E1763)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Row],[CORREO]],1,Table2[Dias no laborales]),E1764)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Row],[CORREO]],1,Table2[Dias no laborales]),E1765)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Row],[CORREO]],1,Table2[Dias no laborales]),E1766)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Row],[CORREO]],1,Table2[Dias no laborales]),E1767)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Row],[CORREO]],1,Table2[Dias no laborales]),E1768)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Row],[CORREO]],1,Table2[Dias no laborales]),E1769)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Row],[CORREO]],1,Table2[Dias no laborales]),E1770)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Row],[CORREO]],1,Table2[Dias no laborales]),E1771)</f>
        <v>46098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A tiempo</v>
      </c>
      <c r="L1771" s="11">
        <v>46099</v>
      </c>
      <c r="M1771" s="22">
        <f>MAX(1,NETWORKDAYS(A1771,L1771,Table2[Dias no laborales]))</f>
        <v>2</v>
      </c>
    </row>
    <row r="1772" spans="1:13" x14ac:dyDescent="0.3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Row],[CORREO]],1,Table2[Dias no laborales]),E1772)</f>
        <v>46098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A tiempo</v>
      </c>
      <c r="L1772" s="11">
        <v>46098</v>
      </c>
      <c r="M1772" s="22">
        <f>MAX(1,NETWORKDAYS(A1772,L1772,Table2[Dias no laborales]))</f>
        <v>1</v>
      </c>
    </row>
    <row r="1773" spans="1:13" x14ac:dyDescent="0.3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Row],[CORREO]],1,Table2[Dias no laborales]),E1773)</f>
        <v>46098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A tiempo</v>
      </c>
      <c r="L1773" s="11">
        <v>46098</v>
      </c>
      <c r="M1773" s="22">
        <f>MAX(1,NETWORKDAYS(A1773,L1773,Table2[Dias no laborales]))</f>
        <v>1</v>
      </c>
    </row>
    <row r="1774" spans="1:13" x14ac:dyDescent="0.3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Row],[CORREO]],1,Table2[Dias no laborales]),E1774)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Row],[CORREO]],1,Table2[Dias no laborales]),E1775)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Row],[CORREO]],1,Table2[Dias no laborales]),E1776)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Row],[CORREO]],1,Table2[Dias no laborales]),E1777)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Row],[CORREO]],1,Table2[Dias no laborales]),E1778)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Row],[CORREO]],1,Table2[Dias no laborales]),E1779)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Row],[CORREO]],1,Table2[Dias no laborales]),E1780)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Row],[CORREO]],1,Table2[Dias no laborales]),E1781)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Row],[CORREO]],1,Table2[Dias no laborales]),E1782)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Row],[CORREO]],1,Table2[Dias no laborales]),E1783)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Row],[CORREO]],1,Table2[Dias no laborales]),E1784)</f>
        <v>46099.388194444444</v>
      </c>
      <c r="G1784" s="11">
        <v>46122</v>
      </c>
      <c r="H1784" s="7">
        <f t="shared" si="69"/>
        <v>11</v>
      </c>
      <c r="I1784" s="7">
        <f>MAX(1, NETWORKDAYS(A1784, G1784,Table2[Dias no laborales]))</f>
        <v>16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Row],[CORREO]],1,Table2[Dias no laborales]),E1785)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Row],[CORREO]],1,Table2[Dias no laborales]),E1786)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Row],[CORREO]],1,Table2[Dias no laborales]),E1787)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Row],[CORREO]],1,Table2[Dias no laborales]),E1788)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Row],[CORREO]],1,Table2[Dias no laborales]),E1789)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Row],[CORREO]],1,Table2[Dias no laborales]),E1790)</f>
        <v>0</v>
      </c>
      <c r="G1790" s="11">
        <v>46118</v>
      </c>
      <c r="H1790" s="7">
        <f t="shared" ref="H1790:H1821" si="71">INT((A1790-DATE(YEAR(A1790),1,1))/7) + 1</f>
        <v>12</v>
      </c>
      <c r="I1790" s="7">
        <f>MAX(1, NETWORKDAYS(A1790, G1790,Table2[Dias no laborales]))</f>
        <v>11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Row],[CORREO]],1,Table2[Dias no laborales]),E1791)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Row],[CORREO]],1,Table2[Dias no laborales]),E1792)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Row],[CORREO]],1,Table2[Dias no laborales]),E1793)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Row],[CORREO]],1,Table2[Dias no laborales]),E1794)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Row],[CORREO]],1,Table2[Dias no laborales]),E1795)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Row],[CORREO]],1,Table2[Dias no laborales]),E1796)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Row],[CORREO]],1,Table2[Dias no laborales]),E1797)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Row],[CORREO]],1,Table2[Dias no laborales]),E1798)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Row],[CORREO]],1,Table2[Dias no laborales]),E1799)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Row],[CORREO]],1,Table2[Dias no laborales]),E1800)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Row],[CORREO]],1,Table2[Dias no laborales]),E1801)</f>
        <v>0</v>
      </c>
      <c r="G1801" s="11">
        <v>46118</v>
      </c>
      <c r="H1801" s="7">
        <f t="shared" si="71"/>
        <v>12</v>
      </c>
      <c r="I1801" s="7">
        <f>MAX(1, NETWORKDAYS(A1801, G1801,Table2[Dias no laborales]))</f>
        <v>10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Row],[CORREO]],1,Table2[Dias no laborales]),E1802)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Row],[CORREO]],1,Table2[Dias no laborales]),E1803)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Row],[CORREO]],1,Table2[Dias no laborales]),E1804)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Row],[CORREO]],1,Table2[Dias no laborales]),E1805)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Row],[CORREO]],1,Table2[Dias no laborales]),E1806)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Row],[CORREO]],1,Table2[Dias no laborales]),E1807)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Row],[CORREO]],1,Table2[Dias no laborales]),E1808)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Row],[CORREO]],1,Table2[Dias no laborales]),E1809)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Row],[CORREO]],1,Table2[Dias no laborales]),E1810)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Row],[CORREO]],1,Table2[Dias no laborales]),E1811)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Row],[CORREO]],1,Table2[Dias no laborales]),E1812)</f>
        <v>46104.4375</v>
      </c>
      <c r="G1812" s="11">
        <v>46129</v>
      </c>
      <c r="H1812" s="7">
        <f t="shared" si="71"/>
        <v>12</v>
      </c>
      <c r="I1812" s="7">
        <f>MAX(1, NETWORKDAYS(A1812, G1812,Table2[Dias no laborales]))</f>
        <v>18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Row],[CORREO]],1,Table2[Dias no laborales]),E1813)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Row],[CORREO]],1,Table2[Dias no laborales]),E1814)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Row],[CORREO]],1,Table2[Dias no laborales]),E1815)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Row],[CORREO]],1,Table2[Dias no laborales]),E1816)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Row],[CORREO]],1,Table2[Dias no laborales]),E1817)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Row],[CORREO]],1,Table2[Dias no laborales]),E1818)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Row],[CORREO]],1,Table2[Dias no laborales]),E1819)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Row],[CORREO]],1,Table2[Dias no laborales]),E1820)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Row],[CORREO]],1,Table2[Dias no laborales]),E1821)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Row],[CORREO]],1,Table2[Dias no laborales]),E1822)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Row],[CORREO]],1,Table2[Dias no laborales]),E1823)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Row],[CORREO]],1,Table2[Dias no laborales]),E1824)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Row],[CORREO]],1,Table2[Dias no laborales]),E1825)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Row],[CORREO]],1,Table2[Dias no laborales]),E1826)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Row],[CORREO]],1,Table2[Dias no laborales]),E1827)</f>
        <v>46105.404166666667</v>
      </c>
      <c r="G1827" s="11">
        <v>46118</v>
      </c>
      <c r="H1827" s="7">
        <f t="shared" si="73"/>
        <v>12</v>
      </c>
      <c r="I1827" s="7">
        <f>MAX(1, NETWORKDAYS(A1827, G1827,Table2[Dias no laborales]))</f>
        <v>8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Row],[CORREO]],1,Table2[Dias no laborales]),E1828)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Row],[CORREO]],1,Table2[Dias no laborales]),E1829)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Row],[CORREO]],1,Table2[Dias no laborales]),E1830)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Row],[CORREO]],1,Table2[Dias no laborales]),E1831)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Row],[CORREO]],1,Table2[Dias no laborales]),E1832)</f>
        <v>46106</v>
      </c>
      <c r="G1832" s="11">
        <v>46113</v>
      </c>
      <c r="H1832" s="7">
        <f t="shared" si="73"/>
        <v>12</v>
      </c>
      <c r="I1832" s="7">
        <f>MAX(1, NETWORKDAYS(A1832, G1832,Table2[Dias no laborales]))</f>
        <v>6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Row],[CORREO]],1,Table2[Dias no laborales]),E1833)</f>
        <v>46106</v>
      </c>
      <c r="G1833" s="11">
        <v>46119</v>
      </c>
      <c r="H1833" s="7">
        <f t="shared" si="73"/>
        <v>12</v>
      </c>
      <c r="I1833" s="7">
        <f>MAX(1, NETWORKDAYS(A1833, G1833,Table2[Dias no laborales]))</f>
        <v>8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5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Row],[CORREO]],1,Table2[Dias no laborales]),E1834)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Row],[CORREO]],1,Table2[Dias no laborales]),E1835)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Row],[CORREO]],1,Table2[Dias no laborales]),E1836)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Row],[CORREO]],1,Table2[Dias no laborales]),E1837)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Row],[CORREO]],1,Table2[Dias no laborales]),E1838)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Row],[CORREO]],1,Table2[Dias no laborales]),E1839)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Row],[CORREO]],1,Table2[Dias no laborales]),E1840)</f>
        <v>46106.420138888891</v>
      </c>
      <c r="G1840" s="11">
        <v>46120</v>
      </c>
      <c r="H1840" s="7">
        <f t="shared" si="73"/>
        <v>12</v>
      </c>
      <c r="I1840" s="7">
        <f>MAX(1, NETWORKDAYS(A1840, G1840,Table2[Dias no laborales]))</f>
        <v>9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Row],[CORREO]],1,Table2[Dias no laborales]),E1841)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Row],[CORREO]],1,Table2[Dias no laborales]),E1842)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Row],[CORREO]],1,Table2[Dias no laborales]),E1843)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Row],[CORREO]],1,Table2[Dias no laborales]),E1844)</f>
        <v>46107</v>
      </c>
      <c r="G1844" s="11">
        <v>46127</v>
      </c>
      <c r="H1844" s="7">
        <f t="shared" si="73"/>
        <v>13</v>
      </c>
      <c r="I1844" s="7">
        <f>MAX(1, NETWORKDAYS(A1844, G1844,Table2[Dias no laborales]))</f>
        <v>13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Row],[CORREO]],1,Table2[Dias no laborales]),E1845)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Row],[CORREO]],1,Table2[Dias no laborales]),E1846)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Row],[CORREO]],1,Table2[Dias no laborales]),E1847)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Row],[CORREO]],1,Table2[Dias no laborales]),E1848)</f>
        <v>46107.376388888886</v>
      </c>
      <c r="G1848" s="11">
        <v>46113</v>
      </c>
      <c r="H1848" s="7">
        <f t="shared" si="73"/>
        <v>13</v>
      </c>
      <c r="I1848" s="7">
        <f>MAX(1, NETWORKDAYS(A1848, G1848,Table2[Dias no laborales]))</f>
        <v>5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Row],[CORREO]],1,Table2[Dias no laborales]),E1849)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Row],[CORREO]],1,Table2[Dias no laborales]),E1850)</f>
        <v>0</v>
      </c>
      <c r="G1850" s="11">
        <v>46121</v>
      </c>
      <c r="H1850" s="7">
        <f t="shared" si="73"/>
        <v>13</v>
      </c>
      <c r="I1850" s="7">
        <f>MAX(1, NETWORKDAYS(A1850, G1850,Table2[Dias no laborales]))</f>
        <v>9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Row],[CORREO]],1,Table2[Dias no laborales]),E1851)</f>
        <v>46108</v>
      </c>
      <c r="G1851" s="11">
        <v>46132</v>
      </c>
      <c r="H1851" s="7">
        <f t="shared" si="73"/>
        <v>13</v>
      </c>
      <c r="I1851" s="7">
        <f>MAX(1, NETWORKDAYS(A1851, G1851,Table2[Dias no laborales]))</f>
        <v>15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Row],[CORREO]],1,Table2[Dias no laborales]),E1852)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Row],[CORREO]],1,Table2[Dias no laborales]),E1853)</f>
        <v>46108.427083333336</v>
      </c>
      <c r="G1853" s="11">
        <v>46122</v>
      </c>
      <c r="H1853" s="7">
        <f t="shared" si="73"/>
        <v>13</v>
      </c>
      <c r="I1853" s="7">
        <f>MAX(1, NETWORKDAYS(A1853, G1853,Table2[Dias no laborales]))</f>
        <v>9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Row],[CORREO]],1,Table2[Dias no laborales]),E1854)</f>
        <v>0</v>
      </c>
      <c r="G1854" s="11">
        <v>46129</v>
      </c>
      <c r="H1854" s="7">
        <f t="shared" si="73"/>
        <v>13</v>
      </c>
      <c r="I1854" s="7">
        <f>MAX(1, NETWORKDAYS(A1854, G1854,Table2[Dias no laborales]))</f>
        <v>14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Row],[CORREO]],1,Table2[Dias no laborales]),E1855)</f>
        <v>0</v>
      </c>
      <c r="G1855" s="11">
        <v>46129</v>
      </c>
      <c r="H1855" s="7">
        <f t="shared" si="73"/>
        <v>13</v>
      </c>
      <c r="I1855" s="7">
        <f>MAX(1, NETWORKDAYS(A1855, G1855,Table2[Dias no laborales]))</f>
        <v>14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Row],[CORREO]],1,Table2[Dias no laborales]),E1856)</f>
        <v>0</v>
      </c>
      <c r="G1856" s="11">
        <v>46118</v>
      </c>
      <c r="H1856" s="7">
        <f t="shared" si="73"/>
        <v>13</v>
      </c>
      <c r="I1856" s="7">
        <f>MAX(1, NETWORKDAYS(A1856, G1856,Table2[Dias no laborales]))</f>
        <v>4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Row],[CORREO]],1,Table2[Dias no laborales]),E1857)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Row],[CORREO]],1,Table2[Dias no laborales]),E1858)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Row],[CORREO]],1,Table2[Dias no laborales]),E1859)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Row],[CORREO]],1,Table2[Dias no laborales]),E1860)</f>
        <v>46111</v>
      </c>
      <c r="G1860" s="11">
        <v>46121</v>
      </c>
      <c r="H1860" s="7">
        <f t="shared" si="75"/>
        <v>13</v>
      </c>
      <c r="I1860" s="7">
        <f>MAX(1, NETWORKDAYS(A1860, G1860,Table2[Dias no laborales]))</f>
        <v>7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Row],[CORREO]],1,Table2[Dias no laborales]),E1861)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Row],[CORREO]],1,Table2[Dias no laborales]),E1862)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Row],[CORREO]],1,Table2[Dias no laborales]),E1863)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Row],[CORREO]],1,Table2[Dias no laborales]),E1864)</f>
        <v>0</v>
      </c>
      <c r="G1864" s="11">
        <v>46120</v>
      </c>
      <c r="H1864" s="7">
        <f t="shared" si="75"/>
        <v>13</v>
      </c>
      <c r="I1864" s="7">
        <f>MAX(1, NETWORKDAYS(A1864, G1864,Table2[Dias no laborales]))</f>
        <v>6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Row],[CORREO]],1,Table2[Dias no laborales]),E1865)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Row],[CORREO]],1,Table2[Dias no laborales]),E1866)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Row],[CORREO]],1,Table2[Dias no laborales]),E1867)</f>
        <v>46112</v>
      </c>
      <c r="G1867" s="11">
        <v>46112</v>
      </c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Row],[CORREO]],1,Table2[Dias no laborales]),E1868)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Row],[CORREO]],1,Table2[Dias no laborales]),E1869)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Row],[CORREO]],1,Table2[Dias no laborales]),E1870)</f>
        <v>46112</v>
      </c>
      <c r="G1870" s="11">
        <v>46118</v>
      </c>
      <c r="H1870" s="7">
        <f t="shared" si="77"/>
        <v>13</v>
      </c>
      <c r="I1870" s="7">
        <f>MAX(1, NETWORKDAYS(A1870, G1870,Table2[Dias no laborales]))</f>
        <v>3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Row],[CORREO]],1,Table2[Dias no laborales]),E1871)</f>
        <v>46112.302777777775</v>
      </c>
      <c r="G1871" s="11">
        <v>46112</v>
      </c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Row],[CORREO]],1,Table2[Dias no laborales]),E1872)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5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Row],[CORREO]],1,Table2[Dias no laborales]),E1873)</f>
        <v>46112.370833333334</v>
      </c>
      <c r="G1873" s="11">
        <v>46112</v>
      </c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5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Row],[CORREO]],1,Table2[Dias no laborales]),E1874)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5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Row],[CORREO]],1,Table2[Dias no laborales]),E1875)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5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Row],[CORREO]],1,Table2[Dias no laborales]),E1876)</f>
        <v>46113</v>
      </c>
      <c r="G1876" s="11">
        <v>46134</v>
      </c>
      <c r="H1876" s="7">
        <f t="shared" ref="H1876:H1878" si="81">INT((A1876-DATE(YEAR(A1876),1,1))/7) + 1</f>
        <v>13</v>
      </c>
      <c r="I1876" s="7">
        <f>MAX(1, NETWORKDAYS(A1876, G1876,Table2[Dias no laborales]))</f>
        <v>14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5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Row],[CORREO]],1,Table2[Dias no laborales]),E1877)</f>
        <v>46113.352083333331</v>
      </c>
      <c r="G1877" s="11">
        <v>46118</v>
      </c>
      <c r="H1877" s="7">
        <f t="shared" si="81"/>
        <v>13</v>
      </c>
      <c r="I1877" s="7">
        <f>MAX(1, NETWORKDAYS(A1877, G1877,Table2[Dias no laborales]))</f>
        <v>2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5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Row],[CORREO]],1,Table2[Dias no laborales]),E1878)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35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Row],[CORREO]],1,Table2[Dias no laborales]),E1879)</f>
        <v>46113.457638888889</v>
      </c>
      <c r="G1879" s="16">
        <v>46118</v>
      </c>
      <c r="H1879" s="20">
        <f>INT((A1879-DATE(YEAR(A1879),1,1))/7) + 1</f>
        <v>13</v>
      </c>
      <c r="I1879" s="20">
        <f>MAX(1, NETWORKDAYS(A1879, G1879,Table2[Dias no laborales]))</f>
        <v>2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  <row r="1880" spans="1:13" x14ac:dyDescent="0.35">
      <c r="A1880" s="16">
        <v>46118</v>
      </c>
      <c r="B1880" s="20" t="s">
        <v>3795</v>
      </c>
      <c r="C1880" s="20" t="s">
        <v>3796</v>
      </c>
      <c r="D1880" s="20" t="s">
        <v>24</v>
      </c>
      <c r="E1880" s="21"/>
      <c r="F1880" s="16">
        <f>IF(HOUR(Table1[[#This Row],[CORREO]])&gt;=11,WORKDAY(Table1[[#This Row],[CORREO]],1,Table2[Dias no laborales]),E1880)</f>
        <v>0</v>
      </c>
      <c r="G1880" s="16">
        <v>46122</v>
      </c>
      <c r="H1880" s="20">
        <f>INT((A1880-DATE(YEAR(A1880),1,1))/7) + 1</f>
        <v>14</v>
      </c>
      <c r="I1880" s="20">
        <f>MAX(1, NETWORKDAYS(A1880, G1880,Table2[Dias no laborales]))</f>
        <v>5</v>
      </c>
      <c r="J1880" s="20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20" t="str">
        <f>IF(INT(A1880)=INT(F1880),"A tiempo", IF(A1880&lt;F1880,"Mismo día","Programados"))</f>
        <v>Programados</v>
      </c>
      <c r="L1880" s="16">
        <v>46118</v>
      </c>
      <c r="M1880" s="23">
        <f>MAX(1,NETWORKDAYS(A1880,L1880,Table2[Dias no laborales]))</f>
        <v>1</v>
      </c>
    </row>
    <row r="1881" spans="1:13" x14ac:dyDescent="0.35">
      <c r="A1881" s="11">
        <v>46118</v>
      </c>
      <c r="B1881" s="20" t="s">
        <v>3797</v>
      </c>
      <c r="C1881" s="7" t="s">
        <v>3809</v>
      </c>
      <c r="D1881" s="7" t="s">
        <v>3163</v>
      </c>
      <c r="E1881" s="18">
        <v>46113.49722222222</v>
      </c>
      <c r="F1881" s="11">
        <f>IF(HOUR(Table1[[#This Row],[CORREO]])&gt;=11,WORKDAY(Table1[[#This Row],[CORREO]],1,Table2[Dias no laborales]),E1881)</f>
        <v>46118</v>
      </c>
      <c r="G1881" s="11">
        <v>46121</v>
      </c>
      <c r="H1881" s="7">
        <f t="shared" ref="H1881:H1892" si="83">INT((A1881-DATE(YEAR(A1881),1,1))/7) + 1</f>
        <v>14</v>
      </c>
      <c r="I1881" s="7">
        <f>MAX(1, NETWORKDAYS(A1881, G1881,Table2[Dias no laborales]))</f>
        <v>4</v>
      </c>
      <c r="J1881" s="7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7" t="str">
        <f t="shared" ref="K1881:K1892" si="84">IF(INT(A1881)=INT(F1881),"A tiempo", IF(A1881&lt;F1881,"Mismo día","Programados"))</f>
        <v>A tiempo</v>
      </c>
      <c r="L1881" s="11">
        <v>46118</v>
      </c>
      <c r="M1881" s="22">
        <f>MAX(1,NETWORKDAYS(A1881,L1881,Table2[Dias no laborales]))</f>
        <v>1</v>
      </c>
    </row>
    <row r="1882" spans="1:13" x14ac:dyDescent="0.35">
      <c r="A1882" s="16">
        <v>46118</v>
      </c>
      <c r="B1882" s="20" t="s">
        <v>3798</v>
      </c>
      <c r="C1882" s="7" t="s">
        <v>3008</v>
      </c>
      <c r="D1882" s="7" t="s">
        <v>3810</v>
      </c>
      <c r="E1882" s="18">
        <v>46113.732638888891</v>
      </c>
      <c r="F1882" s="11">
        <f>IF(HOUR(Table1[[#This Row],[CORREO]])&gt;=11,WORKDAY(Table1[[#This Row],[CORREO]],1,Table2[Dias no laborales]),E1882)</f>
        <v>46118</v>
      </c>
      <c r="G1882" s="11">
        <v>46121</v>
      </c>
      <c r="H1882" s="7">
        <f t="shared" si="83"/>
        <v>14</v>
      </c>
      <c r="I1882" s="7">
        <f>MAX(1, NETWORKDAYS(A1882, G1882,Table2[Dias no laborales]))</f>
        <v>4</v>
      </c>
      <c r="J1882" s="7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7" t="str">
        <f t="shared" si="84"/>
        <v>A tiempo</v>
      </c>
      <c r="L1882" s="11">
        <v>46118</v>
      </c>
      <c r="M1882" s="22">
        <f>MAX(1,NETWORKDAYS(A1882,L1882,Table2[Dias no laborales]))</f>
        <v>1</v>
      </c>
    </row>
    <row r="1883" spans="1:13" x14ac:dyDescent="0.35">
      <c r="A1883" s="11">
        <v>46118</v>
      </c>
      <c r="B1883" s="20" t="s">
        <v>3799</v>
      </c>
      <c r="C1883" s="7" t="s">
        <v>3008</v>
      </c>
      <c r="D1883" s="7" t="s">
        <v>3812</v>
      </c>
      <c r="E1883" s="18">
        <v>46113.865277777775</v>
      </c>
      <c r="F1883" s="11">
        <f>IF(HOUR(Table1[[#This Row],[CORREO]])&gt;=11,WORKDAY(Table1[[#This Row],[CORREO]],1,Table2[Dias no laborales]),E1883)</f>
        <v>46118</v>
      </c>
      <c r="G1883" s="11">
        <v>46122</v>
      </c>
      <c r="H1883" s="7">
        <f t="shared" si="83"/>
        <v>14</v>
      </c>
      <c r="I1883" s="7">
        <f>MAX(1, NETWORKDAYS(A1883, G1883,Table2[Dias no laborales]))</f>
        <v>5</v>
      </c>
      <c r="J1883" s="7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7" t="str">
        <f t="shared" si="84"/>
        <v>A tiempo</v>
      </c>
      <c r="L1883" s="11">
        <v>46118</v>
      </c>
      <c r="M1883" s="22">
        <f>MAX(1,NETWORKDAYS(A1883,L1883,Table2[Dias no laborales]))</f>
        <v>1</v>
      </c>
    </row>
    <row r="1884" spans="1:13" x14ac:dyDescent="0.35">
      <c r="A1884" s="16">
        <v>46118</v>
      </c>
      <c r="B1884" s="20" t="s">
        <v>3800</v>
      </c>
      <c r="C1884" s="7" t="s">
        <v>3813</v>
      </c>
      <c r="D1884" s="7" t="s">
        <v>3814</v>
      </c>
      <c r="E1884" s="18">
        <v>46113.884027777778</v>
      </c>
      <c r="F1884" s="11">
        <f>IF(HOUR(Table1[[#This Row],[CORREO]])&gt;=11,WORKDAY(Table1[[#This Row],[CORREO]],1,Table2[Dias no laborales]),E1884)</f>
        <v>46118</v>
      </c>
      <c r="G1884" s="11">
        <v>46122</v>
      </c>
      <c r="H1884" s="7">
        <f t="shared" si="83"/>
        <v>14</v>
      </c>
      <c r="I1884" s="7">
        <f>MAX(1, NETWORKDAYS(A1884, G1884,Table2[Dias no laborales]))</f>
        <v>5</v>
      </c>
      <c r="J1884" s="7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7" t="str">
        <f t="shared" si="84"/>
        <v>A tiempo</v>
      </c>
      <c r="L1884" s="11">
        <v>46118</v>
      </c>
      <c r="M1884" s="22">
        <f>MAX(1,NETWORKDAYS(A1884,L1884,Table2[Dias no laborales]))</f>
        <v>1</v>
      </c>
    </row>
    <row r="1885" spans="1:13" x14ac:dyDescent="0.35">
      <c r="A1885" s="11">
        <v>46118</v>
      </c>
      <c r="B1885" s="20" t="s">
        <v>3801</v>
      </c>
      <c r="C1885" s="7" t="s">
        <v>3008</v>
      </c>
      <c r="D1885" s="7" t="s">
        <v>3815</v>
      </c>
      <c r="E1885" s="18"/>
      <c r="F1885" s="11">
        <f>IF(HOUR(Table1[[#This Row],[CORREO]])&gt;=11,WORKDAY(Table1[[#This Row],[CORREO]],1,Table2[Dias no laborales]),E1885)</f>
        <v>0</v>
      </c>
      <c r="G1885" s="11">
        <v>46119</v>
      </c>
      <c r="H1885" s="7">
        <f t="shared" si="83"/>
        <v>14</v>
      </c>
      <c r="I1885" s="7">
        <f>MAX(1, NETWORKDAYS(A1885, G1885,Table2[Dias no laborales]))</f>
        <v>2</v>
      </c>
      <c r="J1885" s="7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7" t="str">
        <f t="shared" si="84"/>
        <v>Programados</v>
      </c>
      <c r="L1885" s="11">
        <v>46118</v>
      </c>
      <c r="M1885" s="22">
        <f>MAX(1,NETWORKDAYS(A1885,L1885,Table2[Dias no laborales]))</f>
        <v>1</v>
      </c>
    </row>
    <row r="1886" spans="1:13" x14ac:dyDescent="0.35">
      <c r="A1886" s="16">
        <v>46118</v>
      </c>
      <c r="B1886" s="20" t="s">
        <v>3802</v>
      </c>
      <c r="C1886" s="7" t="s">
        <v>3816</v>
      </c>
      <c r="D1886" s="7" t="s">
        <v>136</v>
      </c>
      <c r="E1886" s="18">
        <v>46118.341666666667</v>
      </c>
      <c r="F1886" s="11">
        <f>IF(HOUR(Table1[[#This Row],[CORREO]])&gt;=11,WORKDAY(Table1[[#This Row],[CORREO]],1,Table2[Dias no laborales]),E1886)</f>
        <v>46118.341666666667</v>
      </c>
      <c r="G1886" s="11">
        <v>46118</v>
      </c>
      <c r="H1886" s="7">
        <f t="shared" si="83"/>
        <v>14</v>
      </c>
      <c r="I1886" s="7">
        <f>MAX(1, NETWORKDAYS(A1886, G1886,Table2[Dias no laborales]))</f>
        <v>1</v>
      </c>
      <c r="J1886" s="7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7" t="str">
        <f t="shared" si="84"/>
        <v>A tiempo</v>
      </c>
      <c r="L1886" s="11">
        <v>46118</v>
      </c>
      <c r="M1886" s="22">
        <f>MAX(1,NETWORKDAYS(A1886,L1886,Table2[Dias no laborales]))</f>
        <v>1</v>
      </c>
    </row>
    <row r="1887" spans="1:13" x14ac:dyDescent="0.35">
      <c r="A1887" s="11">
        <v>46118</v>
      </c>
      <c r="B1887" s="20" t="s">
        <v>3803</v>
      </c>
      <c r="C1887" s="7" t="s">
        <v>3817</v>
      </c>
      <c r="D1887" s="7" t="s">
        <v>61</v>
      </c>
      <c r="E1887" s="18">
        <v>46118.378472222219</v>
      </c>
      <c r="F1887" s="11">
        <f>IF(HOUR(Table1[[#This Row],[CORREO]])&gt;=11,WORKDAY(Table1[[#This Row],[CORREO]],1,Table2[Dias no laborales]),E1887)</f>
        <v>46118.378472222219</v>
      </c>
      <c r="G1887" s="11">
        <v>46119</v>
      </c>
      <c r="H1887" s="7">
        <f t="shared" si="83"/>
        <v>14</v>
      </c>
      <c r="I1887" s="7">
        <f>MAX(1, NETWORKDAYS(A1887, G1887,Table2[Dias no laborales]))</f>
        <v>2</v>
      </c>
      <c r="J1887" s="7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7" t="str">
        <f t="shared" si="84"/>
        <v>A tiempo</v>
      </c>
      <c r="L1887" s="11">
        <v>46118</v>
      </c>
      <c r="M1887" s="22">
        <f>MAX(1,NETWORKDAYS(A1887,L1887,Table2[Dias no laborales]))</f>
        <v>1</v>
      </c>
    </row>
    <row r="1888" spans="1:13" x14ac:dyDescent="0.35">
      <c r="A1888" s="16">
        <v>46118</v>
      </c>
      <c r="B1888" s="20" t="s">
        <v>3804</v>
      </c>
      <c r="C1888" s="7" t="s">
        <v>3818</v>
      </c>
      <c r="D1888" s="7" t="s">
        <v>133</v>
      </c>
      <c r="E1888" s="18">
        <v>46118.436805555553</v>
      </c>
      <c r="F1888" s="11">
        <f>IF(HOUR(Table1[[#This Row],[CORREO]])&gt;=11,WORKDAY(Table1[[#This Row],[CORREO]],1,Table2[Dias no laborales]),E1888)</f>
        <v>46118.436805555553</v>
      </c>
      <c r="G1888" s="11">
        <v>46119</v>
      </c>
      <c r="H1888" s="7">
        <f t="shared" si="83"/>
        <v>14</v>
      </c>
      <c r="I1888" s="7">
        <f>MAX(1, NETWORKDAYS(A1888, G1888,Table2[Dias no laborales]))</f>
        <v>2</v>
      </c>
      <c r="J1888" s="7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7" t="str">
        <f t="shared" si="84"/>
        <v>A tiempo</v>
      </c>
      <c r="L1888" s="11">
        <v>46118</v>
      </c>
      <c r="M1888" s="22">
        <f>MAX(1,NETWORKDAYS(A1888,L1888,Table2[Dias no laborales]))</f>
        <v>1</v>
      </c>
    </row>
    <row r="1889" spans="1:13" x14ac:dyDescent="0.35">
      <c r="A1889" s="11">
        <v>46118</v>
      </c>
      <c r="B1889" s="20" t="s">
        <v>3805</v>
      </c>
      <c r="C1889" s="7" t="s">
        <v>3008</v>
      </c>
      <c r="D1889" s="7" t="s">
        <v>3819</v>
      </c>
      <c r="E1889" s="18">
        <v>46118.440972222219</v>
      </c>
      <c r="F1889" s="11">
        <f>IF(HOUR(Table1[[#This Row],[CORREO]])&gt;=11,WORKDAY(Table1[[#This Row],[CORREO]],1,Table2[Dias no laborales]),E1889)</f>
        <v>46118.440972222219</v>
      </c>
      <c r="G1889" s="11">
        <v>46127</v>
      </c>
      <c r="H1889" s="7">
        <f t="shared" si="83"/>
        <v>14</v>
      </c>
      <c r="I1889" s="7">
        <f>MAX(1, NETWORKDAYS(A1889, G1889,Table2[Dias no laborales]))</f>
        <v>8</v>
      </c>
      <c r="J1889" s="7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7" t="str">
        <f t="shared" si="84"/>
        <v>A tiempo</v>
      </c>
      <c r="L1889" s="11">
        <v>46118</v>
      </c>
      <c r="M1889" s="22">
        <f>MAX(1,NETWORKDAYS(A1889,L1889,Table2[Dias no laborales]))</f>
        <v>1</v>
      </c>
    </row>
    <row r="1890" spans="1:13" x14ac:dyDescent="0.35">
      <c r="A1890" s="16">
        <v>46118</v>
      </c>
      <c r="B1890" s="20" t="s">
        <v>3806</v>
      </c>
      <c r="C1890" s="7" t="s">
        <v>3820</v>
      </c>
      <c r="D1890" s="7" t="s">
        <v>2981</v>
      </c>
      <c r="E1890" s="18">
        <v>46118.447222222225</v>
      </c>
      <c r="F1890" s="11">
        <f>IF(HOUR(Table1[[#This Row],[CORREO]])&gt;=11,WORKDAY(Table1[[#This Row],[CORREO]],1,Table2[Dias no laborales]),E1890)</f>
        <v>46118.447222222225</v>
      </c>
      <c r="G1890" s="11">
        <v>46119</v>
      </c>
      <c r="H1890" s="7">
        <f t="shared" si="83"/>
        <v>14</v>
      </c>
      <c r="I1890" s="7">
        <f>MAX(1, NETWORKDAYS(A1890, G1890,Table2[Dias no laborales]))</f>
        <v>2</v>
      </c>
      <c r="J1890" s="7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7" t="str">
        <f t="shared" si="84"/>
        <v>A tiempo</v>
      </c>
      <c r="L1890" s="11">
        <v>46118</v>
      </c>
      <c r="M1890" s="22">
        <f>MAX(1,NETWORKDAYS(A1890,L1890,Table2[Dias no laborales]))</f>
        <v>1</v>
      </c>
    </row>
    <row r="1891" spans="1:13" x14ac:dyDescent="0.35">
      <c r="A1891" s="11">
        <v>46118</v>
      </c>
      <c r="B1891" s="20" t="s">
        <v>3807</v>
      </c>
      <c r="C1891" s="7" t="s">
        <v>3821</v>
      </c>
      <c r="D1891" s="7" t="s">
        <v>3822</v>
      </c>
      <c r="E1891" s="18">
        <v>46118.466666666667</v>
      </c>
      <c r="F1891" s="11">
        <f>IF(HOUR(Table1[[#This Row],[CORREO]])&gt;=11,WORKDAY(Table1[[#This Row],[CORREO]],1,Table2[Dias no laborales]),E1891)</f>
        <v>46119</v>
      </c>
      <c r="G1891" s="11">
        <v>46121</v>
      </c>
      <c r="H1891" s="7">
        <f t="shared" si="83"/>
        <v>14</v>
      </c>
      <c r="I1891" s="7">
        <f>MAX(1, NETWORKDAYS(A1891, G1891,Table2[Dias no laborales]))</f>
        <v>4</v>
      </c>
      <c r="J1891" s="7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7" t="str">
        <f t="shared" si="84"/>
        <v>Mismo día</v>
      </c>
      <c r="L1891" s="11">
        <v>46118</v>
      </c>
      <c r="M1891" s="22">
        <f>MAX(1,NETWORKDAYS(A1891,L1891,Table2[Dias no laborales]))</f>
        <v>1</v>
      </c>
    </row>
    <row r="1892" spans="1:13" x14ac:dyDescent="0.35">
      <c r="A1892" s="16">
        <v>46118</v>
      </c>
      <c r="B1892" s="20" t="s">
        <v>3808</v>
      </c>
      <c r="C1892" s="7" t="s">
        <v>3811</v>
      </c>
      <c r="D1892" s="7" t="s">
        <v>37</v>
      </c>
      <c r="E1892" s="18">
        <v>46118.47152777778</v>
      </c>
      <c r="F1892" s="11">
        <f>IF(HOUR(Table1[[#This Row],[CORREO]])&gt;=11,WORKDAY(Table1[[#This Row],[CORREO]],1,Table2[Dias no laborales]),E1892)</f>
        <v>46119</v>
      </c>
      <c r="G1892" s="11">
        <v>46118</v>
      </c>
      <c r="H1892" s="7">
        <f t="shared" si="83"/>
        <v>14</v>
      </c>
      <c r="I1892" s="7">
        <f>MAX(1, NETWORKDAYS(A1892, G1892,Table2[Dias no laborales]))</f>
        <v>1</v>
      </c>
      <c r="J1892" s="7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7" t="str">
        <f t="shared" si="84"/>
        <v>Mismo día</v>
      </c>
      <c r="L1892" s="11">
        <v>46118</v>
      </c>
      <c r="M1892" s="22">
        <f>MAX(1,NETWORKDAYS(A1892,L1892,Table2[Dias no laborales]))</f>
        <v>1</v>
      </c>
    </row>
    <row r="1893" spans="1:13" x14ac:dyDescent="0.35">
      <c r="A1893" s="11">
        <v>46118</v>
      </c>
      <c r="B1893" s="20" t="s">
        <v>3823</v>
      </c>
      <c r="C1893" s="7" t="s">
        <v>3833</v>
      </c>
      <c r="D1893" s="7" t="s">
        <v>3834</v>
      </c>
      <c r="E1893" s="18">
        <v>46118.498611111114</v>
      </c>
      <c r="F1893" s="11">
        <f>IF(HOUR(Table1[[#This Row],[CORREO]])&gt;=11,WORKDAY(Table1[[#This Row],[CORREO]],1,Table2[Dias no laborales]),E1893)</f>
        <v>46119</v>
      </c>
      <c r="G1893" s="11">
        <v>46118</v>
      </c>
      <c r="H1893" s="7">
        <f t="shared" ref="H1893:H1902" si="85">INT((A1893-DATE(YEAR(A1893),1,1))/7) + 1</f>
        <v>14</v>
      </c>
      <c r="I1893" s="7">
        <f>MAX(1, NETWORKDAYS(A1893, G1893,Table2[Dias no laborales]))</f>
        <v>1</v>
      </c>
      <c r="J1893" s="7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7" t="str">
        <f>IF(INT(A1893)=INT(F1893),"A tiempo", IF(A1893&lt;F1893,"Mismo día","Programados"))</f>
        <v>Mismo día</v>
      </c>
      <c r="L1893" s="11">
        <v>46118</v>
      </c>
      <c r="M1893" s="22">
        <f>MAX(1,NETWORKDAYS(A1893,L1893,Table2[Dias no laborales]))</f>
        <v>1</v>
      </c>
    </row>
    <row r="1894" spans="1:13" x14ac:dyDescent="0.35">
      <c r="A1894" s="11">
        <v>46119</v>
      </c>
      <c r="B1894" s="20" t="s">
        <v>3824</v>
      </c>
      <c r="C1894" s="7" t="s">
        <v>3835</v>
      </c>
      <c r="D1894" s="7" t="s">
        <v>3039</v>
      </c>
      <c r="E1894" s="18">
        <v>46118.573611111111</v>
      </c>
      <c r="F1894" s="11">
        <f>IF(HOUR(Table1[[#This Row],[CORREO]])&gt;=11,WORKDAY(Table1[[#This Row],[CORREO]],1,Table2[Dias no laborales]),E1894)</f>
        <v>46119</v>
      </c>
      <c r="G1894" s="11">
        <v>46119</v>
      </c>
      <c r="H1894" s="7">
        <f t="shared" si="85"/>
        <v>14</v>
      </c>
      <c r="I1894" s="7">
        <f>MAX(1, NETWORKDAYS(A1894, G1894,Table2[Dias no laborales]))</f>
        <v>1</v>
      </c>
      <c r="J1894" s="7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7" t="str">
        <f t="shared" ref="K1894:K1902" si="86">IF(INT(A1894)=INT(F1894),"A tiempo", IF(A1894&lt;F1894,"Mismo día","Programados"))</f>
        <v>A tiempo</v>
      </c>
      <c r="L1894" s="11">
        <v>46119</v>
      </c>
      <c r="M1894" s="22">
        <f>MAX(1,NETWORKDAYS(A1894,L1894,Table2[Dias no laborales]))</f>
        <v>1</v>
      </c>
    </row>
    <row r="1895" spans="1:13" x14ac:dyDescent="0.35">
      <c r="A1895" s="11">
        <v>46119</v>
      </c>
      <c r="B1895" s="20" t="s">
        <v>3825</v>
      </c>
      <c r="C1895" s="7" t="s">
        <v>3836</v>
      </c>
      <c r="D1895" s="7" t="s">
        <v>3837</v>
      </c>
      <c r="E1895" s="18">
        <v>46118.643750000003</v>
      </c>
      <c r="F1895" s="11">
        <f>IF(HOUR(Table1[[#This Row],[CORREO]])&gt;=11,WORKDAY(Table1[[#This Row],[CORREO]],1,Table2[Dias no laborales]),E1895)</f>
        <v>46119</v>
      </c>
      <c r="G1895" s="11">
        <v>46121</v>
      </c>
      <c r="H1895" s="7">
        <f t="shared" si="85"/>
        <v>14</v>
      </c>
      <c r="I1895" s="7">
        <f>MAX(1, NETWORKDAYS(A1895, G1895,Table2[Dias no laborales]))</f>
        <v>3</v>
      </c>
      <c r="J1895" s="7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7" t="str">
        <f t="shared" si="86"/>
        <v>A tiempo</v>
      </c>
      <c r="L1895" s="11">
        <v>46119</v>
      </c>
      <c r="M1895" s="22">
        <f>MAX(1,NETWORKDAYS(A1895,L1895,Table2[Dias no laborales]))</f>
        <v>1</v>
      </c>
    </row>
    <row r="1896" spans="1:13" x14ac:dyDescent="0.35">
      <c r="A1896" s="11">
        <v>46119</v>
      </c>
      <c r="B1896" s="20" t="s">
        <v>3826</v>
      </c>
      <c r="C1896" s="7" t="s">
        <v>3838</v>
      </c>
      <c r="D1896" s="7" t="s">
        <v>103</v>
      </c>
      <c r="E1896" s="18">
        <v>46118.681944444441</v>
      </c>
      <c r="F1896" s="11">
        <f>IF(HOUR(Table1[[#This Row],[CORREO]])&gt;=11,WORKDAY(Table1[[#This Row],[CORREO]],1,Table2[Dias no laborales]),E1896)</f>
        <v>46119</v>
      </c>
      <c r="G1896" s="11">
        <v>46120</v>
      </c>
      <c r="H1896" s="7">
        <f t="shared" si="85"/>
        <v>14</v>
      </c>
      <c r="I1896" s="7">
        <f>MAX(1, NETWORKDAYS(A1896, G1896,Table2[Dias no laborales]))</f>
        <v>2</v>
      </c>
      <c r="J1896" s="7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7" t="str">
        <f t="shared" si="86"/>
        <v>A tiempo</v>
      </c>
      <c r="L1896" s="11">
        <v>46119</v>
      </c>
      <c r="M1896" s="22">
        <f>MAX(1,NETWORKDAYS(A1896,L1896,Table2[Dias no laborales]))</f>
        <v>1</v>
      </c>
    </row>
    <row r="1897" spans="1:13" x14ac:dyDescent="0.35">
      <c r="A1897" s="11">
        <v>46119</v>
      </c>
      <c r="B1897" s="20" t="s">
        <v>3827</v>
      </c>
      <c r="C1897" s="7" t="s">
        <v>3839</v>
      </c>
      <c r="D1897" s="7" t="s">
        <v>24</v>
      </c>
      <c r="E1897" s="18">
        <v>46118.756249999999</v>
      </c>
      <c r="F1897" s="11">
        <f>IF(HOUR(Table1[[#This Row],[CORREO]])&gt;=11,WORKDAY(Table1[[#This Row],[CORREO]],1,Table2[Dias no laborales]),E1897)</f>
        <v>46119</v>
      </c>
      <c r="G1897" s="11">
        <v>46119</v>
      </c>
      <c r="H1897" s="7">
        <f t="shared" si="85"/>
        <v>14</v>
      </c>
      <c r="I1897" s="7">
        <f>MAX(1, NETWORKDAYS(A1897, G1897,Table2[Dias no laborales]))</f>
        <v>1</v>
      </c>
      <c r="J1897" s="7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7" t="str">
        <f t="shared" si="86"/>
        <v>A tiempo</v>
      </c>
      <c r="L1897" s="11">
        <v>46119</v>
      </c>
      <c r="M1897" s="22">
        <f>MAX(1,NETWORKDAYS(A1897,L1897,Table2[Dias no laborales]))</f>
        <v>1</v>
      </c>
    </row>
    <row r="1898" spans="1:13" x14ac:dyDescent="0.35">
      <c r="A1898" s="11">
        <v>46119</v>
      </c>
      <c r="B1898" s="20" t="s">
        <v>3828</v>
      </c>
      <c r="C1898" s="7" t="s">
        <v>3840</v>
      </c>
      <c r="D1898" s="7" t="s">
        <v>171</v>
      </c>
      <c r="E1898" s="18">
        <v>46119.339583333334</v>
      </c>
      <c r="F1898" s="11">
        <f>IF(HOUR(Table1[[#This Row],[CORREO]])&gt;=11,WORKDAY(Table1[[#This Row],[CORREO]],1,Table2[Dias no laborales]),E1898)</f>
        <v>46119.339583333334</v>
      </c>
      <c r="G1898" s="11">
        <v>46120</v>
      </c>
      <c r="H1898" s="7">
        <f t="shared" si="85"/>
        <v>14</v>
      </c>
      <c r="I1898" s="7">
        <f>MAX(1, NETWORKDAYS(A1898, G1898,Table2[Dias no laborales]))</f>
        <v>2</v>
      </c>
      <c r="J1898" s="7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7" t="str">
        <f t="shared" si="86"/>
        <v>A tiempo</v>
      </c>
      <c r="L1898" s="11">
        <v>46119</v>
      </c>
      <c r="M1898" s="22">
        <f>MAX(1,NETWORKDAYS(A1898,L1898,Table2[Dias no laborales]))</f>
        <v>1</v>
      </c>
    </row>
    <row r="1899" spans="1:13" x14ac:dyDescent="0.35">
      <c r="A1899" s="11">
        <v>46119</v>
      </c>
      <c r="B1899" s="20" t="s">
        <v>3829</v>
      </c>
      <c r="C1899" s="7" t="s">
        <v>3841</v>
      </c>
      <c r="D1899" s="7" t="s">
        <v>24</v>
      </c>
      <c r="E1899" s="18">
        <v>46119.392361111109</v>
      </c>
      <c r="F1899" s="11">
        <f>IF(HOUR(Table1[[#This Row],[CORREO]])&gt;=11,WORKDAY(Table1[[#This Row],[CORREO]],1,Table2[Dias no laborales]),E1899)</f>
        <v>46119.392361111109</v>
      </c>
      <c r="G1899" s="11">
        <v>46127</v>
      </c>
      <c r="H1899" s="7">
        <f t="shared" si="85"/>
        <v>14</v>
      </c>
      <c r="I1899" s="7">
        <f>MAX(1, NETWORKDAYS(A1899, G1899,Table2[Dias no laborales]))</f>
        <v>7</v>
      </c>
      <c r="J1899" s="7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7" t="str">
        <f t="shared" si="86"/>
        <v>A tiempo</v>
      </c>
      <c r="L1899" s="11">
        <v>46119</v>
      </c>
      <c r="M1899" s="22">
        <f>MAX(1,NETWORKDAYS(A1899,L1899,Table2[Dias no laborales]))</f>
        <v>1</v>
      </c>
    </row>
    <row r="1900" spans="1:13" x14ac:dyDescent="0.35">
      <c r="A1900" s="11">
        <v>46119</v>
      </c>
      <c r="B1900" s="20" t="s">
        <v>3830</v>
      </c>
      <c r="C1900" s="7" t="s">
        <v>3842</v>
      </c>
      <c r="D1900" s="7" t="s">
        <v>89</v>
      </c>
      <c r="E1900" s="18">
        <v>46119.395138888889</v>
      </c>
      <c r="F1900" s="11">
        <f>IF(HOUR(Table1[[#This Row],[CORREO]])&gt;=11,WORKDAY(Table1[[#This Row],[CORREO]],1,Table2[Dias no laborales]),E1900)</f>
        <v>46119.395138888889</v>
      </c>
      <c r="G1900" s="11">
        <v>46120</v>
      </c>
      <c r="H1900" s="7">
        <f t="shared" si="85"/>
        <v>14</v>
      </c>
      <c r="I1900" s="7">
        <f>MAX(1, NETWORKDAYS(A1900, G1900,Table2[Dias no laborales]))</f>
        <v>2</v>
      </c>
      <c r="J1900" s="7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7" t="str">
        <f t="shared" si="86"/>
        <v>A tiempo</v>
      </c>
      <c r="L1900" s="11">
        <v>46119</v>
      </c>
      <c r="M1900" s="22">
        <f>MAX(1,NETWORKDAYS(A1900,L1900,Table2[Dias no laborales]))</f>
        <v>1</v>
      </c>
    </row>
    <row r="1901" spans="1:13" x14ac:dyDescent="0.35">
      <c r="A1901" s="11">
        <v>46119</v>
      </c>
      <c r="B1901" s="20" t="s">
        <v>3831</v>
      </c>
      <c r="C1901" s="7" t="s">
        <v>3843</v>
      </c>
      <c r="D1901" s="7" t="s">
        <v>2963</v>
      </c>
      <c r="E1901" s="18">
        <v>46119.395833333336</v>
      </c>
      <c r="F1901" s="11">
        <f>IF(HOUR(Table1[[#This Row],[CORREO]])&gt;=11,WORKDAY(Table1[[#This Row],[CORREO]],1,Table2[Dias no laborales]),E1901)</f>
        <v>46119.395833333336</v>
      </c>
      <c r="G1901" s="11">
        <v>46119</v>
      </c>
      <c r="H1901" s="7">
        <f t="shared" si="85"/>
        <v>14</v>
      </c>
      <c r="I1901" s="7">
        <f>MAX(1, NETWORKDAYS(A1901, G1901,Table2[Dias no laborales]))</f>
        <v>1</v>
      </c>
      <c r="J1901" s="7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7" t="str">
        <f t="shared" si="86"/>
        <v>A tiempo</v>
      </c>
      <c r="L1901" s="11">
        <v>46119</v>
      </c>
      <c r="M1901" s="22">
        <f>MAX(1,NETWORKDAYS(A1901,L1901,Table2[Dias no laborales]))</f>
        <v>1</v>
      </c>
    </row>
    <row r="1902" spans="1:13" x14ac:dyDescent="0.35">
      <c r="A1902" s="11">
        <v>46119</v>
      </c>
      <c r="B1902" s="20" t="s">
        <v>3832</v>
      </c>
      <c r="C1902" s="7" t="s">
        <v>3844</v>
      </c>
      <c r="D1902" s="7" t="s">
        <v>3845</v>
      </c>
      <c r="E1902" s="18">
        <v>46118.571527777778</v>
      </c>
      <c r="F1902" s="11">
        <f>IF(HOUR(Table1[[#This Row],[CORREO]])&gt;=11,WORKDAY(Table1[[#This Row],[CORREO]],1,Table2[Dias no laborales]),E1902)</f>
        <v>46119</v>
      </c>
      <c r="G1902" s="11">
        <v>46120</v>
      </c>
      <c r="H1902" s="7">
        <f t="shared" si="85"/>
        <v>14</v>
      </c>
      <c r="I1902" s="7">
        <f>MAX(1, NETWORKDAYS(A1902, G1902,Table2[Dias no laborales]))</f>
        <v>2</v>
      </c>
      <c r="J1902" s="7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7" t="str">
        <f t="shared" si="86"/>
        <v>A tiempo</v>
      </c>
      <c r="L1902" s="11">
        <v>46119</v>
      </c>
      <c r="M1902" s="22">
        <f>MAX(1,NETWORKDAYS(A1902,L1902,Table2[Dias no laborales]))</f>
        <v>1</v>
      </c>
    </row>
    <row r="1903" spans="1:13" x14ac:dyDescent="0.35">
      <c r="A1903" s="11">
        <v>46119</v>
      </c>
      <c r="B1903" s="20" t="s">
        <v>3846</v>
      </c>
      <c r="C1903" s="7" t="s">
        <v>3855</v>
      </c>
      <c r="D1903" s="7" t="s">
        <v>269</v>
      </c>
      <c r="E1903" s="18">
        <v>46119.539583333331</v>
      </c>
      <c r="F1903" s="11">
        <f>IF(HOUR(Table1[[#This Row],[CORREO]])&gt;=11,WORKDAY(Table1[[#This Row],[CORREO]],1,Table2[Dias no laborales]),E1903)</f>
        <v>46120</v>
      </c>
      <c r="G1903" s="11">
        <v>46120</v>
      </c>
      <c r="H1903" s="7">
        <f t="shared" ref="H1903:H1909" si="87">INT((A1903-DATE(YEAR(A1903),1,1))/7) + 1</f>
        <v>14</v>
      </c>
      <c r="I1903" s="7">
        <f>MAX(1, NETWORKDAYS(A1903, G1903,Table2[Dias no laborales]))</f>
        <v>2</v>
      </c>
      <c r="J1903" s="7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7" t="str">
        <f t="shared" ref="K1903:K1909" si="88">IF(INT(A1903)=INT(F1903),"A tiempo", IF(A1903&lt;F1903,"Mismo día","Programados"))</f>
        <v>Mismo día</v>
      </c>
      <c r="L1903" s="11">
        <v>46119</v>
      </c>
      <c r="M1903" s="22">
        <f>MAX(1,NETWORKDAYS(A1903,L1903,Table2[Dias no laborales]))</f>
        <v>1</v>
      </c>
    </row>
    <row r="1904" spans="1:13" x14ac:dyDescent="0.35">
      <c r="A1904" s="11">
        <v>46119</v>
      </c>
      <c r="B1904" s="20" t="s">
        <v>3847</v>
      </c>
      <c r="C1904" s="7" t="s">
        <v>3856</v>
      </c>
      <c r="D1904" s="7" t="s">
        <v>194</v>
      </c>
      <c r="E1904" s="18">
        <v>46119.678472222222</v>
      </c>
      <c r="F1904" s="11">
        <f>IF(HOUR(Table1[[#This Row],[CORREO]])&gt;=11,WORKDAY(Table1[[#This Row],[CORREO]],1,Table2[Dias no laborales]),E1904)</f>
        <v>46120</v>
      </c>
      <c r="G1904" s="11">
        <v>46127</v>
      </c>
      <c r="H1904" s="7">
        <f t="shared" si="87"/>
        <v>14</v>
      </c>
      <c r="I1904" s="7">
        <f>MAX(1, NETWORKDAYS(A1904, G1904,Table2[Dias no laborales]))</f>
        <v>7</v>
      </c>
      <c r="J1904" s="7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7" t="str">
        <f t="shared" si="88"/>
        <v>Mismo día</v>
      </c>
      <c r="L1904" s="11">
        <v>46119</v>
      </c>
      <c r="M1904" s="22">
        <f>MAX(1,NETWORKDAYS(A1904,L1904,Table2[Dias no laborales]))</f>
        <v>1</v>
      </c>
    </row>
    <row r="1905" spans="1:13" x14ac:dyDescent="0.35">
      <c r="A1905" s="11">
        <v>46120</v>
      </c>
      <c r="B1905" s="20" t="s">
        <v>3848</v>
      </c>
      <c r="C1905" s="7" t="s">
        <v>3857</v>
      </c>
      <c r="D1905" s="7" t="s">
        <v>89</v>
      </c>
      <c r="E1905" s="18"/>
      <c r="F1905" s="11">
        <f>IF(HOUR(Table1[[#This Row],[CORREO]])&gt;=11,WORKDAY(Table1[[#This Row],[CORREO]],1,Table2[Dias no laborales]),E1905)</f>
        <v>0</v>
      </c>
      <c r="G1905" s="11">
        <v>46120</v>
      </c>
      <c r="H1905" s="7">
        <f t="shared" si="87"/>
        <v>14</v>
      </c>
      <c r="I1905" s="7">
        <f>MAX(1, NETWORKDAYS(A1905, G1905,Table2[Dias no laborales]))</f>
        <v>1</v>
      </c>
      <c r="J1905" s="7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7" t="str">
        <f t="shared" si="88"/>
        <v>Programados</v>
      </c>
      <c r="L1905" s="11">
        <v>46120</v>
      </c>
      <c r="M1905" s="22">
        <f>MAX(1,NETWORKDAYS(A1905,L1905,Table2[Dias no laborales]))</f>
        <v>1</v>
      </c>
    </row>
    <row r="1906" spans="1:13" x14ac:dyDescent="0.35">
      <c r="A1906" s="11">
        <v>46120</v>
      </c>
      <c r="B1906" s="20" t="s">
        <v>3849</v>
      </c>
      <c r="C1906" s="7" t="s">
        <v>3858</v>
      </c>
      <c r="D1906" s="7" t="s">
        <v>24</v>
      </c>
      <c r="E1906" s="18"/>
      <c r="F1906" s="11">
        <f>IF(HOUR(Table1[[#This Row],[CORREO]])&gt;=11,WORKDAY(Table1[[#This Row],[CORREO]],1,Table2[Dias no laborales]),E1906)</f>
        <v>0</v>
      </c>
      <c r="G1906" s="11">
        <v>46127</v>
      </c>
      <c r="H1906" s="7">
        <f t="shared" si="87"/>
        <v>14</v>
      </c>
      <c r="I1906" s="7">
        <f>MAX(1, NETWORKDAYS(A1906, G1906,Table2[Dias no laborales]))</f>
        <v>6</v>
      </c>
      <c r="J1906" s="7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7" t="str">
        <f t="shared" si="88"/>
        <v>Programados</v>
      </c>
      <c r="L1906" s="11">
        <v>46120</v>
      </c>
      <c r="M1906" s="22">
        <f>MAX(1,NETWORKDAYS(A1906,L1906,Table2[Dias no laborales]))</f>
        <v>1</v>
      </c>
    </row>
    <row r="1907" spans="1:13" x14ac:dyDescent="0.35">
      <c r="A1907" s="11">
        <v>46120</v>
      </c>
      <c r="B1907" s="20" t="s">
        <v>3850</v>
      </c>
      <c r="C1907" s="7" t="s">
        <v>3859</v>
      </c>
      <c r="D1907" s="7" t="s">
        <v>2963</v>
      </c>
      <c r="E1907" s="18"/>
      <c r="F1907" s="11">
        <f>IF(HOUR(Table1[[#This Row],[CORREO]])&gt;=11,WORKDAY(Table1[[#This Row],[CORREO]],1,Table2[Dias no laborales]),E1907)</f>
        <v>0</v>
      </c>
      <c r="G1907" s="11">
        <v>46120</v>
      </c>
      <c r="H1907" s="7">
        <f t="shared" si="87"/>
        <v>14</v>
      </c>
      <c r="I1907" s="7">
        <f>MAX(1, NETWORKDAYS(A1907, G1907,Table2[Dias no laborales]))</f>
        <v>1</v>
      </c>
      <c r="J1907" s="7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7" t="str">
        <f t="shared" si="88"/>
        <v>Programados</v>
      </c>
      <c r="L1907" s="11">
        <v>46120</v>
      </c>
      <c r="M1907" s="22">
        <f>MAX(1,NETWORKDAYS(A1907,L1907,Table2[Dias no laborales]))</f>
        <v>1</v>
      </c>
    </row>
    <row r="1908" spans="1:13" x14ac:dyDescent="0.35">
      <c r="A1908" s="11">
        <v>46120</v>
      </c>
      <c r="B1908" s="20" t="s">
        <v>3851</v>
      </c>
      <c r="C1908" s="7" t="s">
        <v>3860</v>
      </c>
      <c r="D1908" s="7" t="s">
        <v>27</v>
      </c>
      <c r="E1908" s="18"/>
      <c r="F1908" s="11">
        <f>IF(HOUR(Table1[[#This Row],[CORREO]])&gt;=11,WORKDAY(Table1[[#This Row],[CORREO]],1,Table2[Dias no laborales]),E1908)</f>
        <v>0</v>
      </c>
      <c r="G1908" s="11">
        <v>46129</v>
      </c>
      <c r="H1908" s="7">
        <f t="shared" si="87"/>
        <v>14</v>
      </c>
      <c r="I1908" s="7">
        <f>MAX(1, NETWORKDAYS(A1908, G1908,Table2[Dias no laborales]))</f>
        <v>8</v>
      </c>
      <c r="J1908" s="7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7" t="str">
        <f t="shared" si="88"/>
        <v>Programados</v>
      </c>
      <c r="L1908" s="11">
        <v>46120</v>
      </c>
      <c r="M1908" s="22">
        <f>MAX(1,NETWORKDAYS(A1908,L1908,Table2[Dias no laborales]))</f>
        <v>1</v>
      </c>
    </row>
    <row r="1909" spans="1:13" x14ac:dyDescent="0.35">
      <c r="A1909" s="11">
        <v>46120</v>
      </c>
      <c r="B1909" s="20" t="s">
        <v>3852</v>
      </c>
      <c r="C1909" s="7" t="s">
        <v>3861</v>
      </c>
      <c r="D1909" s="7" t="s">
        <v>27</v>
      </c>
      <c r="E1909" s="18"/>
      <c r="F1909" s="11">
        <f>IF(HOUR(Table1[[#This Row],[CORREO]])&gt;=11,WORKDAY(Table1[[#This Row],[CORREO]],1,Table2[Dias no laborales]),E1909)</f>
        <v>0</v>
      </c>
      <c r="G1909" s="11">
        <v>46127</v>
      </c>
      <c r="H1909" s="7">
        <f t="shared" si="87"/>
        <v>14</v>
      </c>
      <c r="I1909" s="7">
        <f>MAX(1, NETWORKDAYS(A1909, G1909,Table2[Dias no laborales]))</f>
        <v>6</v>
      </c>
      <c r="J1909" s="7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7" t="str">
        <f t="shared" si="88"/>
        <v>Programados</v>
      </c>
      <c r="L1909" s="11">
        <v>46120</v>
      </c>
      <c r="M1909" s="22">
        <f>MAX(1,NETWORKDAYS(A1909,L1909,Table2[Dias no laborales]))</f>
        <v>1</v>
      </c>
    </row>
    <row r="1910" spans="1:13" x14ac:dyDescent="0.35">
      <c r="A1910" s="11">
        <v>46120</v>
      </c>
      <c r="B1910" s="20" t="s">
        <v>3853</v>
      </c>
      <c r="C1910" s="7" t="s">
        <v>3862</v>
      </c>
      <c r="D1910" s="7" t="s">
        <v>27</v>
      </c>
      <c r="E1910" s="18"/>
      <c r="F1910" s="11">
        <f>IF(HOUR(Table1[[#This Row],[CORREO]])&gt;=11,WORKDAY(Table1[[#This Row],[CORREO]],1,Table2[Dias no laborales]),E1910)</f>
        <v>0</v>
      </c>
      <c r="G1910" s="11">
        <v>46127</v>
      </c>
      <c r="H1910" s="7">
        <f t="shared" ref="H1910:H1911" si="89">INT((A1910-DATE(YEAR(A1910),1,1))/7) + 1</f>
        <v>14</v>
      </c>
      <c r="I1910" s="7">
        <f>MAX(1, NETWORKDAYS(A1910, G1910,Table2[Dias no laborales]))</f>
        <v>6</v>
      </c>
      <c r="J1910" s="7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7" t="str">
        <f t="shared" ref="K1910:K1911" si="90">IF(INT(A1910)=INT(F1910),"A tiempo", IF(A1910&lt;F1910,"Mismo día","Programados"))</f>
        <v>Programados</v>
      </c>
      <c r="L1910" s="11">
        <v>46120</v>
      </c>
      <c r="M1910" s="22">
        <f>MAX(1,NETWORKDAYS(A1910,L1910,Table2[Dias no laborales]))</f>
        <v>1</v>
      </c>
    </row>
    <row r="1911" spans="1:13" x14ac:dyDescent="0.35">
      <c r="A1911" s="11">
        <v>46120</v>
      </c>
      <c r="B1911" s="20" t="s">
        <v>3854</v>
      </c>
      <c r="C1911" s="7" t="s">
        <v>3863</v>
      </c>
      <c r="D1911" s="7" t="s">
        <v>27</v>
      </c>
      <c r="E1911" s="18"/>
      <c r="F1911" s="11">
        <f>IF(HOUR(Table1[[#This Row],[CORREO]])&gt;=11,WORKDAY(Table1[[#This Row],[CORREO]],1,Table2[Dias no laborales]),E1911)</f>
        <v>0</v>
      </c>
      <c r="G1911" s="11">
        <v>46127</v>
      </c>
      <c r="H1911" s="7">
        <f t="shared" si="89"/>
        <v>14</v>
      </c>
      <c r="I1911" s="7">
        <f>MAX(1, NETWORKDAYS(A1911, G1911,Table2[Dias no laborales]))</f>
        <v>6</v>
      </c>
      <c r="J1911" s="7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7" t="str">
        <f t="shared" si="90"/>
        <v>Programados</v>
      </c>
      <c r="L1911" s="11">
        <v>46120</v>
      </c>
      <c r="M1911" s="22">
        <f>MAX(1,NETWORKDAYS(A1911,L1911,Table2[Dias no laborales]))</f>
        <v>1</v>
      </c>
    </row>
    <row r="1912" spans="1:13" x14ac:dyDescent="0.35">
      <c r="A1912" s="11">
        <v>46121</v>
      </c>
      <c r="B1912" s="20" t="s">
        <v>3864</v>
      </c>
      <c r="C1912" s="7" t="s">
        <v>3909</v>
      </c>
      <c r="D1912" s="7" t="s">
        <v>154</v>
      </c>
      <c r="E1912" s="18">
        <v>46120.613194444442</v>
      </c>
      <c r="F1912" s="11">
        <f>IF(HOUR(Table1[[#This Row],[CORREO]])&gt;=11,WORKDAY(Table1[[#This Row],[CORREO]],1,Table2[Dias no laborales]),E1912)</f>
        <v>46121</v>
      </c>
      <c r="G1912" s="11">
        <v>46127</v>
      </c>
      <c r="H1912" s="7">
        <f t="shared" ref="H1912:H1956" si="91">INT((A1912-DATE(YEAR(A1912),1,1))/7) + 1</f>
        <v>15</v>
      </c>
      <c r="I1912" s="7">
        <f>MAX(1, NETWORKDAYS(A1912, G1912,Table2[Dias no laborales]))</f>
        <v>5</v>
      </c>
      <c r="J1912" s="7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7" t="str">
        <f t="shared" ref="K1912:K1956" si="92">IF(INT(A1912)=INT(F1912),"A tiempo", IF(A1912&lt;F1912,"Mismo día","Programados"))</f>
        <v>A tiempo</v>
      </c>
      <c r="L1912" s="11">
        <v>46121</v>
      </c>
      <c r="M1912" s="22">
        <f>MAX(1,NETWORKDAYS(A1912,L1912,Table2[Dias no laborales]))</f>
        <v>1</v>
      </c>
    </row>
    <row r="1913" spans="1:13" x14ac:dyDescent="0.35">
      <c r="A1913" s="11">
        <v>46121</v>
      </c>
      <c r="B1913" s="20" t="s">
        <v>3865</v>
      </c>
      <c r="C1913" s="7" t="s">
        <v>3910</v>
      </c>
      <c r="D1913" s="7" t="s">
        <v>61</v>
      </c>
      <c r="E1913" s="18">
        <v>46120.545138888891</v>
      </c>
      <c r="F1913" s="11">
        <f>IF(HOUR(Table1[[#This Row],[CORREO]])&gt;=11,WORKDAY(Table1[[#This Row],[CORREO]],1,Table2[Dias no laborales]),E1913)</f>
        <v>46121</v>
      </c>
      <c r="G1913" s="11">
        <v>46121</v>
      </c>
      <c r="H1913" s="7">
        <f t="shared" si="91"/>
        <v>15</v>
      </c>
      <c r="I1913" s="7">
        <f>MAX(1, NETWORKDAYS(A1913, G1913,Table2[Dias no laborales]))</f>
        <v>1</v>
      </c>
      <c r="J1913" s="7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7" t="str">
        <f t="shared" si="92"/>
        <v>A tiempo</v>
      </c>
      <c r="L1913" s="11">
        <v>46121</v>
      </c>
      <c r="M1913" s="22">
        <f>MAX(1,NETWORKDAYS(A1913,L1913,Table2[Dias no laborales]))</f>
        <v>1</v>
      </c>
    </row>
    <row r="1914" spans="1:13" x14ac:dyDescent="0.35">
      <c r="A1914" s="11">
        <v>46121</v>
      </c>
      <c r="B1914" s="20" t="s">
        <v>3866</v>
      </c>
      <c r="C1914" s="7" t="s">
        <v>3911</v>
      </c>
      <c r="D1914" s="7" t="s">
        <v>372</v>
      </c>
      <c r="E1914" s="18">
        <v>46120.706250000003</v>
      </c>
      <c r="F1914" s="11">
        <f>IF(HOUR(Table1[[#This Row],[CORREO]])&gt;=11,WORKDAY(Table1[[#This Row],[CORREO]],1,Table2[Dias no laborales]),E1914)</f>
        <v>46121</v>
      </c>
      <c r="G1914" s="11">
        <v>46126</v>
      </c>
      <c r="H1914" s="7">
        <f t="shared" si="91"/>
        <v>15</v>
      </c>
      <c r="I1914" s="7">
        <f>MAX(1, NETWORKDAYS(A1914, G1914,Table2[Dias no laborales]))</f>
        <v>4</v>
      </c>
      <c r="J1914" s="7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7" t="str">
        <f t="shared" si="92"/>
        <v>A tiempo</v>
      </c>
      <c r="L1914" s="11">
        <v>46121</v>
      </c>
      <c r="M1914" s="22">
        <f>MAX(1,NETWORKDAYS(A1914,L1914,Table2[Dias no laborales]))</f>
        <v>1</v>
      </c>
    </row>
    <row r="1915" spans="1:13" x14ac:dyDescent="0.35">
      <c r="A1915" s="11">
        <v>46121</v>
      </c>
      <c r="B1915" s="20" t="s">
        <v>3867</v>
      </c>
      <c r="C1915" s="7" t="s">
        <v>3912</v>
      </c>
      <c r="D1915" s="7" t="s">
        <v>372</v>
      </c>
      <c r="E1915" s="18">
        <v>46120.709027777775</v>
      </c>
      <c r="F1915" s="11">
        <f>IF(HOUR(Table1[[#This Row],[CORREO]])&gt;=11,WORKDAY(Table1[[#This Row],[CORREO]],1,Table2[Dias no laborales]),E1915)</f>
        <v>46121</v>
      </c>
      <c r="G1915" s="11">
        <v>46126</v>
      </c>
      <c r="H1915" s="7">
        <f t="shared" si="91"/>
        <v>15</v>
      </c>
      <c r="I1915" s="7">
        <f>MAX(1, NETWORKDAYS(A1915, G1915,Table2[Dias no laborales]))</f>
        <v>4</v>
      </c>
      <c r="J1915" s="7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7" t="str">
        <f t="shared" si="92"/>
        <v>A tiempo</v>
      </c>
      <c r="L1915" s="11">
        <v>46121</v>
      </c>
      <c r="M1915" s="22">
        <f>MAX(1,NETWORKDAYS(A1915,L1915,Table2[Dias no laborales]))</f>
        <v>1</v>
      </c>
    </row>
    <row r="1916" spans="1:13" x14ac:dyDescent="0.35">
      <c r="A1916" s="11">
        <v>46121</v>
      </c>
      <c r="B1916" s="20" t="s">
        <v>3868</v>
      </c>
      <c r="C1916" s="7" t="s">
        <v>1262</v>
      </c>
      <c r="D1916" s="7" t="s">
        <v>623</v>
      </c>
      <c r="E1916" s="18">
        <v>46120.913194444445</v>
      </c>
      <c r="F1916" s="11">
        <f>IF(HOUR(Table1[[#This Row],[CORREO]])&gt;=11,WORKDAY(Table1[[#This Row],[CORREO]],1,Table2[Dias no laborales]),E1916)</f>
        <v>46121</v>
      </c>
      <c r="G1916" s="11">
        <v>46121</v>
      </c>
      <c r="H1916" s="7">
        <f t="shared" si="91"/>
        <v>15</v>
      </c>
      <c r="I1916" s="7">
        <f>MAX(1, NETWORKDAYS(A1916, G1916,Table2[Dias no laborales]))</f>
        <v>1</v>
      </c>
      <c r="J1916" s="7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7" t="str">
        <f t="shared" si="92"/>
        <v>A tiempo</v>
      </c>
      <c r="L1916" s="11">
        <v>46121</v>
      </c>
      <c r="M1916" s="22">
        <f>MAX(1,NETWORKDAYS(A1916,L1916,Table2[Dias no laborales]))</f>
        <v>1</v>
      </c>
    </row>
    <row r="1917" spans="1:13" x14ac:dyDescent="0.35">
      <c r="A1917" s="11">
        <v>46121</v>
      </c>
      <c r="B1917" s="20" t="s">
        <v>3869</v>
      </c>
      <c r="C1917" s="7" t="s">
        <v>3821</v>
      </c>
      <c r="D1917" s="7" t="s">
        <v>3822</v>
      </c>
      <c r="E1917" s="18">
        <v>46121.338888888888</v>
      </c>
      <c r="F1917" s="11">
        <f>IF(HOUR(Table1[[#This Row],[CORREO]])&gt;=11,WORKDAY(Table1[[#This Row],[CORREO]],1,Table2[Dias no laborales]),E1917)</f>
        <v>46121.338888888888</v>
      </c>
      <c r="G1917" s="11">
        <v>46121</v>
      </c>
      <c r="H1917" s="7">
        <f t="shared" si="91"/>
        <v>15</v>
      </c>
      <c r="I1917" s="7">
        <f>MAX(1, NETWORKDAYS(A1917, G1917,Table2[Dias no laborales]))</f>
        <v>1</v>
      </c>
      <c r="J1917" s="7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7" t="str">
        <f t="shared" si="92"/>
        <v>A tiempo</v>
      </c>
      <c r="L1917" s="11">
        <v>46121</v>
      </c>
      <c r="M1917" s="22">
        <f>MAX(1,NETWORKDAYS(A1917,L1917,Table2[Dias no laborales]))</f>
        <v>1</v>
      </c>
    </row>
    <row r="1918" spans="1:13" x14ac:dyDescent="0.35">
      <c r="A1918" s="11">
        <v>46121</v>
      </c>
      <c r="B1918" s="20" t="s">
        <v>3870</v>
      </c>
      <c r="C1918" s="7" t="s">
        <v>3913</v>
      </c>
      <c r="D1918" s="7" t="s">
        <v>538</v>
      </c>
      <c r="E1918" s="18">
        <v>46121.417361111111</v>
      </c>
      <c r="F1918" s="11">
        <f>IF(HOUR(Table1[[#This Row],[CORREO]])&gt;=11,WORKDAY(Table1[[#This Row],[CORREO]],1,Table2[Dias no laborales]),E1918)</f>
        <v>46121.417361111111</v>
      </c>
      <c r="G1918" s="11"/>
      <c r="H1918" s="7">
        <f t="shared" si="91"/>
        <v>15</v>
      </c>
      <c r="I1918" s="7">
        <f>MAX(1, NETWORKDAYS(A1918, G1918,Table2[Dias no laborales]))</f>
        <v>1</v>
      </c>
      <c r="J1918" s="7" t="str">
        <f>IF(Table1[[#This Row],[FIN]]="","Acumulado",IF(ISNUMBER(SEARCH("ASAP",C1918)),"ASAP",IF(NETWORKDAYS.INTL(F1918,G1918,1,Table2[Dias no laborales]) &lt;= 7, "Dentro", IF(A1918&gt;F1918,"Programado","Fuera"))))</f>
        <v>Acumulado</v>
      </c>
      <c r="K1918" s="7" t="str">
        <f t="shared" si="92"/>
        <v>A tiempo</v>
      </c>
      <c r="L1918" s="11">
        <v>46121</v>
      </c>
      <c r="M1918" s="22">
        <f>MAX(1,NETWORKDAYS(A1918,L1918,Table2[Dias no laborales]))</f>
        <v>1</v>
      </c>
    </row>
    <row r="1919" spans="1:13" x14ac:dyDescent="0.35">
      <c r="A1919" s="11">
        <v>46121</v>
      </c>
      <c r="B1919" s="20" t="s">
        <v>3871</v>
      </c>
      <c r="C1919" s="7" t="s">
        <v>3914</v>
      </c>
      <c r="D1919" s="7" t="s">
        <v>1333</v>
      </c>
      <c r="E1919" s="18">
        <v>46121.566666666666</v>
      </c>
      <c r="F1919" s="11">
        <f>IF(HOUR(Table1[[#This Row],[CORREO]])&gt;=11,WORKDAY(Table1[[#This Row],[CORREO]],1,Table2[Dias no laborales]),E1919)</f>
        <v>46122</v>
      </c>
      <c r="G1919" s="11">
        <v>46125</v>
      </c>
      <c r="H1919" s="7">
        <f t="shared" si="91"/>
        <v>15</v>
      </c>
      <c r="I1919" s="7">
        <f>MAX(1, NETWORKDAYS(A1919, G1919,Table2[Dias no laborales]))</f>
        <v>3</v>
      </c>
      <c r="J1919" s="7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7" t="str">
        <f t="shared" si="92"/>
        <v>Mismo día</v>
      </c>
      <c r="L1919" s="11">
        <v>46121</v>
      </c>
      <c r="M1919" s="22">
        <f>MAX(1,NETWORKDAYS(A1919,L1919,Table2[Dias no laborales]))</f>
        <v>1</v>
      </c>
    </row>
    <row r="1920" spans="1:13" x14ac:dyDescent="0.35">
      <c r="A1920" s="11">
        <v>46122</v>
      </c>
      <c r="B1920" s="20" t="s">
        <v>3872</v>
      </c>
      <c r="C1920" s="7" t="s">
        <v>3915</v>
      </c>
      <c r="D1920" s="7" t="s">
        <v>913</v>
      </c>
      <c r="E1920" s="18">
        <v>46121.57916666667</v>
      </c>
      <c r="F1920" s="11">
        <f>IF(HOUR(Table1[[#This Row],[CORREO]])&gt;=11,WORKDAY(Table1[[#This Row],[CORREO]],1,Table2[Dias no laborales]),E1920)</f>
        <v>46122</v>
      </c>
      <c r="G1920" s="11">
        <v>46126</v>
      </c>
      <c r="H1920" s="7">
        <f t="shared" si="91"/>
        <v>15</v>
      </c>
      <c r="I1920" s="7">
        <f>MAX(1, NETWORKDAYS(A1920, G1920,Table2[Dias no laborales]))</f>
        <v>3</v>
      </c>
      <c r="J1920" s="7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7" t="str">
        <f t="shared" si="92"/>
        <v>A tiempo</v>
      </c>
      <c r="L1920" s="11">
        <v>46122</v>
      </c>
      <c r="M1920" s="22">
        <f>MAX(1,NETWORKDAYS(A1920,L1920,Table2[Dias no laborales]))</f>
        <v>1</v>
      </c>
    </row>
    <row r="1921" spans="1:13" x14ac:dyDescent="0.35">
      <c r="A1921" s="11">
        <v>46122</v>
      </c>
      <c r="B1921" s="20" t="s">
        <v>3873</v>
      </c>
      <c r="C1921" s="7" t="s">
        <v>3916</v>
      </c>
      <c r="D1921" s="7" t="s">
        <v>3020</v>
      </c>
      <c r="E1921" s="18">
        <v>46122.331944444442</v>
      </c>
      <c r="F1921" s="11">
        <f>IF(HOUR(Table1[[#This Row],[CORREO]])&gt;=11,WORKDAY(Table1[[#This Row],[CORREO]],1,Table2[Dias no laborales]),E1921)</f>
        <v>46122.331944444442</v>
      </c>
      <c r="G1921" s="11">
        <v>46122</v>
      </c>
      <c r="H1921" s="7">
        <f t="shared" si="91"/>
        <v>15</v>
      </c>
      <c r="I1921" s="7">
        <f>MAX(1, NETWORKDAYS(A1921, G1921,Table2[Dias no laborales]))</f>
        <v>1</v>
      </c>
      <c r="J1921" s="7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7" t="str">
        <f t="shared" si="92"/>
        <v>A tiempo</v>
      </c>
      <c r="L1921" s="11">
        <v>46122</v>
      </c>
      <c r="M1921" s="22">
        <f>MAX(1,NETWORKDAYS(A1921,L1921,Table2[Dias no laborales]))</f>
        <v>1</v>
      </c>
    </row>
    <row r="1922" spans="1:13" x14ac:dyDescent="0.35">
      <c r="A1922" s="11">
        <v>46122</v>
      </c>
      <c r="B1922" s="20" t="s">
        <v>3874</v>
      </c>
      <c r="C1922" s="7" t="s">
        <v>3284</v>
      </c>
      <c r="D1922" s="7" t="s">
        <v>27</v>
      </c>
      <c r="E1922" s="18"/>
      <c r="F1922" s="11">
        <f>IF(HOUR(Table1[[#This Row],[CORREO]])&gt;=11,WORKDAY(Table1[[#This Row],[CORREO]],1,Table2[Dias no laborales]),E1922)</f>
        <v>0</v>
      </c>
      <c r="G1922" s="11">
        <v>46134</v>
      </c>
      <c r="H1922" s="7">
        <f t="shared" si="91"/>
        <v>15</v>
      </c>
      <c r="I1922" s="7">
        <f>MAX(1, NETWORKDAYS(A1922, G1922,Table2[Dias no laborales]))</f>
        <v>9</v>
      </c>
      <c r="J1922" s="7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7" t="str">
        <f t="shared" si="92"/>
        <v>Programados</v>
      </c>
      <c r="L1922" s="11">
        <v>46122</v>
      </c>
      <c r="M1922" s="22">
        <f>MAX(1,NETWORKDAYS(A1922,L1922,Table2[Dias no laborales]))</f>
        <v>1</v>
      </c>
    </row>
    <row r="1923" spans="1:13" x14ac:dyDescent="0.35">
      <c r="A1923" s="11">
        <v>46122</v>
      </c>
      <c r="B1923" s="20" t="s">
        <v>3875</v>
      </c>
      <c r="C1923" s="7" t="s">
        <v>170</v>
      </c>
      <c r="D1923" s="7" t="s">
        <v>171</v>
      </c>
      <c r="E1923" s="18">
        <v>46122.380555555559</v>
      </c>
      <c r="F1923" s="11">
        <f>IF(HOUR(Table1[[#This Row],[CORREO]])&gt;=11,WORKDAY(Table1[[#This Row],[CORREO]],1,Table2[Dias no laborales]),E1923)</f>
        <v>46122.380555555559</v>
      </c>
      <c r="G1923" s="11">
        <v>46122</v>
      </c>
      <c r="H1923" s="7">
        <f t="shared" si="91"/>
        <v>15</v>
      </c>
      <c r="I1923" s="7">
        <f>MAX(1, NETWORKDAYS(A1923, G1923,Table2[Dias no laborales]))</f>
        <v>1</v>
      </c>
      <c r="J1923" s="7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7" t="str">
        <f t="shared" si="92"/>
        <v>A tiempo</v>
      </c>
      <c r="L1923" s="11">
        <v>46122</v>
      </c>
      <c r="M1923" s="22">
        <f>MAX(1,NETWORKDAYS(A1923,L1923,Table2[Dias no laborales]))</f>
        <v>1</v>
      </c>
    </row>
    <row r="1924" spans="1:13" x14ac:dyDescent="0.35">
      <c r="A1924" s="11">
        <v>46122</v>
      </c>
      <c r="B1924" s="20" t="s">
        <v>3876</v>
      </c>
      <c r="C1924" s="7" t="s">
        <v>3917</v>
      </c>
      <c r="D1924" s="7" t="s">
        <v>623</v>
      </c>
      <c r="E1924" s="18">
        <v>46122.386111111111</v>
      </c>
      <c r="F1924" s="11">
        <f>IF(HOUR(Table1[[#This Row],[CORREO]])&gt;=11,WORKDAY(Table1[[#This Row],[CORREO]],1,Table2[Dias no laborales]),E1924)</f>
        <v>46122.386111111111</v>
      </c>
      <c r="G1924" s="11">
        <v>46125</v>
      </c>
      <c r="H1924" s="7">
        <f t="shared" si="91"/>
        <v>15</v>
      </c>
      <c r="I1924" s="7">
        <f>MAX(1, NETWORKDAYS(A1924, G1924,Table2[Dias no laborales]))</f>
        <v>2</v>
      </c>
      <c r="J1924" s="7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7" t="str">
        <f t="shared" si="92"/>
        <v>A tiempo</v>
      </c>
      <c r="L1924" s="11">
        <v>46122</v>
      </c>
      <c r="M1924" s="22">
        <f>MAX(1,NETWORKDAYS(A1924,L1924,Table2[Dias no laborales]))</f>
        <v>1</v>
      </c>
    </row>
    <row r="1925" spans="1:13" x14ac:dyDescent="0.35">
      <c r="A1925" s="11">
        <v>46122</v>
      </c>
      <c r="B1925" s="20" t="s">
        <v>3877</v>
      </c>
      <c r="C1925" s="7" t="s">
        <v>3918</v>
      </c>
      <c r="D1925" s="7" t="s">
        <v>1333</v>
      </c>
      <c r="E1925" s="18">
        <v>46122</v>
      </c>
      <c r="F1925" s="11">
        <f>IF(HOUR(Table1[[#This Row],[CORREO]])&gt;=11,WORKDAY(Table1[[#This Row],[CORREO]],1,Table2[Dias no laborales]),E1925)</f>
        <v>46122</v>
      </c>
      <c r="G1925" s="11">
        <v>46122</v>
      </c>
      <c r="H1925" s="7">
        <f t="shared" si="91"/>
        <v>15</v>
      </c>
      <c r="I1925" s="7">
        <f>MAX(1, NETWORKDAYS(A1925, G1925,Table2[Dias no laborales]))</f>
        <v>1</v>
      </c>
      <c r="J1925" s="7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7" t="str">
        <f t="shared" si="92"/>
        <v>A tiempo</v>
      </c>
      <c r="L1925" s="11">
        <v>46122</v>
      </c>
      <c r="M1925" s="22">
        <f>MAX(1,NETWORKDAYS(A1925,L1925,Table2[Dias no laborales]))</f>
        <v>1</v>
      </c>
    </row>
    <row r="1926" spans="1:13" x14ac:dyDescent="0.35">
      <c r="A1926" s="11">
        <v>46125</v>
      </c>
      <c r="B1926" s="20" t="s">
        <v>3878</v>
      </c>
      <c r="C1926" s="7" t="s">
        <v>3919</v>
      </c>
      <c r="D1926" s="7" t="s">
        <v>24</v>
      </c>
      <c r="E1926" s="18"/>
      <c r="F1926" s="11">
        <f>IF(HOUR(Table1[[#This Row],[CORREO]])&gt;=11,WORKDAY(Table1[[#This Row],[CORREO]],1,Table2[Dias no laborales]),E1926)</f>
        <v>0</v>
      </c>
      <c r="G1926" s="11">
        <v>46129</v>
      </c>
      <c r="H1926" s="7">
        <f t="shared" si="91"/>
        <v>15</v>
      </c>
      <c r="I1926" s="7">
        <f>MAX(1, NETWORKDAYS(A1926, G1926,Table2[Dias no laborales]))</f>
        <v>5</v>
      </c>
      <c r="J1926" s="7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7" t="str">
        <f t="shared" si="92"/>
        <v>Programados</v>
      </c>
      <c r="L1926" s="11">
        <v>46125</v>
      </c>
      <c r="M1926" s="22">
        <f>MAX(1,NETWORKDAYS(A1926,L1926,Table2[Dias no laborales]))</f>
        <v>1</v>
      </c>
    </row>
    <row r="1927" spans="1:13" x14ac:dyDescent="0.35">
      <c r="A1927" s="11">
        <v>46125</v>
      </c>
      <c r="B1927" s="20" t="s">
        <v>3879</v>
      </c>
      <c r="C1927" s="7" t="s">
        <v>3920</v>
      </c>
      <c r="D1927" s="7" t="s">
        <v>1644</v>
      </c>
      <c r="E1927" s="18">
        <v>46122.504861111112</v>
      </c>
      <c r="F1927" s="11">
        <f>IF(HOUR(Table1[[#This Row],[CORREO]])&gt;=11,WORKDAY(Table1[[#This Row],[CORREO]],1,Table2[Dias no laborales]),E1927)</f>
        <v>46125</v>
      </c>
      <c r="G1927" s="11">
        <v>46126</v>
      </c>
      <c r="H1927" s="7">
        <f t="shared" si="91"/>
        <v>15</v>
      </c>
      <c r="I1927" s="7">
        <f>MAX(1, NETWORKDAYS(A1927, G1927,Table2[Dias no laborales]))</f>
        <v>2</v>
      </c>
      <c r="J1927" s="7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7" t="str">
        <f t="shared" si="92"/>
        <v>A tiempo</v>
      </c>
      <c r="L1927" s="11">
        <v>46125</v>
      </c>
      <c r="M1927" s="22">
        <f>MAX(1,NETWORKDAYS(A1927,L1927,Table2[Dias no laborales]))</f>
        <v>1</v>
      </c>
    </row>
    <row r="1928" spans="1:13" x14ac:dyDescent="0.35">
      <c r="A1928" s="11">
        <v>46125</v>
      </c>
      <c r="B1928" s="20" t="s">
        <v>3880</v>
      </c>
      <c r="C1928" s="7" t="s">
        <v>3921</v>
      </c>
      <c r="D1928" s="7" t="s">
        <v>171</v>
      </c>
      <c r="E1928" s="18">
        <v>46122.539583333331</v>
      </c>
      <c r="F1928" s="11">
        <f>IF(HOUR(Table1[[#This Row],[CORREO]])&gt;=11,WORKDAY(Table1[[#This Row],[CORREO]],1,Table2[Dias no laborales]),E1928)</f>
        <v>46125</v>
      </c>
      <c r="G1928" s="11">
        <v>46125</v>
      </c>
      <c r="H1928" s="7">
        <f t="shared" si="91"/>
        <v>15</v>
      </c>
      <c r="I1928" s="7">
        <f>MAX(1, NETWORKDAYS(A1928, G1928,Table2[Dias no laborales]))</f>
        <v>1</v>
      </c>
      <c r="J1928" s="7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7" t="str">
        <f t="shared" si="92"/>
        <v>A tiempo</v>
      </c>
      <c r="L1928" s="11">
        <v>46125</v>
      </c>
      <c r="M1928" s="22">
        <f>MAX(1,NETWORKDAYS(A1928,L1928,Table2[Dias no laborales]))</f>
        <v>1</v>
      </c>
    </row>
    <row r="1929" spans="1:13" x14ac:dyDescent="0.35">
      <c r="A1929" s="11">
        <v>46125</v>
      </c>
      <c r="B1929" s="20" t="s">
        <v>3881</v>
      </c>
      <c r="C1929" s="7" t="s">
        <v>3922</v>
      </c>
      <c r="D1929" s="18" t="s">
        <v>2981</v>
      </c>
      <c r="E1929" s="18">
        <v>46122.654166666667</v>
      </c>
      <c r="F1929" s="11">
        <f>IF(HOUR(Table1[[#This Row],[CORREO]])&gt;=11,WORKDAY(Table1[[#This Row],[CORREO]],1,Table2[Dias no laborales]),E1929)</f>
        <v>46125</v>
      </c>
      <c r="G1929" s="11">
        <v>46125</v>
      </c>
      <c r="H1929" s="7">
        <f t="shared" si="91"/>
        <v>15</v>
      </c>
      <c r="I1929" s="7">
        <f>MAX(1, NETWORKDAYS(A1929, G1929,Table2[Dias no laborales]))</f>
        <v>1</v>
      </c>
      <c r="J1929" s="7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7" t="str">
        <f t="shared" si="92"/>
        <v>A tiempo</v>
      </c>
      <c r="L1929" s="11">
        <v>46125</v>
      </c>
      <c r="M1929" s="22">
        <f>MAX(1,NETWORKDAYS(A1929,L1929,Table2[Dias no laborales]))</f>
        <v>1</v>
      </c>
    </row>
    <row r="1930" spans="1:13" x14ac:dyDescent="0.35">
      <c r="A1930" s="11">
        <v>46125</v>
      </c>
      <c r="B1930" s="20" t="s">
        <v>3882</v>
      </c>
      <c r="C1930" s="7" t="s">
        <v>3923</v>
      </c>
      <c r="D1930" s="7" t="s">
        <v>3794</v>
      </c>
      <c r="E1930" s="18">
        <v>46125.318749999999</v>
      </c>
      <c r="F1930" s="11">
        <f>IF(HOUR(Table1[[#This Row],[CORREO]])&gt;=11,WORKDAY(Table1[[#This Row],[CORREO]],1,Table2[Dias no laborales]),E1930)</f>
        <v>46125.318749999999</v>
      </c>
      <c r="G1930" s="11">
        <v>46125</v>
      </c>
      <c r="H1930" s="7">
        <f t="shared" si="91"/>
        <v>15</v>
      </c>
      <c r="I1930" s="7">
        <f>MAX(1, NETWORKDAYS(A1930, G1930,Table2[Dias no laborales]))</f>
        <v>1</v>
      </c>
      <c r="J1930" s="7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7" t="str">
        <f t="shared" si="92"/>
        <v>A tiempo</v>
      </c>
      <c r="L1930" s="11">
        <v>46125</v>
      </c>
      <c r="M1930" s="22">
        <f>MAX(1,NETWORKDAYS(A1930,L1930,Table2[Dias no laborales]))</f>
        <v>1</v>
      </c>
    </row>
    <row r="1931" spans="1:13" x14ac:dyDescent="0.35">
      <c r="A1931" s="11">
        <v>46125</v>
      </c>
      <c r="B1931" s="20" t="s">
        <v>3883</v>
      </c>
      <c r="C1931" s="7" t="s">
        <v>3924</v>
      </c>
      <c r="D1931" s="7" t="s">
        <v>24</v>
      </c>
      <c r="E1931" s="18">
        <v>46125.32708333333</v>
      </c>
      <c r="F1931" s="11">
        <f>IF(HOUR(Table1[[#This Row],[CORREO]])&gt;=11,WORKDAY(Table1[[#This Row],[CORREO]],1,Table2[Dias no laborales]),E1931)</f>
        <v>46125.32708333333</v>
      </c>
      <c r="G1931" s="11">
        <v>46129</v>
      </c>
      <c r="H1931" s="7">
        <f t="shared" si="91"/>
        <v>15</v>
      </c>
      <c r="I1931" s="7">
        <f>MAX(1, NETWORKDAYS(A1931, G1931,Table2[Dias no laborales]))</f>
        <v>5</v>
      </c>
      <c r="J1931" s="7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7" t="str">
        <f t="shared" si="92"/>
        <v>A tiempo</v>
      </c>
      <c r="L1931" s="11">
        <v>46125</v>
      </c>
      <c r="M1931" s="22">
        <f>MAX(1,NETWORKDAYS(A1931,L1931,Table2[Dias no laborales]))</f>
        <v>1</v>
      </c>
    </row>
    <row r="1932" spans="1:13" x14ac:dyDescent="0.35">
      <c r="A1932" s="11">
        <v>46125</v>
      </c>
      <c r="B1932" s="20" t="s">
        <v>3884</v>
      </c>
      <c r="C1932" s="7" t="s">
        <v>3910</v>
      </c>
      <c r="D1932" s="7" t="s">
        <v>61</v>
      </c>
      <c r="E1932" s="18">
        <v>46125.331944444442</v>
      </c>
      <c r="F1932" s="11">
        <f>IF(HOUR(Table1[[#This Row],[CORREO]])&gt;=11,WORKDAY(Table1[[#This Row],[CORREO]],1,Table2[Dias no laborales]),E1932)</f>
        <v>46125.331944444442</v>
      </c>
      <c r="G1932" s="11">
        <v>46125</v>
      </c>
      <c r="H1932" s="7">
        <f t="shared" si="91"/>
        <v>15</v>
      </c>
      <c r="I1932" s="7">
        <f>MAX(1, NETWORKDAYS(A1932, G1932,Table2[Dias no laborales]))</f>
        <v>1</v>
      </c>
      <c r="J1932" s="7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7" t="str">
        <f t="shared" si="92"/>
        <v>A tiempo</v>
      </c>
      <c r="L1932" s="11">
        <v>46125</v>
      </c>
      <c r="M1932" s="22">
        <f>MAX(1,NETWORKDAYS(A1932,L1932,Table2[Dias no laborales]))</f>
        <v>1</v>
      </c>
    </row>
    <row r="1933" spans="1:13" x14ac:dyDescent="0.35">
      <c r="A1933" s="11">
        <v>46125</v>
      </c>
      <c r="B1933" s="20" t="s">
        <v>3885</v>
      </c>
      <c r="C1933" s="7" t="s">
        <v>3735</v>
      </c>
      <c r="D1933" s="7" t="s">
        <v>3706</v>
      </c>
      <c r="E1933" s="18">
        <v>46125.35833333333</v>
      </c>
      <c r="F1933" s="11">
        <f>IF(HOUR(Table1[[#This Row],[CORREO]])&gt;=11,WORKDAY(Table1[[#This Row],[CORREO]],1,Table2[Dias no laborales]),E1933)</f>
        <v>46125.35833333333</v>
      </c>
      <c r="G1933" s="11">
        <v>46126</v>
      </c>
      <c r="H1933" s="7">
        <f t="shared" si="91"/>
        <v>15</v>
      </c>
      <c r="I1933" s="7">
        <f>MAX(1, NETWORKDAYS(A1933, G1933,Table2[Dias no laborales]))</f>
        <v>2</v>
      </c>
      <c r="J1933" s="7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7" t="str">
        <f t="shared" si="92"/>
        <v>A tiempo</v>
      </c>
      <c r="L1933" s="11">
        <v>46125</v>
      </c>
      <c r="M1933" s="22">
        <f>MAX(1,NETWORKDAYS(A1933,L1933,Table2[Dias no laborales]))</f>
        <v>1</v>
      </c>
    </row>
    <row r="1934" spans="1:13" x14ac:dyDescent="0.35">
      <c r="A1934" s="11">
        <v>46125</v>
      </c>
      <c r="B1934" s="20" t="s">
        <v>3886</v>
      </c>
      <c r="C1934" s="7" t="s">
        <v>3925</v>
      </c>
      <c r="D1934" s="7" t="s">
        <v>3926</v>
      </c>
      <c r="E1934" s="18"/>
      <c r="F1934" s="11">
        <f>IF(HOUR(Table1[[#This Row],[CORREO]])&gt;=11,WORKDAY(Table1[[#This Row],[CORREO]],1,Table2[Dias no laborales]),E1934)</f>
        <v>0</v>
      </c>
      <c r="G1934" s="11">
        <v>46129</v>
      </c>
      <c r="H1934" s="7">
        <f t="shared" si="91"/>
        <v>15</v>
      </c>
      <c r="I1934" s="7">
        <f>MAX(1, NETWORKDAYS(A1934, G1934,Table2[Dias no laborales]))</f>
        <v>5</v>
      </c>
      <c r="J1934" s="7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7" t="str">
        <f t="shared" si="92"/>
        <v>Programados</v>
      </c>
      <c r="L1934" s="11">
        <v>46125</v>
      </c>
      <c r="M1934" s="22">
        <f>MAX(1,NETWORKDAYS(A1934,L1934,Table2[Dias no laborales]))</f>
        <v>1</v>
      </c>
    </row>
    <row r="1935" spans="1:13" x14ac:dyDescent="0.35">
      <c r="A1935" s="11">
        <v>46126</v>
      </c>
      <c r="B1935" s="20" t="s">
        <v>3887</v>
      </c>
      <c r="C1935" s="7" t="s">
        <v>3927</v>
      </c>
      <c r="D1935" s="7" t="s">
        <v>2994</v>
      </c>
      <c r="E1935" s="18">
        <v>46125.585416666669</v>
      </c>
      <c r="F1935" s="11">
        <f>IF(HOUR(Table1[[#This Row],[CORREO]])&gt;=11,WORKDAY(Table1[[#This Row],[CORREO]],1,Table2[Dias no laborales]),E1935)</f>
        <v>46126</v>
      </c>
      <c r="G1935" s="11">
        <v>46129</v>
      </c>
      <c r="H1935" s="7">
        <f t="shared" si="91"/>
        <v>15</v>
      </c>
      <c r="I1935" s="7">
        <f>MAX(1, NETWORKDAYS(A1935, G1935,Table2[Dias no laborales]))</f>
        <v>4</v>
      </c>
      <c r="J1935" s="7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7" t="str">
        <f t="shared" si="92"/>
        <v>A tiempo</v>
      </c>
      <c r="L1935" s="11">
        <v>46125</v>
      </c>
      <c r="M1935" s="22">
        <f>MAX(1,NETWORKDAYS(A1935,L1935,Table2[Dias no laborales]))</f>
        <v>1</v>
      </c>
    </row>
    <row r="1936" spans="1:13" x14ac:dyDescent="0.35">
      <c r="A1936" s="11">
        <v>46125</v>
      </c>
      <c r="B1936" s="20" t="s">
        <v>3888</v>
      </c>
      <c r="C1936" s="7" t="s">
        <v>3928</v>
      </c>
      <c r="D1936" s="7" t="s">
        <v>2994</v>
      </c>
      <c r="E1936" s="18">
        <v>46125.604861111111</v>
      </c>
      <c r="F1936" s="11">
        <f>IF(HOUR(Table1[[#This Row],[CORREO]])&gt;=11,WORKDAY(Table1[[#This Row],[CORREO]],1,Table2[Dias no laborales]),E1936)</f>
        <v>46126</v>
      </c>
      <c r="G1936" s="11">
        <v>46129</v>
      </c>
      <c r="H1936" s="7">
        <f t="shared" si="91"/>
        <v>15</v>
      </c>
      <c r="I1936" s="7">
        <f>MAX(1, NETWORKDAYS(A1936, G1936,Table2[Dias no laborales]))</f>
        <v>5</v>
      </c>
      <c r="J1936" s="7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7" t="str">
        <f t="shared" si="92"/>
        <v>Mismo día</v>
      </c>
      <c r="L1936" s="11">
        <v>46125</v>
      </c>
      <c r="M1936" s="22">
        <f>MAX(1,NETWORKDAYS(A1936,L1936,Table2[Dias no laborales]))</f>
        <v>1</v>
      </c>
    </row>
    <row r="1937" spans="1:13" x14ac:dyDescent="0.35">
      <c r="A1937" s="11">
        <v>46125</v>
      </c>
      <c r="B1937" s="20" t="s">
        <v>3889</v>
      </c>
      <c r="C1937" s="7" t="s">
        <v>3929</v>
      </c>
      <c r="D1937" s="7" t="s">
        <v>2994</v>
      </c>
      <c r="E1937" s="18">
        <v>46125.627083333333</v>
      </c>
      <c r="F1937" s="11">
        <f>IF(HOUR(Table1[[#This Row],[CORREO]])&gt;=11,WORKDAY(Table1[[#This Row],[CORREO]],1,Table2[Dias no laborales]),E1937)</f>
        <v>46126</v>
      </c>
      <c r="G1937" s="11">
        <v>46133</v>
      </c>
      <c r="H1937" s="7">
        <f t="shared" si="91"/>
        <v>15</v>
      </c>
      <c r="I1937" s="7">
        <f>MAX(1, NETWORKDAYS(A1937, G1937,Table2[Dias no laborales]))</f>
        <v>7</v>
      </c>
      <c r="J1937" s="7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7" t="str">
        <f t="shared" si="92"/>
        <v>Mismo día</v>
      </c>
      <c r="L1937" s="11">
        <v>46125</v>
      </c>
      <c r="M1937" s="22">
        <f>MAX(1,NETWORKDAYS(A1937,L1937,Table2[Dias no laborales]))</f>
        <v>1</v>
      </c>
    </row>
    <row r="1938" spans="1:13" x14ac:dyDescent="0.35">
      <c r="A1938" s="11">
        <v>46125</v>
      </c>
      <c r="B1938" s="20" t="s">
        <v>3890</v>
      </c>
      <c r="C1938" s="7" t="s">
        <v>3930</v>
      </c>
      <c r="D1938" s="7" t="s">
        <v>56</v>
      </c>
      <c r="E1938" s="18">
        <v>46125.704861111109</v>
      </c>
      <c r="F1938" s="11">
        <f>IF(HOUR(Table1[[#This Row],[CORREO]])&gt;=11,WORKDAY(Table1[[#This Row],[CORREO]],1,Table2[Dias no laborales]),E1938)</f>
        <v>46126</v>
      </c>
      <c r="G1938" s="11">
        <v>46129</v>
      </c>
      <c r="H1938" s="7">
        <f t="shared" si="91"/>
        <v>15</v>
      </c>
      <c r="I1938" s="7">
        <f>MAX(1, NETWORKDAYS(A1938, G1938,Table2[Dias no laborales]))</f>
        <v>5</v>
      </c>
      <c r="J1938" s="7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7" t="str">
        <f t="shared" si="92"/>
        <v>Mismo día</v>
      </c>
      <c r="L1938" s="11">
        <v>46125</v>
      </c>
      <c r="M1938" s="22">
        <f>MAX(1,NETWORKDAYS(A1938,L1938,Table2[Dias no laborales]))</f>
        <v>1</v>
      </c>
    </row>
    <row r="1939" spans="1:13" x14ac:dyDescent="0.35">
      <c r="A1939" s="11">
        <v>46126</v>
      </c>
      <c r="B1939" s="20" t="s">
        <v>3891</v>
      </c>
      <c r="C1939" s="7" t="s">
        <v>3931</v>
      </c>
      <c r="D1939" s="7" t="s">
        <v>2981</v>
      </c>
      <c r="E1939" s="18">
        <v>46125.574999999997</v>
      </c>
      <c r="F1939" s="11">
        <f>IF(HOUR(Table1[[#This Row],[CORREO]])&gt;=11,WORKDAY(Table1[[#This Row],[CORREO]],1,Table2[Dias no laborales]),E1939)</f>
        <v>46126</v>
      </c>
      <c r="G1939" s="11">
        <v>46127</v>
      </c>
      <c r="H1939" s="7">
        <f t="shared" si="91"/>
        <v>15</v>
      </c>
      <c r="I1939" s="7">
        <f>MAX(1, NETWORKDAYS(A1939, G1939,Table2[Dias no laborales]))</f>
        <v>2</v>
      </c>
      <c r="J1939" s="7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7" t="str">
        <f t="shared" si="92"/>
        <v>A tiempo</v>
      </c>
      <c r="L1939" s="11">
        <v>46126</v>
      </c>
      <c r="M1939" s="22">
        <f>MAX(1,NETWORKDAYS(A1939,L1939,Table2[Dias no laborales]))</f>
        <v>1</v>
      </c>
    </row>
    <row r="1940" spans="1:13" x14ac:dyDescent="0.35">
      <c r="A1940" s="11">
        <v>46126</v>
      </c>
      <c r="B1940" s="20" t="s">
        <v>3892</v>
      </c>
      <c r="C1940" s="7" t="s">
        <v>3932</v>
      </c>
      <c r="D1940" s="7" t="s">
        <v>24</v>
      </c>
      <c r="E1940" s="18">
        <v>46126.339583333334</v>
      </c>
      <c r="F1940" s="11">
        <f>IF(HOUR(Table1[[#This Row],[CORREO]])&gt;=11,WORKDAY(Table1[[#This Row],[CORREO]],1,Table2[Dias no laborales]),E1940)</f>
        <v>46126.339583333334</v>
      </c>
      <c r="G1940" s="11">
        <v>46126</v>
      </c>
      <c r="H1940" s="7">
        <f t="shared" si="91"/>
        <v>15</v>
      </c>
      <c r="I1940" s="7">
        <f>MAX(1, NETWORKDAYS(A1940, G1940,Table2[Dias no laborales]))</f>
        <v>1</v>
      </c>
      <c r="J1940" s="7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7" t="str">
        <f t="shared" si="92"/>
        <v>A tiempo</v>
      </c>
      <c r="L1940" s="11">
        <v>46126</v>
      </c>
      <c r="M1940" s="22">
        <f>MAX(1,NETWORKDAYS(A1940,L1940,Table2[Dias no laborales]))</f>
        <v>1</v>
      </c>
    </row>
    <row r="1941" spans="1:13" x14ac:dyDescent="0.35">
      <c r="A1941" s="11">
        <v>46126</v>
      </c>
      <c r="B1941" s="20" t="s">
        <v>3893</v>
      </c>
      <c r="C1941" s="7" t="s">
        <v>3933</v>
      </c>
      <c r="D1941" s="7" t="s">
        <v>139</v>
      </c>
      <c r="E1941" s="18">
        <v>46126.395833333336</v>
      </c>
      <c r="F1941" s="11">
        <f>IF(HOUR(Table1[[#This Row],[CORREO]])&gt;=11,WORKDAY(Table1[[#This Row],[CORREO]],1,Table2[Dias no laborales]),E1941)</f>
        <v>46126.395833333336</v>
      </c>
      <c r="G1941" s="11">
        <v>46135</v>
      </c>
      <c r="H1941" s="7">
        <f t="shared" si="91"/>
        <v>15</v>
      </c>
      <c r="I1941" s="7">
        <f>MAX(1, NETWORKDAYS(A1941, G1941,Table2[Dias no laborales]))</f>
        <v>8</v>
      </c>
      <c r="J1941" s="7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7" t="str">
        <f t="shared" si="92"/>
        <v>A tiempo</v>
      </c>
      <c r="L1941" s="11">
        <v>46126</v>
      </c>
      <c r="M1941" s="22">
        <f>MAX(1,NETWORKDAYS(A1941,L1941,Table2[Dias no laborales]))</f>
        <v>1</v>
      </c>
    </row>
    <row r="1942" spans="1:13" x14ac:dyDescent="0.35">
      <c r="A1942" s="11">
        <v>46126</v>
      </c>
      <c r="B1942" s="20" t="s">
        <v>3894</v>
      </c>
      <c r="C1942" s="7" t="s">
        <v>3934</v>
      </c>
      <c r="D1942" s="7" t="s">
        <v>269</v>
      </c>
      <c r="E1942" s="18">
        <v>46126.538194444445</v>
      </c>
      <c r="F1942" s="11">
        <f>IF(HOUR(Table1[[#This Row],[CORREO]])&gt;=11,WORKDAY(Table1[[#This Row],[CORREO]],1,Table2[Dias no laborales]),E1942)</f>
        <v>46127</v>
      </c>
      <c r="G1942" s="11">
        <v>46129</v>
      </c>
      <c r="H1942" s="7">
        <f t="shared" si="91"/>
        <v>15</v>
      </c>
      <c r="I1942" s="7">
        <f>MAX(1, NETWORKDAYS(A1942, G1942,Table2[Dias no laborales]))</f>
        <v>4</v>
      </c>
      <c r="J1942" s="7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7" t="str">
        <f t="shared" si="92"/>
        <v>Mismo día</v>
      </c>
      <c r="L1942" s="11">
        <v>46126</v>
      </c>
      <c r="M1942" s="22">
        <f>MAX(1,NETWORKDAYS(A1942,L1942,Table2[Dias no laborales]))</f>
        <v>1</v>
      </c>
    </row>
    <row r="1943" spans="1:13" x14ac:dyDescent="0.35">
      <c r="A1943" s="11">
        <v>46126</v>
      </c>
      <c r="B1943" s="20" t="s">
        <v>3895</v>
      </c>
      <c r="C1943" s="7" t="s">
        <v>3935</v>
      </c>
      <c r="D1943" s="7" t="s">
        <v>27</v>
      </c>
      <c r="E1943" s="18">
        <v>46126.714583333334</v>
      </c>
      <c r="F1943" s="11">
        <f>IF(HOUR(Table1[[#This Row],[CORREO]])&gt;=11,WORKDAY(Table1[[#This Row],[CORREO]],1,Table2[Dias no laborales]),E1943)</f>
        <v>46127</v>
      </c>
      <c r="G1943" s="11">
        <v>46129</v>
      </c>
      <c r="H1943" s="7">
        <f t="shared" si="91"/>
        <v>15</v>
      </c>
      <c r="I1943" s="7">
        <f>MAX(1, NETWORKDAYS(A1943, G1943,Table2[Dias no laborales]))</f>
        <v>4</v>
      </c>
      <c r="J1943" s="7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7" t="str">
        <f t="shared" si="92"/>
        <v>Mismo día</v>
      </c>
      <c r="L1943" s="11">
        <v>46126</v>
      </c>
      <c r="M1943" s="22">
        <f>MAX(1,NETWORKDAYS(A1943,L1943,Table2[Dias no laborales]))</f>
        <v>1</v>
      </c>
    </row>
    <row r="1944" spans="1:13" x14ac:dyDescent="0.35">
      <c r="A1944" s="11">
        <v>46127</v>
      </c>
      <c r="B1944" s="20" t="s">
        <v>3896</v>
      </c>
      <c r="C1944" s="7" t="s">
        <v>3936</v>
      </c>
      <c r="D1944" s="7" t="s">
        <v>423</v>
      </c>
      <c r="E1944" s="18">
        <v>46127.329861111109</v>
      </c>
      <c r="F1944" s="11">
        <f>IF(HOUR(Table1[[#This Row],[CORREO]])&gt;=11,WORKDAY(Table1[[#This Row],[CORREO]],1,Table2[Dias no laborales]),E1944)</f>
        <v>46127.329861111109</v>
      </c>
      <c r="G1944" s="11">
        <v>46129</v>
      </c>
      <c r="H1944" s="7">
        <f t="shared" si="91"/>
        <v>15</v>
      </c>
      <c r="I1944" s="7">
        <f>MAX(1, NETWORKDAYS(A1944, G1944,Table2[Dias no laborales]))</f>
        <v>3</v>
      </c>
      <c r="J1944" s="7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7" t="str">
        <f t="shared" si="92"/>
        <v>A tiempo</v>
      </c>
      <c r="L1944" s="11">
        <v>46127</v>
      </c>
      <c r="M1944" s="22">
        <f>MAX(1,NETWORKDAYS(A1944,L1944,Table2[Dias no laborales]))</f>
        <v>1</v>
      </c>
    </row>
    <row r="1945" spans="1:13" x14ac:dyDescent="0.35">
      <c r="A1945" s="11">
        <v>46127</v>
      </c>
      <c r="B1945" s="20" t="s">
        <v>3897</v>
      </c>
      <c r="C1945" s="7" t="s">
        <v>3937</v>
      </c>
      <c r="D1945" s="7" t="s">
        <v>538</v>
      </c>
      <c r="E1945" s="18">
        <v>46127.336805555555</v>
      </c>
      <c r="F1945" s="11">
        <f>IF(HOUR(Table1[[#This Row],[CORREO]])&gt;=11,WORKDAY(Table1[[#This Row],[CORREO]],1,Table2[Dias no laborales]),E1945)</f>
        <v>46127.336805555555</v>
      </c>
      <c r="G1945" s="11">
        <v>46135</v>
      </c>
      <c r="H1945" s="7">
        <f t="shared" si="91"/>
        <v>15</v>
      </c>
      <c r="I1945" s="7">
        <f>MAX(1, NETWORKDAYS(A1945, G1945,Table2[Dias no laborales]))</f>
        <v>7</v>
      </c>
      <c r="J1945" s="7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7" t="str">
        <f t="shared" si="92"/>
        <v>A tiempo</v>
      </c>
      <c r="L1945" s="11">
        <v>46127</v>
      </c>
      <c r="M1945" s="22">
        <f>MAX(1,NETWORKDAYS(A1945,L1945,Table2[Dias no laborales]))</f>
        <v>1</v>
      </c>
    </row>
    <row r="1946" spans="1:13" x14ac:dyDescent="0.35">
      <c r="A1946" s="11">
        <v>46127</v>
      </c>
      <c r="B1946" s="20" t="s">
        <v>3898</v>
      </c>
      <c r="C1946" s="7" t="s">
        <v>3008</v>
      </c>
      <c r="D1946" s="7" t="s">
        <v>3812</v>
      </c>
      <c r="E1946" s="18">
        <v>46126.474305555559</v>
      </c>
      <c r="F1946" s="11">
        <f>IF(HOUR(Table1[[#This Row],[CORREO]])&gt;=11,WORKDAY(Table1[[#This Row],[CORREO]],1,Table2[Dias no laborales]),E1946)</f>
        <v>46127</v>
      </c>
      <c r="G1946" s="11">
        <v>46129</v>
      </c>
      <c r="H1946" s="7">
        <f t="shared" si="91"/>
        <v>15</v>
      </c>
      <c r="I1946" s="7">
        <f>MAX(1, NETWORKDAYS(A1946, G1946,Table2[Dias no laborales]))</f>
        <v>3</v>
      </c>
      <c r="J1946" s="7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7" t="str">
        <f t="shared" si="92"/>
        <v>A tiempo</v>
      </c>
      <c r="L1946" s="11">
        <v>46127</v>
      </c>
      <c r="M1946" s="22">
        <f>MAX(1,NETWORKDAYS(A1946,L1946,Table2[Dias no laborales]))</f>
        <v>1</v>
      </c>
    </row>
    <row r="1947" spans="1:13" x14ac:dyDescent="0.35">
      <c r="A1947" s="11">
        <v>46127</v>
      </c>
      <c r="B1947" s="20" t="s">
        <v>3899</v>
      </c>
      <c r="C1947" s="7" t="s">
        <v>3938</v>
      </c>
      <c r="D1947" s="7" t="s">
        <v>3939</v>
      </c>
      <c r="E1947" s="18">
        <v>46126.477083333331</v>
      </c>
      <c r="F1947" s="11">
        <f>IF(HOUR(Table1[[#This Row],[CORREO]])&gt;=11,WORKDAY(Table1[[#This Row],[CORREO]],1,Table2[Dias no laborales]),E1947)</f>
        <v>46127</v>
      </c>
      <c r="G1947" s="11">
        <v>46127</v>
      </c>
      <c r="H1947" s="7">
        <f t="shared" si="91"/>
        <v>15</v>
      </c>
      <c r="I1947" s="7">
        <f>MAX(1, NETWORKDAYS(A1947, G1947,Table2[Dias no laborales]))</f>
        <v>1</v>
      </c>
      <c r="J1947" s="7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7" t="str">
        <f t="shared" si="92"/>
        <v>A tiempo</v>
      </c>
      <c r="L1947" s="11">
        <v>46127</v>
      </c>
      <c r="M1947" s="22">
        <f>MAX(1,NETWORKDAYS(A1947,L1947,Table2[Dias no laborales]))</f>
        <v>1</v>
      </c>
    </row>
    <row r="1948" spans="1:13" x14ac:dyDescent="0.35">
      <c r="A1948" s="11">
        <v>46127</v>
      </c>
      <c r="B1948" s="20" t="s">
        <v>3900</v>
      </c>
      <c r="C1948" s="7" t="s">
        <v>3940</v>
      </c>
      <c r="D1948" s="7" t="s">
        <v>3941</v>
      </c>
      <c r="E1948" s="18">
        <v>46126.74722222222</v>
      </c>
      <c r="F1948" s="11">
        <f>IF(HOUR(Table1[[#This Row],[CORREO]])&gt;=11,WORKDAY(Table1[[#This Row],[CORREO]],1,Table2[Dias no laborales]),E1948)</f>
        <v>46127</v>
      </c>
      <c r="G1948" s="11">
        <v>46129</v>
      </c>
      <c r="H1948" s="7">
        <f t="shared" si="91"/>
        <v>15</v>
      </c>
      <c r="I1948" s="7">
        <f>MAX(1, NETWORKDAYS(A1948, G1948,Table2[Dias no laborales]))</f>
        <v>3</v>
      </c>
      <c r="J1948" s="7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7" t="str">
        <f t="shared" si="92"/>
        <v>A tiempo</v>
      </c>
      <c r="L1948" s="11">
        <v>46127</v>
      </c>
      <c r="M1948" s="22">
        <f>MAX(1,NETWORKDAYS(A1948,L1948,Table2[Dias no laborales]))</f>
        <v>1</v>
      </c>
    </row>
    <row r="1949" spans="1:13" x14ac:dyDescent="0.35">
      <c r="A1949" s="11">
        <v>46127</v>
      </c>
      <c r="B1949" s="20" t="s">
        <v>3901</v>
      </c>
      <c r="C1949" s="7" t="s">
        <v>3008</v>
      </c>
      <c r="D1949" s="7" t="s">
        <v>3942</v>
      </c>
      <c r="E1949" s="18">
        <v>46127.269444444442</v>
      </c>
      <c r="F1949" s="11">
        <f>IF(HOUR(Table1[[#This Row],[CORREO]])&gt;=11,WORKDAY(Table1[[#This Row],[CORREO]],1,Table2[Dias no laborales]),E1949)</f>
        <v>46127.269444444442</v>
      </c>
      <c r="G1949" s="11">
        <v>46132</v>
      </c>
      <c r="H1949" s="7">
        <f t="shared" si="91"/>
        <v>15</v>
      </c>
      <c r="I1949" s="7">
        <f>MAX(1, NETWORKDAYS(A1949, G1949,Table2[Dias no laborales]))</f>
        <v>4</v>
      </c>
      <c r="J1949" s="7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7" t="str">
        <f t="shared" si="92"/>
        <v>A tiempo</v>
      </c>
      <c r="L1949" s="11">
        <v>46127</v>
      </c>
      <c r="M1949" s="22">
        <f>MAX(1,NETWORKDAYS(A1949,L1949,Table2[Dias no laborales]))</f>
        <v>1</v>
      </c>
    </row>
    <row r="1950" spans="1:13" x14ac:dyDescent="0.35">
      <c r="A1950" s="11">
        <v>46127</v>
      </c>
      <c r="B1950" s="20" t="s">
        <v>3902</v>
      </c>
      <c r="C1950" s="7" t="s">
        <v>3943</v>
      </c>
      <c r="D1950" s="7" t="s">
        <v>61</v>
      </c>
      <c r="E1950" s="18">
        <v>46127.428472222222</v>
      </c>
      <c r="F1950" s="11">
        <f>IF(HOUR(Table1[[#This Row],[CORREO]])&gt;=11,WORKDAY(Table1[[#This Row],[CORREO]],1,Table2[Dias no laborales]),E1950)</f>
        <v>46127.428472222222</v>
      </c>
      <c r="G1950" s="11">
        <v>46127</v>
      </c>
      <c r="H1950" s="7">
        <f t="shared" si="91"/>
        <v>15</v>
      </c>
      <c r="I1950" s="7">
        <f>MAX(1, NETWORKDAYS(A1950, G1950,Table2[Dias no laborales]))</f>
        <v>1</v>
      </c>
      <c r="J1950" s="7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7" t="str">
        <f t="shared" si="92"/>
        <v>A tiempo</v>
      </c>
      <c r="L1950" s="11">
        <v>46127</v>
      </c>
      <c r="M1950" s="22">
        <f>MAX(1,NETWORKDAYS(A1950,L1950,Table2[Dias no laborales]))</f>
        <v>1</v>
      </c>
    </row>
    <row r="1951" spans="1:13" x14ac:dyDescent="0.35">
      <c r="A1951" s="11">
        <v>46127</v>
      </c>
      <c r="B1951" s="20" t="s">
        <v>3903</v>
      </c>
      <c r="C1951" s="7" t="s">
        <v>3944</v>
      </c>
      <c r="D1951" s="7" t="s">
        <v>133</v>
      </c>
      <c r="E1951" s="18">
        <v>46127.434027777781</v>
      </c>
      <c r="F1951" s="11">
        <f>IF(HOUR(Table1[[#This Row],[CORREO]])&gt;=11,WORKDAY(Table1[[#This Row],[CORREO]],1,Table2[Dias no laborales]),E1951)</f>
        <v>46127.434027777781</v>
      </c>
      <c r="G1951" s="11">
        <v>46132</v>
      </c>
      <c r="H1951" s="7">
        <f t="shared" si="91"/>
        <v>15</v>
      </c>
      <c r="I1951" s="7">
        <f>MAX(1, NETWORKDAYS(A1951, G1951,Table2[Dias no laborales]))</f>
        <v>4</v>
      </c>
      <c r="J1951" s="7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7" t="str">
        <f t="shared" si="92"/>
        <v>A tiempo</v>
      </c>
      <c r="L1951" s="11">
        <v>46127</v>
      </c>
      <c r="M1951" s="22">
        <f>MAX(1,NETWORKDAYS(A1951,L1951,Table2[Dias no laborales]))</f>
        <v>1</v>
      </c>
    </row>
    <row r="1952" spans="1:13" x14ac:dyDescent="0.35">
      <c r="A1952" s="11">
        <v>46127</v>
      </c>
      <c r="B1952" s="20" t="s">
        <v>3904</v>
      </c>
      <c r="C1952" s="7" t="s">
        <v>3996</v>
      </c>
      <c r="D1952" s="7" t="s">
        <v>42</v>
      </c>
      <c r="E1952" s="18">
        <v>46127.47152777778</v>
      </c>
      <c r="F1952" s="11">
        <f>IF(HOUR(Table1[[#This Row],[CORREO]])&gt;=11,WORKDAY(Table1[[#This Row],[CORREO]],1,Table2[Dias no laborales]),E1952)</f>
        <v>46128</v>
      </c>
      <c r="G1952" s="11">
        <v>46129</v>
      </c>
      <c r="H1952" s="7">
        <f t="shared" si="91"/>
        <v>15</v>
      </c>
      <c r="I1952" s="7">
        <f>MAX(1, NETWORKDAYS(A1952, G1952,Table2[Dias no laborales]))</f>
        <v>3</v>
      </c>
      <c r="J1952" s="7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7" t="str">
        <f t="shared" si="92"/>
        <v>Mismo día</v>
      </c>
      <c r="L1952" s="11">
        <v>46127</v>
      </c>
      <c r="M1952" s="22">
        <f>MAX(1,NETWORKDAYS(A1952,L1952,Table2[Dias no laborales]))</f>
        <v>1</v>
      </c>
    </row>
    <row r="1953" spans="1:13" x14ac:dyDescent="0.35">
      <c r="A1953" s="11">
        <v>46127</v>
      </c>
      <c r="B1953" s="20" t="s">
        <v>3905</v>
      </c>
      <c r="C1953" s="7" t="s">
        <v>3008</v>
      </c>
      <c r="D1953" s="7" t="s">
        <v>3997</v>
      </c>
      <c r="E1953" s="18">
        <v>46127.482638888891</v>
      </c>
      <c r="F1953" s="11">
        <f>IF(HOUR(Table1[[#This Row],[CORREO]])&gt;=11,WORKDAY(Table1[[#This Row],[CORREO]],1,Table2[Dias no laborales]),E1953)</f>
        <v>46128</v>
      </c>
      <c r="G1953" s="11">
        <v>46128</v>
      </c>
      <c r="H1953" s="7">
        <f t="shared" si="91"/>
        <v>15</v>
      </c>
      <c r="I1953" s="7">
        <f>MAX(1, NETWORKDAYS(A1953, G1953,Table2[Dias no laborales]))</f>
        <v>2</v>
      </c>
      <c r="J1953" s="7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7" t="str">
        <f t="shared" si="92"/>
        <v>Mismo día</v>
      </c>
      <c r="L1953" s="11">
        <v>46127</v>
      </c>
      <c r="M1953" s="22">
        <f>MAX(1,NETWORKDAYS(A1953,L1953,Table2[Dias no laborales]))</f>
        <v>1</v>
      </c>
    </row>
    <row r="1954" spans="1:13" x14ac:dyDescent="0.35">
      <c r="A1954" s="11">
        <v>46128</v>
      </c>
      <c r="B1954" s="20" t="s">
        <v>3906</v>
      </c>
      <c r="C1954" s="7" t="s">
        <v>3998</v>
      </c>
      <c r="D1954" s="7" t="s">
        <v>3999</v>
      </c>
      <c r="E1954" s="18">
        <v>46127.477083333331</v>
      </c>
      <c r="F1954" s="11">
        <f>IF(HOUR(Table1[[#This Row],[CORREO]])&gt;=11,WORKDAY(Table1[[#This Row],[CORREO]],1,Table2[Dias no laborales]),E1954)</f>
        <v>46128</v>
      </c>
      <c r="G1954" s="11">
        <v>46129</v>
      </c>
      <c r="H1954" s="7">
        <f t="shared" si="91"/>
        <v>16</v>
      </c>
      <c r="I1954" s="7">
        <f>MAX(1, NETWORKDAYS(A1954, G1954,Table2[Dias no laborales]))</f>
        <v>2</v>
      </c>
      <c r="J1954" s="7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7" t="str">
        <f t="shared" si="92"/>
        <v>A tiempo</v>
      </c>
      <c r="L1954" s="11">
        <v>46128</v>
      </c>
      <c r="M1954" s="22">
        <f>MAX(1,NETWORKDAYS(A1954,L1954,Table2[Dias no laborales]))</f>
        <v>1</v>
      </c>
    </row>
    <row r="1955" spans="1:13" x14ac:dyDescent="0.35">
      <c r="A1955" s="11">
        <v>46128</v>
      </c>
      <c r="B1955" s="20" t="s">
        <v>3907</v>
      </c>
      <c r="C1955" s="7" t="s">
        <v>4000</v>
      </c>
      <c r="D1955" s="7" t="s">
        <v>3837</v>
      </c>
      <c r="E1955" s="18">
        <v>46127.518750000003</v>
      </c>
      <c r="F1955" s="11">
        <f>IF(HOUR(Table1[[#This Row],[CORREO]])&gt;=11,WORKDAY(Table1[[#This Row],[CORREO]],1,Table2[Dias no laborales]),E1955)</f>
        <v>46128</v>
      </c>
      <c r="G1955" s="11">
        <v>46129</v>
      </c>
      <c r="H1955" s="7">
        <f t="shared" si="91"/>
        <v>16</v>
      </c>
      <c r="I1955" s="7">
        <f>MAX(1, NETWORKDAYS(A1955, G1955,Table2[Dias no laborales]))</f>
        <v>2</v>
      </c>
      <c r="J1955" s="7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7" t="str">
        <f t="shared" si="92"/>
        <v>A tiempo</v>
      </c>
      <c r="L1955" s="11">
        <v>46128</v>
      </c>
      <c r="M1955" s="22">
        <f>MAX(1,NETWORKDAYS(A1955,L1955,Table2[Dias no laborales]))</f>
        <v>1</v>
      </c>
    </row>
    <row r="1956" spans="1:13" x14ac:dyDescent="0.35">
      <c r="A1956" s="11">
        <v>46128</v>
      </c>
      <c r="B1956" s="20" t="s">
        <v>3908</v>
      </c>
      <c r="C1956" s="7" t="s">
        <v>4001</v>
      </c>
      <c r="D1956" s="7" t="s">
        <v>4002</v>
      </c>
      <c r="E1956" s="18">
        <v>46127.565972222219</v>
      </c>
      <c r="F1956" s="11">
        <f>IF(HOUR(Table1[[#This Row],[CORREO]])&gt;=11,WORKDAY(Table1[[#This Row],[CORREO]],1,Table2[Dias no laborales]),E1956)</f>
        <v>46128</v>
      </c>
      <c r="G1956" s="11">
        <v>46128</v>
      </c>
      <c r="H1956" s="7">
        <f t="shared" si="91"/>
        <v>16</v>
      </c>
      <c r="I1956" s="7">
        <f>MAX(1, NETWORKDAYS(A1956, G1956,Table2[Dias no laborales]))</f>
        <v>1</v>
      </c>
      <c r="J1956" s="7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7" t="str">
        <f t="shared" si="92"/>
        <v>A tiempo</v>
      </c>
      <c r="L1956" s="11">
        <v>46128</v>
      </c>
      <c r="M1956" s="22">
        <f>MAX(1,NETWORKDAYS(A1956,L1956,Table2[Dias no laborales]))</f>
        <v>1</v>
      </c>
    </row>
    <row r="1957" spans="1:13" x14ac:dyDescent="0.35">
      <c r="A1957" s="11">
        <v>46128</v>
      </c>
      <c r="B1957" s="20" t="s">
        <v>3945</v>
      </c>
      <c r="C1957" s="7" t="s">
        <v>4003</v>
      </c>
      <c r="D1957" s="7" t="s">
        <v>623</v>
      </c>
      <c r="E1957" s="18">
        <v>46127.604861111111</v>
      </c>
      <c r="F1957" s="11">
        <f>IF(HOUR(Table1[[#This Row],[CORREO]])&gt;=11,WORKDAY(Table1[[#This Row],[CORREO]],1,Table2[Dias no laborales]),E1957)</f>
        <v>46128</v>
      </c>
      <c r="G1957" s="11">
        <v>46129</v>
      </c>
      <c r="H1957" s="30">
        <f t="shared" ref="H1957:H1988" si="93">INT((A1957-DATE(YEAR(A1957),1,1))/7) + 1</f>
        <v>16</v>
      </c>
      <c r="I1957" s="30">
        <f>MAX(1, NETWORKDAYS(A1957, G1957,Table2[Dias no laborales]))</f>
        <v>2</v>
      </c>
      <c r="J1957" s="30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30" t="str">
        <f t="shared" ref="K1957:K1988" si="94">IF(INT(A1957)=INT(F1957),"A tiempo", IF(A1957&lt;F1957,"Mismo día","Programados"))</f>
        <v>A tiempo</v>
      </c>
      <c r="L1957" s="11">
        <v>46128</v>
      </c>
      <c r="M1957" s="31">
        <f>MAX(1,NETWORKDAYS(A1957,L1957,Table2[Dias no laborales]))</f>
        <v>1</v>
      </c>
    </row>
    <row r="1958" spans="1:13" x14ac:dyDescent="0.35">
      <c r="A1958" s="11">
        <v>46128</v>
      </c>
      <c r="B1958" s="20" t="s">
        <v>3946</v>
      </c>
      <c r="C1958" s="7" t="s">
        <v>4004</v>
      </c>
      <c r="D1958" s="7" t="s">
        <v>136</v>
      </c>
      <c r="E1958" s="18">
        <v>46127.70208333333</v>
      </c>
      <c r="F1958" s="11">
        <f>IF(HOUR(Table1[[#This Row],[CORREO]])&gt;=11,WORKDAY(Table1[[#This Row],[CORREO]],1,Table2[Dias no laborales]),E1958)</f>
        <v>46128</v>
      </c>
      <c r="G1958" s="11">
        <v>46132</v>
      </c>
      <c r="H1958" s="30">
        <f t="shared" si="93"/>
        <v>16</v>
      </c>
      <c r="I1958" s="30">
        <f>MAX(1, NETWORKDAYS(A1958, G1958,Table2[Dias no laborales]))</f>
        <v>3</v>
      </c>
      <c r="J1958" s="30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30" t="str">
        <f t="shared" si="94"/>
        <v>A tiempo</v>
      </c>
      <c r="L1958" s="11">
        <v>46128</v>
      </c>
      <c r="M1958" s="31">
        <f>MAX(1,NETWORKDAYS(A1958,L1958,Table2[Dias no laborales]))</f>
        <v>1</v>
      </c>
    </row>
    <row r="1959" spans="1:13" x14ac:dyDescent="0.35">
      <c r="A1959" s="11">
        <v>46128</v>
      </c>
      <c r="B1959" s="20" t="s">
        <v>3947</v>
      </c>
      <c r="C1959" s="7" t="s">
        <v>4005</v>
      </c>
      <c r="D1959" s="7" t="s">
        <v>61</v>
      </c>
      <c r="E1959" s="18">
        <v>46127.715277777781</v>
      </c>
      <c r="F1959" s="11">
        <f>IF(HOUR(Table1[[#This Row],[CORREO]])&gt;=11,WORKDAY(Table1[[#This Row],[CORREO]],1,Table2[Dias no laborales]),E1959)</f>
        <v>46128</v>
      </c>
      <c r="G1959" s="11">
        <v>46129</v>
      </c>
      <c r="H1959" s="30">
        <f t="shared" si="93"/>
        <v>16</v>
      </c>
      <c r="I1959" s="30">
        <f>MAX(1, NETWORKDAYS(A1959, G1959,Table2[Dias no laborales]))</f>
        <v>2</v>
      </c>
      <c r="J1959" s="30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30" t="str">
        <f t="shared" si="94"/>
        <v>A tiempo</v>
      </c>
      <c r="L1959" s="11">
        <v>46128</v>
      </c>
      <c r="M1959" s="31">
        <f>MAX(1,NETWORKDAYS(A1959,L1959,Table2[Dias no laborales]))</f>
        <v>1</v>
      </c>
    </row>
    <row r="1960" spans="1:13" x14ac:dyDescent="0.35">
      <c r="A1960" s="11">
        <v>46128</v>
      </c>
      <c r="B1960" s="20" t="s">
        <v>3948</v>
      </c>
      <c r="C1960" s="7" t="s">
        <v>4006</v>
      </c>
      <c r="D1960" s="7" t="s">
        <v>27</v>
      </c>
      <c r="E1960" s="18">
        <v>46127.709027777775</v>
      </c>
      <c r="F1960" s="11">
        <f>IF(HOUR(Table1[[#This Row],[CORREO]])&gt;=11,WORKDAY(Table1[[#This Row],[CORREO]],1,Table2[Dias no laborales]),E1960)</f>
        <v>46128</v>
      </c>
      <c r="G1960" s="11"/>
      <c r="H1960" s="30">
        <f t="shared" si="93"/>
        <v>16</v>
      </c>
      <c r="I1960" s="30">
        <f>MAX(1, NETWORKDAYS(A1960, G1960,Table2[Dias no laborales]))</f>
        <v>1</v>
      </c>
      <c r="J1960" s="30" t="str">
        <f>IF(Table1[[#This Row],[FIN]]="","Acumulado",IF(ISNUMBER(SEARCH("ASAP",C1960)),"ASAP",IF(NETWORKDAYS.INTL(F1960,G1960,1,Table2[Dias no laborales]) &lt;= 7, "Dentro", IF(A1960&gt;F1960,"Programado","Fuera"))))</f>
        <v>Acumulado</v>
      </c>
      <c r="K1960" s="30" t="str">
        <f t="shared" si="94"/>
        <v>A tiempo</v>
      </c>
      <c r="L1960" s="11">
        <v>46129</v>
      </c>
      <c r="M1960" s="31">
        <f>MAX(1,NETWORKDAYS(A1960,L1960,Table2[Dias no laborales]))</f>
        <v>2</v>
      </c>
    </row>
    <row r="1961" spans="1:13" x14ac:dyDescent="0.35">
      <c r="A1961" s="11">
        <v>46128</v>
      </c>
      <c r="B1961" s="20" t="s">
        <v>3949</v>
      </c>
      <c r="C1961" s="7" t="s">
        <v>4007</v>
      </c>
      <c r="D1961" s="7" t="s">
        <v>61</v>
      </c>
      <c r="E1961" s="18">
        <v>46127.716666666667</v>
      </c>
      <c r="F1961" s="11">
        <f>IF(HOUR(Table1[[#This Row],[CORREO]])&gt;=11,WORKDAY(Table1[[#This Row],[CORREO]],1,Table2[Dias no laborales]),E1961)</f>
        <v>46128</v>
      </c>
      <c r="G1961" s="11">
        <v>46134</v>
      </c>
      <c r="H1961" s="30">
        <f t="shared" si="93"/>
        <v>16</v>
      </c>
      <c r="I1961" s="30">
        <f>MAX(1, NETWORKDAYS(A1961, G1961,Table2[Dias no laborales]))</f>
        <v>5</v>
      </c>
      <c r="J1961" s="30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30" t="str">
        <f t="shared" si="94"/>
        <v>A tiempo</v>
      </c>
      <c r="L1961" s="11">
        <v>46128</v>
      </c>
      <c r="M1961" s="31">
        <f>MAX(1,NETWORKDAYS(A1961,L1961,Table2[Dias no laborales]))</f>
        <v>1</v>
      </c>
    </row>
    <row r="1962" spans="1:13" x14ac:dyDescent="0.35">
      <c r="A1962" s="11">
        <v>46128</v>
      </c>
      <c r="B1962" s="20" t="s">
        <v>3950</v>
      </c>
      <c r="C1962" s="7" t="s">
        <v>4008</v>
      </c>
      <c r="D1962" s="7" t="s">
        <v>42</v>
      </c>
      <c r="E1962" s="18">
        <v>46128.382638888892</v>
      </c>
      <c r="F1962" s="11">
        <f>IF(HOUR(Table1[[#This Row],[CORREO]])&gt;=11,WORKDAY(Table1[[#This Row],[CORREO]],1,Table2[Dias no laborales]),E1962)</f>
        <v>46128.382638888892</v>
      </c>
      <c r="G1962" s="11">
        <v>46133</v>
      </c>
      <c r="H1962" s="30">
        <f t="shared" si="93"/>
        <v>16</v>
      </c>
      <c r="I1962" s="30">
        <f>MAX(1, NETWORKDAYS(A1962, G1962,Table2[Dias no laborales]))</f>
        <v>4</v>
      </c>
      <c r="J1962" s="30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30" t="str">
        <f t="shared" si="94"/>
        <v>A tiempo</v>
      </c>
      <c r="L1962" s="11">
        <v>46128</v>
      </c>
      <c r="M1962" s="31">
        <f>MAX(1,NETWORKDAYS(A1962,L1962,Table2[Dias no laborales]))</f>
        <v>1</v>
      </c>
    </row>
    <row r="1963" spans="1:13" x14ac:dyDescent="0.35">
      <c r="A1963" s="11">
        <v>46128</v>
      </c>
      <c r="B1963" s="20" t="s">
        <v>3951</v>
      </c>
      <c r="C1963" s="7" t="s">
        <v>4009</v>
      </c>
      <c r="D1963" s="7" t="s">
        <v>15</v>
      </c>
      <c r="E1963" s="18">
        <v>46128.393055555556</v>
      </c>
      <c r="F1963" s="11">
        <f>IF(HOUR(Table1[[#This Row],[CORREO]])&gt;=11,WORKDAY(Table1[[#This Row],[CORREO]],1,Table2[Dias no laborales]),E1963)</f>
        <v>46128.393055555556</v>
      </c>
      <c r="G1963" s="11">
        <v>46129</v>
      </c>
      <c r="H1963" s="30">
        <f t="shared" si="93"/>
        <v>16</v>
      </c>
      <c r="I1963" s="30">
        <f>MAX(1, NETWORKDAYS(A1963, G1963,Table2[Dias no laborales]))</f>
        <v>2</v>
      </c>
      <c r="J1963" s="30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30" t="str">
        <f t="shared" si="94"/>
        <v>A tiempo</v>
      </c>
      <c r="L1963" s="11">
        <v>46128</v>
      </c>
      <c r="M1963" s="31">
        <f>MAX(1,NETWORKDAYS(A1963,L1963,Table2[Dias no laborales]))</f>
        <v>1</v>
      </c>
    </row>
    <row r="1964" spans="1:13" x14ac:dyDescent="0.35">
      <c r="A1964" s="11">
        <v>46128</v>
      </c>
      <c r="B1964" s="20" t="s">
        <v>3952</v>
      </c>
      <c r="C1964" s="7" t="s">
        <v>4010</v>
      </c>
      <c r="D1964" s="7" t="s">
        <v>24</v>
      </c>
      <c r="E1964" s="18"/>
      <c r="F1964" s="11">
        <f>IF(HOUR(Table1[[#This Row],[CORREO]])&gt;=11,WORKDAY(Table1[[#This Row],[CORREO]],1,Table2[Dias no laborales]),E1964)</f>
        <v>0</v>
      </c>
      <c r="G1964" s="11">
        <v>46129</v>
      </c>
      <c r="H1964" s="30">
        <f t="shared" si="93"/>
        <v>16</v>
      </c>
      <c r="I1964" s="30">
        <f>MAX(1, NETWORKDAYS(A1964, G1964,Table2[Dias no laborales]))</f>
        <v>2</v>
      </c>
      <c r="J1964" s="30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30" t="str">
        <f t="shared" si="94"/>
        <v>Programados</v>
      </c>
      <c r="L1964" s="11">
        <v>46128</v>
      </c>
      <c r="M1964" s="31">
        <f>MAX(1,NETWORKDAYS(A1964,L1964,Table2[Dias no laborales]))</f>
        <v>1</v>
      </c>
    </row>
    <row r="1965" spans="1:13" x14ac:dyDescent="0.35">
      <c r="A1965" s="11">
        <v>46128</v>
      </c>
      <c r="B1965" s="20" t="s">
        <v>3953</v>
      </c>
      <c r="C1965" s="7" t="s">
        <v>4011</v>
      </c>
      <c r="D1965" s="7" t="s">
        <v>423</v>
      </c>
      <c r="E1965" s="18">
        <v>46128.54791666667</v>
      </c>
      <c r="F1965" s="11">
        <f>IF(HOUR(Table1[[#This Row],[CORREO]])&gt;=11,WORKDAY(Table1[[#This Row],[CORREO]],1,Table2[Dias no laborales]),E1965)</f>
        <v>46129</v>
      </c>
      <c r="G1965" s="11">
        <v>46129</v>
      </c>
      <c r="H1965" s="30">
        <f t="shared" si="93"/>
        <v>16</v>
      </c>
      <c r="I1965" s="30">
        <f>MAX(1, NETWORKDAYS(A1965, G1965,Table2[Dias no laborales]))</f>
        <v>2</v>
      </c>
      <c r="J1965" s="30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30" t="str">
        <f t="shared" si="94"/>
        <v>Mismo día</v>
      </c>
      <c r="L1965" s="11">
        <v>46128</v>
      </c>
      <c r="M1965" s="31">
        <f>MAX(1,NETWORKDAYS(A1965,L1965,Table2[Dias no laborales]))</f>
        <v>1</v>
      </c>
    </row>
    <row r="1966" spans="1:13" x14ac:dyDescent="0.35">
      <c r="A1966" s="11">
        <v>46129</v>
      </c>
      <c r="B1966" s="20" t="s">
        <v>3954</v>
      </c>
      <c r="C1966" s="7" t="s">
        <v>4012</v>
      </c>
      <c r="D1966" s="7" t="s">
        <v>89</v>
      </c>
      <c r="E1966" s="18">
        <v>46128.464583333334</v>
      </c>
      <c r="F1966" s="11">
        <f>IF(HOUR(Table1[[#This Row],[CORREO]])&gt;=11,WORKDAY(Table1[[#This Row],[CORREO]],1,Table2[Dias no laborales]),E1966)</f>
        <v>46129</v>
      </c>
      <c r="G1966" s="11">
        <v>46136</v>
      </c>
      <c r="H1966" s="30">
        <f t="shared" si="93"/>
        <v>16</v>
      </c>
      <c r="I1966" s="30">
        <f>MAX(1, NETWORKDAYS(A1966, G1966,Table2[Dias no laborales]))</f>
        <v>6</v>
      </c>
      <c r="J1966" s="30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30" t="str">
        <f t="shared" si="94"/>
        <v>A tiempo</v>
      </c>
      <c r="L1966" s="11">
        <v>46129</v>
      </c>
      <c r="M1966" s="31">
        <f>MAX(1,NETWORKDAYS(A1966,L1966,Table2[Dias no laborales]))</f>
        <v>1</v>
      </c>
    </row>
    <row r="1967" spans="1:13" x14ac:dyDescent="0.35">
      <c r="A1967" s="11">
        <v>46129</v>
      </c>
      <c r="B1967" s="20" t="s">
        <v>3955</v>
      </c>
      <c r="C1967" s="7" t="s">
        <v>4013</v>
      </c>
      <c r="D1967" s="7" t="s">
        <v>3837</v>
      </c>
      <c r="E1967" s="18">
        <v>46128.500694444447</v>
      </c>
      <c r="F1967" s="11">
        <f>IF(HOUR(Table1[[#This Row],[CORREO]])&gt;=11,WORKDAY(Table1[[#This Row],[CORREO]],1,Table2[Dias no laborales]),E1967)</f>
        <v>46129</v>
      </c>
      <c r="G1967" s="11">
        <v>46129</v>
      </c>
      <c r="H1967" s="30">
        <f t="shared" si="93"/>
        <v>16</v>
      </c>
      <c r="I1967" s="30">
        <f>MAX(1, NETWORKDAYS(A1967, G1967,Table2[Dias no laborales]))</f>
        <v>1</v>
      </c>
      <c r="J1967" s="30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30" t="str">
        <f t="shared" si="94"/>
        <v>A tiempo</v>
      </c>
      <c r="L1967" s="11">
        <v>46129</v>
      </c>
      <c r="M1967" s="31">
        <f>MAX(1,NETWORKDAYS(A1967,L1967,Table2[Dias no laborales]))</f>
        <v>1</v>
      </c>
    </row>
    <row r="1968" spans="1:13" x14ac:dyDescent="0.35">
      <c r="A1968" s="11">
        <v>46129</v>
      </c>
      <c r="B1968" s="20" t="s">
        <v>3956</v>
      </c>
      <c r="C1968" s="7" t="s">
        <v>4014</v>
      </c>
      <c r="D1968" s="7" t="s">
        <v>2994</v>
      </c>
      <c r="E1968" s="18">
        <v>46128.671527777777</v>
      </c>
      <c r="F1968" s="11">
        <f>IF(HOUR(Table1[[#This Row],[CORREO]])&gt;=11,WORKDAY(Table1[[#This Row],[CORREO]],1,Table2[Dias no laborales]),E1968)</f>
        <v>46129</v>
      </c>
      <c r="G1968" s="11"/>
      <c r="H1968" s="30">
        <f t="shared" si="93"/>
        <v>16</v>
      </c>
      <c r="I1968" s="30">
        <f>MAX(1, NETWORKDAYS(A1968, G1968,Table2[Dias no laborales]))</f>
        <v>1</v>
      </c>
      <c r="J1968" s="30" t="str">
        <f>IF(Table1[[#This Row],[FIN]]="","Acumulado",IF(ISNUMBER(SEARCH("ASAP",C1968)),"ASAP",IF(NETWORKDAYS.INTL(F1968,G1968,1,Table2[Dias no laborales]) &lt;= 7, "Dentro", IF(A1968&gt;F1968,"Programado","Fuera"))))</f>
        <v>Acumulado</v>
      </c>
      <c r="K1968" s="30" t="str">
        <f t="shared" si="94"/>
        <v>A tiempo</v>
      </c>
      <c r="L1968" s="11">
        <v>46129</v>
      </c>
      <c r="M1968" s="31">
        <f>MAX(1,NETWORKDAYS(A1968,L1968,Table2[Dias no laborales]))</f>
        <v>1</v>
      </c>
    </row>
    <row r="1969" spans="1:13" x14ac:dyDescent="0.35">
      <c r="A1969" s="11">
        <v>46129</v>
      </c>
      <c r="B1969" s="20" t="s">
        <v>3957</v>
      </c>
      <c r="C1969" s="7" t="s">
        <v>4015</v>
      </c>
      <c r="D1969" s="7" t="s">
        <v>423</v>
      </c>
      <c r="E1969" s="18">
        <v>46129.380555555559</v>
      </c>
      <c r="F1969" s="11">
        <f>IF(HOUR(Table1[[#This Row],[CORREO]])&gt;=11,WORKDAY(Table1[[#This Row],[CORREO]],1,Table2[Dias no laborales]),E1969)</f>
        <v>46129.380555555559</v>
      </c>
      <c r="G1969" s="11">
        <v>46133</v>
      </c>
      <c r="H1969" s="30">
        <f t="shared" si="93"/>
        <v>16</v>
      </c>
      <c r="I1969" s="30">
        <f>MAX(1, NETWORKDAYS(A1969, G1969,Table2[Dias no laborales]))</f>
        <v>3</v>
      </c>
      <c r="J1969" s="30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30" t="str">
        <f t="shared" si="94"/>
        <v>A tiempo</v>
      </c>
      <c r="L1969" s="11">
        <v>46129</v>
      </c>
      <c r="M1969" s="31">
        <f>MAX(1,NETWORKDAYS(A1969,L1969,Table2[Dias no laborales]))</f>
        <v>1</v>
      </c>
    </row>
    <row r="1970" spans="1:13" x14ac:dyDescent="0.35">
      <c r="A1970" s="11">
        <v>46129</v>
      </c>
      <c r="B1970" s="20" t="s">
        <v>3958</v>
      </c>
      <c r="C1970" s="7" t="s">
        <v>4005</v>
      </c>
      <c r="D1970" s="7" t="s">
        <v>4016</v>
      </c>
      <c r="E1970" s="18">
        <v>46190.5</v>
      </c>
      <c r="F1970" s="11">
        <f>IF(HOUR(Table1[[#This Row],[CORREO]])&gt;=11,WORKDAY(Table1[[#This Row],[CORREO]],1,Table2[Dias no laborales]),E1970)</f>
        <v>46191</v>
      </c>
      <c r="G1970" s="11">
        <v>46132</v>
      </c>
      <c r="H1970" s="30">
        <f t="shared" si="93"/>
        <v>16</v>
      </c>
      <c r="I1970" s="30">
        <f>MAX(1, NETWORKDAYS(A1970, G1970,Table2[Dias no laborales]))</f>
        <v>2</v>
      </c>
      <c r="J1970" s="30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30" t="str">
        <f t="shared" si="94"/>
        <v>Mismo día</v>
      </c>
      <c r="L1970" s="11">
        <v>46129</v>
      </c>
      <c r="M1970" s="31">
        <f>MAX(1,NETWORKDAYS(A1970,L1970,Table2[Dias no laborales]))</f>
        <v>1</v>
      </c>
    </row>
    <row r="1971" spans="1:13" x14ac:dyDescent="0.35">
      <c r="A1971" s="11">
        <v>46129</v>
      </c>
      <c r="B1971" s="20" t="s">
        <v>3959</v>
      </c>
      <c r="C1971" s="7" t="s">
        <v>188</v>
      </c>
      <c r="D1971" s="7" t="s">
        <v>27</v>
      </c>
      <c r="E1971" s="18"/>
      <c r="F1971" s="11">
        <f>IF(HOUR(Table1[[#This Row],[CORREO]])&gt;=11,WORKDAY(Table1[[#This Row],[CORREO]],1,Table2[Dias no laborales]),E1971)</f>
        <v>0</v>
      </c>
      <c r="G1971" s="11">
        <v>46132</v>
      </c>
      <c r="H1971" s="30">
        <f t="shared" si="93"/>
        <v>16</v>
      </c>
      <c r="I1971" s="30">
        <f>MAX(1, NETWORKDAYS(A1971, G1971,Table2[Dias no laborales]))</f>
        <v>2</v>
      </c>
      <c r="J1971" s="30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30" t="str">
        <f t="shared" si="94"/>
        <v>Programados</v>
      </c>
      <c r="L1971" s="11">
        <v>46129</v>
      </c>
      <c r="M1971" s="31">
        <f>MAX(1,NETWORKDAYS(A1971,L1971,Table2[Dias no laborales]))</f>
        <v>1</v>
      </c>
    </row>
    <row r="1972" spans="1:13" x14ac:dyDescent="0.35">
      <c r="A1972" s="11">
        <v>46129</v>
      </c>
      <c r="B1972" s="20" t="s">
        <v>3960</v>
      </c>
      <c r="C1972" s="7" t="s">
        <v>196</v>
      </c>
      <c r="D1972" s="7" t="s">
        <v>27</v>
      </c>
      <c r="E1972" s="18"/>
      <c r="F1972" s="11">
        <f>IF(HOUR(Table1[[#This Row],[CORREO]])&gt;=11,WORKDAY(Table1[[#This Row],[CORREO]],1,Table2[Dias no laborales]),E1972)</f>
        <v>0</v>
      </c>
      <c r="G1972" s="11">
        <v>46133</v>
      </c>
      <c r="H1972" s="30">
        <f t="shared" si="93"/>
        <v>16</v>
      </c>
      <c r="I1972" s="30">
        <f>MAX(1, NETWORKDAYS(A1972, G1972,Table2[Dias no laborales]))</f>
        <v>3</v>
      </c>
      <c r="J1972" s="30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30" t="str">
        <f t="shared" si="94"/>
        <v>Programados</v>
      </c>
      <c r="L1972" s="11">
        <v>46129</v>
      </c>
      <c r="M1972" s="31">
        <f>MAX(1,NETWORKDAYS(A1972,L1972,Table2[Dias no laborales]))</f>
        <v>1</v>
      </c>
    </row>
    <row r="1973" spans="1:13" x14ac:dyDescent="0.35">
      <c r="A1973" s="11">
        <v>46132</v>
      </c>
      <c r="B1973" s="20" t="s">
        <v>3961</v>
      </c>
      <c r="C1973" s="7" t="s">
        <v>4017</v>
      </c>
      <c r="D1973" s="7" t="s">
        <v>24</v>
      </c>
      <c r="E1973" s="18"/>
      <c r="F1973" s="11">
        <f>IF(HOUR(Table1[[#This Row],[CORREO]])&gt;=11,WORKDAY(Table1[[#This Row],[CORREO]],1,Table2[Dias no laborales]),E1973)</f>
        <v>0</v>
      </c>
      <c r="G1973" s="11">
        <v>46136</v>
      </c>
      <c r="H1973" s="30">
        <f t="shared" si="93"/>
        <v>16</v>
      </c>
      <c r="I1973" s="30">
        <f>MAX(1, NETWORKDAYS(A1973, G1973,Table2[Dias no laborales]))</f>
        <v>5</v>
      </c>
      <c r="J1973" s="30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30" t="str">
        <f t="shared" si="94"/>
        <v>Programados</v>
      </c>
      <c r="L1973" s="11">
        <v>46132</v>
      </c>
      <c r="M1973" s="31">
        <f>MAX(1,NETWORKDAYS(A1973,L1973,Table2[Dias no laborales]))</f>
        <v>1</v>
      </c>
    </row>
    <row r="1974" spans="1:13" x14ac:dyDescent="0.35">
      <c r="A1974" s="11">
        <v>46132</v>
      </c>
      <c r="B1974" s="20" t="s">
        <v>3962</v>
      </c>
      <c r="C1974" s="7" t="s">
        <v>4018</v>
      </c>
      <c r="D1974" s="7" t="s">
        <v>2963</v>
      </c>
      <c r="E1974" s="18">
        <v>46129.74722222222</v>
      </c>
      <c r="F1974" s="11">
        <f>IF(HOUR(Table1[[#This Row],[CORREO]])&gt;=11,WORKDAY(Table1[[#This Row],[CORREO]],1,Table2[Dias no laborales]),E1974)</f>
        <v>46132</v>
      </c>
      <c r="G1974" s="11">
        <v>46133</v>
      </c>
      <c r="H1974" s="30">
        <f t="shared" si="93"/>
        <v>16</v>
      </c>
      <c r="I1974" s="30">
        <f>MAX(1, NETWORKDAYS(A1974, G1974,Table2[Dias no laborales]))</f>
        <v>2</v>
      </c>
      <c r="J1974" s="30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30" t="str">
        <f t="shared" si="94"/>
        <v>A tiempo</v>
      </c>
      <c r="L1974" s="11">
        <v>46132</v>
      </c>
      <c r="M1974" s="31">
        <f>MAX(1,NETWORKDAYS(A1974,L1974,Table2[Dias no laborales]))</f>
        <v>1</v>
      </c>
    </row>
    <row r="1975" spans="1:13" x14ac:dyDescent="0.35">
      <c r="A1975" s="11">
        <v>46132</v>
      </c>
      <c r="B1975" s="20" t="s">
        <v>3963</v>
      </c>
      <c r="C1975" s="7" t="s">
        <v>4019</v>
      </c>
      <c r="D1975" s="7" t="s">
        <v>61</v>
      </c>
      <c r="E1975" s="18">
        <v>46132.45208333333</v>
      </c>
      <c r="F1975" s="11">
        <f>IF(HOUR(Table1[[#This Row],[CORREO]])&gt;=11,WORKDAY(Table1[[#This Row],[CORREO]],1,Table2[Dias no laborales]),E1975)</f>
        <v>46132.45208333333</v>
      </c>
      <c r="G1975" s="11">
        <v>46133</v>
      </c>
      <c r="H1975" s="30">
        <f t="shared" si="93"/>
        <v>16</v>
      </c>
      <c r="I1975" s="30">
        <f>MAX(1, NETWORKDAYS(A1975, G1975,Table2[Dias no laborales]))</f>
        <v>2</v>
      </c>
      <c r="J1975" s="30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30" t="str">
        <f t="shared" si="94"/>
        <v>A tiempo</v>
      </c>
      <c r="L1975" s="11">
        <v>46132</v>
      </c>
      <c r="M1975" s="31">
        <f>MAX(1,NETWORKDAYS(A1975,L1975,Table2[Dias no laborales]))</f>
        <v>1</v>
      </c>
    </row>
    <row r="1976" spans="1:13" x14ac:dyDescent="0.35">
      <c r="A1976" s="11">
        <v>46132</v>
      </c>
      <c r="B1976" s="20" t="s">
        <v>3964</v>
      </c>
      <c r="C1976" s="7" t="s">
        <v>4020</v>
      </c>
      <c r="D1976" s="7" t="s">
        <v>53</v>
      </c>
      <c r="E1976" s="18">
        <v>46132.470138888886</v>
      </c>
      <c r="F1976" s="11">
        <f>IF(HOUR(Table1[[#This Row],[CORREO]])&gt;=11,WORKDAY(Table1[[#This Row],[CORREO]],1,Table2[Dias no laborales]),E1976)</f>
        <v>46133</v>
      </c>
      <c r="G1976" s="11">
        <v>46132</v>
      </c>
      <c r="H1976" s="30">
        <f t="shared" si="93"/>
        <v>16</v>
      </c>
      <c r="I1976" s="30">
        <f>MAX(1, NETWORKDAYS(A1976, G1976,Table2[Dias no laborales]))</f>
        <v>1</v>
      </c>
      <c r="J1976" s="30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30" t="str">
        <f t="shared" si="94"/>
        <v>Mismo día</v>
      </c>
      <c r="L1976" s="11">
        <v>46132</v>
      </c>
      <c r="M1976" s="31">
        <f>MAX(1,NETWORKDAYS(A1976,L1976,Table2[Dias no laborales]))</f>
        <v>1</v>
      </c>
    </row>
    <row r="1977" spans="1:13" x14ac:dyDescent="0.35">
      <c r="A1977" s="11">
        <v>46133</v>
      </c>
      <c r="B1977" s="20" t="s">
        <v>3965</v>
      </c>
      <c r="C1977" s="7" t="s">
        <v>4022</v>
      </c>
      <c r="D1977" s="7" t="s">
        <v>154</v>
      </c>
      <c r="E1977" s="18">
        <v>46132.638888888891</v>
      </c>
      <c r="F1977" s="11">
        <f>IF(HOUR(Table1[[#This Row],[CORREO]])&gt;=11,WORKDAY(Table1[[#This Row],[CORREO]],1,Table2[Dias no laborales]),E1977)</f>
        <v>46133</v>
      </c>
      <c r="G1977" s="11">
        <v>46135</v>
      </c>
      <c r="H1977" s="30">
        <f t="shared" si="93"/>
        <v>16</v>
      </c>
      <c r="I1977" s="30">
        <f>MAX(1, NETWORKDAYS(A1977, G1977,Table2[Dias no laborales]))</f>
        <v>3</v>
      </c>
      <c r="J1977" s="30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30" t="str">
        <f t="shared" si="94"/>
        <v>A tiempo</v>
      </c>
      <c r="L1977" s="11">
        <v>46132</v>
      </c>
      <c r="M1977" s="31">
        <f>MAX(1,NETWORKDAYS(A1977,L1977,Table2[Dias no laborales]))</f>
        <v>1</v>
      </c>
    </row>
    <row r="1978" spans="1:13" x14ac:dyDescent="0.35">
      <c r="A1978" s="11">
        <v>46133</v>
      </c>
      <c r="B1978" s="20" t="s">
        <v>3966</v>
      </c>
      <c r="C1978" s="7" t="s">
        <v>4023</v>
      </c>
      <c r="D1978" s="7" t="s">
        <v>2981</v>
      </c>
      <c r="E1978" s="18">
        <v>46132.704861111109</v>
      </c>
      <c r="F1978" s="11">
        <f>IF(HOUR(Table1[[#This Row],[CORREO]])&gt;=11,WORKDAY(Table1[[#This Row],[CORREO]],1,Table2[Dias no laborales]),E1978)</f>
        <v>46133</v>
      </c>
      <c r="G1978" s="11">
        <v>46133</v>
      </c>
      <c r="H1978" s="30">
        <f t="shared" si="93"/>
        <v>16</v>
      </c>
      <c r="I1978" s="30">
        <f>MAX(1, NETWORKDAYS(A1978, G1978,Table2[Dias no laborales]))</f>
        <v>1</v>
      </c>
      <c r="J1978" s="30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30" t="str">
        <f t="shared" si="94"/>
        <v>A tiempo</v>
      </c>
      <c r="L1978" s="11">
        <v>46133</v>
      </c>
      <c r="M1978" s="31">
        <f>MAX(1,NETWORKDAYS(A1978,L1978,Table2[Dias no laborales]))</f>
        <v>1</v>
      </c>
    </row>
    <row r="1979" spans="1:13" x14ac:dyDescent="0.35">
      <c r="A1979" s="11">
        <v>46133</v>
      </c>
      <c r="B1979" s="20" t="s">
        <v>3967</v>
      </c>
      <c r="C1979" s="7" t="s">
        <v>4024</v>
      </c>
      <c r="D1979" s="7" t="s">
        <v>24</v>
      </c>
      <c r="E1979" s="18">
        <v>46133.457638888889</v>
      </c>
      <c r="F1979" s="11">
        <f>IF(HOUR(Table1[[#This Row],[CORREO]])&gt;=11,WORKDAY(Table1[[#This Row],[CORREO]],1,Table2[Dias no laborales]),E1979)</f>
        <v>46133.457638888889</v>
      </c>
      <c r="G1979" s="11">
        <v>46133</v>
      </c>
      <c r="H1979" s="30">
        <f t="shared" si="93"/>
        <v>16</v>
      </c>
      <c r="I1979" s="30">
        <f>MAX(1, NETWORKDAYS(A1979, G1979,Table2[Dias no laborales]))</f>
        <v>1</v>
      </c>
      <c r="J1979" s="30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30" t="str">
        <f t="shared" si="94"/>
        <v>A tiempo</v>
      </c>
      <c r="L1979" s="11">
        <v>46133</v>
      </c>
      <c r="M1979" s="31">
        <f>MAX(1,NETWORKDAYS(A1979,L1979,Table2[Dias no laborales]))</f>
        <v>1</v>
      </c>
    </row>
    <row r="1980" spans="1:13" x14ac:dyDescent="0.35">
      <c r="A1980" s="11">
        <v>46133</v>
      </c>
      <c r="B1980" s="20" t="s">
        <v>3968</v>
      </c>
      <c r="C1980" s="7" t="s">
        <v>4025</v>
      </c>
      <c r="D1980" s="7" t="s">
        <v>53</v>
      </c>
      <c r="E1980" s="18">
        <v>46133.459027777775</v>
      </c>
      <c r="F1980" s="11">
        <f>IF(HOUR(Table1[[#This Row],[CORREO]])&gt;=11,WORKDAY(Table1[[#This Row],[CORREO]],1,Table2[Dias no laborales]),E1980)</f>
        <v>46134</v>
      </c>
      <c r="G1980" s="11">
        <v>46133</v>
      </c>
      <c r="H1980" s="30">
        <f t="shared" si="93"/>
        <v>16</v>
      </c>
      <c r="I1980" s="30">
        <f>MAX(1, NETWORKDAYS(A1980, G1980,Table2[Dias no laborales]))</f>
        <v>1</v>
      </c>
      <c r="J1980" s="30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30" t="str">
        <f t="shared" si="94"/>
        <v>Mismo día</v>
      </c>
      <c r="L1980" s="11">
        <v>46133</v>
      </c>
      <c r="M1980" s="31">
        <f>MAX(1,NETWORKDAYS(A1980,L1980,Table2[Dias no laborales]))</f>
        <v>1</v>
      </c>
    </row>
    <row r="1981" spans="1:13" x14ac:dyDescent="0.35">
      <c r="A1981" s="11">
        <v>46133</v>
      </c>
      <c r="B1981" s="20" t="s">
        <v>3969</v>
      </c>
      <c r="C1981" s="7" t="s">
        <v>4026</v>
      </c>
      <c r="D1981" s="7" t="s">
        <v>24</v>
      </c>
      <c r="E1981" s="18">
        <v>46133.461805555555</v>
      </c>
      <c r="F1981" s="11">
        <f>IF(HOUR(Table1[[#This Row],[CORREO]])&gt;=11,WORKDAY(Table1[[#This Row],[CORREO]],1,Table2[Dias no laborales]),E1981)</f>
        <v>46134</v>
      </c>
      <c r="G1981" s="11">
        <v>46134</v>
      </c>
      <c r="H1981" s="30">
        <f t="shared" si="93"/>
        <v>16</v>
      </c>
      <c r="I1981" s="30">
        <f>MAX(1, NETWORKDAYS(A1981, G1981,Table2[Dias no laborales]))</f>
        <v>2</v>
      </c>
      <c r="J1981" s="30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30" t="str">
        <f t="shared" si="94"/>
        <v>Mismo día</v>
      </c>
      <c r="L1981" s="11">
        <v>46133</v>
      </c>
      <c r="M1981" s="31">
        <f>MAX(1,NETWORKDAYS(A1981,L1981,Table2[Dias no laborales]))</f>
        <v>1</v>
      </c>
    </row>
    <row r="1982" spans="1:13" x14ac:dyDescent="0.35">
      <c r="A1982" s="11">
        <v>46133</v>
      </c>
      <c r="B1982" s="20" t="s">
        <v>3970</v>
      </c>
      <c r="C1982" s="7" t="s">
        <v>4027</v>
      </c>
      <c r="D1982" s="7" t="s">
        <v>1136</v>
      </c>
      <c r="E1982" s="18">
        <v>46133.706250000003</v>
      </c>
      <c r="F1982" s="11">
        <f>IF(HOUR(Table1[[#This Row],[CORREO]])&gt;=11,WORKDAY(Table1[[#This Row],[CORREO]],1,Table2[Dias no laborales]),E1982)</f>
        <v>46134</v>
      </c>
      <c r="G1982" s="11"/>
      <c r="H1982" s="30">
        <f t="shared" si="93"/>
        <v>16</v>
      </c>
      <c r="I1982" s="30">
        <f>MAX(1, NETWORKDAYS(A1982, G1982,Table2[Dias no laborales]))</f>
        <v>1</v>
      </c>
      <c r="J1982" s="30" t="str">
        <f>IF(Table1[[#This Row],[FIN]]="","Acumulado",IF(ISNUMBER(SEARCH("ASAP",C1982)),"ASAP",IF(NETWORKDAYS.INTL(F1982,G1982,1,Table2[Dias no laborales]) &lt;= 7, "Dentro", IF(A1982&gt;F1982,"Programado","Fuera"))))</f>
        <v>Acumulado</v>
      </c>
      <c r="K1982" s="30" t="str">
        <f t="shared" si="94"/>
        <v>Mismo día</v>
      </c>
      <c r="L1982" s="11">
        <v>46133</v>
      </c>
      <c r="M1982" s="31">
        <f>MAX(1,NETWORKDAYS(A1982,L1982,Table2[Dias no laborales]))</f>
        <v>1</v>
      </c>
    </row>
    <row r="1983" spans="1:13" x14ac:dyDescent="0.35">
      <c r="A1983" s="11">
        <v>46134</v>
      </c>
      <c r="B1983" s="20" t="s">
        <v>3971</v>
      </c>
      <c r="C1983" s="7" t="s">
        <v>4028</v>
      </c>
      <c r="D1983" s="7" t="s">
        <v>4029</v>
      </c>
      <c r="E1983" s="18"/>
      <c r="F1983" s="11">
        <f>IF(HOUR(Table1[[#This Row],[CORREO]])&gt;=11,WORKDAY(Table1[[#This Row],[CORREO]],1,Table2[Dias no laborales]),E1983)</f>
        <v>0</v>
      </c>
      <c r="G1983" s="11">
        <v>46134</v>
      </c>
      <c r="H1983" s="30">
        <f t="shared" si="93"/>
        <v>16</v>
      </c>
      <c r="I1983" s="30">
        <f>MAX(1, NETWORKDAYS(A1983, G1983,Table2[Dias no laborales]))</f>
        <v>1</v>
      </c>
      <c r="J1983" s="30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30" t="str">
        <f t="shared" si="94"/>
        <v>Programados</v>
      </c>
      <c r="L1983" s="11">
        <v>46134</v>
      </c>
      <c r="M1983" s="31">
        <f>MAX(1,NETWORKDAYS(A1983,L1983,Table2[Dias no laborales]))</f>
        <v>1</v>
      </c>
    </row>
    <row r="1984" spans="1:13" x14ac:dyDescent="0.35">
      <c r="A1984" s="11">
        <v>46134</v>
      </c>
      <c r="B1984" s="20" t="s">
        <v>3972</v>
      </c>
      <c r="C1984" s="7" t="s">
        <v>4030</v>
      </c>
      <c r="D1984" s="7" t="s">
        <v>839</v>
      </c>
      <c r="E1984" s="18"/>
      <c r="F1984" s="11">
        <f>IF(HOUR(Table1[[#This Row],[CORREO]])&gt;=11,WORKDAY(Table1[[#This Row],[CORREO]],1,Table2[Dias no laborales]),E1984)</f>
        <v>0</v>
      </c>
      <c r="G1984" s="11"/>
      <c r="H1984" s="30">
        <f t="shared" si="93"/>
        <v>16</v>
      </c>
      <c r="I1984" s="30">
        <f>MAX(1, NETWORKDAYS(A1984, G1984,Table2[Dias no laborales]))</f>
        <v>1</v>
      </c>
      <c r="J1984" s="30" t="str">
        <f>IF(Table1[[#This Row],[FIN]]="","Acumulado",IF(ISNUMBER(SEARCH("ASAP",C1984)),"ASAP",IF(NETWORKDAYS.INTL(F1984,G1984,1,Table2[Dias no laborales]) &lt;= 7, "Dentro", IF(A1984&gt;F1984,"Programado","Fuera"))))</f>
        <v>Acumulado</v>
      </c>
      <c r="K1984" s="30" t="str">
        <f t="shared" si="94"/>
        <v>Programados</v>
      </c>
      <c r="L1984" s="11">
        <v>46134</v>
      </c>
      <c r="M1984" s="31">
        <f>MAX(1,NETWORKDAYS(A1984,L1984,Table2[Dias no laborales]))</f>
        <v>1</v>
      </c>
    </row>
    <row r="1985" spans="1:13" x14ac:dyDescent="0.35">
      <c r="A1985" s="11">
        <v>46134</v>
      </c>
      <c r="B1985" s="20" t="s">
        <v>3973</v>
      </c>
      <c r="C1985" s="7" t="s">
        <v>4031</v>
      </c>
      <c r="D1985" s="7" t="s">
        <v>53</v>
      </c>
      <c r="E1985" s="18">
        <v>46133.765277777777</v>
      </c>
      <c r="F1985" s="11">
        <f>IF(HOUR(Table1[[#This Row],[CORREO]])&gt;=11,WORKDAY(Table1[[#This Row],[CORREO]],1,Table2[Dias no laborales]),E1985)</f>
        <v>46134</v>
      </c>
      <c r="G1985" s="11"/>
      <c r="H1985" s="30">
        <f t="shared" si="93"/>
        <v>16</v>
      </c>
      <c r="I1985" s="30">
        <f>MAX(1, NETWORKDAYS(A1985, G1985,Table2[Dias no laborales]))</f>
        <v>1</v>
      </c>
      <c r="J1985" s="30" t="str">
        <f>IF(Table1[[#This Row],[FIN]]="","Acumulado",IF(ISNUMBER(SEARCH("ASAP",C1985)),"ASAP",IF(NETWORKDAYS.INTL(F1985,G1985,1,Table2[Dias no laborales]) &lt;= 7, "Dentro", IF(A1985&gt;F1985,"Programado","Fuera"))))</f>
        <v>Acumulado</v>
      </c>
      <c r="K1985" s="30" t="str">
        <f t="shared" si="94"/>
        <v>A tiempo</v>
      </c>
      <c r="L1985" s="11">
        <v>46134</v>
      </c>
      <c r="M1985" s="31">
        <f>MAX(1,NETWORKDAYS(A1985,L1985,Table2[Dias no laborales]))</f>
        <v>1</v>
      </c>
    </row>
    <row r="1986" spans="1:13" x14ac:dyDescent="0.35">
      <c r="A1986" s="11">
        <v>46134</v>
      </c>
      <c r="B1986" s="20" t="s">
        <v>3974</v>
      </c>
      <c r="C1986" s="7" t="s">
        <v>4032</v>
      </c>
      <c r="D1986" s="7" t="s">
        <v>269</v>
      </c>
      <c r="E1986" s="18">
        <v>44673.348611111112</v>
      </c>
      <c r="F1986" s="11">
        <f>IF(HOUR(Table1[[#This Row],[CORREO]])&gt;=11,WORKDAY(Table1[[#This Row],[CORREO]],1,Table2[Dias no laborales]),E1986)</f>
        <v>44673.348611111112</v>
      </c>
      <c r="G1986" s="11">
        <v>46134</v>
      </c>
      <c r="H1986" s="30">
        <f t="shared" si="93"/>
        <v>16</v>
      </c>
      <c r="I1986" s="30">
        <f>MAX(1, NETWORKDAYS(A1986, G1986,Table2[Dias no laborales]))</f>
        <v>1</v>
      </c>
      <c r="J1986" s="30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30" t="str">
        <f t="shared" si="94"/>
        <v>Programados</v>
      </c>
      <c r="L1986" s="11">
        <v>46134</v>
      </c>
      <c r="M1986" s="31">
        <f>MAX(1,NETWORKDAYS(A1986,L1986,Table2[Dias no laborales]))</f>
        <v>1</v>
      </c>
    </row>
    <row r="1987" spans="1:13" x14ac:dyDescent="0.35">
      <c r="A1987" s="11">
        <v>46134</v>
      </c>
      <c r="B1987" s="20" t="s">
        <v>3975</v>
      </c>
      <c r="C1987" s="7" t="s">
        <v>4033</v>
      </c>
      <c r="D1987" s="7" t="s">
        <v>56</v>
      </c>
      <c r="E1987" s="18">
        <v>46134.45416666667</v>
      </c>
      <c r="F1987" s="11">
        <f>IF(HOUR(Table1[[#This Row],[CORREO]])&gt;=11,WORKDAY(Table1[[#This Row],[CORREO]],1,Table2[Dias no laborales]),E1987)</f>
        <v>46134.45416666667</v>
      </c>
      <c r="G1987" s="11">
        <v>46134</v>
      </c>
      <c r="H1987" s="30">
        <f t="shared" si="93"/>
        <v>16</v>
      </c>
      <c r="I1987" s="30">
        <f>MAX(1, NETWORKDAYS(A1987, G1987,Table2[Dias no laborales]))</f>
        <v>1</v>
      </c>
      <c r="J1987" s="30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30" t="str">
        <f t="shared" si="94"/>
        <v>A tiempo</v>
      </c>
      <c r="L1987" s="11">
        <v>46134</v>
      </c>
      <c r="M1987" s="31">
        <f>MAX(1,NETWORKDAYS(A1987,L1987,Table2[Dias no laborales]))</f>
        <v>1</v>
      </c>
    </row>
    <row r="1988" spans="1:13" x14ac:dyDescent="0.35">
      <c r="A1988" s="11">
        <v>46134</v>
      </c>
      <c r="B1988" s="20" t="s">
        <v>3976</v>
      </c>
      <c r="C1988" s="7" t="s">
        <v>4034</v>
      </c>
      <c r="D1988" s="7" t="s">
        <v>4035</v>
      </c>
      <c r="E1988" s="18">
        <v>46134.506249999999</v>
      </c>
      <c r="F1988" s="11">
        <f>IF(HOUR(Table1[[#This Row],[CORREO]])&gt;=11,WORKDAY(Table1[[#This Row],[CORREO]],1,Table2[Dias no laborales]),E1988)</f>
        <v>46135</v>
      </c>
      <c r="G1988" s="11">
        <v>46135</v>
      </c>
      <c r="H1988" s="30">
        <f t="shared" si="93"/>
        <v>16</v>
      </c>
      <c r="I1988" s="30">
        <f>MAX(1, NETWORKDAYS(A1988, G1988,Table2[Dias no laborales]))</f>
        <v>2</v>
      </c>
      <c r="J1988" s="30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30" t="str">
        <f t="shared" si="94"/>
        <v>Mismo día</v>
      </c>
      <c r="L1988" s="11">
        <v>46134</v>
      </c>
      <c r="M1988" s="31">
        <f>MAX(1,NETWORKDAYS(A1988,L1988,Table2[Dias no laborales]))</f>
        <v>1</v>
      </c>
    </row>
    <row r="1989" spans="1:13" x14ac:dyDescent="0.35">
      <c r="A1989" s="11">
        <v>46134</v>
      </c>
      <c r="B1989" s="20" t="s">
        <v>3977</v>
      </c>
      <c r="C1989" s="7" t="s">
        <v>4032</v>
      </c>
      <c r="D1989" s="7" t="s">
        <v>4036</v>
      </c>
      <c r="E1989" s="18">
        <v>46134.543749999997</v>
      </c>
      <c r="F1989" s="11">
        <f>IF(HOUR(Table1[[#This Row],[CORREO]])&gt;=11,WORKDAY(Table1[[#This Row],[CORREO]],1,Table2[Dias no laborales]),E1989)</f>
        <v>46135</v>
      </c>
      <c r="G1989" s="11">
        <v>46135</v>
      </c>
      <c r="H1989" s="30">
        <f t="shared" ref="H1989:H2007" si="95">INT((A1989-DATE(YEAR(A1989),1,1))/7) + 1</f>
        <v>16</v>
      </c>
      <c r="I1989" s="30">
        <f>MAX(1, NETWORKDAYS(A1989, G1989,Table2[Dias no laborales]))</f>
        <v>2</v>
      </c>
      <c r="J1989" s="30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30" t="str">
        <f t="shared" ref="K1989:K2007" si="96">IF(INT(A1989)=INT(F1989),"A tiempo", IF(A1989&lt;F1989,"Mismo día","Programados"))</f>
        <v>Mismo día</v>
      </c>
      <c r="L1989" s="11">
        <v>46134</v>
      </c>
      <c r="M1989" s="31">
        <f>MAX(1,NETWORKDAYS(A1989,L1989,Table2[Dias no laborales]))</f>
        <v>1</v>
      </c>
    </row>
    <row r="1990" spans="1:13" x14ac:dyDescent="0.35">
      <c r="A1990" s="11">
        <v>46135</v>
      </c>
      <c r="B1990" s="20" t="s">
        <v>3978</v>
      </c>
      <c r="C1990" s="7" t="s">
        <v>4037</v>
      </c>
      <c r="D1990" s="7" t="s">
        <v>2963</v>
      </c>
      <c r="E1990" s="18"/>
      <c r="F1990" s="11">
        <f>IF(HOUR(Table1[[#This Row],[CORREO]])&gt;=11,WORKDAY(Table1[[#This Row],[CORREO]],1,Table2[Dias no laborales]),E1990)</f>
        <v>0</v>
      </c>
      <c r="G1990" s="11"/>
      <c r="H1990" s="30">
        <f t="shared" si="95"/>
        <v>17</v>
      </c>
      <c r="I1990" s="30">
        <f>MAX(1, NETWORKDAYS(A1990, G1990,Table2[Dias no laborales]))</f>
        <v>1</v>
      </c>
      <c r="J1990" s="30" t="str">
        <f>IF(Table1[[#This Row],[FIN]]="","Acumulado",IF(ISNUMBER(SEARCH("ASAP",C1990)),"ASAP",IF(NETWORKDAYS.INTL(F1990,G1990,1,Table2[Dias no laborales]) &lt;= 7, "Dentro", IF(A1990&gt;F1990,"Programado","Fuera"))))</f>
        <v>Acumulado</v>
      </c>
      <c r="K1990" s="30" t="str">
        <f t="shared" si="96"/>
        <v>Programados</v>
      </c>
      <c r="L1990" s="11">
        <v>46135</v>
      </c>
      <c r="M1990" s="31">
        <f>MAX(1,NETWORKDAYS(A1990,L1990,Table2[Dias no laborales]))</f>
        <v>1</v>
      </c>
    </row>
    <row r="1991" spans="1:13" x14ac:dyDescent="0.35">
      <c r="A1991" s="11">
        <v>46135</v>
      </c>
      <c r="B1991" s="20" t="s">
        <v>3979</v>
      </c>
      <c r="C1991" s="7" t="s">
        <v>4038</v>
      </c>
      <c r="D1991" s="7" t="s">
        <v>75</v>
      </c>
      <c r="E1991" s="18"/>
      <c r="F1991" s="11">
        <f>IF(HOUR(Table1[[#This Row],[CORREO]])&gt;=11,WORKDAY(Table1[[#This Row],[CORREO]],1,Table2[Dias no laborales]),E1991)</f>
        <v>0</v>
      </c>
      <c r="G1991" s="11"/>
      <c r="H1991" s="30">
        <f t="shared" si="95"/>
        <v>17</v>
      </c>
      <c r="I1991" s="30">
        <f>MAX(1, NETWORKDAYS(A1991, G1991,Table2[Dias no laborales]))</f>
        <v>1</v>
      </c>
      <c r="J1991" s="30" t="str">
        <f>IF(Table1[[#This Row],[FIN]]="","Acumulado",IF(ISNUMBER(SEARCH("ASAP",C1991)),"ASAP",IF(NETWORKDAYS.INTL(F1991,G1991,1,Table2[Dias no laborales]) &lt;= 7, "Dentro", IF(A1991&gt;F1991,"Programado","Fuera"))))</f>
        <v>Acumulado</v>
      </c>
      <c r="K1991" s="30" t="str">
        <f t="shared" si="96"/>
        <v>Programados</v>
      </c>
      <c r="L1991" s="11">
        <v>46135</v>
      </c>
      <c r="M1991" s="31">
        <f>MAX(1,NETWORKDAYS(A1991,L1991,Table2[Dias no laborales]))</f>
        <v>1</v>
      </c>
    </row>
    <row r="1992" spans="1:13" x14ac:dyDescent="0.35">
      <c r="A1992" s="11">
        <v>46135</v>
      </c>
      <c r="B1992" s="20" t="s">
        <v>3980</v>
      </c>
      <c r="C1992" s="7" t="s">
        <v>4039</v>
      </c>
      <c r="D1992" s="7" t="s">
        <v>2994</v>
      </c>
      <c r="E1992" s="18"/>
      <c r="F1992" s="11">
        <f>IF(HOUR(Table1[[#This Row],[CORREO]])&gt;=11,WORKDAY(Table1[[#This Row],[CORREO]],1,Table2[Dias no laborales]),E1992)</f>
        <v>0</v>
      </c>
      <c r="G1992" s="11"/>
      <c r="H1992" s="30">
        <f t="shared" si="95"/>
        <v>17</v>
      </c>
      <c r="I1992" s="30">
        <f>MAX(1, NETWORKDAYS(A1992, G1992,Table2[Dias no laborales]))</f>
        <v>1</v>
      </c>
      <c r="J1992" s="30" t="str">
        <f>IF(Table1[[#This Row],[FIN]]="","Acumulado",IF(ISNUMBER(SEARCH("ASAP",C1992)),"ASAP",IF(NETWORKDAYS.INTL(F1992,G1992,1,Table2[Dias no laborales]) &lt;= 7, "Dentro", IF(A1992&gt;F1992,"Programado","Fuera"))))</f>
        <v>Acumulado</v>
      </c>
      <c r="K1992" s="30" t="str">
        <f t="shared" si="96"/>
        <v>Programados</v>
      </c>
      <c r="L1992" s="11">
        <v>46135</v>
      </c>
      <c r="M1992" s="31">
        <f>MAX(1,NETWORKDAYS(A1992,L1992,Table2[Dias no laborales]))</f>
        <v>1</v>
      </c>
    </row>
    <row r="1993" spans="1:13" x14ac:dyDescent="0.35">
      <c r="A1993" s="11">
        <v>46135</v>
      </c>
      <c r="B1993" s="20" t="s">
        <v>3981</v>
      </c>
      <c r="C1993" s="7" t="s">
        <v>4040</v>
      </c>
      <c r="D1993" s="7" t="s">
        <v>562</v>
      </c>
      <c r="E1993" s="18"/>
      <c r="F1993" s="11">
        <f>IF(HOUR(Table1[[#This Row],[CORREO]])&gt;=11,WORKDAY(Table1[[#This Row],[CORREO]],1,Table2[Dias no laborales]),E1993)</f>
        <v>0</v>
      </c>
      <c r="G1993" s="11"/>
      <c r="H1993" s="30">
        <f t="shared" si="95"/>
        <v>17</v>
      </c>
      <c r="I1993" s="30">
        <f>MAX(1, NETWORKDAYS(A1993, G1993,Table2[Dias no laborales]))</f>
        <v>1</v>
      </c>
      <c r="J1993" s="30" t="str">
        <f>IF(Table1[[#This Row],[FIN]]="","Acumulado",IF(ISNUMBER(SEARCH("ASAP",C1993)),"ASAP",IF(NETWORKDAYS.INTL(F1993,G1993,1,Table2[Dias no laborales]) &lt;= 7, "Dentro", IF(A1993&gt;F1993,"Programado","Fuera"))))</f>
        <v>Acumulado</v>
      </c>
      <c r="K1993" s="30" t="str">
        <f t="shared" si="96"/>
        <v>Programados</v>
      </c>
      <c r="L1993" s="11">
        <v>46135</v>
      </c>
      <c r="M1993" s="31">
        <f>MAX(1,NETWORKDAYS(A1993,L1993,Table2[Dias no laborales]))</f>
        <v>1</v>
      </c>
    </row>
    <row r="1994" spans="1:13" x14ac:dyDescent="0.35">
      <c r="A1994" s="11">
        <v>46135</v>
      </c>
      <c r="B1994" s="20" t="s">
        <v>3982</v>
      </c>
      <c r="C1994" s="7" t="s">
        <v>4041</v>
      </c>
      <c r="D1994" s="7" t="s">
        <v>3794</v>
      </c>
      <c r="E1994" s="18">
        <v>46135.424305555556</v>
      </c>
      <c r="F1994" s="11">
        <f>IF(HOUR(Table1[[#This Row],[CORREO]])&gt;=11,WORKDAY(Table1[[#This Row],[CORREO]],1,Table2[Dias no laborales]),E1994)</f>
        <v>46135.424305555556</v>
      </c>
      <c r="G1994" s="11">
        <v>46135</v>
      </c>
      <c r="H1994" s="30">
        <f t="shared" si="95"/>
        <v>17</v>
      </c>
      <c r="I1994" s="30">
        <f>MAX(1, NETWORKDAYS(A1994, G1994,Table2[Dias no laborales]))</f>
        <v>1</v>
      </c>
      <c r="J1994" s="30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30" t="str">
        <f t="shared" si="96"/>
        <v>A tiempo</v>
      </c>
      <c r="L1994" s="11">
        <v>46135</v>
      </c>
      <c r="M1994" s="31">
        <f>MAX(1,NETWORKDAYS(A1994,L1994,Table2[Dias no laborales]))</f>
        <v>1</v>
      </c>
    </row>
    <row r="1995" spans="1:13" x14ac:dyDescent="0.35">
      <c r="A1995" s="11">
        <v>46135</v>
      </c>
      <c r="B1995" s="20" t="s">
        <v>3983</v>
      </c>
      <c r="C1995" s="7" t="s">
        <v>4042</v>
      </c>
      <c r="D1995" s="7" t="s">
        <v>191</v>
      </c>
      <c r="E1995" s="18">
        <v>46135.436805555553</v>
      </c>
      <c r="F1995" s="11">
        <f>IF(HOUR(Table1[[#This Row],[CORREO]])&gt;=11,WORKDAY(Table1[[#This Row],[CORREO]],1,Table2[Dias no laborales]),E1995)</f>
        <v>46135.436805555553</v>
      </c>
      <c r="G1995" s="11"/>
      <c r="H1995" s="30">
        <f t="shared" si="95"/>
        <v>17</v>
      </c>
      <c r="I1995" s="30">
        <f>MAX(1, NETWORKDAYS(A1995, G1995,Table2[Dias no laborales]))</f>
        <v>1</v>
      </c>
      <c r="J1995" s="30" t="str">
        <f>IF(Table1[[#This Row],[FIN]]="","Acumulado",IF(ISNUMBER(SEARCH("ASAP",C1995)),"ASAP",IF(NETWORKDAYS.INTL(F1995,G1995,1,Table2[Dias no laborales]) &lt;= 7, "Dentro", IF(A1995&gt;F1995,"Programado","Fuera"))))</f>
        <v>Acumulado</v>
      </c>
      <c r="K1995" s="30" t="str">
        <f t="shared" si="96"/>
        <v>A tiempo</v>
      </c>
      <c r="L1995" s="11">
        <v>46135</v>
      </c>
      <c r="M1995" s="31">
        <f>MAX(1,NETWORKDAYS(A1995,L1995,Table2[Dias no laborales]))</f>
        <v>1</v>
      </c>
    </row>
    <row r="1996" spans="1:13" x14ac:dyDescent="0.35">
      <c r="A1996" s="11">
        <v>46135</v>
      </c>
      <c r="B1996" s="20" t="s">
        <v>3984</v>
      </c>
      <c r="C1996" s="7" t="s">
        <v>4043</v>
      </c>
      <c r="D1996" s="7" t="s">
        <v>53</v>
      </c>
      <c r="E1996" s="18">
        <v>46135.456944444442</v>
      </c>
      <c r="F1996" s="11">
        <f>IF(HOUR(Table1[[#This Row],[CORREO]])&gt;=11,WORKDAY(Table1[[#This Row],[CORREO]],1,Table2[Dias no laborales]),E1996)</f>
        <v>46135.456944444442</v>
      </c>
      <c r="G1996" s="11"/>
      <c r="H1996" s="30">
        <f t="shared" si="95"/>
        <v>17</v>
      </c>
      <c r="I1996" s="30">
        <f>MAX(1, NETWORKDAYS(A1996, G1996,Table2[Dias no laborales]))</f>
        <v>1</v>
      </c>
      <c r="J1996" s="30" t="str">
        <f>IF(Table1[[#This Row],[FIN]]="","Acumulado",IF(ISNUMBER(SEARCH("ASAP",C1996)),"ASAP",IF(NETWORKDAYS.INTL(F1996,G1996,1,Table2[Dias no laborales]) &lt;= 7, "Dentro", IF(A1996&gt;F1996,"Programado","Fuera"))))</f>
        <v>Acumulado</v>
      </c>
      <c r="K1996" s="30" t="str">
        <f t="shared" si="96"/>
        <v>A tiempo</v>
      </c>
      <c r="L1996" s="11">
        <v>46135</v>
      </c>
      <c r="M1996" s="31">
        <f>MAX(1,NETWORKDAYS(A1996,L1996,Table2[Dias no laborales]))</f>
        <v>1</v>
      </c>
    </row>
    <row r="1997" spans="1:13" x14ac:dyDescent="0.35">
      <c r="A1997" s="11">
        <v>46135</v>
      </c>
      <c r="B1997" s="20" t="s">
        <v>3985</v>
      </c>
      <c r="C1997" s="7" t="s">
        <v>4044</v>
      </c>
      <c r="D1997" s="7" t="s">
        <v>2586</v>
      </c>
      <c r="E1997" s="18">
        <v>46132.402083333334</v>
      </c>
      <c r="F1997" s="11">
        <f>IF(HOUR(Table1[[#This Row],[CORREO]])&gt;=11,WORKDAY(Table1[[#This Row],[CORREO]],1,Table2[Dias no laborales]),E1997)</f>
        <v>46132.402083333334</v>
      </c>
      <c r="G1997" s="11"/>
      <c r="H1997" s="30">
        <f t="shared" si="95"/>
        <v>17</v>
      </c>
      <c r="I1997" s="30">
        <f>MAX(1, NETWORKDAYS(A1997, G1997,Table2[Dias no laborales]))</f>
        <v>1</v>
      </c>
      <c r="J1997" s="30" t="str">
        <f>IF(Table1[[#This Row],[FIN]]="","Acumulado",IF(ISNUMBER(SEARCH("ASAP",C1997)),"ASAP",IF(NETWORKDAYS.INTL(F1997,G1997,1,Table2[Dias no laborales]) &lt;= 7, "Dentro", IF(A1997&gt;F1997,"Programado","Fuera"))))</f>
        <v>Acumulado</v>
      </c>
      <c r="K1997" s="30" t="str">
        <f t="shared" si="96"/>
        <v>Programados</v>
      </c>
      <c r="L1997" s="11">
        <v>46135</v>
      </c>
      <c r="M1997" s="31">
        <f>MAX(1,NETWORKDAYS(A1997,L1997,Table2[Dias no laborales]))</f>
        <v>1</v>
      </c>
    </row>
    <row r="1998" spans="1:13" x14ac:dyDescent="0.35">
      <c r="A1998" s="11">
        <v>46135</v>
      </c>
      <c r="B1998" s="20" t="s">
        <v>3986</v>
      </c>
      <c r="C1998" s="7" t="s">
        <v>4045</v>
      </c>
      <c r="D1998" s="7" t="s">
        <v>1360</v>
      </c>
      <c r="E1998" s="18"/>
      <c r="F1998" s="11">
        <f>IF(HOUR(Table1[[#This Row],[CORREO]])&gt;=11,WORKDAY(Table1[[#This Row],[CORREO]],1,Table2[Dias no laborales]),E1998)</f>
        <v>0</v>
      </c>
      <c r="G1998" s="11">
        <v>46136</v>
      </c>
      <c r="H1998" s="30">
        <f t="shared" si="95"/>
        <v>17</v>
      </c>
      <c r="I1998" s="30">
        <f>MAX(1, NETWORKDAYS(A1998, G1998,Table2[Dias no laborales]))</f>
        <v>2</v>
      </c>
      <c r="J1998" s="30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30" t="str">
        <f t="shared" si="96"/>
        <v>Programados</v>
      </c>
      <c r="L1998" s="11">
        <v>46135</v>
      </c>
      <c r="M1998" s="31">
        <f>MAX(1,NETWORKDAYS(A1998,L1998,Table2[Dias no laborales]))</f>
        <v>1</v>
      </c>
    </row>
    <row r="1999" spans="1:13" x14ac:dyDescent="0.35">
      <c r="A1999" s="11">
        <v>46135</v>
      </c>
      <c r="B1999" s="20" t="s">
        <v>3987</v>
      </c>
      <c r="C1999" s="7" t="s">
        <v>4046</v>
      </c>
      <c r="D1999" s="7" t="s">
        <v>4047</v>
      </c>
      <c r="E1999" s="18">
        <v>46135.611111111109</v>
      </c>
      <c r="F1999" s="11">
        <f>IF(HOUR(Table1[[#This Row],[CORREO]])&gt;=11,WORKDAY(Table1[[#This Row],[CORREO]],1,Table2[Dias no laborales]),E1999)</f>
        <v>46136</v>
      </c>
      <c r="G1999" s="11"/>
      <c r="H1999" s="30">
        <f t="shared" si="95"/>
        <v>17</v>
      </c>
      <c r="I1999" s="30">
        <f>MAX(1, NETWORKDAYS(A1999, G1999,Table2[Dias no laborales]))</f>
        <v>1</v>
      </c>
      <c r="J1999" s="30" t="str">
        <f>IF(Table1[[#This Row],[FIN]]="","Acumulado",IF(ISNUMBER(SEARCH("ASAP",C1999)),"ASAP",IF(NETWORKDAYS.INTL(F1999,G1999,1,Table2[Dias no laborales]) &lt;= 7, "Dentro", IF(A1999&gt;F1999,"Programado","Fuera"))))</f>
        <v>Acumulado</v>
      </c>
      <c r="K1999" s="30" t="str">
        <f t="shared" si="96"/>
        <v>Mismo día</v>
      </c>
      <c r="L1999" s="11">
        <v>46135</v>
      </c>
      <c r="M1999" s="31">
        <f>MAX(1,NETWORKDAYS(A1999,L1999,Table2[Dias no laborales]))</f>
        <v>1</v>
      </c>
    </row>
    <row r="2000" spans="1:13" x14ac:dyDescent="0.35">
      <c r="A2000" s="11">
        <v>46135</v>
      </c>
      <c r="B2000" s="20" t="s">
        <v>3988</v>
      </c>
      <c r="C2000" s="7" t="s">
        <v>4048</v>
      </c>
      <c r="D2000" s="7" t="s">
        <v>3039</v>
      </c>
      <c r="E2000" s="18">
        <v>46135.574999999997</v>
      </c>
      <c r="F2000" s="11">
        <f>IF(HOUR(Table1[[#This Row],[CORREO]])&gt;=11,WORKDAY(Table1[[#This Row],[CORREO]],1,Table2[Dias no laborales]),E2000)</f>
        <v>46136</v>
      </c>
      <c r="G2000" s="11"/>
      <c r="H2000" s="30">
        <f t="shared" si="95"/>
        <v>17</v>
      </c>
      <c r="I2000" s="30">
        <f>MAX(1, NETWORKDAYS(A2000, G2000,Table2[Dias no laborales]))</f>
        <v>1</v>
      </c>
      <c r="J2000" s="30" t="str">
        <f>IF(Table1[[#This Row],[FIN]]="","Acumulado",IF(ISNUMBER(SEARCH("ASAP",C2000)),"ASAP",IF(NETWORKDAYS.INTL(F2000,G2000,1,Table2[Dias no laborales]) &lt;= 7, "Dentro", IF(A2000&gt;F2000,"Programado","Fuera"))))</f>
        <v>Acumulado</v>
      </c>
      <c r="K2000" s="30" t="str">
        <f t="shared" si="96"/>
        <v>Mismo día</v>
      </c>
      <c r="L2000" s="11">
        <v>46135</v>
      </c>
      <c r="M2000" s="31">
        <f>MAX(1,NETWORKDAYS(A2000,L2000,Table2[Dias no laborales]))</f>
        <v>1</v>
      </c>
    </row>
    <row r="2001" spans="1:13" x14ac:dyDescent="0.35">
      <c r="A2001" s="11">
        <v>46136</v>
      </c>
      <c r="B2001" s="20" t="s">
        <v>3989</v>
      </c>
      <c r="C2001" s="7" t="s">
        <v>4049</v>
      </c>
      <c r="D2001" s="7" t="s">
        <v>372</v>
      </c>
      <c r="E2001" s="18">
        <v>46136.486805555556</v>
      </c>
      <c r="F2001" s="11">
        <f>IF(HOUR(Table1[[#This Row],[CORREO]])&gt;=11,WORKDAY(Table1[[#This Row],[CORREO]],1,Table2[Dias no laborales]),E2001)</f>
        <v>46139</v>
      </c>
      <c r="G2001" s="11">
        <v>46136</v>
      </c>
      <c r="H2001" s="30">
        <f t="shared" si="95"/>
        <v>17</v>
      </c>
      <c r="I2001" s="30">
        <f>MAX(1, NETWORKDAYS(A2001, G2001,Table2[Dias no laborales]))</f>
        <v>1</v>
      </c>
      <c r="J2001" s="30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30" t="str">
        <f t="shared" si="96"/>
        <v>Mismo día</v>
      </c>
      <c r="L2001" s="11">
        <v>46136</v>
      </c>
      <c r="M2001" s="31">
        <f>MAX(1,NETWORKDAYS(A2001,L2001,Table2[Dias no laborales]))</f>
        <v>1</v>
      </c>
    </row>
    <row r="2002" spans="1:13" x14ac:dyDescent="0.35">
      <c r="A2002" s="11">
        <v>46136</v>
      </c>
      <c r="B2002" s="20" t="s">
        <v>3990</v>
      </c>
      <c r="C2002" s="7" t="s">
        <v>4051</v>
      </c>
      <c r="D2002" s="7" t="s">
        <v>3794</v>
      </c>
      <c r="E2002" s="18">
        <v>46135.613194444442</v>
      </c>
      <c r="F2002" s="11">
        <f>IF(HOUR(Table1[[#This Row],[CORREO]])&gt;=11,WORKDAY(Table1[[#This Row],[CORREO]],1,Table2[Dias no laborales]),E2002)</f>
        <v>46136</v>
      </c>
      <c r="G2002" s="11"/>
      <c r="H2002" s="30">
        <f t="shared" si="95"/>
        <v>17</v>
      </c>
      <c r="I2002" s="30">
        <f>MAX(1, NETWORKDAYS(A2002, G2002,Table2[Dias no laborales]))</f>
        <v>1</v>
      </c>
      <c r="J2002" s="30" t="str">
        <f>IF(Table1[[#This Row],[FIN]]="","Acumulado",IF(ISNUMBER(SEARCH("ASAP",C2002)),"ASAP",IF(NETWORKDAYS.INTL(F2002,G2002,1,Table2[Dias no laborales]) &lt;= 7, "Dentro", IF(A2002&gt;F2002,"Programado","Fuera"))))</f>
        <v>Acumulado</v>
      </c>
      <c r="K2002" s="30" t="str">
        <f t="shared" si="96"/>
        <v>A tiempo</v>
      </c>
      <c r="L2002" s="11">
        <v>46136</v>
      </c>
      <c r="M2002" s="31">
        <f>MAX(1,NETWORKDAYS(A2002,L2002,Table2[Dias no laborales]))</f>
        <v>1</v>
      </c>
    </row>
    <row r="2003" spans="1:13" x14ac:dyDescent="0.35">
      <c r="A2003" s="11">
        <v>46136</v>
      </c>
      <c r="B2003" s="20" t="s">
        <v>3991</v>
      </c>
      <c r="C2003" s="7" t="s">
        <v>4050</v>
      </c>
      <c r="D2003" s="7" t="s">
        <v>916</v>
      </c>
      <c r="E2003" s="18">
        <v>46135.708333333336</v>
      </c>
      <c r="F2003" s="11">
        <f>IF(HOUR(Table1[[#This Row],[CORREO]])&gt;=11,WORKDAY(Table1[[#This Row],[CORREO]],1,Table2[Dias no laborales]),E2003)</f>
        <v>46136</v>
      </c>
      <c r="G2003" s="11"/>
      <c r="H2003" s="30">
        <f t="shared" si="95"/>
        <v>17</v>
      </c>
      <c r="I2003" s="30">
        <f>MAX(1, NETWORKDAYS(A2003, G2003,Table2[Dias no laborales]))</f>
        <v>1</v>
      </c>
      <c r="J2003" s="30" t="str">
        <f>IF(Table1[[#This Row],[FIN]]="","Acumulado",IF(ISNUMBER(SEARCH("ASAP",C2003)),"ASAP",IF(NETWORKDAYS.INTL(F2003,G2003,1,Table2[Dias no laborales]) &lt;= 7, "Dentro", IF(A2003&gt;F2003,"Programado","Fuera"))))</f>
        <v>Acumulado</v>
      </c>
      <c r="K2003" s="30" t="str">
        <f t="shared" si="96"/>
        <v>A tiempo</v>
      </c>
      <c r="L2003" s="11">
        <v>46136</v>
      </c>
      <c r="M2003" s="31">
        <f>MAX(1,NETWORKDAYS(A2003,L2003,Table2[Dias no laborales]))</f>
        <v>1</v>
      </c>
    </row>
    <row r="2004" spans="1:13" x14ac:dyDescent="0.35">
      <c r="A2004" s="11">
        <v>46136</v>
      </c>
      <c r="B2004" s="20" t="s">
        <v>3992</v>
      </c>
      <c r="C2004" s="7" t="s">
        <v>4052</v>
      </c>
      <c r="D2004" s="7" t="s">
        <v>108</v>
      </c>
      <c r="E2004" s="18">
        <v>46135.390972222223</v>
      </c>
      <c r="F2004" s="11">
        <f>IF(HOUR(Table1[[#This Row],[CORREO]])&gt;=11,WORKDAY(Table1[[#This Row],[CORREO]],1,Table2[Dias no laborales]),E2004)</f>
        <v>46135.390972222223</v>
      </c>
      <c r="G2004" s="11"/>
      <c r="H2004" s="30">
        <f t="shared" si="95"/>
        <v>17</v>
      </c>
      <c r="I2004" s="30">
        <f>MAX(1, NETWORKDAYS(A2004, G2004,Table2[Dias no laborales]))</f>
        <v>1</v>
      </c>
      <c r="J2004" s="30" t="str">
        <f>IF(Table1[[#This Row],[FIN]]="","Acumulado",IF(ISNUMBER(SEARCH("ASAP",C2004)),"ASAP",IF(NETWORKDAYS.INTL(F2004,G2004,1,Table2[Dias no laborales]) &lt;= 7, "Dentro", IF(A2004&gt;F2004,"Programado","Fuera"))))</f>
        <v>Acumulado</v>
      </c>
      <c r="K2004" s="30" t="str">
        <f t="shared" si="96"/>
        <v>Programados</v>
      </c>
      <c r="L2004" s="11">
        <v>46136</v>
      </c>
      <c r="M2004" s="31">
        <f>MAX(1,NETWORKDAYS(A2004,L2004,Table2[Dias no laborales]))</f>
        <v>1</v>
      </c>
    </row>
    <row r="2005" spans="1:13" x14ac:dyDescent="0.35">
      <c r="A2005" s="11">
        <v>46136</v>
      </c>
      <c r="B2005" s="20" t="s">
        <v>3993</v>
      </c>
      <c r="C2005" s="7" t="s">
        <v>4053</v>
      </c>
      <c r="D2005" s="7" t="s">
        <v>61</v>
      </c>
      <c r="E2005" s="18">
        <v>46064.456944444442</v>
      </c>
      <c r="F2005" s="11">
        <f>IF(HOUR(Table1[[#This Row],[CORREO]])&gt;=11,WORKDAY(Table1[[#This Row],[CORREO]],1,Table2[Dias no laborales]),E2005)</f>
        <v>46064.456944444442</v>
      </c>
      <c r="G2005" s="11"/>
      <c r="H2005" s="30">
        <f t="shared" si="95"/>
        <v>17</v>
      </c>
      <c r="I2005" s="30">
        <f>MAX(1, NETWORKDAYS(A2005, G2005,Table2[Dias no laborales]))</f>
        <v>1</v>
      </c>
      <c r="J2005" s="30" t="str">
        <f>IF(Table1[[#This Row],[FIN]]="","Acumulado",IF(ISNUMBER(SEARCH("ASAP",C2005)),"ASAP",IF(NETWORKDAYS.INTL(F2005,G2005,1,Table2[Dias no laborales]) &lt;= 7, "Dentro", IF(A2005&gt;F2005,"Programado","Fuera"))))</f>
        <v>Acumulado</v>
      </c>
      <c r="K2005" s="30" t="str">
        <f t="shared" si="96"/>
        <v>Programados</v>
      </c>
      <c r="L2005" s="11">
        <v>46136</v>
      </c>
      <c r="M2005" s="31">
        <f>MAX(1,NETWORKDAYS(A2005,L2005,Table2[Dias no laborales]))</f>
        <v>1</v>
      </c>
    </row>
    <row r="2006" spans="1:13" x14ac:dyDescent="0.35">
      <c r="A2006" s="11">
        <v>46136</v>
      </c>
      <c r="B2006" s="20" t="s">
        <v>3994</v>
      </c>
      <c r="C2006" s="7" t="s">
        <v>3927</v>
      </c>
      <c r="D2006" s="7" t="s">
        <v>2994</v>
      </c>
      <c r="E2006" s="18">
        <v>46135.711805555555</v>
      </c>
      <c r="F2006" s="11">
        <f>IF(HOUR(Table1[[#This Row],[CORREO]])&gt;=11,WORKDAY(Table1[[#This Row],[CORREO]],1,Table2[Dias no laborales]),E2006)</f>
        <v>46136</v>
      </c>
      <c r="G2006" s="11">
        <v>46136</v>
      </c>
      <c r="H2006" s="30">
        <f t="shared" si="95"/>
        <v>17</v>
      </c>
      <c r="I2006" s="30">
        <f>MAX(1, NETWORKDAYS(A2006, G2006,Table2[Dias no laborales]))</f>
        <v>1</v>
      </c>
      <c r="J2006" s="30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30" t="str">
        <f t="shared" si="96"/>
        <v>A tiempo</v>
      </c>
      <c r="L2006" s="11">
        <v>46136</v>
      </c>
      <c r="M2006" s="31">
        <f>MAX(1,NETWORKDAYS(A2006,L2006,Table2[Dias no laborales]))</f>
        <v>1</v>
      </c>
    </row>
    <row r="2007" spans="1:13" x14ac:dyDescent="0.35">
      <c r="A2007" s="11">
        <v>46136</v>
      </c>
      <c r="B2007" s="20" t="s">
        <v>3995</v>
      </c>
      <c r="C2007" s="7" t="s">
        <v>4021</v>
      </c>
      <c r="D2007" s="7" t="s">
        <v>3999</v>
      </c>
      <c r="E2007" s="18">
        <v>46136.369444444441</v>
      </c>
      <c r="F2007" s="11">
        <f>IF(HOUR(Table1[[#This Row],[CORREO]])&gt;=11,WORKDAY(Table1[[#This Row],[CORREO]],1,Table2[Dias no laborales]),E2007)</f>
        <v>46136.369444444441</v>
      </c>
      <c r="G2007" s="11">
        <v>46136</v>
      </c>
      <c r="H2007" s="30">
        <f t="shared" si="95"/>
        <v>17</v>
      </c>
      <c r="I2007" s="30">
        <f>MAX(1, NETWORKDAYS(A2007, G2007,Table2[Dias no laborales]))</f>
        <v>1</v>
      </c>
      <c r="J2007" s="30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30" t="str">
        <f t="shared" si="96"/>
        <v>A tiempo</v>
      </c>
      <c r="L2007" s="11">
        <v>46136</v>
      </c>
      <c r="M2007" s="31">
        <f>MAX(1,NETWORKDAYS(A2007,L2007,Table2[Dias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disablePrompts="1"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0"/>
  <sheetViews>
    <sheetView workbookViewId="0">
      <selection activeCell="A11" sqref="A11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  <row r="8" spans="1:1" x14ac:dyDescent="0.35">
      <c r="A8" s="28">
        <v>46097</v>
      </c>
    </row>
    <row r="9" spans="1:1" x14ac:dyDescent="0.35">
      <c r="A9" s="28">
        <v>46114</v>
      </c>
    </row>
    <row r="10" spans="1:1" x14ac:dyDescent="0.35">
      <c r="A10" s="28">
        <v>46115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2026-04-24T23:10:16Z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