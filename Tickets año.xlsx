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65055F0C-8163-4396-B565-9F65CC01F3F1}" xr6:coauthVersionLast="47" xr6:coauthVersionMax="47" xr10:uidLastSave="{00000000-0000-0000-0000-000000000000}"/>
  <bookViews>
    <workbookView xWindow="-90" yWindow="0" windowWidth="9780" windowHeight="1017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21" i="1" l="1"/>
  <c r="K1521" i="1" s="1"/>
  <c r="F1522" i="1"/>
  <c r="K1522" i="1" s="1"/>
  <c r="F1523" i="1"/>
  <c r="K1523" i="1" s="1"/>
  <c r="F1524" i="1"/>
  <c r="K1524" i="1" s="1"/>
  <c r="F1525" i="1"/>
  <c r="K1525" i="1" s="1"/>
  <c r="F1526" i="1"/>
  <c r="K1526" i="1" s="1"/>
  <c r="F1527" i="1"/>
  <c r="K1527" i="1" s="1"/>
  <c r="H1521" i="1"/>
  <c r="H1522" i="1"/>
  <c r="H1523" i="1"/>
  <c r="H1524" i="1"/>
  <c r="H1525" i="1"/>
  <c r="H1526" i="1"/>
  <c r="H1527" i="1"/>
  <c r="I1521" i="1"/>
  <c r="J1521" i="1" s="1"/>
  <c r="I1522" i="1"/>
  <c r="J1522" i="1" s="1"/>
  <c r="I1523" i="1"/>
  <c r="I1524" i="1"/>
  <c r="I1525" i="1"/>
  <c r="J1525" i="1" s="1"/>
  <c r="I1526" i="1"/>
  <c r="I1527" i="1"/>
  <c r="J1523" i="1"/>
  <c r="J1524" i="1"/>
  <c r="J1526" i="1"/>
  <c r="J1527" i="1"/>
  <c r="M1521" i="1"/>
  <c r="M1522" i="1"/>
  <c r="M1523" i="1"/>
  <c r="M1524" i="1"/>
  <c r="M1525" i="1"/>
  <c r="M1526" i="1"/>
  <c r="M1527" i="1"/>
  <c r="F1520" i="1"/>
  <c r="K1520" i="1" s="1"/>
  <c r="H1520" i="1"/>
  <c r="I1520" i="1"/>
  <c r="J1520" i="1"/>
  <c r="M1520" i="1"/>
  <c r="F1466" i="1"/>
  <c r="K1466" i="1" s="1"/>
  <c r="F1467" i="1"/>
  <c r="F1468" i="1"/>
  <c r="K1468" i="1" s="1"/>
  <c r="F1469" i="1"/>
  <c r="K1469" i="1" s="1"/>
  <c r="F1470" i="1"/>
  <c r="K1470" i="1" s="1"/>
  <c r="F1471" i="1"/>
  <c r="K1471" i="1" s="1"/>
  <c r="F1472" i="1"/>
  <c r="K1472" i="1" s="1"/>
  <c r="F1473" i="1"/>
  <c r="K1473" i="1" s="1"/>
  <c r="F1474" i="1"/>
  <c r="K1474" i="1" s="1"/>
  <c r="F1475" i="1"/>
  <c r="K1475" i="1" s="1"/>
  <c r="F1476" i="1"/>
  <c r="K1476" i="1" s="1"/>
  <c r="F1477" i="1"/>
  <c r="K1477" i="1" s="1"/>
  <c r="F1478" i="1"/>
  <c r="K1478" i="1" s="1"/>
  <c r="F1479" i="1"/>
  <c r="K1479" i="1" s="1"/>
  <c r="F1480" i="1"/>
  <c r="K1480" i="1" s="1"/>
  <c r="F1481" i="1"/>
  <c r="K1481" i="1" s="1"/>
  <c r="F1482" i="1"/>
  <c r="K1482" i="1" s="1"/>
  <c r="F1483" i="1"/>
  <c r="F1484" i="1"/>
  <c r="K1484" i="1" s="1"/>
  <c r="F1485" i="1"/>
  <c r="K1485" i="1" s="1"/>
  <c r="F1486" i="1"/>
  <c r="K1486" i="1" s="1"/>
  <c r="F1487" i="1"/>
  <c r="K1487" i="1" s="1"/>
  <c r="F1488" i="1"/>
  <c r="K1488" i="1" s="1"/>
  <c r="F1489" i="1"/>
  <c r="K1489" i="1" s="1"/>
  <c r="F1490" i="1"/>
  <c r="K1490" i="1" s="1"/>
  <c r="F1491" i="1"/>
  <c r="K1491" i="1" s="1"/>
  <c r="F1492" i="1"/>
  <c r="K1492" i="1" s="1"/>
  <c r="F1493" i="1"/>
  <c r="K1493" i="1" s="1"/>
  <c r="F1494" i="1"/>
  <c r="K1494" i="1" s="1"/>
  <c r="F1495" i="1"/>
  <c r="K1495" i="1" s="1"/>
  <c r="F1496" i="1"/>
  <c r="K1496" i="1" s="1"/>
  <c r="F1497" i="1"/>
  <c r="K1497" i="1" s="1"/>
  <c r="F1498" i="1"/>
  <c r="K1498" i="1" s="1"/>
  <c r="F1499" i="1"/>
  <c r="K1499" i="1" s="1"/>
  <c r="F1500" i="1"/>
  <c r="K1500" i="1" s="1"/>
  <c r="F1501" i="1"/>
  <c r="K1501" i="1" s="1"/>
  <c r="F1502" i="1"/>
  <c r="K1502" i="1" s="1"/>
  <c r="F1503" i="1"/>
  <c r="K1503" i="1" s="1"/>
  <c r="F1504" i="1"/>
  <c r="K1504" i="1" s="1"/>
  <c r="F1505" i="1"/>
  <c r="K1505" i="1" s="1"/>
  <c r="F1506" i="1"/>
  <c r="K1506" i="1" s="1"/>
  <c r="F1507" i="1"/>
  <c r="K1507" i="1" s="1"/>
  <c r="F1508" i="1"/>
  <c r="K1508" i="1" s="1"/>
  <c r="F1509" i="1"/>
  <c r="K1509" i="1" s="1"/>
  <c r="F1510" i="1"/>
  <c r="K1510" i="1" s="1"/>
  <c r="F1511" i="1"/>
  <c r="K1511" i="1" s="1"/>
  <c r="F1512" i="1"/>
  <c r="K1512" i="1" s="1"/>
  <c r="F1513" i="1"/>
  <c r="K1513" i="1" s="1"/>
  <c r="F1514" i="1"/>
  <c r="K1514" i="1" s="1"/>
  <c r="F1515" i="1"/>
  <c r="K1515" i="1" s="1"/>
  <c r="F1516" i="1"/>
  <c r="K1516" i="1" s="1"/>
  <c r="F1517" i="1"/>
  <c r="K1517" i="1" s="1"/>
  <c r="F1518" i="1"/>
  <c r="K1518" i="1" s="1"/>
  <c r="F1519" i="1"/>
  <c r="K1519" i="1" s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I1466" i="1"/>
  <c r="J1466" i="1" s="1"/>
  <c r="I1467" i="1"/>
  <c r="I1468" i="1"/>
  <c r="J1468" i="1" s="1"/>
  <c r="I1469" i="1"/>
  <c r="J1469" i="1" s="1"/>
  <c r="I1470" i="1"/>
  <c r="I1471" i="1"/>
  <c r="J1471" i="1" s="1"/>
  <c r="I1472" i="1"/>
  <c r="J1472" i="1" s="1"/>
  <c r="I1473" i="1"/>
  <c r="J1473" i="1" s="1"/>
  <c r="I1474" i="1"/>
  <c r="I1475" i="1"/>
  <c r="J1475" i="1" s="1"/>
  <c r="I1476" i="1"/>
  <c r="J1476" i="1" s="1"/>
  <c r="I1477" i="1"/>
  <c r="I1478" i="1"/>
  <c r="J1478" i="1" s="1"/>
  <c r="I1479" i="1"/>
  <c r="I1480" i="1"/>
  <c r="J1480" i="1" s="1"/>
  <c r="I1481" i="1"/>
  <c r="J1481" i="1" s="1"/>
  <c r="I1482" i="1"/>
  <c r="J1482" i="1" s="1"/>
  <c r="I1483" i="1"/>
  <c r="J1483" i="1" s="1"/>
  <c r="I1484" i="1"/>
  <c r="I1485" i="1"/>
  <c r="I1486" i="1"/>
  <c r="J1486" i="1" s="1"/>
  <c r="I1487" i="1"/>
  <c r="I1488" i="1"/>
  <c r="J1488" i="1" s="1"/>
  <c r="I1489" i="1"/>
  <c r="I1490" i="1"/>
  <c r="I1491" i="1"/>
  <c r="J1491" i="1" s="1"/>
  <c r="I1492" i="1"/>
  <c r="J1492" i="1" s="1"/>
  <c r="I1493" i="1"/>
  <c r="I1494" i="1"/>
  <c r="J1494" i="1" s="1"/>
  <c r="I1495" i="1"/>
  <c r="J1495" i="1" s="1"/>
  <c r="I1496" i="1"/>
  <c r="J1496" i="1" s="1"/>
  <c r="I1497" i="1"/>
  <c r="I1498" i="1"/>
  <c r="J1498" i="1" s="1"/>
  <c r="I1499" i="1"/>
  <c r="I1500" i="1"/>
  <c r="J1500" i="1" s="1"/>
  <c r="I1501" i="1"/>
  <c r="J1501" i="1" s="1"/>
  <c r="I1502" i="1"/>
  <c r="J1502" i="1" s="1"/>
  <c r="I1503" i="1"/>
  <c r="J1503" i="1" s="1"/>
  <c r="I1504" i="1"/>
  <c r="J1504" i="1" s="1"/>
  <c r="I1505" i="1"/>
  <c r="J1505" i="1" s="1"/>
  <c r="I1506" i="1"/>
  <c r="J1506" i="1" s="1"/>
  <c r="I1507" i="1"/>
  <c r="I1508" i="1"/>
  <c r="J1508" i="1" s="1"/>
  <c r="I1509" i="1"/>
  <c r="I1510" i="1"/>
  <c r="I1511" i="1"/>
  <c r="I1512" i="1"/>
  <c r="I1513" i="1"/>
  <c r="J1513" i="1" s="1"/>
  <c r="I1514" i="1"/>
  <c r="I1515" i="1"/>
  <c r="I1516" i="1"/>
  <c r="J1516" i="1" s="1"/>
  <c r="I1517" i="1"/>
  <c r="I1518" i="1"/>
  <c r="J1518" i="1" s="1"/>
  <c r="I1519" i="1"/>
  <c r="J1519" i="1" s="1"/>
  <c r="J1467" i="1"/>
  <c r="J1470" i="1"/>
  <c r="J1474" i="1"/>
  <c r="J1477" i="1"/>
  <c r="J1479" i="1"/>
  <c r="J1484" i="1"/>
  <c r="J1485" i="1"/>
  <c r="J1487" i="1"/>
  <c r="J1489" i="1"/>
  <c r="J1490" i="1"/>
  <c r="J1493" i="1"/>
  <c r="J1497" i="1"/>
  <c r="J1499" i="1"/>
  <c r="J1507" i="1"/>
  <c r="J1509" i="1"/>
  <c r="J1510" i="1"/>
  <c r="J1511" i="1"/>
  <c r="J1512" i="1"/>
  <c r="J1514" i="1"/>
  <c r="J1515" i="1"/>
  <c r="J1517" i="1"/>
  <c r="K1467" i="1"/>
  <c r="K1483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F1414" i="1" l="1"/>
  <c r="K1414" i="1" s="1"/>
  <c r="H1414" i="1"/>
  <c r="I1414" i="1"/>
  <c r="J1414" i="1" s="1"/>
  <c r="M1414" i="1"/>
  <c r="F1403" i="1"/>
  <c r="K1403" i="1" s="1"/>
  <c r="H1403" i="1"/>
  <c r="I1403" i="1"/>
  <c r="M1403" i="1"/>
  <c r="F1358" i="1"/>
  <c r="K1358" i="1" s="1"/>
  <c r="F1370" i="1"/>
  <c r="K1370" i="1" s="1"/>
  <c r="F1375" i="1"/>
  <c r="K1375" i="1" s="1"/>
  <c r="F1404" i="1"/>
  <c r="K1404" i="1" s="1"/>
  <c r="F1406" i="1"/>
  <c r="K1406" i="1" s="1"/>
  <c r="F1410" i="1"/>
  <c r="K1410" i="1" s="1"/>
  <c r="F1411" i="1"/>
  <c r="K1411" i="1" s="1"/>
  <c r="F1412" i="1"/>
  <c r="K1412" i="1" s="1"/>
  <c r="F1418" i="1"/>
  <c r="K1418" i="1" s="1"/>
  <c r="F1420" i="1"/>
  <c r="K1420" i="1" s="1"/>
  <c r="F1422" i="1"/>
  <c r="K1422" i="1" s="1"/>
  <c r="F1423" i="1"/>
  <c r="K1423" i="1" s="1"/>
  <c r="F1424" i="1"/>
  <c r="K1424" i="1" s="1"/>
  <c r="F1426" i="1"/>
  <c r="K1426" i="1" s="1"/>
  <c r="F1428" i="1"/>
  <c r="K1428" i="1" s="1"/>
  <c r="F1429" i="1"/>
  <c r="K1429" i="1" s="1"/>
  <c r="F1431" i="1"/>
  <c r="K1431" i="1" s="1"/>
  <c r="F1433" i="1"/>
  <c r="K1433" i="1" s="1"/>
  <c r="F1434" i="1"/>
  <c r="K1434" i="1" s="1"/>
  <c r="F1435" i="1"/>
  <c r="K1435" i="1" s="1"/>
  <c r="F1436" i="1"/>
  <c r="K1436" i="1" s="1"/>
  <c r="F1437" i="1"/>
  <c r="K1437" i="1" s="1"/>
  <c r="F1438" i="1"/>
  <c r="K1438" i="1" s="1"/>
  <c r="F1443" i="1"/>
  <c r="K1443" i="1" s="1"/>
  <c r="F1402" i="1"/>
  <c r="K1402" i="1" s="1"/>
  <c r="F1405" i="1"/>
  <c r="K1405" i="1" s="1"/>
  <c r="F1407" i="1"/>
  <c r="K1407" i="1" s="1"/>
  <c r="F1415" i="1"/>
  <c r="K1415" i="1" s="1"/>
  <c r="F1416" i="1"/>
  <c r="K1416" i="1" s="1"/>
  <c r="F1417" i="1"/>
  <c r="K1417" i="1" s="1"/>
  <c r="F1439" i="1"/>
  <c r="K1439" i="1" s="1"/>
  <c r="F1441" i="1"/>
  <c r="K1441" i="1" s="1"/>
  <c r="F1444" i="1"/>
  <c r="K1444" i="1" s="1"/>
  <c r="F1451" i="1"/>
  <c r="K1451" i="1" s="1"/>
  <c r="F1442" i="1"/>
  <c r="K1442" i="1" s="1"/>
  <c r="F1449" i="1"/>
  <c r="K1449" i="1" s="1"/>
  <c r="F1453" i="1"/>
  <c r="K1453" i="1" s="1"/>
  <c r="F1455" i="1"/>
  <c r="K1455" i="1" s="1"/>
  <c r="F1408" i="1"/>
  <c r="K1408" i="1" s="1"/>
  <c r="F1419" i="1"/>
  <c r="K1419" i="1" s="1"/>
  <c r="F1462" i="1"/>
  <c r="K1462" i="1" s="1"/>
  <c r="F1409" i="1"/>
  <c r="K1409" i="1" s="1"/>
  <c r="F1448" i="1"/>
  <c r="K1448" i="1" s="1"/>
  <c r="F1445" i="1"/>
  <c r="K1445" i="1" s="1"/>
  <c r="F1446" i="1"/>
  <c r="K1446" i="1" s="1"/>
  <c r="F1447" i="1"/>
  <c r="K1447" i="1" s="1"/>
  <c r="F1454" i="1"/>
  <c r="K1454" i="1" s="1"/>
  <c r="F1456" i="1"/>
  <c r="K1456" i="1" s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I1358" i="1"/>
  <c r="I1370" i="1"/>
  <c r="I1375" i="1"/>
  <c r="I1404" i="1"/>
  <c r="I1406" i="1"/>
  <c r="I1410" i="1"/>
  <c r="I1411" i="1"/>
  <c r="I1412" i="1"/>
  <c r="I1418" i="1"/>
  <c r="I1420" i="1"/>
  <c r="I1422" i="1"/>
  <c r="I1423" i="1"/>
  <c r="I1424" i="1"/>
  <c r="I1426" i="1"/>
  <c r="I1428" i="1"/>
  <c r="I1429" i="1"/>
  <c r="I1431" i="1"/>
  <c r="I1433" i="1"/>
  <c r="I1434" i="1"/>
  <c r="I1435" i="1"/>
  <c r="I1436" i="1"/>
  <c r="I1437" i="1"/>
  <c r="I1438" i="1"/>
  <c r="J1438" i="1" s="1"/>
  <c r="I1443" i="1"/>
  <c r="J1443" i="1" s="1"/>
  <c r="I1402" i="1"/>
  <c r="I1405" i="1"/>
  <c r="I1407" i="1"/>
  <c r="J1407" i="1" s="1"/>
  <c r="I1415" i="1"/>
  <c r="J1415" i="1" s="1"/>
  <c r="I1416" i="1"/>
  <c r="J1416" i="1" s="1"/>
  <c r="I1417" i="1"/>
  <c r="J1417" i="1" s="1"/>
  <c r="I1439" i="1"/>
  <c r="J1439" i="1" s="1"/>
  <c r="I1441" i="1"/>
  <c r="J1441" i="1" s="1"/>
  <c r="I1444" i="1"/>
  <c r="J1444" i="1" s="1"/>
  <c r="I1451" i="1"/>
  <c r="I1442" i="1"/>
  <c r="J1442" i="1" s="1"/>
  <c r="I1449" i="1"/>
  <c r="J1449" i="1" s="1"/>
  <c r="I1453" i="1"/>
  <c r="J1453" i="1" s="1"/>
  <c r="I1455" i="1"/>
  <c r="J1455" i="1" s="1"/>
  <c r="I1408" i="1"/>
  <c r="J1408" i="1" s="1"/>
  <c r="I1419" i="1"/>
  <c r="J1419" i="1" s="1"/>
  <c r="I1462" i="1"/>
  <c r="J1462" i="1" s="1"/>
  <c r="I1409" i="1"/>
  <c r="I1448" i="1"/>
  <c r="J1448" i="1" s="1"/>
  <c r="I1445" i="1"/>
  <c r="J1445" i="1" s="1"/>
  <c r="I1446" i="1"/>
  <c r="J1446" i="1" s="1"/>
  <c r="I1447" i="1"/>
  <c r="J1447" i="1" s="1"/>
  <c r="I1454" i="1"/>
  <c r="J1454" i="1" s="1"/>
  <c r="I1456" i="1"/>
  <c r="J1456" i="1" s="1"/>
  <c r="J1358" i="1"/>
  <c r="J1370" i="1"/>
  <c r="J1375" i="1"/>
  <c r="J1404" i="1"/>
  <c r="J1406" i="1"/>
  <c r="J1410" i="1"/>
  <c r="J1411" i="1"/>
  <c r="J1412" i="1"/>
  <c r="J1418" i="1"/>
  <c r="J1420" i="1"/>
  <c r="J1422" i="1"/>
  <c r="J1423" i="1"/>
  <c r="J1424" i="1"/>
  <c r="J1426" i="1"/>
  <c r="J1428" i="1"/>
  <c r="J1429" i="1"/>
  <c r="J1431" i="1"/>
  <c r="J1433" i="1"/>
  <c r="J1434" i="1"/>
  <c r="J1435" i="1"/>
  <c r="J1436" i="1"/>
  <c r="J1437" i="1"/>
  <c r="J1402" i="1"/>
  <c r="J1405" i="1"/>
  <c r="J1451" i="1"/>
  <c r="J1409" i="1"/>
  <c r="M1358" i="1"/>
  <c r="M1370" i="1"/>
  <c r="M1375" i="1"/>
  <c r="M1404" i="1"/>
  <c r="M1406" i="1"/>
  <c r="M1410" i="1"/>
  <c r="M1411" i="1"/>
  <c r="M1412" i="1"/>
  <c r="M1418" i="1"/>
  <c r="M1420" i="1"/>
  <c r="M1422" i="1"/>
  <c r="M1423" i="1"/>
  <c r="M1424" i="1"/>
  <c r="M1426" i="1"/>
  <c r="M1428" i="1"/>
  <c r="M1429" i="1"/>
  <c r="M1431" i="1"/>
  <c r="M1433" i="1"/>
  <c r="M1434" i="1"/>
  <c r="M1435" i="1"/>
  <c r="M1436" i="1"/>
  <c r="M1437" i="1"/>
  <c r="M1438" i="1"/>
  <c r="M1443" i="1"/>
  <c r="M1402" i="1"/>
  <c r="M1405" i="1"/>
  <c r="M1407" i="1"/>
  <c r="M1415" i="1"/>
  <c r="M1416" i="1"/>
  <c r="M1417" i="1"/>
  <c r="M1439" i="1"/>
  <c r="M1441" i="1"/>
  <c r="M1444" i="1"/>
  <c r="M1451" i="1"/>
  <c r="M1442" i="1"/>
  <c r="M1449" i="1"/>
  <c r="M1453" i="1"/>
  <c r="M1455" i="1"/>
  <c r="M1408" i="1"/>
  <c r="M1419" i="1"/>
  <c r="M1462" i="1"/>
  <c r="M1409" i="1"/>
  <c r="M1448" i="1"/>
  <c r="M1445" i="1"/>
  <c r="M1446" i="1"/>
  <c r="M1447" i="1"/>
  <c r="M1454" i="1"/>
  <c r="M1456" i="1"/>
  <c r="F1413" i="1"/>
  <c r="K1413" i="1" s="1"/>
  <c r="F1421" i="1"/>
  <c r="K1421" i="1" s="1"/>
  <c r="F1425" i="1"/>
  <c r="K1425" i="1" s="1"/>
  <c r="F1427" i="1"/>
  <c r="K1427" i="1" s="1"/>
  <c r="F1430" i="1"/>
  <c r="K1430" i="1" s="1"/>
  <c r="F1432" i="1"/>
  <c r="K1432" i="1" s="1"/>
  <c r="F1440" i="1"/>
  <c r="K1440" i="1" s="1"/>
  <c r="F1450" i="1"/>
  <c r="K1450" i="1" s="1"/>
  <c r="F1452" i="1"/>
  <c r="K1452" i="1" s="1"/>
  <c r="F1457" i="1"/>
  <c r="K1457" i="1" s="1"/>
  <c r="F1458" i="1"/>
  <c r="K1458" i="1" s="1"/>
  <c r="F1459" i="1"/>
  <c r="K1459" i="1" s="1"/>
  <c r="F1460" i="1"/>
  <c r="K1460" i="1" s="1"/>
  <c r="F1461" i="1"/>
  <c r="K1461" i="1" s="1"/>
  <c r="F1463" i="1"/>
  <c r="K1463" i="1" s="1"/>
  <c r="F1464" i="1"/>
  <c r="K1464" i="1" s="1"/>
  <c r="F1465" i="1"/>
  <c r="K1465" i="1" s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I1413" i="1"/>
  <c r="I1421" i="1"/>
  <c r="J1421" i="1" s="1"/>
  <c r="I1425" i="1"/>
  <c r="I1427" i="1"/>
  <c r="I1430" i="1"/>
  <c r="I1432" i="1"/>
  <c r="I1440" i="1"/>
  <c r="J1440" i="1" s="1"/>
  <c r="I1450" i="1"/>
  <c r="J1450" i="1" s="1"/>
  <c r="I1452" i="1"/>
  <c r="J1452" i="1" s="1"/>
  <c r="I1457" i="1"/>
  <c r="J1457" i="1" s="1"/>
  <c r="I1458" i="1"/>
  <c r="J1458" i="1" s="1"/>
  <c r="I1459" i="1"/>
  <c r="J1459" i="1" s="1"/>
  <c r="I1460" i="1"/>
  <c r="J1460" i="1" s="1"/>
  <c r="I1461" i="1"/>
  <c r="J1461" i="1" s="1"/>
  <c r="I1463" i="1"/>
  <c r="J1463" i="1" s="1"/>
  <c r="I1464" i="1"/>
  <c r="I1465" i="1"/>
  <c r="J1465" i="1" s="1"/>
  <c r="J1413" i="1"/>
  <c r="J1432" i="1"/>
  <c r="J1464" i="1"/>
  <c r="M1413" i="1"/>
  <c r="M1421" i="1"/>
  <c r="M1425" i="1"/>
  <c r="M1427" i="1"/>
  <c r="M1430" i="1"/>
  <c r="M1432" i="1"/>
  <c r="M1440" i="1"/>
  <c r="M1450" i="1"/>
  <c r="M1452" i="1"/>
  <c r="M1457" i="1"/>
  <c r="M1458" i="1"/>
  <c r="M1459" i="1"/>
  <c r="M1460" i="1"/>
  <c r="M1461" i="1"/>
  <c r="M1463" i="1"/>
  <c r="M1464" i="1"/>
  <c r="M1465" i="1"/>
  <c r="F1359" i="1"/>
  <c r="K1359" i="1" s="1"/>
  <c r="H1359" i="1"/>
  <c r="I1359" i="1"/>
  <c r="J1359" i="1"/>
  <c r="M1359" i="1"/>
  <c r="F1401" i="1"/>
  <c r="K1401" i="1" s="1"/>
  <c r="H1401" i="1"/>
  <c r="I1401" i="1"/>
  <c r="J1401" i="1" s="1"/>
  <c r="M1401" i="1"/>
  <c r="F1400" i="1"/>
  <c r="K1400" i="1" s="1"/>
  <c r="H1400" i="1"/>
  <c r="I1400" i="1"/>
  <c r="J1400" i="1" s="1"/>
  <c r="M1400" i="1"/>
  <c r="F1399" i="1"/>
  <c r="K1399" i="1" s="1"/>
  <c r="H1399" i="1"/>
  <c r="I1399" i="1"/>
  <c r="J1399" i="1" s="1"/>
  <c r="M1399" i="1"/>
  <c r="F1398" i="1"/>
  <c r="K1398" i="1" s="1"/>
  <c r="H1398" i="1"/>
  <c r="I1398" i="1"/>
  <c r="J1398" i="1" s="1"/>
  <c r="M1398" i="1"/>
  <c r="F1397" i="1"/>
  <c r="K1397" i="1" s="1"/>
  <c r="H1397" i="1"/>
  <c r="I1397" i="1"/>
  <c r="J1397" i="1" s="1"/>
  <c r="M1397" i="1"/>
  <c r="F1396" i="1"/>
  <c r="K1396" i="1" s="1"/>
  <c r="H1396" i="1"/>
  <c r="I1396" i="1"/>
  <c r="J1396" i="1" s="1"/>
  <c r="M1396" i="1"/>
  <c r="F1395" i="1"/>
  <c r="K1395" i="1" s="1"/>
  <c r="H1395" i="1"/>
  <c r="I1395" i="1"/>
  <c r="J1395" i="1" s="1"/>
  <c r="M1395" i="1"/>
  <c r="F1394" i="1"/>
  <c r="K1394" i="1" s="1"/>
  <c r="H1394" i="1"/>
  <c r="I1394" i="1"/>
  <c r="M1394" i="1"/>
  <c r="F1393" i="1"/>
  <c r="K1393" i="1" s="1"/>
  <c r="H1393" i="1"/>
  <c r="I1393" i="1"/>
  <c r="M1393" i="1"/>
  <c r="F2" i="1"/>
  <c r="K2" i="1" s="1"/>
  <c r="H2" i="1"/>
  <c r="I2" i="1"/>
  <c r="J2" i="1" s="1"/>
  <c r="M2" i="1"/>
  <c r="F1392" i="1"/>
  <c r="K1392" i="1" s="1"/>
  <c r="H1392" i="1"/>
  <c r="I1392" i="1"/>
  <c r="J1392" i="1" s="1"/>
  <c r="M1392" i="1"/>
  <c r="F1391" i="1"/>
  <c r="K1391" i="1" s="1"/>
  <c r="H1391" i="1"/>
  <c r="I1391" i="1"/>
  <c r="J1391" i="1" s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 s="1"/>
  <c r="M1389" i="1"/>
  <c r="F1388" i="1"/>
  <c r="K1388" i="1" s="1"/>
  <c r="H1388" i="1"/>
  <c r="I1388" i="1"/>
  <c r="J1388" i="1" s="1"/>
  <c r="M1388" i="1"/>
  <c r="F1387" i="1"/>
  <c r="K1387" i="1" s="1"/>
  <c r="H1387" i="1"/>
  <c r="I1387" i="1"/>
  <c r="J1387" i="1" s="1"/>
  <c r="M1387" i="1"/>
  <c r="F1386" i="1"/>
  <c r="K1386" i="1" s="1"/>
  <c r="H1386" i="1"/>
  <c r="I1386" i="1"/>
  <c r="M1386" i="1"/>
  <c r="F1385" i="1"/>
  <c r="K1385" i="1" s="1"/>
  <c r="H1385" i="1"/>
  <c r="I1385" i="1"/>
  <c r="J1385" i="1" s="1"/>
  <c r="M1385" i="1"/>
  <c r="F1384" i="1"/>
  <c r="K1384" i="1" s="1"/>
  <c r="H1384" i="1"/>
  <c r="I1384" i="1"/>
  <c r="J1384" i="1" s="1"/>
  <c r="M1384" i="1"/>
  <c r="F1383" i="1"/>
  <c r="K1383" i="1" s="1"/>
  <c r="H1383" i="1"/>
  <c r="I1383" i="1"/>
  <c r="J1383" i="1" s="1"/>
  <c r="M1383" i="1"/>
  <c r="F1382" i="1"/>
  <c r="K1382" i="1" s="1"/>
  <c r="H1382" i="1"/>
  <c r="I1382" i="1"/>
  <c r="J1382" i="1" s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 s="1"/>
  <c r="M1380" i="1"/>
  <c r="F1379" i="1"/>
  <c r="K1379" i="1" s="1"/>
  <c r="H1379" i="1"/>
  <c r="I1379" i="1"/>
  <c r="J1379" i="1"/>
  <c r="M1379" i="1"/>
  <c r="F277" i="1"/>
  <c r="K277" i="1" s="1"/>
  <c r="F428" i="1"/>
  <c r="K428" i="1" s="1"/>
  <c r="F1334" i="1"/>
  <c r="K1334" i="1" s="1"/>
  <c r="F1345" i="1"/>
  <c r="K1345" i="1" s="1"/>
  <c r="F1342" i="1"/>
  <c r="K1342" i="1" s="1"/>
  <c r="F1343" i="1"/>
  <c r="K1343" i="1" s="1"/>
  <c r="H277" i="1"/>
  <c r="H428" i="1"/>
  <c r="H1334" i="1"/>
  <c r="H1345" i="1"/>
  <c r="H1342" i="1"/>
  <c r="H1343" i="1"/>
  <c r="I277" i="1"/>
  <c r="I428" i="1"/>
  <c r="J428" i="1" s="1"/>
  <c r="I1334" i="1"/>
  <c r="I1345" i="1"/>
  <c r="I1342" i="1"/>
  <c r="I1343" i="1"/>
  <c r="J277" i="1"/>
  <c r="J1345" i="1"/>
  <c r="J1342" i="1"/>
  <c r="J1343" i="1"/>
  <c r="M277" i="1"/>
  <c r="M428" i="1"/>
  <c r="M1334" i="1"/>
  <c r="M1345" i="1"/>
  <c r="M1342" i="1"/>
  <c r="M1343" i="1"/>
  <c r="F1348" i="1"/>
  <c r="K1348" i="1" s="1"/>
  <c r="F1322" i="1"/>
  <c r="K1322" i="1" s="1"/>
  <c r="F1336" i="1"/>
  <c r="K1336" i="1" s="1"/>
  <c r="F1335" i="1"/>
  <c r="K1335" i="1" s="1"/>
  <c r="F1319" i="1"/>
  <c r="K1319" i="1" s="1"/>
  <c r="F1320" i="1"/>
  <c r="K1320" i="1" s="1"/>
  <c r="F1356" i="1"/>
  <c r="K1356" i="1" s="1"/>
  <c r="F1347" i="1"/>
  <c r="K1347" i="1" s="1"/>
  <c r="F1346" i="1"/>
  <c r="K1346" i="1" s="1"/>
  <c r="F1350" i="1"/>
  <c r="K1350" i="1" s="1"/>
  <c r="F1352" i="1"/>
  <c r="K1352" i="1" s="1"/>
  <c r="F1331" i="1"/>
  <c r="K1331" i="1" s="1"/>
  <c r="F1329" i="1"/>
  <c r="K1329" i="1" s="1"/>
  <c r="F1344" i="1"/>
  <c r="K1344" i="1" s="1"/>
  <c r="F1363" i="1"/>
  <c r="K1363" i="1" s="1"/>
  <c r="F1357" i="1"/>
  <c r="K1357" i="1" s="1"/>
  <c r="F1323" i="1"/>
  <c r="K1323" i="1" s="1"/>
  <c r="F1324" i="1"/>
  <c r="K1324" i="1" s="1"/>
  <c r="F1327" i="1"/>
  <c r="K1327" i="1" s="1"/>
  <c r="F1332" i="1"/>
  <c r="K1332" i="1" s="1"/>
  <c r="F1361" i="1"/>
  <c r="K1361" i="1" s="1"/>
  <c r="F1364" i="1"/>
  <c r="K1364" i="1" s="1"/>
  <c r="F1365" i="1"/>
  <c r="K1365" i="1" s="1"/>
  <c r="F1368" i="1"/>
  <c r="K1368" i="1" s="1"/>
  <c r="F1369" i="1"/>
  <c r="K1369" i="1" s="1"/>
  <c r="F1353" i="1"/>
  <c r="K1353" i="1" s="1"/>
  <c r="F1354" i="1"/>
  <c r="K1354" i="1" s="1"/>
  <c r="F1355" i="1"/>
  <c r="K1355" i="1" s="1"/>
  <c r="F1372" i="1"/>
  <c r="K1372" i="1" s="1"/>
  <c r="F1371" i="1"/>
  <c r="K1371" i="1" s="1"/>
  <c r="F1326" i="1"/>
  <c r="K1326" i="1" s="1"/>
  <c r="F1325" i="1"/>
  <c r="K1325" i="1" s="1"/>
  <c r="F1351" i="1"/>
  <c r="K1351" i="1" s="1"/>
  <c r="F1373" i="1"/>
  <c r="K1373" i="1" s="1"/>
  <c r="F1374" i="1"/>
  <c r="K1374" i="1" s="1"/>
  <c r="F1349" i="1"/>
  <c r="K1349" i="1" s="1"/>
  <c r="F1376" i="1"/>
  <c r="K1376" i="1" s="1"/>
  <c r="F1333" i="1"/>
  <c r="K1333" i="1" s="1"/>
  <c r="F1378" i="1"/>
  <c r="K1378" i="1" s="1"/>
  <c r="F1362" i="1"/>
  <c r="K1362" i="1" s="1"/>
  <c r="F1377" i="1"/>
  <c r="K1377" i="1" s="1"/>
  <c r="F1315" i="1"/>
  <c r="K1315" i="1" s="1"/>
  <c r="F1367" i="1"/>
  <c r="K1367" i="1" s="1"/>
  <c r="F1366" i="1"/>
  <c r="K1366" i="1" s="1"/>
  <c r="F1360" i="1"/>
  <c r="K1360" i="1" s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I1348" i="1"/>
  <c r="I1322" i="1"/>
  <c r="J1322" i="1" s="1"/>
  <c r="I1336" i="1"/>
  <c r="J1336" i="1" s="1"/>
  <c r="I1335" i="1"/>
  <c r="J1335" i="1" s="1"/>
  <c r="I1319" i="1"/>
  <c r="J1319" i="1" s="1"/>
  <c r="I1320" i="1"/>
  <c r="J1320" i="1" s="1"/>
  <c r="I1356" i="1"/>
  <c r="J1356" i="1" s="1"/>
  <c r="I1347" i="1"/>
  <c r="I1346" i="1"/>
  <c r="J1346" i="1" s="1"/>
  <c r="I1350" i="1"/>
  <c r="J1350" i="1" s="1"/>
  <c r="I1352" i="1"/>
  <c r="J1352" i="1" s="1"/>
  <c r="I1331" i="1"/>
  <c r="I1329" i="1"/>
  <c r="J1329" i="1" s="1"/>
  <c r="I1344" i="1"/>
  <c r="J1344" i="1" s="1"/>
  <c r="I1363" i="1"/>
  <c r="J1363" i="1" s="1"/>
  <c r="I1357" i="1"/>
  <c r="J1357" i="1" s="1"/>
  <c r="I1323" i="1"/>
  <c r="J1323" i="1" s="1"/>
  <c r="I1324" i="1"/>
  <c r="J1324" i="1" s="1"/>
  <c r="I1327" i="1"/>
  <c r="J1327" i="1" s="1"/>
  <c r="I1332" i="1"/>
  <c r="J1332" i="1" s="1"/>
  <c r="I1361" i="1"/>
  <c r="J1361" i="1" s="1"/>
  <c r="I1364" i="1"/>
  <c r="I1365" i="1"/>
  <c r="J1365" i="1" s="1"/>
  <c r="I1368" i="1"/>
  <c r="J1368" i="1" s="1"/>
  <c r="I1369" i="1"/>
  <c r="J1369" i="1" s="1"/>
  <c r="I1353" i="1"/>
  <c r="J1353" i="1" s="1"/>
  <c r="I1354" i="1"/>
  <c r="J1354" i="1" s="1"/>
  <c r="I1355" i="1"/>
  <c r="J1355" i="1" s="1"/>
  <c r="I1372" i="1"/>
  <c r="I1371" i="1"/>
  <c r="J1371" i="1" s="1"/>
  <c r="I1326" i="1"/>
  <c r="J1326" i="1" s="1"/>
  <c r="I1325" i="1"/>
  <c r="J1325" i="1" s="1"/>
  <c r="I1351" i="1"/>
  <c r="J1351" i="1" s="1"/>
  <c r="I1373" i="1"/>
  <c r="I1374" i="1"/>
  <c r="I1349" i="1"/>
  <c r="J1349" i="1" s="1"/>
  <c r="I1376" i="1"/>
  <c r="J1376" i="1" s="1"/>
  <c r="I1333" i="1"/>
  <c r="J1333" i="1" s="1"/>
  <c r="I1378" i="1"/>
  <c r="J1378" i="1" s="1"/>
  <c r="I1362" i="1"/>
  <c r="J1362" i="1" s="1"/>
  <c r="I1377" i="1"/>
  <c r="J1377" i="1" s="1"/>
  <c r="I1315" i="1"/>
  <c r="I1367" i="1"/>
  <c r="J1367" i="1" s="1"/>
  <c r="I1366" i="1"/>
  <c r="J1366" i="1" s="1"/>
  <c r="I1360" i="1"/>
  <c r="J1360" i="1" s="1"/>
  <c r="J1348" i="1"/>
  <c r="J1347" i="1"/>
  <c r="J1331" i="1"/>
  <c r="J1364" i="1"/>
  <c r="J1372" i="1"/>
  <c r="J1373" i="1"/>
  <c r="J1374" i="1"/>
  <c r="M1348" i="1"/>
  <c r="M1322" i="1"/>
  <c r="M1336" i="1"/>
  <c r="M1335" i="1"/>
  <c r="M1319" i="1"/>
  <c r="M1320" i="1"/>
  <c r="M1356" i="1"/>
  <c r="M1347" i="1"/>
  <c r="M1346" i="1"/>
  <c r="M1350" i="1"/>
  <c r="M1352" i="1"/>
  <c r="M1331" i="1"/>
  <c r="M1329" i="1"/>
  <c r="M1344" i="1"/>
  <c r="M1363" i="1"/>
  <c r="M1357" i="1"/>
  <c r="M1323" i="1"/>
  <c r="M1324" i="1"/>
  <c r="M1327" i="1"/>
  <c r="M1332" i="1"/>
  <c r="M1361" i="1"/>
  <c r="M1364" i="1"/>
  <c r="M1365" i="1"/>
  <c r="M1368" i="1"/>
  <c r="M1369" i="1"/>
  <c r="M1353" i="1"/>
  <c r="M1354" i="1"/>
  <c r="M1355" i="1"/>
  <c r="M1372" i="1"/>
  <c r="M1371" i="1"/>
  <c r="M1326" i="1"/>
  <c r="M1325" i="1"/>
  <c r="M1351" i="1"/>
  <c r="M1373" i="1"/>
  <c r="M1374" i="1"/>
  <c r="M1349" i="1"/>
  <c r="M1376" i="1"/>
  <c r="M1333" i="1"/>
  <c r="M1378" i="1"/>
  <c r="M1362" i="1"/>
  <c r="M1377" i="1"/>
  <c r="M1315" i="1"/>
  <c r="M1367" i="1"/>
  <c r="M1366" i="1"/>
  <c r="M1360" i="1"/>
  <c r="J1386" i="1" l="1"/>
  <c r="J1393" i="1"/>
  <c r="J1394" i="1"/>
  <c r="J1334" i="1"/>
  <c r="J1430" i="1"/>
  <c r="J1427" i="1"/>
  <c r="J1425" i="1"/>
  <c r="J1403" i="1"/>
  <c r="J1315" i="1"/>
  <c r="J266" i="1"/>
  <c r="J309" i="1"/>
  <c r="J326" i="1"/>
  <c r="J311" i="1"/>
  <c r="J360" i="1"/>
  <c r="J361" i="1"/>
  <c r="J357" i="1"/>
  <c r="J362" i="1"/>
  <c r="J351" i="1"/>
  <c r="J379" i="1"/>
  <c r="J339" i="1"/>
  <c r="J385" i="1"/>
  <c r="J382" i="1"/>
  <c r="J403" i="1"/>
  <c r="J363" i="1"/>
  <c r="J392" i="1"/>
  <c r="J424" i="1"/>
  <c r="J408" i="1"/>
  <c r="J401" i="1"/>
  <c r="J446" i="1"/>
  <c r="J463" i="1"/>
  <c r="J464" i="1"/>
  <c r="J548" i="1"/>
  <c r="J577" i="1"/>
  <c r="J578" i="1"/>
  <c r="J585" i="1"/>
  <c r="J587" i="1"/>
  <c r="J613" i="1"/>
  <c r="J576" i="1"/>
  <c r="J561" i="1"/>
  <c r="J662" i="1"/>
  <c r="J649" i="1"/>
  <c r="J661" i="1"/>
  <c r="J709" i="1"/>
  <c r="J710" i="1"/>
  <c r="J723" i="1"/>
  <c r="J725" i="1"/>
  <c r="J805" i="1"/>
  <c r="J802" i="1"/>
  <c r="J816" i="1"/>
  <c r="J817" i="1"/>
  <c r="J834" i="1"/>
  <c r="J837" i="1"/>
  <c r="J825" i="1"/>
  <c r="J864" i="1"/>
  <c r="J857" i="1"/>
  <c r="J882" i="1"/>
  <c r="J883" i="1"/>
  <c r="J859" i="1"/>
  <c r="J893" i="1"/>
  <c r="J909" i="1"/>
  <c r="J926" i="1"/>
  <c r="J894" i="1"/>
  <c r="J936" i="1"/>
  <c r="J953" i="1"/>
  <c r="J980" i="1"/>
  <c r="J1032" i="1"/>
  <c r="J1023" i="1"/>
  <c r="J1045" i="1"/>
  <c r="J1035" i="1"/>
  <c r="J1042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9" i="1"/>
  <c r="J1214" i="1"/>
  <c r="J1222" i="1"/>
  <c r="J1245" i="1"/>
  <c r="J1272" i="1"/>
  <c r="J1233" i="1"/>
  <c r="J1242" i="1"/>
  <c r="J1243" i="1"/>
  <c r="J1246" i="1"/>
  <c r="J1284" i="1"/>
  <c r="J1293" i="1"/>
  <c r="J1330" i="1"/>
  <c r="J1306" i="1"/>
  <c r="F1292" i="1" l="1"/>
  <c r="K1292" i="1" s="1"/>
  <c r="H1292" i="1"/>
  <c r="I1292" i="1"/>
  <c r="J1292" i="1" s="1"/>
  <c r="M1292" i="1"/>
  <c r="F1297" i="1"/>
  <c r="K1297" i="1" s="1"/>
  <c r="H1297" i="1"/>
  <c r="I1297" i="1"/>
  <c r="J1297" i="1" s="1"/>
  <c r="M1297" i="1"/>
  <c r="F1298" i="1"/>
  <c r="K1298" i="1" s="1"/>
  <c r="H1298" i="1"/>
  <c r="I1298" i="1"/>
  <c r="J1298" i="1" s="1"/>
  <c r="M1298" i="1"/>
  <c r="F1281" i="1"/>
  <c r="K1281" i="1" s="1"/>
  <c r="F1300" i="1"/>
  <c r="K1300" i="1" s="1"/>
  <c r="F1307" i="1"/>
  <c r="K1307" i="1" s="1"/>
  <c r="F1305" i="1"/>
  <c r="K1305" i="1" s="1"/>
  <c r="F1302" i="1"/>
  <c r="K1302" i="1" s="1"/>
  <c r="F1280" i="1"/>
  <c r="K1280" i="1" s="1"/>
  <c r="F1309" i="1"/>
  <c r="K1309" i="1" s="1"/>
  <c r="F1308" i="1"/>
  <c r="K1308" i="1" s="1"/>
  <c r="F1296" i="1"/>
  <c r="K1296" i="1" s="1"/>
  <c r="F1301" i="1"/>
  <c r="K1301" i="1" s="1"/>
  <c r="F1294" i="1"/>
  <c r="K1294" i="1" s="1"/>
  <c r="F1253" i="1"/>
  <c r="K1253" i="1" s="1"/>
  <c r="F1311" i="1"/>
  <c r="K1311" i="1" s="1"/>
  <c r="F1290" i="1"/>
  <c r="K1290" i="1" s="1"/>
  <c r="F1244" i="1"/>
  <c r="K1244" i="1" s="1"/>
  <c r="F1310" i="1"/>
  <c r="K1310" i="1" s="1"/>
  <c r="F1318" i="1"/>
  <c r="K1318" i="1" s="1"/>
  <c r="F1304" i="1"/>
  <c r="K1304" i="1" s="1"/>
  <c r="F1316" i="1"/>
  <c r="K1316" i="1" s="1"/>
  <c r="F1313" i="1"/>
  <c r="K1313" i="1" s="1"/>
  <c r="F1312" i="1"/>
  <c r="K1312" i="1" s="1"/>
  <c r="F1314" i="1"/>
  <c r="K1314" i="1" s="1"/>
  <c r="F1328" i="1"/>
  <c r="K1328" i="1" s="1"/>
  <c r="F1303" i="1"/>
  <c r="K1303" i="1" s="1"/>
  <c r="F1338" i="1"/>
  <c r="K1338" i="1" s="1"/>
  <c r="F1340" i="1"/>
  <c r="K1340" i="1" s="1"/>
  <c r="F1337" i="1"/>
  <c r="K1337" i="1" s="1"/>
  <c r="F1339" i="1"/>
  <c r="K1339" i="1" s="1"/>
  <c r="F1330" i="1"/>
  <c r="K1330" i="1" s="1"/>
  <c r="F1317" i="1"/>
  <c r="K1317" i="1" s="1"/>
  <c r="F1341" i="1"/>
  <c r="K1341" i="1" s="1"/>
  <c r="F1306" i="1"/>
  <c r="K1306" i="1" s="1"/>
  <c r="F1321" i="1"/>
  <c r="K1321" i="1" s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I1281" i="1"/>
  <c r="J1281" i="1" s="1"/>
  <c r="I1300" i="1"/>
  <c r="J1300" i="1" s="1"/>
  <c r="I1307" i="1"/>
  <c r="J1307" i="1" s="1"/>
  <c r="I1305" i="1"/>
  <c r="J1305" i="1" s="1"/>
  <c r="I1302" i="1"/>
  <c r="J1302" i="1" s="1"/>
  <c r="I1280" i="1"/>
  <c r="J1280" i="1" s="1"/>
  <c r="I1309" i="1"/>
  <c r="J1309" i="1" s="1"/>
  <c r="I1308" i="1"/>
  <c r="J1308" i="1" s="1"/>
  <c r="I1296" i="1"/>
  <c r="J1296" i="1" s="1"/>
  <c r="I1301" i="1"/>
  <c r="J1301" i="1" s="1"/>
  <c r="I1294" i="1"/>
  <c r="J1294" i="1" s="1"/>
  <c r="I1253" i="1"/>
  <c r="I1311" i="1"/>
  <c r="J1311" i="1" s="1"/>
  <c r="I1290" i="1"/>
  <c r="J1290" i="1" s="1"/>
  <c r="I1244" i="1"/>
  <c r="I1310" i="1"/>
  <c r="J1310" i="1" s="1"/>
  <c r="I1318" i="1"/>
  <c r="J1318" i="1" s="1"/>
  <c r="I1304" i="1"/>
  <c r="J1304" i="1" s="1"/>
  <c r="I1316" i="1"/>
  <c r="J1316" i="1" s="1"/>
  <c r="I1313" i="1"/>
  <c r="J1313" i="1" s="1"/>
  <c r="I1312" i="1"/>
  <c r="J1312" i="1" s="1"/>
  <c r="I1314" i="1"/>
  <c r="J1314" i="1" s="1"/>
  <c r="I1328" i="1"/>
  <c r="J1328" i="1" s="1"/>
  <c r="I1303" i="1"/>
  <c r="J1303" i="1" s="1"/>
  <c r="I1338" i="1"/>
  <c r="J1338" i="1" s="1"/>
  <c r="I1340" i="1"/>
  <c r="J1340" i="1" s="1"/>
  <c r="I1337" i="1"/>
  <c r="J1337" i="1" s="1"/>
  <c r="I1339" i="1"/>
  <c r="J1339" i="1" s="1"/>
  <c r="I1330" i="1"/>
  <c r="I1317" i="1"/>
  <c r="J1317" i="1" s="1"/>
  <c r="I1341" i="1"/>
  <c r="J1341" i="1" s="1"/>
  <c r="I1306" i="1"/>
  <c r="I1321" i="1"/>
  <c r="J1321" i="1" s="1"/>
  <c r="M1281" i="1"/>
  <c r="M1300" i="1"/>
  <c r="M1307" i="1"/>
  <c r="M1305" i="1"/>
  <c r="M1302" i="1"/>
  <c r="M1280" i="1"/>
  <c r="M1309" i="1"/>
  <c r="M1308" i="1"/>
  <c r="M1296" i="1"/>
  <c r="M1301" i="1"/>
  <c r="M1294" i="1"/>
  <c r="M1253" i="1"/>
  <c r="M1311" i="1"/>
  <c r="M1290" i="1"/>
  <c r="M1244" i="1"/>
  <c r="M1310" i="1"/>
  <c r="M1318" i="1"/>
  <c r="M1304" i="1"/>
  <c r="M1316" i="1"/>
  <c r="M1313" i="1"/>
  <c r="M1312" i="1"/>
  <c r="M1314" i="1"/>
  <c r="M1328" i="1"/>
  <c r="M1303" i="1"/>
  <c r="M1338" i="1"/>
  <c r="M1340" i="1"/>
  <c r="M1337" i="1"/>
  <c r="M1339" i="1"/>
  <c r="M1330" i="1"/>
  <c r="M1317" i="1"/>
  <c r="M1341" i="1"/>
  <c r="M1306" i="1"/>
  <c r="M1321" i="1"/>
  <c r="J1244" i="1" l="1"/>
  <c r="J1253" i="1"/>
  <c r="M8" i="1"/>
  <c r="M5" i="1"/>
  <c r="M13" i="1"/>
  <c r="M10" i="1"/>
  <c r="M16" i="1"/>
  <c r="M14" i="1"/>
  <c r="M4" i="1"/>
  <c r="M6" i="1"/>
  <c r="M7" i="1"/>
  <c r="M9" i="1"/>
  <c r="M11" i="1"/>
  <c r="M12" i="1"/>
  <c r="M17" i="1"/>
  <c r="M33" i="1"/>
  <c r="M27" i="1"/>
  <c r="M30" i="1"/>
  <c r="M32" i="1"/>
  <c r="M26" i="1"/>
  <c r="M15" i="1"/>
  <c r="M38" i="1"/>
  <c r="M22" i="1"/>
  <c r="M25" i="1"/>
  <c r="M24" i="1"/>
  <c r="M36" i="1"/>
  <c r="M37" i="1"/>
  <c r="M42" i="1"/>
  <c r="M18" i="1"/>
  <c r="M19" i="1"/>
  <c r="M20" i="1"/>
  <c r="M41" i="1"/>
  <c r="M21" i="1"/>
  <c r="M23" i="1"/>
  <c r="M35" i="1"/>
  <c r="M46" i="1"/>
  <c r="M28" i="1"/>
  <c r="M29" i="1"/>
  <c r="M34" i="1"/>
  <c r="M31" i="1"/>
  <c r="M52" i="1"/>
  <c r="M49" i="1"/>
  <c r="M54" i="1"/>
  <c r="M55" i="1"/>
  <c r="M50" i="1"/>
  <c r="M62" i="1"/>
  <c r="M67" i="1"/>
  <c r="M45" i="1"/>
  <c r="M68" i="1"/>
  <c r="M56" i="1"/>
  <c r="M69" i="1"/>
  <c r="M71" i="1"/>
  <c r="M66" i="1"/>
  <c r="M3" i="1"/>
  <c r="M70" i="1"/>
  <c r="M72" i="1"/>
  <c r="M63" i="1"/>
  <c r="M39" i="1"/>
  <c r="M40" i="1"/>
  <c r="M58" i="1"/>
  <c r="M73" i="1"/>
  <c r="M43" i="1"/>
  <c r="M47" i="1"/>
  <c r="M51" i="1"/>
  <c r="M59" i="1"/>
  <c r="M57" i="1"/>
  <c r="M44" i="1"/>
  <c r="M48" i="1"/>
  <c r="M80" i="1"/>
  <c r="M76" i="1"/>
  <c r="M77" i="1"/>
  <c r="M53" i="1"/>
  <c r="M91" i="1"/>
  <c r="M79" i="1"/>
  <c r="M81" i="1"/>
  <c r="M90" i="1"/>
  <c r="M64" i="1"/>
  <c r="M89" i="1"/>
  <c r="M74" i="1"/>
  <c r="M82" i="1"/>
  <c r="M88" i="1"/>
  <c r="M85" i="1"/>
  <c r="M60" i="1"/>
  <c r="M65" i="1"/>
  <c r="M61" i="1"/>
  <c r="M83" i="1"/>
  <c r="M86" i="1"/>
  <c r="M75" i="1"/>
  <c r="M102" i="1"/>
  <c r="M92" i="1"/>
  <c r="M103" i="1"/>
  <c r="M104" i="1"/>
  <c r="M93" i="1"/>
  <c r="M101" i="1"/>
  <c r="M97" i="1"/>
  <c r="M78" i="1"/>
  <c r="M87" i="1"/>
  <c r="M105" i="1"/>
  <c r="M84" i="1"/>
  <c r="M94" i="1"/>
  <c r="M110" i="1"/>
  <c r="M109" i="1"/>
  <c r="M114" i="1"/>
  <c r="M113" i="1"/>
  <c r="M111" i="1"/>
  <c r="M95" i="1"/>
  <c r="M96" i="1"/>
  <c r="M98" i="1"/>
  <c r="M99" i="1"/>
  <c r="M100" i="1"/>
  <c r="M129" i="1"/>
  <c r="M122" i="1"/>
  <c r="M119" i="1"/>
  <c r="M120" i="1"/>
  <c r="M118" i="1"/>
  <c r="M112" i="1"/>
  <c r="M128" i="1"/>
  <c r="M130" i="1"/>
  <c r="M126" i="1"/>
  <c r="M134" i="1"/>
  <c r="M133" i="1"/>
  <c r="M131" i="1"/>
  <c r="M107" i="1"/>
  <c r="M108" i="1"/>
  <c r="M125" i="1"/>
  <c r="M138" i="1"/>
  <c r="M115" i="1"/>
  <c r="M124" i="1"/>
  <c r="M135" i="1"/>
  <c r="M121" i="1"/>
  <c r="M123" i="1"/>
  <c r="M147" i="1"/>
  <c r="M137" i="1"/>
  <c r="M148" i="1"/>
  <c r="M153" i="1"/>
  <c r="M136" i="1"/>
  <c r="M150" i="1"/>
  <c r="M151" i="1"/>
  <c r="M145" i="1"/>
  <c r="M142" i="1"/>
  <c r="M143" i="1"/>
  <c r="M144" i="1"/>
  <c r="M156" i="1"/>
  <c r="M149" i="1"/>
  <c r="M170" i="1"/>
  <c r="M159" i="1"/>
  <c r="M162" i="1"/>
  <c r="M141" i="1"/>
  <c r="M140" i="1"/>
  <c r="M106" i="1"/>
  <c r="M174" i="1"/>
  <c r="M180" i="1"/>
  <c r="M127" i="1"/>
  <c r="M172" i="1"/>
  <c r="M155" i="1"/>
  <c r="M177" i="1"/>
  <c r="M158" i="1"/>
  <c r="M166" i="1"/>
  <c r="M167" i="1"/>
  <c r="M168" i="1"/>
  <c r="M146" i="1"/>
  <c r="M178" i="1"/>
  <c r="M185" i="1"/>
  <c r="M191" i="1"/>
  <c r="M189" i="1"/>
  <c r="M169" i="1"/>
  <c r="M195" i="1"/>
  <c r="M165" i="1"/>
  <c r="M164" i="1"/>
  <c r="M176" i="1"/>
  <c r="M175" i="1"/>
  <c r="M192" i="1"/>
  <c r="M188" i="1"/>
  <c r="M205" i="1"/>
  <c r="M200" i="1"/>
  <c r="M201" i="1"/>
  <c r="M204" i="1"/>
  <c r="M208" i="1"/>
  <c r="M117" i="1"/>
  <c r="M181" i="1"/>
  <c r="M217" i="1"/>
  <c r="M182" i="1"/>
  <c r="M203" i="1"/>
  <c r="M154" i="1"/>
  <c r="M160" i="1"/>
  <c r="M206" i="1"/>
  <c r="M211" i="1"/>
  <c r="M116" i="1"/>
  <c r="M224" i="1"/>
  <c r="M198" i="1"/>
  <c r="M218" i="1"/>
  <c r="M219" i="1"/>
  <c r="M214" i="1"/>
  <c r="M226" i="1"/>
  <c r="M190" i="1"/>
  <c r="M225" i="1"/>
  <c r="M223" i="1"/>
  <c r="M152" i="1"/>
  <c r="M229" i="1"/>
  <c r="M171" i="1"/>
  <c r="M187" i="1"/>
  <c r="M183" i="1"/>
  <c r="M228" i="1"/>
  <c r="M196" i="1"/>
  <c r="M237" i="1"/>
  <c r="M238" i="1"/>
  <c r="M194" i="1"/>
  <c r="M216" i="1"/>
  <c r="M221" i="1"/>
  <c r="M231" i="1"/>
  <c r="M215" i="1"/>
  <c r="M235" i="1"/>
  <c r="M173" i="1"/>
  <c r="M243" i="1"/>
  <c r="M249" i="1"/>
  <c r="M247" i="1"/>
  <c r="M233" i="1"/>
  <c r="M222" i="1"/>
  <c r="M163" i="1"/>
  <c r="M236" i="1"/>
  <c r="M245" i="1"/>
  <c r="M179" i="1"/>
  <c r="M230" i="1"/>
  <c r="M250" i="1"/>
  <c r="M255" i="1"/>
  <c r="M254" i="1"/>
  <c r="M132" i="1"/>
  <c r="M248" i="1"/>
  <c r="M184" i="1"/>
  <c r="M202" i="1"/>
  <c r="M257" i="1"/>
  <c r="M265" i="1"/>
  <c r="M234" i="1"/>
  <c r="M252" i="1"/>
  <c r="M240" i="1"/>
  <c r="M266" i="1"/>
  <c r="M253" i="1"/>
  <c r="M212" i="1"/>
  <c r="M259" i="1"/>
  <c r="M244" i="1"/>
  <c r="M270" i="1"/>
  <c r="M276" i="1"/>
  <c r="M139" i="1"/>
  <c r="M246" i="1"/>
  <c r="M261" i="1"/>
  <c r="M264" i="1"/>
  <c r="M262" i="1"/>
  <c r="M275" i="1"/>
  <c r="M251" i="1"/>
  <c r="M283" i="1"/>
  <c r="M273" i="1"/>
  <c r="M279" i="1"/>
  <c r="M161" i="1"/>
  <c r="M193" i="1"/>
  <c r="M197" i="1"/>
  <c r="M199" i="1"/>
  <c r="M220" i="1"/>
  <c r="M232" i="1"/>
  <c r="M281" i="1"/>
  <c r="M227" i="1"/>
  <c r="M239" i="1"/>
  <c r="M242" i="1"/>
  <c r="M278" i="1"/>
  <c r="M263" i="1"/>
  <c r="M260" i="1"/>
  <c r="M287" i="1"/>
  <c r="M290" i="1"/>
  <c r="M286" i="1"/>
  <c r="M285" i="1"/>
  <c r="M267" i="1"/>
  <c r="M256" i="1"/>
  <c r="M295" i="1"/>
  <c r="M300" i="1"/>
  <c r="M291" i="1"/>
  <c r="M301" i="1"/>
  <c r="M272" i="1"/>
  <c r="M294" i="1"/>
  <c r="M284" i="1"/>
  <c r="M308" i="1"/>
  <c r="M271" i="1"/>
  <c r="M316" i="1"/>
  <c r="M269" i="1"/>
  <c r="M312" i="1"/>
  <c r="M304" i="1"/>
  <c r="M307" i="1"/>
  <c r="M157" i="1"/>
  <c r="M320" i="1"/>
  <c r="M318" i="1"/>
  <c r="M321" i="1"/>
  <c r="M305" i="1"/>
  <c r="M241" i="1"/>
  <c r="M323" i="1"/>
  <c r="M319" i="1"/>
  <c r="M309" i="1"/>
  <c r="M315" i="1"/>
  <c r="M314" i="1"/>
  <c r="M327" i="1"/>
  <c r="M324" i="1"/>
  <c r="M332" i="1"/>
  <c r="M330" i="1"/>
  <c r="M331" i="1"/>
  <c r="M326" i="1"/>
  <c r="M268" i="1"/>
  <c r="M334" i="1"/>
  <c r="M298" i="1"/>
  <c r="M335" i="1"/>
  <c r="M311" i="1"/>
  <c r="M317" i="1"/>
  <c r="M329" i="1"/>
  <c r="M306" i="1"/>
  <c r="M313" i="1"/>
  <c r="M302" i="1"/>
  <c r="M336" i="1"/>
  <c r="M310" i="1"/>
  <c r="M338" i="1"/>
  <c r="M288" i="1"/>
  <c r="M346" i="1"/>
  <c r="M333" i="1"/>
  <c r="M349" i="1"/>
  <c r="M350" i="1"/>
  <c r="M340" i="1"/>
  <c r="M342" i="1"/>
  <c r="M343" i="1"/>
  <c r="M328" i="1"/>
  <c r="M344" i="1"/>
  <c r="M348" i="1"/>
  <c r="M341" i="1"/>
  <c r="M353" i="1"/>
  <c r="M322" i="1"/>
  <c r="M359" i="1"/>
  <c r="M360" i="1"/>
  <c r="M213" i="1"/>
  <c r="M361" i="1"/>
  <c r="M358" i="1"/>
  <c r="M356" i="1"/>
  <c r="M303" i="1"/>
  <c r="M357" i="1"/>
  <c r="M347" i="1"/>
  <c r="M362" i="1"/>
  <c r="M351" i="1"/>
  <c r="M379" i="1"/>
  <c r="M292" i="1"/>
  <c r="M339" i="1"/>
  <c r="M296" i="1"/>
  <c r="M352" i="1"/>
  <c r="M376" i="1"/>
  <c r="M378" i="1"/>
  <c r="M375" i="1"/>
  <c r="M345" i="1"/>
  <c r="M280" i="1"/>
  <c r="M383" i="1"/>
  <c r="M385" i="1"/>
  <c r="M393" i="1"/>
  <c r="M390" i="1"/>
  <c r="M382" i="1"/>
  <c r="M388" i="1"/>
  <c r="M389" i="1"/>
  <c r="M381" i="1"/>
  <c r="M400" i="1"/>
  <c r="M399" i="1"/>
  <c r="M397" i="1"/>
  <c r="M355" i="1"/>
  <c r="M386" i="1"/>
  <c r="M384" i="1"/>
  <c r="M391" i="1"/>
  <c r="M186" i="1"/>
  <c r="M404" i="1"/>
  <c r="M394" i="1"/>
  <c r="M289" i="1"/>
  <c r="M402" i="1"/>
  <c r="M367" i="1"/>
  <c r="M368" i="1"/>
  <c r="M369" i="1"/>
  <c r="M371" i="1"/>
  <c r="M372" i="1"/>
  <c r="M407" i="1"/>
  <c r="M413" i="1"/>
  <c r="M380" i="1"/>
  <c r="M403" i="1"/>
  <c r="M406" i="1"/>
  <c r="M366" i="1"/>
  <c r="M282" i="1"/>
  <c r="M363" i="1"/>
  <c r="M412" i="1"/>
  <c r="M420" i="1"/>
  <c r="M410" i="1"/>
  <c r="M417" i="1"/>
  <c r="M416" i="1"/>
  <c r="M409" i="1"/>
  <c r="M392" i="1"/>
  <c r="M425" i="1"/>
  <c r="M424" i="1"/>
  <c r="M365" i="1"/>
  <c r="M426" i="1"/>
  <c r="M408" i="1"/>
  <c r="M429" i="1"/>
  <c r="M427" i="1"/>
  <c r="M422" i="1"/>
  <c r="M274" i="1"/>
  <c r="M325" i="1"/>
  <c r="M423" i="1"/>
  <c r="M414" i="1"/>
  <c r="M297" i="1"/>
  <c r="M370" i="1"/>
  <c r="M377" i="1"/>
  <c r="M432" i="1"/>
  <c r="M398" i="1"/>
  <c r="M354" i="1"/>
  <c r="M401" i="1"/>
  <c r="M438" i="1"/>
  <c r="M444" i="1"/>
  <c r="M434" i="1"/>
  <c r="M373" i="1"/>
  <c r="M442" i="1"/>
  <c r="M436" i="1"/>
  <c r="M374" i="1"/>
  <c r="M419" i="1"/>
  <c r="M450" i="1"/>
  <c r="M455" i="1"/>
  <c r="M446" i="1"/>
  <c r="M258" i="1"/>
  <c r="M435" i="1"/>
  <c r="M461" i="1"/>
  <c r="M460" i="1"/>
  <c r="M465" i="1"/>
  <c r="M457" i="1"/>
  <c r="M452" i="1"/>
  <c r="M459" i="1"/>
  <c r="M447" i="1"/>
  <c r="M458" i="1"/>
  <c r="M463" i="1"/>
  <c r="M415" i="1"/>
  <c r="M470" i="1"/>
  <c r="M433" i="1"/>
  <c r="M468" i="1"/>
  <c r="M466" i="1"/>
  <c r="M472" i="1"/>
  <c r="M477" i="1"/>
  <c r="M464" i="1"/>
  <c r="M396" i="1"/>
  <c r="M364" i="1"/>
  <c r="M475" i="1"/>
  <c r="M451" i="1"/>
  <c r="M471" i="1"/>
  <c r="M476" i="1"/>
  <c r="M481" i="1"/>
  <c r="M482" i="1"/>
  <c r="M484" i="1"/>
  <c r="M439" i="1"/>
  <c r="M479" i="1"/>
  <c r="M488" i="1"/>
  <c r="M490" i="1"/>
  <c r="M493" i="1"/>
  <c r="M505" i="1"/>
  <c r="M513" i="1"/>
  <c r="M510" i="1"/>
  <c r="M509" i="1"/>
  <c r="M515" i="1"/>
  <c r="M518" i="1"/>
  <c r="M523" i="1"/>
  <c r="M521" i="1"/>
  <c r="M539" i="1"/>
  <c r="M548" i="1"/>
  <c r="M544" i="1"/>
  <c r="M551" i="1"/>
  <c r="M550" i="1"/>
  <c r="M562" i="1"/>
  <c r="M560" i="1"/>
  <c r="M207" i="1"/>
  <c r="M563" i="1"/>
  <c r="M566" i="1"/>
  <c r="M570" i="1"/>
  <c r="M569" i="1"/>
  <c r="M581" i="1"/>
  <c r="M577" i="1"/>
  <c r="M586" i="1"/>
  <c r="M589" i="1"/>
  <c r="M591" i="1"/>
  <c r="M593" i="1"/>
  <c r="M597" i="1"/>
  <c r="M600" i="1"/>
  <c r="M602" i="1"/>
  <c r="M603" i="1"/>
  <c r="M606" i="1"/>
  <c r="M612" i="1"/>
  <c r="M610" i="1"/>
  <c r="M617" i="1"/>
  <c r="M614" i="1"/>
  <c r="M615" i="1"/>
  <c r="M506" i="1"/>
  <c r="M494" i="1"/>
  <c r="M511" i="1"/>
  <c r="M524" i="1"/>
  <c r="M517" i="1"/>
  <c r="M531" i="1"/>
  <c r="M526" i="1"/>
  <c r="M530" i="1"/>
  <c r="M527" i="1"/>
  <c r="M540" i="1"/>
  <c r="M545" i="1"/>
  <c r="M543" i="1"/>
  <c r="M547" i="1"/>
  <c r="M553" i="1"/>
  <c r="M573" i="1"/>
  <c r="M574" i="1"/>
  <c r="M578" i="1"/>
  <c r="M585" i="1"/>
  <c r="M587" i="1"/>
  <c r="M598" i="1"/>
  <c r="M595" i="1"/>
  <c r="M605" i="1"/>
  <c r="M613" i="1"/>
  <c r="M483" i="1"/>
  <c r="M485" i="1"/>
  <c r="M512" i="1"/>
  <c r="M541" i="1"/>
  <c r="M556" i="1"/>
  <c r="M567" i="1"/>
  <c r="M571" i="1"/>
  <c r="M565" i="1"/>
  <c r="M576" i="1"/>
  <c r="M590" i="1"/>
  <c r="M487" i="1"/>
  <c r="M496" i="1"/>
  <c r="M497" i="1"/>
  <c r="M491" i="1"/>
  <c r="M516" i="1"/>
  <c r="M519" i="1"/>
  <c r="M542" i="1"/>
  <c r="M559" i="1"/>
  <c r="M592" i="1"/>
  <c r="M588" i="1"/>
  <c r="M473" i="1"/>
  <c r="M486" i="1"/>
  <c r="M499" i="1"/>
  <c r="M500" i="1"/>
  <c r="M502" i="1"/>
  <c r="M503" i="1"/>
  <c r="M538" i="1"/>
  <c r="M293" i="1"/>
  <c r="M534" i="1"/>
  <c r="M557" i="1"/>
  <c r="M568" i="1"/>
  <c r="M582" i="1"/>
  <c r="M584" i="1"/>
  <c r="M594" i="1"/>
  <c r="M467" i="1"/>
  <c r="M469" i="1"/>
  <c r="M495" i="1"/>
  <c r="M514" i="1"/>
  <c r="M552" i="1"/>
  <c r="M580" i="1"/>
  <c r="M583" i="1"/>
  <c r="M478" i="1"/>
  <c r="M492" i="1"/>
  <c r="M546" i="1"/>
  <c r="M549" i="1"/>
  <c r="M449" i="1"/>
  <c r="M501" i="1"/>
  <c r="M507" i="1"/>
  <c r="M561" i="1"/>
  <c r="M579" i="1"/>
  <c r="M462" i="1"/>
  <c r="M533" i="1"/>
  <c r="M554" i="1"/>
  <c r="M474" i="1"/>
  <c r="M480" i="1"/>
  <c r="M529" i="1"/>
  <c r="M453" i="1"/>
  <c r="M445" i="1"/>
  <c r="M498" i="1"/>
  <c r="M536" i="1"/>
  <c r="M504" i="1"/>
  <c r="M431" i="1"/>
  <c r="M532" i="1"/>
  <c r="M437" i="1"/>
  <c r="M441" i="1"/>
  <c r="M405" i="1"/>
  <c r="M395" i="1"/>
  <c r="M443" i="1"/>
  <c r="M456" i="1"/>
  <c r="M418" i="1"/>
  <c r="M337" i="1"/>
  <c r="M411" i="1"/>
  <c r="M387" i="1"/>
  <c r="M299" i="1"/>
  <c r="M209" i="1"/>
  <c r="M210" i="1"/>
  <c r="M430" i="1"/>
  <c r="M522" i="1"/>
  <c r="M508" i="1"/>
  <c r="M448" i="1"/>
  <c r="M645" i="1"/>
  <c r="M564" i="1"/>
  <c r="M650" i="1"/>
  <c r="M421" i="1"/>
  <c r="M535" i="1"/>
  <c r="M520" i="1"/>
  <c r="M625" i="1"/>
  <c r="M528" i="1"/>
  <c r="M630" i="1"/>
  <c r="M572" i="1"/>
  <c r="M609" i="1"/>
  <c r="M489" i="1"/>
  <c r="M555" i="1"/>
  <c r="M558" i="1"/>
  <c r="M637" i="1"/>
  <c r="M668" i="1"/>
  <c r="M575" i="1"/>
  <c r="M662" i="1"/>
  <c r="M638" i="1"/>
  <c r="M639" i="1"/>
  <c r="M640" i="1"/>
  <c r="M642" i="1"/>
  <c r="M643" i="1"/>
  <c r="M641" i="1"/>
  <c r="M665" i="1"/>
  <c r="M680" i="1"/>
  <c r="M611" i="1"/>
  <c r="M634" i="1"/>
  <c r="M648" i="1"/>
  <c r="M657" i="1"/>
  <c r="M537" i="1"/>
  <c r="M649" i="1"/>
  <c r="M601" i="1"/>
  <c r="M604" i="1"/>
  <c r="M624" i="1"/>
  <c r="M607" i="1"/>
  <c r="M666" i="1"/>
  <c r="M631" i="1"/>
  <c r="M664" i="1"/>
  <c r="M667" i="1"/>
  <c r="M698" i="1"/>
  <c r="M700" i="1"/>
  <c r="M699" i="1"/>
  <c r="M618" i="1"/>
  <c r="M655" i="1"/>
  <c r="M682" i="1"/>
  <c r="M697" i="1"/>
  <c r="M703" i="1"/>
  <c r="M654" i="1"/>
  <c r="M672" i="1"/>
  <c r="M677" i="1"/>
  <c r="M691" i="1"/>
  <c r="M695" i="1"/>
  <c r="M616" i="1"/>
  <c r="M619" i="1"/>
  <c r="M628" i="1"/>
  <c r="M636" i="1"/>
  <c r="M651" i="1"/>
  <c r="M660" i="1"/>
  <c r="M674" i="1"/>
  <c r="M675" i="1"/>
  <c r="M676" i="1"/>
  <c r="M679" i="1"/>
  <c r="M684" i="1"/>
  <c r="M687" i="1"/>
  <c r="M623" i="1"/>
  <c r="M633" i="1"/>
  <c r="M632" i="1"/>
  <c r="M629" i="1"/>
  <c r="M644" i="1"/>
  <c r="M653" i="1"/>
  <c r="M661" i="1"/>
  <c r="M683" i="1"/>
  <c r="M689" i="1"/>
  <c r="M704" i="1"/>
  <c r="M707" i="1"/>
  <c r="M718" i="1"/>
  <c r="M717" i="1"/>
  <c r="M620" i="1"/>
  <c r="M622" i="1"/>
  <c r="M626" i="1"/>
  <c r="M646" i="1"/>
  <c r="M647" i="1"/>
  <c r="M659" i="1"/>
  <c r="M671" i="1"/>
  <c r="M670" i="1"/>
  <c r="M673" i="1"/>
  <c r="M681" i="1"/>
  <c r="M688" i="1"/>
  <c r="M686" i="1"/>
  <c r="M685" i="1"/>
  <c r="M692" i="1"/>
  <c r="M701" i="1"/>
  <c r="M709" i="1"/>
  <c r="M710" i="1"/>
  <c r="M715" i="1"/>
  <c r="M716" i="1"/>
  <c r="M722" i="1"/>
  <c r="M712" i="1"/>
  <c r="M723" i="1"/>
  <c r="M711" i="1"/>
  <c r="M658" i="1"/>
  <c r="M724" i="1"/>
  <c r="M727" i="1"/>
  <c r="M669" i="1"/>
  <c r="M714" i="1"/>
  <c r="M731" i="1"/>
  <c r="M720" i="1"/>
  <c r="M740" i="1"/>
  <c r="M721" i="1"/>
  <c r="M702" i="1"/>
  <c r="M729" i="1"/>
  <c r="M735" i="1"/>
  <c r="M746" i="1"/>
  <c r="M656" i="1"/>
  <c r="M748" i="1"/>
  <c r="M725" i="1"/>
  <c r="M754" i="1"/>
  <c r="M753" i="1"/>
  <c r="M708" i="1"/>
  <c r="M743" i="1"/>
  <c r="M726" i="1"/>
  <c r="M756" i="1"/>
  <c r="M741" i="1"/>
  <c r="M728" i="1"/>
  <c r="M758" i="1"/>
  <c r="M737" i="1"/>
  <c r="M736" i="1"/>
  <c r="M696" i="1"/>
  <c r="M761" i="1"/>
  <c r="M760" i="1"/>
  <c r="M734" i="1"/>
  <c r="M733" i="1"/>
  <c r="M599" i="1"/>
  <c r="M751" i="1"/>
  <c r="M749" i="1"/>
  <c r="M744" i="1"/>
  <c r="M732" i="1"/>
  <c r="M766" i="1"/>
  <c r="M764" i="1"/>
  <c r="M742" i="1"/>
  <c r="M769" i="1"/>
  <c r="M768" i="1"/>
  <c r="M772" i="1"/>
  <c r="M454" i="1"/>
  <c r="M775" i="1"/>
  <c r="M730" i="1"/>
  <c r="M778" i="1"/>
  <c r="M779" i="1"/>
  <c r="M780" i="1"/>
  <c r="M663" i="1"/>
  <c r="M750" i="1"/>
  <c r="M771" i="1"/>
  <c r="M785" i="1"/>
  <c r="M739" i="1"/>
  <c r="M790" i="1"/>
  <c r="M788" i="1"/>
  <c r="M752" i="1"/>
  <c r="M773" i="1"/>
  <c r="M762" i="1"/>
  <c r="M608" i="1"/>
  <c r="M781" i="1"/>
  <c r="M770" i="1"/>
  <c r="M791" i="1"/>
  <c r="M787" i="1"/>
  <c r="M765" i="1"/>
  <c r="M678" i="1"/>
  <c r="M783" i="1"/>
  <c r="M789" i="1"/>
  <c r="M795" i="1"/>
  <c r="M796" i="1"/>
  <c r="M797" i="1"/>
  <c r="M767" i="1"/>
  <c r="M782" i="1"/>
  <c r="M652" i="1"/>
  <c r="M799" i="1"/>
  <c r="M776" i="1"/>
  <c r="M777" i="1"/>
  <c r="M745" i="1"/>
  <c r="M794" i="1"/>
  <c r="M801" i="1"/>
  <c r="M793" i="1"/>
  <c r="M810" i="1"/>
  <c r="M807" i="1"/>
  <c r="M805" i="1"/>
  <c r="M802" i="1"/>
  <c r="M812" i="1"/>
  <c r="M798" i="1"/>
  <c r="M811" i="1"/>
  <c r="M706" i="1"/>
  <c r="M816" i="1"/>
  <c r="M817" i="1"/>
  <c r="M809" i="1"/>
  <c r="M804" i="1"/>
  <c r="M803" i="1"/>
  <c r="M808" i="1"/>
  <c r="M820" i="1"/>
  <c r="M822" i="1"/>
  <c r="M800" i="1"/>
  <c r="M821" i="1"/>
  <c r="M792" i="1"/>
  <c r="M819" i="1"/>
  <c r="M738" i="1"/>
  <c r="M635" i="1"/>
  <c r="M824" i="1"/>
  <c r="M693" i="1"/>
  <c r="M806" i="1"/>
  <c r="M786" i="1"/>
  <c r="M831" i="1"/>
  <c r="M759" i="1"/>
  <c r="M813" i="1"/>
  <c r="M814" i="1"/>
  <c r="M823" i="1"/>
  <c r="M755" i="1"/>
  <c r="M747" i="1"/>
  <c r="M757" i="1"/>
  <c r="M784" i="1"/>
  <c r="M827" i="1"/>
  <c r="M828" i="1"/>
  <c r="M829" i="1"/>
  <c r="M830" i="1"/>
  <c r="M834" i="1"/>
  <c r="M837" i="1"/>
  <c r="M838" i="1"/>
  <c r="M818" i="1"/>
  <c r="M826" i="1"/>
  <c r="M835" i="1"/>
  <c r="M833" i="1"/>
  <c r="M832" i="1"/>
  <c r="M815" i="1"/>
  <c r="M763" i="1"/>
  <c r="M825" i="1"/>
  <c r="M842" i="1"/>
  <c r="M844" i="1"/>
  <c r="M850" i="1"/>
  <c r="M853" i="1"/>
  <c r="M855" i="1"/>
  <c r="M839" i="1"/>
  <c r="M840" i="1"/>
  <c r="M841" i="1"/>
  <c r="M861" i="1"/>
  <c r="M864" i="1"/>
  <c r="M857" i="1"/>
  <c r="M854" i="1"/>
  <c r="M863" i="1"/>
  <c r="M856" i="1"/>
  <c r="M866" i="1"/>
  <c r="M865" i="1"/>
  <c r="M843" i="1"/>
  <c r="M862" i="1"/>
  <c r="M871" i="1"/>
  <c r="M869" i="1"/>
  <c r="M836" i="1"/>
  <c r="M877" i="1"/>
  <c r="M874" i="1"/>
  <c r="M719" i="1"/>
  <c r="M880" i="1"/>
  <c r="M870" i="1"/>
  <c r="M774" i="1"/>
  <c r="M713" i="1"/>
  <c r="M882" i="1"/>
  <c r="M883" i="1"/>
  <c r="M879" i="1"/>
  <c r="M885" i="1"/>
  <c r="M860" i="1"/>
  <c r="M859" i="1"/>
  <c r="M852" i="1"/>
  <c r="M887" i="1"/>
  <c r="M889" i="1"/>
  <c r="M888" i="1"/>
  <c r="M881" i="1"/>
  <c r="M890" i="1"/>
  <c r="M891" i="1"/>
  <c r="M873" i="1"/>
  <c r="M845" i="1"/>
  <c r="M846" i="1"/>
  <c r="M847" i="1"/>
  <c r="M848" i="1"/>
  <c r="M849" i="1"/>
  <c r="M893" i="1"/>
  <c r="M898" i="1"/>
  <c r="M900" i="1"/>
  <c r="M899" i="1"/>
  <c r="M886" i="1"/>
  <c r="M525" i="1"/>
  <c r="M903" i="1"/>
  <c r="M908" i="1"/>
  <c r="M909" i="1"/>
  <c r="M905" i="1"/>
  <c r="M916" i="1"/>
  <c r="M901" i="1"/>
  <c r="M906" i="1"/>
  <c r="M902" i="1"/>
  <c r="M920" i="1"/>
  <c r="M878" i="1"/>
  <c r="M914" i="1"/>
  <c r="M910" i="1"/>
  <c r="M872" i="1"/>
  <c r="M896" i="1"/>
  <c r="M897" i="1"/>
  <c r="M876" i="1"/>
  <c r="M895" i="1"/>
  <c r="M918" i="1"/>
  <c r="M919" i="1"/>
  <c r="M911" i="1"/>
  <c r="M922" i="1"/>
  <c r="M915" i="1"/>
  <c r="M907" i="1"/>
  <c r="M927" i="1"/>
  <c r="M884" i="1"/>
  <c r="M928" i="1"/>
  <c r="M912" i="1"/>
  <c r="M931" i="1"/>
  <c r="M926" i="1"/>
  <c r="M929" i="1"/>
  <c r="M939" i="1"/>
  <c r="M930" i="1"/>
  <c r="M690" i="1"/>
  <c r="M913" i="1"/>
  <c r="M935" i="1"/>
  <c r="M921" i="1"/>
  <c r="M940" i="1"/>
  <c r="M892" i="1"/>
  <c r="M904" i="1"/>
  <c r="M925" i="1"/>
  <c r="M868" i="1"/>
  <c r="M941" i="1"/>
  <c r="M937" i="1"/>
  <c r="M934" i="1"/>
  <c r="M932" i="1"/>
  <c r="M923" i="1"/>
  <c r="M924" i="1"/>
  <c r="M875" i="1"/>
  <c r="M938" i="1"/>
  <c r="M894" i="1"/>
  <c r="M627" i="1"/>
  <c r="M917" i="1"/>
  <c r="M867" i="1"/>
  <c r="M694" i="1"/>
  <c r="M858" i="1"/>
  <c r="M936" i="1"/>
  <c r="M943" i="1"/>
  <c r="M946" i="1"/>
  <c r="M953" i="1"/>
  <c r="M957" i="1"/>
  <c r="M947" i="1"/>
  <c r="M956" i="1"/>
  <c r="M596" i="1"/>
  <c r="M958" i="1"/>
  <c r="M959" i="1"/>
  <c r="M960" i="1"/>
  <c r="M962" i="1"/>
  <c r="M963" i="1"/>
  <c r="M705" i="1"/>
  <c r="M942" i="1"/>
  <c r="M955" i="1"/>
  <c r="M961" i="1"/>
  <c r="M973" i="1"/>
  <c r="M967" i="1"/>
  <c r="M970" i="1"/>
  <c r="M965" i="1"/>
  <c r="M968" i="1"/>
  <c r="M952" i="1"/>
  <c r="M980" i="1"/>
  <c r="M981" i="1"/>
  <c r="M975" i="1"/>
  <c r="M983" i="1"/>
  <c r="M950" i="1"/>
  <c r="M948" i="1"/>
  <c r="M951" i="1"/>
  <c r="M985" i="1"/>
  <c r="M978" i="1"/>
  <c r="M944" i="1"/>
  <c r="M982" i="1"/>
  <c r="M986" i="1"/>
  <c r="M974" i="1"/>
  <c r="M988" i="1"/>
  <c r="M984" i="1"/>
  <c r="M964" i="1"/>
  <c r="M969" i="1"/>
  <c r="M972" i="1"/>
  <c r="M993" i="1"/>
  <c r="M989" i="1"/>
  <c r="M998" i="1"/>
  <c r="M440" i="1"/>
  <c r="M992" i="1"/>
  <c r="M996" i="1"/>
  <c r="M997" i="1"/>
  <c r="M999" i="1"/>
  <c r="M979" i="1"/>
  <c r="M976" i="1"/>
  <c r="M977" i="1"/>
  <c r="M994" i="1"/>
  <c r="M971" i="1"/>
  <c r="M945" i="1"/>
  <c r="M995" i="1"/>
  <c r="M933" i="1"/>
  <c r="M1005" i="1"/>
  <c r="M1003" i="1"/>
  <c r="M1009" i="1"/>
  <c r="M1008" i="1"/>
  <c r="M1001" i="1"/>
  <c r="M1007" i="1"/>
  <c r="M1002" i="1"/>
  <c r="M1016" i="1"/>
  <c r="M1011" i="1"/>
  <c r="M1012" i="1"/>
  <c r="M949" i="1"/>
  <c r="M1014" i="1"/>
  <c r="M1017" i="1"/>
  <c r="M1018" i="1"/>
  <c r="M1019" i="1"/>
  <c r="M1021" i="1"/>
  <c r="M1026" i="1"/>
  <c r="M991" i="1"/>
  <c r="M1024" i="1"/>
  <c r="M1025" i="1"/>
  <c r="M851" i="1"/>
  <c r="M1027" i="1"/>
  <c r="M1032" i="1"/>
  <c r="M1029" i="1"/>
  <c r="M1031" i="1"/>
  <c r="M1015" i="1"/>
  <c r="M1036" i="1"/>
  <c r="M1023" i="1"/>
  <c r="M987" i="1"/>
  <c r="M1013" i="1"/>
  <c r="M1028" i="1"/>
  <c r="M1045" i="1"/>
  <c r="M1037" i="1"/>
  <c r="M1033" i="1"/>
  <c r="M1044" i="1"/>
  <c r="M1035" i="1"/>
  <c r="M1041" i="1"/>
  <c r="M954" i="1"/>
  <c r="M1000" i="1"/>
  <c r="M1004" i="1"/>
  <c r="M1006" i="1"/>
  <c r="M1030" i="1"/>
  <c r="M1034" i="1"/>
  <c r="M1042" i="1"/>
  <c r="M1043" i="1"/>
  <c r="M1046" i="1"/>
  <c r="M1048" i="1"/>
  <c r="M966" i="1"/>
  <c r="M1038" i="1"/>
  <c r="M1054" i="1"/>
  <c r="M1010" i="1"/>
  <c r="M1051" i="1"/>
  <c r="M1056" i="1"/>
  <c r="M1039" i="1"/>
  <c r="M990" i="1"/>
  <c r="M1052" i="1"/>
  <c r="M1020" i="1"/>
  <c r="M1022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1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5" i="1"/>
  <c r="M1225" i="1"/>
  <c r="M1237" i="1"/>
  <c r="M1251" i="1"/>
  <c r="M1262" i="1"/>
  <c r="M1267" i="1"/>
  <c r="M1269" i="1"/>
  <c r="M1270" i="1"/>
  <c r="M1271" i="1"/>
  <c r="M1274" i="1"/>
  <c r="M1277" i="1"/>
  <c r="M1278" i="1"/>
  <c r="M1257" i="1"/>
  <c r="M1272" i="1"/>
  <c r="M1276" i="1"/>
  <c r="M1232" i="1"/>
  <c r="M1239" i="1"/>
  <c r="M1254" i="1"/>
  <c r="M1258" i="1"/>
  <c r="M1259" i="1"/>
  <c r="M1260" i="1"/>
  <c r="M1266" i="1"/>
  <c r="M1268" i="1"/>
  <c r="M1275" i="1"/>
  <c r="M1283" i="1"/>
  <c r="M1286" i="1"/>
  <c r="M1287" i="1"/>
  <c r="M1264" i="1"/>
  <c r="M1279" i="1"/>
  <c r="M1282" i="1"/>
  <c r="M1248" i="1"/>
  <c r="M1265" i="1"/>
  <c r="M1273" i="1"/>
  <c r="M1285" i="1"/>
  <c r="M1289" i="1"/>
  <c r="M1227" i="1"/>
  <c r="M1228" i="1"/>
  <c r="M1230" i="1"/>
  <c r="M1233" i="1"/>
  <c r="M1242" i="1"/>
  <c r="M1243" i="1"/>
  <c r="M1246" i="1"/>
  <c r="M1256" i="1"/>
  <c r="M1261" i="1"/>
  <c r="M1263" i="1"/>
  <c r="M1284" i="1"/>
  <c r="M1288" i="1"/>
  <c r="M1291" i="1"/>
  <c r="M1293" i="1"/>
  <c r="M1295" i="1"/>
  <c r="M1299" i="1"/>
  <c r="I8" i="1"/>
  <c r="I5" i="1"/>
  <c r="I13" i="1"/>
  <c r="J13" i="1" s="1"/>
  <c r="I10" i="1"/>
  <c r="J10" i="1" s="1"/>
  <c r="I16" i="1"/>
  <c r="J16" i="1" s="1"/>
  <c r="I14" i="1"/>
  <c r="J14" i="1" s="1"/>
  <c r="I4" i="1"/>
  <c r="I6" i="1"/>
  <c r="I7" i="1"/>
  <c r="I9" i="1"/>
  <c r="I11" i="1"/>
  <c r="I12" i="1"/>
  <c r="I17" i="1"/>
  <c r="J17" i="1" s="1"/>
  <c r="I33" i="1"/>
  <c r="J33" i="1" s="1"/>
  <c r="I27" i="1"/>
  <c r="J27" i="1" s="1"/>
  <c r="I30" i="1"/>
  <c r="J30" i="1" s="1"/>
  <c r="I32" i="1"/>
  <c r="J32" i="1" s="1"/>
  <c r="I26" i="1"/>
  <c r="J26" i="1" s="1"/>
  <c r="I15" i="1"/>
  <c r="J15" i="1" s="1"/>
  <c r="I38" i="1"/>
  <c r="J38" i="1" s="1"/>
  <c r="I22" i="1"/>
  <c r="J22" i="1" s="1"/>
  <c r="I25" i="1"/>
  <c r="J25" i="1" s="1"/>
  <c r="I24" i="1"/>
  <c r="J24" i="1" s="1"/>
  <c r="I36" i="1"/>
  <c r="J36" i="1" s="1"/>
  <c r="I37" i="1"/>
  <c r="J37" i="1" s="1"/>
  <c r="I42" i="1"/>
  <c r="J42" i="1" s="1"/>
  <c r="I18" i="1"/>
  <c r="J18" i="1" s="1"/>
  <c r="I19" i="1"/>
  <c r="J19" i="1" s="1"/>
  <c r="I20" i="1"/>
  <c r="J20" i="1" s="1"/>
  <c r="I41" i="1"/>
  <c r="J41" i="1" s="1"/>
  <c r="I21" i="1"/>
  <c r="J21" i="1" s="1"/>
  <c r="I23" i="1"/>
  <c r="J23" i="1" s="1"/>
  <c r="I35" i="1"/>
  <c r="J35" i="1" s="1"/>
  <c r="I46" i="1"/>
  <c r="J46" i="1" s="1"/>
  <c r="I28" i="1"/>
  <c r="J28" i="1" s="1"/>
  <c r="I29" i="1"/>
  <c r="J29" i="1" s="1"/>
  <c r="I34" i="1"/>
  <c r="J34" i="1" s="1"/>
  <c r="I31" i="1"/>
  <c r="J31" i="1" s="1"/>
  <c r="I52" i="1"/>
  <c r="J52" i="1" s="1"/>
  <c r="I49" i="1"/>
  <c r="J49" i="1" s="1"/>
  <c r="I54" i="1"/>
  <c r="J54" i="1" s="1"/>
  <c r="I55" i="1"/>
  <c r="J55" i="1" s="1"/>
  <c r="I50" i="1"/>
  <c r="J50" i="1" s="1"/>
  <c r="I62" i="1"/>
  <c r="J62" i="1" s="1"/>
  <c r="I67" i="1"/>
  <c r="J67" i="1" s="1"/>
  <c r="I45" i="1"/>
  <c r="J45" i="1" s="1"/>
  <c r="I68" i="1"/>
  <c r="J68" i="1" s="1"/>
  <c r="I56" i="1"/>
  <c r="J56" i="1" s="1"/>
  <c r="I69" i="1"/>
  <c r="J69" i="1" s="1"/>
  <c r="I71" i="1"/>
  <c r="J71" i="1" s="1"/>
  <c r="I66" i="1"/>
  <c r="J66" i="1" s="1"/>
  <c r="I3" i="1"/>
  <c r="I70" i="1"/>
  <c r="J70" i="1" s="1"/>
  <c r="I72" i="1"/>
  <c r="J72" i="1" s="1"/>
  <c r="I63" i="1"/>
  <c r="J63" i="1" s="1"/>
  <c r="I39" i="1"/>
  <c r="J39" i="1" s="1"/>
  <c r="I40" i="1"/>
  <c r="J40" i="1" s="1"/>
  <c r="I58" i="1"/>
  <c r="J58" i="1" s="1"/>
  <c r="I73" i="1"/>
  <c r="J73" i="1" s="1"/>
  <c r="I43" i="1"/>
  <c r="J43" i="1" s="1"/>
  <c r="I47" i="1"/>
  <c r="J47" i="1" s="1"/>
  <c r="I51" i="1"/>
  <c r="J51" i="1" s="1"/>
  <c r="I59" i="1"/>
  <c r="J59" i="1" s="1"/>
  <c r="I57" i="1"/>
  <c r="J57" i="1" s="1"/>
  <c r="I44" i="1"/>
  <c r="J44" i="1" s="1"/>
  <c r="I48" i="1"/>
  <c r="J48" i="1" s="1"/>
  <c r="I80" i="1"/>
  <c r="J80" i="1" s="1"/>
  <c r="I76" i="1"/>
  <c r="J76" i="1" s="1"/>
  <c r="I77" i="1"/>
  <c r="J77" i="1" s="1"/>
  <c r="I53" i="1"/>
  <c r="J53" i="1" s="1"/>
  <c r="I91" i="1"/>
  <c r="J91" i="1" s="1"/>
  <c r="I79" i="1"/>
  <c r="J79" i="1" s="1"/>
  <c r="I81" i="1"/>
  <c r="J81" i="1" s="1"/>
  <c r="I90" i="1"/>
  <c r="J90" i="1" s="1"/>
  <c r="I64" i="1"/>
  <c r="J64" i="1" s="1"/>
  <c r="I89" i="1"/>
  <c r="J89" i="1" s="1"/>
  <c r="I74" i="1"/>
  <c r="J74" i="1" s="1"/>
  <c r="I82" i="1"/>
  <c r="J82" i="1" s="1"/>
  <c r="I88" i="1"/>
  <c r="J88" i="1" s="1"/>
  <c r="I85" i="1"/>
  <c r="J85" i="1" s="1"/>
  <c r="I60" i="1"/>
  <c r="J60" i="1" s="1"/>
  <c r="I65" i="1"/>
  <c r="J65" i="1" s="1"/>
  <c r="I61" i="1"/>
  <c r="J61" i="1" s="1"/>
  <c r="I83" i="1"/>
  <c r="J83" i="1" s="1"/>
  <c r="I86" i="1"/>
  <c r="J86" i="1" s="1"/>
  <c r="I75" i="1"/>
  <c r="J75" i="1" s="1"/>
  <c r="I102" i="1"/>
  <c r="J102" i="1" s="1"/>
  <c r="I92" i="1"/>
  <c r="J92" i="1" s="1"/>
  <c r="I103" i="1"/>
  <c r="J103" i="1" s="1"/>
  <c r="I104" i="1"/>
  <c r="J104" i="1" s="1"/>
  <c r="I93" i="1"/>
  <c r="J93" i="1" s="1"/>
  <c r="I101" i="1"/>
  <c r="J101" i="1" s="1"/>
  <c r="I97" i="1"/>
  <c r="J97" i="1" s="1"/>
  <c r="I78" i="1"/>
  <c r="J78" i="1" s="1"/>
  <c r="I87" i="1"/>
  <c r="J87" i="1" s="1"/>
  <c r="I105" i="1"/>
  <c r="J105" i="1" s="1"/>
  <c r="I84" i="1"/>
  <c r="J84" i="1" s="1"/>
  <c r="I94" i="1"/>
  <c r="J94" i="1" s="1"/>
  <c r="I110" i="1"/>
  <c r="J110" i="1" s="1"/>
  <c r="I109" i="1"/>
  <c r="J109" i="1" s="1"/>
  <c r="I114" i="1"/>
  <c r="J114" i="1" s="1"/>
  <c r="I113" i="1"/>
  <c r="J113" i="1" s="1"/>
  <c r="I111" i="1"/>
  <c r="J111" i="1" s="1"/>
  <c r="I95" i="1"/>
  <c r="J95" i="1" s="1"/>
  <c r="I96" i="1"/>
  <c r="J96" i="1" s="1"/>
  <c r="I98" i="1"/>
  <c r="J98" i="1" s="1"/>
  <c r="I99" i="1"/>
  <c r="J99" i="1" s="1"/>
  <c r="I100" i="1"/>
  <c r="J100" i="1" s="1"/>
  <c r="I129" i="1"/>
  <c r="J129" i="1" s="1"/>
  <c r="I122" i="1"/>
  <c r="J122" i="1" s="1"/>
  <c r="I119" i="1"/>
  <c r="J119" i="1" s="1"/>
  <c r="I120" i="1"/>
  <c r="J120" i="1" s="1"/>
  <c r="I118" i="1"/>
  <c r="J118" i="1" s="1"/>
  <c r="I112" i="1"/>
  <c r="J112" i="1" s="1"/>
  <c r="I128" i="1"/>
  <c r="J128" i="1" s="1"/>
  <c r="I130" i="1"/>
  <c r="J130" i="1" s="1"/>
  <c r="I126" i="1"/>
  <c r="J126" i="1" s="1"/>
  <c r="I134" i="1"/>
  <c r="J134" i="1" s="1"/>
  <c r="I133" i="1"/>
  <c r="J133" i="1" s="1"/>
  <c r="I131" i="1"/>
  <c r="J131" i="1" s="1"/>
  <c r="I107" i="1"/>
  <c r="I108" i="1"/>
  <c r="J108" i="1" s="1"/>
  <c r="I125" i="1"/>
  <c r="J125" i="1" s="1"/>
  <c r="I138" i="1"/>
  <c r="J138" i="1" s="1"/>
  <c r="I115" i="1"/>
  <c r="I124" i="1"/>
  <c r="J124" i="1" s="1"/>
  <c r="I135" i="1"/>
  <c r="J135" i="1" s="1"/>
  <c r="I121" i="1"/>
  <c r="J121" i="1" s="1"/>
  <c r="I123" i="1"/>
  <c r="J123" i="1" s="1"/>
  <c r="I147" i="1"/>
  <c r="J147" i="1" s="1"/>
  <c r="I137" i="1"/>
  <c r="J137" i="1" s="1"/>
  <c r="I148" i="1"/>
  <c r="J148" i="1" s="1"/>
  <c r="I153" i="1"/>
  <c r="J153" i="1" s="1"/>
  <c r="I136" i="1"/>
  <c r="J136" i="1" s="1"/>
  <c r="I150" i="1"/>
  <c r="J150" i="1" s="1"/>
  <c r="I151" i="1"/>
  <c r="J151" i="1" s="1"/>
  <c r="I145" i="1"/>
  <c r="J145" i="1" s="1"/>
  <c r="I142" i="1"/>
  <c r="J142" i="1" s="1"/>
  <c r="I143" i="1"/>
  <c r="J143" i="1" s="1"/>
  <c r="I144" i="1"/>
  <c r="J144" i="1" s="1"/>
  <c r="I156" i="1"/>
  <c r="J156" i="1" s="1"/>
  <c r="I149" i="1"/>
  <c r="J149" i="1" s="1"/>
  <c r="I170" i="1"/>
  <c r="J170" i="1" s="1"/>
  <c r="I159" i="1"/>
  <c r="J159" i="1" s="1"/>
  <c r="I162" i="1"/>
  <c r="J162" i="1" s="1"/>
  <c r="I141" i="1"/>
  <c r="J141" i="1" s="1"/>
  <c r="I140" i="1"/>
  <c r="J140" i="1" s="1"/>
  <c r="I106" i="1"/>
  <c r="I174" i="1"/>
  <c r="J174" i="1" s="1"/>
  <c r="I180" i="1"/>
  <c r="J180" i="1" s="1"/>
  <c r="I127" i="1"/>
  <c r="I172" i="1"/>
  <c r="J172" i="1" s="1"/>
  <c r="I155" i="1"/>
  <c r="J155" i="1" s="1"/>
  <c r="I177" i="1"/>
  <c r="J177" i="1" s="1"/>
  <c r="I158" i="1"/>
  <c r="J158" i="1" s="1"/>
  <c r="I166" i="1"/>
  <c r="J166" i="1" s="1"/>
  <c r="I167" i="1"/>
  <c r="J167" i="1" s="1"/>
  <c r="I168" i="1"/>
  <c r="J168" i="1" s="1"/>
  <c r="I146" i="1"/>
  <c r="I178" i="1"/>
  <c r="J178" i="1" s="1"/>
  <c r="I185" i="1"/>
  <c r="J185" i="1" s="1"/>
  <c r="I191" i="1"/>
  <c r="J191" i="1" s="1"/>
  <c r="I189" i="1"/>
  <c r="J189" i="1" s="1"/>
  <c r="I169" i="1"/>
  <c r="J169" i="1" s="1"/>
  <c r="I195" i="1"/>
  <c r="J195" i="1" s="1"/>
  <c r="I165" i="1"/>
  <c r="J165" i="1" s="1"/>
  <c r="I164" i="1"/>
  <c r="J164" i="1" s="1"/>
  <c r="I176" i="1"/>
  <c r="J176" i="1" s="1"/>
  <c r="I175" i="1"/>
  <c r="J175" i="1" s="1"/>
  <c r="I192" i="1"/>
  <c r="J192" i="1" s="1"/>
  <c r="I188" i="1"/>
  <c r="J188" i="1" s="1"/>
  <c r="I205" i="1"/>
  <c r="J205" i="1" s="1"/>
  <c r="I200" i="1"/>
  <c r="J200" i="1" s="1"/>
  <c r="I201" i="1"/>
  <c r="J201" i="1" s="1"/>
  <c r="I204" i="1"/>
  <c r="J204" i="1" s="1"/>
  <c r="I208" i="1"/>
  <c r="J208" i="1" s="1"/>
  <c r="I117" i="1"/>
  <c r="I181" i="1"/>
  <c r="J181" i="1" s="1"/>
  <c r="I217" i="1"/>
  <c r="J217" i="1" s="1"/>
  <c r="I182" i="1"/>
  <c r="J182" i="1" s="1"/>
  <c r="I203" i="1"/>
  <c r="J203" i="1" s="1"/>
  <c r="I154" i="1"/>
  <c r="I160" i="1"/>
  <c r="I206" i="1"/>
  <c r="J206" i="1" s="1"/>
  <c r="I211" i="1"/>
  <c r="J211" i="1" s="1"/>
  <c r="I116" i="1"/>
  <c r="I224" i="1"/>
  <c r="J224" i="1" s="1"/>
  <c r="I198" i="1"/>
  <c r="J198" i="1" s="1"/>
  <c r="I218" i="1"/>
  <c r="J218" i="1" s="1"/>
  <c r="I219" i="1"/>
  <c r="J219" i="1" s="1"/>
  <c r="I214" i="1"/>
  <c r="J214" i="1" s="1"/>
  <c r="I226" i="1"/>
  <c r="J226" i="1" s="1"/>
  <c r="I190" i="1"/>
  <c r="J190" i="1" s="1"/>
  <c r="I225" i="1"/>
  <c r="J225" i="1" s="1"/>
  <c r="I223" i="1"/>
  <c r="J223" i="1" s="1"/>
  <c r="I152" i="1"/>
  <c r="I229" i="1"/>
  <c r="J229" i="1" s="1"/>
  <c r="I171" i="1"/>
  <c r="I187" i="1"/>
  <c r="I183" i="1"/>
  <c r="I228" i="1"/>
  <c r="J228" i="1" s="1"/>
  <c r="I196" i="1"/>
  <c r="J196" i="1" s="1"/>
  <c r="I237" i="1"/>
  <c r="J237" i="1" s="1"/>
  <c r="I238" i="1"/>
  <c r="J238" i="1" s="1"/>
  <c r="I194" i="1"/>
  <c r="J194" i="1" s="1"/>
  <c r="I216" i="1"/>
  <c r="J216" i="1" s="1"/>
  <c r="I221" i="1"/>
  <c r="J221" i="1" s="1"/>
  <c r="I231" i="1"/>
  <c r="J231" i="1" s="1"/>
  <c r="I215" i="1"/>
  <c r="J215" i="1" s="1"/>
  <c r="I235" i="1"/>
  <c r="J235" i="1" s="1"/>
  <c r="I173" i="1"/>
  <c r="I243" i="1"/>
  <c r="J243" i="1" s="1"/>
  <c r="I249" i="1"/>
  <c r="J249" i="1" s="1"/>
  <c r="I247" i="1"/>
  <c r="J247" i="1" s="1"/>
  <c r="I233" i="1"/>
  <c r="J233" i="1" s="1"/>
  <c r="I222" i="1"/>
  <c r="J222" i="1" s="1"/>
  <c r="I163" i="1"/>
  <c r="I236" i="1"/>
  <c r="J236" i="1" s="1"/>
  <c r="I245" i="1"/>
  <c r="J245" i="1" s="1"/>
  <c r="I179" i="1"/>
  <c r="I230" i="1"/>
  <c r="J230" i="1" s="1"/>
  <c r="I250" i="1"/>
  <c r="J250" i="1" s="1"/>
  <c r="I255" i="1"/>
  <c r="J255" i="1" s="1"/>
  <c r="I254" i="1"/>
  <c r="J254" i="1" s="1"/>
  <c r="I132" i="1"/>
  <c r="I248" i="1"/>
  <c r="J248" i="1" s="1"/>
  <c r="I184" i="1"/>
  <c r="I202" i="1"/>
  <c r="I257" i="1"/>
  <c r="J257" i="1" s="1"/>
  <c r="I265" i="1"/>
  <c r="J265" i="1" s="1"/>
  <c r="I234" i="1"/>
  <c r="J234" i="1" s="1"/>
  <c r="I252" i="1"/>
  <c r="J252" i="1" s="1"/>
  <c r="I240" i="1"/>
  <c r="J240" i="1" s="1"/>
  <c r="I266" i="1"/>
  <c r="I253" i="1"/>
  <c r="J253" i="1" s="1"/>
  <c r="I212" i="1"/>
  <c r="I259" i="1"/>
  <c r="J259" i="1" s="1"/>
  <c r="I244" i="1"/>
  <c r="J244" i="1" s="1"/>
  <c r="I270" i="1"/>
  <c r="J270" i="1" s="1"/>
  <c r="I276" i="1"/>
  <c r="J276" i="1" s="1"/>
  <c r="I139" i="1"/>
  <c r="I246" i="1"/>
  <c r="J246" i="1" s="1"/>
  <c r="I261" i="1"/>
  <c r="J261" i="1" s="1"/>
  <c r="I264" i="1"/>
  <c r="J264" i="1" s="1"/>
  <c r="I262" i="1"/>
  <c r="J262" i="1" s="1"/>
  <c r="I275" i="1"/>
  <c r="J275" i="1" s="1"/>
  <c r="I251" i="1"/>
  <c r="J251" i="1" s="1"/>
  <c r="I283" i="1"/>
  <c r="J283" i="1" s="1"/>
  <c r="I273" i="1"/>
  <c r="J273" i="1" s="1"/>
  <c r="I279" i="1"/>
  <c r="J279" i="1" s="1"/>
  <c r="I161" i="1"/>
  <c r="I193" i="1"/>
  <c r="I197" i="1"/>
  <c r="I199" i="1"/>
  <c r="I220" i="1"/>
  <c r="I232" i="1"/>
  <c r="I281" i="1"/>
  <c r="J281" i="1" s="1"/>
  <c r="I227" i="1"/>
  <c r="I239" i="1"/>
  <c r="I242" i="1"/>
  <c r="I278" i="1"/>
  <c r="J278" i="1" s="1"/>
  <c r="I263" i="1"/>
  <c r="J263" i="1" s="1"/>
  <c r="I260" i="1"/>
  <c r="J260" i="1" s="1"/>
  <c r="I287" i="1"/>
  <c r="J287" i="1" s="1"/>
  <c r="I290" i="1"/>
  <c r="J290" i="1" s="1"/>
  <c r="I286" i="1"/>
  <c r="J286" i="1" s="1"/>
  <c r="I285" i="1"/>
  <c r="J285" i="1" s="1"/>
  <c r="I267" i="1"/>
  <c r="J267" i="1" s="1"/>
  <c r="I256" i="1"/>
  <c r="I295" i="1"/>
  <c r="J295" i="1" s="1"/>
  <c r="I300" i="1"/>
  <c r="J300" i="1" s="1"/>
  <c r="I291" i="1"/>
  <c r="J291" i="1" s="1"/>
  <c r="I301" i="1"/>
  <c r="J301" i="1" s="1"/>
  <c r="I272" i="1"/>
  <c r="J272" i="1" s="1"/>
  <c r="I294" i="1"/>
  <c r="J294" i="1" s="1"/>
  <c r="I284" i="1"/>
  <c r="J284" i="1" s="1"/>
  <c r="I308" i="1"/>
  <c r="J308" i="1" s="1"/>
  <c r="I271" i="1"/>
  <c r="J271" i="1" s="1"/>
  <c r="I316" i="1"/>
  <c r="J316" i="1" s="1"/>
  <c r="I269" i="1"/>
  <c r="I312" i="1"/>
  <c r="J312" i="1" s="1"/>
  <c r="I304" i="1"/>
  <c r="J304" i="1" s="1"/>
  <c r="I307" i="1"/>
  <c r="J307" i="1" s="1"/>
  <c r="I157" i="1"/>
  <c r="I320" i="1"/>
  <c r="J320" i="1" s="1"/>
  <c r="I318" i="1"/>
  <c r="J318" i="1" s="1"/>
  <c r="I321" i="1"/>
  <c r="J321" i="1" s="1"/>
  <c r="I305" i="1"/>
  <c r="J305" i="1" s="1"/>
  <c r="I241" i="1"/>
  <c r="I323" i="1"/>
  <c r="J323" i="1" s="1"/>
  <c r="I319" i="1"/>
  <c r="J319" i="1" s="1"/>
  <c r="I309" i="1"/>
  <c r="I315" i="1"/>
  <c r="J315" i="1" s="1"/>
  <c r="I314" i="1"/>
  <c r="J314" i="1" s="1"/>
  <c r="I327" i="1"/>
  <c r="J327" i="1" s="1"/>
  <c r="I324" i="1"/>
  <c r="J324" i="1" s="1"/>
  <c r="I332" i="1"/>
  <c r="J332" i="1" s="1"/>
  <c r="I330" i="1"/>
  <c r="J330" i="1" s="1"/>
  <c r="I331" i="1"/>
  <c r="J331" i="1" s="1"/>
  <c r="I326" i="1"/>
  <c r="I268" i="1"/>
  <c r="I334" i="1"/>
  <c r="J334" i="1" s="1"/>
  <c r="I298" i="1"/>
  <c r="I335" i="1"/>
  <c r="J335" i="1" s="1"/>
  <c r="I311" i="1"/>
  <c r="I317" i="1"/>
  <c r="J317" i="1" s="1"/>
  <c r="I329" i="1"/>
  <c r="J329" i="1" s="1"/>
  <c r="I306" i="1"/>
  <c r="I313" i="1"/>
  <c r="I302" i="1"/>
  <c r="I336" i="1"/>
  <c r="J336" i="1" s="1"/>
  <c r="I310" i="1"/>
  <c r="I338" i="1"/>
  <c r="J338" i="1" s="1"/>
  <c r="I288" i="1"/>
  <c r="I346" i="1"/>
  <c r="J346" i="1" s="1"/>
  <c r="I333" i="1"/>
  <c r="J333" i="1" s="1"/>
  <c r="I349" i="1"/>
  <c r="J349" i="1" s="1"/>
  <c r="I350" i="1"/>
  <c r="J350" i="1" s="1"/>
  <c r="I340" i="1"/>
  <c r="J340" i="1" s="1"/>
  <c r="I342" i="1"/>
  <c r="J342" i="1" s="1"/>
  <c r="I343" i="1"/>
  <c r="J343" i="1" s="1"/>
  <c r="I328" i="1"/>
  <c r="J328" i="1" s="1"/>
  <c r="I344" i="1"/>
  <c r="J344" i="1" s="1"/>
  <c r="I348" i="1"/>
  <c r="J348" i="1" s="1"/>
  <c r="I341" i="1"/>
  <c r="J341" i="1" s="1"/>
  <c r="I353" i="1"/>
  <c r="J353" i="1" s="1"/>
  <c r="I322" i="1"/>
  <c r="I359" i="1"/>
  <c r="J359" i="1" s="1"/>
  <c r="I360" i="1"/>
  <c r="I213" i="1"/>
  <c r="I361" i="1"/>
  <c r="I358" i="1"/>
  <c r="J358" i="1" s="1"/>
  <c r="I356" i="1"/>
  <c r="J356" i="1" s="1"/>
  <c r="I303" i="1"/>
  <c r="I357" i="1"/>
  <c r="I347" i="1"/>
  <c r="J347" i="1" s="1"/>
  <c r="I362" i="1"/>
  <c r="I351" i="1"/>
  <c r="I379" i="1"/>
  <c r="I292" i="1"/>
  <c r="I339" i="1"/>
  <c r="I296" i="1"/>
  <c r="I352" i="1"/>
  <c r="J352" i="1" s="1"/>
  <c r="I376" i="1"/>
  <c r="J376" i="1" s="1"/>
  <c r="I378" i="1"/>
  <c r="J378" i="1" s="1"/>
  <c r="I375" i="1"/>
  <c r="J375" i="1" s="1"/>
  <c r="I345" i="1"/>
  <c r="I280" i="1"/>
  <c r="J280" i="1" s="1"/>
  <c r="I383" i="1"/>
  <c r="J383" i="1" s="1"/>
  <c r="I385" i="1"/>
  <c r="I393" i="1"/>
  <c r="J393" i="1" s="1"/>
  <c r="I390" i="1"/>
  <c r="J390" i="1" s="1"/>
  <c r="I382" i="1"/>
  <c r="I388" i="1"/>
  <c r="J388" i="1" s="1"/>
  <c r="I389" i="1"/>
  <c r="J389" i="1" s="1"/>
  <c r="I381" i="1"/>
  <c r="J381" i="1" s="1"/>
  <c r="I400" i="1"/>
  <c r="J400" i="1" s="1"/>
  <c r="I399" i="1"/>
  <c r="J399" i="1" s="1"/>
  <c r="I397" i="1"/>
  <c r="J397" i="1" s="1"/>
  <c r="I355" i="1"/>
  <c r="J355" i="1" s="1"/>
  <c r="I386" i="1"/>
  <c r="J386" i="1" s="1"/>
  <c r="I384" i="1"/>
  <c r="J384" i="1" s="1"/>
  <c r="I391" i="1"/>
  <c r="J391" i="1" s="1"/>
  <c r="I186" i="1"/>
  <c r="I404" i="1"/>
  <c r="J404" i="1" s="1"/>
  <c r="I394" i="1"/>
  <c r="J394" i="1" s="1"/>
  <c r="I289" i="1"/>
  <c r="I402" i="1"/>
  <c r="J402" i="1" s="1"/>
  <c r="I367" i="1"/>
  <c r="J367" i="1" s="1"/>
  <c r="I368" i="1"/>
  <c r="J368" i="1" s="1"/>
  <c r="I369" i="1"/>
  <c r="J369" i="1" s="1"/>
  <c r="I371" i="1"/>
  <c r="J371" i="1" s="1"/>
  <c r="I372" i="1"/>
  <c r="J372" i="1" s="1"/>
  <c r="I407" i="1"/>
  <c r="J407" i="1" s="1"/>
  <c r="I413" i="1"/>
  <c r="J413" i="1" s="1"/>
  <c r="I380" i="1"/>
  <c r="J380" i="1" s="1"/>
  <c r="I403" i="1"/>
  <c r="I406" i="1"/>
  <c r="J406" i="1" s="1"/>
  <c r="I366" i="1"/>
  <c r="I282" i="1"/>
  <c r="I363" i="1"/>
  <c r="I412" i="1"/>
  <c r="J412" i="1" s="1"/>
  <c r="I420" i="1"/>
  <c r="J420" i="1" s="1"/>
  <c r="I410" i="1"/>
  <c r="J410" i="1" s="1"/>
  <c r="I417" i="1"/>
  <c r="J417" i="1" s="1"/>
  <c r="I416" i="1"/>
  <c r="J416" i="1" s="1"/>
  <c r="I409" i="1"/>
  <c r="J409" i="1" s="1"/>
  <c r="I392" i="1"/>
  <c r="I425" i="1"/>
  <c r="J425" i="1" s="1"/>
  <c r="I424" i="1"/>
  <c r="I365" i="1"/>
  <c r="I426" i="1"/>
  <c r="J426" i="1" s="1"/>
  <c r="I408" i="1"/>
  <c r="I429" i="1"/>
  <c r="J429" i="1" s="1"/>
  <c r="I427" i="1"/>
  <c r="J427" i="1" s="1"/>
  <c r="I422" i="1"/>
  <c r="J422" i="1" s="1"/>
  <c r="I274" i="1"/>
  <c r="I325" i="1"/>
  <c r="I423" i="1"/>
  <c r="J423" i="1" s="1"/>
  <c r="I414" i="1"/>
  <c r="J414" i="1" s="1"/>
  <c r="I297" i="1"/>
  <c r="I370" i="1"/>
  <c r="I377" i="1"/>
  <c r="I432" i="1"/>
  <c r="J432" i="1" s="1"/>
  <c r="I398" i="1"/>
  <c r="I354" i="1"/>
  <c r="I401" i="1"/>
  <c r="I438" i="1"/>
  <c r="J438" i="1" s="1"/>
  <c r="I444" i="1"/>
  <c r="J444" i="1" s="1"/>
  <c r="I434" i="1"/>
  <c r="J434" i="1" s="1"/>
  <c r="I373" i="1"/>
  <c r="I442" i="1"/>
  <c r="J442" i="1" s="1"/>
  <c r="I436" i="1"/>
  <c r="J436" i="1" s="1"/>
  <c r="I374" i="1"/>
  <c r="I419" i="1"/>
  <c r="I450" i="1"/>
  <c r="J450" i="1" s="1"/>
  <c r="I455" i="1"/>
  <c r="J455" i="1" s="1"/>
  <c r="I446" i="1"/>
  <c r="I258" i="1"/>
  <c r="I435" i="1"/>
  <c r="J435" i="1" s="1"/>
  <c r="I461" i="1"/>
  <c r="J461" i="1" s="1"/>
  <c r="I460" i="1"/>
  <c r="J460" i="1" s="1"/>
  <c r="I465" i="1"/>
  <c r="J465" i="1" s="1"/>
  <c r="I457" i="1"/>
  <c r="J457" i="1" s="1"/>
  <c r="I452" i="1"/>
  <c r="J452" i="1" s="1"/>
  <c r="I459" i="1"/>
  <c r="J459" i="1" s="1"/>
  <c r="I447" i="1"/>
  <c r="J447" i="1" s="1"/>
  <c r="I458" i="1"/>
  <c r="J458" i="1" s="1"/>
  <c r="I463" i="1"/>
  <c r="I415" i="1"/>
  <c r="I470" i="1"/>
  <c r="J470" i="1" s="1"/>
  <c r="I433" i="1"/>
  <c r="J433" i="1" s="1"/>
  <c r="I468" i="1"/>
  <c r="J468" i="1" s="1"/>
  <c r="I466" i="1"/>
  <c r="J466" i="1" s="1"/>
  <c r="I472" i="1"/>
  <c r="J472" i="1" s="1"/>
  <c r="I477" i="1"/>
  <c r="J477" i="1" s="1"/>
  <c r="I464" i="1"/>
  <c r="I396" i="1"/>
  <c r="I364" i="1"/>
  <c r="I475" i="1"/>
  <c r="J475" i="1" s="1"/>
  <c r="I451" i="1"/>
  <c r="J451" i="1" s="1"/>
  <c r="I471" i="1"/>
  <c r="J471" i="1" s="1"/>
  <c r="I476" i="1"/>
  <c r="J476" i="1" s="1"/>
  <c r="I481" i="1"/>
  <c r="J481" i="1" s="1"/>
  <c r="I482" i="1"/>
  <c r="J482" i="1" s="1"/>
  <c r="I484" i="1"/>
  <c r="J484" i="1" s="1"/>
  <c r="I439" i="1"/>
  <c r="J439" i="1" s="1"/>
  <c r="I479" i="1"/>
  <c r="J479" i="1" s="1"/>
  <c r="I488" i="1"/>
  <c r="J488" i="1" s="1"/>
  <c r="I490" i="1"/>
  <c r="J490" i="1" s="1"/>
  <c r="I493" i="1"/>
  <c r="J493" i="1" s="1"/>
  <c r="I505" i="1"/>
  <c r="J505" i="1" s="1"/>
  <c r="I513" i="1"/>
  <c r="J513" i="1" s="1"/>
  <c r="I510" i="1"/>
  <c r="J510" i="1" s="1"/>
  <c r="I509" i="1"/>
  <c r="J509" i="1" s="1"/>
  <c r="I515" i="1"/>
  <c r="J515" i="1" s="1"/>
  <c r="I518" i="1"/>
  <c r="J518" i="1" s="1"/>
  <c r="I523" i="1"/>
  <c r="J523" i="1" s="1"/>
  <c r="I521" i="1"/>
  <c r="J521" i="1" s="1"/>
  <c r="I539" i="1"/>
  <c r="J539" i="1" s="1"/>
  <c r="I548" i="1"/>
  <c r="I544" i="1"/>
  <c r="J544" i="1" s="1"/>
  <c r="I551" i="1"/>
  <c r="J551" i="1" s="1"/>
  <c r="I550" i="1"/>
  <c r="J550" i="1" s="1"/>
  <c r="I562" i="1"/>
  <c r="J562" i="1" s="1"/>
  <c r="I560" i="1"/>
  <c r="J560" i="1" s="1"/>
  <c r="I207" i="1"/>
  <c r="J207" i="1" s="1"/>
  <c r="I563" i="1"/>
  <c r="J563" i="1" s="1"/>
  <c r="I566" i="1"/>
  <c r="J566" i="1" s="1"/>
  <c r="I570" i="1"/>
  <c r="J570" i="1" s="1"/>
  <c r="I569" i="1"/>
  <c r="J569" i="1" s="1"/>
  <c r="I581" i="1"/>
  <c r="J581" i="1" s="1"/>
  <c r="I577" i="1"/>
  <c r="I586" i="1"/>
  <c r="J586" i="1" s="1"/>
  <c r="I589" i="1"/>
  <c r="J589" i="1" s="1"/>
  <c r="I591" i="1"/>
  <c r="J591" i="1" s="1"/>
  <c r="I593" i="1"/>
  <c r="J593" i="1" s="1"/>
  <c r="I597" i="1"/>
  <c r="J597" i="1" s="1"/>
  <c r="I600" i="1"/>
  <c r="J600" i="1" s="1"/>
  <c r="I602" i="1"/>
  <c r="J602" i="1" s="1"/>
  <c r="I603" i="1"/>
  <c r="J603" i="1" s="1"/>
  <c r="I606" i="1"/>
  <c r="J606" i="1" s="1"/>
  <c r="I612" i="1"/>
  <c r="J612" i="1" s="1"/>
  <c r="I610" i="1"/>
  <c r="J610" i="1" s="1"/>
  <c r="I617" i="1"/>
  <c r="J617" i="1" s="1"/>
  <c r="I614" i="1"/>
  <c r="J614" i="1" s="1"/>
  <c r="I615" i="1"/>
  <c r="J615" i="1" s="1"/>
  <c r="I506" i="1"/>
  <c r="J506" i="1" s="1"/>
  <c r="I494" i="1"/>
  <c r="J494" i="1" s="1"/>
  <c r="I511" i="1"/>
  <c r="J511" i="1" s="1"/>
  <c r="I524" i="1"/>
  <c r="J524" i="1" s="1"/>
  <c r="I517" i="1"/>
  <c r="J517" i="1" s="1"/>
  <c r="I531" i="1"/>
  <c r="J531" i="1" s="1"/>
  <c r="I526" i="1"/>
  <c r="J526" i="1" s="1"/>
  <c r="I530" i="1"/>
  <c r="J530" i="1" s="1"/>
  <c r="I527" i="1"/>
  <c r="J527" i="1" s="1"/>
  <c r="I540" i="1"/>
  <c r="J540" i="1" s="1"/>
  <c r="I545" i="1"/>
  <c r="J545" i="1" s="1"/>
  <c r="I543" i="1"/>
  <c r="J543" i="1" s="1"/>
  <c r="I547" i="1"/>
  <c r="J547" i="1" s="1"/>
  <c r="I553" i="1"/>
  <c r="J553" i="1" s="1"/>
  <c r="I573" i="1"/>
  <c r="J573" i="1" s="1"/>
  <c r="I574" i="1"/>
  <c r="J574" i="1" s="1"/>
  <c r="I578" i="1"/>
  <c r="I585" i="1"/>
  <c r="I587" i="1"/>
  <c r="I598" i="1"/>
  <c r="J598" i="1" s="1"/>
  <c r="I595" i="1"/>
  <c r="J595" i="1" s="1"/>
  <c r="I605" i="1"/>
  <c r="J605" i="1" s="1"/>
  <c r="I613" i="1"/>
  <c r="I483" i="1"/>
  <c r="J483" i="1" s="1"/>
  <c r="I485" i="1"/>
  <c r="J485" i="1" s="1"/>
  <c r="I512" i="1"/>
  <c r="J512" i="1" s="1"/>
  <c r="I541" i="1"/>
  <c r="J541" i="1" s="1"/>
  <c r="I556" i="1"/>
  <c r="J556" i="1" s="1"/>
  <c r="I567" i="1"/>
  <c r="J567" i="1" s="1"/>
  <c r="I571" i="1"/>
  <c r="J571" i="1" s="1"/>
  <c r="I565" i="1"/>
  <c r="J565" i="1" s="1"/>
  <c r="I576" i="1"/>
  <c r="I590" i="1"/>
  <c r="J590" i="1" s="1"/>
  <c r="I487" i="1"/>
  <c r="J487" i="1" s="1"/>
  <c r="I496" i="1"/>
  <c r="J496" i="1" s="1"/>
  <c r="I497" i="1"/>
  <c r="J497" i="1" s="1"/>
  <c r="I491" i="1"/>
  <c r="J491" i="1" s="1"/>
  <c r="I516" i="1"/>
  <c r="J516" i="1" s="1"/>
  <c r="I519" i="1"/>
  <c r="J519" i="1" s="1"/>
  <c r="I542" i="1"/>
  <c r="J542" i="1" s="1"/>
  <c r="I559" i="1"/>
  <c r="J559" i="1" s="1"/>
  <c r="I592" i="1"/>
  <c r="J592" i="1" s="1"/>
  <c r="I588" i="1"/>
  <c r="J588" i="1" s="1"/>
  <c r="I473" i="1"/>
  <c r="J473" i="1" s="1"/>
  <c r="I486" i="1"/>
  <c r="J486" i="1" s="1"/>
  <c r="I499" i="1"/>
  <c r="J499" i="1" s="1"/>
  <c r="I500" i="1"/>
  <c r="J500" i="1" s="1"/>
  <c r="I502" i="1"/>
  <c r="J502" i="1" s="1"/>
  <c r="I503" i="1"/>
  <c r="J503" i="1" s="1"/>
  <c r="I538" i="1"/>
  <c r="J538" i="1" s="1"/>
  <c r="I293" i="1"/>
  <c r="J293" i="1" s="1"/>
  <c r="I534" i="1"/>
  <c r="J534" i="1" s="1"/>
  <c r="I557" i="1"/>
  <c r="J557" i="1" s="1"/>
  <c r="I568" i="1"/>
  <c r="J568" i="1" s="1"/>
  <c r="I582" i="1"/>
  <c r="J582" i="1" s="1"/>
  <c r="I584" i="1"/>
  <c r="J584" i="1" s="1"/>
  <c r="I594" i="1"/>
  <c r="J594" i="1" s="1"/>
  <c r="I467" i="1"/>
  <c r="J467" i="1" s="1"/>
  <c r="I469" i="1"/>
  <c r="J469" i="1" s="1"/>
  <c r="I495" i="1"/>
  <c r="J495" i="1" s="1"/>
  <c r="I514" i="1"/>
  <c r="J514" i="1" s="1"/>
  <c r="I552" i="1"/>
  <c r="J552" i="1" s="1"/>
  <c r="I580" i="1"/>
  <c r="J580" i="1" s="1"/>
  <c r="I583" i="1"/>
  <c r="J583" i="1" s="1"/>
  <c r="I478" i="1"/>
  <c r="J478" i="1" s="1"/>
  <c r="I492" i="1"/>
  <c r="J492" i="1" s="1"/>
  <c r="I546" i="1"/>
  <c r="J546" i="1" s="1"/>
  <c r="I549" i="1"/>
  <c r="J549" i="1" s="1"/>
  <c r="I449" i="1"/>
  <c r="I501" i="1"/>
  <c r="I507" i="1"/>
  <c r="I561" i="1"/>
  <c r="I579" i="1"/>
  <c r="I462" i="1"/>
  <c r="I533" i="1"/>
  <c r="I554" i="1"/>
  <c r="I474" i="1"/>
  <c r="I480" i="1"/>
  <c r="I529" i="1"/>
  <c r="I453" i="1"/>
  <c r="I445" i="1"/>
  <c r="I498" i="1"/>
  <c r="I536" i="1"/>
  <c r="I504" i="1"/>
  <c r="I431" i="1"/>
  <c r="I532" i="1"/>
  <c r="I437" i="1"/>
  <c r="I441" i="1"/>
  <c r="I405" i="1"/>
  <c r="I395" i="1"/>
  <c r="I443" i="1"/>
  <c r="I456" i="1"/>
  <c r="I418" i="1"/>
  <c r="I337" i="1"/>
  <c r="I411" i="1"/>
  <c r="I387" i="1"/>
  <c r="I299" i="1"/>
  <c r="I209" i="1"/>
  <c r="I210" i="1"/>
  <c r="I430" i="1"/>
  <c r="I522" i="1"/>
  <c r="I508" i="1"/>
  <c r="I448" i="1"/>
  <c r="I645" i="1"/>
  <c r="I564" i="1"/>
  <c r="I650" i="1"/>
  <c r="J650" i="1" s="1"/>
  <c r="I421" i="1"/>
  <c r="I535" i="1"/>
  <c r="I520" i="1"/>
  <c r="I625" i="1"/>
  <c r="I528" i="1"/>
  <c r="I630" i="1"/>
  <c r="I572" i="1"/>
  <c r="I609" i="1"/>
  <c r="I489" i="1"/>
  <c r="I555" i="1"/>
  <c r="I558" i="1"/>
  <c r="I637" i="1"/>
  <c r="I668" i="1"/>
  <c r="I575" i="1"/>
  <c r="I662" i="1"/>
  <c r="I638" i="1"/>
  <c r="I639" i="1"/>
  <c r="I640" i="1"/>
  <c r="I642" i="1"/>
  <c r="I643" i="1"/>
  <c r="I641" i="1"/>
  <c r="I665" i="1"/>
  <c r="I680" i="1"/>
  <c r="I611" i="1"/>
  <c r="I634" i="1"/>
  <c r="I648" i="1"/>
  <c r="I657" i="1"/>
  <c r="I537" i="1"/>
  <c r="I649" i="1"/>
  <c r="I601" i="1"/>
  <c r="I604" i="1"/>
  <c r="I624" i="1"/>
  <c r="I607" i="1"/>
  <c r="J607" i="1" s="1"/>
  <c r="I666" i="1"/>
  <c r="J666" i="1" s="1"/>
  <c r="I631" i="1"/>
  <c r="J631" i="1" s="1"/>
  <c r="I664" i="1"/>
  <c r="J664" i="1" s="1"/>
  <c r="I667" i="1"/>
  <c r="J667" i="1" s="1"/>
  <c r="I698" i="1"/>
  <c r="J698" i="1" s="1"/>
  <c r="I700" i="1"/>
  <c r="J700" i="1" s="1"/>
  <c r="I699" i="1"/>
  <c r="J699" i="1" s="1"/>
  <c r="I618" i="1"/>
  <c r="J618" i="1" s="1"/>
  <c r="I655" i="1"/>
  <c r="J655" i="1" s="1"/>
  <c r="I682" i="1"/>
  <c r="J682" i="1" s="1"/>
  <c r="I697" i="1"/>
  <c r="J697" i="1" s="1"/>
  <c r="I703" i="1"/>
  <c r="J703" i="1" s="1"/>
  <c r="I654" i="1"/>
  <c r="J654" i="1" s="1"/>
  <c r="I672" i="1"/>
  <c r="J672" i="1" s="1"/>
  <c r="I677" i="1"/>
  <c r="J677" i="1" s="1"/>
  <c r="I691" i="1"/>
  <c r="J691" i="1" s="1"/>
  <c r="I695" i="1"/>
  <c r="J695" i="1" s="1"/>
  <c r="I616" i="1"/>
  <c r="J616" i="1" s="1"/>
  <c r="I619" i="1"/>
  <c r="J619" i="1" s="1"/>
  <c r="I628" i="1"/>
  <c r="J628" i="1" s="1"/>
  <c r="I636" i="1"/>
  <c r="J636" i="1" s="1"/>
  <c r="I651" i="1"/>
  <c r="J651" i="1" s="1"/>
  <c r="I660" i="1"/>
  <c r="J660" i="1" s="1"/>
  <c r="I674" i="1"/>
  <c r="J674" i="1" s="1"/>
  <c r="I675" i="1"/>
  <c r="J675" i="1" s="1"/>
  <c r="I676" i="1"/>
  <c r="J676" i="1" s="1"/>
  <c r="I679" i="1"/>
  <c r="J679" i="1" s="1"/>
  <c r="I684" i="1"/>
  <c r="J684" i="1" s="1"/>
  <c r="I687" i="1"/>
  <c r="J687" i="1" s="1"/>
  <c r="I623" i="1"/>
  <c r="J623" i="1" s="1"/>
  <c r="I633" i="1"/>
  <c r="J633" i="1" s="1"/>
  <c r="I632" i="1"/>
  <c r="J632" i="1" s="1"/>
  <c r="I629" i="1"/>
  <c r="J629" i="1" s="1"/>
  <c r="I644" i="1"/>
  <c r="J644" i="1" s="1"/>
  <c r="I653" i="1"/>
  <c r="J653" i="1" s="1"/>
  <c r="I661" i="1"/>
  <c r="I683" i="1"/>
  <c r="J683" i="1" s="1"/>
  <c r="I689" i="1"/>
  <c r="J689" i="1" s="1"/>
  <c r="I704" i="1"/>
  <c r="J704" i="1" s="1"/>
  <c r="I707" i="1"/>
  <c r="J707" i="1" s="1"/>
  <c r="I718" i="1"/>
  <c r="J718" i="1" s="1"/>
  <c r="I717" i="1"/>
  <c r="J717" i="1" s="1"/>
  <c r="I620" i="1"/>
  <c r="J620" i="1" s="1"/>
  <c r="I622" i="1"/>
  <c r="J622" i="1" s="1"/>
  <c r="I626" i="1"/>
  <c r="J626" i="1" s="1"/>
  <c r="I646" i="1"/>
  <c r="J646" i="1" s="1"/>
  <c r="I647" i="1"/>
  <c r="J647" i="1" s="1"/>
  <c r="I659" i="1"/>
  <c r="J659" i="1" s="1"/>
  <c r="I671" i="1"/>
  <c r="J671" i="1" s="1"/>
  <c r="I670" i="1"/>
  <c r="J670" i="1" s="1"/>
  <c r="I673" i="1"/>
  <c r="J673" i="1" s="1"/>
  <c r="I681" i="1"/>
  <c r="J681" i="1" s="1"/>
  <c r="I688" i="1"/>
  <c r="J688" i="1" s="1"/>
  <c r="I686" i="1"/>
  <c r="J686" i="1" s="1"/>
  <c r="I685" i="1"/>
  <c r="J685" i="1" s="1"/>
  <c r="I692" i="1"/>
  <c r="J692" i="1" s="1"/>
  <c r="I701" i="1"/>
  <c r="J701" i="1" s="1"/>
  <c r="I709" i="1"/>
  <c r="I710" i="1"/>
  <c r="I715" i="1"/>
  <c r="J715" i="1" s="1"/>
  <c r="I716" i="1"/>
  <c r="J716" i="1" s="1"/>
  <c r="I722" i="1"/>
  <c r="J722" i="1" s="1"/>
  <c r="I712" i="1"/>
  <c r="J712" i="1" s="1"/>
  <c r="I723" i="1"/>
  <c r="I711" i="1"/>
  <c r="J711" i="1" s="1"/>
  <c r="I658" i="1"/>
  <c r="I724" i="1"/>
  <c r="J724" i="1" s="1"/>
  <c r="I727" i="1"/>
  <c r="J727" i="1" s="1"/>
  <c r="I669" i="1"/>
  <c r="I714" i="1"/>
  <c r="J714" i="1" s="1"/>
  <c r="I731" i="1"/>
  <c r="J731" i="1" s="1"/>
  <c r="I720" i="1"/>
  <c r="J720" i="1" s="1"/>
  <c r="I740" i="1"/>
  <c r="J740" i="1" s="1"/>
  <c r="I721" i="1"/>
  <c r="J721" i="1" s="1"/>
  <c r="I702" i="1"/>
  <c r="I729" i="1"/>
  <c r="J729" i="1" s="1"/>
  <c r="I735" i="1"/>
  <c r="J735" i="1" s="1"/>
  <c r="I746" i="1"/>
  <c r="J746" i="1" s="1"/>
  <c r="I656" i="1"/>
  <c r="I748" i="1"/>
  <c r="J748" i="1" s="1"/>
  <c r="I725" i="1"/>
  <c r="I754" i="1"/>
  <c r="J754" i="1" s="1"/>
  <c r="I753" i="1"/>
  <c r="J753" i="1" s="1"/>
  <c r="I708" i="1"/>
  <c r="I743" i="1"/>
  <c r="J743" i="1" s="1"/>
  <c r="I726" i="1"/>
  <c r="J726" i="1" s="1"/>
  <c r="I756" i="1"/>
  <c r="J756" i="1" s="1"/>
  <c r="I741" i="1"/>
  <c r="J741" i="1" s="1"/>
  <c r="I728" i="1"/>
  <c r="J728" i="1" s="1"/>
  <c r="I758" i="1"/>
  <c r="J758" i="1" s="1"/>
  <c r="I737" i="1"/>
  <c r="J737" i="1" s="1"/>
  <c r="I736" i="1"/>
  <c r="J736" i="1" s="1"/>
  <c r="I696" i="1"/>
  <c r="I761" i="1"/>
  <c r="J761" i="1" s="1"/>
  <c r="I760" i="1"/>
  <c r="J760" i="1" s="1"/>
  <c r="I734" i="1"/>
  <c r="J734" i="1" s="1"/>
  <c r="I733" i="1"/>
  <c r="J733" i="1" s="1"/>
  <c r="I599" i="1"/>
  <c r="I751" i="1"/>
  <c r="J751" i="1" s="1"/>
  <c r="I749" i="1"/>
  <c r="J749" i="1" s="1"/>
  <c r="I744" i="1"/>
  <c r="J744" i="1" s="1"/>
  <c r="I732" i="1"/>
  <c r="J732" i="1" s="1"/>
  <c r="I766" i="1"/>
  <c r="J766" i="1" s="1"/>
  <c r="I764" i="1"/>
  <c r="J764" i="1" s="1"/>
  <c r="I742" i="1"/>
  <c r="J742" i="1" s="1"/>
  <c r="I769" i="1"/>
  <c r="J769" i="1" s="1"/>
  <c r="I768" i="1"/>
  <c r="J768" i="1" s="1"/>
  <c r="I772" i="1"/>
  <c r="J772" i="1" s="1"/>
  <c r="I454" i="1"/>
  <c r="I775" i="1"/>
  <c r="J775" i="1" s="1"/>
  <c r="I730" i="1"/>
  <c r="I778" i="1"/>
  <c r="J778" i="1" s="1"/>
  <c r="I779" i="1"/>
  <c r="J779" i="1" s="1"/>
  <c r="I780" i="1"/>
  <c r="J780" i="1" s="1"/>
  <c r="I663" i="1"/>
  <c r="I750" i="1"/>
  <c r="J750" i="1" s="1"/>
  <c r="I771" i="1"/>
  <c r="J771" i="1" s="1"/>
  <c r="I785" i="1"/>
  <c r="J785" i="1" s="1"/>
  <c r="I739" i="1"/>
  <c r="I790" i="1"/>
  <c r="J790" i="1" s="1"/>
  <c r="I788" i="1"/>
  <c r="J788" i="1" s="1"/>
  <c r="I752" i="1"/>
  <c r="J752" i="1" s="1"/>
  <c r="I773" i="1"/>
  <c r="J773" i="1" s="1"/>
  <c r="I762" i="1"/>
  <c r="J762" i="1" s="1"/>
  <c r="I608" i="1"/>
  <c r="I781" i="1"/>
  <c r="J781" i="1" s="1"/>
  <c r="I770" i="1"/>
  <c r="J770" i="1" s="1"/>
  <c r="I791" i="1"/>
  <c r="J791" i="1" s="1"/>
  <c r="I787" i="1"/>
  <c r="J787" i="1" s="1"/>
  <c r="I765" i="1"/>
  <c r="J765" i="1" s="1"/>
  <c r="I678" i="1"/>
  <c r="I783" i="1"/>
  <c r="J783" i="1" s="1"/>
  <c r="I789" i="1"/>
  <c r="J789" i="1" s="1"/>
  <c r="I795" i="1"/>
  <c r="J795" i="1" s="1"/>
  <c r="I796" i="1"/>
  <c r="J796" i="1" s="1"/>
  <c r="I797" i="1"/>
  <c r="J797" i="1" s="1"/>
  <c r="I767" i="1"/>
  <c r="I782" i="1"/>
  <c r="J782" i="1" s="1"/>
  <c r="I652" i="1"/>
  <c r="I799" i="1"/>
  <c r="J799" i="1" s="1"/>
  <c r="I776" i="1"/>
  <c r="I777" i="1"/>
  <c r="J777" i="1" s="1"/>
  <c r="I745" i="1"/>
  <c r="I794" i="1"/>
  <c r="J794" i="1" s="1"/>
  <c r="I801" i="1"/>
  <c r="J801" i="1" s="1"/>
  <c r="I793" i="1"/>
  <c r="J793" i="1" s="1"/>
  <c r="I810" i="1"/>
  <c r="J810" i="1" s="1"/>
  <c r="I807" i="1"/>
  <c r="J807" i="1" s="1"/>
  <c r="I805" i="1"/>
  <c r="I802" i="1"/>
  <c r="I812" i="1"/>
  <c r="J812" i="1" s="1"/>
  <c r="I798" i="1"/>
  <c r="J798" i="1" s="1"/>
  <c r="I811" i="1"/>
  <c r="J811" i="1" s="1"/>
  <c r="I706" i="1"/>
  <c r="I816" i="1"/>
  <c r="I817" i="1"/>
  <c r="I809" i="1"/>
  <c r="J809" i="1" s="1"/>
  <c r="I804" i="1"/>
  <c r="J804" i="1" s="1"/>
  <c r="I803" i="1"/>
  <c r="J803" i="1" s="1"/>
  <c r="I808" i="1"/>
  <c r="J808" i="1" s="1"/>
  <c r="I820" i="1"/>
  <c r="J820" i="1" s="1"/>
  <c r="I822" i="1"/>
  <c r="J822" i="1" s="1"/>
  <c r="I800" i="1"/>
  <c r="J800" i="1" s="1"/>
  <c r="I821" i="1"/>
  <c r="J821" i="1" s="1"/>
  <c r="I792" i="1"/>
  <c r="I819" i="1"/>
  <c r="J819" i="1" s="1"/>
  <c r="I738" i="1"/>
  <c r="I635" i="1"/>
  <c r="I824" i="1"/>
  <c r="J824" i="1" s="1"/>
  <c r="I693" i="1"/>
  <c r="I806" i="1"/>
  <c r="J806" i="1" s="1"/>
  <c r="I786" i="1"/>
  <c r="I831" i="1"/>
  <c r="J831" i="1" s="1"/>
  <c r="I759" i="1"/>
  <c r="I813" i="1"/>
  <c r="J813" i="1" s="1"/>
  <c r="I814" i="1"/>
  <c r="J814" i="1" s="1"/>
  <c r="I823" i="1"/>
  <c r="J823" i="1" s="1"/>
  <c r="I755" i="1"/>
  <c r="I747" i="1"/>
  <c r="I757" i="1"/>
  <c r="I784" i="1"/>
  <c r="I827" i="1"/>
  <c r="I828" i="1"/>
  <c r="I829" i="1"/>
  <c r="I830" i="1"/>
  <c r="I834" i="1"/>
  <c r="I837" i="1"/>
  <c r="I838" i="1"/>
  <c r="I818" i="1"/>
  <c r="J818" i="1" s="1"/>
  <c r="I826" i="1"/>
  <c r="J826" i="1" s="1"/>
  <c r="I835" i="1"/>
  <c r="J835" i="1" s="1"/>
  <c r="I833" i="1"/>
  <c r="J833" i="1" s="1"/>
  <c r="I832" i="1"/>
  <c r="J832" i="1" s="1"/>
  <c r="I815" i="1"/>
  <c r="J815" i="1" s="1"/>
  <c r="I763" i="1"/>
  <c r="I825" i="1"/>
  <c r="I842" i="1"/>
  <c r="J842" i="1" s="1"/>
  <c r="I844" i="1"/>
  <c r="J844" i="1" s="1"/>
  <c r="I850" i="1"/>
  <c r="J850" i="1" s="1"/>
  <c r="I853" i="1"/>
  <c r="J853" i="1" s="1"/>
  <c r="I855" i="1"/>
  <c r="J855" i="1" s="1"/>
  <c r="I839" i="1"/>
  <c r="J839" i="1" s="1"/>
  <c r="I840" i="1"/>
  <c r="J840" i="1" s="1"/>
  <c r="I841" i="1"/>
  <c r="J841" i="1" s="1"/>
  <c r="I861" i="1"/>
  <c r="J861" i="1" s="1"/>
  <c r="I864" i="1"/>
  <c r="I857" i="1"/>
  <c r="I854" i="1"/>
  <c r="J854" i="1" s="1"/>
  <c r="I863" i="1"/>
  <c r="J863" i="1" s="1"/>
  <c r="I856" i="1"/>
  <c r="J856" i="1" s="1"/>
  <c r="I866" i="1"/>
  <c r="J866" i="1" s="1"/>
  <c r="I865" i="1"/>
  <c r="J865" i="1" s="1"/>
  <c r="I843" i="1"/>
  <c r="J843" i="1" s="1"/>
  <c r="I862" i="1"/>
  <c r="J862" i="1" s="1"/>
  <c r="I871" i="1"/>
  <c r="J871" i="1" s="1"/>
  <c r="I869" i="1"/>
  <c r="J869" i="1" s="1"/>
  <c r="I836" i="1"/>
  <c r="I877" i="1"/>
  <c r="J877" i="1" s="1"/>
  <c r="I874" i="1"/>
  <c r="J874" i="1" s="1"/>
  <c r="I719" i="1"/>
  <c r="I880" i="1"/>
  <c r="J880" i="1" s="1"/>
  <c r="I870" i="1"/>
  <c r="J870" i="1" s="1"/>
  <c r="I774" i="1"/>
  <c r="J774" i="1" s="1"/>
  <c r="I713" i="1"/>
  <c r="I882" i="1"/>
  <c r="I883" i="1"/>
  <c r="I879" i="1"/>
  <c r="J879" i="1" s="1"/>
  <c r="I885" i="1"/>
  <c r="J885" i="1" s="1"/>
  <c r="I860" i="1"/>
  <c r="I859" i="1"/>
  <c r="I852" i="1"/>
  <c r="I887" i="1"/>
  <c r="J887" i="1" s="1"/>
  <c r="I889" i="1"/>
  <c r="J889" i="1" s="1"/>
  <c r="I888" i="1"/>
  <c r="J888" i="1" s="1"/>
  <c r="I881" i="1"/>
  <c r="J881" i="1" s="1"/>
  <c r="I890" i="1"/>
  <c r="J890" i="1" s="1"/>
  <c r="I891" i="1"/>
  <c r="J891" i="1" s="1"/>
  <c r="I873" i="1"/>
  <c r="J873" i="1" s="1"/>
  <c r="I845" i="1"/>
  <c r="I846" i="1"/>
  <c r="I847" i="1"/>
  <c r="I848" i="1"/>
  <c r="I849" i="1"/>
  <c r="I893" i="1"/>
  <c r="I898" i="1"/>
  <c r="J898" i="1" s="1"/>
  <c r="I900" i="1"/>
  <c r="J900" i="1" s="1"/>
  <c r="I899" i="1"/>
  <c r="J899" i="1" s="1"/>
  <c r="I886" i="1"/>
  <c r="J886" i="1" s="1"/>
  <c r="I525" i="1"/>
  <c r="I903" i="1"/>
  <c r="J903" i="1" s="1"/>
  <c r="I908" i="1"/>
  <c r="J908" i="1" s="1"/>
  <c r="I909" i="1"/>
  <c r="I905" i="1"/>
  <c r="J905" i="1" s="1"/>
  <c r="I916" i="1"/>
  <c r="J916" i="1" s="1"/>
  <c r="I901" i="1"/>
  <c r="J901" i="1" s="1"/>
  <c r="I906" i="1"/>
  <c r="J906" i="1" s="1"/>
  <c r="I902" i="1"/>
  <c r="J902" i="1" s="1"/>
  <c r="I920" i="1"/>
  <c r="J920" i="1" s="1"/>
  <c r="I878" i="1"/>
  <c r="I914" i="1"/>
  <c r="J914" i="1" s="1"/>
  <c r="I910" i="1"/>
  <c r="J910" i="1" s="1"/>
  <c r="I872" i="1"/>
  <c r="I896" i="1"/>
  <c r="J896" i="1" s="1"/>
  <c r="I897" i="1"/>
  <c r="J897" i="1" s="1"/>
  <c r="I876" i="1"/>
  <c r="I895" i="1"/>
  <c r="J895" i="1" s="1"/>
  <c r="I918" i="1"/>
  <c r="J918" i="1" s="1"/>
  <c r="I919" i="1"/>
  <c r="J919" i="1" s="1"/>
  <c r="I911" i="1"/>
  <c r="J911" i="1" s="1"/>
  <c r="I922" i="1"/>
  <c r="J922" i="1" s="1"/>
  <c r="I915" i="1"/>
  <c r="J915" i="1" s="1"/>
  <c r="I907" i="1"/>
  <c r="J907" i="1" s="1"/>
  <c r="I927" i="1"/>
  <c r="J927" i="1" s="1"/>
  <c r="I884" i="1"/>
  <c r="I928" i="1"/>
  <c r="J928" i="1" s="1"/>
  <c r="I912" i="1"/>
  <c r="J912" i="1" s="1"/>
  <c r="I931" i="1"/>
  <c r="J931" i="1" s="1"/>
  <c r="I926" i="1"/>
  <c r="I929" i="1"/>
  <c r="J929" i="1" s="1"/>
  <c r="I939" i="1"/>
  <c r="J939" i="1" s="1"/>
  <c r="I930" i="1"/>
  <c r="J930" i="1" s="1"/>
  <c r="I690" i="1"/>
  <c r="I913" i="1"/>
  <c r="J913" i="1" s="1"/>
  <c r="I935" i="1"/>
  <c r="J935" i="1" s="1"/>
  <c r="I921" i="1"/>
  <c r="J921" i="1" s="1"/>
  <c r="I940" i="1"/>
  <c r="J940" i="1" s="1"/>
  <c r="I892" i="1"/>
  <c r="I904" i="1"/>
  <c r="I925" i="1"/>
  <c r="J925" i="1" s="1"/>
  <c r="I868" i="1"/>
  <c r="I941" i="1"/>
  <c r="J941" i="1" s="1"/>
  <c r="I937" i="1"/>
  <c r="J937" i="1" s="1"/>
  <c r="I934" i="1"/>
  <c r="J934" i="1" s="1"/>
  <c r="I932" i="1"/>
  <c r="J932" i="1" s="1"/>
  <c r="I923" i="1"/>
  <c r="I924" i="1"/>
  <c r="I875" i="1"/>
  <c r="I938" i="1"/>
  <c r="J938" i="1" s="1"/>
  <c r="I894" i="1"/>
  <c r="I627" i="1"/>
  <c r="I917" i="1"/>
  <c r="I867" i="1"/>
  <c r="I694" i="1"/>
  <c r="I858" i="1"/>
  <c r="I936" i="1"/>
  <c r="I943" i="1"/>
  <c r="J943" i="1" s="1"/>
  <c r="I946" i="1"/>
  <c r="J946" i="1" s="1"/>
  <c r="I953" i="1"/>
  <c r="I957" i="1"/>
  <c r="J957" i="1" s="1"/>
  <c r="I947" i="1"/>
  <c r="J947" i="1" s="1"/>
  <c r="I956" i="1"/>
  <c r="J956" i="1" s="1"/>
  <c r="I596" i="1"/>
  <c r="I958" i="1"/>
  <c r="J958" i="1" s="1"/>
  <c r="I959" i="1"/>
  <c r="J959" i="1" s="1"/>
  <c r="I960" i="1"/>
  <c r="J960" i="1" s="1"/>
  <c r="I962" i="1"/>
  <c r="J962" i="1" s="1"/>
  <c r="I963" i="1"/>
  <c r="J963" i="1" s="1"/>
  <c r="I705" i="1"/>
  <c r="I942" i="1"/>
  <c r="J942" i="1" s="1"/>
  <c r="I955" i="1"/>
  <c r="J955" i="1" s="1"/>
  <c r="I961" i="1"/>
  <c r="J961" i="1" s="1"/>
  <c r="I973" i="1"/>
  <c r="J973" i="1" s="1"/>
  <c r="I967" i="1"/>
  <c r="J967" i="1" s="1"/>
  <c r="I970" i="1"/>
  <c r="J970" i="1" s="1"/>
  <c r="I965" i="1"/>
  <c r="J965" i="1" s="1"/>
  <c r="I968" i="1"/>
  <c r="J968" i="1" s="1"/>
  <c r="I952" i="1"/>
  <c r="J952" i="1" s="1"/>
  <c r="I980" i="1"/>
  <c r="I981" i="1"/>
  <c r="J981" i="1" s="1"/>
  <c r="I975" i="1"/>
  <c r="J975" i="1" s="1"/>
  <c r="I983" i="1"/>
  <c r="J983" i="1" s="1"/>
  <c r="I950" i="1"/>
  <c r="J950" i="1" s="1"/>
  <c r="I948" i="1"/>
  <c r="J948" i="1" s="1"/>
  <c r="I951" i="1"/>
  <c r="J951" i="1" s="1"/>
  <c r="I985" i="1"/>
  <c r="J985" i="1" s="1"/>
  <c r="I978" i="1"/>
  <c r="J978" i="1" s="1"/>
  <c r="I944" i="1"/>
  <c r="I982" i="1"/>
  <c r="J982" i="1" s="1"/>
  <c r="I986" i="1"/>
  <c r="J986" i="1" s="1"/>
  <c r="I974" i="1"/>
  <c r="J974" i="1" s="1"/>
  <c r="I988" i="1"/>
  <c r="J988" i="1" s="1"/>
  <c r="I984" i="1"/>
  <c r="J984" i="1" s="1"/>
  <c r="I964" i="1"/>
  <c r="J964" i="1" s="1"/>
  <c r="I969" i="1"/>
  <c r="J969" i="1" s="1"/>
  <c r="I972" i="1"/>
  <c r="J972" i="1" s="1"/>
  <c r="I993" i="1"/>
  <c r="J993" i="1" s="1"/>
  <c r="I989" i="1"/>
  <c r="J989" i="1" s="1"/>
  <c r="I998" i="1"/>
  <c r="J998" i="1" s="1"/>
  <c r="I440" i="1"/>
  <c r="I992" i="1"/>
  <c r="J992" i="1" s="1"/>
  <c r="I996" i="1"/>
  <c r="J996" i="1" s="1"/>
  <c r="I997" i="1"/>
  <c r="J997" i="1" s="1"/>
  <c r="I999" i="1"/>
  <c r="J999" i="1" s="1"/>
  <c r="I979" i="1"/>
  <c r="I976" i="1"/>
  <c r="I977" i="1"/>
  <c r="I994" i="1"/>
  <c r="J994" i="1" s="1"/>
  <c r="I971" i="1"/>
  <c r="I945" i="1"/>
  <c r="I995" i="1"/>
  <c r="J995" i="1" s="1"/>
  <c r="I933" i="1"/>
  <c r="I1005" i="1"/>
  <c r="J1005" i="1" s="1"/>
  <c r="I1003" i="1"/>
  <c r="J1003" i="1" s="1"/>
  <c r="I1009" i="1"/>
  <c r="J1009" i="1" s="1"/>
  <c r="I1008" i="1"/>
  <c r="J1008" i="1" s="1"/>
  <c r="I1001" i="1"/>
  <c r="J1001" i="1" s="1"/>
  <c r="I1007" i="1"/>
  <c r="J1007" i="1" s="1"/>
  <c r="I1002" i="1"/>
  <c r="J1002" i="1" s="1"/>
  <c r="I1016" i="1"/>
  <c r="J1016" i="1" s="1"/>
  <c r="I1011" i="1"/>
  <c r="J1011" i="1" s="1"/>
  <c r="I1012" i="1"/>
  <c r="J1012" i="1" s="1"/>
  <c r="I949" i="1"/>
  <c r="I1014" i="1"/>
  <c r="J1014" i="1" s="1"/>
  <c r="I1017" i="1"/>
  <c r="J1017" i="1" s="1"/>
  <c r="I1018" i="1"/>
  <c r="J1018" i="1" s="1"/>
  <c r="I1019" i="1"/>
  <c r="J1019" i="1" s="1"/>
  <c r="I1021" i="1"/>
  <c r="J1021" i="1" s="1"/>
  <c r="I1026" i="1"/>
  <c r="J1026" i="1" s="1"/>
  <c r="I991" i="1"/>
  <c r="I1024" i="1"/>
  <c r="J1024" i="1" s="1"/>
  <c r="I1025" i="1"/>
  <c r="J1025" i="1" s="1"/>
  <c r="I851" i="1"/>
  <c r="I1027" i="1"/>
  <c r="J1027" i="1" s="1"/>
  <c r="I1032" i="1"/>
  <c r="I1029" i="1"/>
  <c r="J1029" i="1" s="1"/>
  <c r="I1031" i="1"/>
  <c r="J1031" i="1" s="1"/>
  <c r="I1015" i="1"/>
  <c r="J1015" i="1" s="1"/>
  <c r="I1036" i="1"/>
  <c r="J1036" i="1" s="1"/>
  <c r="I1023" i="1"/>
  <c r="I987" i="1"/>
  <c r="I1013" i="1"/>
  <c r="J1013" i="1" s="1"/>
  <c r="I1028" i="1"/>
  <c r="J1028" i="1" s="1"/>
  <c r="I1045" i="1"/>
  <c r="I1037" i="1"/>
  <c r="J1037" i="1" s="1"/>
  <c r="I1033" i="1"/>
  <c r="J1033" i="1" s="1"/>
  <c r="I1044" i="1"/>
  <c r="J1044" i="1" s="1"/>
  <c r="I1035" i="1"/>
  <c r="I1041" i="1"/>
  <c r="J1041" i="1" s="1"/>
  <c r="I954" i="1"/>
  <c r="I1000" i="1"/>
  <c r="I1004" i="1"/>
  <c r="I1006" i="1"/>
  <c r="I1030" i="1"/>
  <c r="I1034" i="1"/>
  <c r="I1042" i="1"/>
  <c r="I1043" i="1"/>
  <c r="I1046" i="1"/>
  <c r="I1048" i="1"/>
  <c r="J1048" i="1" s="1"/>
  <c r="I966" i="1"/>
  <c r="I1038" i="1"/>
  <c r="J1038" i="1" s="1"/>
  <c r="I1054" i="1"/>
  <c r="J1054" i="1" s="1"/>
  <c r="I1010" i="1"/>
  <c r="I1051" i="1"/>
  <c r="J1051" i="1" s="1"/>
  <c r="I1056" i="1"/>
  <c r="J1056" i="1" s="1"/>
  <c r="I1039" i="1"/>
  <c r="J1039" i="1" s="1"/>
  <c r="I990" i="1"/>
  <c r="I1052" i="1"/>
  <c r="J1052" i="1" s="1"/>
  <c r="I1020" i="1"/>
  <c r="I1022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1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J1217" i="1" s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5" i="1"/>
  <c r="J1255" i="1" s="1"/>
  <c r="I1225" i="1"/>
  <c r="J1225" i="1" s="1"/>
  <c r="I1237" i="1"/>
  <c r="J1237" i="1" s="1"/>
  <c r="I1251" i="1"/>
  <c r="J1251" i="1" s="1"/>
  <c r="I1262" i="1"/>
  <c r="J1262" i="1" s="1"/>
  <c r="I1267" i="1"/>
  <c r="J1267" i="1" s="1"/>
  <c r="I1269" i="1"/>
  <c r="J1269" i="1" s="1"/>
  <c r="I1270" i="1"/>
  <c r="J1270" i="1" s="1"/>
  <c r="I1271" i="1"/>
  <c r="J1271" i="1" s="1"/>
  <c r="I1274" i="1"/>
  <c r="J1274" i="1" s="1"/>
  <c r="I1277" i="1"/>
  <c r="J1277" i="1" s="1"/>
  <c r="I1278" i="1"/>
  <c r="J1278" i="1" s="1"/>
  <c r="I1257" i="1"/>
  <c r="J1257" i="1" s="1"/>
  <c r="I1272" i="1"/>
  <c r="I1276" i="1"/>
  <c r="J1276" i="1" s="1"/>
  <c r="I1232" i="1"/>
  <c r="I1239" i="1"/>
  <c r="J1239" i="1" s="1"/>
  <c r="I1254" i="1"/>
  <c r="J1254" i="1" s="1"/>
  <c r="I1258" i="1"/>
  <c r="J1258" i="1" s="1"/>
  <c r="I1259" i="1"/>
  <c r="J1259" i="1" s="1"/>
  <c r="I1260" i="1"/>
  <c r="J1260" i="1" s="1"/>
  <c r="I1266" i="1"/>
  <c r="J1266" i="1" s="1"/>
  <c r="I1268" i="1"/>
  <c r="J1268" i="1" s="1"/>
  <c r="I1275" i="1"/>
  <c r="J1275" i="1" s="1"/>
  <c r="I1283" i="1"/>
  <c r="J1283" i="1" s="1"/>
  <c r="I1286" i="1"/>
  <c r="J1286" i="1" s="1"/>
  <c r="I1287" i="1"/>
  <c r="J1287" i="1" s="1"/>
  <c r="I1264" i="1"/>
  <c r="J1264" i="1" s="1"/>
  <c r="I1279" i="1"/>
  <c r="J1279" i="1" s="1"/>
  <c r="I1282" i="1"/>
  <c r="J1282" i="1" s="1"/>
  <c r="I1248" i="1"/>
  <c r="I1265" i="1"/>
  <c r="J1265" i="1" s="1"/>
  <c r="I1273" i="1"/>
  <c r="J1273" i="1" s="1"/>
  <c r="I1285" i="1"/>
  <c r="J1285" i="1" s="1"/>
  <c r="I1289" i="1"/>
  <c r="J1289" i="1" s="1"/>
  <c r="I1227" i="1"/>
  <c r="I1228" i="1"/>
  <c r="I1230" i="1"/>
  <c r="I1233" i="1"/>
  <c r="I1242" i="1"/>
  <c r="I1243" i="1"/>
  <c r="I1246" i="1"/>
  <c r="I1256" i="1"/>
  <c r="I1261" i="1"/>
  <c r="I1263" i="1"/>
  <c r="I1284" i="1"/>
  <c r="I1288" i="1"/>
  <c r="J1288" i="1" s="1"/>
  <c r="I1291" i="1"/>
  <c r="I1293" i="1"/>
  <c r="I1295" i="1"/>
  <c r="I1299" i="1"/>
  <c r="J1299" i="1" s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F8" i="1"/>
  <c r="K8" i="1" s="1"/>
  <c r="F5" i="1"/>
  <c r="K5" i="1" s="1"/>
  <c r="F13" i="1"/>
  <c r="K13" i="1" s="1"/>
  <c r="F10" i="1"/>
  <c r="K10" i="1" s="1"/>
  <c r="F16" i="1"/>
  <c r="K16" i="1" s="1"/>
  <c r="F14" i="1"/>
  <c r="K14" i="1" s="1"/>
  <c r="F4" i="1"/>
  <c r="K4" i="1" s="1"/>
  <c r="F6" i="1"/>
  <c r="K6" i="1" s="1"/>
  <c r="F7" i="1"/>
  <c r="K7" i="1" s="1"/>
  <c r="F9" i="1"/>
  <c r="K9" i="1" s="1"/>
  <c r="F11" i="1"/>
  <c r="K11" i="1" s="1"/>
  <c r="F12" i="1"/>
  <c r="K12" i="1" s="1"/>
  <c r="F17" i="1"/>
  <c r="K17" i="1" s="1"/>
  <c r="F33" i="1"/>
  <c r="K33" i="1" s="1"/>
  <c r="F27" i="1"/>
  <c r="K27" i="1" s="1"/>
  <c r="F30" i="1"/>
  <c r="K30" i="1" s="1"/>
  <c r="F32" i="1"/>
  <c r="K32" i="1" s="1"/>
  <c r="F26" i="1"/>
  <c r="K26" i="1" s="1"/>
  <c r="F15" i="1"/>
  <c r="K15" i="1" s="1"/>
  <c r="F38" i="1"/>
  <c r="K38" i="1" s="1"/>
  <c r="F22" i="1"/>
  <c r="K22" i="1" s="1"/>
  <c r="F25" i="1"/>
  <c r="K25" i="1" s="1"/>
  <c r="F24" i="1"/>
  <c r="K24" i="1" s="1"/>
  <c r="F36" i="1"/>
  <c r="K36" i="1" s="1"/>
  <c r="F37" i="1"/>
  <c r="K37" i="1" s="1"/>
  <c r="F42" i="1"/>
  <c r="K42" i="1" s="1"/>
  <c r="F18" i="1"/>
  <c r="K18" i="1" s="1"/>
  <c r="F19" i="1"/>
  <c r="K19" i="1" s="1"/>
  <c r="F20" i="1"/>
  <c r="K20" i="1" s="1"/>
  <c r="F41" i="1"/>
  <c r="K41" i="1" s="1"/>
  <c r="F21" i="1"/>
  <c r="K21" i="1" s="1"/>
  <c r="F23" i="1"/>
  <c r="K23" i="1" s="1"/>
  <c r="F35" i="1"/>
  <c r="K35" i="1" s="1"/>
  <c r="F46" i="1"/>
  <c r="K46" i="1" s="1"/>
  <c r="F28" i="1"/>
  <c r="K28" i="1" s="1"/>
  <c r="F29" i="1"/>
  <c r="K29" i="1" s="1"/>
  <c r="F34" i="1"/>
  <c r="K34" i="1" s="1"/>
  <c r="F31" i="1"/>
  <c r="K31" i="1" s="1"/>
  <c r="F52" i="1"/>
  <c r="K52" i="1" s="1"/>
  <c r="F49" i="1"/>
  <c r="K49" i="1" s="1"/>
  <c r="F54" i="1"/>
  <c r="K54" i="1" s="1"/>
  <c r="F55" i="1"/>
  <c r="K55" i="1" s="1"/>
  <c r="F50" i="1"/>
  <c r="K50" i="1" s="1"/>
  <c r="F62" i="1"/>
  <c r="K62" i="1" s="1"/>
  <c r="F67" i="1"/>
  <c r="K67" i="1" s="1"/>
  <c r="F45" i="1"/>
  <c r="K45" i="1" s="1"/>
  <c r="F68" i="1"/>
  <c r="K68" i="1" s="1"/>
  <c r="F56" i="1"/>
  <c r="K56" i="1" s="1"/>
  <c r="F69" i="1"/>
  <c r="K69" i="1" s="1"/>
  <c r="F71" i="1"/>
  <c r="K71" i="1" s="1"/>
  <c r="F66" i="1"/>
  <c r="K66" i="1" s="1"/>
  <c r="F3" i="1"/>
  <c r="K3" i="1" s="1"/>
  <c r="F70" i="1"/>
  <c r="K70" i="1" s="1"/>
  <c r="F72" i="1"/>
  <c r="K72" i="1" s="1"/>
  <c r="F63" i="1"/>
  <c r="K63" i="1" s="1"/>
  <c r="F39" i="1"/>
  <c r="K39" i="1" s="1"/>
  <c r="F40" i="1"/>
  <c r="K40" i="1" s="1"/>
  <c r="F58" i="1"/>
  <c r="K58" i="1" s="1"/>
  <c r="F73" i="1"/>
  <c r="K73" i="1" s="1"/>
  <c r="F43" i="1"/>
  <c r="K43" i="1" s="1"/>
  <c r="F47" i="1"/>
  <c r="K47" i="1" s="1"/>
  <c r="F51" i="1"/>
  <c r="K51" i="1" s="1"/>
  <c r="F59" i="1"/>
  <c r="K59" i="1" s="1"/>
  <c r="F57" i="1"/>
  <c r="K57" i="1" s="1"/>
  <c r="F44" i="1"/>
  <c r="K44" i="1" s="1"/>
  <c r="F48" i="1"/>
  <c r="K48" i="1" s="1"/>
  <c r="F80" i="1"/>
  <c r="K80" i="1" s="1"/>
  <c r="F76" i="1"/>
  <c r="K76" i="1" s="1"/>
  <c r="F77" i="1"/>
  <c r="K77" i="1" s="1"/>
  <c r="F53" i="1"/>
  <c r="K53" i="1" s="1"/>
  <c r="F91" i="1"/>
  <c r="K91" i="1" s="1"/>
  <c r="F79" i="1"/>
  <c r="K79" i="1" s="1"/>
  <c r="F81" i="1"/>
  <c r="K81" i="1" s="1"/>
  <c r="F90" i="1"/>
  <c r="K90" i="1" s="1"/>
  <c r="F64" i="1"/>
  <c r="K64" i="1" s="1"/>
  <c r="F89" i="1"/>
  <c r="K89" i="1" s="1"/>
  <c r="F74" i="1"/>
  <c r="K74" i="1" s="1"/>
  <c r="F82" i="1"/>
  <c r="K82" i="1" s="1"/>
  <c r="F88" i="1"/>
  <c r="K88" i="1" s="1"/>
  <c r="F85" i="1"/>
  <c r="K85" i="1" s="1"/>
  <c r="F60" i="1"/>
  <c r="K60" i="1" s="1"/>
  <c r="F65" i="1"/>
  <c r="K65" i="1" s="1"/>
  <c r="F61" i="1"/>
  <c r="K61" i="1" s="1"/>
  <c r="F83" i="1"/>
  <c r="K83" i="1" s="1"/>
  <c r="F86" i="1"/>
  <c r="K86" i="1" s="1"/>
  <c r="F75" i="1"/>
  <c r="K75" i="1" s="1"/>
  <c r="F102" i="1"/>
  <c r="K102" i="1" s="1"/>
  <c r="F92" i="1"/>
  <c r="K92" i="1" s="1"/>
  <c r="F103" i="1"/>
  <c r="K103" i="1" s="1"/>
  <c r="F104" i="1"/>
  <c r="K104" i="1" s="1"/>
  <c r="F93" i="1"/>
  <c r="K93" i="1" s="1"/>
  <c r="F101" i="1"/>
  <c r="K101" i="1" s="1"/>
  <c r="F97" i="1"/>
  <c r="K97" i="1" s="1"/>
  <c r="F78" i="1"/>
  <c r="K78" i="1" s="1"/>
  <c r="F87" i="1"/>
  <c r="K87" i="1" s="1"/>
  <c r="F105" i="1"/>
  <c r="K105" i="1" s="1"/>
  <c r="F84" i="1"/>
  <c r="K84" i="1" s="1"/>
  <c r="F94" i="1"/>
  <c r="K94" i="1" s="1"/>
  <c r="F110" i="1"/>
  <c r="K110" i="1" s="1"/>
  <c r="F109" i="1"/>
  <c r="K109" i="1" s="1"/>
  <c r="F114" i="1"/>
  <c r="K114" i="1" s="1"/>
  <c r="F113" i="1"/>
  <c r="K113" i="1" s="1"/>
  <c r="F111" i="1"/>
  <c r="K111" i="1" s="1"/>
  <c r="F95" i="1"/>
  <c r="K95" i="1" s="1"/>
  <c r="F96" i="1"/>
  <c r="K96" i="1" s="1"/>
  <c r="F98" i="1"/>
  <c r="K98" i="1" s="1"/>
  <c r="F99" i="1"/>
  <c r="K99" i="1" s="1"/>
  <c r="F100" i="1"/>
  <c r="K100" i="1" s="1"/>
  <c r="F129" i="1"/>
  <c r="K129" i="1" s="1"/>
  <c r="F122" i="1"/>
  <c r="K122" i="1" s="1"/>
  <c r="F119" i="1"/>
  <c r="K119" i="1" s="1"/>
  <c r="F120" i="1"/>
  <c r="K120" i="1" s="1"/>
  <c r="F118" i="1"/>
  <c r="K118" i="1" s="1"/>
  <c r="F112" i="1"/>
  <c r="K112" i="1" s="1"/>
  <c r="F128" i="1"/>
  <c r="K128" i="1" s="1"/>
  <c r="F130" i="1"/>
  <c r="K130" i="1" s="1"/>
  <c r="F126" i="1"/>
  <c r="K126" i="1" s="1"/>
  <c r="F134" i="1"/>
  <c r="K134" i="1" s="1"/>
  <c r="F133" i="1"/>
  <c r="K133" i="1" s="1"/>
  <c r="F131" i="1"/>
  <c r="K131" i="1" s="1"/>
  <c r="F107" i="1"/>
  <c r="K107" i="1" s="1"/>
  <c r="F108" i="1"/>
  <c r="K108" i="1" s="1"/>
  <c r="F125" i="1"/>
  <c r="K125" i="1" s="1"/>
  <c r="F138" i="1"/>
  <c r="K138" i="1" s="1"/>
  <c r="F115" i="1"/>
  <c r="K115" i="1" s="1"/>
  <c r="F124" i="1"/>
  <c r="K124" i="1" s="1"/>
  <c r="F135" i="1"/>
  <c r="K135" i="1" s="1"/>
  <c r="F121" i="1"/>
  <c r="K121" i="1" s="1"/>
  <c r="F123" i="1"/>
  <c r="K123" i="1" s="1"/>
  <c r="F147" i="1"/>
  <c r="K147" i="1" s="1"/>
  <c r="F137" i="1"/>
  <c r="K137" i="1" s="1"/>
  <c r="F148" i="1"/>
  <c r="K148" i="1" s="1"/>
  <c r="F153" i="1"/>
  <c r="K153" i="1" s="1"/>
  <c r="F136" i="1"/>
  <c r="K136" i="1" s="1"/>
  <c r="F150" i="1"/>
  <c r="K150" i="1" s="1"/>
  <c r="F151" i="1"/>
  <c r="K151" i="1" s="1"/>
  <c r="F145" i="1"/>
  <c r="K145" i="1" s="1"/>
  <c r="F142" i="1"/>
  <c r="K142" i="1" s="1"/>
  <c r="F143" i="1"/>
  <c r="K143" i="1" s="1"/>
  <c r="F144" i="1"/>
  <c r="K144" i="1" s="1"/>
  <c r="F156" i="1"/>
  <c r="K156" i="1" s="1"/>
  <c r="F149" i="1"/>
  <c r="K149" i="1" s="1"/>
  <c r="F170" i="1"/>
  <c r="K170" i="1" s="1"/>
  <c r="F159" i="1"/>
  <c r="K159" i="1" s="1"/>
  <c r="F162" i="1"/>
  <c r="K162" i="1" s="1"/>
  <c r="F141" i="1"/>
  <c r="K141" i="1" s="1"/>
  <c r="F140" i="1"/>
  <c r="K140" i="1" s="1"/>
  <c r="F106" i="1"/>
  <c r="K106" i="1" s="1"/>
  <c r="F174" i="1"/>
  <c r="K174" i="1" s="1"/>
  <c r="F180" i="1"/>
  <c r="K180" i="1" s="1"/>
  <c r="F127" i="1"/>
  <c r="K127" i="1" s="1"/>
  <c r="F172" i="1"/>
  <c r="K172" i="1" s="1"/>
  <c r="F155" i="1"/>
  <c r="K155" i="1" s="1"/>
  <c r="F177" i="1"/>
  <c r="K177" i="1" s="1"/>
  <c r="F158" i="1"/>
  <c r="K158" i="1" s="1"/>
  <c r="F166" i="1"/>
  <c r="K166" i="1" s="1"/>
  <c r="F167" i="1"/>
  <c r="K167" i="1" s="1"/>
  <c r="F168" i="1"/>
  <c r="K168" i="1" s="1"/>
  <c r="F146" i="1"/>
  <c r="K146" i="1" s="1"/>
  <c r="F178" i="1"/>
  <c r="K178" i="1" s="1"/>
  <c r="F185" i="1"/>
  <c r="K185" i="1" s="1"/>
  <c r="F191" i="1"/>
  <c r="K191" i="1" s="1"/>
  <c r="F189" i="1"/>
  <c r="K189" i="1" s="1"/>
  <c r="F169" i="1"/>
  <c r="K169" i="1" s="1"/>
  <c r="F195" i="1"/>
  <c r="K195" i="1" s="1"/>
  <c r="F165" i="1"/>
  <c r="K165" i="1" s="1"/>
  <c r="F164" i="1"/>
  <c r="K164" i="1" s="1"/>
  <c r="F176" i="1"/>
  <c r="K176" i="1" s="1"/>
  <c r="F175" i="1"/>
  <c r="K175" i="1" s="1"/>
  <c r="F192" i="1"/>
  <c r="K192" i="1" s="1"/>
  <c r="F188" i="1"/>
  <c r="K188" i="1" s="1"/>
  <c r="F205" i="1"/>
  <c r="K205" i="1" s="1"/>
  <c r="F200" i="1"/>
  <c r="K200" i="1" s="1"/>
  <c r="F201" i="1"/>
  <c r="K201" i="1" s="1"/>
  <c r="F204" i="1"/>
  <c r="K204" i="1" s="1"/>
  <c r="F208" i="1"/>
  <c r="K208" i="1" s="1"/>
  <c r="F117" i="1"/>
  <c r="K117" i="1" s="1"/>
  <c r="F181" i="1"/>
  <c r="K181" i="1" s="1"/>
  <c r="F217" i="1"/>
  <c r="K217" i="1" s="1"/>
  <c r="F182" i="1"/>
  <c r="K182" i="1" s="1"/>
  <c r="F203" i="1"/>
  <c r="K203" i="1" s="1"/>
  <c r="F154" i="1"/>
  <c r="K154" i="1" s="1"/>
  <c r="F160" i="1"/>
  <c r="K160" i="1" s="1"/>
  <c r="F206" i="1"/>
  <c r="K206" i="1" s="1"/>
  <c r="F211" i="1"/>
  <c r="K211" i="1" s="1"/>
  <c r="F116" i="1"/>
  <c r="K116" i="1" s="1"/>
  <c r="F224" i="1"/>
  <c r="K224" i="1" s="1"/>
  <c r="F198" i="1"/>
  <c r="K198" i="1" s="1"/>
  <c r="F218" i="1"/>
  <c r="K218" i="1" s="1"/>
  <c r="F219" i="1"/>
  <c r="K219" i="1" s="1"/>
  <c r="F214" i="1"/>
  <c r="K214" i="1" s="1"/>
  <c r="F226" i="1"/>
  <c r="K226" i="1" s="1"/>
  <c r="F190" i="1"/>
  <c r="K190" i="1" s="1"/>
  <c r="F225" i="1"/>
  <c r="K225" i="1" s="1"/>
  <c r="F223" i="1"/>
  <c r="K223" i="1" s="1"/>
  <c r="F152" i="1"/>
  <c r="K152" i="1" s="1"/>
  <c r="F229" i="1"/>
  <c r="K229" i="1" s="1"/>
  <c r="F171" i="1"/>
  <c r="K171" i="1" s="1"/>
  <c r="F187" i="1"/>
  <c r="K187" i="1" s="1"/>
  <c r="F183" i="1"/>
  <c r="K183" i="1" s="1"/>
  <c r="F228" i="1"/>
  <c r="K228" i="1" s="1"/>
  <c r="F196" i="1"/>
  <c r="K196" i="1" s="1"/>
  <c r="F237" i="1"/>
  <c r="K237" i="1" s="1"/>
  <c r="F238" i="1"/>
  <c r="K238" i="1" s="1"/>
  <c r="F194" i="1"/>
  <c r="K194" i="1" s="1"/>
  <c r="F216" i="1"/>
  <c r="K216" i="1" s="1"/>
  <c r="F221" i="1"/>
  <c r="K221" i="1" s="1"/>
  <c r="F231" i="1"/>
  <c r="K231" i="1" s="1"/>
  <c r="F215" i="1"/>
  <c r="K215" i="1" s="1"/>
  <c r="F235" i="1"/>
  <c r="K235" i="1" s="1"/>
  <c r="F173" i="1"/>
  <c r="K173" i="1" s="1"/>
  <c r="F243" i="1"/>
  <c r="K243" i="1" s="1"/>
  <c r="F249" i="1"/>
  <c r="K249" i="1" s="1"/>
  <c r="F247" i="1"/>
  <c r="K247" i="1" s="1"/>
  <c r="F233" i="1"/>
  <c r="K233" i="1" s="1"/>
  <c r="F222" i="1"/>
  <c r="K222" i="1" s="1"/>
  <c r="F163" i="1"/>
  <c r="K163" i="1" s="1"/>
  <c r="F236" i="1"/>
  <c r="K236" i="1" s="1"/>
  <c r="F245" i="1"/>
  <c r="K245" i="1" s="1"/>
  <c r="F179" i="1"/>
  <c r="K179" i="1" s="1"/>
  <c r="F230" i="1"/>
  <c r="K230" i="1" s="1"/>
  <c r="F250" i="1"/>
  <c r="K250" i="1" s="1"/>
  <c r="F255" i="1"/>
  <c r="K255" i="1" s="1"/>
  <c r="F254" i="1"/>
  <c r="K254" i="1" s="1"/>
  <c r="F132" i="1"/>
  <c r="K132" i="1" s="1"/>
  <c r="F248" i="1"/>
  <c r="K248" i="1" s="1"/>
  <c r="F184" i="1"/>
  <c r="K184" i="1" s="1"/>
  <c r="F202" i="1"/>
  <c r="K202" i="1" s="1"/>
  <c r="F257" i="1"/>
  <c r="K257" i="1" s="1"/>
  <c r="F265" i="1"/>
  <c r="K265" i="1" s="1"/>
  <c r="F234" i="1"/>
  <c r="K234" i="1" s="1"/>
  <c r="F252" i="1"/>
  <c r="K252" i="1" s="1"/>
  <c r="F240" i="1"/>
  <c r="K240" i="1" s="1"/>
  <c r="F266" i="1"/>
  <c r="K266" i="1" s="1"/>
  <c r="F253" i="1"/>
  <c r="K253" i="1" s="1"/>
  <c r="F212" i="1"/>
  <c r="K212" i="1" s="1"/>
  <c r="F259" i="1"/>
  <c r="K259" i="1" s="1"/>
  <c r="F244" i="1"/>
  <c r="K244" i="1" s="1"/>
  <c r="F270" i="1"/>
  <c r="K270" i="1" s="1"/>
  <c r="F276" i="1"/>
  <c r="K276" i="1" s="1"/>
  <c r="F139" i="1"/>
  <c r="K139" i="1" s="1"/>
  <c r="F246" i="1"/>
  <c r="K246" i="1" s="1"/>
  <c r="F261" i="1"/>
  <c r="K261" i="1" s="1"/>
  <c r="F264" i="1"/>
  <c r="K264" i="1" s="1"/>
  <c r="F262" i="1"/>
  <c r="K262" i="1" s="1"/>
  <c r="F275" i="1"/>
  <c r="K275" i="1" s="1"/>
  <c r="F251" i="1"/>
  <c r="K251" i="1" s="1"/>
  <c r="F283" i="1"/>
  <c r="K283" i="1" s="1"/>
  <c r="F273" i="1"/>
  <c r="K273" i="1" s="1"/>
  <c r="F279" i="1"/>
  <c r="K279" i="1" s="1"/>
  <c r="F161" i="1"/>
  <c r="K161" i="1" s="1"/>
  <c r="F193" i="1"/>
  <c r="K193" i="1" s="1"/>
  <c r="F197" i="1"/>
  <c r="K197" i="1" s="1"/>
  <c r="F199" i="1"/>
  <c r="K199" i="1" s="1"/>
  <c r="F220" i="1"/>
  <c r="K220" i="1" s="1"/>
  <c r="F232" i="1"/>
  <c r="K232" i="1" s="1"/>
  <c r="F281" i="1"/>
  <c r="K281" i="1" s="1"/>
  <c r="F227" i="1"/>
  <c r="K227" i="1" s="1"/>
  <c r="F239" i="1"/>
  <c r="K239" i="1" s="1"/>
  <c r="F242" i="1"/>
  <c r="K242" i="1" s="1"/>
  <c r="F278" i="1"/>
  <c r="K278" i="1" s="1"/>
  <c r="F263" i="1"/>
  <c r="K263" i="1" s="1"/>
  <c r="F260" i="1"/>
  <c r="K260" i="1" s="1"/>
  <c r="F287" i="1"/>
  <c r="K287" i="1" s="1"/>
  <c r="F290" i="1"/>
  <c r="K290" i="1" s="1"/>
  <c r="F286" i="1"/>
  <c r="K286" i="1" s="1"/>
  <c r="F285" i="1"/>
  <c r="K285" i="1" s="1"/>
  <c r="F267" i="1"/>
  <c r="K267" i="1" s="1"/>
  <c r="F256" i="1"/>
  <c r="K256" i="1" s="1"/>
  <c r="F295" i="1"/>
  <c r="K295" i="1" s="1"/>
  <c r="F300" i="1"/>
  <c r="K300" i="1" s="1"/>
  <c r="F291" i="1"/>
  <c r="K291" i="1" s="1"/>
  <c r="F301" i="1"/>
  <c r="K301" i="1" s="1"/>
  <c r="F272" i="1"/>
  <c r="K272" i="1" s="1"/>
  <c r="F294" i="1"/>
  <c r="K294" i="1" s="1"/>
  <c r="F284" i="1"/>
  <c r="K284" i="1" s="1"/>
  <c r="F308" i="1"/>
  <c r="K308" i="1" s="1"/>
  <c r="F271" i="1"/>
  <c r="K271" i="1" s="1"/>
  <c r="F316" i="1"/>
  <c r="K316" i="1" s="1"/>
  <c r="F269" i="1"/>
  <c r="K269" i="1" s="1"/>
  <c r="F312" i="1"/>
  <c r="K312" i="1" s="1"/>
  <c r="F304" i="1"/>
  <c r="K304" i="1" s="1"/>
  <c r="F307" i="1"/>
  <c r="K307" i="1" s="1"/>
  <c r="F157" i="1"/>
  <c r="K157" i="1" s="1"/>
  <c r="F320" i="1"/>
  <c r="K320" i="1" s="1"/>
  <c r="F318" i="1"/>
  <c r="K318" i="1" s="1"/>
  <c r="F321" i="1"/>
  <c r="K321" i="1" s="1"/>
  <c r="F305" i="1"/>
  <c r="K305" i="1" s="1"/>
  <c r="F241" i="1"/>
  <c r="K241" i="1" s="1"/>
  <c r="F323" i="1"/>
  <c r="K323" i="1" s="1"/>
  <c r="F319" i="1"/>
  <c r="K319" i="1" s="1"/>
  <c r="F309" i="1"/>
  <c r="K309" i="1" s="1"/>
  <c r="F315" i="1"/>
  <c r="K315" i="1" s="1"/>
  <c r="F314" i="1"/>
  <c r="K314" i="1" s="1"/>
  <c r="F327" i="1"/>
  <c r="K327" i="1" s="1"/>
  <c r="F324" i="1"/>
  <c r="K324" i="1" s="1"/>
  <c r="F332" i="1"/>
  <c r="K332" i="1" s="1"/>
  <c r="F330" i="1"/>
  <c r="K330" i="1" s="1"/>
  <c r="F331" i="1"/>
  <c r="K331" i="1" s="1"/>
  <c r="F326" i="1"/>
  <c r="K326" i="1" s="1"/>
  <c r="F268" i="1"/>
  <c r="K268" i="1" s="1"/>
  <c r="F334" i="1"/>
  <c r="K334" i="1" s="1"/>
  <c r="F298" i="1"/>
  <c r="K298" i="1" s="1"/>
  <c r="F335" i="1"/>
  <c r="K335" i="1" s="1"/>
  <c r="F311" i="1"/>
  <c r="K311" i="1" s="1"/>
  <c r="F317" i="1"/>
  <c r="K317" i="1" s="1"/>
  <c r="F329" i="1"/>
  <c r="K329" i="1" s="1"/>
  <c r="F306" i="1"/>
  <c r="K306" i="1" s="1"/>
  <c r="F313" i="1"/>
  <c r="K313" i="1" s="1"/>
  <c r="F302" i="1"/>
  <c r="K302" i="1" s="1"/>
  <c r="F336" i="1"/>
  <c r="K336" i="1" s="1"/>
  <c r="F310" i="1"/>
  <c r="K310" i="1" s="1"/>
  <c r="F338" i="1"/>
  <c r="K338" i="1" s="1"/>
  <c r="F288" i="1"/>
  <c r="K288" i="1" s="1"/>
  <c r="F346" i="1"/>
  <c r="K346" i="1" s="1"/>
  <c r="F333" i="1"/>
  <c r="K333" i="1" s="1"/>
  <c r="F349" i="1"/>
  <c r="K349" i="1" s="1"/>
  <c r="F350" i="1"/>
  <c r="K350" i="1" s="1"/>
  <c r="F340" i="1"/>
  <c r="K340" i="1" s="1"/>
  <c r="F342" i="1"/>
  <c r="K342" i="1" s="1"/>
  <c r="F343" i="1"/>
  <c r="K343" i="1" s="1"/>
  <c r="F328" i="1"/>
  <c r="K328" i="1" s="1"/>
  <c r="F344" i="1"/>
  <c r="K344" i="1" s="1"/>
  <c r="F348" i="1"/>
  <c r="K348" i="1" s="1"/>
  <c r="F341" i="1"/>
  <c r="K341" i="1" s="1"/>
  <c r="F353" i="1"/>
  <c r="K353" i="1" s="1"/>
  <c r="F322" i="1"/>
  <c r="K322" i="1" s="1"/>
  <c r="F359" i="1"/>
  <c r="K359" i="1" s="1"/>
  <c r="F360" i="1"/>
  <c r="K360" i="1" s="1"/>
  <c r="F213" i="1"/>
  <c r="K213" i="1" s="1"/>
  <c r="F361" i="1"/>
  <c r="K361" i="1" s="1"/>
  <c r="F358" i="1"/>
  <c r="K358" i="1" s="1"/>
  <c r="F356" i="1"/>
  <c r="K356" i="1" s="1"/>
  <c r="F303" i="1"/>
  <c r="K303" i="1" s="1"/>
  <c r="F357" i="1"/>
  <c r="K357" i="1" s="1"/>
  <c r="F347" i="1"/>
  <c r="K347" i="1" s="1"/>
  <c r="F362" i="1"/>
  <c r="K362" i="1" s="1"/>
  <c r="F351" i="1"/>
  <c r="K351" i="1" s="1"/>
  <c r="F379" i="1"/>
  <c r="K379" i="1" s="1"/>
  <c r="F292" i="1"/>
  <c r="K292" i="1" s="1"/>
  <c r="F339" i="1"/>
  <c r="K339" i="1" s="1"/>
  <c r="F296" i="1"/>
  <c r="K296" i="1" s="1"/>
  <c r="F352" i="1"/>
  <c r="K352" i="1" s="1"/>
  <c r="F376" i="1"/>
  <c r="K376" i="1" s="1"/>
  <c r="F378" i="1"/>
  <c r="K378" i="1" s="1"/>
  <c r="F375" i="1"/>
  <c r="K375" i="1" s="1"/>
  <c r="F345" i="1"/>
  <c r="K345" i="1" s="1"/>
  <c r="F280" i="1"/>
  <c r="K280" i="1" s="1"/>
  <c r="F383" i="1"/>
  <c r="K383" i="1" s="1"/>
  <c r="F385" i="1"/>
  <c r="K385" i="1" s="1"/>
  <c r="F393" i="1"/>
  <c r="K393" i="1" s="1"/>
  <c r="F390" i="1"/>
  <c r="K390" i="1" s="1"/>
  <c r="F382" i="1"/>
  <c r="K382" i="1" s="1"/>
  <c r="F388" i="1"/>
  <c r="K388" i="1" s="1"/>
  <c r="F389" i="1"/>
  <c r="K389" i="1" s="1"/>
  <c r="F381" i="1"/>
  <c r="K381" i="1" s="1"/>
  <c r="F400" i="1"/>
  <c r="K400" i="1" s="1"/>
  <c r="F399" i="1"/>
  <c r="K399" i="1" s="1"/>
  <c r="F397" i="1"/>
  <c r="K397" i="1" s="1"/>
  <c r="F355" i="1"/>
  <c r="K355" i="1" s="1"/>
  <c r="F386" i="1"/>
  <c r="K386" i="1" s="1"/>
  <c r="F384" i="1"/>
  <c r="K384" i="1" s="1"/>
  <c r="F391" i="1"/>
  <c r="K391" i="1" s="1"/>
  <c r="F186" i="1"/>
  <c r="K186" i="1" s="1"/>
  <c r="F404" i="1"/>
  <c r="K404" i="1" s="1"/>
  <c r="F394" i="1"/>
  <c r="K394" i="1" s="1"/>
  <c r="F289" i="1"/>
  <c r="K289" i="1" s="1"/>
  <c r="F402" i="1"/>
  <c r="K402" i="1" s="1"/>
  <c r="F367" i="1"/>
  <c r="K367" i="1" s="1"/>
  <c r="F368" i="1"/>
  <c r="K368" i="1" s="1"/>
  <c r="F369" i="1"/>
  <c r="K369" i="1" s="1"/>
  <c r="F371" i="1"/>
  <c r="K371" i="1" s="1"/>
  <c r="F372" i="1"/>
  <c r="K372" i="1" s="1"/>
  <c r="F407" i="1"/>
  <c r="K407" i="1" s="1"/>
  <c r="F413" i="1"/>
  <c r="K413" i="1" s="1"/>
  <c r="F380" i="1"/>
  <c r="K380" i="1" s="1"/>
  <c r="F403" i="1"/>
  <c r="K403" i="1" s="1"/>
  <c r="F406" i="1"/>
  <c r="K406" i="1" s="1"/>
  <c r="F366" i="1"/>
  <c r="K366" i="1" s="1"/>
  <c r="F282" i="1"/>
  <c r="K282" i="1" s="1"/>
  <c r="F363" i="1"/>
  <c r="K363" i="1" s="1"/>
  <c r="F412" i="1"/>
  <c r="K412" i="1" s="1"/>
  <c r="F420" i="1"/>
  <c r="K420" i="1" s="1"/>
  <c r="F410" i="1"/>
  <c r="K410" i="1" s="1"/>
  <c r="F417" i="1"/>
  <c r="K417" i="1" s="1"/>
  <c r="F416" i="1"/>
  <c r="K416" i="1" s="1"/>
  <c r="F409" i="1"/>
  <c r="K409" i="1" s="1"/>
  <c r="F392" i="1"/>
  <c r="K392" i="1" s="1"/>
  <c r="F425" i="1"/>
  <c r="K425" i="1" s="1"/>
  <c r="F424" i="1"/>
  <c r="K424" i="1" s="1"/>
  <c r="F365" i="1"/>
  <c r="K365" i="1" s="1"/>
  <c r="F426" i="1"/>
  <c r="K426" i="1" s="1"/>
  <c r="F408" i="1"/>
  <c r="K408" i="1" s="1"/>
  <c r="F429" i="1"/>
  <c r="K429" i="1" s="1"/>
  <c r="F427" i="1"/>
  <c r="K427" i="1" s="1"/>
  <c r="F422" i="1"/>
  <c r="K422" i="1" s="1"/>
  <c r="F274" i="1"/>
  <c r="K274" i="1" s="1"/>
  <c r="F325" i="1"/>
  <c r="K325" i="1" s="1"/>
  <c r="F423" i="1"/>
  <c r="K423" i="1" s="1"/>
  <c r="F414" i="1"/>
  <c r="K414" i="1" s="1"/>
  <c r="F297" i="1"/>
  <c r="K297" i="1" s="1"/>
  <c r="F370" i="1"/>
  <c r="K370" i="1" s="1"/>
  <c r="F377" i="1"/>
  <c r="K377" i="1" s="1"/>
  <c r="F432" i="1"/>
  <c r="K432" i="1" s="1"/>
  <c r="F398" i="1"/>
  <c r="K398" i="1" s="1"/>
  <c r="F354" i="1"/>
  <c r="K354" i="1" s="1"/>
  <c r="F401" i="1"/>
  <c r="K401" i="1" s="1"/>
  <c r="F438" i="1"/>
  <c r="K438" i="1" s="1"/>
  <c r="F444" i="1"/>
  <c r="K444" i="1" s="1"/>
  <c r="F434" i="1"/>
  <c r="K434" i="1" s="1"/>
  <c r="F373" i="1"/>
  <c r="K373" i="1" s="1"/>
  <c r="F442" i="1"/>
  <c r="K442" i="1" s="1"/>
  <c r="F436" i="1"/>
  <c r="K436" i="1" s="1"/>
  <c r="F374" i="1"/>
  <c r="K374" i="1" s="1"/>
  <c r="F419" i="1"/>
  <c r="K419" i="1" s="1"/>
  <c r="F450" i="1"/>
  <c r="K450" i="1" s="1"/>
  <c r="F455" i="1"/>
  <c r="K455" i="1" s="1"/>
  <c r="F446" i="1"/>
  <c r="K446" i="1" s="1"/>
  <c r="F258" i="1"/>
  <c r="K258" i="1" s="1"/>
  <c r="F435" i="1"/>
  <c r="K435" i="1" s="1"/>
  <c r="F461" i="1"/>
  <c r="K461" i="1" s="1"/>
  <c r="F460" i="1"/>
  <c r="K460" i="1" s="1"/>
  <c r="F465" i="1"/>
  <c r="K465" i="1" s="1"/>
  <c r="F457" i="1"/>
  <c r="K457" i="1" s="1"/>
  <c r="F452" i="1"/>
  <c r="K452" i="1" s="1"/>
  <c r="F459" i="1"/>
  <c r="K459" i="1" s="1"/>
  <c r="F447" i="1"/>
  <c r="K447" i="1" s="1"/>
  <c r="F458" i="1"/>
  <c r="K458" i="1" s="1"/>
  <c r="F463" i="1"/>
  <c r="K463" i="1" s="1"/>
  <c r="F415" i="1"/>
  <c r="K415" i="1" s="1"/>
  <c r="F470" i="1"/>
  <c r="K470" i="1" s="1"/>
  <c r="F433" i="1"/>
  <c r="K433" i="1" s="1"/>
  <c r="F468" i="1"/>
  <c r="K468" i="1" s="1"/>
  <c r="F466" i="1"/>
  <c r="K466" i="1" s="1"/>
  <c r="F472" i="1"/>
  <c r="K472" i="1" s="1"/>
  <c r="F477" i="1"/>
  <c r="K477" i="1" s="1"/>
  <c r="F464" i="1"/>
  <c r="K464" i="1" s="1"/>
  <c r="F396" i="1"/>
  <c r="K396" i="1" s="1"/>
  <c r="F364" i="1"/>
  <c r="K364" i="1" s="1"/>
  <c r="F475" i="1"/>
  <c r="K475" i="1" s="1"/>
  <c r="F451" i="1"/>
  <c r="K451" i="1" s="1"/>
  <c r="F471" i="1"/>
  <c r="K471" i="1" s="1"/>
  <c r="F476" i="1"/>
  <c r="K476" i="1" s="1"/>
  <c r="F481" i="1"/>
  <c r="K481" i="1" s="1"/>
  <c r="F482" i="1"/>
  <c r="K482" i="1" s="1"/>
  <c r="F484" i="1"/>
  <c r="K484" i="1" s="1"/>
  <c r="F439" i="1"/>
  <c r="K439" i="1" s="1"/>
  <c r="F479" i="1"/>
  <c r="K479" i="1" s="1"/>
  <c r="F488" i="1"/>
  <c r="K488" i="1" s="1"/>
  <c r="F490" i="1"/>
  <c r="K490" i="1" s="1"/>
  <c r="F493" i="1"/>
  <c r="K493" i="1" s="1"/>
  <c r="F505" i="1"/>
  <c r="K505" i="1" s="1"/>
  <c r="F513" i="1"/>
  <c r="K513" i="1" s="1"/>
  <c r="F510" i="1"/>
  <c r="K510" i="1" s="1"/>
  <c r="F509" i="1"/>
  <c r="K509" i="1" s="1"/>
  <c r="F515" i="1"/>
  <c r="K515" i="1" s="1"/>
  <c r="F518" i="1"/>
  <c r="K518" i="1" s="1"/>
  <c r="F523" i="1"/>
  <c r="K523" i="1" s="1"/>
  <c r="F521" i="1"/>
  <c r="K521" i="1" s="1"/>
  <c r="F539" i="1"/>
  <c r="K539" i="1" s="1"/>
  <c r="F548" i="1"/>
  <c r="K548" i="1" s="1"/>
  <c r="F544" i="1"/>
  <c r="K544" i="1" s="1"/>
  <c r="F551" i="1"/>
  <c r="K551" i="1" s="1"/>
  <c r="F550" i="1"/>
  <c r="K550" i="1" s="1"/>
  <c r="F562" i="1"/>
  <c r="K562" i="1" s="1"/>
  <c r="F560" i="1"/>
  <c r="K560" i="1" s="1"/>
  <c r="F207" i="1"/>
  <c r="K207" i="1" s="1"/>
  <c r="F563" i="1"/>
  <c r="K563" i="1" s="1"/>
  <c r="F566" i="1"/>
  <c r="K566" i="1" s="1"/>
  <c r="F570" i="1"/>
  <c r="K570" i="1" s="1"/>
  <c r="F569" i="1"/>
  <c r="K569" i="1" s="1"/>
  <c r="F581" i="1"/>
  <c r="K581" i="1" s="1"/>
  <c r="F577" i="1"/>
  <c r="K577" i="1" s="1"/>
  <c r="F586" i="1"/>
  <c r="K586" i="1" s="1"/>
  <c r="F589" i="1"/>
  <c r="K589" i="1" s="1"/>
  <c r="F591" i="1"/>
  <c r="K591" i="1" s="1"/>
  <c r="F593" i="1"/>
  <c r="K593" i="1" s="1"/>
  <c r="F597" i="1"/>
  <c r="K597" i="1" s="1"/>
  <c r="F600" i="1"/>
  <c r="K600" i="1" s="1"/>
  <c r="F602" i="1"/>
  <c r="K602" i="1" s="1"/>
  <c r="F603" i="1"/>
  <c r="K603" i="1" s="1"/>
  <c r="F606" i="1"/>
  <c r="K606" i="1" s="1"/>
  <c r="F612" i="1"/>
  <c r="K612" i="1" s="1"/>
  <c r="F610" i="1"/>
  <c r="K610" i="1" s="1"/>
  <c r="F617" i="1"/>
  <c r="K617" i="1" s="1"/>
  <c r="F614" i="1"/>
  <c r="K614" i="1" s="1"/>
  <c r="F615" i="1"/>
  <c r="K615" i="1" s="1"/>
  <c r="F506" i="1"/>
  <c r="K506" i="1" s="1"/>
  <c r="F494" i="1"/>
  <c r="K494" i="1" s="1"/>
  <c r="F511" i="1"/>
  <c r="K511" i="1" s="1"/>
  <c r="F524" i="1"/>
  <c r="K524" i="1" s="1"/>
  <c r="F517" i="1"/>
  <c r="K517" i="1" s="1"/>
  <c r="F531" i="1"/>
  <c r="K531" i="1" s="1"/>
  <c r="F526" i="1"/>
  <c r="K526" i="1" s="1"/>
  <c r="F530" i="1"/>
  <c r="K530" i="1" s="1"/>
  <c r="F527" i="1"/>
  <c r="K527" i="1" s="1"/>
  <c r="F540" i="1"/>
  <c r="K540" i="1" s="1"/>
  <c r="F545" i="1"/>
  <c r="K545" i="1" s="1"/>
  <c r="F543" i="1"/>
  <c r="K543" i="1" s="1"/>
  <c r="F547" i="1"/>
  <c r="K547" i="1" s="1"/>
  <c r="F553" i="1"/>
  <c r="K553" i="1" s="1"/>
  <c r="F573" i="1"/>
  <c r="K573" i="1" s="1"/>
  <c r="F574" i="1"/>
  <c r="K574" i="1" s="1"/>
  <c r="F578" i="1"/>
  <c r="K578" i="1" s="1"/>
  <c r="F585" i="1"/>
  <c r="K585" i="1" s="1"/>
  <c r="F587" i="1"/>
  <c r="K587" i="1" s="1"/>
  <c r="F598" i="1"/>
  <c r="K598" i="1" s="1"/>
  <c r="F595" i="1"/>
  <c r="K595" i="1" s="1"/>
  <c r="F605" i="1"/>
  <c r="K605" i="1" s="1"/>
  <c r="F613" i="1"/>
  <c r="K613" i="1" s="1"/>
  <c r="F483" i="1"/>
  <c r="K483" i="1" s="1"/>
  <c r="F485" i="1"/>
  <c r="K485" i="1" s="1"/>
  <c r="F512" i="1"/>
  <c r="K512" i="1" s="1"/>
  <c r="F541" i="1"/>
  <c r="K541" i="1" s="1"/>
  <c r="F556" i="1"/>
  <c r="K556" i="1" s="1"/>
  <c r="F567" i="1"/>
  <c r="K567" i="1" s="1"/>
  <c r="F571" i="1"/>
  <c r="K571" i="1" s="1"/>
  <c r="F565" i="1"/>
  <c r="K565" i="1" s="1"/>
  <c r="F576" i="1"/>
  <c r="K576" i="1" s="1"/>
  <c r="F590" i="1"/>
  <c r="K590" i="1" s="1"/>
  <c r="F487" i="1"/>
  <c r="K487" i="1" s="1"/>
  <c r="F496" i="1"/>
  <c r="K496" i="1" s="1"/>
  <c r="F497" i="1"/>
  <c r="K497" i="1" s="1"/>
  <c r="F491" i="1"/>
  <c r="K491" i="1" s="1"/>
  <c r="F516" i="1"/>
  <c r="K516" i="1" s="1"/>
  <c r="F519" i="1"/>
  <c r="K519" i="1" s="1"/>
  <c r="F542" i="1"/>
  <c r="K542" i="1" s="1"/>
  <c r="F559" i="1"/>
  <c r="K559" i="1" s="1"/>
  <c r="F592" i="1"/>
  <c r="K592" i="1" s="1"/>
  <c r="F588" i="1"/>
  <c r="K588" i="1" s="1"/>
  <c r="F473" i="1"/>
  <c r="K473" i="1" s="1"/>
  <c r="F486" i="1"/>
  <c r="K486" i="1" s="1"/>
  <c r="F499" i="1"/>
  <c r="K499" i="1" s="1"/>
  <c r="F500" i="1"/>
  <c r="K500" i="1" s="1"/>
  <c r="F502" i="1"/>
  <c r="K502" i="1" s="1"/>
  <c r="F503" i="1"/>
  <c r="K503" i="1" s="1"/>
  <c r="F538" i="1"/>
  <c r="K538" i="1" s="1"/>
  <c r="F293" i="1"/>
  <c r="K293" i="1" s="1"/>
  <c r="F534" i="1"/>
  <c r="K534" i="1" s="1"/>
  <c r="F557" i="1"/>
  <c r="K557" i="1" s="1"/>
  <c r="F568" i="1"/>
  <c r="K568" i="1" s="1"/>
  <c r="F582" i="1"/>
  <c r="K582" i="1" s="1"/>
  <c r="F584" i="1"/>
  <c r="K584" i="1" s="1"/>
  <c r="F594" i="1"/>
  <c r="K594" i="1" s="1"/>
  <c r="F467" i="1"/>
  <c r="K467" i="1" s="1"/>
  <c r="F469" i="1"/>
  <c r="K469" i="1" s="1"/>
  <c r="F495" i="1"/>
  <c r="K495" i="1" s="1"/>
  <c r="F514" i="1"/>
  <c r="K514" i="1" s="1"/>
  <c r="F552" i="1"/>
  <c r="K552" i="1" s="1"/>
  <c r="F580" i="1"/>
  <c r="K580" i="1" s="1"/>
  <c r="F583" i="1"/>
  <c r="K583" i="1" s="1"/>
  <c r="F478" i="1"/>
  <c r="K478" i="1" s="1"/>
  <c r="F492" i="1"/>
  <c r="K492" i="1" s="1"/>
  <c r="F546" i="1"/>
  <c r="K546" i="1" s="1"/>
  <c r="F549" i="1"/>
  <c r="K549" i="1" s="1"/>
  <c r="F449" i="1"/>
  <c r="K449" i="1" s="1"/>
  <c r="F501" i="1"/>
  <c r="K501" i="1" s="1"/>
  <c r="F507" i="1"/>
  <c r="K507" i="1" s="1"/>
  <c r="F561" i="1"/>
  <c r="K561" i="1" s="1"/>
  <c r="F579" i="1"/>
  <c r="K579" i="1" s="1"/>
  <c r="F462" i="1"/>
  <c r="K462" i="1" s="1"/>
  <c r="F533" i="1"/>
  <c r="K533" i="1" s="1"/>
  <c r="F554" i="1"/>
  <c r="K554" i="1" s="1"/>
  <c r="F474" i="1"/>
  <c r="K474" i="1" s="1"/>
  <c r="F480" i="1"/>
  <c r="K480" i="1" s="1"/>
  <c r="F529" i="1"/>
  <c r="K529" i="1" s="1"/>
  <c r="F453" i="1"/>
  <c r="K453" i="1" s="1"/>
  <c r="F445" i="1"/>
  <c r="K445" i="1" s="1"/>
  <c r="F498" i="1"/>
  <c r="K498" i="1" s="1"/>
  <c r="F536" i="1"/>
  <c r="K536" i="1" s="1"/>
  <c r="F504" i="1"/>
  <c r="K504" i="1" s="1"/>
  <c r="F431" i="1"/>
  <c r="K431" i="1" s="1"/>
  <c r="F532" i="1"/>
  <c r="K532" i="1" s="1"/>
  <c r="F437" i="1"/>
  <c r="K437" i="1" s="1"/>
  <c r="F441" i="1"/>
  <c r="K441" i="1" s="1"/>
  <c r="F405" i="1"/>
  <c r="K405" i="1" s="1"/>
  <c r="F395" i="1"/>
  <c r="K395" i="1" s="1"/>
  <c r="F443" i="1"/>
  <c r="K443" i="1" s="1"/>
  <c r="F456" i="1"/>
  <c r="K456" i="1" s="1"/>
  <c r="F418" i="1"/>
  <c r="K418" i="1" s="1"/>
  <c r="F337" i="1"/>
  <c r="K337" i="1" s="1"/>
  <c r="F411" i="1"/>
  <c r="K411" i="1" s="1"/>
  <c r="F387" i="1"/>
  <c r="K387" i="1" s="1"/>
  <c r="F299" i="1"/>
  <c r="K299" i="1" s="1"/>
  <c r="F209" i="1"/>
  <c r="K209" i="1" s="1"/>
  <c r="F210" i="1"/>
  <c r="K210" i="1" s="1"/>
  <c r="F430" i="1"/>
  <c r="K430" i="1" s="1"/>
  <c r="F522" i="1"/>
  <c r="K522" i="1" s="1"/>
  <c r="F508" i="1"/>
  <c r="K508" i="1" s="1"/>
  <c r="F448" i="1"/>
  <c r="K448" i="1" s="1"/>
  <c r="F645" i="1"/>
  <c r="K645" i="1" s="1"/>
  <c r="F564" i="1"/>
  <c r="K564" i="1" s="1"/>
  <c r="F650" i="1"/>
  <c r="K650" i="1" s="1"/>
  <c r="F421" i="1"/>
  <c r="K421" i="1" s="1"/>
  <c r="F535" i="1"/>
  <c r="K535" i="1" s="1"/>
  <c r="F520" i="1"/>
  <c r="K520" i="1" s="1"/>
  <c r="F625" i="1"/>
  <c r="K625" i="1" s="1"/>
  <c r="F528" i="1"/>
  <c r="K528" i="1" s="1"/>
  <c r="F630" i="1"/>
  <c r="K630" i="1" s="1"/>
  <c r="F572" i="1"/>
  <c r="K572" i="1" s="1"/>
  <c r="F609" i="1"/>
  <c r="K609" i="1" s="1"/>
  <c r="F489" i="1"/>
  <c r="K489" i="1" s="1"/>
  <c r="F555" i="1"/>
  <c r="K555" i="1" s="1"/>
  <c r="F558" i="1"/>
  <c r="K558" i="1" s="1"/>
  <c r="F637" i="1"/>
  <c r="K637" i="1" s="1"/>
  <c r="F668" i="1"/>
  <c r="K668" i="1" s="1"/>
  <c r="F575" i="1"/>
  <c r="K575" i="1" s="1"/>
  <c r="F662" i="1"/>
  <c r="K662" i="1" s="1"/>
  <c r="F638" i="1"/>
  <c r="K638" i="1" s="1"/>
  <c r="F639" i="1"/>
  <c r="K639" i="1" s="1"/>
  <c r="F640" i="1"/>
  <c r="K640" i="1" s="1"/>
  <c r="F642" i="1"/>
  <c r="K642" i="1" s="1"/>
  <c r="F643" i="1"/>
  <c r="K643" i="1" s="1"/>
  <c r="F641" i="1"/>
  <c r="K641" i="1" s="1"/>
  <c r="F665" i="1"/>
  <c r="K665" i="1" s="1"/>
  <c r="F680" i="1"/>
  <c r="K680" i="1" s="1"/>
  <c r="F611" i="1"/>
  <c r="K611" i="1" s="1"/>
  <c r="F634" i="1"/>
  <c r="K634" i="1" s="1"/>
  <c r="F648" i="1"/>
  <c r="K648" i="1" s="1"/>
  <c r="F657" i="1"/>
  <c r="K657" i="1" s="1"/>
  <c r="F537" i="1"/>
  <c r="K537" i="1" s="1"/>
  <c r="F649" i="1"/>
  <c r="K649" i="1" s="1"/>
  <c r="F601" i="1"/>
  <c r="K601" i="1" s="1"/>
  <c r="F604" i="1"/>
  <c r="K604" i="1" s="1"/>
  <c r="F624" i="1"/>
  <c r="K624" i="1" s="1"/>
  <c r="F607" i="1"/>
  <c r="K607" i="1" s="1"/>
  <c r="F666" i="1"/>
  <c r="K666" i="1" s="1"/>
  <c r="F631" i="1"/>
  <c r="K631" i="1" s="1"/>
  <c r="F664" i="1"/>
  <c r="K664" i="1" s="1"/>
  <c r="F667" i="1"/>
  <c r="K667" i="1" s="1"/>
  <c r="F698" i="1"/>
  <c r="K698" i="1" s="1"/>
  <c r="F700" i="1"/>
  <c r="K700" i="1" s="1"/>
  <c r="F699" i="1"/>
  <c r="K699" i="1" s="1"/>
  <c r="F618" i="1"/>
  <c r="K618" i="1" s="1"/>
  <c r="F655" i="1"/>
  <c r="K655" i="1" s="1"/>
  <c r="F682" i="1"/>
  <c r="K682" i="1" s="1"/>
  <c r="F697" i="1"/>
  <c r="K697" i="1" s="1"/>
  <c r="F703" i="1"/>
  <c r="K703" i="1" s="1"/>
  <c r="F654" i="1"/>
  <c r="K654" i="1" s="1"/>
  <c r="F672" i="1"/>
  <c r="K672" i="1" s="1"/>
  <c r="F677" i="1"/>
  <c r="K677" i="1" s="1"/>
  <c r="F691" i="1"/>
  <c r="K691" i="1" s="1"/>
  <c r="F695" i="1"/>
  <c r="K695" i="1" s="1"/>
  <c r="F616" i="1"/>
  <c r="K616" i="1" s="1"/>
  <c r="F619" i="1"/>
  <c r="K619" i="1" s="1"/>
  <c r="F628" i="1"/>
  <c r="K628" i="1" s="1"/>
  <c r="F636" i="1"/>
  <c r="K636" i="1" s="1"/>
  <c r="F651" i="1"/>
  <c r="K651" i="1" s="1"/>
  <c r="F660" i="1"/>
  <c r="K660" i="1" s="1"/>
  <c r="F674" i="1"/>
  <c r="K674" i="1" s="1"/>
  <c r="F675" i="1"/>
  <c r="K675" i="1" s="1"/>
  <c r="F676" i="1"/>
  <c r="K676" i="1" s="1"/>
  <c r="F679" i="1"/>
  <c r="K679" i="1" s="1"/>
  <c r="F684" i="1"/>
  <c r="K684" i="1" s="1"/>
  <c r="F687" i="1"/>
  <c r="K687" i="1" s="1"/>
  <c r="F623" i="1"/>
  <c r="K623" i="1" s="1"/>
  <c r="F633" i="1"/>
  <c r="K633" i="1" s="1"/>
  <c r="F632" i="1"/>
  <c r="K632" i="1" s="1"/>
  <c r="F629" i="1"/>
  <c r="K629" i="1" s="1"/>
  <c r="F644" i="1"/>
  <c r="K644" i="1" s="1"/>
  <c r="F653" i="1"/>
  <c r="K653" i="1" s="1"/>
  <c r="F661" i="1"/>
  <c r="K661" i="1" s="1"/>
  <c r="F683" i="1"/>
  <c r="K683" i="1" s="1"/>
  <c r="F689" i="1"/>
  <c r="K689" i="1" s="1"/>
  <c r="F704" i="1"/>
  <c r="K704" i="1" s="1"/>
  <c r="F707" i="1"/>
  <c r="K707" i="1" s="1"/>
  <c r="F718" i="1"/>
  <c r="K718" i="1" s="1"/>
  <c r="F717" i="1"/>
  <c r="K717" i="1" s="1"/>
  <c r="F620" i="1"/>
  <c r="K620" i="1" s="1"/>
  <c r="F622" i="1"/>
  <c r="K622" i="1" s="1"/>
  <c r="F626" i="1"/>
  <c r="K626" i="1" s="1"/>
  <c r="F646" i="1"/>
  <c r="K646" i="1" s="1"/>
  <c r="F647" i="1"/>
  <c r="K647" i="1" s="1"/>
  <c r="F659" i="1"/>
  <c r="K659" i="1" s="1"/>
  <c r="F671" i="1"/>
  <c r="K671" i="1" s="1"/>
  <c r="F670" i="1"/>
  <c r="K670" i="1" s="1"/>
  <c r="F673" i="1"/>
  <c r="K673" i="1" s="1"/>
  <c r="F681" i="1"/>
  <c r="K681" i="1" s="1"/>
  <c r="F688" i="1"/>
  <c r="K688" i="1" s="1"/>
  <c r="F686" i="1"/>
  <c r="K686" i="1" s="1"/>
  <c r="F685" i="1"/>
  <c r="K685" i="1" s="1"/>
  <c r="F692" i="1"/>
  <c r="K692" i="1" s="1"/>
  <c r="F701" i="1"/>
  <c r="K701" i="1" s="1"/>
  <c r="F709" i="1"/>
  <c r="K709" i="1" s="1"/>
  <c r="F710" i="1"/>
  <c r="K710" i="1" s="1"/>
  <c r="F715" i="1"/>
  <c r="K715" i="1" s="1"/>
  <c r="F716" i="1"/>
  <c r="K716" i="1" s="1"/>
  <c r="F722" i="1"/>
  <c r="K722" i="1" s="1"/>
  <c r="F712" i="1"/>
  <c r="K712" i="1" s="1"/>
  <c r="F723" i="1"/>
  <c r="K723" i="1" s="1"/>
  <c r="F711" i="1"/>
  <c r="K711" i="1" s="1"/>
  <c r="F658" i="1"/>
  <c r="K658" i="1" s="1"/>
  <c r="F724" i="1"/>
  <c r="K724" i="1" s="1"/>
  <c r="F727" i="1"/>
  <c r="K727" i="1" s="1"/>
  <c r="F669" i="1"/>
  <c r="K669" i="1" s="1"/>
  <c r="F714" i="1"/>
  <c r="K714" i="1" s="1"/>
  <c r="F731" i="1"/>
  <c r="K731" i="1" s="1"/>
  <c r="F720" i="1"/>
  <c r="K720" i="1" s="1"/>
  <c r="F740" i="1"/>
  <c r="K740" i="1" s="1"/>
  <c r="F721" i="1"/>
  <c r="K721" i="1" s="1"/>
  <c r="F702" i="1"/>
  <c r="K702" i="1" s="1"/>
  <c r="F729" i="1"/>
  <c r="K729" i="1" s="1"/>
  <c r="F735" i="1"/>
  <c r="K735" i="1" s="1"/>
  <c r="F746" i="1"/>
  <c r="K746" i="1" s="1"/>
  <c r="F656" i="1"/>
  <c r="K656" i="1" s="1"/>
  <c r="F748" i="1"/>
  <c r="K748" i="1" s="1"/>
  <c r="F725" i="1"/>
  <c r="K725" i="1" s="1"/>
  <c r="F754" i="1"/>
  <c r="K754" i="1" s="1"/>
  <c r="F753" i="1"/>
  <c r="K753" i="1" s="1"/>
  <c r="F708" i="1"/>
  <c r="K708" i="1" s="1"/>
  <c r="F743" i="1"/>
  <c r="K743" i="1" s="1"/>
  <c r="F726" i="1"/>
  <c r="K726" i="1" s="1"/>
  <c r="F756" i="1"/>
  <c r="K756" i="1" s="1"/>
  <c r="F741" i="1"/>
  <c r="K741" i="1" s="1"/>
  <c r="F728" i="1"/>
  <c r="K728" i="1" s="1"/>
  <c r="F758" i="1"/>
  <c r="K758" i="1" s="1"/>
  <c r="F737" i="1"/>
  <c r="K737" i="1" s="1"/>
  <c r="F736" i="1"/>
  <c r="K736" i="1" s="1"/>
  <c r="F696" i="1"/>
  <c r="K696" i="1" s="1"/>
  <c r="F761" i="1"/>
  <c r="K761" i="1" s="1"/>
  <c r="F760" i="1"/>
  <c r="K760" i="1" s="1"/>
  <c r="F734" i="1"/>
  <c r="K734" i="1" s="1"/>
  <c r="F733" i="1"/>
  <c r="K733" i="1" s="1"/>
  <c r="F599" i="1"/>
  <c r="K599" i="1" s="1"/>
  <c r="F751" i="1"/>
  <c r="K751" i="1" s="1"/>
  <c r="F749" i="1"/>
  <c r="K749" i="1" s="1"/>
  <c r="F744" i="1"/>
  <c r="K744" i="1" s="1"/>
  <c r="F732" i="1"/>
  <c r="K732" i="1" s="1"/>
  <c r="F766" i="1"/>
  <c r="K766" i="1" s="1"/>
  <c r="F764" i="1"/>
  <c r="K764" i="1" s="1"/>
  <c r="F742" i="1"/>
  <c r="K742" i="1" s="1"/>
  <c r="F769" i="1"/>
  <c r="K769" i="1" s="1"/>
  <c r="F768" i="1"/>
  <c r="K768" i="1" s="1"/>
  <c r="F772" i="1"/>
  <c r="K772" i="1" s="1"/>
  <c r="F454" i="1"/>
  <c r="K454" i="1" s="1"/>
  <c r="F775" i="1"/>
  <c r="K775" i="1" s="1"/>
  <c r="F730" i="1"/>
  <c r="K730" i="1" s="1"/>
  <c r="F778" i="1"/>
  <c r="K778" i="1" s="1"/>
  <c r="F779" i="1"/>
  <c r="K779" i="1" s="1"/>
  <c r="F780" i="1"/>
  <c r="K780" i="1" s="1"/>
  <c r="F663" i="1"/>
  <c r="K663" i="1" s="1"/>
  <c r="F750" i="1"/>
  <c r="K750" i="1" s="1"/>
  <c r="F771" i="1"/>
  <c r="K771" i="1" s="1"/>
  <c r="F785" i="1"/>
  <c r="K785" i="1" s="1"/>
  <c r="F739" i="1"/>
  <c r="K739" i="1" s="1"/>
  <c r="F790" i="1"/>
  <c r="K790" i="1" s="1"/>
  <c r="F788" i="1"/>
  <c r="K788" i="1" s="1"/>
  <c r="F752" i="1"/>
  <c r="K752" i="1" s="1"/>
  <c r="F773" i="1"/>
  <c r="K773" i="1" s="1"/>
  <c r="F762" i="1"/>
  <c r="K762" i="1" s="1"/>
  <c r="F608" i="1"/>
  <c r="K608" i="1" s="1"/>
  <c r="F781" i="1"/>
  <c r="K781" i="1" s="1"/>
  <c r="F770" i="1"/>
  <c r="K770" i="1" s="1"/>
  <c r="F791" i="1"/>
  <c r="K791" i="1" s="1"/>
  <c r="F787" i="1"/>
  <c r="K787" i="1" s="1"/>
  <c r="F765" i="1"/>
  <c r="K765" i="1" s="1"/>
  <c r="F678" i="1"/>
  <c r="K678" i="1" s="1"/>
  <c r="F783" i="1"/>
  <c r="K783" i="1" s="1"/>
  <c r="F789" i="1"/>
  <c r="K789" i="1" s="1"/>
  <c r="F795" i="1"/>
  <c r="K795" i="1" s="1"/>
  <c r="F796" i="1"/>
  <c r="K796" i="1" s="1"/>
  <c r="F797" i="1"/>
  <c r="K797" i="1" s="1"/>
  <c r="F767" i="1"/>
  <c r="K767" i="1" s="1"/>
  <c r="F782" i="1"/>
  <c r="K782" i="1" s="1"/>
  <c r="F652" i="1"/>
  <c r="K652" i="1" s="1"/>
  <c r="F799" i="1"/>
  <c r="K799" i="1" s="1"/>
  <c r="F776" i="1"/>
  <c r="K776" i="1" s="1"/>
  <c r="F777" i="1"/>
  <c r="K777" i="1" s="1"/>
  <c r="F745" i="1"/>
  <c r="K745" i="1" s="1"/>
  <c r="F794" i="1"/>
  <c r="K794" i="1" s="1"/>
  <c r="F801" i="1"/>
  <c r="K801" i="1" s="1"/>
  <c r="F793" i="1"/>
  <c r="K793" i="1" s="1"/>
  <c r="F810" i="1"/>
  <c r="K810" i="1" s="1"/>
  <c r="F807" i="1"/>
  <c r="K807" i="1" s="1"/>
  <c r="F805" i="1"/>
  <c r="K805" i="1" s="1"/>
  <c r="F802" i="1"/>
  <c r="K802" i="1" s="1"/>
  <c r="F812" i="1"/>
  <c r="K812" i="1" s="1"/>
  <c r="F798" i="1"/>
  <c r="K798" i="1" s="1"/>
  <c r="F811" i="1"/>
  <c r="K811" i="1" s="1"/>
  <c r="F706" i="1"/>
  <c r="K706" i="1" s="1"/>
  <c r="F816" i="1"/>
  <c r="K816" i="1" s="1"/>
  <c r="F817" i="1"/>
  <c r="K817" i="1" s="1"/>
  <c r="F809" i="1"/>
  <c r="K809" i="1" s="1"/>
  <c r="F804" i="1"/>
  <c r="K804" i="1" s="1"/>
  <c r="F803" i="1"/>
  <c r="K803" i="1" s="1"/>
  <c r="F808" i="1"/>
  <c r="K808" i="1" s="1"/>
  <c r="F820" i="1"/>
  <c r="K820" i="1" s="1"/>
  <c r="F822" i="1"/>
  <c r="K822" i="1" s="1"/>
  <c r="F800" i="1"/>
  <c r="K800" i="1" s="1"/>
  <c r="F821" i="1"/>
  <c r="K821" i="1" s="1"/>
  <c r="F792" i="1"/>
  <c r="K792" i="1" s="1"/>
  <c r="F819" i="1"/>
  <c r="K819" i="1" s="1"/>
  <c r="F738" i="1"/>
  <c r="K738" i="1" s="1"/>
  <c r="F635" i="1"/>
  <c r="K635" i="1" s="1"/>
  <c r="F824" i="1"/>
  <c r="K824" i="1" s="1"/>
  <c r="F693" i="1"/>
  <c r="K693" i="1" s="1"/>
  <c r="F806" i="1"/>
  <c r="K806" i="1" s="1"/>
  <c r="F786" i="1"/>
  <c r="K786" i="1" s="1"/>
  <c r="F831" i="1"/>
  <c r="K831" i="1" s="1"/>
  <c r="F759" i="1"/>
  <c r="K759" i="1" s="1"/>
  <c r="F813" i="1"/>
  <c r="K813" i="1" s="1"/>
  <c r="F814" i="1"/>
  <c r="K814" i="1" s="1"/>
  <c r="F823" i="1"/>
  <c r="K823" i="1" s="1"/>
  <c r="F755" i="1"/>
  <c r="K755" i="1" s="1"/>
  <c r="F747" i="1"/>
  <c r="K747" i="1" s="1"/>
  <c r="F757" i="1"/>
  <c r="K757" i="1" s="1"/>
  <c r="F784" i="1"/>
  <c r="K784" i="1" s="1"/>
  <c r="F827" i="1"/>
  <c r="K827" i="1" s="1"/>
  <c r="F828" i="1"/>
  <c r="K828" i="1" s="1"/>
  <c r="F829" i="1"/>
  <c r="K829" i="1" s="1"/>
  <c r="F830" i="1"/>
  <c r="K830" i="1" s="1"/>
  <c r="F834" i="1"/>
  <c r="K834" i="1" s="1"/>
  <c r="F837" i="1"/>
  <c r="K837" i="1" s="1"/>
  <c r="F838" i="1"/>
  <c r="K838" i="1" s="1"/>
  <c r="F818" i="1"/>
  <c r="K818" i="1" s="1"/>
  <c r="F826" i="1"/>
  <c r="K826" i="1" s="1"/>
  <c r="F835" i="1"/>
  <c r="K835" i="1" s="1"/>
  <c r="F833" i="1"/>
  <c r="K833" i="1" s="1"/>
  <c r="F832" i="1"/>
  <c r="K832" i="1" s="1"/>
  <c r="F815" i="1"/>
  <c r="K815" i="1" s="1"/>
  <c r="F763" i="1"/>
  <c r="K763" i="1" s="1"/>
  <c r="F825" i="1"/>
  <c r="K825" i="1" s="1"/>
  <c r="F842" i="1"/>
  <c r="K842" i="1" s="1"/>
  <c r="F844" i="1"/>
  <c r="K844" i="1" s="1"/>
  <c r="F850" i="1"/>
  <c r="K850" i="1" s="1"/>
  <c r="F853" i="1"/>
  <c r="K853" i="1" s="1"/>
  <c r="F855" i="1"/>
  <c r="K855" i="1" s="1"/>
  <c r="F839" i="1"/>
  <c r="K839" i="1" s="1"/>
  <c r="F840" i="1"/>
  <c r="K840" i="1" s="1"/>
  <c r="F841" i="1"/>
  <c r="K841" i="1" s="1"/>
  <c r="F861" i="1"/>
  <c r="K861" i="1" s="1"/>
  <c r="F864" i="1"/>
  <c r="K864" i="1" s="1"/>
  <c r="F857" i="1"/>
  <c r="K857" i="1" s="1"/>
  <c r="F854" i="1"/>
  <c r="K854" i="1" s="1"/>
  <c r="F863" i="1"/>
  <c r="K863" i="1" s="1"/>
  <c r="F856" i="1"/>
  <c r="K856" i="1" s="1"/>
  <c r="F866" i="1"/>
  <c r="K866" i="1" s="1"/>
  <c r="F865" i="1"/>
  <c r="K865" i="1" s="1"/>
  <c r="F843" i="1"/>
  <c r="K843" i="1" s="1"/>
  <c r="F862" i="1"/>
  <c r="K862" i="1" s="1"/>
  <c r="F871" i="1"/>
  <c r="K871" i="1" s="1"/>
  <c r="F869" i="1"/>
  <c r="K869" i="1" s="1"/>
  <c r="F836" i="1"/>
  <c r="K836" i="1" s="1"/>
  <c r="F877" i="1"/>
  <c r="K877" i="1" s="1"/>
  <c r="F874" i="1"/>
  <c r="K874" i="1" s="1"/>
  <c r="F719" i="1"/>
  <c r="K719" i="1" s="1"/>
  <c r="F880" i="1"/>
  <c r="K880" i="1" s="1"/>
  <c r="F870" i="1"/>
  <c r="K870" i="1" s="1"/>
  <c r="F774" i="1"/>
  <c r="K774" i="1" s="1"/>
  <c r="F713" i="1"/>
  <c r="K713" i="1" s="1"/>
  <c r="F882" i="1"/>
  <c r="K882" i="1" s="1"/>
  <c r="F883" i="1"/>
  <c r="K883" i="1" s="1"/>
  <c r="F879" i="1"/>
  <c r="K879" i="1" s="1"/>
  <c r="F885" i="1"/>
  <c r="K885" i="1" s="1"/>
  <c r="F860" i="1"/>
  <c r="K860" i="1" s="1"/>
  <c r="F859" i="1"/>
  <c r="K859" i="1" s="1"/>
  <c r="F852" i="1"/>
  <c r="K852" i="1" s="1"/>
  <c r="F887" i="1"/>
  <c r="K887" i="1" s="1"/>
  <c r="F889" i="1"/>
  <c r="K889" i="1" s="1"/>
  <c r="F888" i="1"/>
  <c r="K888" i="1" s="1"/>
  <c r="F881" i="1"/>
  <c r="K881" i="1" s="1"/>
  <c r="F890" i="1"/>
  <c r="K890" i="1" s="1"/>
  <c r="F891" i="1"/>
  <c r="K891" i="1" s="1"/>
  <c r="F873" i="1"/>
  <c r="K873" i="1" s="1"/>
  <c r="F845" i="1"/>
  <c r="K845" i="1" s="1"/>
  <c r="F846" i="1"/>
  <c r="K846" i="1" s="1"/>
  <c r="F847" i="1"/>
  <c r="K847" i="1" s="1"/>
  <c r="F848" i="1"/>
  <c r="K848" i="1" s="1"/>
  <c r="F849" i="1"/>
  <c r="K849" i="1" s="1"/>
  <c r="F893" i="1"/>
  <c r="K893" i="1" s="1"/>
  <c r="F898" i="1"/>
  <c r="K898" i="1" s="1"/>
  <c r="F900" i="1"/>
  <c r="K900" i="1" s="1"/>
  <c r="F899" i="1"/>
  <c r="K899" i="1" s="1"/>
  <c r="F886" i="1"/>
  <c r="K886" i="1" s="1"/>
  <c r="F525" i="1"/>
  <c r="K525" i="1" s="1"/>
  <c r="F903" i="1"/>
  <c r="K903" i="1" s="1"/>
  <c r="F908" i="1"/>
  <c r="K908" i="1" s="1"/>
  <c r="F909" i="1"/>
  <c r="K909" i="1" s="1"/>
  <c r="F905" i="1"/>
  <c r="K905" i="1" s="1"/>
  <c r="F916" i="1"/>
  <c r="K916" i="1" s="1"/>
  <c r="F901" i="1"/>
  <c r="K901" i="1" s="1"/>
  <c r="F906" i="1"/>
  <c r="K906" i="1" s="1"/>
  <c r="F902" i="1"/>
  <c r="K902" i="1" s="1"/>
  <c r="F920" i="1"/>
  <c r="K920" i="1" s="1"/>
  <c r="F878" i="1"/>
  <c r="K878" i="1" s="1"/>
  <c r="F914" i="1"/>
  <c r="K914" i="1" s="1"/>
  <c r="F910" i="1"/>
  <c r="K910" i="1" s="1"/>
  <c r="F872" i="1"/>
  <c r="K872" i="1" s="1"/>
  <c r="F896" i="1"/>
  <c r="K896" i="1" s="1"/>
  <c r="F897" i="1"/>
  <c r="K897" i="1" s="1"/>
  <c r="F876" i="1"/>
  <c r="K876" i="1" s="1"/>
  <c r="F895" i="1"/>
  <c r="K895" i="1" s="1"/>
  <c r="F918" i="1"/>
  <c r="K918" i="1" s="1"/>
  <c r="F919" i="1"/>
  <c r="K919" i="1" s="1"/>
  <c r="F911" i="1"/>
  <c r="K911" i="1" s="1"/>
  <c r="F922" i="1"/>
  <c r="K922" i="1" s="1"/>
  <c r="F915" i="1"/>
  <c r="K915" i="1" s="1"/>
  <c r="F907" i="1"/>
  <c r="K907" i="1" s="1"/>
  <c r="F927" i="1"/>
  <c r="K927" i="1" s="1"/>
  <c r="F884" i="1"/>
  <c r="K884" i="1" s="1"/>
  <c r="F928" i="1"/>
  <c r="K928" i="1" s="1"/>
  <c r="F912" i="1"/>
  <c r="K912" i="1" s="1"/>
  <c r="F931" i="1"/>
  <c r="K931" i="1" s="1"/>
  <c r="F926" i="1"/>
  <c r="K926" i="1" s="1"/>
  <c r="F929" i="1"/>
  <c r="K929" i="1" s="1"/>
  <c r="F939" i="1"/>
  <c r="K939" i="1" s="1"/>
  <c r="F930" i="1"/>
  <c r="K930" i="1" s="1"/>
  <c r="F690" i="1"/>
  <c r="K690" i="1" s="1"/>
  <c r="F913" i="1"/>
  <c r="K913" i="1" s="1"/>
  <c r="F935" i="1"/>
  <c r="K935" i="1" s="1"/>
  <c r="F921" i="1"/>
  <c r="K921" i="1" s="1"/>
  <c r="F940" i="1"/>
  <c r="K940" i="1" s="1"/>
  <c r="F892" i="1"/>
  <c r="K892" i="1" s="1"/>
  <c r="F904" i="1"/>
  <c r="K904" i="1" s="1"/>
  <c r="F925" i="1"/>
  <c r="K925" i="1" s="1"/>
  <c r="F868" i="1"/>
  <c r="K868" i="1" s="1"/>
  <c r="F941" i="1"/>
  <c r="K941" i="1" s="1"/>
  <c r="F937" i="1"/>
  <c r="K937" i="1" s="1"/>
  <c r="F934" i="1"/>
  <c r="K934" i="1" s="1"/>
  <c r="F932" i="1"/>
  <c r="K932" i="1" s="1"/>
  <c r="F923" i="1"/>
  <c r="K923" i="1" s="1"/>
  <c r="F924" i="1"/>
  <c r="K924" i="1" s="1"/>
  <c r="F875" i="1"/>
  <c r="K875" i="1" s="1"/>
  <c r="F938" i="1"/>
  <c r="K938" i="1" s="1"/>
  <c r="F894" i="1"/>
  <c r="K894" i="1" s="1"/>
  <c r="F627" i="1"/>
  <c r="K627" i="1" s="1"/>
  <c r="F917" i="1"/>
  <c r="K917" i="1" s="1"/>
  <c r="F867" i="1"/>
  <c r="K867" i="1" s="1"/>
  <c r="F694" i="1"/>
  <c r="K694" i="1" s="1"/>
  <c r="F858" i="1"/>
  <c r="K858" i="1" s="1"/>
  <c r="F936" i="1"/>
  <c r="K936" i="1" s="1"/>
  <c r="F943" i="1"/>
  <c r="K943" i="1" s="1"/>
  <c r="F946" i="1"/>
  <c r="K946" i="1" s="1"/>
  <c r="F953" i="1"/>
  <c r="K953" i="1" s="1"/>
  <c r="F957" i="1"/>
  <c r="K957" i="1" s="1"/>
  <c r="F947" i="1"/>
  <c r="K947" i="1" s="1"/>
  <c r="F956" i="1"/>
  <c r="K956" i="1" s="1"/>
  <c r="F596" i="1"/>
  <c r="K596" i="1" s="1"/>
  <c r="F958" i="1"/>
  <c r="K958" i="1" s="1"/>
  <c r="F959" i="1"/>
  <c r="K959" i="1" s="1"/>
  <c r="F960" i="1"/>
  <c r="K960" i="1" s="1"/>
  <c r="F962" i="1"/>
  <c r="K962" i="1" s="1"/>
  <c r="F963" i="1"/>
  <c r="K963" i="1" s="1"/>
  <c r="F705" i="1"/>
  <c r="K705" i="1" s="1"/>
  <c r="F942" i="1"/>
  <c r="K942" i="1" s="1"/>
  <c r="F955" i="1"/>
  <c r="K955" i="1" s="1"/>
  <c r="F961" i="1"/>
  <c r="K961" i="1" s="1"/>
  <c r="F973" i="1"/>
  <c r="K973" i="1" s="1"/>
  <c r="F967" i="1"/>
  <c r="K967" i="1" s="1"/>
  <c r="F970" i="1"/>
  <c r="K970" i="1" s="1"/>
  <c r="F965" i="1"/>
  <c r="K965" i="1" s="1"/>
  <c r="F968" i="1"/>
  <c r="K968" i="1" s="1"/>
  <c r="F952" i="1"/>
  <c r="K952" i="1" s="1"/>
  <c r="F980" i="1"/>
  <c r="K980" i="1" s="1"/>
  <c r="F981" i="1"/>
  <c r="K981" i="1" s="1"/>
  <c r="F975" i="1"/>
  <c r="K975" i="1" s="1"/>
  <c r="F983" i="1"/>
  <c r="K983" i="1" s="1"/>
  <c r="F950" i="1"/>
  <c r="K950" i="1" s="1"/>
  <c r="F948" i="1"/>
  <c r="K948" i="1" s="1"/>
  <c r="F951" i="1"/>
  <c r="K951" i="1" s="1"/>
  <c r="F985" i="1"/>
  <c r="K985" i="1" s="1"/>
  <c r="F978" i="1"/>
  <c r="K978" i="1" s="1"/>
  <c r="F944" i="1"/>
  <c r="K944" i="1" s="1"/>
  <c r="F982" i="1"/>
  <c r="K982" i="1" s="1"/>
  <c r="F986" i="1"/>
  <c r="K986" i="1" s="1"/>
  <c r="F974" i="1"/>
  <c r="K974" i="1" s="1"/>
  <c r="F988" i="1"/>
  <c r="K988" i="1" s="1"/>
  <c r="F984" i="1"/>
  <c r="K984" i="1" s="1"/>
  <c r="F964" i="1"/>
  <c r="K964" i="1" s="1"/>
  <c r="F969" i="1"/>
  <c r="K969" i="1" s="1"/>
  <c r="F972" i="1"/>
  <c r="K972" i="1" s="1"/>
  <c r="F993" i="1"/>
  <c r="K993" i="1" s="1"/>
  <c r="F989" i="1"/>
  <c r="K989" i="1" s="1"/>
  <c r="F998" i="1"/>
  <c r="K998" i="1" s="1"/>
  <c r="F440" i="1"/>
  <c r="K440" i="1" s="1"/>
  <c r="F992" i="1"/>
  <c r="K992" i="1" s="1"/>
  <c r="F996" i="1"/>
  <c r="K996" i="1" s="1"/>
  <c r="F997" i="1"/>
  <c r="K997" i="1" s="1"/>
  <c r="F999" i="1"/>
  <c r="K999" i="1" s="1"/>
  <c r="F979" i="1"/>
  <c r="K979" i="1" s="1"/>
  <c r="F976" i="1"/>
  <c r="K976" i="1" s="1"/>
  <c r="F977" i="1"/>
  <c r="K977" i="1" s="1"/>
  <c r="F994" i="1"/>
  <c r="K994" i="1" s="1"/>
  <c r="F971" i="1"/>
  <c r="K971" i="1" s="1"/>
  <c r="F945" i="1"/>
  <c r="K945" i="1" s="1"/>
  <c r="F995" i="1"/>
  <c r="K995" i="1" s="1"/>
  <c r="F933" i="1"/>
  <c r="K933" i="1" s="1"/>
  <c r="F1005" i="1"/>
  <c r="K1005" i="1" s="1"/>
  <c r="F1003" i="1"/>
  <c r="K1003" i="1" s="1"/>
  <c r="F1009" i="1"/>
  <c r="K1009" i="1" s="1"/>
  <c r="F1008" i="1"/>
  <c r="K1008" i="1" s="1"/>
  <c r="F1001" i="1"/>
  <c r="K1001" i="1" s="1"/>
  <c r="F1007" i="1"/>
  <c r="K1007" i="1" s="1"/>
  <c r="F1002" i="1"/>
  <c r="K1002" i="1" s="1"/>
  <c r="F1016" i="1"/>
  <c r="K1016" i="1" s="1"/>
  <c r="F1011" i="1"/>
  <c r="K1011" i="1" s="1"/>
  <c r="F1012" i="1"/>
  <c r="K1012" i="1" s="1"/>
  <c r="F949" i="1"/>
  <c r="K949" i="1" s="1"/>
  <c r="F1014" i="1"/>
  <c r="K1014" i="1" s="1"/>
  <c r="F1017" i="1"/>
  <c r="K1017" i="1" s="1"/>
  <c r="F1018" i="1"/>
  <c r="K1018" i="1" s="1"/>
  <c r="F1019" i="1"/>
  <c r="K1019" i="1" s="1"/>
  <c r="F1021" i="1"/>
  <c r="K1021" i="1" s="1"/>
  <c r="F1026" i="1"/>
  <c r="K1026" i="1" s="1"/>
  <c r="F991" i="1"/>
  <c r="K991" i="1" s="1"/>
  <c r="F1024" i="1"/>
  <c r="K1024" i="1" s="1"/>
  <c r="F1025" i="1"/>
  <c r="K1025" i="1" s="1"/>
  <c r="F851" i="1"/>
  <c r="K851" i="1" s="1"/>
  <c r="F1027" i="1"/>
  <c r="K1027" i="1" s="1"/>
  <c r="F1032" i="1"/>
  <c r="K1032" i="1" s="1"/>
  <c r="F1029" i="1"/>
  <c r="K1029" i="1" s="1"/>
  <c r="F1031" i="1"/>
  <c r="K1031" i="1" s="1"/>
  <c r="F1015" i="1"/>
  <c r="K1015" i="1" s="1"/>
  <c r="F1036" i="1"/>
  <c r="K1036" i="1" s="1"/>
  <c r="F1023" i="1"/>
  <c r="K1023" i="1" s="1"/>
  <c r="F987" i="1"/>
  <c r="K987" i="1" s="1"/>
  <c r="F1013" i="1"/>
  <c r="K1013" i="1" s="1"/>
  <c r="F1028" i="1"/>
  <c r="K1028" i="1" s="1"/>
  <c r="F1045" i="1"/>
  <c r="K1045" i="1" s="1"/>
  <c r="F1037" i="1"/>
  <c r="K1037" i="1" s="1"/>
  <c r="F1033" i="1"/>
  <c r="K1033" i="1" s="1"/>
  <c r="F1044" i="1"/>
  <c r="K1044" i="1" s="1"/>
  <c r="F1035" i="1"/>
  <c r="K1035" i="1" s="1"/>
  <c r="F1041" i="1"/>
  <c r="K1041" i="1" s="1"/>
  <c r="F954" i="1"/>
  <c r="K954" i="1" s="1"/>
  <c r="F1000" i="1"/>
  <c r="K1000" i="1" s="1"/>
  <c r="F1004" i="1"/>
  <c r="K1004" i="1" s="1"/>
  <c r="F1006" i="1"/>
  <c r="K1006" i="1" s="1"/>
  <c r="F1030" i="1"/>
  <c r="K1030" i="1" s="1"/>
  <c r="F1034" i="1"/>
  <c r="K1034" i="1" s="1"/>
  <c r="F1042" i="1"/>
  <c r="K1042" i="1" s="1"/>
  <c r="F1043" i="1"/>
  <c r="K1043" i="1" s="1"/>
  <c r="F1046" i="1"/>
  <c r="K1046" i="1" s="1"/>
  <c r="F1048" i="1"/>
  <c r="K1048" i="1" s="1"/>
  <c r="F966" i="1"/>
  <c r="K966" i="1" s="1"/>
  <c r="F1038" i="1"/>
  <c r="K1038" i="1" s="1"/>
  <c r="F1054" i="1"/>
  <c r="K1054" i="1" s="1"/>
  <c r="F1010" i="1"/>
  <c r="K1010" i="1" s="1"/>
  <c r="F1051" i="1"/>
  <c r="K1051" i="1" s="1"/>
  <c r="F1056" i="1"/>
  <c r="K1056" i="1" s="1"/>
  <c r="F1039" i="1"/>
  <c r="K1039" i="1" s="1"/>
  <c r="F990" i="1"/>
  <c r="K990" i="1" s="1"/>
  <c r="F1052" i="1"/>
  <c r="K1052" i="1" s="1"/>
  <c r="F1020" i="1"/>
  <c r="K1020" i="1" s="1"/>
  <c r="F1022" i="1"/>
  <c r="K1022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1" i="1"/>
  <c r="K621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5" i="1"/>
  <c r="K1255" i="1" s="1"/>
  <c r="F1225" i="1"/>
  <c r="K1225" i="1" s="1"/>
  <c r="F1237" i="1"/>
  <c r="K1237" i="1" s="1"/>
  <c r="F1251" i="1"/>
  <c r="K1251" i="1" s="1"/>
  <c r="F1262" i="1"/>
  <c r="K1262" i="1" s="1"/>
  <c r="F1267" i="1"/>
  <c r="K1267" i="1" s="1"/>
  <c r="F1269" i="1"/>
  <c r="K1269" i="1" s="1"/>
  <c r="F1270" i="1"/>
  <c r="K1270" i="1" s="1"/>
  <c r="F1271" i="1"/>
  <c r="K1271" i="1" s="1"/>
  <c r="F1274" i="1"/>
  <c r="K1274" i="1" s="1"/>
  <c r="F1277" i="1"/>
  <c r="K1277" i="1" s="1"/>
  <c r="F1278" i="1"/>
  <c r="K1278" i="1" s="1"/>
  <c r="F1257" i="1"/>
  <c r="K1257" i="1" s="1"/>
  <c r="F1272" i="1"/>
  <c r="K1272" i="1" s="1"/>
  <c r="F1276" i="1"/>
  <c r="K1276" i="1" s="1"/>
  <c r="F1232" i="1"/>
  <c r="K1232" i="1" s="1"/>
  <c r="F1239" i="1"/>
  <c r="K1239" i="1" s="1"/>
  <c r="F1254" i="1"/>
  <c r="K1254" i="1" s="1"/>
  <c r="F1258" i="1"/>
  <c r="K1258" i="1" s="1"/>
  <c r="F1259" i="1"/>
  <c r="K1259" i="1" s="1"/>
  <c r="F1260" i="1"/>
  <c r="K1260" i="1" s="1"/>
  <c r="F1266" i="1"/>
  <c r="K1266" i="1" s="1"/>
  <c r="F1268" i="1"/>
  <c r="K1268" i="1" s="1"/>
  <c r="F1275" i="1"/>
  <c r="K1275" i="1" s="1"/>
  <c r="F1283" i="1"/>
  <c r="K1283" i="1" s="1"/>
  <c r="F1286" i="1"/>
  <c r="K1286" i="1" s="1"/>
  <c r="F1287" i="1"/>
  <c r="K1287" i="1" s="1"/>
  <c r="F1264" i="1"/>
  <c r="K1264" i="1" s="1"/>
  <c r="F1279" i="1"/>
  <c r="K1279" i="1" s="1"/>
  <c r="F1282" i="1"/>
  <c r="K1282" i="1" s="1"/>
  <c r="F1248" i="1"/>
  <c r="K1248" i="1" s="1"/>
  <c r="F1265" i="1"/>
  <c r="K1265" i="1" s="1"/>
  <c r="F1273" i="1"/>
  <c r="K1273" i="1" s="1"/>
  <c r="F1285" i="1"/>
  <c r="K1285" i="1" s="1"/>
  <c r="F1289" i="1"/>
  <c r="K1289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6" i="1"/>
  <c r="K1256" i="1" s="1"/>
  <c r="F1261" i="1"/>
  <c r="K1261" i="1" s="1"/>
  <c r="F1263" i="1"/>
  <c r="K1263" i="1" s="1"/>
  <c r="F1284" i="1"/>
  <c r="K1284" i="1" s="1"/>
  <c r="F1288" i="1"/>
  <c r="K1288" i="1" s="1"/>
  <c r="F1291" i="1"/>
  <c r="K1291" i="1" s="1"/>
  <c r="F1293" i="1"/>
  <c r="K1293" i="1" s="1"/>
  <c r="F1295" i="1"/>
  <c r="K1295" i="1" s="1"/>
  <c r="F1299" i="1"/>
  <c r="K1299" i="1" s="1"/>
  <c r="J1256" i="1" l="1"/>
  <c r="J1295" i="1"/>
  <c r="J776" i="1"/>
  <c r="J1197" i="1"/>
  <c r="J1046" i="1"/>
  <c r="J954" i="1"/>
  <c r="J828" i="1"/>
  <c r="J1230" i="1"/>
  <c r="J1043" i="1"/>
  <c r="J827" i="1"/>
  <c r="J1263" i="1"/>
  <c r="J1228" i="1"/>
  <c r="J1105" i="1"/>
  <c r="J1261" i="1"/>
  <c r="J1227" i="1"/>
  <c r="J1034" i="1"/>
  <c r="J838" i="1"/>
  <c r="J1030" i="1"/>
  <c r="J1180" i="1"/>
  <c r="J1006" i="1"/>
  <c r="J1172" i="1"/>
  <c r="J1004" i="1"/>
  <c r="J830" i="1"/>
  <c r="J1291" i="1"/>
  <c r="J1137" i="1"/>
  <c r="J1000" i="1"/>
  <c r="J858" i="1"/>
  <c r="J829" i="1"/>
  <c r="J747" i="1"/>
  <c r="J784" i="1"/>
  <c r="J1232" i="1"/>
  <c r="J1202" i="1"/>
  <c r="J1099" i="1"/>
  <c r="J990" i="1"/>
  <c r="J596" i="1"/>
  <c r="J924" i="1"/>
  <c r="J904" i="1"/>
  <c r="J846" i="1"/>
  <c r="J713" i="1"/>
  <c r="J635" i="1"/>
  <c r="J1248" i="1"/>
  <c r="J1198" i="1"/>
  <c r="J1144" i="1"/>
  <c r="J1068" i="1"/>
  <c r="J621" i="1"/>
  <c r="J945" i="1"/>
  <c r="J694" i="1"/>
  <c r="J923" i="1"/>
  <c r="J892" i="1"/>
  <c r="J845" i="1"/>
  <c r="J852" i="1"/>
  <c r="J738" i="1"/>
  <c r="J745" i="1"/>
  <c r="J739" i="1"/>
  <c r="J730" i="1"/>
  <c r="J656" i="1"/>
  <c r="J624" i="1"/>
  <c r="J611" i="1"/>
  <c r="J638" i="1"/>
  <c r="J609" i="1"/>
  <c r="J209" i="1"/>
  <c r="J395" i="1"/>
  <c r="J498" i="1"/>
  <c r="J462" i="1"/>
  <c r="J297" i="1"/>
  <c r="J634" i="1"/>
  <c r="J639" i="1"/>
  <c r="J489" i="1"/>
  <c r="J421" i="1"/>
  <c r="J210" i="1"/>
  <c r="J443" i="1"/>
  <c r="J536" i="1"/>
  <c r="J533" i="1"/>
  <c r="J370" i="1"/>
  <c r="J213" i="1"/>
  <c r="J288" i="1"/>
  <c r="J227" i="1"/>
  <c r="J116" i="1"/>
  <c r="J9" i="1"/>
  <c r="J5" i="1"/>
  <c r="J241" i="1"/>
  <c r="J139" i="1"/>
  <c r="J132" i="1"/>
  <c r="J163" i="1"/>
  <c r="J117" i="1"/>
  <c r="J107" i="1"/>
  <c r="J7" i="1"/>
  <c r="J8" i="1"/>
  <c r="J564" i="1"/>
  <c r="J299" i="1"/>
  <c r="J405" i="1"/>
  <c r="J310" i="1"/>
  <c r="J269" i="1"/>
  <c r="J232" i="1"/>
  <c r="J183" i="1"/>
  <c r="J6" i="1"/>
  <c r="J851" i="1"/>
  <c r="J579" i="1"/>
  <c r="J1193" i="1"/>
  <c r="J1113" i="1"/>
  <c r="J1053" i="1"/>
  <c r="J1040" i="1"/>
  <c r="J440" i="1"/>
  <c r="J917" i="1"/>
  <c r="J860" i="1"/>
  <c r="J792" i="1"/>
  <c r="J608" i="1"/>
  <c r="J454" i="1"/>
  <c r="J696" i="1"/>
  <c r="J669" i="1"/>
  <c r="J601" i="1"/>
  <c r="J665" i="1"/>
  <c r="J575" i="1"/>
  <c r="J630" i="1"/>
  <c r="J645" i="1"/>
  <c r="J387" i="1"/>
  <c r="J441" i="1"/>
  <c r="J453" i="1"/>
  <c r="J364" i="1"/>
  <c r="J419" i="1"/>
  <c r="J365" i="1"/>
  <c r="J289" i="1"/>
  <c r="J322" i="1"/>
  <c r="J298" i="1"/>
  <c r="J220" i="1"/>
  <c r="J187" i="1"/>
  <c r="J160" i="1"/>
  <c r="J146" i="1"/>
  <c r="J127" i="1"/>
  <c r="J4" i="1"/>
  <c r="J1107" i="1"/>
  <c r="J604" i="1"/>
  <c r="J1186" i="1"/>
  <c r="J1055" i="1"/>
  <c r="J1141" i="1"/>
  <c r="J1049" i="1"/>
  <c r="J1057" i="1"/>
  <c r="J1010" i="1"/>
  <c r="J949" i="1"/>
  <c r="J977" i="1"/>
  <c r="J627" i="1"/>
  <c r="J719" i="1"/>
  <c r="J786" i="1"/>
  <c r="J708" i="1"/>
  <c r="J641" i="1"/>
  <c r="J668" i="1"/>
  <c r="J528" i="1"/>
  <c r="J448" i="1"/>
  <c r="J411" i="1"/>
  <c r="J437" i="1"/>
  <c r="J529" i="1"/>
  <c r="J507" i="1"/>
  <c r="J396" i="1"/>
  <c r="J415" i="1"/>
  <c r="J374" i="1"/>
  <c r="J354" i="1"/>
  <c r="J325" i="1"/>
  <c r="J296" i="1"/>
  <c r="J303" i="1"/>
  <c r="J302" i="1"/>
  <c r="J199" i="1"/>
  <c r="J171" i="1"/>
  <c r="J154" i="1"/>
  <c r="J867" i="1"/>
  <c r="J445" i="1"/>
  <c r="J1078" i="1"/>
  <c r="J1164" i="1"/>
  <c r="J1079" i="1"/>
  <c r="J1106" i="1"/>
  <c r="J1022" i="1"/>
  <c r="J991" i="1"/>
  <c r="J976" i="1"/>
  <c r="J878" i="1"/>
  <c r="J849" i="1"/>
  <c r="J763" i="1"/>
  <c r="J652" i="1"/>
  <c r="J678" i="1"/>
  <c r="J663" i="1"/>
  <c r="J702" i="1"/>
  <c r="J537" i="1"/>
  <c r="J643" i="1"/>
  <c r="J637" i="1"/>
  <c r="J625" i="1"/>
  <c r="J508" i="1"/>
  <c r="J337" i="1"/>
  <c r="J532" i="1"/>
  <c r="J480" i="1"/>
  <c r="J501" i="1"/>
  <c r="J398" i="1"/>
  <c r="J274" i="1"/>
  <c r="J313" i="1"/>
  <c r="J268" i="1"/>
  <c r="J256" i="1"/>
  <c r="J197" i="1"/>
  <c r="J115" i="1"/>
  <c r="J1080" i="1"/>
  <c r="J987" i="1"/>
  <c r="J872" i="1"/>
  <c r="J572" i="1"/>
  <c r="J1226" i="1"/>
  <c r="J1203" i="1"/>
  <c r="J1138" i="1"/>
  <c r="J1157" i="1"/>
  <c r="J1128" i="1"/>
  <c r="J1139" i="1"/>
  <c r="J1065" i="1"/>
  <c r="J1020" i="1"/>
  <c r="J979" i="1"/>
  <c r="J868" i="1"/>
  <c r="J690" i="1"/>
  <c r="J884" i="1"/>
  <c r="J848" i="1"/>
  <c r="J755" i="1"/>
  <c r="J693" i="1"/>
  <c r="J706" i="1"/>
  <c r="J599" i="1"/>
  <c r="J658" i="1"/>
  <c r="J657" i="1"/>
  <c r="J642" i="1"/>
  <c r="J558" i="1"/>
  <c r="J520" i="1"/>
  <c r="J522" i="1"/>
  <c r="J418" i="1"/>
  <c r="J431" i="1"/>
  <c r="J474" i="1"/>
  <c r="J449" i="1"/>
  <c r="J282" i="1"/>
  <c r="J186" i="1"/>
  <c r="J292" i="1"/>
  <c r="J306" i="1"/>
  <c r="J157" i="1"/>
  <c r="J242" i="1"/>
  <c r="J193" i="1"/>
  <c r="J212" i="1"/>
  <c r="J202" i="1"/>
  <c r="J179" i="1"/>
  <c r="J152" i="1"/>
  <c r="J106" i="1"/>
  <c r="J3" i="1"/>
  <c r="J12" i="1"/>
  <c r="J971" i="1"/>
  <c r="J705" i="1"/>
  <c r="J759" i="1"/>
  <c r="J680" i="1"/>
  <c r="J1159" i="1"/>
  <c r="J1047" i="1"/>
  <c r="J966" i="1"/>
  <c r="J933" i="1"/>
  <c r="J944" i="1"/>
  <c r="J875" i="1"/>
  <c r="J876" i="1"/>
  <c r="J525" i="1"/>
  <c r="J847" i="1"/>
  <c r="J836" i="1"/>
  <c r="J767" i="1"/>
  <c r="J648" i="1"/>
  <c r="J640" i="1"/>
  <c r="J555" i="1"/>
  <c r="J535" i="1"/>
  <c r="J430" i="1"/>
  <c r="J456" i="1"/>
  <c r="J504" i="1"/>
  <c r="J554" i="1"/>
  <c r="J258" i="1"/>
  <c r="J373" i="1"/>
  <c r="J377" i="1"/>
  <c r="J366" i="1"/>
  <c r="J345" i="1"/>
  <c r="J239" i="1"/>
  <c r="J161" i="1"/>
  <c r="J184" i="1"/>
  <c r="J173" i="1"/>
  <c r="J11" i="1"/>
</calcChain>
</file>

<file path=xl/sharedStrings.xml><?xml version="1.0" encoding="utf-8"?>
<sst xmlns="http://schemas.openxmlformats.org/spreadsheetml/2006/main" count="4594" uniqueCount="3078">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</sst>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527" totalsRowShown="0" headerRowDxfId="19" dataDxfId="17" headerRowBorderDxfId="18" tableBorderDxfId="16" totalsRowBorderDxfId="15">
  <autoFilter ref="A1:M1527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4"/>
    <tableColumn id="2" xr3:uid="{E4C257BA-771C-44B2-AEA1-6E2EB2ED8632}" name="N° TICKET" dataDxfId="13"/>
    <tableColumn id="3" xr3:uid="{84852C9A-14BC-4C45-940D-3865C18768C1}" name="FALLA" dataDxfId="12"/>
    <tableColumn id="4" xr3:uid="{AE950BD0-9D8D-4350-8E44-7598E77D7E59}" name="USUARIO" dataDxfId="11"/>
    <tableColumn id="5" xr3:uid="{AC8CFE5E-A2D5-4CD8-9CF9-9B1235FA5974}" name="CORREO" dataDxfId="10"/>
    <tableColumn id="6" xr3:uid="{2888AFB0-F2E7-4FEA-B65B-AFCBD6CBEC7B}" name="INICIO ESTIMADO" dataDxfId="9">
      <calculatedColumnFormula>IF(HOUR(Table1[[#This Row],[CORREO]])&gt;=11,WORKDAY(Table1[[#This Row],[CORREO]],1),E2)</calculatedColumnFormula>
    </tableColumn>
    <tableColumn id="7" xr3:uid="{BE916275-CEC6-47D8-B911-BDF6173ECDAD}" name="FIN" dataDxfId="8"/>
    <tableColumn id="8" xr3:uid="{0021EE13-DE78-45C8-BE1B-6343ABD6BF1C}" name="SEMANA" dataDxfId="7">
      <calculatedColumnFormula>INT((A2-DATE(YEAR(A2),1,1))/7) + 1</calculatedColumnFormula>
    </tableColumn>
    <tableColumn id="9" xr3:uid="{41172A96-1CF9-41E1-909B-D19864A66E53}" name="DIAS" dataDxfId="6">
      <calculatedColumnFormula>MAX(1,NETWORKDAYS(A2,G2,DATE(2025,11,17)))</calculatedColumnFormula>
    </tableColumn>
    <tableColumn id="10" xr3:uid="{13BFC7E8-8F8E-45DE-A672-B4C18BF8D282}" name="RANGO" dataDxfId="5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4">
      <calculatedColumnFormula>IF(INT(A2)=INT(F2),"A tiempo", IF(A2&lt;F2,"Mismo día","Programados"))</calculatedColumnFormula>
    </tableColumn>
    <tableColumn id="12" xr3:uid="{477D20A9-8A60-47D0-A0F6-2508ECEA113D}" name="PRIMER CONTACTO" dataDxfId="3"/>
    <tableColumn id="13" xr3:uid="{81C34891-0C82-416F-8449-595791205176}" name="DIAS PRIMER CONTACTO" dataDxfId="2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527"/>
  <sheetViews>
    <sheetView tabSelected="1" topLeftCell="E1" zoomScale="57" zoomScaleNormal="70" workbookViewId="0">
      <selection activeCell="K21" sqref="K21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bestFit="1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2784</v>
      </c>
      <c r="C2" s="7" t="s">
        <v>2755</v>
      </c>
      <c r="D2" s="7" t="s">
        <v>351</v>
      </c>
      <c r="E2" s="18">
        <v>46017.566666666666</v>
      </c>
      <c r="F2" s="11">
        <f>IF(HOUR(Table1[[#This Row],[CORREO]])&gt;=11,WORKDAY(Table1[[#This Row],[CORREO]],1),E2)</f>
        <v>46020</v>
      </c>
      <c r="G2" s="11">
        <v>46020</v>
      </c>
      <c r="H2" s="7">
        <f t="shared" ref="H2:H65" si="0">INT((A2-DATE(YEAR(A2),1,1))/7) + 1</f>
        <v>52</v>
      </c>
      <c r="I2" s="7">
        <f t="shared" ref="I2:I65" si="1">MAX(1,NETWORKDAYS(A2,G2,DATE(2025,11,17)))</f>
        <v>1</v>
      </c>
      <c r="J2" s="7" t="str">
        <f t="shared" ref="J2:J65" si="2">IF(G2="","Acumulado",IF(ISNUMBER(SEARCH("ASAP",C2)),"ASAP",IF(I2&lt;=7,"Dentro",IF(A2&gt;F2,"Programado","Fuera"))))</f>
        <v>Dentro</v>
      </c>
      <c r="K2" s="7" t="str">
        <f t="shared" ref="K2:K65" si="3">IF(INT(A2)=INT(F2),"A tiempo", IF(A2&lt;F2,"Mismo día","Programados"))</f>
        <v>A tiempo</v>
      </c>
      <c r="L2" s="11">
        <v>46020</v>
      </c>
      <c r="M2" s="22">
        <f t="shared" ref="M2:M65" si="4">MAX(1,NETWORKDAYS(A2,L2))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Row],[CORREO]],1),E3)</f>
        <v>45400.425694444442</v>
      </c>
      <c r="G3" s="11">
        <v>45674</v>
      </c>
      <c r="H3" s="7">
        <f t="shared" si="0"/>
        <v>16</v>
      </c>
      <c r="I3" s="7">
        <f t="shared" si="1"/>
        <v>197</v>
      </c>
      <c r="J3" s="7" t="str">
        <f t="shared" si="2"/>
        <v>Fuera</v>
      </c>
      <c r="K3" s="7" t="str">
        <f t="shared" si="3"/>
        <v>A tiempo</v>
      </c>
      <c r="L3" s="11">
        <v>45400</v>
      </c>
      <c r="M3" s="22">
        <f t="shared" si="4"/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Row],[CORREO]],1),E4)</f>
        <v>45553</v>
      </c>
      <c r="G4" s="11">
        <v>45665</v>
      </c>
      <c r="H4" s="20">
        <f t="shared" si="0"/>
        <v>38</v>
      </c>
      <c r="I4" s="20">
        <f t="shared" si="1"/>
        <v>82</v>
      </c>
      <c r="J4" s="20" t="str">
        <f t="shared" si="2"/>
        <v>Fuera</v>
      </c>
      <c r="K4" s="20" t="str">
        <f t="shared" si="3"/>
        <v>Mismo día</v>
      </c>
      <c r="L4" s="16">
        <v>45553</v>
      </c>
      <c r="M4" s="23">
        <f t="shared" si="4"/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Row],[CORREO]],1),E5)</f>
        <v>45554.445138888892</v>
      </c>
      <c r="G5" s="11">
        <v>45660</v>
      </c>
      <c r="H5" s="7">
        <f t="shared" si="0"/>
        <v>38</v>
      </c>
      <c r="I5" s="7">
        <f t="shared" si="1"/>
        <v>77</v>
      </c>
      <c r="J5" s="7" t="str">
        <f t="shared" si="2"/>
        <v>Fuera</v>
      </c>
      <c r="K5" s="7" t="str">
        <f t="shared" si="3"/>
        <v>A tiempo</v>
      </c>
      <c r="L5" s="11">
        <v>45555</v>
      </c>
      <c r="M5" s="22">
        <f t="shared" si="4"/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Row],[CORREO]],1),E6)</f>
        <v>45602.366666666669</v>
      </c>
      <c r="G6" s="11">
        <v>45663</v>
      </c>
      <c r="H6" s="7">
        <f t="shared" si="0"/>
        <v>45</v>
      </c>
      <c r="I6" s="7">
        <f t="shared" si="1"/>
        <v>44</v>
      </c>
      <c r="J6" s="7" t="str">
        <f t="shared" si="2"/>
        <v>Fuera</v>
      </c>
      <c r="K6" s="7" t="str">
        <f t="shared" si="3"/>
        <v>A tiempo</v>
      </c>
      <c r="L6" s="11">
        <v>45603</v>
      </c>
      <c r="M6" s="22">
        <f t="shared" si="4"/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Row],[CORREO]],1),E7)</f>
        <v>45604</v>
      </c>
      <c r="G7" s="11">
        <v>45663</v>
      </c>
      <c r="H7" s="7">
        <f t="shared" si="0"/>
        <v>45</v>
      </c>
      <c r="I7" s="7">
        <f t="shared" si="1"/>
        <v>43</v>
      </c>
      <c r="J7" s="7" t="str">
        <f t="shared" si="2"/>
        <v>Fuera</v>
      </c>
      <c r="K7" s="7" t="str">
        <f t="shared" si="3"/>
        <v>Mismo día</v>
      </c>
      <c r="L7" s="11">
        <v>45603</v>
      </c>
      <c r="M7" s="22">
        <f t="shared" si="4"/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Row],[CORREO]],1),E8)</f>
        <v>0</v>
      </c>
      <c r="G8" s="11">
        <v>45659</v>
      </c>
      <c r="H8" s="7">
        <f t="shared" si="0"/>
        <v>47</v>
      </c>
      <c r="I8" s="7">
        <f t="shared" si="1"/>
        <v>30</v>
      </c>
      <c r="J8" s="7" t="str">
        <f t="shared" si="2"/>
        <v>Programado</v>
      </c>
      <c r="K8" s="7" t="str">
        <f t="shared" si="3"/>
        <v>Programados</v>
      </c>
      <c r="L8" s="11">
        <v>45621</v>
      </c>
      <c r="M8" s="22">
        <f t="shared" si="4"/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Row],[CORREO]],1),E9)</f>
        <v>45624.370138888888</v>
      </c>
      <c r="G9" s="11">
        <v>45663</v>
      </c>
      <c r="H9" s="7">
        <f t="shared" si="0"/>
        <v>48</v>
      </c>
      <c r="I9" s="7">
        <f t="shared" si="1"/>
        <v>28</v>
      </c>
      <c r="J9" s="7" t="str">
        <f t="shared" si="2"/>
        <v>Fuera</v>
      </c>
      <c r="K9" s="7" t="str">
        <f t="shared" si="3"/>
        <v>A tiempo</v>
      </c>
      <c r="L9" s="11">
        <v>45624</v>
      </c>
      <c r="M9" s="22">
        <f t="shared" si="4"/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Row],[CORREO]],1),E10)</f>
        <v>45628.381944444445</v>
      </c>
      <c r="G10" s="11">
        <v>45663</v>
      </c>
      <c r="H10" s="7">
        <f t="shared" si="0"/>
        <v>1</v>
      </c>
      <c r="I10" s="7">
        <f t="shared" si="1"/>
        <v>3</v>
      </c>
      <c r="J10" s="7" t="str">
        <f t="shared" si="2"/>
        <v>Dentro</v>
      </c>
      <c r="K10" s="7" t="str">
        <f t="shared" si="3"/>
        <v>Programados</v>
      </c>
      <c r="L10" s="11">
        <v>45628</v>
      </c>
      <c r="M10" s="22">
        <f t="shared" si="4"/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Row],[CORREO]],1),E11)</f>
        <v>45636.363888888889</v>
      </c>
      <c r="G11" s="11">
        <v>45663</v>
      </c>
      <c r="H11" s="7">
        <f t="shared" si="0"/>
        <v>50</v>
      </c>
      <c r="I11" s="7">
        <f t="shared" si="1"/>
        <v>20</v>
      </c>
      <c r="J11" s="7" t="str">
        <f t="shared" si="2"/>
        <v>Fuera</v>
      </c>
      <c r="K11" s="7" t="str">
        <f t="shared" si="3"/>
        <v>A tiempo</v>
      </c>
      <c r="L11" s="11">
        <v>45636</v>
      </c>
      <c r="M11" s="22">
        <f t="shared" si="4"/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Row],[CORREO]],1),E12)</f>
        <v>45638</v>
      </c>
      <c r="G12" s="11">
        <v>45663</v>
      </c>
      <c r="H12" s="7">
        <f t="shared" si="0"/>
        <v>50</v>
      </c>
      <c r="I12" s="7">
        <f t="shared" si="1"/>
        <v>19</v>
      </c>
      <c r="J12" s="7" t="str">
        <f t="shared" si="2"/>
        <v>Fuera</v>
      </c>
      <c r="K12" s="7" t="str">
        <f t="shared" si="3"/>
        <v>Mismo día</v>
      </c>
      <c r="L12" s="11">
        <v>45637</v>
      </c>
      <c r="M12" s="22">
        <f t="shared" si="4"/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Row],[CORREO]],1),E13)</f>
        <v>45660.443055555559</v>
      </c>
      <c r="G13" s="11">
        <v>45660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45660</v>
      </c>
      <c r="M13" s="22">
        <f t="shared" si="4"/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Row],[CORREO]],1),E14)</f>
        <v>45663.38958333333</v>
      </c>
      <c r="G14" s="11">
        <v>45663</v>
      </c>
      <c r="H14" s="7">
        <f t="shared" si="0"/>
        <v>1</v>
      </c>
      <c r="I14" s="7">
        <f t="shared" si="1"/>
        <v>1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Row],[CORREO]],1),E15)</f>
        <v>45663.425000000003</v>
      </c>
      <c r="G15" s="11">
        <v>45666</v>
      </c>
      <c r="H15" s="7">
        <f t="shared" si="0"/>
        <v>1</v>
      </c>
      <c r="I15" s="7">
        <f t="shared" si="1"/>
        <v>4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Row],[CORREO]],1),E16)</f>
        <v>45663.440972222219</v>
      </c>
      <c r="G16" s="11">
        <v>45663</v>
      </c>
      <c r="H16" s="7">
        <f t="shared" si="0"/>
        <v>1</v>
      </c>
      <c r="I16" s="7">
        <f t="shared" si="1"/>
        <v>1</v>
      </c>
      <c r="J16" s="7" t="str">
        <f t="shared" si="2"/>
        <v>Dentro</v>
      </c>
      <c r="K16" s="7" t="str">
        <f t="shared" si="3"/>
        <v>A tiempo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Row],[CORREO]],1),E17)</f>
        <v>45664</v>
      </c>
      <c r="G17" s="11">
        <v>45664</v>
      </c>
      <c r="H17" s="7">
        <f t="shared" si="0"/>
        <v>1</v>
      </c>
      <c r="I17" s="7">
        <f t="shared" si="1"/>
        <v>2</v>
      </c>
      <c r="J17" s="7" t="str">
        <f t="shared" si="2"/>
        <v>Dentro</v>
      </c>
      <c r="K17" s="7" t="str">
        <f t="shared" si="3"/>
        <v>Mismo día</v>
      </c>
      <c r="L17" s="11">
        <v>45663</v>
      </c>
      <c r="M17" s="22">
        <f t="shared" si="4"/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Row],[CORREO]],1),E18)</f>
        <v>45667.429166666669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Mismo día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Row],[CORREO]],1),E19)</f>
        <v>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Programados</v>
      </c>
      <c r="L19" s="11">
        <v>45664</v>
      </c>
      <c r="M19" s="22">
        <f t="shared" si="4"/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Row],[CORREO]],1),E20)</f>
        <v>45670</v>
      </c>
      <c r="G20" s="11">
        <v>45670</v>
      </c>
      <c r="H20" s="7">
        <f t="shared" si="0"/>
        <v>1</v>
      </c>
      <c r="I20" s="7">
        <f t="shared" si="1"/>
        <v>6</v>
      </c>
      <c r="J20" s="7" t="str">
        <f t="shared" si="2"/>
        <v>Dentro</v>
      </c>
      <c r="K20" s="7" t="str">
        <f t="shared" si="3"/>
        <v>Mismo día</v>
      </c>
      <c r="L20" s="11">
        <v>45663</v>
      </c>
      <c r="M20" s="22">
        <f t="shared" si="4"/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Row],[CORREO]],1),E21)</f>
        <v>45664.374305555553</v>
      </c>
      <c r="G21" s="11">
        <v>45670</v>
      </c>
      <c r="H21" s="7">
        <f t="shared" si="0"/>
        <v>1</v>
      </c>
      <c r="I21" s="7">
        <f t="shared" si="1"/>
        <v>5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45667</v>
      </c>
      <c r="H22" s="7">
        <f t="shared" si="0"/>
        <v>1</v>
      </c>
      <c r="I22" s="7">
        <f t="shared" si="1"/>
        <v>4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Row],[CORREO]],1),E23)</f>
        <v>45664.375</v>
      </c>
      <c r="G23" s="11">
        <v>45670</v>
      </c>
      <c r="H23" s="7">
        <f t="shared" si="0"/>
        <v>1</v>
      </c>
      <c r="I23" s="7">
        <f t="shared" si="1"/>
        <v>5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Row],[CORREO]],1),E24)</f>
        <v>45664.375694444447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45664</v>
      </c>
      <c r="M24" s="22">
        <f t="shared" si="4"/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Row],[CORREO]],1),E25)</f>
        <v>45664.376388888886</v>
      </c>
      <c r="G25" s="11">
        <v>45667</v>
      </c>
      <c r="H25" s="7">
        <f t="shared" si="0"/>
        <v>1</v>
      </c>
      <c r="I25" s="7">
        <f t="shared" si="1"/>
        <v>4</v>
      </c>
      <c r="J25" s="7" t="str">
        <f t="shared" si="2"/>
        <v>Dentro</v>
      </c>
      <c r="K25" s="7" t="str">
        <f t="shared" si="3"/>
        <v>A tiempo</v>
      </c>
      <c r="L25" s="11">
        <v>45666</v>
      </c>
      <c r="M25" s="22">
        <f t="shared" si="4"/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Row],[CORREO]],1),E26)</f>
        <v>45665.35</v>
      </c>
      <c r="G26" s="11">
        <v>45666</v>
      </c>
      <c r="H26" s="7">
        <f t="shared" si="0"/>
        <v>2</v>
      </c>
      <c r="I26" s="7">
        <f t="shared" si="1"/>
        <v>2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Row],[CORREO]],1),E27)</f>
        <v>45665.354861111111</v>
      </c>
      <c r="G27" s="11">
        <v>45665</v>
      </c>
      <c r="H27" s="7">
        <f t="shared" si="0"/>
        <v>2</v>
      </c>
      <c r="I27" s="7">
        <f t="shared" si="1"/>
        <v>1</v>
      </c>
      <c r="J27" s="7" t="str">
        <f t="shared" si="2"/>
        <v>Dentro</v>
      </c>
      <c r="K27" s="7" t="str">
        <f t="shared" si="3"/>
        <v>A tiempo</v>
      </c>
      <c r="L27" s="11">
        <v>45665</v>
      </c>
      <c r="M27" s="22">
        <f t="shared" si="4"/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Row],[CORREO]],1),E28)</f>
        <v>45664.365972222222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Row],[CORREO]],1),E29)</f>
        <v>45664.195833333331</v>
      </c>
      <c r="G29" s="11">
        <v>45671</v>
      </c>
      <c r="H29" s="7">
        <f t="shared" si="0"/>
        <v>1</v>
      </c>
      <c r="I29" s="7">
        <f t="shared" si="1"/>
        <v>6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Row],[CORREO]],1),E30)</f>
        <v>45664.370138888888</v>
      </c>
      <c r="G30" s="11">
        <v>45665</v>
      </c>
      <c r="H30" s="7">
        <f t="shared" si="0"/>
        <v>1</v>
      </c>
      <c r="I30" s="7">
        <f t="shared" si="1"/>
        <v>2</v>
      </c>
      <c r="J30" s="7" t="str">
        <f t="shared" si="2"/>
        <v>Dentro</v>
      </c>
      <c r="K30" s="7" t="str">
        <f t="shared" si="3"/>
        <v>A tiempo</v>
      </c>
      <c r="L30" s="11">
        <v>45664</v>
      </c>
      <c r="M30" s="22">
        <f t="shared" si="4"/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Row],[CORREO]],1),E31)</f>
        <v>45665.368750000001</v>
      </c>
      <c r="G31" s="11">
        <v>45671</v>
      </c>
      <c r="H31" s="7">
        <f t="shared" si="0"/>
        <v>2</v>
      </c>
      <c r="I31" s="7">
        <f t="shared" si="1"/>
        <v>5</v>
      </c>
      <c r="J31" s="7" t="str">
        <f t="shared" si="2"/>
        <v>Dentro</v>
      </c>
      <c r="K31" s="7" t="str">
        <f t="shared" si="3"/>
        <v>A tiempo</v>
      </c>
      <c r="L31" s="11">
        <v>45665</v>
      </c>
      <c r="M31" s="22">
        <f t="shared" si="4"/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Row],[CORREO]],1),E32)</f>
        <v>45665.374305555553</v>
      </c>
      <c r="G32" s="11">
        <v>45666</v>
      </c>
      <c r="H32" s="7">
        <f t="shared" si="0"/>
        <v>2</v>
      </c>
      <c r="I32" s="7">
        <f t="shared" si="1"/>
        <v>2</v>
      </c>
      <c r="J32" s="7" t="str">
        <f t="shared" si="2"/>
        <v>Dentro</v>
      </c>
      <c r="K32" s="7" t="str">
        <f t="shared" si="3"/>
        <v>A tiempo</v>
      </c>
      <c r="L32" s="11">
        <v>45666</v>
      </c>
      <c r="M32" s="22">
        <f t="shared" si="4"/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Row],[CORREO]],1),E33)</f>
        <v>45665.377083333333</v>
      </c>
      <c r="G33" s="11">
        <v>45665</v>
      </c>
      <c r="H33" s="7">
        <f t="shared" si="0"/>
        <v>2</v>
      </c>
      <c r="I33" s="7">
        <f t="shared" si="1"/>
        <v>1</v>
      </c>
      <c r="J33" s="7" t="str">
        <f t="shared" si="2"/>
        <v>Dentro</v>
      </c>
      <c r="K33" s="7" t="str">
        <f t="shared" si="3"/>
        <v>A tiempo</v>
      </c>
      <c r="L33" s="11">
        <v>45663</v>
      </c>
      <c r="M33" s="22">
        <f t="shared" si="4"/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Row],[CORREO]],1),E34)</f>
        <v>45665.379166666666</v>
      </c>
      <c r="G34" s="11">
        <v>45671</v>
      </c>
      <c r="H34" s="7">
        <f t="shared" si="0"/>
        <v>2</v>
      </c>
      <c r="I34" s="7">
        <f t="shared" si="1"/>
        <v>5</v>
      </c>
      <c r="J34" s="7" t="str">
        <f t="shared" si="2"/>
        <v>Dentro</v>
      </c>
      <c r="K34" s="7" t="str">
        <f t="shared" si="3"/>
        <v>A tiempo</v>
      </c>
      <c r="L34" s="11">
        <v>45665</v>
      </c>
      <c r="M34" s="22">
        <f t="shared" si="4"/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Row],[CORREO]],1),E35)</f>
        <v>45666.386111111111</v>
      </c>
      <c r="G35" s="11">
        <v>45670</v>
      </c>
      <c r="H35" s="7">
        <f t="shared" si="0"/>
        <v>2</v>
      </c>
      <c r="I35" s="7">
        <f t="shared" si="1"/>
        <v>3</v>
      </c>
      <c r="J35" s="7" t="str">
        <f t="shared" si="2"/>
        <v>Dentro</v>
      </c>
      <c r="K35" s="7" t="str">
        <f t="shared" si="3"/>
        <v>A tiempo</v>
      </c>
      <c r="L35" s="11">
        <v>45670</v>
      </c>
      <c r="M35" s="22">
        <f t="shared" si="4"/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Row],[CORREO]],1),E36)</f>
        <v>45666.387499999997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Row],[CORREO]],1),E37)</f>
        <v>45666.45208333333</v>
      </c>
      <c r="G37" s="11">
        <v>45667</v>
      </c>
      <c r="H37" s="7">
        <f t="shared" si="0"/>
        <v>2</v>
      </c>
      <c r="I37" s="7">
        <f t="shared" si="1"/>
        <v>2</v>
      </c>
      <c r="J37" s="7" t="str">
        <f t="shared" si="2"/>
        <v>Dentro</v>
      </c>
      <c r="K37" s="7" t="str">
        <f t="shared" si="3"/>
        <v>A tiempo</v>
      </c>
      <c r="L37" s="11">
        <v>45666</v>
      </c>
      <c r="M37" s="22">
        <f t="shared" si="4"/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Row],[CORREO]],1),E38)</f>
        <v>45667</v>
      </c>
      <c r="G38" s="11">
        <v>45666</v>
      </c>
      <c r="H38" s="7">
        <f t="shared" si="0"/>
        <v>2</v>
      </c>
      <c r="I38" s="7">
        <f t="shared" si="1"/>
        <v>1</v>
      </c>
      <c r="J38" s="7" t="str">
        <f t="shared" si="2"/>
        <v>Dentro</v>
      </c>
      <c r="K38" s="7" t="str">
        <f t="shared" si="3"/>
        <v>Mismo día</v>
      </c>
      <c r="L38" s="11">
        <v>45666</v>
      </c>
      <c r="M38" s="22">
        <f t="shared" si="4"/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Row],[CORREO]],1),E39)</f>
        <v>45667.354861111111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A tiempo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Row],[CORREO]],1),E40)</f>
        <v>0</v>
      </c>
      <c r="G40" s="11">
        <v>45674</v>
      </c>
      <c r="H40" s="7">
        <f t="shared" si="0"/>
        <v>2</v>
      </c>
      <c r="I40" s="7">
        <f t="shared" si="1"/>
        <v>6</v>
      </c>
      <c r="J40" s="7" t="str">
        <f t="shared" si="2"/>
        <v>Dentro</v>
      </c>
      <c r="K40" s="7" t="str">
        <f t="shared" si="3"/>
        <v>Programados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Row],[CORREO]],1),E41)</f>
        <v>45667.362500000003</v>
      </c>
      <c r="G41" s="11">
        <v>45670</v>
      </c>
      <c r="H41" s="7">
        <f t="shared" si="0"/>
        <v>2</v>
      </c>
      <c r="I41" s="7">
        <f t="shared" si="1"/>
        <v>2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Row],[CORREO]],1),E42)</f>
        <v>45667.373611111114</v>
      </c>
      <c r="G42" s="11">
        <v>45667</v>
      </c>
      <c r="H42" s="7">
        <f t="shared" si="0"/>
        <v>2</v>
      </c>
      <c r="I42" s="7">
        <f t="shared" si="1"/>
        <v>1</v>
      </c>
      <c r="J42" s="7" t="str">
        <f t="shared" si="2"/>
        <v>Dentro</v>
      </c>
      <c r="K42" s="7" t="str">
        <f t="shared" si="3"/>
        <v>A tiempo</v>
      </c>
      <c r="L42" s="11">
        <v>45667</v>
      </c>
      <c r="M42" s="22">
        <f t="shared" si="4"/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Row],[CORREO]],1),E43)</f>
        <v>45670.359027777777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45670</v>
      </c>
      <c r="M43" s="22">
        <f t="shared" si="4"/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Row],[CORREO]],1),E44)</f>
        <v>45670.363888888889</v>
      </c>
      <c r="G44" s="11">
        <v>45677</v>
      </c>
      <c r="H44" s="7">
        <f t="shared" si="0"/>
        <v>2</v>
      </c>
      <c r="I44" s="7">
        <f t="shared" si="1"/>
        <v>6</v>
      </c>
      <c r="J44" s="7" t="str">
        <f t="shared" si="2"/>
        <v>Dentro</v>
      </c>
      <c r="K44" s="7" t="str">
        <f t="shared" si="3"/>
        <v>A tiempo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Row],[CORREO]],1),E45)</f>
        <v>0</v>
      </c>
      <c r="G45" s="11">
        <v>45673</v>
      </c>
      <c r="H45" s="7">
        <f t="shared" si="0"/>
        <v>2</v>
      </c>
      <c r="I45" s="7">
        <f t="shared" si="1"/>
        <v>4</v>
      </c>
      <c r="J45" s="7" t="str">
        <f t="shared" si="2"/>
        <v>Dentro</v>
      </c>
      <c r="K45" s="7" t="str">
        <f t="shared" si="3"/>
        <v>Programados</v>
      </c>
      <c r="L45" s="11">
        <v>45671</v>
      </c>
      <c r="M45" s="22">
        <f t="shared" si="4"/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Row],[CORREO]],1),E46)</f>
        <v>45671</v>
      </c>
      <c r="G46" s="11">
        <v>45670</v>
      </c>
      <c r="H46" s="7">
        <f t="shared" si="0"/>
        <v>2</v>
      </c>
      <c r="I46" s="7">
        <f t="shared" si="1"/>
        <v>1</v>
      </c>
      <c r="J46" s="7" t="str">
        <f t="shared" si="2"/>
        <v>Dentro</v>
      </c>
      <c r="K46" s="7" t="str">
        <f t="shared" si="3"/>
        <v>Mismo día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Row],[CORREO]],1),E47)</f>
        <v>0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Programados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Row],[CORREO]],1),E48)</f>
        <v>45670.390972222223</v>
      </c>
      <c r="G48" s="11">
        <v>45677</v>
      </c>
      <c r="H48" s="7">
        <f t="shared" si="0"/>
        <v>2</v>
      </c>
      <c r="I48" s="7">
        <f t="shared" si="1"/>
        <v>6</v>
      </c>
      <c r="J48" s="7" t="str">
        <f t="shared" si="2"/>
        <v>Dentro</v>
      </c>
      <c r="K48" s="7" t="str">
        <f t="shared" si="3"/>
        <v>A tiempo</v>
      </c>
      <c r="L48" s="11">
        <v>45670</v>
      </c>
      <c r="M48" s="22">
        <f t="shared" si="4"/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Row],[CORREO]],1),E49)</f>
        <v>45671</v>
      </c>
      <c r="G49" s="11">
        <v>45672</v>
      </c>
      <c r="H49" s="7">
        <f t="shared" si="0"/>
        <v>2</v>
      </c>
      <c r="I49" s="7">
        <f t="shared" si="1"/>
        <v>3</v>
      </c>
      <c r="J49" s="7" t="str">
        <f t="shared" si="2"/>
        <v>Dentro</v>
      </c>
      <c r="K49" s="7" t="str">
        <f t="shared" si="3"/>
        <v>Mismo día</v>
      </c>
      <c r="L49" s="11">
        <v>45670</v>
      </c>
      <c r="M49" s="22">
        <f t="shared" si="4"/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Row],[CORREO]],1),E50)</f>
        <v>45671.329861111109</v>
      </c>
      <c r="G50" s="11">
        <v>45672</v>
      </c>
      <c r="H50" s="7">
        <f t="shared" si="0"/>
        <v>2</v>
      </c>
      <c r="I50" s="7">
        <f t="shared" si="1"/>
        <v>2</v>
      </c>
      <c r="J50" s="7" t="str">
        <f t="shared" si="2"/>
        <v>Dentro</v>
      </c>
      <c r="K50" s="7" t="str">
        <f t="shared" si="3"/>
        <v>A tiempo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Row],[CORREO]],1),E51)</f>
        <v>0</v>
      </c>
      <c r="G51" s="11">
        <v>45677</v>
      </c>
      <c r="H51" s="7">
        <f t="shared" si="0"/>
        <v>2</v>
      </c>
      <c r="I51" s="7">
        <f t="shared" si="1"/>
        <v>5</v>
      </c>
      <c r="J51" s="7" t="str">
        <f t="shared" si="2"/>
        <v>Dentro</v>
      </c>
      <c r="K51" s="7" t="str">
        <f t="shared" si="3"/>
        <v>Programados</v>
      </c>
      <c r="L51" s="11">
        <v>45671</v>
      </c>
      <c r="M51" s="22">
        <f t="shared" si="4"/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Row],[CORREO]],1),E52)</f>
        <v>45671.456250000003</v>
      </c>
      <c r="G52" s="11">
        <v>45672</v>
      </c>
      <c r="H52" s="7">
        <f t="shared" si="0"/>
        <v>2</v>
      </c>
      <c r="I52" s="7">
        <f t="shared" si="1"/>
        <v>2</v>
      </c>
      <c r="J52" s="7" t="str">
        <f t="shared" si="2"/>
        <v>Dentro</v>
      </c>
      <c r="K52" s="7" t="str">
        <f t="shared" si="3"/>
        <v>A tiempo</v>
      </c>
      <c r="L52" s="11">
        <v>45671</v>
      </c>
      <c r="M52" s="22">
        <f t="shared" si="4"/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Row],[CORREO]],1),E53)</f>
        <v>45672.34097222222</v>
      </c>
      <c r="G53" s="11">
        <v>45678</v>
      </c>
      <c r="H53" s="7">
        <f t="shared" si="0"/>
        <v>3</v>
      </c>
      <c r="I53" s="7">
        <f t="shared" si="1"/>
        <v>5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Row],[CORREO]],1),E54)</f>
        <v>45672.345833333333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Row],[CORREO]],1),E55)</f>
        <v>45672.347222222219</v>
      </c>
      <c r="G55" s="11">
        <v>45672</v>
      </c>
      <c r="H55" s="7">
        <f t="shared" si="0"/>
        <v>3</v>
      </c>
      <c r="I55" s="7">
        <f t="shared" si="1"/>
        <v>1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Row],[CORREO]],1),E56)</f>
        <v>45672.349305555559</v>
      </c>
      <c r="G56" s="11">
        <v>45674</v>
      </c>
      <c r="H56" s="7">
        <f t="shared" si="0"/>
        <v>3</v>
      </c>
      <c r="I56" s="7">
        <f t="shared" si="1"/>
        <v>3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Row],[CORREO]],1),E57)</f>
        <v>45672.356249999997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Row],[CORREO]],1),E58)</f>
        <v>45672.361111111109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A tiempo</v>
      </c>
      <c r="L58" s="11">
        <v>45672</v>
      </c>
      <c r="M58" s="22">
        <f t="shared" si="4"/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Row],[CORREO]],1),E59)</f>
        <v>0</v>
      </c>
      <c r="G59" s="11">
        <v>45677</v>
      </c>
      <c r="H59" s="7">
        <f t="shared" si="0"/>
        <v>3</v>
      </c>
      <c r="I59" s="7">
        <f t="shared" si="1"/>
        <v>4</v>
      </c>
      <c r="J59" s="7" t="str">
        <f t="shared" si="2"/>
        <v>Dentro</v>
      </c>
      <c r="K59" s="7" t="str">
        <f t="shared" si="3"/>
        <v>Programados</v>
      </c>
      <c r="L59" s="11">
        <v>45677</v>
      </c>
      <c r="M59" s="22">
        <f t="shared" si="4"/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45674</v>
      </c>
      <c r="M60" s="22">
        <f t="shared" si="4"/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Row],[CORREO]],1),E61)</f>
        <v>0</v>
      </c>
      <c r="G61" s="11">
        <v>45679</v>
      </c>
      <c r="H61" s="7">
        <f t="shared" si="0"/>
        <v>3</v>
      </c>
      <c r="I61" s="7">
        <f t="shared" si="1"/>
        <v>6</v>
      </c>
      <c r="J61" s="7" t="str">
        <f t="shared" si="2"/>
        <v>Dentro</v>
      </c>
      <c r="K61" s="7" t="str">
        <f t="shared" si="3"/>
        <v>Programados</v>
      </c>
      <c r="L61" s="11">
        <v>45679</v>
      </c>
      <c r="M61" s="22">
        <f t="shared" si="4"/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Row],[CORREO]],1),E62)</f>
        <v>45673</v>
      </c>
      <c r="G62" s="11">
        <v>45673</v>
      </c>
      <c r="H62" s="7">
        <f t="shared" si="0"/>
        <v>3</v>
      </c>
      <c r="I62" s="7">
        <f t="shared" si="1"/>
        <v>2</v>
      </c>
      <c r="J62" s="7" t="str">
        <f t="shared" si="2"/>
        <v>Dentro</v>
      </c>
      <c r="K62" s="7" t="str">
        <f t="shared" si="3"/>
        <v>Mismo día</v>
      </c>
      <c r="L62" s="11">
        <v>45672</v>
      </c>
      <c r="M62" s="22">
        <f t="shared" si="4"/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Row],[CORREO]],1),E63)</f>
        <v>45673</v>
      </c>
      <c r="G63" s="11">
        <v>45674</v>
      </c>
      <c r="H63" s="7">
        <f t="shared" si="0"/>
        <v>3</v>
      </c>
      <c r="I63" s="7">
        <f t="shared" si="1"/>
        <v>3</v>
      </c>
      <c r="J63" s="7" t="str">
        <f t="shared" si="2"/>
        <v>Dentro</v>
      </c>
      <c r="K63" s="7" t="str">
        <f t="shared" si="3"/>
        <v>Mismo día</v>
      </c>
      <c r="L63" s="11">
        <v>45674</v>
      </c>
      <c r="M63" s="22">
        <f t="shared" si="4"/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Row],[CORREO]],1),E64)</f>
        <v>45673.354861111111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Row],[CORREO]],1),E65)</f>
        <v>45673.355555555558</v>
      </c>
      <c r="G65" s="11">
        <v>45679</v>
      </c>
      <c r="H65" s="7">
        <f t="shared" si="0"/>
        <v>3</v>
      </c>
      <c r="I65" s="7">
        <f t="shared" si="1"/>
        <v>5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Row],[CORREO]],1),E66)</f>
        <v>45673.356944444444</v>
      </c>
      <c r="G66" s="11">
        <v>45674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2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Row],[CORREO]],1),E67)</f>
        <v>45673</v>
      </c>
      <c r="G67" s="11">
        <v>45673</v>
      </c>
      <c r="H67" s="7">
        <f t="shared" si="5"/>
        <v>3</v>
      </c>
      <c r="I67" s="7">
        <f t="shared" si="6"/>
        <v>1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Row],[CORREO]],1),E68)</f>
        <v>45673.380555555559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Row],[CORREO]],1),E69)</f>
        <v>45673.414583333331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Row],[CORREO]],1),E70)</f>
        <v>45673.424305555556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Row],[CORREO]],1),E71)</f>
        <v>45673.363194444442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45673</v>
      </c>
      <c r="M71" s="22">
        <f t="shared" si="9"/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Row],[CORREO]],1),E72)</f>
        <v>45673.427777777775</v>
      </c>
      <c r="G72" s="11">
        <v>45674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Row],[CORREO]],1),E73)</f>
        <v>45674.387499999997</v>
      </c>
      <c r="G73" s="11">
        <v>45677</v>
      </c>
      <c r="H73" s="7">
        <f t="shared" si="5"/>
        <v>3</v>
      </c>
      <c r="I73" s="7">
        <f t="shared" si="6"/>
        <v>2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Row],[CORREO]],1),E74)</f>
        <v>45674.392361111109</v>
      </c>
      <c r="G74" s="11">
        <v>45679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A tiempo</v>
      </c>
      <c r="L74" s="11">
        <v>45674</v>
      </c>
      <c r="M74" s="22">
        <f t="shared" si="9"/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Row],[CORREO]],1),E75)</f>
        <v>0</v>
      </c>
      <c r="G75" s="11">
        <v>45680</v>
      </c>
      <c r="H75" s="7">
        <f t="shared" si="5"/>
        <v>3</v>
      </c>
      <c r="I75" s="7">
        <f t="shared" si="6"/>
        <v>4</v>
      </c>
      <c r="J75" s="7" t="str">
        <f t="shared" si="7"/>
        <v>Dentro</v>
      </c>
      <c r="K75" s="7" t="str">
        <f t="shared" si="8"/>
        <v>Programados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Row],[CORREO]],1),E76)</f>
        <v>45677.422222222223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Row],[CORREO]],1),E77)</f>
        <v>45677.424305555556</v>
      </c>
      <c r="G77" s="11">
        <v>45678</v>
      </c>
      <c r="H77" s="7">
        <f t="shared" si="5"/>
        <v>3</v>
      </c>
      <c r="I77" s="7">
        <f t="shared" si="6"/>
        <v>2</v>
      </c>
      <c r="J77" s="7" t="str">
        <f t="shared" si="7"/>
        <v>Dentro</v>
      </c>
      <c r="K77" s="7" t="str">
        <f t="shared" si="8"/>
        <v>A tiempo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Row],[CORREO]],1),E78)</f>
        <v>45678.397222222222</v>
      </c>
      <c r="G78" s="11">
        <v>45684</v>
      </c>
      <c r="H78" s="7">
        <f t="shared" si="5"/>
        <v>3</v>
      </c>
      <c r="I78" s="7">
        <f t="shared" si="6"/>
        <v>6</v>
      </c>
      <c r="J78" s="7" t="str">
        <f t="shared" si="7"/>
        <v>Dentro</v>
      </c>
      <c r="K78" s="7" t="str">
        <f t="shared" si="8"/>
        <v>Mismo día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Row],[CORREO]],1),E79)</f>
        <v>0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Programados</v>
      </c>
      <c r="L79" s="11">
        <v>45677</v>
      </c>
      <c r="M79" s="22">
        <f t="shared" si="9"/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Row],[CORREO]],1),E80)</f>
        <v>45677.442361111112</v>
      </c>
      <c r="G80" s="11">
        <v>45678</v>
      </c>
      <c r="H80" s="7">
        <f t="shared" si="5"/>
        <v>3</v>
      </c>
      <c r="I80" s="7">
        <f t="shared" si="6"/>
        <v>2</v>
      </c>
      <c r="J80" s="7" t="str">
        <f t="shared" si="7"/>
        <v>Dentro</v>
      </c>
      <c r="K80" s="7" t="str">
        <f t="shared" si="8"/>
        <v>A tiempo</v>
      </c>
      <c r="L80" s="11">
        <v>45677</v>
      </c>
      <c r="M80" s="22">
        <f t="shared" si="9"/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Row],[CORREO]],1),E81)</f>
        <v>45678.339583333334</v>
      </c>
      <c r="G81" s="11">
        <v>45678</v>
      </c>
      <c r="H81" s="7">
        <f t="shared" si="5"/>
        <v>3</v>
      </c>
      <c r="I81" s="7">
        <f t="shared" si="6"/>
        <v>1</v>
      </c>
      <c r="J81" s="7" t="str">
        <f t="shared" si="7"/>
        <v>Dentro</v>
      </c>
      <c r="K81" s="7" t="str">
        <f t="shared" si="8"/>
        <v>A tiempo</v>
      </c>
      <c r="L81" s="11">
        <v>45678</v>
      </c>
      <c r="M81" s="22">
        <f t="shared" si="9"/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Row],[CORREO]],1),E82)</f>
        <v>0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Programados</v>
      </c>
      <c r="L82" s="11">
        <v>45679</v>
      </c>
      <c r="M82" s="22">
        <f t="shared" si="9"/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Row],[CORREO]],1),E83)</f>
        <v>45678.339583333334</v>
      </c>
      <c r="G83" s="11">
        <v>45679</v>
      </c>
      <c r="H83" s="7">
        <f t="shared" si="5"/>
        <v>3</v>
      </c>
      <c r="I83" s="7">
        <f t="shared" si="6"/>
        <v>2</v>
      </c>
      <c r="J83" s="7" t="str">
        <f t="shared" si="7"/>
        <v>Dentro</v>
      </c>
      <c r="K83" s="7" t="str">
        <f t="shared" si="8"/>
        <v>A tiempo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Row],[CORREO]],1),E84)</f>
        <v>45679.402083333334</v>
      </c>
      <c r="G84" s="11">
        <v>45684</v>
      </c>
      <c r="H84" s="7">
        <f t="shared" si="5"/>
        <v>3</v>
      </c>
      <c r="I84" s="7">
        <f t="shared" si="6"/>
        <v>5</v>
      </c>
      <c r="J84" s="7" t="str">
        <f t="shared" si="7"/>
        <v>Dentro</v>
      </c>
      <c r="K84" s="7" t="str">
        <f t="shared" si="8"/>
        <v>Mismo día</v>
      </c>
      <c r="L84" s="11">
        <v>45678</v>
      </c>
      <c r="M84" s="22">
        <f t="shared" si="9"/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Row],[CORREO]],1),E85)</f>
        <v>45678.381249999999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45679</v>
      </c>
      <c r="M85" s="22">
        <f t="shared" si="9"/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Row],[CORREO]],1),E86)</f>
        <v>45678.386111111111</v>
      </c>
      <c r="G86" s="11">
        <v>45679</v>
      </c>
      <c r="H86" s="7">
        <f t="shared" si="5"/>
        <v>3</v>
      </c>
      <c r="I86" s="7">
        <f t="shared" si="6"/>
        <v>2</v>
      </c>
      <c r="J86" s="7" t="str">
        <f t="shared" si="7"/>
        <v>Dentro</v>
      </c>
      <c r="K86" s="7" t="str">
        <f t="shared" si="8"/>
        <v>A tiempo</v>
      </c>
      <c r="L86" s="11">
        <v>45678</v>
      </c>
      <c r="M86" s="22">
        <f t="shared" si="9"/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Row],[CORREO]],1),E87)</f>
        <v>45681.379166666666</v>
      </c>
      <c r="G87" s="11">
        <v>45684</v>
      </c>
      <c r="H87" s="7">
        <f t="shared" si="5"/>
        <v>3</v>
      </c>
      <c r="I87" s="7">
        <f t="shared" si="6"/>
        <v>5</v>
      </c>
      <c r="J87" s="7" t="str">
        <f t="shared" si="7"/>
        <v>Dentro</v>
      </c>
      <c r="K87" s="7" t="str">
        <f t="shared" si="8"/>
        <v>Mismo día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Row],[CORREO]],1),E88)</f>
        <v>45678.408333333333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Row],[CORREO]],1),E89)</f>
        <v>45678.40902777778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45679</v>
      </c>
      <c r="M89" s="22">
        <f t="shared" si="9"/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Row],[CORREO]],1),E90)</f>
        <v>45678.390972222223</v>
      </c>
      <c r="G90" s="11">
        <v>45679</v>
      </c>
      <c r="H90" s="7">
        <f t="shared" si="5"/>
        <v>3</v>
      </c>
      <c r="I90" s="7">
        <f t="shared" si="6"/>
        <v>2</v>
      </c>
      <c r="J90" s="7" t="str">
        <f t="shared" si="7"/>
        <v>Dentro</v>
      </c>
      <c r="K90" s="7" t="str">
        <f t="shared" si="8"/>
        <v>A tiempo</v>
      </c>
      <c r="L90" s="11">
        <v>45678</v>
      </c>
      <c r="M90" s="22">
        <f t="shared" si="9"/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Row],[CORREO]],1),E91)</f>
        <v>45679</v>
      </c>
      <c r="G91" s="11">
        <v>45678</v>
      </c>
      <c r="H91" s="7">
        <f t="shared" si="5"/>
        <v>3</v>
      </c>
      <c r="I91" s="7">
        <f t="shared" si="6"/>
        <v>1</v>
      </c>
      <c r="J91" s="7" t="str">
        <f t="shared" si="7"/>
        <v>Dentro</v>
      </c>
      <c r="K91" s="7" t="str">
        <f t="shared" si="8"/>
        <v>Mismo día</v>
      </c>
      <c r="L91" s="11">
        <v>45678</v>
      </c>
      <c r="M91" s="22">
        <f t="shared" si="9"/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Row],[CORREO]],1),E92)</f>
        <v>45679.399305555555</v>
      </c>
      <c r="G92" s="11">
        <v>45680</v>
      </c>
      <c r="H92" s="7">
        <f t="shared" si="5"/>
        <v>4</v>
      </c>
      <c r="I92" s="7">
        <f t="shared" si="6"/>
        <v>2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Row],[CORREO]],1),E93)</f>
        <v>45679</v>
      </c>
      <c r="G93" s="11">
        <v>45681</v>
      </c>
      <c r="H93" s="7">
        <f t="shared" si="5"/>
        <v>4</v>
      </c>
      <c r="I93" s="7">
        <f t="shared" si="6"/>
        <v>3</v>
      </c>
      <c r="J93" s="7" t="str">
        <f t="shared" si="7"/>
        <v>Dentro</v>
      </c>
      <c r="K93" s="7" t="str">
        <f t="shared" si="8"/>
        <v>A tiempo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Row],[CORREO]],1),E94)</f>
        <v>45684.361805555556</v>
      </c>
      <c r="G94" s="11">
        <v>45684</v>
      </c>
      <c r="H94" s="7">
        <f t="shared" si="5"/>
        <v>4</v>
      </c>
      <c r="I94" s="7">
        <f t="shared" si="6"/>
        <v>4</v>
      </c>
      <c r="J94" s="7" t="str">
        <f t="shared" si="7"/>
        <v>Dentro</v>
      </c>
      <c r="K94" s="7" t="str">
        <f t="shared" si="8"/>
        <v>Mismo día</v>
      </c>
      <c r="L94" s="11">
        <v>45679</v>
      </c>
      <c r="M94" s="22">
        <f t="shared" si="9"/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Row],[CORREO]],1),E95)</f>
        <v>45679.364583333336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45680</v>
      </c>
      <c r="M95" s="22">
        <f t="shared" si="9"/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Row],[CORREO]],1),E96)</f>
        <v>45679.368055555555</v>
      </c>
      <c r="G96" s="11">
        <v>45686</v>
      </c>
      <c r="H96" s="7">
        <f t="shared" si="5"/>
        <v>4</v>
      </c>
      <c r="I96" s="7">
        <f t="shared" si="6"/>
        <v>6</v>
      </c>
      <c r="J96" s="7" t="str">
        <f t="shared" si="7"/>
        <v>Dentro</v>
      </c>
      <c r="K96" s="7" t="str">
        <f t="shared" si="8"/>
        <v>A tiempo</v>
      </c>
      <c r="L96" s="11">
        <v>45681</v>
      </c>
      <c r="M96" s="22">
        <f t="shared" si="9"/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Row],[CORREO]],1),E97)</f>
        <v>45684</v>
      </c>
      <c r="G97" s="11">
        <v>45681</v>
      </c>
      <c r="H97" s="7">
        <f t="shared" si="5"/>
        <v>4</v>
      </c>
      <c r="I97" s="7">
        <f t="shared" si="6"/>
        <v>3</v>
      </c>
      <c r="J97" s="7" t="str">
        <f t="shared" si="7"/>
        <v>Dentro</v>
      </c>
      <c r="K97" s="7" t="str">
        <f t="shared" si="8"/>
        <v>Mismo día</v>
      </c>
      <c r="L97" s="11">
        <v>45679</v>
      </c>
      <c r="M97" s="22">
        <f t="shared" si="9"/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Row],[CORREO]],1),E99)</f>
        <v>45680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A tiempo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Row],[CORREO]],1),E100)</f>
        <v>0</v>
      </c>
      <c r="G100" s="11">
        <v>45687</v>
      </c>
      <c r="H100" s="7">
        <f t="shared" si="5"/>
        <v>4</v>
      </c>
      <c r="I100" s="7">
        <f t="shared" si="6"/>
        <v>6</v>
      </c>
      <c r="J100" s="7" t="str">
        <f t="shared" si="7"/>
        <v>Dentro</v>
      </c>
      <c r="K100" s="7" t="str">
        <f t="shared" si="8"/>
        <v>Programados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Row],[CORREO]],1),E101)</f>
        <v>45680.434027777781</v>
      </c>
      <c r="G101" s="11">
        <v>45681</v>
      </c>
      <c r="H101" s="7">
        <f t="shared" si="5"/>
        <v>4</v>
      </c>
      <c r="I101" s="7">
        <f t="shared" si="6"/>
        <v>2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Row],[CORREO]],1),E102)</f>
        <v>45680.44027777778</v>
      </c>
      <c r="G102" s="11">
        <v>45680</v>
      </c>
      <c r="H102" s="7">
        <f t="shared" si="5"/>
        <v>4</v>
      </c>
      <c r="I102" s="7">
        <f t="shared" si="6"/>
        <v>1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Row],[CORREO]],1),E103)</f>
        <v>45680.443749999999</v>
      </c>
      <c r="G103" s="11">
        <v>45681</v>
      </c>
      <c r="H103" s="7">
        <f t="shared" si="5"/>
        <v>4</v>
      </c>
      <c r="I103" s="7">
        <f t="shared" si="6"/>
        <v>2</v>
      </c>
      <c r="J103" s="7" t="str">
        <f t="shared" si="7"/>
        <v>Dentro</v>
      </c>
      <c r="K103" s="7" t="str">
        <f t="shared" si="8"/>
        <v>A tiempo</v>
      </c>
      <c r="L103" s="11">
        <v>45680</v>
      </c>
      <c r="M103" s="22">
        <f t="shared" si="9"/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Row],[CORREO]],1),E104)</f>
        <v>45681.368055555555</v>
      </c>
      <c r="G104" s="11">
        <v>45681</v>
      </c>
      <c r="H104" s="7">
        <f t="shared" si="5"/>
        <v>4</v>
      </c>
      <c r="I104" s="7">
        <f t="shared" si="6"/>
        <v>1</v>
      </c>
      <c r="J104" s="7" t="str">
        <f t="shared" si="7"/>
        <v>Dentro</v>
      </c>
      <c r="K104" s="7" t="str">
        <f t="shared" si="8"/>
        <v>A tiempo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Row],[CORREO]],1),E105)</f>
        <v>0</v>
      </c>
      <c r="G105" s="11">
        <v>45684</v>
      </c>
      <c r="H105" s="7">
        <f t="shared" si="5"/>
        <v>4</v>
      </c>
      <c r="I105" s="7">
        <f t="shared" si="6"/>
        <v>2</v>
      </c>
      <c r="J105" s="7" t="str">
        <f t="shared" si="7"/>
        <v>Dentro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Row],[CORREO]],1),E106)</f>
        <v>0</v>
      </c>
      <c r="G106" s="11">
        <v>45701</v>
      </c>
      <c r="H106" s="7">
        <f t="shared" si="5"/>
        <v>4</v>
      </c>
      <c r="I106" s="7">
        <f t="shared" si="6"/>
        <v>15</v>
      </c>
      <c r="J106" s="7" t="str">
        <f t="shared" si="7"/>
        <v>Programado</v>
      </c>
      <c r="K106" s="7" t="str">
        <f t="shared" si="8"/>
        <v>Programados</v>
      </c>
      <c r="L106" s="11">
        <v>45681</v>
      </c>
      <c r="M106" s="22">
        <f t="shared" si="9"/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Row],[CORREO]],1),E107)</f>
        <v>45667</v>
      </c>
      <c r="G107" s="11">
        <v>45694</v>
      </c>
      <c r="H107" s="7">
        <f t="shared" si="5"/>
        <v>4</v>
      </c>
      <c r="I107" s="7">
        <f t="shared" si="6"/>
        <v>9</v>
      </c>
      <c r="J107" s="7" t="str">
        <f t="shared" si="7"/>
        <v>Programado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Row],[CORREO]],1),E108)</f>
        <v>0</v>
      </c>
      <c r="G108" s="11">
        <v>45692</v>
      </c>
      <c r="H108" s="7">
        <f t="shared" si="5"/>
        <v>4</v>
      </c>
      <c r="I108" s="7">
        <f t="shared" si="6"/>
        <v>7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Row],[CORREO]],1),E109)</f>
        <v>0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Programados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Row],[CORREO]],1),E110)</f>
        <v>45684.402083333334</v>
      </c>
      <c r="G110" s="11">
        <v>45685</v>
      </c>
      <c r="H110" s="7">
        <f t="shared" si="5"/>
        <v>4</v>
      </c>
      <c r="I110" s="7">
        <f t="shared" si="6"/>
        <v>2</v>
      </c>
      <c r="J110" s="7" t="str">
        <f t="shared" si="7"/>
        <v>Dentro</v>
      </c>
      <c r="K110" s="7" t="str">
        <f t="shared" si="8"/>
        <v>A tiempo</v>
      </c>
      <c r="L110" s="11">
        <v>45684</v>
      </c>
      <c r="M110" s="22">
        <f t="shared" si="9"/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Row],[CORREO]],1),E111)</f>
        <v>0</v>
      </c>
      <c r="G111" s="11">
        <v>45686</v>
      </c>
      <c r="H111" s="7">
        <f t="shared" si="5"/>
        <v>4</v>
      </c>
      <c r="I111" s="7">
        <f t="shared" si="6"/>
        <v>3</v>
      </c>
      <c r="J111" s="7" t="str">
        <f t="shared" si="7"/>
        <v>Dentro</v>
      </c>
      <c r="K111" s="7" t="str">
        <f t="shared" si="8"/>
        <v>Programados</v>
      </c>
      <c r="L111" s="11">
        <v>45684</v>
      </c>
      <c r="M111" s="22">
        <f t="shared" si="9"/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Row],[CORREO]],1),E112)</f>
        <v>45685</v>
      </c>
      <c r="G112" s="11">
        <v>45688</v>
      </c>
      <c r="H112" s="7">
        <f t="shared" si="5"/>
        <v>4</v>
      </c>
      <c r="I112" s="7">
        <f t="shared" si="6"/>
        <v>4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Row],[CORREO]],1),E114)</f>
        <v>45685</v>
      </c>
      <c r="G114" s="11">
        <v>45685</v>
      </c>
      <c r="H114" s="7">
        <f t="shared" si="5"/>
        <v>4</v>
      </c>
      <c r="I114" s="7">
        <f t="shared" si="6"/>
        <v>1</v>
      </c>
      <c r="J114" s="7" t="str">
        <f t="shared" si="7"/>
        <v>Dentro</v>
      </c>
      <c r="K114" s="7" t="str">
        <f t="shared" si="8"/>
        <v>A tiempo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Row],[CORREO]],1),E115)</f>
        <v>45665</v>
      </c>
      <c r="G115" s="11">
        <v>45694</v>
      </c>
      <c r="H115" s="7">
        <f t="shared" si="5"/>
        <v>4</v>
      </c>
      <c r="I115" s="7">
        <f t="shared" si="6"/>
        <v>8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Row],[CORREO]],1),E116)</f>
        <v>0</v>
      </c>
      <c r="G116" s="11">
        <v>45712</v>
      </c>
      <c r="H116" s="7">
        <f t="shared" si="5"/>
        <v>4</v>
      </c>
      <c r="I116" s="7">
        <f t="shared" si="6"/>
        <v>20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Row],[CORREO]],1),E117)</f>
        <v>0</v>
      </c>
      <c r="G117" s="11">
        <v>45708</v>
      </c>
      <c r="H117" s="7">
        <f t="shared" si="5"/>
        <v>4</v>
      </c>
      <c r="I117" s="7">
        <f t="shared" si="6"/>
        <v>18</v>
      </c>
      <c r="J117" s="7" t="str">
        <f t="shared" si="7"/>
        <v>Programado</v>
      </c>
      <c r="K117" s="7" t="str">
        <f t="shared" si="8"/>
        <v>Programados</v>
      </c>
      <c r="L117" s="11">
        <v>45685</v>
      </c>
      <c r="M117" s="22">
        <f t="shared" si="9"/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Row],[CORREO]],1),E120)</f>
        <v>45686</v>
      </c>
      <c r="G120" s="5">
        <v>45688</v>
      </c>
      <c r="H120" s="7">
        <f t="shared" si="5"/>
        <v>5</v>
      </c>
      <c r="I120" s="7">
        <f t="shared" si="6"/>
        <v>3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Row],[CORREO]],1),E121)</f>
        <v>45686</v>
      </c>
      <c r="G121" s="5">
        <v>45694</v>
      </c>
      <c r="H121" s="7">
        <f t="shared" si="5"/>
        <v>5</v>
      </c>
      <c r="I121" s="7">
        <f t="shared" si="6"/>
        <v>7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Row],[CORREO]],1),E122)</f>
        <v>45686.447222222225</v>
      </c>
      <c r="G122" s="5">
        <v>45688</v>
      </c>
      <c r="H122" s="7">
        <f t="shared" si="5"/>
        <v>5</v>
      </c>
      <c r="I122" s="7">
        <f t="shared" si="6"/>
        <v>3</v>
      </c>
      <c r="J122" s="7" t="str">
        <f t="shared" si="7"/>
        <v>Dentro</v>
      </c>
      <c r="K122" s="7" t="str">
        <f t="shared" si="8"/>
        <v>A tiempo</v>
      </c>
      <c r="L122" s="11">
        <v>45686</v>
      </c>
      <c r="M122" s="22">
        <f t="shared" si="9"/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45688</v>
      </c>
      <c r="M123" s="22">
        <f t="shared" si="9"/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Row],[CORREO]],1),E124)</f>
        <v>45687</v>
      </c>
      <c r="G124" s="5">
        <v>45694</v>
      </c>
      <c r="H124" s="7">
        <f t="shared" si="5"/>
        <v>5</v>
      </c>
      <c r="I124" s="7">
        <f t="shared" si="6"/>
        <v>6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Row],[CORREO]],1),E125)</f>
        <v>45687</v>
      </c>
      <c r="G125" s="5">
        <v>45693</v>
      </c>
      <c r="H125" s="7">
        <f t="shared" si="5"/>
        <v>5</v>
      </c>
      <c r="I125" s="7">
        <f t="shared" si="6"/>
        <v>5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Row],[CORREO]],1),E126)</f>
        <v>45687</v>
      </c>
      <c r="G126" s="5">
        <v>45692</v>
      </c>
      <c r="H126" s="7">
        <f t="shared" si="5"/>
        <v>5</v>
      </c>
      <c r="I126" s="7">
        <f t="shared" si="6"/>
        <v>4</v>
      </c>
      <c r="J126" s="7" t="str">
        <f t="shared" si="7"/>
        <v>Dentro</v>
      </c>
      <c r="K126" s="7" t="str">
        <f t="shared" si="8"/>
        <v>A tiempo</v>
      </c>
      <c r="L126" s="11">
        <v>45687</v>
      </c>
      <c r="M126" s="22">
        <f t="shared" si="9"/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Row],[CORREO]],1),E127)</f>
        <v>0</v>
      </c>
      <c r="G127" s="5">
        <v>45702</v>
      </c>
      <c r="H127" s="7">
        <f t="shared" si="5"/>
        <v>5</v>
      </c>
      <c r="I127" s="7">
        <f t="shared" si="6"/>
        <v>12</v>
      </c>
      <c r="J127" s="7" t="str">
        <f t="shared" si="7"/>
        <v>Programado</v>
      </c>
      <c r="K127" s="7" t="str">
        <f t="shared" si="8"/>
        <v>Programados</v>
      </c>
      <c r="L127" s="11">
        <v>45687</v>
      </c>
      <c r="M127" s="22">
        <f t="shared" si="9"/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Row],[CORREO]],1),E128)</f>
        <v>0</v>
      </c>
      <c r="G128" s="5">
        <v>45688</v>
      </c>
      <c r="H128" s="7">
        <f t="shared" si="5"/>
        <v>4</v>
      </c>
      <c r="I128" s="7">
        <f t="shared" si="6"/>
        <v>4</v>
      </c>
      <c r="J128" s="7" t="str">
        <f t="shared" si="7"/>
        <v>Dentro</v>
      </c>
      <c r="K128" s="7" t="str">
        <f t="shared" si="8"/>
        <v>Programados</v>
      </c>
      <c r="L128" s="11">
        <v>45687</v>
      </c>
      <c r="M128" s="22">
        <f t="shared" si="9"/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Row],[CORREO]],1),E129)</f>
        <v>45688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Row],[CORREO]],1),E130)</f>
        <v>45688.378472222219</v>
      </c>
      <c r="G130" s="5">
        <v>45688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1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A tiempo</v>
      </c>
      <c r="L130" s="11">
        <v>45688</v>
      </c>
      <c r="M130" s="22">
        <f t="shared" ref="M130:M193" si="14">MAX(1,NETWORKDAYS(A130,L130))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Row],[CORREO]],1),E131)</f>
        <v>45687.45</v>
      </c>
      <c r="G131" s="5">
        <v>45692</v>
      </c>
      <c r="H131" s="7">
        <f t="shared" si="10"/>
        <v>5</v>
      </c>
      <c r="I131" s="7">
        <f t="shared" si="11"/>
        <v>3</v>
      </c>
      <c r="J131" s="7" t="str">
        <f t="shared" si="12"/>
        <v>Dentro</v>
      </c>
      <c r="K131" s="7" t="str">
        <f t="shared" si="13"/>
        <v>Programados</v>
      </c>
      <c r="L131" s="11">
        <v>45692</v>
      </c>
      <c r="M131" s="22">
        <f t="shared" si="14"/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Row],[CORREO]],1),E132)</f>
        <v>45688</v>
      </c>
      <c r="G132" s="5">
        <v>45720</v>
      </c>
      <c r="H132" s="7">
        <f t="shared" si="10"/>
        <v>5</v>
      </c>
      <c r="I132" s="7">
        <f t="shared" si="11"/>
        <v>21</v>
      </c>
      <c r="J132" s="7" t="str">
        <f t="shared" si="12"/>
        <v>Programado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Row],[CORREO]],1),E133)</f>
        <v>45691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Programados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Row],[CORREO]],1),E134)</f>
        <v>45692.324305555558</v>
      </c>
      <c r="G134" s="5">
        <v>45692</v>
      </c>
      <c r="H134" s="7">
        <f t="shared" si="10"/>
        <v>5</v>
      </c>
      <c r="I134" s="7">
        <f t="shared" si="11"/>
        <v>1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45694</v>
      </c>
      <c r="H135" s="7">
        <f t="shared" si="10"/>
        <v>5</v>
      </c>
      <c r="I135" s="7">
        <f t="shared" si="11"/>
        <v>3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Row],[CORREO]],1),E136)</f>
        <v>45692.380555555559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A tiempo</v>
      </c>
      <c r="L136" s="11">
        <v>45692</v>
      </c>
      <c r="M136" s="22">
        <f t="shared" si="14"/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Row],[CORREO]],1),E137)</f>
        <v>0</v>
      </c>
      <c r="G137" s="5">
        <v>45695</v>
      </c>
      <c r="H137" s="7">
        <f t="shared" si="10"/>
        <v>5</v>
      </c>
      <c r="I137" s="7">
        <f t="shared" si="11"/>
        <v>4</v>
      </c>
      <c r="J137" s="7" t="str">
        <f t="shared" si="12"/>
        <v>Dentro</v>
      </c>
      <c r="K137" s="7" t="str">
        <f t="shared" si="13"/>
        <v>Programados</v>
      </c>
      <c r="L137" s="11">
        <v>45692</v>
      </c>
      <c r="M137" s="22">
        <f t="shared" si="14"/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Row],[CORREO]],1),E138)</f>
        <v>45694</v>
      </c>
      <c r="G138" s="5">
        <v>45693</v>
      </c>
      <c r="H138" s="7">
        <f t="shared" si="10"/>
        <v>6</v>
      </c>
      <c r="I138" s="7">
        <f t="shared" si="11"/>
        <v>1</v>
      </c>
      <c r="J138" s="7" t="str">
        <f t="shared" si="12"/>
        <v>Dentro</v>
      </c>
      <c r="K138" s="7" t="str">
        <f t="shared" si="13"/>
        <v>Mismo día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Row],[CORREO]],1),E139)</f>
        <v>45693.338888888888</v>
      </c>
      <c r="G139" s="5">
        <v>45723</v>
      </c>
      <c r="H139" s="7">
        <f t="shared" si="10"/>
        <v>6</v>
      </c>
      <c r="I139" s="7">
        <f t="shared" si="11"/>
        <v>23</v>
      </c>
      <c r="J139" s="7" t="str">
        <f t="shared" si="12"/>
        <v>Fuera</v>
      </c>
      <c r="K139" s="7" t="str">
        <f t="shared" si="13"/>
        <v>A tiempo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45701</v>
      </c>
      <c r="H141" s="7">
        <f t="shared" si="10"/>
        <v>6</v>
      </c>
      <c r="I141" s="7">
        <f t="shared" si="11"/>
        <v>7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Row],[CORREO]],1),E144)</f>
        <v>0</v>
      </c>
      <c r="G144" s="5">
        <v>45698</v>
      </c>
      <c r="H144" s="7">
        <f t="shared" si="10"/>
        <v>6</v>
      </c>
      <c r="I144" s="7">
        <f t="shared" si="11"/>
        <v>4</v>
      </c>
      <c r="J144" s="7" t="str">
        <f t="shared" si="12"/>
        <v>Dentro</v>
      </c>
      <c r="K144" s="7" t="str">
        <f t="shared" si="13"/>
        <v>Programados</v>
      </c>
      <c r="L144" s="11">
        <v>45693</v>
      </c>
      <c r="M144" s="22">
        <f t="shared" si="14"/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Row],[CORREO]],1),E145)</f>
        <v>45694</v>
      </c>
      <c r="G145" s="5">
        <v>45695</v>
      </c>
      <c r="H145" s="7">
        <f t="shared" si="10"/>
        <v>6</v>
      </c>
      <c r="I145" s="7">
        <f t="shared" si="11"/>
        <v>2</v>
      </c>
      <c r="J145" s="7" t="str">
        <f t="shared" si="12"/>
        <v>Dentro</v>
      </c>
      <c r="K145" s="7" t="str">
        <f t="shared" si="13"/>
        <v>A tiempo</v>
      </c>
      <c r="L145" s="11">
        <v>45694</v>
      </c>
      <c r="M145" s="22">
        <f t="shared" si="14"/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Row],[CORREO]],1),E146)</f>
        <v>45694</v>
      </c>
      <c r="G146" s="5">
        <v>45705</v>
      </c>
      <c r="H146" s="7">
        <f t="shared" si="10"/>
        <v>6</v>
      </c>
      <c r="I146" s="7">
        <f t="shared" si="11"/>
        <v>8</v>
      </c>
      <c r="J146" s="7" t="str">
        <f t="shared" si="12"/>
        <v>Fuera</v>
      </c>
      <c r="K146" s="7" t="str">
        <f t="shared" si="13"/>
        <v>A tiempo</v>
      </c>
      <c r="L146" s="11">
        <v>45699</v>
      </c>
      <c r="M146" s="22">
        <f t="shared" si="14"/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Row],[CORREO]],1),E147)</f>
        <v>45694</v>
      </c>
      <c r="G147" s="5">
        <v>45694</v>
      </c>
      <c r="H147" s="7">
        <f t="shared" si="10"/>
        <v>6</v>
      </c>
      <c r="I147" s="7">
        <f t="shared" si="11"/>
        <v>1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Row],[CORREO]],1),E148)</f>
        <v>45694</v>
      </c>
      <c r="G148" s="5">
        <v>45695</v>
      </c>
      <c r="H148" s="7">
        <f t="shared" si="10"/>
        <v>6</v>
      </c>
      <c r="I148" s="7">
        <f t="shared" si="11"/>
        <v>2</v>
      </c>
      <c r="J148" s="7" t="str">
        <f t="shared" si="12"/>
        <v>Dentro</v>
      </c>
      <c r="K148" s="7" t="str">
        <f t="shared" si="13"/>
        <v>A tiempo</v>
      </c>
      <c r="L148" s="11">
        <v>45694</v>
      </c>
      <c r="M148" s="22">
        <f t="shared" si="14"/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Row],[CORREO]],1),E149)</f>
        <v>45694.397222222222</v>
      </c>
      <c r="G149" s="5">
        <v>45699</v>
      </c>
      <c r="H149" s="7">
        <f t="shared" si="10"/>
        <v>6</v>
      </c>
      <c r="I149" s="7">
        <f t="shared" si="11"/>
        <v>4</v>
      </c>
      <c r="J149" s="7" t="str">
        <f t="shared" si="12"/>
        <v>Dentro</v>
      </c>
      <c r="K149" s="7" t="str">
        <f t="shared" si="13"/>
        <v>A tiempo</v>
      </c>
      <c r="L149" s="11">
        <v>45695</v>
      </c>
      <c r="M149" s="22">
        <f t="shared" si="14"/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Row],[CORREO]],1),E150)</f>
        <v>45694.4375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Row],[CORREO]],1),E151)</f>
        <v>45694.45208333333</v>
      </c>
      <c r="G151" s="5">
        <v>45695</v>
      </c>
      <c r="H151" s="7">
        <f t="shared" si="10"/>
        <v>6</v>
      </c>
      <c r="I151" s="7">
        <f t="shared" si="11"/>
        <v>2</v>
      </c>
      <c r="J151" s="7" t="str">
        <f t="shared" si="12"/>
        <v>Dentro</v>
      </c>
      <c r="K151" s="7" t="str">
        <f t="shared" si="13"/>
        <v>A tiempo</v>
      </c>
      <c r="L151" s="11">
        <v>45694</v>
      </c>
      <c r="M151" s="22">
        <f t="shared" si="14"/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Row],[CORREO]],1),E152)</f>
        <v>45695</v>
      </c>
      <c r="G152" s="5">
        <v>45714</v>
      </c>
      <c r="H152" s="7">
        <f t="shared" si="10"/>
        <v>6</v>
      </c>
      <c r="I152" s="7">
        <f t="shared" si="11"/>
        <v>15</v>
      </c>
      <c r="J152" s="7" t="str">
        <f t="shared" si="12"/>
        <v>Fuera</v>
      </c>
      <c r="K152" s="7" t="str">
        <f t="shared" si="13"/>
        <v>Mismo día</v>
      </c>
      <c r="L152" s="11">
        <v>45695</v>
      </c>
      <c r="M152" s="22">
        <f t="shared" si="14"/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Row],[CORREO]],1),E153)</f>
        <v>45695.371527777781</v>
      </c>
      <c r="G153" s="5">
        <v>45695</v>
      </c>
      <c r="H153" s="7">
        <f t="shared" si="10"/>
        <v>6</v>
      </c>
      <c r="I153" s="7">
        <f t="shared" si="11"/>
        <v>1</v>
      </c>
      <c r="J153" s="7" t="str">
        <f t="shared" si="12"/>
        <v>Dentro</v>
      </c>
      <c r="K153" s="7" t="str">
        <f t="shared" si="13"/>
        <v>A tiempo</v>
      </c>
      <c r="L153" s="11">
        <v>45695</v>
      </c>
      <c r="M153" s="22">
        <f t="shared" si="14"/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Row],[CORREO]],1),E154)</f>
        <v>45698</v>
      </c>
      <c r="G154" s="5">
        <v>45709</v>
      </c>
      <c r="H154" s="7">
        <f t="shared" si="10"/>
        <v>6</v>
      </c>
      <c r="I154" s="7">
        <f t="shared" si="11"/>
        <v>10</v>
      </c>
      <c r="J154" s="7" t="str">
        <f t="shared" si="12"/>
        <v>Fuera</v>
      </c>
      <c r="K154" s="7" t="str">
        <f t="shared" si="13"/>
        <v>A tiempo</v>
      </c>
      <c r="L154" s="11">
        <v>45709</v>
      </c>
      <c r="M154" s="22">
        <f t="shared" si="14"/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Row],[CORREO]],1),E155)</f>
        <v>0</v>
      </c>
      <c r="G155" s="5">
        <v>45702</v>
      </c>
      <c r="H155" s="7">
        <f t="shared" si="10"/>
        <v>6</v>
      </c>
      <c r="I155" s="7">
        <f t="shared" si="11"/>
        <v>5</v>
      </c>
      <c r="J155" s="7" t="str">
        <f t="shared" si="12"/>
        <v>Dentro</v>
      </c>
      <c r="K155" s="7" t="str">
        <f t="shared" si="13"/>
        <v>Programados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Row],[CORREO]],1),E156)</f>
        <v>45698.371527777781</v>
      </c>
      <c r="G156" s="5">
        <v>45698</v>
      </c>
      <c r="H156" s="7">
        <f t="shared" si="10"/>
        <v>6</v>
      </c>
      <c r="I156" s="7">
        <f t="shared" si="11"/>
        <v>1</v>
      </c>
      <c r="J156" s="7" t="str">
        <f t="shared" si="12"/>
        <v>Dentro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Row],[CORREO]],1),E157)</f>
        <v>45698.424305555556</v>
      </c>
      <c r="G157" s="5">
        <v>45735</v>
      </c>
      <c r="H157" s="7">
        <f t="shared" si="10"/>
        <v>6</v>
      </c>
      <c r="I157" s="7">
        <f t="shared" si="11"/>
        <v>28</v>
      </c>
      <c r="J157" s="7" t="str">
        <f t="shared" si="12"/>
        <v>Fuera</v>
      </c>
      <c r="K157" s="7" t="str">
        <f t="shared" si="13"/>
        <v>A tiempo</v>
      </c>
      <c r="L157" s="11">
        <v>45698</v>
      </c>
      <c r="M157" s="22">
        <f t="shared" si="14"/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Row],[CORREO]],1),E158)</f>
        <v>45698.447916666664</v>
      </c>
      <c r="G158" s="5">
        <v>45702</v>
      </c>
      <c r="H158" s="7">
        <f t="shared" si="10"/>
        <v>6</v>
      </c>
      <c r="I158" s="7">
        <f t="shared" si="11"/>
        <v>5</v>
      </c>
      <c r="J158" s="7" t="str">
        <f t="shared" si="12"/>
        <v>Dentro</v>
      </c>
      <c r="K158" s="7" t="str">
        <f t="shared" si="13"/>
        <v>A tiempo</v>
      </c>
      <c r="L158" s="11">
        <v>45702</v>
      </c>
      <c r="M158" s="22">
        <f t="shared" si="14"/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Row],[CORREO]],1),E159)</f>
        <v>45699</v>
      </c>
      <c r="G159" s="5">
        <v>45700</v>
      </c>
      <c r="H159" s="7">
        <f t="shared" si="10"/>
        <v>6</v>
      </c>
      <c r="I159" s="7">
        <f t="shared" si="11"/>
        <v>2</v>
      </c>
      <c r="J159" s="7" t="str">
        <f t="shared" si="12"/>
        <v>Dentro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Row],[CORREO]],1),E160)</f>
        <v>45699</v>
      </c>
      <c r="G160" s="5">
        <v>45709</v>
      </c>
      <c r="H160" s="7">
        <f t="shared" si="10"/>
        <v>6</v>
      </c>
      <c r="I160" s="7">
        <f t="shared" si="11"/>
        <v>9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Row],[CORREO]],1),E161)</f>
        <v>45699</v>
      </c>
      <c r="G161" s="5">
        <v>45727</v>
      </c>
      <c r="H161" s="7">
        <f t="shared" si="10"/>
        <v>6</v>
      </c>
      <c r="I161" s="7">
        <f t="shared" si="11"/>
        <v>21</v>
      </c>
      <c r="J161" s="7" t="str">
        <f t="shared" si="12"/>
        <v>Fuera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Row],[CORREO]],1),E162)</f>
        <v>45699</v>
      </c>
      <c r="G162" s="5">
        <v>45701</v>
      </c>
      <c r="H162" s="7">
        <f t="shared" si="10"/>
        <v>6</v>
      </c>
      <c r="I162" s="7">
        <f t="shared" si="11"/>
        <v>3</v>
      </c>
      <c r="J162" s="7" t="str">
        <f t="shared" si="12"/>
        <v>Dentro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Row],[CORREO]],1),E163)</f>
        <v>45699</v>
      </c>
      <c r="G163" s="5">
        <v>45716</v>
      </c>
      <c r="H163" s="7">
        <f t="shared" si="10"/>
        <v>6</v>
      </c>
      <c r="I163" s="7">
        <f t="shared" si="11"/>
        <v>14</v>
      </c>
      <c r="J163" s="7" t="str">
        <f t="shared" si="12"/>
        <v>Fuera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Row],[CORREO]],1),E165)</f>
        <v>45699</v>
      </c>
      <c r="G165" s="5">
        <v>45706</v>
      </c>
      <c r="H165" s="7">
        <f t="shared" si="10"/>
        <v>6</v>
      </c>
      <c r="I165" s="7">
        <f t="shared" si="11"/>
        <v>6</v>
      </c>
      <c r="J165" s="7" t="str">
        <f t="shared" si="12"/>
        <v>Dentro</v>
      </c>
      <c r="K165" s="7" t="str">
        <f t="shared" si="13"/>
        <v>A tiempo</v>
      </c>
      <c r="L165" s="11">
        <v>45699</v>
      </c>
      <c r="M165" s="22">
        <f t="shared" si="14"/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45701</v>
      </c>
      <c r="M166" s="22">
        <f t="shared" si="14"/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Row],[CORREO]],1),E167)</f>
        <v>45700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45702</v>
      </c>
      <c r="M167" s="22">
        <f t="shared" si="14"/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Row],[CORREO]],1),E168)</f>
        <v>45700.326388888891</v>
      </c>
      <c r="G168" s="5">
        <v>45702</v>
      </c>
      <c r="H168" s="7">
        <f t="shared" si="10"/>
        <v>7</v>
      </c>
      <c r="I168" s="7">
        <f t="shared" si="11"/>
        <v>3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Row],[CORREO]],1),E169)</f>
        <v>45700.43472222222</v>
      </c>
      <c r="G169" s="5">
        <v>45706</v>
      </c>
      <c r="H169" s="7">
        <f t="shared" si="10"/>
        <v>7</v>
      </c>
      <c r="I169" s="7">
        <f t="shared" si="11"/>
        <v>5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Row],[CORREO]],1),E170)</f>
        <v>45700.397222222222</v>
      </c>
      <c r="G170" s="5">
        <v>45700</v>
      </c>
      <c r="H170" s="7">
        <f t="shared" si="10"/>
        <v>7</v>
      </c>
      <c r="I170" s="7">
        <f t="shared" si="11"/>
        <v>1</v>
      </c>
      <c r="J170" s="7" t="str">
        <f t="shared" si="12"/>
        <v>Dentro</v>
      </c>
      <c r="K170" s="7" t="str">
        <f t="shared" si="13"/>
        <v>A tiempo</v>
      </c>
      <c r="L170" s="11">
        <v>45700</v>
      </c>
      <c r="M170" s="22">
        <f t="shared" si="14"/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Row],[CORREO]],1),E171)</f>
        <v>0</v>
      </c>
      <c r="G171" s="5">
        <v>45714</v>
      </c>
      <c r="H171" s="7">
        <f t="shared" si="10"/>
        <v>7</v>
      </c>
      <c r="I171" s="7">
        <f t="shared" si="11"/>
        <v>11</v>
      </c>
      <c r="J171" s="7" t="str">
        <f t="shared" si="12"/>
        <v>Programado</v>
      </c>
      <c r="K171" s="7" t="str">
        <f t="shared" si="13"/>
        <v>Programados</v>
      </c>
      <c r="L171" s="11"/>
      <c r="M171" s="22">
        <f t="shared" si="14"/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Row],[CORREO]],1),E172)</f>
        <v>45701</v>
      </c>
      <c r="G172" s="5">
        <v>45702</v>
      </c>
      <c r="H172" s="7">
        <f t="shared" si="10"/>
        <v>7</v>
      </c>
      <c r="I172" s="7">
        <f t="shared" si="11"/>
        <v>3</v>
      </c>
      <c r="J172" s="7" t="str">
        <f t="shared" si="12"/>
        <v>Dentro</v>
      </c>
      <c r="K172" s="7" t="str">
        <f t="shared" si="13"/>
        <v>Mismo día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Row],[CORREO]],1),E173)</f>
        <v>0</v>
      </c>
      <c r="G173" s="5">
        <v>45716</v>
      </c>
      <c r="H173" s="7">
        <f t="shared" si="10"/>
        <v>7</v>
      </c>
      <c r="I173" s="7">
        <f t="shared" si="11"/>
        <v>12</v>
      </c>
      <c r="J173" s="7" t="str">
        <f t="shared" si="12"/>
        <v>Programado</v>
      </c>
      <c r="K173" s="7" t="str">
        <f t="shared" si="13"/>
        <v>Programados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Row],[CORREO]],1),E174)</f>
        <v>45701.364583333336</v>
      </c>
      <c r="G174" s="5">
        <v>45702</v>
      </c>
      <c r="H174" s="7">
        <f t="shared" si="10"/>
        <v>7</v>
      </c>
      <c r="I174" s="7">
        <f t="shared" si="11"/>
        <v>2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Row],[CORREO]],1),E175)</f>
        <v>45701.367361111108</v>
      </c>
      <c r="G175" s="5">
        <v>45706</v>
      </c>
      <c r="H175" s="7">
        <f t="shared" si="10"/>
        <v>7</v>
      </c>
      <c r="I175" s="7">
        <f t="shared" si="11"/>
        <v>4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Row],[CORREO]],1),E176)</f>
        <v>45702</v>
      </c>
      <c r="G176" s="5">
        <v>45706</v>
      </c>
      <c r="H176" s="7">
        <f t="shared" si="10"/>
        <v>7</v>
      </c>
      <c r="I176" s="7">
        <f t="shared" si="11"/>
        <v>3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Row],[CORREO]],1),E177)</f>
        <v>45702</v>
      </c>
      <c r="G177" s="5">
        <v>45702</v>
      </c>
      <c r="H177" s="7">
        <f t="shared" si="10"/>
        <v>7</v>
      </c>
      <c r="I177" s="7">
        <f t="shared" si="11"/>
        <v>1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Row],[CORREO]],1),E178)</f>
        <v>45702</v>
      </c>
      <c r="G178" s="5">
        <v>45705</v>
      </c>
      <c r="H178" s="7">
        <f t="shared" si="10"/>
        <v>7</v>
      </c>
      <c r="I178" s="7">
        <f t="shared" si="11"/>
        <v>2</v>
      </c>
      <c r="J178" s="7" t="str">
        <f t="shared" si="12"/>
        <v>Dentro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Row],[CORREO]],1),E179)</f>
        <v>45702</v>
      </c>
      <c r="G179" s="5">
        <v>45719</v>
      </c>
      <c r="H179" s="7">
        <f t="shared" si="10"/>
        <v>7</v>
      </c>
      <c r="I179" s="7">
        <f t="shared" si="11"/>
        <v>12</v>
      </c>
      <c r="J179" s="7" t="str">
        <f t="shared" si="12"/>
        <v>Fuera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Row],[CORREO]],1),E180)</f>
        <v>45702</v>
      </c>
      <c r="G180" s="5">
        <v>45702</v>
      </c>
      <c r="H180" s="7">
        <f t="shared" si="10"/>
        <v>7</v>
      </c>
      <c r="I180" s="7">
        <f t="shared" si="11"/>
        <v>1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Row],[CORREO]],1),E181)</f>
        <v>45702</v>
      </c>
      <c r="G181" s="5">
        <v>45708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A tiempo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Row],[CORREO]],1),E182)</f>
        <v>0</v>
      </c>
      <c r="G182" s="5">
        <v>45709</v>
      </c>
      <c r="H182" s="7">
        <f t="shared" si="10"/>
        <v>7</v>
      </c>
      <c r="I182" s="7">
        <f t="shared" si="11"/>
        <v>5</v>
      </c>
      <c r="J182" s="7" t="str">
        <f t="shared" si="12"/>
        <v>Dentro</v>
      </c>
      <c r="K182" s="7" t="str">
        <f t="shared" si="13"/>
        <v>Programados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Row],[CORREO]],1),E183)</f>
        <v>45705</v>
      </c>
      <c r="G183" s="5">
        <v>45714</v>
      </c>
      <c r="H183" s="7">
        <f t="shared" si="10"/>
        <v>7</v>
      </c>
      <c r="I183" s="7">
        <f t="shared" si="11"/>
        <v>8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Row],[CORREO]],1),E184)</f>
        <v>45705.370138888888</v>
      </c>
      <c r="G184" s="5">
        <v>45720</v>
      </c>
      <c r="H184" s="7">
        <f t="shared" si="10"/>
        <v>7</v>
      </c>
      <c r="I184" s="7">
        <f t="shared" si="11"/>
        <v>12</v>
      </c>
      <c r="J184" s="7" t="str">
        <f t="shared" si="12"/>
        <v>Fuera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Row],[CORREO]],1),E185)</f>
        <v>45705.397916666669</v>
      </c>
      <c r="G185" s="5">
        <v>45705</v>
      </c>
      <c r="H185" s="7">
        <f t="shared" si="10"/>
        <v>7</v>
      </c>
      <c r="I185" s="7">
        <f t="shared" si="11"/>
        <v>1</v>
      </c>
      <c r="J185" s="7" t="str">
        <f t="shared" si="12"/>
        <v>Dentro</v>
      </c>
      <c r="K185" s="7" t="str">
        <f t="shared" si="13"/>
        <v>A tiempo</v>
      </c>
      <c r="L185" s="11"/>
      <c r="M185" s="22">
        <f t="shared" si="14"/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Row],[CORREO]],1),E186)</f>
        <v>45705.438888888886</v>
      </c>
      <c r="G186" s="5">
        <v>45757</v>
      </c>
      <c r="H186" s="7">
        <f t="shared" si="10"/>
        <v>9</v>
      </c>
      <c r="I186" s="7">
        <f t="shared" si="11"/>
        <v>28</v>
      </c>
      <c r="J186" s="7" t="str">
        <f t="shared" si="12"/>
        <v>Programado</v>
      </c>
      <c r="K186" s="7" t="str">
        <f t="shared" si="13"/>
        <v>Programados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Row],[CORREO]],1),E187)</f>
        <v>45705.448611111111</v>
      </c>
      <c r="G187" s="5">
        <v>45714</v>
      </c>
      <c r="H187" s="7">
        <f t="shared" si="10"/>
        <v>7</v>
      </c>
      <c r="I187" s="7">
        <f t="shared" si="11"/>
        <v>8</v>
      </c>
      <c r="J187" s="7" t="str">
        <f t="shared" si="12"/>
        <v>Fuera</v>
      </c>
      <c r="K187" s="7" t="str">
        <f t="shared" si="13"/>
        <v>A tiempo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Row],[CORREO]],1),E188)</f>
        <v>45706</v>
      </c>
      <c r="G188" s="5">
        <v>45707</v>
      </c>
      <c r="H188" s="7">
        <f t="shared" si="10"/>
        <v>7</v>
      </c>
      <c r="I188" s="7">
        <f t="shared" si="11"/>
        <v>3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Row],[CORREO]],1),E189)</f>
        <v>45706</v>
      </c>
      <c r="G189" s="5">
        <v>45706</v>
      </c>
      <c r="H189" s="7">
        <f t="shared" si="10"/>
        <v>7</v>
      </c>
      <c r="I189" s="7">
        <f t="shared" si="11"/>
        <v>2</v>
      </c>
      <c r="J189" s="7" t="str">
        <f t="shared" si="12"/>
        <v>Dentro</v>
      </c>
      <c r="K189" s="7" t="str">
        <f t="shared" si="13"/>
        <v>Mismo día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Row],[CORREO]],1),E190)</f>
        <v>45706</v>
      </c>
      <c r="G190" s="5">
        <v>45714</v>
      </c>
      <c r="H190" s="7">
        <f t="shared" si="10"/>
        <v>7</v>
      </c>
      <c r="I190" s="7">
        <f t="shared" si="11"/>
        <v>7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Row],[CORREO]],1),E192)</f>
        <v>45706</v>
      </c>
      <c r="G192" s="5">
        <v>45706</v>
      </c>
      <c r="H192" s="7">
        <f t="shared" si="10"/>
        <v>7</v>
      </c>
      <c r="I192" s="7">
        <f t="shared" si="11"/>
        <v>1</v>
      </c>
      <c r="J192" s="7" t="str">
        <f t="shared" si="12"/>
        <v>Dentro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Row],[CORREO]],1),E193)</f>
        <v>45706</v>
      </c>
      <c r="G193" s="5">
        <v>45727</v>
      </c>
      <c r="H193" s="7">
        <f t="shared" si="10"/>
        <v>7</v>
      </c>
      <c r="I193" s="7">
        <f t="shared" si="11"/>
        <v>16</v>
      </c>
      <c r="J193" s="7" t="str">
        <f t="shared" si="12"/>
        <v>Fuera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Row],[CORREO]],1),E194)</f>
        <v>45706.331944444442</v>
      </c>
      <c r="G194" s="5">
        <v>45714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7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Row],[CORREO]],1),E195)</f>
        <v>45706.426388888889</v>
      </c>
      <c r="G195" s="5">
        <v>45706</v>
      </c>
      <c r="H195" s="7">
        <f t="shared" si="15"/>
        <v>7</v>
      </c>
      <c r="I195" s="7">
        <f t="shared" si="16"/>
        <v>1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Row],[CORREO]],1),E196)</f>
        <v>45706</v>
      </c>
      <c r="G196" s="5">
        <v>45714</v>
      </c>
      <c r="H196" s="7">
        <f t="shared" si="15"/>
        <v>7</v>
      </c>
      <c r="I196" s="7">
        <f t="shared" si="16"/>
        <v>7</v>
      </c>
      <c r="J196" s="7" t="str">
        <f t="shared" si="17"/>
        <v>Dentro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Row],[CORREO]],1),E197)</f>
        <v>45707</v>
      </c>
      <c r="G197" s="5">
        <v>45727</v>
      </c>
      <c r="H197" s="7">
        <f t="shared" si="15"/>
        <v>8</v>
      </c>
      <c r="I197" s="7">
        <f t="shared" si="16"/>
        <v>15</v>
      </c>
      <c r="J197" s="7" t="str">
        <f t="shared" si="17"/>
        <v>Fuera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Row],[CORREO]],1),E198)</f>
        <v>45707</v>
      </c>
      <c r="G198" s="5">
        <v>45712</v>
      </c>
      <c r="H198" s="7">
        <f t="shared" si="15"/>
        <v>8</v>
      </c>
      <c r="I198" s="7">
        <f t="shared" si="16"/>
        <v>4</v>
      </c>
      <c r="J198" s="7" t="str">
        <f t="shared" si="17"/>
        <v>Dentro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Row],[CORREO]],1),E199)</f>
        <v>45707</v>
      </c>
      <c r="G199" s="5">
        <v>45727</v>
      </c>
      <c r="H199" s="7">
        <f t="shared" si="15"/>
        <v>8</v>
      </c>
      <c r="I199" s="7">
        <f t="shared" si="16"/>
        <v>15</v>
      </c>
      <c r="J199" s="7" t="str">
        <f t="shared" si="17"/>
        <v>Fuera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Row],[CORREO]],1),E201)</f>
        <v>45707</v>
      </c>
      <c r="G201" s="5">
        <v>45707</v>
      </c>
      <c r="H201" s="7">
        <f t="shared" si="15"/>
        <v>8</v>
      </c>
      <c r="I201" s="7">
        <f t="shared" si="16"/>
        <v>1</v>
      </c>
      <c r="J201" s="7" t="str">
        <f t="shared" si="17"/>
        <v>Dentro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Row],[CORREO]],1),E202)</f>
        <v>45707</v>
      </c>
      <c r="G202" s="5">
        <v>45720</v>
      </c>
      <c r="H202" s="7">
        <f t="shared" si="15"/>
        <v>8</v>
      </c>
      <c r="I202" s="7">
        <f t="shared" si="16"/>
        <v>10</v>
      </c>
      <c r="J202" s="7" t="str">
        <f t="shared" si="17"/>
        <v>Fuera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Row],[CORREO]],1),E203)</f>
        <v>45707.406944444447</v>
      </c>
      <c r="G203" s="5">
        <v>45709</v>
      </c>
      <c r="H203" s="7">
        <f t="shared" si="15"/>
        <v>8</v>
      </c>
      <c r="I203" s="7">
        <f t="shared" si="16"/>
        <v>3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Row],[CORREO]],1),E204)</f>
        <v>45707.453472222223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A tiempo</v>
      </c>
      <c r="L204" s="11"/>
      <c r="M204" s="22">
        <f t="shared" si="19"/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Row],[CORREO]],1),E205)</f>
        <v>45708</v>
      </c>
      <c r="G205" s="5">
        <v>45707</v>
      </c>
      <c r="H205" s="7">
        <f t="shared" si="15"/>
        <v>8</v>
      </c>
      <c r="I205" s="7">
        <f t="shared" si="16"/>
        <v>1</v>
      </c>
      <c r="J205" s="7" t="str">
        <f t="shared" si="17"/>
        <v>Dentro</v>
      </c>
      <c r="K205" s="7" t="str">
        <f t="shared" si="18"/>
        <v>Mismo día</v>
      </c>
      <c r="L205" s="11"/>
      <c r="M205" s="22">
        <f t="shared" si="19"/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Row],[CORREO]],1),E206)</f>
        <v>45708</v>
      </c>
      <c r="G206" s="5">
        <v>45709</v>
      </c>
      <c r="H206" s="7">
        <f t="shared" si="15"/>
        <v>8</v>
      </c>
      <c r="I206" s="7">
        <f t="shared" si="16"/>
        <v>2</v>
      </c>
      <c r="J206" s="7" t="str">
        <f t="shared" si="17"/>
        <v>Dentro</v>
      </c>
      <c r="K206" s="7" t="str">
        <f t="shared" si="18"/>
        <v>A tiempo</v>
      </c>
      <c r="L206" s="11"/>
      <c r="M206" s="22">
        <f t="shared" si="19"/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Row],[CORREO]],1),E207)</f>
        <v>45708</v>
      </c>
      <c r="G207" s="5">
        <v>45796</v>
      </c>
      <c r="H207" s="7">
        <f t="shared" si="15"/>
        <v>20</v>
      </c>
      <c r="I207" s="7">
        <f t="shared" si="16"/>
        <v>1</v>
      </c>
      <c r="J207" s="7" t="str">
        <f t="shared" si="17"/>
        <v>Dentro</v>
      </c>
      <c r="K207" s="7" t="str">
        <f t="shared" si="18"/>
        <v>Programados</v>
      </c>
      <c r="L207" s="13">
        <v>45708</v>
      </c>
      <c r="M207" s="22">
        <f t="shared" si="19"/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Row],[CORREO]],1),E208)</f>
        <v>45708</v>
      </c>
      <c r="G208" s="5">
        <v>45708</v>
      </c>
      <c r="H208" s="7">
        <f t="shared" si="15"/>
        <v>8</v>
      </c>
      <c r="I208" s="7">
        <f t="shared" si="16"/>
        <v>1</v>
      </c>
      <c r="J208" s="7" t="str">
        <f t="shared" si="17"/>
        <v>Dentro</v>
      </c>
      <c r="K208" s="7" t="str">
        <f t="shared" si="18"/>
        <v>A tiempo</v>
      </c>
      <c r="L208" s="11"/>
      <c r="M208" s="22">
        <f t="shared" si="19"/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Row],[CORREO]],1),E209)</f>
        <v>45708</v>
      </c>
      <c r="G209" s="5">
        <v>45792</v>
      </c>
      <c r="H209" s="7">
        <f t="shared" si="15"/>
        <v>12</v>
      </c>
      <c r="I209" s="7">
        <f t="shared" si="16"/>
        <v>39</v>
      </c>
      <c r="J209" s="7" t="str">
        <f t="shared" si="17"/>
        <v>Programado</v>
      </c>
      <c r="K209" s="7" t="str">
        <f t="shared" si="18"/>
        <v>Programados</v>
      </c>
      <c r="L209" s="13">
        <v>45708</v>
      </c>
      <c r="M209" s="22">
        <f t="shared" si="19"/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Row],[CORREO]],1),E210)</f>
        <v>45708</v>
      </c>
      <c r="G210" s="19">
        <v>45804</v>
      </c>
      <c r="H210" s="7">
        <f t="shared" si="15"/>
        <v>11</v>
      </c>
      <c r="I210" s="7">
        <f t="shared" si="16"/>
        <v>54</v>
      </c>
      <c r="J210" s="7" t="str">
        <f t="shared" si="17"/>
        <v>Programado</v>
      </c>
      <c r="K210" s="7" t="str">
        <f t="shared" si="18"/>
        <v>Programados</v>
      </c>
      <c r="L210" s="13">
        <v>45748</v>
      </c>
      <c r="M210" s="22">
        <f t="shared" si="19"/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Row],[CORREO]],1),E211)</f>
        <v>45708.396527777775</v>
      </c>
      <c r="G211" s="5">
        <v>45709</v>
      </c>
      <c r="H211" s="7">
        <f t="shared" si="15"/>
        <v>8</v>
      </c>
      <c r="I211" s="7">
        <f t="shared" si="16"/>
        <v>2</v>
      </c>
      <c r="J211" s="7" t="str">
        <f t="shared" si="17"/>
        <v>Dentro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Row],[CORREO]],1),E212)</f>
        <v>45708.420138888891</v>
      </c>
      <c r="G212" s="5">
        <v>45722</v>
      </c>
      <c r="H212" s="7">
        <f t="shared" si="15"/>
        <v>8</v>
      </c>
      <c r="I212" s="7">
        <f t="shared" si="16"/>
        <v>11</v>
      </c>
      <c r="J212" s="7" t="str">
        <f t="shared" si="17"/>
        <v>Fuera</v>
      </c>
      <c r="K212" s="7" t="str">
        <f t="shared" si="18"/>
        <v>A tiempo</v>
      </c>
      <c r="L212" s="11"/>
      <c r="M212" s="22">
        <f t="shared" si="19"/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Row],[CORREO]],1),E213)</f>
        <v>45708.427083333336</v>
      </c>
      <c r="G213" s="5">
        <v>45749</v>
      </c>
      <c r="H213" s="7">
        <f t="shared" si="15"/>
        <v>8</v>
      </c>
      <c r="I213" s="7">
        <f t="shared" si="16"/>
        <v>29</v>
      </c>
      <c r="J213" s="7" t="str">
        <f t="shared" si="17"/>
        <v>Programado</v>
      </c>
      <c r="K213" s="7" t="str">
        <f t="shared" si="18"/>
        <v>Programados</v>
      </c>
      <c r="L213" s="11"/>
      <c r="M213" s="22">
        <f t="shared" si="19"/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Row],[CORREO]],1),E214)</f>
        <v>45708.451388888891</v>
      </c>
      <c r="G214" s="5">
        <v>45714</v>
      </c>
      <c r="H214" s="7">
        <f t="shared" si="15"/>
        <v>8</v>
      </c>
      <c r="I214" s="7">
        <f t="shared" si="16"/>
        <v>5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Row],[CORREO]],1),E215)</f>
        <v>45709</v>
      </c>
      <c r="G215" s="5">
        <v>45716</v>
      </c>
      <c r="H215" s="7">
        <f t="shared" si="15"/>
        <v>8</v>
      </c>
      <c r="I215" s="7">
        <f t="shared" si="16"/>
        <v>6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Row],[CORREO]],1),E216)</f>
        <v>45709</v>
      </c>
      <c r="G216" s="5">
        <v>45714</v>
      </c>
      <c r="H216" s="7">
        <f t="shared" si="15"/>
        <v>8</v>
      </c>
      <c r="I216" s="7">
        <f t="shared" si="16"/>
        <v>4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Row],[CORREO]],1),E217)</f>
        <v>45709</v>
      </c>
      <c r="G217" s="5">
        <v>45709</v>
      </c>
      <c r="H217" s="7">
        <f t="shared" si="15"/>
        <v>8</v>
      </c>
      <c r="I217" s="7">
        <f t="shared" si="16"/>
        <v>1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Row],[CORREO]],1),E218)</f>
        <v>45709.388194444444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Row],[CORREO]],1),E219)</f>
        <v>45709.317361111112</v>
      </c>
      <c r="G219" s="5">
        <v>45714</v>
      </c>
      <c r="H219" s="20">
        <f t="shared" si="15"/>
        <v>8</v>
      </c>
      <c r="I219" s="20">
        <f t="shared" si="16"/>
        <v>4</v>
      </c>
      <c r="J219" s="20" t="str">
        <f t="shared" si="17"/>
        <v>Dentro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Row],[CORREO]],1),E220)</f>
        <v>45709.456944444442</v>
      </c>
      <c r="G220" s="11">
        <v>45727</v>
      </c>
      <c r="H220" s="7">
        <f t="shared" si="15"/>
        <v>8</v>
      </c>
      <c r="I220" s="7">
        <f t="shared" si="16"/>
        <v>13</v>
      </c>
      <c r="J220" s="7" t="str">
        <f t="shared" si="17"/>
        <v>Fuera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Row],[CORREO]],1),E221)</f>
        <v>45712</v>
      </c>
      <c r="G221" s="11">
        <v>45715</v>
      </c>
      <c r="H221" s="7">
        <f t="shared" si="15"/>
        <v>8</v>
      </c>
      <c r="I221" s="7">
        <f t="shared" si="16"/>
        <v>4</v>
      </c>
      <c r="J221" s="7" t="str">
        <f t="shared" si="17"/>
        <v>Dentro</v>
      </c>
      <c r="K221" s="7" t="str">
        <f t="shared" si="18"/>
        <v>A tiempo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Row],[CORREO]],1),E222)</f>
        <v>0</v>
      </c>
      <c r="G222" s="11">
        <v>45716</v>
      </c>
      <c r="H222" s="7">
        <f t="shared" si="15"/>
        <v>8</v>
      </c>
      <c r="I222" s="7">
        <f t="shared" si="16"/>
        <v>5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Row],[CORREO]],1),E223)</f>
        <v>0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Programados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Row],[CORREO]],1),E224)</f>
        <v>45712.323611111111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Row],[CORREO]],1),E225)</f>
        <v>45712.382638888892</v>
      </c>
      <c r="G225" s="11">
        <v>45714</v>
      </c>
      <c r="H225" s="7">
        <f t="shared" si="15"/>
        <v>8</v>
      </c>
      <c r="I225" s="7">
        <f t="shared" si="16"/>
        <v>3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Row],[CORREO]],1),E226)</f>
        <v>45712.435416666667</v>
      </c>
      <c r="G226" s="11">
        <v>45712</v>
      </c>
      <c r="H226" s="7">
        <f t="shared" si="15"/>
        <v>8</v>
      </c>
      <c r="I226" s="7">
        <f t="shared" si="16"/>
        <v>1</v>
      </c>
      <c r="J226" s="7" t="str">
        <f t="shared" si="17"/>
        <v>Dentro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Row],[CORREO]],1),E227)</f>
        <v>45712.454861111109</v>
      </c>
      <c r="G227" s="11">
        <v>45727</v>
      </c>
      <c r="H227" s="7">
        <f t="shared" si="15"/>
        <v>8</v>
      </c>
      <c r="I227" s="7">
        <f t="shared" si="16"/>
        <v>12</v>
      </c>
      <c r="J227" s="7" t="str">
        <f t="shared" si="17"/>
        <v>Fuera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Row],[CORREO]],1),E228)</f>
        <v>45713.306944444441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Row],[CORREO]],1),E229)</f>
        <v>45713</v>
      </c>
      <c r="G229" s="11">
        <v>45714</v>
      </c>
      <c r="H229" s="7">
        <f t="shared" si="15"/>
        <v>8</v>
      </c>
      <c r="I229" s="7">
        <f t="shared" si="16"/>
        <v>2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Row],[CORREO]],1),E230)</f>
        <v>45713</v>
      </c>
      <c r="G230" s="11">
        <v>45719</v>
      </c>
      <c r="H230" s="7">
        <f t="shared" si="15"/>
        <v>8</v>
      </c>
      <c r="I230" s="7">
        <f t="shared" si="16"/>
        <v>5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Row],[CORREO]],1),E231)</f>
        <v>45713.400694444441</v>
      </c>
      <c r="G231" s="11">
        <v>45715</v>
      </c>
      <c r="H231" s="7">
        <f t="shared" si="15"/>
        <v>8</v>
      </c>
      <c r="I231" s="7">
        <f t="shared" si="16"/>
        <v>3</v>
      </c>
      <c r="J231" s="7" t="str">
        <f t="shared" si="17"/>
        <v>Dentro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Row],[CORREO]],1),E232)</f>
        <v>45713.448611111111</v>
      </c>
      <c r="G232" s="11">
        <v>45727</v>
      </c>
      <c r="H232" s="7">
        <f t="shared" si="15"/>
        <v>8</v>
      </c>
      <c r="I232" s="7">
        <f t="shared" si="16"/>
        <v>11</v>
      </c>
      <c r="J232" s="7" t="str">
        <f t="shared" si="17"/>
        <v>Fuera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Row],[CORREO]],1),E233)</f>
        <v>45713.387499999997</v>
      </c>
      <c r="G233" s="11">
        <v>45716</v>
      </c>
      <c r="H233" s="7">
        <f t="shared" si="15"/>
        <v>8</v>
      </c>
      <c r="I233" s="7">
        <f t="shared" si="16"/>
        <v>4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Row],[CORREO]],1),E234)</f>
        <v>45714</v>
      </c>
      <c r="G234" s="11">
        <v>45721</v>
      </c>
      <c r="H234" s="7">
        <f t="shared" si="15"/>
        <v>9</v>
      </c>
      <c r="I234" s="7">
        <f t="shared" si="16"/>
        <v>6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Row],[CORREO]],1),E236)</f>
        <v>45714</v>
      </c>
      <c r="G236" s="11">
        <v>45716</v>
      </c>
      <c r="H236" s="7">
        <f t="shared" si="15"/>
        <v>9</v>
      </c>
      <c r="I236" s="7">
        <f t="shared" si="16"/>
        <v>3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Row],[CORREO]],1),E237)</f>
        <v>45714.316666666666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A tiempo</v>
      </c>
      <c r="L237" s="11"/>
      <c r="M237" s="22">
        <f t="shared" si="19"/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Row],[CORREO]],1),E238)</f>
        <v>0</v>
      </c>
      <c r="G238" s="11">
        <v>45714</v>
      </c>
      <c r="H238" s="7">
        <f t="shared" si="15"/>
        <v>9</v>
      </c>
      <c r="I238" s="7">
        <f t="shared" si="16"/>
        <v>1</v>
      </c>
      <c r="J238" s="7" t="str">
        <f t="shared" si="17"/>
        <v>Dentro</v>
      </c>
      <c r="K238" s="7" t="str">
        <f t="shared" si="18"/>
        <v>Programados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Row],[CORREO]],1),E239)</f>
        <v>45715</v>
      </c>
      <c r="G239" s="11">
        <v>45727</v>
      </c>
      <c r="H239" s="7">
        <f t="shared" si="15"/>
        <v>9</v>
      </c>
      <c r="I239" s="7">
        <f t="shared" si="16"/>
        <v>9</v>
      </c>
      <c r="J239" s="7" t="str">
        <f t="shared" si="17"/>
        <v>Fuera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Row],[CORREO]],1),E240)</f>
        <v>45715</v>
      </c>
      <c r="G240" s="11">
        <v>45722</v>
      </c>
      <c r="H240" s="7">
        <f t="shared" si="15"/>
        <v>9</v>
      </c>
      <c r="I240" s="7">
        <f t="shared" si="16"/>
        <v>6</v>
      </c>
      <c r="J240" s="7" t="str">
        <f t="shared" si="17"/>
        <v>Dentro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Row],[CORREO]],1),E241)</f>
        <v>45715</v>
      </c>
      <c r="G241" s="11">
        <v>45735</v>
      </c>
      <c r="H241" s="7">
        <f t="shared" si="15"/>
        <v>9</v>
      </c>
      <c r="I241" s="7">
        <f t="shared" si="16"/>
        <v>15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Row],[CORREO]],1),E242)</f>
        <v>45715.311111111114</v>
      </c>
      <c r="G242" s="11">
        <v>45727</v>
      </c>
      <c r="H242" s="7">
        <f t="shared" si="15"/>
        <v>9</v>
      </c>
      <c r="I242" s="7">
        <f t="shared" si="16"/>
        <v>9</v>
      </c>
      <c r="J242" s="7" t="str">
        <f t="shared" si="17"/>
        <v>Fuera</v>
      </c>
      <c r="K242" s="7" t="str">
        <f t="shared" si="18"/>
        <v>A tiempo</v>
      </c>
      <c r="L242" s="11"/>
      <c r="M242" s="22">
        <f t="shared" si="19"/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Row],[CORREO]],1),E243)</f>
        <v>45716</v>
      </c>
      <c r="G243" s="11">
        <v>45716</v>
      </c>
      <c r="H243" s="7">
        <f t="shared" si="15"/>
        <v>9</v>
      </c>
      <c r="I243" s="7">
        <f t="shared" si="16"/>
        <v>2</v>
      </c>
      <c r="J243" s="7" t="str">
        <f t="shared" si="17"/>
        <v>Dentro</v>
      </c>
      <c r="K243" s="7" t="str">
        <f t="shared" si="18"/>
        <v>Mismo día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Row],[CORREO]],1),E244)</f>
        <v>45716</v>
      </c>
      <c r="G244" s="11">
        <v>45722</v>
      </c>
      <c r="H244" s="7">
        <f t="shared" si="15"/>
        <v>9</v>
      </c>
      <c r="I244" s="7">
        <f t="shared" si="16"/>
        <v>5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Row],[CORREO]],1),E245)</f>
        <v>45716.19027777778</v>
      </c>
      <c r="G245" s="11">
        <v>45719</v>
      </c>
      <c r="H245" s="7">
        <f t="shared" si="15"/>
        <v>9</v>
      </c>
      <c r="I245" s="7">
        <f t="shared" si="16"/>
        <v>2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Row],[CORREO]],1),E246)</f>
        <v>45716.324999999997</v>
      </c>
      <c r="G246" s="11">
        <v>45723</v>
      </c>
      <c r="H246" s="7">
        <f t="shared" si="15"/>
        <v>9</v>
      </c>
      <c r="I246" s="7">
        <f t="shared" si="16"/>
        <v>6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Row],[CORREO]],1),E247)</f>
        <v>45716.331944444442</v>
      </c>
      <c r="G247" s="11">
        <v>45716</v>
      </c>
      <c r="H247" s="7">
        <f t="shared" si="15"/>
        <v>9</v>
      </c>
      <c r="I247" s="7">
        <f t="shared" si="16"/>
        <v>1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Row],[CORREO]],1),E248)</f>
        <v>45716</v>
      </c>
      <c r="G248" s="11">
        <v>45720</v>
      </c>
      <c r="H248" s="7">
        <f t="shared" si="15"/>
        <v>9</v>
      </c>
      <c r="I248" s="7">
        <f t="shared" si="16"/>
        <v>3</v>
      </c>
      <c r="J248" s="7" t="str">
        <f t="shared" si="17"/>
        <v>Dentro</v>
      </c>
      <c r="K248" s="7" t="str">
        <f t="shared" si="18"/>
        <v>A tiempo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Row],[CORREO]],1),E249)</f>
        <v>45719</v>
      </c>
      <c r="G249" s="11">
        <v>45716</v>
      </c>
      <c r="H249" s="7">
        <f t="shared" si="15"/>
        <v>9</v>
      </c>
      <c r="I249" s="7">
        <f t="shared" si="16"/>
        <v>1</v>
      </c>
      <c r="J249" s="7" t="str">
        <f t="shared" si="17"/>
        <v>Dentro</v>
      </c>
      <c r="K249" s="7" t="str">
        <f t="shared" si="18"/>
        <v>Mismo día</v>
      </c>
      <c r="L249" s="11"/>
      <c r="M249" s="22">
        <f t="shared" si="19"/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Row],[CORREO]],1),E250)</f>
        <v>0</v>
      </c>
      <c r="G250" s="11">
        <v>45719</v>
      </c>
      <c r="H250" s="7">
        <f t="shared" si="15"/>
        <v>9</v>
      </c>
      <c r="I250" s="7">
        <f t="shared" si="16"/>
        <v>2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Row],[CORREO]],1),E251)</f>
        <v>0</v>
      </c>
      <c r="G251" s="11">
        <v>45723</v>
      </c>
      <c r="H251" s="7">
        <f t="shared" si="15"/>
        <v>9</v>
      </c>
      <c r="I251" s="7">
        <f t="shared" si="16"/>
        <v>5</v>
      </c>
      <c r="J251" s="7" t="str">
        <f t="shared" si="17"/>
        <v>Dentro</v>
      </c>
      <c r="K251" s="7" t="str">
        <f t="shared" si="18"/>
        <v>Programados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Row],[CORREO]],1),E252)</f>
        <v>45719</v>
      </c>
      <c r="G252" s="11">
        <v>45721</v>
      </c>
      <c r="H252" s="7">
        <f t="shared" si="15"/>
        <v>9</v>
      </c>
      <c r="I252" s="7">
        <f t="shared" si="16"/>
        <v>3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Row],[CORREO]],1),E253)</f>
        <v>45719.317361111112</v>
      </c>
      <c r="G253" s="11">
        <v>45722</v>
      </c>
      <c r="H253" s="7">
        <f t="shared" si="15"/>
        <v>9</v>
      </c>
      <c r="I253" s="7">
        <f t="shared" si="16"/>
        <v>4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Row],[CORREO]],1),E254)</f>
        <v>45719.348611111112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Row],[CORREO]],1),E255)</f>
        <v>45719.354166666664</v>
      </c>
      <c r="G255" s="11">
        <v>45719</v>
      </c>
      <c r="H255" s="7">
        <f t="shared" si="15"/>
        <v>9</v>
      </c>
      <c r="I255" s="7">
        <f t="shared" si="16"/>
        <v>1</v>
      </c>
      <c r="J255" s="7" t="str">
        <f t="shared" si="17"/>
        <v>Dentro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Row],[CORREO]],1),E256)</f>
        <v>45719</v>
      </c>
      <c r="G256" s="11">
        <v>45728</v>
      </c>
      <c r="H256" s="7">
        <f t="shared" si="15"/>
        <v>9</v>
      </c>
      <c r="I256" s="7">
        <f t="shared" si="16"/>
        <v>8</v>
      </c>
      <c r="J256" s="7" t="str">
        <f t="shared" si="17"/>
        <v>Fuera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Row],[CORREO]],1),E257)</f>
        <v>45720</v>
      </c>
      <c r="G257" s="11">
        <v>45720</v>
      </c>
      <c r="H257" s="7">
        <f t="shared" si="15"/>
        <v>9</v>
      </c>
      <c r="I257" s="7">
        <f t="shared" si="16"/>
        <v>1</v>
      </c>
      <c r="J257" s="7" t="str">
        <f t="shared" si="17"/>
        <v>Dentro</v>
      </c>
      <c r="K257" s="7" t="str">
        <f t="shared" si="18"/>
        <v>A tiempo</v>
      </c>
      <c r="L257" s="11"/>
      <c r="M257" s="22">
        <f t="shared" si="19"/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Row],[CORREO]],1),E258)</f>
        <v>45720</v>
      </c>
      <c r="G258" s="13">
        <v>45771</v>
      </c>
      <c r="H258" s="7">
        <f t="shared" ref="H258:H321" si="20">INT((A258-DATE(YEAR(A258),1,1))/7) + 1</f>
        <v>11</v>
      </c>
      <c r="I258" s="7">
        <f t="shared" ref="I258:I321" si="21">MAX(1,NETWORKDAYS(A258,G258,DATE(2025,11,17)))</f>
        <v>32</v>
      </c>
      <c r="J258" s="7" t="str">
        <f t="shared" ref="J258:J321" si="22">IF(G258="","Acumulado",IF(ISNUMBER(SEARCH("ASAP",C258)),"ASAP",IF(I258&lt;=7,"Dentro",IF(A258&gt;F258,"Programado","Fuera"))))</f>
        <v>Programado</v>
      </c>
      <c r="K258" s="7" t="str">
        <f t="shared" ref="K258:K321" si="23">IF(INT(A258)=INT(F258),"A tiempo", IF(A258&lt;F258,"Mismo día","Programados"))</f>
        <v>Programados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Row],[CORREO]],1),E259)</f>
        <v>45720.302083333336</v>
      </c>
      <c r="G259" s="11">
        <v>45722</v>
      </c>
      <c r="H259" s="7">
        <f t="shared" si="20"/>
        <v>9</v>
      </c>
      <c r="I259" s="7">
        <f t="shared" si="21"/>
        <v>3</v>
      </c>
      <c r="J259" s="7" t="str">
        <f t="shared" si="22"/>
        <v>Dentro</v>
      </c>
      <c r="K259" s="7" t="str">
        <f t="shared" si="23"/>
        <v>A tiempo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45727</v>
      </c>
      <c r="H260" s="7">
        <f t="shared" si="20"/>
        <v>9</v>
      </c>
      <c r="I260" s="7">
        <f t="shared" si="21"/>
        <v>6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45723</v>
      </c>
      <c r="H262" s="7">
        <f t="shared" si="20"/>
        <v>9</v>
      </c>
      <c r="I262" s="7">
        <f t="shared" si="21"/>
        <v>4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45727</v>
      </c>
      <c r="H263" s="7">
        <f t="shared" si="20"/>
        <v>9</v>
      </c>
      <c r="I263" s="7">
        <f t="shared" si="21"/>
        <v>6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Row],[CORREO]],1),E264)</f>
        <v>0</v>
      </c>
      <c r="G264" s="11">
        <v>45723</v>
      </c>
      <c r="H264" s="7">
        <f t="shared" si="20"/>
        <v>9</v>
      </c>
      <c r="I264" s="7">
        <f t="shared" si="21"/>
        <v>4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45721</v>
      </c>
      <c r="H265" s="7">
        <f t="shared" si="20"/>
        <v>9</v>
      </c>
      <c r="I265" s="7">
        <f t="shared" si="21"/>
        <v>2</v>
      </c>
      <c r="J265" s="7" t="str">
        <f t="shared" si="22"/>
        <v>Dentro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Row],[CORREO]],1),E266)</f>
        <v>0</v>
      </c>
      <c r="G266" s="11">
        <v>45722</v>
      </c>
      <c r="H266" s="7">
        <f t="shared" si="20"/>
        <v>9</v>
      </c>
      <c r="I266" s="7">
        <f t="shared" si="21"/>
        <v>3</v>
      </c>
      <c r="J266" s="7" t="str">
        <f t="shared" si="22"/>
        <v>ASAP</v>
      </c>
      <c r="K266" s="7" t="str">
        <f t="shared" si="23"/>
        <v>Programados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Row],[CORREO]],1),E267)</f>
        <v>45721.350694444445</v>
      </c>
      <c r="G267" s="11">
        <v>45728</v>
      </c>
      <c r="H267" s="7">
        <f t="shared" si="20"/>
        <v>10</v>
      </c>
      <c r="I267" s="7">
        <f t="shared" si="21"/>
        <v>6</v>
      </c>
      <c r="J267" s="7" t="str">
        <f t="shared" si="22"/>
        <v>Dentro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Row],[CORREO]],1),E268)</f>
        <v>45721.369444444441</v>
      </c>
      <c r="G268" s="11">
        <v>45741</v>
      </c>
      <c r="H268" s="7">
        <f t="shared" si="20"/>
        <v>10</v>
      </c>
      <c r="I268" s="7">
        <f t="shared" si="21"/>
        <v>15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Row],[CORREO]],1),E269)</f>
        <v>45721.452777777777</v>
      </c>
      <c r="G269" s="11">
        <v>45734</v>
      </c>
      <c r="H269" s="7">
        <f t="shared" si="20"/>
        <v>10</v>
      </c>
      <c r="I269" s="7">
        <f t="shared" si="21"/>
        <v>10</v>
      </c>
      <c r="J269" s="7" t="str">
        <f t="shared" si="22"/>
        <v>Fuera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Row],[CORREO]],1),E270)</f>
        <v>45722</v>
      </c>
      <c r="G270" s="11">
        <v>45722</v>
      </c>
      <c r="H270" s="7">
        <f t="shared" si="20"/>
        <v>10</v>
      </c>
      <c r="I270" s="7">
        <f t="shared" si="21"/>
        <v>1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Row],[CORREO]],1),E271)</f>
        <v>45722</v>
      </c>
      <c r="G271" s="11">
        <v>45730</v>
      </c>
      <c r="H271" s="7">
        <f t="shared" si="20"/>
        <v>10</v>
      </c>
      <c r="I271" s="7">
        <f t="shared" si="21"/>
        <v>7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Row],[CORREO]],1),E272)</f>
        <v>45722</v>
      </c>
      <c r="G272" s="11">
        <v>45729</v>
      </c>
      <c r="H272" s="7">
        <f t="shared" si="20"/>
        <v>10</v>
      </c>
      <c r="I272" s="7">
        <f t="shared" si="21"/>
        <v>6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Row],[CORREO]],1),E273)</f>
        <v>45722.378472222219</v>
      </c>
      <c r="G273" s="11">
        <v>45726</v>
      </c>
      <c r="H273" s="7">
        <f t="shared" si="20"/>
        <v>10</v>
      </c>
      <c r="I273" s="7">
        <f t="shared" si="21"/>
        <v>3</v>
      </c>
      <c r="J273" s="7" t="str">
        <f t="shared" si="22"/>
        <v>Dentro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Row],[CORREO]],1),E274)</f>
        <v>45722.399305555555</v>
      </c>
      <c r="G274" s="11">
        <v>45763</v>
      </c>
      <c r="H274" s="7">
        <f t="shared" si="20"/>
        <v>10</v>
      </c>
      <c r="I274" s="7">
        <f t="shared" si="21"/>
        <v>30</v>
      </c>
      <c r="J274" s="7" t="str">
        <f t="shared" si="22"/>
        <v>Fuera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Row],[CORREO]],1),E275)</f>
        <v>45722.446527777778</v>
      </c>
      <c r="G275" s="11">
        <v>45723</v>
      </c>
      <c r="H275" s="7">
        <f t="shared" si="20"/>
        <v>10</v>
      </c>
      <c r="I275" s="7">
        <f t="shared" si="21"/>
        <v>2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Row],[CORREO]],1),E276)</f>
        <v>45722.457638888889</v>
      </c>
      <c r="G276" s="11">
        <v>45722</v>
      </c>
      <c r="H276" s="7">
        <f t="shared" si="20"/>
        <v>10</v>
      </c>
      <c r="I276" s="7">
        <f t="shared" si="21"/>
        <v>1</v>
      </c>
      <c r="J276" s="7" t="str">
        <f t="shared" si="22"/>
        <v>Dentro</v>
      </c>
      <c r="K276" s="7" t="str">
        <f t="shared" si="23"/>
        <v>A tiempo</v>
      </c>
      <c r="L276" s="11"/>
      <c r="M276" s="22">
        <f t="shared" si="24"/>
        <v>1</v>
      </c>
    </row>
    <row r="277" spans="1:13" x14ac:dyDescent="0.35">
      <c r="A277" s="11">
        <v>45722</v>
      </c>
      <c r="B277" s="7" t="s">
        <v>2705</v>
      </c>
      <c r="C277" s="7" t="s">
        <v>2711</v>
      </c>
      <c r="D277" s="7" t="s">
        <v>24</v>
      </c>
      <c r="E277" s="18"/>
      <c r="F277" s="11">
        <f>IF(HOUR(Table1[[#This Row],[CORREO]])&gt;=11,WORKDAY(Table1[[#This Row],[CORREO]],1),E277)</f>
        <v>0</v>
      </c>
      <c r="G277" s="11"/>
      <c r="H277" s="7">
        <f t="shared" si="20"/>
        <v>10</v>
      </c>
      <c r="I277" s="7">
        <f t="shared" si="21"/>
        <v>1</v>
      </c>
      <c r="J277" s="7" t="str">
        <f t="shared" si="22"/>
        <v>Acumulado</v>
      </c>
      <c r="K277" s="7" t="str">
        <f t="shared" si="23"/>
        <v>Programados</v>
      </c>
      <c r="L277" s="11">
        <v>45723</v>
      </c>
      <c r="M277" s="22">
        <f t="shared" si="24"/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Row],[CORREO]],1),E278)</f>
        <v>45722.138888888891</v>
      </c>
      <c r="G278" s="11">
        <v>45727</v>
      </c>
      <c r="H278" s="7">
        <f t="shared" si="20"/>
        <v>10</v>
      </c>
      <c r="I278" s="7">
        <f t="shared" si="21"/>
        <v>3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Row],[CORREO]],1),E279)</f>
        <v>0</v>
      </c>
      <c r="G279" s="11">
        <v>45726</v>
      </c>
      <c r="H279" s="7">
        <f t="shared" si="20"/>
        <v>10</v>
      </c>
      <c r="I279" s="7">
        <f t="shared" si="21"/>
        <v>2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Row],[CORREO]],1),E280)</f>
        <v>45723</v>
      </c>
      <c r="G280" s="11">
        <v>45754</v>
      </c>
      <c r="H280" s="7">
        <f t="shared" si="20"/>
        <v>14</v>
      </c>
      <c r="I280" s="7">
        <f t="shared" si="21"/>
        <v>1</v>
      </c>
      <c r="J280" s="7" t="str">
        <f t="shared" si="22"/>
        <v>Dentro</v>
      </c>
      <c r="K280" s="7" t="str">
        <f t="shared" si="23"/>
        <v>Programados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Row],[CORREO]],1),E281)</f>
        <v>45723.395833333336</v>
      </c>
      <c r="G281" s="11">
        <v>45727</v>
      </c>
      <c r="H281" s="7">
        <f t="shared" si="20"/>
        <v>10</v>
      </c>
      <c r="I281" s="7">
        <f t="shared" si="21"/>
        <v>3</v>
      </c>
      <c r="J281" s="7" t="str">
        <f t="shared" si="22"/>
        <v>Dentro</v>
      </c>
      <c r="K281" s="7" t="str">
        <f t="shared" si="23"/>
        <v>A tiempo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Row],[CORREO]],1),E282)</f>
        <v>0</v>
      </c>
      <c r="G282" s="11">
        <v>45761</v>
      </c>
      <c r="H282" s="7">
        <f t="shared" si="20"/>
        <v>10</v>
      </c>
      <c r="I282" s="7">
        <f t="shared" si="21"/>
        <v>27</v>
      </c>
      <c r="J282" s="7" t="str">
        <f t="shared" si="22"/>
        <v>Programado</v>
      </c>
      <c r="K282" s="7" t="str">
        <f t="shared" si="23"/>
        <v>Programados</v>
      </c>
      <c r="L282" s="11"/>
      <c r="M282" s="22">
        <f t="shared" si="24"/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Row],[CORREO]],1),E283)</f>
        <v>45726</v>
      </c>
      <c r="G283" s="11">
        <v>45723</v>
      </c>
      <c r="H283" s="7">
        <f t="shared" si="20"/>
        <v>10</v>
      </c>
      <c r="I283" s="7">
        <f t="shared" si="21"/>
        <v>1</v>
      </c>
      <c r="J283" s="7" t="str">
        <f t="shared" si="22"/>
        <v>Dentro</v>
      </c>
      <c r="K283" s="7" t="str">
        <f t="shared" si="23"/>
        <v>Mismo día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Row],[CORREO]],1),E284)</f>
        <v>0</v>
      </c>
      <c r="G284" s="11">
        <v>45730</v>
      </c>
      <c r="H284" s="7">
        <f t="shared" si="20"/>
        <v>10</v>
      </c>
      <c r="I284" s="7">
        <f t="shared" si="21"/>
        <v>5</v>
      </c>
      <c r="J284" s="7" t="str">
        <f t="shared" si="22"/>
        <v>Dentro</v>
      </c>
      <c r="K284" s="7" t="str">
        <f t="shared" si="23"/>
        <v>Programados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Row],[CORREO]],1),E285)</f>
        <v>45726.429166666669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A tiempo</v>
      </c>
      <c r="L285" s="11"/>
      <c r="M285" s="22">
        <f t="shared" si="24"/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Row],[CORREO]],1),E286)</f>
        <v>0</v>
      </c>
      <c r="G286" s="11">
        <v>45728</v>
      </c>
      <c r="H286" s="7">
        <f t="shared" si="20"/>
        <v>10</v>
      </c>
      <c r="I286" s="7">
        <f t="shared" si="21"/>
        <v>3</v>
      </c>
      <c r="J286" s="7" t="str">
        <f t="shared" si="22"/>
        <v>Dentro</v>
      </c>
      <c r="K286" s="7" t="str">
        <f t="shared" si="23"/>
        <v>Programados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Row],[CORREO]],1),E287)</f>
        <v>45727.317361111112</v>
      </c>
      <c r="G287" s="11">
        <v>45727</v>
      </c>
      <c r="H287" s="7">
        <f t="shared" si="20"/>
        <v>10</v>
      </c>
      <c r="I287" s="7">
        <f t="shared" si="21"/>
        <v>1</v>
      </c>
      <c r="J287" s="7" t="str">
        <f t="shared" si="22"/>
        <v>Dentro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Row],[CORREO]],1),E288)</f>
        <v>45727.322222222225</v>
      </c>
      <c r="G288" s="11">
        <v>45743</v>
      </c>
      <c r="H288" s="7">
        <f t="shared" si="20"/>
        <v>10</v>
      </c>
      <c r="I288" s="7">
        <f t="shared" si="21"/>
        <v>13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Row],[CORREO]],1),E289)</f>
        <v>45727.324305555558</v>
      </c>
      <c r="G289" s="11">
        <v>45757</v>
      </c>
      <c r="H289" s="7">
        <f t="shared" si="20"/>
        <v>10</v>
      </c>
      <c r="I289" s="7">
        <f t="shared" si="21"/>
        <v>23</v>
      </c>
      <c r="J289" s="7" t="str">
        <f t="shared" si="22"/>
        <v>Fuera</v>
      </c>
      <c r="K289" s="7" t="str">
        <f t="shared" si="23"/>
        <v>A tiempo</v>
      </c>
      <c r="L289" s="11"/>
      <c r="M289" s="22">
        <f t="shared" si="24"/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Row],[CORREO]],1),E290)</f>
        <v>45726.373611111114</v>
      </c>
      <c r="G290" s="11">
        <v>45728</v>
      </c>
      <c r="H290" s="7">
        <f t="shared" si="20"/>
        <v>10</v>
      </c>
      <c r="I290" s="7">
        <f t="shared" si="21"/>
        <v>2</v>
      </c>
      <c r="J290" s="7" t="str">
        <f t="shared" si="22"/>
        <v>Dentro</v>
      </c>
      <c r="K290" s="7" t="str">
        <f t="shared" si="23"/>
        <v>Programados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Row],[CORREO]],1),E291)</f>
        <v>45728</v>
      </c>
      <c r="G291" s="11">
        <v>45729</v>
      </c>
      <c r="H291" s="7">
        <f t="shared" si="20"/>
        <v>11</v>
      </c>
      <c r="I291" s="7">
        <f t="shared" si="21"/>
        <v>2</v>
      </c>
      <c r="J291" s="7" t="str">
        <f t="shared" si="22"/>
        <v>Dentro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Row],[CORREO]],1),E292)</f>
        <v>45728.297222222223</v>
      </c>
      <c r="G292" s="11">
        <v>45751</v>
      </c>
      <c r="H292" s="7">
        <f t="shared" si="20"/>
        <v>11</v>
      </c>
      <c r="I292" s="7">
        <f t="shared" si="21"/>
        <v>18</v>
      </c>
      <c r="J292" s="7" t="str">
        <f t="shared" si="22"/>
        <v>Fuera</v>
      </c>
      <c r="K292" s="7" t="str">
        <f t="shared" si="23"/>
        <v>A tiempo</v>
      </c>
      <c r="L292" s="11"/>
      <c r="M292" s="22">
        <f t="shared" si="24"/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Row],[CORREO]],1),E293)</f>
        <v>45790</v>
      </c>
      <c r="G293" s="11">
        <v>45793</v>
      </c>
      <c r="H293" s="7">
        <f t="shared" si="20"/>
        <v>19</v>
      </c>
      <c r="I293" s="7">
        <f t="shared" si="21"/>
        <v>5</v>
      </c>
      <c r="J293" s="7" t="str">
        <f t="shared" si="22"/>
        <v>Dentro</v>
      </c>
      <c r="K293" s="7" t="str">
        <f t="shared" si="23"/>
        <v>Mismo día</v>
      </c>
      <c r="L293" s="13">
        <v>45793</v>
      </c>
      <c r="M293" s="22">
        <f t="shared" si="24"/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Row],[CORREO]],1),E294)</f>
        <v>45728.367361111108</v>
      </c>
      <c r="G294" s="11">
        <v>45730</v>
      </c>
      <c r="H294" s="7">
        <f t="shared" si="20"/>
        <v>11</v>
      </c>
      <c r="I294" s="7">
        <f t="shared" si="21"/>
        <v>3</v>
      </c>
      <c r="J294" s="7" t="str">
        <f t="shared" si="22"/>
        <v>Dentro</v>
      </c>
      <c r="K294" s="7" t="str">
        <f t="shared" si="23"/>
        <v>A tiempo</v>
      </c>
      <c r="L294" s="11"/>
      <c r="M294" s="22">
        <f t="shared" si="24"/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Row],[CORREO]],1),E295)</f>
        <v>45729</v>
      </c>
      <c r="G295" s="11">
        <v>45728</v>
      </c>
      <c r="H295" s="7">
        <f t="shared" si="20"/>
        <v>11</v>
      </c>
      <c r="I295" s="7">
        <f t="shared" si="21"/>
        <v>1</v>
      </c>
      <c r="J295" s="7" t="str">
        <f t="shared" si="22"/>
        <v>Dentro</v>
      </c>
      <c r="K295" s="7" t="str">
        <f t="shared" si="23"/>
        <v>Mismo día</v>
      </c>
      <c r="L295" s="11"/>
      <c r="M295" s="22">
        <f t="shared" si="24"/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Row],[CORREO]],1),E296)</f>
        <v>45729</v>
      </c>
      <c r="G296" s="11">
        <v>45751</v>
      </c>
      <c r="H296" s="7">
        <f t="shared" si="20"/>
        <v>11</v>
      </c>
      <c r="I296" s="7">
        <f t="shared" si="21"/>
        <v>17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Row],[CORREO]],1),E297)</f>
        <v>45729</v>
      </c>
      <c r="G297" s="13">
        <v>45768</v>
      </c>
      <c r="H297" s="7">
        <f t="shared" si="20"/>
        <v>11</v>
      </c>
      <c r="I297" s="7">
        <f t="shared" si="21"/>
        <v>28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Row],[CORREO]],1),E298)</f>
        <v>45729</v>
      </c>
      <c r="G298" s="11">
        <v>45742</v>
      </c>
      <c r="H298" s="7">
        <f t="shared" si="20"/>
        <v>11</v>
      </c>
      <c r="I298" s="7">
        <f t="shared" si="21"/>
        <v>10</v>
      </c>
      <c r="J298" s="7" t="str">
        <f t="shared" si="22"/>
        <v>Fuera</v>
      </c>
      <c r="K298" s="7" t="str">
        <f t="shared" si="23"/>
        <v>A tiempo</v>
      </c>
      <c r="L298" s="11"/>
      <c r="M298" s="22">
        <f t="shared" si="24"/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Row],[CORREO]],1),E299)</f>
        <v>45729</v>
      </c>
      <c r="G299" s="11">
        <v>45779</v>
      </c>
      <c r="H299" s="7">
        <f t="shared" si="20"/>
        <v>11</v>
      </c>
      <c r="I299" s="7">
        <f t="shared" si="21"/>
        <v>37</v>
      </c>
      <c r="J299" s="7" t="str">
        <f t="shared" si="22"/>
        <v>Fuera</v>
      </c>
      <c r="K299" s="7" t="str">
        <f t="shared" si="23"/>
        <v>A tiempo</v>
      </c>
      <c r="L299" s="13">
        <v>45768</v>
      </c>
      <c r="M299" s="22">
        <f t="shared" si="24"/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Row],[CORREO]],1),E301)</f>
        <v>45729</v>
      </c>
      <c r="G301" s="11">
        <v>45729</v>
      </c>
      <c r="H301" s="7">
        <f t="shared" si="20"/>
        <v>11</v>
      </c>
      <c r="I301" s="7">
        <f t="shared" si="21"/>
        <v>1</v>
      </c>
      <c r="J301" s="7" t="str">
        <f t="shared" si="22"/>
        <v>Dentro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Row],[CORREO]],1),E302)</f>
        <v>45729.043749999997</v>
      </c>
      <c r="G302" s="11">
        <v>45743</v>
      </c>
      <c r="H302" s="7">
        <f t="shared" si="20"/>
        <v>11</v>
      </c>
      <c r="I302" s="7">
        <f t="shared" si="21"/>
        <v>11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Row],[CORREO]],1),E303)</f>
        <v>45729.31527777778</v>
      </c>
      <c r="G303" s="11">
        <v>45749</v>
      </c>
      <c r="H303" s="7">
        <f t="shared" si="20"/>
        <v>11</v>
      </c>
      <c r="I303" s="7">
        <f t="shared" si="21"/>
        <v>15</v>
      </c>
      <c r="J303" s="7" t="str">
        <f t="shared" si="22"/>
        <v>Fuera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Row],[CORREO]],1),E304)</f>
        <v>45729.34652777778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Row],[CORREO]],1),E305)</f>
        <v>45729.400694444441</v>
      </c>
      <c r="G305" s="11">
        <v>45735</v>
      </c>
      <c r="H305" s="7">
        <f t="shared" si="20"/>
        <v>11</v>
      </c>
      <c r="I305" s="7">
        <f t="shared" si="21"/>
        <v>5</v>
      </c>
      <c r="J305" s="7" t="str">
        <f t="shared" si="22"/>
        <v>Dentro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Row],[CORREO]],1),E306)</f>
        <v>45729.457638888889</v>
      </c>
      <c r="G306" s="11">
        <v>45743</v>
      </c>
      <c r="H306" s="7">
        <f t="shared" si="20"/>
        <v>11</v>
      </c>
      <c r="I306" s="7">
        <f t="shared" si="21"/>
        <v>11</v>
      </c>
      <c r="J306" s="7" t="str">
        <f t="shared" si="22"/>
        <v>Fuera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Row],[CORREO]],1),E307)</f>
        <v>45730</v>
      </c>
      <c r="G307" s="11">
        <v>45735</v>
      </c>
      <c r="H307" s="7">
        <f t="shared" si="20"/>
        <v>11</v>
      </c>
      <c r="I307" s="7">
        <f t="shared" si="21"/>
        <v>4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Row],[CORREO]],1),E308)</f>
        <v>45730</v>
      </c>
      <c r="G308" s="11">
        <v>45730</v>
      </c>
      <c r="H308" s="7">
        <f t="shared" si="20"/>
        <v>11</v>
      </c>
      <c r="I308" s="7">
        <f t="shared" si="21"/>
        <v>1</v>
      </c>
      <c r="J308" s="7" t="str">
        <f t="shared" si="22"/>
        <v>Dentro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Row],[CORREO]],1),E309)</f>
        <v>45730.347916666666</v>
      </c>
      <c r="G309" s="11">
        <v>45736</v>
      </c>
      <c r="H309" s="7">
        <f t="shared" si="20"/>
        <v>11</v>
      </c>
      <c r="I309" s="7">
        <f t="shared" si="21"/>
        <v>5</v>
      </c>
      <c r="J309" s="7" t="str">
        <f t="shared" si="22"/>
        <v>ASAP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Row],[CORREO]],1),E310)</f>
        <v>45730.354166666664</v>
      </c>
      <c r="G310" s="11">
        <v>45743</v>
      </c>
      <c r="H310" s="7">
        <f t="shared" si="20"/>
        <v>11</v>
      </c>
      <c r="I310" s="7">
        <f t="shared" si="21"/>
        <v>10</v>
      </c>
      <c r="J310" s="7" t="str">
        <f t="shared" si="22"/>
        <v>Fuera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Row],[CORREO]],1),E311)</f>
        <v>45730.363194444442</v>
      </c>
      <c r="G311" s="11">
        <v>45742</v>
      </c>
      <c r="H311" s="7">
        <f t="shared" si="20"/>
        <v>11</v>
      </c>
      <c r="I311" s="7">
        <f t="shared" si="21"/>
        <v>9</v>
      </c>
      <c r="J311" s="7" t="str">
        <f t="shared" si="22"/>
        <v>ASAP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Row],[CORREO]],1),E312)</f>
        <v>45730.37222222222</v>
      </c>
      <c r="G312" s="11">
        <v>45734</v>
      </c>
      <c r="H312" s="7">
        <f t="shared" si="20"/>
        <v>11</v>
      </c>
      <c r="I312" s="7">
        <f t="shared" si="21"/>
        <v>3</v>
      </c>
      <c r="J312" s="7" t="str">
        <f t="shared" si="22"/>
        <v>Dentro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Row],[CORREO]],1),E313)</f>
        <v>45730.401388888888</v>
      </c>
      <c r="G313" s="11">
        <v>45743</v>
      </c>
      <c r="H313" s="7">
        <f t="shared" si="20"/>
        <v>11</v>
      </c>
      <c r="I313" s="7">
        <f t="shared" si="21"/>
        <v>10</v>
      </c>
      <c r="J313" s="7" t="str">
        <f t="shared" si="22"/>
        <v>Fuera</v>
      </c>
      <c r="K313" s="7" t="str">
        <f t="shared" si="23"/>
        <v>A tiempo</v>
      </c>
      <c r="L313" s="11"/>
      <c r="M313" s="22">
        <f t="shared" si="24"/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Row],[CORREO]],1),E314)</f>
        <v>45733</v>
      </c>
      <c r="G314" s="11">
        <v>45737</v>
      </c>
      <c r="H314" s="7">
        <f t="shared" si="20"/>
        <v>11</v>
      </c>
      <c r="I314" s="7">
        <f t="shared" si="21"/>
        <v>6</v>
      </c>
      <c r="J314" s="7" t="str">
        <f t="shared" si="22"/>
        <v>Dentro</v>
      </c>
      <c r="K314" s="7" t="str">
        <f t="shared" si="23"/>
        <v>Mismo día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Row],[CORREO]],1),E315)</f>
        <v>0</v>
      </c>
      <c r="G315" s="11">
        <v>45737</v>
      </c>
      <c r="H315" s="7">
        <f t="shared" si="20"/>
        <v>11</v>
      </c>
      <c r="I315" s="7">
        <f t="shared" si="21"/>
        <v>4</v>
      </c>
      <c r="J315" s="7" t="str">
        <f t="shared" si="22"/>
        <v>Dentro</v>
      </c>
      <c r="K315" s="7" t="str">
        <f t="shared" si="23"/>
        <v>Programados</v>
      </c>
      <c r="L315" s="11"/>
      <c r="M315" s="22">
        <f t="shared" si="24"/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Row],[CORREO]],1),E316)</f>
        <v>45734.313194444447</v>
      </c>
      <c r="G316" s="11">
        <v>45734</v>
      </c>
      <c r="H316" s="7">
        <f t="shared" si="20"/>
        <v>11</v>
      </c>
      <c r="I316" s="7">
        <f t="shared" si="21"/>
        <v>1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Row],[CORREO]],1),E317)</f>
        <v>45735</v>
      </c>
      <c r="G317" s="11">
        <v>45743</v>
      </c>
      <c r="H317" s="7">
        <f t="shared" si="20"/>
        <v>12</v>
      </c>
      <c r="I317" s="7">
        <f t="shared" si="21"/>
        <v>7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Row],[CORREO]],1),E318)</f>
        <v>45735</v>
      </c>
      <c r="G318" s="11">
        <v>45735</v>
      </c>
      <c r="H318" s="7">
        <f t="shared" si="20"/>
        <v>12</v>
      </c>
      <c r="I318" s="7">
        <f t="shared" si="21"/>
        <v>1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Row],[CORREO]],1),E319)</f>
        <v>45735.3125</v>
      </c>
      <c r="G319" s="11">
        <v>45736</v>
      </c>
      <c r="H319" s="7">
        <f t="shared" si="20"/>
        <v>12</v>
      </c>
      <c r="I319" s="7">
        <f t="shared" si="21"/>
        <v>2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Row],[CORREO]],1),E320)</f>
        <v>45735.377083333333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A tiempo</v>
      </c>
      <c r="L320" s="11"/>
      <c r="M320" s="22">
        <f t="shared" si="24"/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Row],[CORREO]],1),E321)</f>
        <v>45736</v>
      </c>
      <c r="G321" s="11">
        <v>45735</v>
      </c>
      <c r="H321" s="7">
        <f t="shared" si="20"/>
        <v>12</v>
      </c>
      <c r="I321" s="7">
        <f t="shared" si="21"/>
        <v>1</v>
      </c>
      <c r="J321" s="7" t="str">
        <f t="shared" si="22"/>
        <v>Dentro</v>
      </c>
      <c r="K321" s="7" t="str">
        <f t="shared" si="23"/>
        <v>Mismo día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Row],[CORREO]],1),E322)</f>
        <v>45736</v>
      </c>
      <c r="G322" s="11">
        <v>45748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9</v>
      </c>
      <c r="J322" s="7" t="str">
        <f t="shared" ref="J322:J385" si="27">IF(G322="","Acumulado",IF(ISNUMBER(SEARCH("ASAP",C322)),"ASAP",IF(I322&lt;=7,"Dentro",IF(A322&gt;F322,"Programado","Fuera"))))</f>
        <v>Fuera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Row],[CORREO]],1),E323)</f>
        <v>45736.367361111108</v>
      </c>
      <c r="G323" s="11">
        <v>45736</v>
      </c>
      <c r="H323" s="7">
        <f t="shared" si="25"/>
        <v>12</v>
      </c>
      <c r="I323" s="7">
        <f t="shared" si="26"/>
        <v>1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Row],[CORREO]],1),E324)</f>
        <v>45736.42083333333</v>
      </c>
      <c r="G324" s="11">
        <v>45737</v>
      </c>
      <c r="H324" s="7">
        <f t="shared" si="25"/>
        <v>12</v>
      </c>
      <c r="I324" s="7">
        <f t="shared" si="26"/>
        <v>2</v>
      </c>
      <c r="J324" s="7" t="str">
        <f t="shared" si="27"/>
        <v>Dentro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Row],[CORREO]],1),E325)</f>
        <v>45736.439583333333</v>
      </c>
      <c r="G325" s="11">
        <v>45763</v>
      </c>
      <c r="H325" s="7">
        <f t="shared" si="25"/>
        <v>12</v>
      </c>
      <c r="I325" s="7">
        <f t="shared" si="26"/>
        <v>20</v>
      </c>
      <c r="J325" s="7" t="str">
        <f t="shared" si="27"/>
        <v>Fuera</v>
      </c>
      <c r="K325" s="7" t="str">
        <f t="shared" si="28"/>
        <v>A tiempo</v>
      </c>
      <c r="L325" s="11"/>
      <c r="M325" s="22">
        <f t="shared" si="29"/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Row],[CORREO]],1),E326)</f>
        <v>0</v>
      </c>
      <c r="G326" s="16">
        <v>45740</v>
      </c>
      <c r="H326" s="20">
        <f t="shared" si="25"/>
        <v>12</v>
      </c>
      <c r="I326" s="20">
        <f t="shared" si="26"/>
        <v>3</v>
      </c>
      <c r="J326" s="20" t="str">
        <f t="shared" si="27"/>
        <v>ASAP</v>
      </c>
      <c r="K326" s="20" t="str">
        <f t="shared" si="28"/>
        <v>Programados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Row],[CORREO]],1),E327)</f>
        <v>45737</v>
      </c>
      <c r="G327" s="11">
        <v>45737</v>
      </c>
      <c r="H327" s="7">
        <f t="shared" si="25"/>
        <v>12</v>
      </c>
      <c r="I327" s="7">
        <f t="shared" si="26"/>
        <v>1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Row],[CORREO]],1),E328)</f>
        <v>45737</v>
      </c>
      <c r="G328" s="11">
        <v>45747</v>
      </c>
      <c r="H328" s="7">
        <f t="shared" si="25"/>
        <v>12</v>
      </c>
      <c r="I328" s="7">
        <f t="shared" si="26"/>
        <v>7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Row],[CORREO]],1),E329)</f>
        <v>45737.382638888892</v>
      </c>
      <c r="G329" s="11">
        <v>45743</v>
      </c>
      <c r="H329" s="7">
        <f t="shared" si="25"/>
        <v>12</v>
      </c>
      <c r="I329" s="7">
        <f t="shared" si="26"/>
        <v>5</v>
      </c>
      <c r="J329" s="7" t="str">
        <f t="shared" si="27"/>
        <v>Dentro</v>
      </c>
      <c r="K329" s="7" t="str">
        <f t="shared" si="28"/>
        <v>A tiempo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Row],[CORREO]],1),E331)</f>
        <v>0</v>
      </c>
      <c r="G331" s="11">
        <v>45740</v>
      </c>
      <c r="H331" s="7">
        <f t="shared" si="25"/>
        <v>12</v>
      </c>
      <c r="I331" s="7">
        <f t="shared" si="26"/>
        <v>2</v>
      </c>
      <c r="J331" s="7" t="str">
        <f t="shared" si="27"/>
        <v>Dentro</v>
      </c>
      <c r="K331" s="7" t="str">
        <f t="shared" si="28"/>
        <v>Programados</v>
      </c>
      <c r="L331" s="11"/>
      <c r="M331" s="22">
        <f t="shared" si="29"/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Row],[CORREO]],1),E332)</f>
        <v>45737.40625</v>
      </c>
      <c r="G332" s="11">
        <v>45737</v>
      </c>
      <c r="H332" s="7">
        <f t="shared" si="25"/>
        <v>12</v>
      </c>
      <c r="I332" s="7">
        <f t="shared" si="26"/>
        <v>1</v>
      </c>
      <c r="J332" s="7" t="str">
        <f t="shared" si="27"/>
        <v>Dentro</v>
      </c>
      <c r="K332" s="7" t="str">
        <f t="shared" si="28"/>
        <v>A tiempo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Row],[CORREO]],1),E333)</f>
        <v>0</v>
      </c>
      <c r="G333" s="11">
        <v>45744</v>
      </c>
      <c r="H333" s="7">
        <f t="shared" si="25"/>
        <v>12</v>
      </c>
      <c r="I333" s="7">
        <f t="shared" si="26"/>
        <v>5</v>
      </c>
      <c r="J333" s="7" t="str">
        <f t="shared" si="27"/>
        <v>Dentro</v>
      </c>
      <c r="K333" s="7" t="str">
        <f t="shared" si="28"/>
        <v>Programados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Row],[CORREO]],1),E334)</f>
        <v>45741</v>
      </c>
      <c r="G334" s="11">
        <v>45741</v>
      </c>
      <c r="H334" s="7">
        <f t="shared" si="25"/>
        <v>12</v>
      </c>
      <c r="I334" s="7">
        <f t="shared" si="26"/>
        <v>2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Row],[CORREO]],1),E335)</f>
        <v>45741</v>
      </c>
      <c r="G335" s="11">
        <v>45742</v>
      </c>
      <c r="H335" s="7">
        <f t="shared" si="25"/>
        <v>12</v>
      </c>
      <c r="I335" s="7">
        <f t="shared" si="26"/>
        <v>3</v>
      </c>
      <c r="J335" s="7" t="str">
        <f t="shared" si="27"/>
        <v>Dentro</v>
      </c>
      <c r="K335" s="7" t="str">
        <f t="shared" si="28"/>
        <v>Mismo día</v>
      </c>
      <c r="L335" s="11"/>
      <c r="M335" s="22">
        <f t="shared" si="29"/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Row],[CORREO]],1),E336)</f>
        <v>45742</v>
      </c>
      <c r="G336" s="11">
        <v>45743</v>
      </c>
      <c r="H336" s="7">
        <f t="shared" si="25"/>
        <v>13</v>
      </c>
      <c r="I336" s="7">
        <f t="shared" si="26"/>
        <v>2</v>
      </c>
      <c r="J336" s="7" t="str">
        <f t="shared" si="27"/>
        <v>Dentro</v>
      </c>
      <c r="K336" s="7" t="str">
        <f t="shared" si="28"/>
        <v>A tiempo</v>
      </c>
      <c r="L336" s="11"/>
      <c r="M336" s="22">
        <f t="shared" si="29"/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Row],[CORREO]],1),E337)</f>
        <v>45742.387499999997</v>
      </c>
      <c r="G337" s="11">
        <v>45784</v>
      </c>
      <c r="H337" s="7">
        <f t="shared" si="25"/>
        <v>13</v>
      </c>
      <c r="I337" s="7">
        <f t="shared" si="26"/>
        <v>30</v>
      </c>
      <c r="J337" s="7" t="str">
        <f t="shared" si="27"/>
        <v>Programado</v>
      </c>
      <c r="K337" s="7" t="str">
        <f t="shared" si="28"/>
        <v>Programados</v>
      </c>
      <c r="L337" s="13">
        <v>45744</v>
      </c>
      <c r="M337" s="22">
        <f t="shared" si="29"/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Row],[CORREO]],1),E338)</f>
        <v>45742.453472222223</v>
      </c>
      <c r="G338" s="11">
        <v>45743</v>
      </c>
      <c r="H338" s="7">
        <f t="shared" si="25"/>
        <v>13</v>
      </c>
      <c r="I338" s="7">
        <f t="shared" si="26"/>
        <v>2</v>
      </c>
      <c r="J338" s="7" t="str">
        <f t="shared" si="27"/>
        <v>Dentro</v>
      </c>
      <c r="K338" s="7" t="str">
        <f t="shared" si="28"/>
        <v>A tiempo</v>
      </c>
      <c r="L338" s="11"/>
      <c r="M338" s="22">
        <f t="shared" si="29"/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Row],[CORREO]],1),E339)</f>
        <v>0</v>
      </c>
      <c r="G339" s="11">
        <v>45751</v>
      </c>
      <c r="H339" s="7">
        <f t="shared" si="25"/>
        <v>13</v>
      </c>
      <c r="I339" s="7">
        <f t="shared" si="26"/>
        <v>8</v>
      </c>
      <c r="J339" s="7" t="str">
        <f t="shared" si="27"/>
        <v>ASAP</v>
      </c>
      <c r="K339" s="7" t="str">
        <f t="shared" si="28"/>
        <v>Programados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Row],[CORREO]],1),E340)</f>
        <v>45743</v>
      </c>
      <c r="G340" s="11">
        <v>45744</v>
      </c>
      <c r="H340" s="7">
        <f t="shared" si="25"/>
        <v>13</v>
      </c>
      <c r="I340" s="7">
        <f t="shared" si="26"/>
        <v>2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Row],[CORREO]],1),E344)</f>
        <v>45743</v>
      </c>
      <c r="G344" s="11">
        <v>45747</v>
      </c>
      <c r="H344" s="7">
        <f t="shared" si="25"/>
        <v>13</v>
      </c>
      <c r="I344" s="7">
        <f t="shared" si="26"/>
        <v>3</v>
      </c>
      <c r="J344" s="7" t="str">
        <f t="shared" si="27"/>
        <v>Dentro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Row],[CORREO]],1),E345)</f>
        <v>45743</v>
      </c>
      <c r="G345" s="11">
        <v>45754</v>
      </c>
      <c r="H345" s="7">
        <f t="shared" si="25"/>
        <v>13</v>
      </c>
      <c r="I345" s="7">
        <f t="shared" si="26"/>
        <v>8</v>
      </c>
      <c r="J345" s="7" t="str">
        <f t="shared" si="27"/>
        <v>Fuera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Row],[CORREO]],1),E346)</f>
        <v>45743.336805555555</v>
      </c>
      <c r="G346" s="11">
        <v>45744</v>
      </c>
      <c r="H346" s="7">
        <f t="shared" si="25"/>
        <v>13</v>
      </c>
      <c r="I346" s="7">
        <f t="shared" si="26"/>
        <v>2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Row],[CORREO]],1),E347)</f>
        <v>45743.386111111111</v>
      </c>
      <c r="G347" s="11">
        <v>45749</v>
      </c>
      <c r="H347" s="7">
        <f t="shared" si="25"/>
        <v>13</v>
      </c>
      <c r="I347" s="7">
        <f t="shared" si="26"/>
        <v>5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Row],[CORREO]],1),E348)</f>
        <v>45744</v>
      </c>
      <c r="G348" s="11">
        <v>45747</v>
      </c>
      <c r="H348" s="7">
        <f t="shared" si="25"/>
        <v>13</v>
      </c>
      <c r="I348" s="7">
        <f t="shared" si="26"/>
        <v>2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Row],[CORREO]],1),E349)</f>
        <v>45744.374305555553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Row],[CORREO]],1),E350)</f>
        <v>45744.420138888891</v>
      </c>
      <c r="G350" s="11">
        <v>45744</v>
      </c>
      <c r="H350" s="7">
        <f t="shared" si="25"/>
        <v>13</v>
      </c>
      <c r="I350" s="7">
        <f t="shared" si="26"/>
        <v>1</v>
      </c>
      <c r="J350" s="7" t="str">
        <f t="shared" si="27"/>
        <v>Dentro</v>
      </c>
      <c r="K350" s="7" t="str">
        <f t="shared" si="28"/>
        <v>A tiempo</v>
      </c>
      <c r="L350" s="11"/>
      <c r="M350" s="22">
        <f t="shared" si="29"/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6</v>
      </c>
      <c r="J351" s="7" t="str">
        <f t="shared" si="27"/>
        <v>ASAP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Row],[CORREO]],1),E352)</f>
        <v>0</v>
      </c>
      <c r="G352" s="11">
        <v>45751</v>
      </c>
      <c r="H352" s="7">
        <f t="shared" si="25"/>
        <v>13</v>
      </c>
      <c r="I352" s="7">
        <f t="shared" si="26"/>
        <v>5</v>
      </c>
      <c r="J352" s="7" t="str">
        <f t="shared" si="27"/>
        <v>Dentro</v>
      </c>
      <c r="K352" s="7" t="str">
        <f t="shared" si="28"/>
        <v>Programados</v>
      </c>
      <c r="L352" s="11"/>
      <c r="M352" s="22">
        <f t="shared" si="29"/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Row],[CORREO]],1),E353)</f>
        <v>45747</v>
      </c>
      <c r="G353" s="11">
        <v>45748</v>
      </c>
      <c r="H353" s="7">
        <f t="shared" si="25"/>
        <v>13</v>
      </c>
      <c r="I353" s="7">
        <f t="shared" si="26"/>
        <v>2</v>
      </c>
      <c r="J353" s="7" t="str">
        <f t="shared" si="27"/>
        <v>Dentro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Row],[CORREO]],1),E354)</f>
        <v>45747.315972222219</v>
      </c>
      <c r="G354" s="13">
        <v>45769</v>
      </c>
      <c r="H354" s="7">
        <f t="shared" si="25"/>
        <v>13</v>
      </c>
      <c r="I354" s="7">
        <f t="shared" si="26"/>
        <v>17</v>
      </c>
      <c r="J354" s="7" t="str">
        <f t="shared" si="27"/>
        <v>Fuera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Row],[CORREO]],1),E355)</f>
        <v>45748</v>
      </c>
      <c r="G355" s="11">
        <v>45756</v>
      </c>
      <c r="H355" s="7">
        <f t="shared" si="25"/>
        <v>13</v>
      </c>
      <c r="I355" s="7">
        <f t="shared" si="26"/>
        <v>7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Row],[CORREO]],1),E356)</f>
        <v>45748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Dentro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Row],[CORREO]],1),E357)</f>
        <v>45748.167361111111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ASAP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Row],[CORREO]],1),E358)</f>
        <v>45748.365972222222</v>
      </c>
      <c r="G358" s="11">
        <v>45749</v>
      </c>
      <c r="H358" s="7">
        <f t="shared" si="25"/>
        <v>13</v>
      </c>
      <c r="I358" s="7">
        <f t="shared" si="26"/>
        <v>2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Row],[CORREO]],1),E359)</f>
        <v>45748.367361111108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Dentro</v>
      </c>
      <c r="K359" s="7" t="str">
        <f t="shared" si="28"/>
        <v>A tiempo</v>
      </c>
      <c r="L359" s="11"/>
      <c r="M359" s="22">
        <f t="shared" si="29"/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Row],[CORREO]],1),E360)</f>
        <v>45749</v>
      </c>
      <c r="G360" s="11">
        <v>45748</v>
      </c>
      <c r="H360" s="7">
        <f t="shared" si="25"/>
        <v>13</v>
      </c>
      <c r="I360" s="7">
        <f t="shared" si="26"/>
        <v>1</v>
      </c>
      <c r="J360" s="7" t="str">
        <f t="shared" si="27"/>
        <v>ASAP</v>
      </c>
      <c r="K360" s="7" t="str">
        <f t="shared" si="28"/>
        <v>Mismo día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Row],[CORREO]],1),E361)</f>
        <v>45749</v>
      </c>
      <c r="G361" s="11">
        <v>45749</v>
      </c>
      <c r="H361" s="7">
        <f t="shared" si="25"/>
        <v>14</v>
      </c>
      <c r="I361" s="7">
        <f t="shared" si="26"/>
        <v>1</v>
      </c>
      <c r="J361" s="7" t="str">
        <f t="shared" si="27"/>
        <v>ASAP</v>
      </c>
      <c r="K361" s="7" t="str">
        <f t="shared" si="28"/>
        <v>A tiempo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Row],[CORREO]],1),E362)</f>
        <v>0</v>
      </c>
      <c r="G362" s="11">
        <v>45751</v>
      </c>
      <c r="H362" s="7">
        <f t="shared" si="25"/>
        <v>14</v>
      </c>
      <c r="I362" s="7">
        <f t="shared" si="26"/>
        <v>3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Row],[CORREO]],1),E363)</f>
        <v>0</v>
      </c>
      <c r="G363" s="11">
        <v>45761</v>
      </c>
      <c r="H363" s="7">
        <f t="shared" si="25"/>
        <v>14</v>
      </c>
      <c r="I363" s="7">
        <f t="shared" si="26"/>
        <v>9</v>
      </c>
      <c r="J363" s="7" t="str">
        <f t="shared" si="27"/>
        <v>ASAP</v>
      </c>
      <c r="K363" s="7" t="str">
        <f t="shared" si="28"/>
        <v>Programados</v>
      </c>
      <c r="L363" s="11"/>
      <c r="M363" s="22">
        <f t="shared" si="29"/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Row],[CORREO]],1),E364)</f>
        <v>45750</v>
      </c>
      <c r="G364" s="13">
        <v>45776</v>
      </c>
      <c r="H364" s="7">
        <f t="shared" si="25"/>
        <v>14</v>
      </c>
      <c r="I364" s="7">
        <f t="shared" si="26"/>
        <v>19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Row],[CORREO]],1),E365)</f>
        <v>45750</v>
      </c>
      <c r="G365" s="11">
        <v>45762</v>
      </c>
      <c r="H365" s="7">
        <f t="shared" si="25"/>
        <v>14</v>
      </c>
      <c r="I365" s="7">
        <f t="shared" si="26"/>
        <v>9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Row],[CORREO]],1),E366)</f>
        <v>45750</v>
      </c>
      <c r="G366" s="11">
        <v>45761</v>
      </c>
      <c r="H366" s="7">
        <f t="shared" si="25"/>
        <v>14</v>
      </c>
      <c r="I366" s="7">
        <f t="shared" si="26"/>
        <v>8</v>
      </c>
      <c r="J366" s="7" t="str">
        <f t="shared" si="27"/>
        <v>Fuera</v>
      </c>
      <c r="K366" s="7" t="str">
        <f t="shared" si="28"/>
        <v>A tiempo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Row],[CORREO]],1),E369)</f>
        <v>0</v>
      </c>
      <c r="G369" s="11">
        <v>45757</v>
      </c>
      <c r="H369" s="7">
        <f t="shared" si="25"/>
        <v>14</v>
      </c>
      <c r="I369" s="7">
        <f t="shared" si="26"/>
        <v>6</v>
      </c>
      <c r="J369" s="7" t="str">
        <f t="shared" si="27"/>
        <v>Dentro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Row],[CORREO]],1),E370)</f>
        <v>0</v>
      </c>
      <c r="G370" s="13">
        <v>45768</v>
      </c>
      <c r="H370" s="7">
        <f t="shared" si="25"/>
        <v>14</v>
      </c>
      <c r="I370" s="7">
        <f t="shared" si="26"/>
        <v>13</v>
      </c>
      <c r="J370" s="7" t="str">
        <f t="shared" si="27"/>
        <v>Programado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Row],[CORREO]],1),E372)</f>
        <v>0</v>
      </c>
      <c r="G372" s="11">
        <v>45757</v>
      </c>
      <c r="H372" s="7">
        <f t="shared" si="25"/>
        <v>14</v>
      </c>
      <c r="I372" s="7">
        <f t="shared" si="26"/>
        <v>6</v>
      </c>
      <c r="J372" s="7" t="str">
        <f t="shared" si="27"/>
        <v>Dentro</v>
      </c>
      <c r="K372" s="7" t="str">
        <f t="shared" si="28"/>
        <v>Programados</v>
      </c>
      <c r="L372" s="11"/>
      <c r="M372" s="22">
        <f t="shared" si="29"/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Row],[CORREO]],1),E373)</f>
        <v>45750.405555555553</v>
      </c>
      <c r="G373" s="13">
        <v>45769</v>
      </c>
      <c r="H373" s="7">
        <f t="shared" si="25"/>
        <v>14</v>
      </c>
      <c r="I373" s="7">
        <f t="shared" si="26"/>
        <v>14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Row],[CORREO]],1),E374)</f>
        <v>45751</v>
      </c>
      <c r="G374" s="13">
        <v>45771</v>
      </c>
      <c r="H374" s="7">
        <f t="shared" si="25"/>
        <v>14</v>
      </c>
      <c r="I374" s="7">
        <f t="shared" si="26"/>
        <v>15</v>
      </c>
      <c r="J374" s="7" t="str">
        <f t="shared" si="27"/>
        <v>Fuera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Row],[CORREO]],1),E375)</f>
        <v>45751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Row],[CORREO]],1),E376)</f>
        <v>45751.367361111108</v>
      </c>
      <c r="G376" s="11">
        <v>45751</v>
      </c>
      <c r="H376" s="7">
        <f t="shared" si="25"/>
        <v>14</v>
      </c>
      <c r="I376" s="7">
        <f t="shared" si="26"/>
        <v>1</v>
      </c>
      <c r="J376" s="7" t="str">
        <f t="shared" si="27"/>
        <v>Dentro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Row],[CORREO]],1),E377)</f>
        <v>45751</v>
      </c>
      <c r="G377" s="13">
        <v>45768</v>
      </c>
      <c r="H377" s="7">
        <f t="shared" si="25"/>
        <v>14</v>
      </c>
      <c r="I377" s="7">
        <f t="shared" si="26"/>
        <v>12</v>
      </c>
      <c r="J377" s="7" t="str">
        <f t="shared" si="27"/>
        <v>Fuera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Row],[CORREO]],1),E378)</f>
        <v>45751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Dentro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Row],[CORREO]],1),E379)</f>
        <v>45751.36041666667</v>
      </c>
      <c r="G379" s="11">
        <v>45751</v>
      </c>
      <c r="H379" s="7">
        <f t="shared" si="25"/>
        <v>14</v>
      </c>
      <c r="I379" s="7">
        <f t="shared" si="26"/>
        <v>1</v>
      </c>
      <c r="J379" s="7" t="str">
        <f t="shared" si="27"/>
        <v>ASAP</v>
      </c>
      <c r="K379" s="7" t="str">
        <f t="shared" si="28"/>
        <v>A tiempo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Row],[CORREO]],1),E380)</f>
        <v>0</v>
      </c>
      <c r="G380" s="11">
        <v>45758</v>
      </c>
      <c r="H380" s="7">
        <f t="shared" si="25"/>
        <v>14</v>
      </c>
      <c r="I380" s="7">
        <f t="shared" si="26"/>
        <v>5</v>
      </c>
      <c r="J380" s="7" t="str">
        <f t="shared" si="27"/>
        <v>Dentro</v>
      </c>
      <c r="K380" s="7" t="str">
        <f t="shared" si="28"/>
        <v>Programados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Dentro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Row],[CORREO]],1),E382)</f>
        <v>45754</v>
      </c>
      <c r="G382" s="11">
        <v>45756</v>
      </c>
      <c r="H382" s="7">
        <f t="shared" si="25"/>
        <v>14</v>
      </c>
      <c r="I382" s="7">
        <f t="shared" si="26"/>
        <v>3</v>
      </c>
      <c r="J382" s="7" t="str">
        <f t="shared" si="27"/>
        <v>ASAP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Row],[CORREO]],1),E383)</f>
        <v>45754</v>
      </c>
      <c r="G383" s="11">
        <v>45755</v>
      </c>
      <c r="H383" s="7">
        <f t="shared" si="25"/>
        <v>14</v>
      </c>
      <c r="I383" s="7">
        <f t="shared" si="26"/>
        <v>2</v>
      </c>
      <c r="J383" s="7" t="str">
        <f t="shared" si="27"/>
        <v>Dentro</v>
      </c>
      <c r="K383" s="7" t="str">
        <f t="shared" si="28"/>
        <v>A tiempo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Row],[CORREO]],1),E384)</f>
        <v>0</v>
      </c>
      <c r="G384" s="11">
        <v>45756</v>
      </c>
      <c r="H384" s="7">
        <f t="shared" si="25"/>
        <v>14</v>
      </c>
      <c r="I384" s="7">
        <f t="shared" si="26"/>
        <v>3</v>
      </c>
      <c r="J384" s="7" t="str">
        <f t="shared" si="27"/>
        <v>Dentro</v>
      </c>
      <c r="K384" s="7" t="str">
        <f t="shared" si="28"/>
        <v>Programados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Row],[CORREO]],1),E385)</f>
        <v>45754.432638888888</v>
      </c>
      <c r="G385" s="11">
        <v>45755</v>
      </c>
      <c r="H385" s="7">
        <f t="shared" si="25"/>
        <v>14</v>
      </c>
      <c r="I385" s="7">
        <f t="shared" si="26"/>
        <v>2</v>
      </c>
      <c r="J385" s="7" t="str">
        <f t="shared" si="27"/>
        <v>ASAP</v>
      </c>
      <c r="K385" s="7" t="str">
        <f t="shared" si="28"/>
        <v>A tiempo</v>
      </c>
      <c r="L385" s="11"/>
      <c r="M385" s="22">
        <f t="shared" si="29"/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Row],[CORREO]],1),E386)</f>
        <v>45755</v>
      </c>
      <c r="G386" s="11">
        <v>45756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</v>
      </c>
      <c r="J386" s="7" t="str">
        <f t="shared" ref="J386:J449" si="32">IF(G386="","Acumulado",IF(ISNUMBER(SEARCH("ASAP",C386)),"ASAP",IF(I386&lt;=7,"Dentro",IF(A386&gt;F386,"Programado","Fuera"))))</f>
        <v>Dentro</v>
      </c>
      <c r="K386" s="7" t="str">
        <f t="shared" ref="K386:K449" si="33">IF(INT(A386)=INT(F386),"A tiempo", IF(A386&lt;F386,"Mismo día","Programados"))</f>
        <v>Mismo día</v>
      </c>
      <c r="L386" s="11"/>
      <c r="M386" s="22">
        <f t="shared" ref="M386:M449" si="34">MAX(1,NETWORKDAYS(A386,L386))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Row],[CORREO]],1),E387)</f>
        <v>45755</v>
      </c>
      <c r="G387" s="11">
        <v>45798</v>
      </c>
      <c r="H387" s="7">
        <f t="shared" si="30"/>
        <v>14</v>
      </c>
      <c r="I387" s="7">
        <f t="shared" si="31"/>
        <v>32</v>
      </c>
      <c r="J387" s="7" t="str">
        <f t="shared" si="32"/>
        <v>Fuera</v>
      </c>
      <c r="K387" s="7" t="str">
        <f t="shared" si="33"/>
        <v>A tiempo</v>
      </c>
      <c r="L387" s="13">
        <v>45772</v>
      </c>
      <c r="M387" s="22">
        <f t="shared" si="34"/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Row],[CORREO]],1),E388)</f>
        <v>45755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A tiempo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Row],[CORREO]],1),E389)</f>
        <v>45750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Programados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Row],[CORREO]],1),E390)</f>
        <v>45755.128472222219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Row],[CORREO]],1),E391)</f>
        <v>45755.306250000001</v>
      </c>
      <c r="G391" s="11">
        <v>45756</v>
      </c>
      <c r="H391" s="7">
        <f t="shared" si="30"/>
        <v>14</v>
      </c>
      <c r="I391" s="7">
        <f t="shared" si="31"/>
        <v>2</v>
      </c>
      <c r="J391" s="7" t="str">
        <f t="shared" si="32"/>
        <v>Dentro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Row],[CORREO]],1),E392)</f>
        <v>45755.354861111111</v>
      </c>
      <c r="G392" s="11">
        <v>45761</v>
      </c>
      <c r="H392" s="7">
        <f t="shared" si="30"/>
        <v>14</v>
      </c>
      <c r="I392" s="7">
        <f t="shared" si="31"/>
        <v>5</v>
      </c>
      <c r="J392" s="7" t="str">
        <f t="shared" si="32"/>
        <v>ASAP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Row],[CORREO]],1),E393)</f>
        <v>45755.438194444447</v>
      </c>
      <c r="G393" s="11">
        <v>45756</v>
      </c>
      <c r="H393" s="7">
        <f t="shared" si="30"/>
        <v>14</v>
      </c>
      <c r="I393" s="7">
        <f t="shared" si="31"/>
        <v>2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Row],[CORREO]],1),E394)</f>
        <v>45755.453472222223</v>
      </c>
      <c r="G394" s="11">
        <v>45757</v>
      </c>
      <c r="H394" s="7">
        <f t="shared" si="30"/>
        <v>14</v>
      </c>
      <c r="I394" s="7">
        <f t="shared" si="31"/>
        <v>3</v>
      </c>
      <c r="J394" s="7" t="str">
        <f t="shared" si="32"/>
        <v>Dentro</v>
      </c>
      <c r="K394" s="7" t="str">
        <f t="shared" si="33"/>
        <v>A tiempo</v>
      </c>
      <c r="L394" s="11"/>
      <c r="M394" s="22">
        <f t="shared" si="34"/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Row],[CORREO]],1),E395)</f>
        <v>45756</v>
      </c>
      <c r="G395" s="11">
        <v>45785</v>
      </c>
      <c r="H395" s="7">
        <f t="shared" si="30"/>
        <v>15</v>
      </c>
      <c r="I395" s="7">
        <f t="shared" si="31"/>
        <v>22</v>
      </c>
      <c r="J395" s="7" t="str">
        <f t="shared" si="32"/>
        <v>Fuera</v>
      </c>
      <c r="K395" s="7" t="str">
        <f t="shared" si="33"/>
        <v>A tiempo</v>
      </c>
      <c r="L395" s="13">
        <v>45762</v>
      </c>
      <c r="M395" s="22">
        <f t="shared" si="34"/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Row],[CORREO]],1),E396)</f>
        <v>45756</v>
      </c>
      <c r="G396" s="13">
        <v>45776</v>
      </c>
      <c r="H396" s="7">
        <f t="shared" si="30"/>
        <v>15</v>
      </c>
      <c r="I396" s="7">
        <f t="shared" si="31"/>
        <v>15</v>
      </c>
      <c r="J396" s="7" t="str">
        <f t="shared" si="32"/>
        <v>Fuera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Row],[CORREO]],1),E397)</f>
        <v>45756</v>
      </c>
      <c r="G397" s="11">
        <v>45756</v>
      </c>
      <c r="H397" s="7">
        <f t="shared" si="30"/>
        <v>15</v>
      </c>
      <c r="I397" s="7">
        <f t="shared" si="31"/>
        <v>1</v>
      </c>
      <c r="J397" s="7" t="str">
        <f t="shared" si="32"/>
        <v>Dentro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Row],[CORREO]],1),E398)</f>
        <v>45756</v>
      </c>
      <c r="G398" s="13">
        <v>45769</v>
      </c>
      <c r="H398" s="7">
        <f t="shared" si="30"/>
        <v>15</v>
      </c>
      <c r="I398" s="7">
        <f t="shared" si="31"/>
        <v>10</v>
      </c>
      <c r="J398" s="7" t="str">
        <f t="shared" si="32"/>
        <v>Fuera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Row],[CORREO]],1),E399)</f>
        <v>45756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Row],[CORREO]],1),E400)</f>
        <v>45756.304166666669</v>
      </c>
      <c r="G400" s="11">
        <v>45756</v>
      </c>
      <c r="H400" s="7">
        <f t="shared" si="30"/>
        <v>15</v>
      </c>
      <c r="I400" s="7">
        <f t="shared" si="31"/>
        <v>1</v>
      </c>
      <c r="J400" s="7" t="str">
        <f t="shared" si="32"/>
        <v>Dentro</v>
      </c>
      <c r="K400" s="7" t="str">
        <f t="shared" si="33"/>
        <v>A tiempo</v>
      </c>
      <c r="L400" s="11"/>
      <c r="M400" s="22">
        <f t="shared" si="34"/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Row],[CORREO]],1),E401)</f>
        <v>45757</v>
      </c>
      <c r="G401" s="13">
        <v>45769</v>
      </c>
      <c r="H401" s="7">
        <f t="shared" si="30"/>
        <v>15</v>
      </c>
      <c r="I401" s="7">
        <f t="shared" si="31"/>
        <v>10</v>
      </c>
      <c r="J401" s="7" t="str">
        <f t="shared" si="32"/>
        <v>ASAP</v>
      </c>
      <c r="K401" s="7" t="str">
        <f t="shared" si="33"/>
        <v>Mismo día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Row],[CORREO]],1),E402)</f>
        <v>45757.356249999997</v>
      </c>
      <c r="G402" s="11">
        <v>45757</v>
      </c>
      <c r="H402" s="7">
        <f t="shared" si="30"/>
        <v>15</v>
      </c>
      <c r="I402" s="7">
        <f t="shared" si="31"/>
        <v>1</v>
      </c>
      <c r="J402" s="7" t="str">
        <f t="shared" si="32"/>
        <v>Dentro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Row],[CORREO]],1),E403)</f>
        <v>45757.371527777781</v>
      </c>
      <c r="G403" s="11">
        <v>45758</v>
      </c>
      <c r="H403" s="7">
        <f t="shared" si="30"/>
        <v>15</v>
      </c>
      <c r="I403" s="7">
        <f t="shared" si="31"/>
        <v>2</v>
      </c>
      <c r="J403" s="7" t="str">
        <f t="shared" si="32"/>
        <v>ASAP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Row],[CORREO]],1),E404)</f>
        <v>45757.411111111112</v>
      </c>
      <c r="G404" s="11">
        <v>45757</v>
      </c>
      <c r="H404" s="7">
        <f t="shared" si="30"/>
        <v>15</v>
      </c>
      <c r="I404" s="7">
        <f t="shared" si="31"/>
        <v>1</v>
      </c>
      <c r="J404" s="7" t="str">
        <f t="shared" si="32"/>
        <v>Dentro</v>
      </c>
      <c r="K404" s="7" t="str">
        <f t="shared" si="33"/>
        <v>A tiempo</v>
      </c>
      <c r="L404" s="11"/>
      <c r="M404" s="22">
        <f t="shared" si="34"/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Row],[CORREO]],1),E405)</f>
        <v>45757</v>
      </c>
      <c r="G405" s="11">
        <v>45785</v>
      </c>
      <c r="H405" s="7">
        <f t="shared" si="30"/>
        <v>15</v>
      </c>
      <c r="I405" s="7">
        <f t="shared" si="31"/>
        <v>21</v>
      </c>
      <c r="J405" s="7" t="str">
        <f t="shared" si="32"/>
        <v>Fuera</v>
      </c>
      <c r="K405" s="7" t="str">
        <f t="shared" si="33"/>
        <v>A tiempo</v>
      </c>
      <c r="L405" s="13">
        <v>45785</v>
      </c>
      <c r="M405" s="22">
        <f t="shared" si="34"/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Row],[CORREO]],1),E406)</f>
        <v>45757</v>
      </c>
      <c r="G406" s="11">
        <v>45758</v>
      </c>
      <c r="H406" s="7">
        <f t="shared" si="30"/>
        <v>15</v>
      </c>
      <c r="I406" s="7">
        <f t="shared" si="31"/>
        <v>2</v>
      </c>
      <c r="J406" s="7" t="str">
        <f t="shared" si="32"/>
        <v>Dentro</v>
      </c>
      <c r="K406" s="7" t="str">
        <f t="shared" si="33"/>
        <v>A tiempo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Row],[CORREO]],1),E407)</f>
        <v>45758</v>
      </c>
      <c r="G407" s="11">
        <v>45757</v>
      </c>
      <c r="H407" s="7">
        <f t="shared" si="30"/>
        <v>15</v>
      </c>
      <c r="I407" s="7">
        <f t="shared" si="31"/>
        <v>1</v>
      </c>
      <c r="J407" s="7" t="str">
        <f t="shared" si="32"/>
        <v>Dentro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Row],[CORREO]],1),E408)</f>
        <v>45758</v>
      </c>
      <c r="G408" s="11">
        <v>45763</v>
      </c>
      <c r="H408" s="7">
        <f t="shared" si="30"/>
        <v>15</v>
      </c>
      <c r="I408" s="7">
        <f t="shared" si="31"/>
        <v>5</v>
      </c>
      <c r="J408" s="7" t="str">
        <f t="shared" si="32"/>
        <v>ASAP</v>
      </c>
      <c r="K408" s="7" t="str">
        <f t="shared" si="33"/>
        <v>Mismo día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Row],[CORREO]],1),E410)</f>
        <v>45758</v>
      </c>
      <c r="G410" s="11">
        <v>45761</v>
      </c>
      <c r="H410" s="7">
        <f t="shared" si="30"/>
        <v>15</v>
      </c>
      <c r="I410" s="7">
        <f t="shared" si="31"/>
        <v>2</v>
      </c>
      <c r="J410" s="7" t="str">
        <f t="shared" si="32"/>
        <v>Dentro</v>
      </c>
      <c r="K410" s="7" t="str">
        <f t="shared" si="33"/>
        <v>A tiempo</v>
      </c>
      <c r="L410" s="11"/>
      <c r="M410" s="22">
        <f t="shared" si="34"/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Row],[CORREO]],1),E411)</f>
        <v>45758</v>
      </c>
      <c r="G411" s="11">
        <v>45800</v>
      </c>
      <c r="H411" s="7">
        <f t="shared" si="30"/>
        <v>15</v>
      </c>
      <c r="I411" s="7">
        <f t="shared" si="31"/>
        <v>31</v>
      </c>
      <c r="J411" s="7" t="str">
        <f t="shared" si="32"/>
        <v>Fuera</v>
      </c>
      <c r="K411" s="7" t="str">
        <f t="shared" si="33"/>
        <v>A tiempo</v>
      </c>
      <c r="L411" s="13">
        <v>45790</v>
      </c>
      <c r="M411" s="22">
        <f t="shared" si="34"/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Row],[CORREO]],1),E412)</f>
        <v>45758.305555555555</v>
      </c>
      <c r="G412" s="11">
        <v>45761</v>
      </c>
      <c r="H412" s="7">
        <f t="shared" si="30"/>
        <v>15</v>
      </c>
      <c r="I412" s="7">
        <f t="shared" si="31"/>
        <v>2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Row],[CORREO]],1),E413)</f>
        <v>45758.317361111112</v>
      </c>
      <c r="G413" s="11">
        <v>45758</v>
      </c>
      <c r="H413" s="7">
        <f t="shared" si="30"/>
        <v>15</v>
      </c>
      <c r="I413" s="7">
        <f t="shared" si="31"/>
        <v>1</v>
      </c>
      <c r="J413" s="7" t="str">
        <f t="shared" si="32"/>
        <v>Dentro</v>
      </c>
      <c r="K413" s="7" t="str">
        <f t="shared" si="33"/>
        <v>A tiempo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Row],[CORREO]],1),E414)</f>
        <v>0</v>
      </c>
      <c r="G414" s="11">
        <v>45763</v>
      </c>
      <c r="H414" s="7">
        <f t="shared" si="30"/>
        <v>15</v>
      </c>
      <c r="I414" s="7">
        <f t="shared" si="31"/>
        <v>3</v>
      </c>
      <c r="J414" s="7" t="str">
        <f t="shared" si="32"/>
        <v>Dentro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Row],[CORREO]],1),E415)</f>
        <v>45758</v>
      </c>
      <c r="G415" s="13">
        <v>45772</v>
      </c>
      <c r="H415" s="7">
        <f t="shared" si="30"/>
        <v>15</v>
      </c>
      <c r="I415" s="7">
        <f t="shared" si="31"/>
        <v>10</v>
      </c>
      <c r="J415" s="7" t="str">
        <f t="shared" si="32"/>
        <v>Programado</v>
      </c>
      <c r="K415" s="7" t="str">
        <f t="shared" si="33"/>
        <v>Programados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Row],[CORREO]],1),E417)</f>
        <v>45761</v>
      </c>
      <c r="G417" s="11">
        <v>45761</v>
      </c>
      <c r="H417" s="7">
        <f t="shared" si="30"/>
        <v>15</v>
      </c>
      <c r="I417" s="7">
        <f t="shared" si="31"/>
        <v>1</v>
      </c>
      <c r="J417" s="7" t="str">
        <f t="shared" si="32"/>
        <v>Dentro</v>
      </c>
      <c r="K417" s="7" t="str">
        <f t="shared" si="33"/>
        <v>A tiempo</v>
      </c>
      <c r="L417" s="11"/>
      <c r="M417" s="22">
        <f t="shared" si="34"/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Row],[CORREO]],1),E418)</f>
        <v>45761</v>
      </c>
      <c r="G418" s="11">
        <v>45798</v>
      </c>
      <c r="H418" s="7">
        <f t="shared" si="30"/>
        <v>15</v>
      </c>
      <c r="I418" s="7">
        <f t="shared" si="31"/>
        <v>28</v>
      </c>
      <c r="J418" s="7" t="str">
        <f t="shared" si="32"/>
        <v>Fuera</v>
      </c>
      <c r="K418" s="7" t="str">
        <f t="shared" si="33"/>
        <v>A tiempo</v>
      </c>
      <c r="L418" s="13">
        <v>45771</v>
      </c>
      <c r="M418" s="22">
        <f t="shared" si="34"/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Row],[CORREO]],1),E419)</f>
        <v>45761.40347222222</v>
      </c>
      <c r="G419" s="13">
        <v>45771</v>
      </c>
      <c r="H419" s="7">
        <f t="shared" si="30"/>
        <v>15</v>
      </c>
      <c r="I419" s="7">
        <f t="shared" si="31"/>
        <v>9</v>
      </c>
      <c r="J419" s="7" t="str">
        <f t="shared" si="32"/>
        <v>Fuera</v>
      </c>
      <c r="K419" s="7" t="str">
        <f t="shared" si="33"/>
        <v>A tiempo</v>
      </c>
      <c r="L419" s="11"/>
      <c r="M419" s="22">
        <f t="shared" si="34"/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Row],[CORREO]],1),E420)</f>
        <v>45762</v>
      </c>
      <c r="G420" s="11">
        <v>45761</v>
      </c>
      <c r="H420" s="7">
        <f t="shared" si="30"/>
        <v>15</v>
      </c>
      <c r="I420" s="7">
        <f t="shared" si="31"/>
        <v>1</v>
      </c>
      <c r="J420" s="7" t="str">
        <f t="shared" si="32"/>
        <v>Dentro</v>
      </c>
      <c r="K420" s="7" t="str">
        <f t="shared" si="33"/>
        <v>Mismo día</v>
      </c>
      <c r="L420" s="11"/>
      <c r="M420" s="22">
        <f t="shared" si="34"/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Row],[CORREO]],1),E421)</f>
        <v>45762</v>
      </c>
      <c r="G421" s="11">
        <v>45819</v>
      </c>
      <c r="H421" s="7">
        <f t="shared" si="30"/>
        <v>19</v>
      </c>
      <c r="I421" s="7">
        <f t="shared" si="31"/>
        <v>24</v>
      </c>
      <c r="J421" s="7" t="str">
        <f t="shared" si="32"/>
        <v>Programado</v>
      </c>
      <c r="K421" s="7" t="str">
        <f t="shared" si="33"/>
        <v>Programados</v>
      </c>
      <c r="L421" s="13">
        <v>45789</v>
      </c>
      <c r="M421" s="22">
        <f t="shared" si="34"/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Row],[CORREO]],1),E423)</f>
        <v>45762</v>
      </c>
      <c r="G423" s="11">
        <v>45763</v>
      </c>
      <c r="H423" s="7">
        <f t="shared" si="30"/>
        <v>15</v>
      </c>
      <c r="I423" s="7">
        <f t="shared" si="31"/>
        <v>2</v>
      </c>
      <c r="J423" s="7" t="str">
        <f t="shared" si="32"/>
        <v>Dentro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ASAP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Row],[CORREO]],1),E426)</f>
        <v>45762</v>
      </c>
      <c r="G426" s="11">
        <v>45762</v>
      </c>
      <c r="H426" s="7">
        <f t="shared" si="30"/>
        <v>15</v>
      </c>
      <c r="I426" s="7">
        <f t="shared" si="31"/>
        <v>1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Row],[CORREO]],1),E427)</f>
        <v>45762.294444444444</v>
      </c>
      <c r="G427" s="11">
        <v>45763</v>
      </c>
      <c r="H427" s="7">
        <f t="shared" si="30"/>
        <v>15</v>
      </c>
      <c r="I427" s="7">
        <f t="shared" si="31"/>
        <v>2</v>
      </c>
      <c r="J427" s="7" t="str">
        <f t="shared" si="32"/>
        <v>Dentro</v>
      </c>
      <c r="K427" s="7" t="str">
        <f t="shared" si="33"/>
        <v>A tiempo</v>
      </c>
      <c r="L427" s="11"/>
      <c r="M427" s="22">
        <f t="shared" si="34"/>
        <v>1</v>
      </c>
    </row>
    <row r="428" spans="1:13" x14ac:dyDescent="0.35">
      <c r="A428" s="11">
        <v>45762</v>
      </c>
      <c r="B428" s="7" t="s">
        <v>2706</v>
      </c>
      <c r="C428" s="7" t="s">
        <v>2712</v>
      </c>
      <c r="D428" s="7" t="s">
        <v>53</v>
      </c>
      <c r="E428" s="18">
        <v>45762.456250000003</v>
      </c>
      <c r="F428" s="11">
        <f>IF(HOUR(Table1[[#This Row],[CORREO]])&gt;=11,WORKDAY(Table1[[#This Row],[CORREO]],1),E428)</f>
        <v>45762.456250000003</v>
      </c>
      <c r="G428" s="11">
        <v>45762</v>
      </c>
      <c r="H428" s="7">
        <f t="shared" si="30"/>
        <v>15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>
        <v>45763</v>
      </c>
      <c r="M428" s="22">
        <f t="shared" si="34"/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Row],[CORREO]],1),E429)</f>
        <v>45763</v>
      </c>
      <c r="G429" s="11">
        <v>45763</v>
      </c>
      <c r="H429" s="7">
        <f t="shared" si="30"/>
        <v>16</v>
      </c>
      <c r="I429" s="7">
        <f t="shared" si="31"/>
        <v>1</v>
      </c>
      <c r="J429" s="7" t="str">
        <f t="shared" si="32"/>
        <v>Dentro</v>
      </c>
      <c r="K429" s="7" t="str">
        <f t="shared" si="33"/>
        <v>A tiempo</v>
      </c>
      <c r="L429" s="11"/>
      <c r="M429" s="22">
        <f t="shared" si="34"/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Row],[CORREO]],1),E430)</f>
        <v>45763.352083333331</v>
      </c>
      <c r="G430" s="11">
        <v>45811</v>
      </c>
      <c r="H430" s="7">
        <f t="shared" si="30"/>
        <v>16</v>
      </c>
      <c r="I430" s="7">
        <f t="shared" si="31"/>
        <v>35</v>
      </c>
      <c r="J430" s="7" t="str">
        <f t="shared" si="32"/>
        <v>Fuera</v>
      </c>
      <c r="K430" s="7" t="str">
        <f t="shared" si="33"/>
        <v>A tiempo</v>
      </c>
      <c r="L430" s="13">
        <v>45770</v>
      </c>
      <c r="M430" s="22">
        <f t="shared" si="34"/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Row],[CORREO]],1),E431)</f>
        <v>45763.406944444447</v>
      </c>
      <c r="G431" s="11">
        <v>45783</v>
      </c>
      <c r="H431" s="7">
        <f t="shared" si="30"/>
        <v>16</v>
      </c>
      <c r="I431" s="7">
        <f t="shared" si="31"/>
        <v>15</v>
      </c>
      <c r="J431" s="7" t="str">
        <f t="shared" si="32"/>
        <v>Fuera</v>
      </c>
      <c r="K431" s="7" t="str">
        <f t="shared" si="33"/>
        <v>A tiempo</v>
      </c>
      <c r="L431" s="13">
        <v>45771</v>
      </c>
      <c r="M431" s="22">
        <f t="shared" si="34"/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Row],[CORREO]],1),E432)</f>
        <v>0</v>
      </c>
      <c r="G432" s="13">
        <v>45768</v>
      </c>
      <c r="H432" s="7">
        <f t="shared" si="30"/>
        <v>16</v>
      </c>
      <c r="I432" s="7">
        <f t="shared" si="31"/>
        <v>1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Row],[CORREO]],1),E433)</f>
        <v>0</v>
      </c>
      <c r="G433" s="13">
        <v>45772</v>
      </c>
      <c r="H433" s="7">
        <f t="shared" si="30"/>
        <v>16</v>
      </c>
      <c r="I433" s="7">
        <f t="shared" si="31"/>
        <v>5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Row],[CORREO]],1),E434)</f>
        <v>45764</v>
      </c>
      <c r="G434" s="13">
        <v>45769</v>
      </c>
      <c r="H434" s="7">
        <f t="shared" si="30"/>
        <v>16</v>
      </c>
      <c r="I434" s="7">
        <f t="shared" si="31"/>
        <v>2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Row],[CORREO]],1),E436)</f>
        <v>45764</v>
      </c>
      <c r="G436" s="13">
        <v>45771</v>
      </c>
      <c r="H436" s="7">
        <f t="shared" si="30"/>
        <v>16</v>
      </c>
      <c r="I436" s="7">
        <f t="shared" si="31"/>
        <v>4</v>
      </c>
      <c r="J436" s="7" t="str">
        <f t="shared" si="32"/>
        <v>Dentro</v>
      </c>
      <c r="K436" s="7" t="str">
        <f t="shared" si="33"/>
        <v>Programados</v>
      </c>
      <c r="L436" s="11"/>
      <c r="M436" s="22">
        <f t="shared" si="34"/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Row],[CORREO]],1),E437)</f>
        <v>45791</v>
      </c>
      <c r="G437" s="11">
        <v>45790</v>
      </c>
      <c r="H437" s="7">
        <f t="shared" si="30"/>
        <v>16</v>
      </c>
      <c r="I437" s="7">
        <f t="shared" si="31"/>
        <v>17</v>
      </c>
      <c r="J437" s="7" t="str">
        <f t="shared" si="32"/>
        <v>Fuera</v>
      </c>
      <c r="K437" s="7" t="str">
        <f t="shared" si="33"/>
        <v>Mismo día</v>
      </c>
      <c r="L437" s="13">
        <v>45768</v>
      </c>
      <c r="M437" s="22">
        <f t="shared" si="34"/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Row],[CORREO]],1),E438)</f>
        <v>45769</v>
      </c>
      <c r="G438" s="13">
        <v>45769</v>
      </c>
      <c r="H438" s="7">
        <f t="shared" si="30"/>
        <v>16</v>
      </c>
      <c r="I438" s="7">
        <f t="shared" si="31"/>
        <v>1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Row],[CORREO]],1),E439)</f>
        <v>45769</v>
      </c>
      <c r="G439" s="13">
        <v>45777</v>
      </c>
      <c r="H439" s="7">
        <f t="shared" si="30"/>
        <v>16</v>
      </c>
      <c r="I439" s="7">
        <f t="shared" si="31"/>
        <v>7</v>
      </c>
      <c r="J439" s="7" t="str">
        <f t="shared" si="32"/>
        <v>Dentro</v>
      </c>
      <c r="K439" s="7" t="str">
        <f t="shared" si="33"/>
        <v>A tiempo</v>
      </c>
      <c r="L439" s="11"/>
      <c r="M439" s="22">
        <f t="shared" si="34"/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Row],[CORREO]],1),E440)</f>
        <v>45769.34097222222</v>
      </c>
      <c r="G440" s="11">
        <v>45912</v>
      </c>
      <c r="H440" s="7">
        <f t="shared" si="30"/>
        <v>17</v>
      </c>
      <c r="I440" s="7">
        <f t="shared" si="31"/>
        <v>101</v>
      </c>
      <c r="J440" s="7" t="str">
        <f t="shared" si="32"/>
        <v>Programado</v>
      </c>
      <c r="K440" s="7" t="str">
        <f t="shared" si="33"/>
        <v>Programados</v>
      </c>
      <c r="L440" s="13">
        <v>45769</v>
      </c>
      <c r="M440" s="22">
        <f t="shared" si="34"/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Row],[CORREO]],1),E441)</f>
        <v>45769.34652777778</v>
      </c>
      <c r="G441" s="11">
        <v>45796</v>
      </c>
      <c r="H441" s="7">
        <f t="shared" si="30"/>
        <v>16</v>
      </c>
      <c r="I441" s="7">
        <f t="shared" si="31"/>
        <v>20</v>
      </c>
      <c r="J441" s="7" t="str">
        <f t="shared" si="32"/>
        <v>Fuera</v>
      </c>
      <c r="K441" s="7" t="str">
        <f t="shared" si="33"/>
        <v>A tiempo</v>
      </c>
      <c r="L441" s="13">
        <v>45771</v>
      </c>
      <c r="M441" s="22">
        <f t="shared" si="34"/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Row],[CORREO]],1),E442)</f>
        <v>45769.357638888891</v>
      </c>
      <c r="G442" s="13">
        <v>45771</v>
      </c>
      <c r="H442" s="7">
        <f t="shared" si="30"/>
        <v>16</v>
      </c>
      <c r="I442" s="7">
        <f t="shared" si="31"/>
        <v>3</v>
      </c>
      <c r="J442" s="7" t="str">
        <f t="shared" si="32"/>
        <v>Dentro</v>
      </c>
      <c r="K442" s="7" t="str">
        <f t="shared" si="33"/>
        <v>A tiempo</v>
      </c>
      <c r="L442" s="11"/>
      <c r="M442" s="22">
        <f t="shared" si="34"/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Row],[CORREO]],1),E443)</f>
        <v>45769.380555555559</v>
      </c>
      <c r="G443" s="11">
        <v>45798</v>
      </c>
      <c r="H443" s="7">
        <f t="shared" si="30"/>
        <v>16</v>
      </c>
      <c r="I443" s="7">
        <f t="shared" si="31"/>
        <v>22</v>
      </c>
      <c r="J443" s="7" t="str">
        <f t="shared" si="32"/>
        <v>Fuera</v>
      </c>
      <c r="K443" s="7" t="str">
        <f t="shared" si="33"/>
        <v>A tiempo</v>
      </c>
      <c r="L443" s="13">
        <v>45797</v>
      </c>
      <c r="M443" s="22">
        <f t="shared" si="34"/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Row],[CORREO]],1),E444)</f>
        <v>45769.402083333334</v>
      </c>
      <c r="G444" s="13">
        <v>45769</v>
      </c>
      <c r="H444" s="7">
        <f t="shared" si="30"/>
        <v>16</v>
      </c>
      <c r="I444" s="7">
        <f t="shared" si="31"/>
        <v>1</v>
      </c>
      <c r="J444" s="7" t="str">
        <f t="shared" si="32"/>
        <v>Dentro</v>
      </c>
      <c r="K444" s="7" t="str">
        <f t="shared" si="33"/>
        <v>A tiempo</v>
      </c>
      <c r="L444" s="11"/>
      <c r="M444" s="22">
        <f t="shared" si="34"/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Row],[CORREO]],1),E445)</f>
        <v>45770</v>
      </c>
      <c r="G445" s="11">
        <v>45784</v>
      </c>
      <c r="H445" s="7">
        <f t="shared" si="30"/>
        <v>17</v>
      </c>
      <c r="I445" s="7">
        <f t="shared" si="31"/>
        <v>11</v>
      </c>
      <c r="J445" s="7" t="str">
        <f t="shared" si="32"/>
        <v>Fuera</v>
      </c>
      <c r="K445" s="7" t="str">
        <f t="shared" si="33"/>
        <v>A tiempo</v>
      </c>
      <c r="L445" s="13">
        <v>45770</v>
      </c>
      <c r="M445" s="22">
        <f t="shared" si="34"/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Row],[CORREO]],1),E446)</f>
        <v>45770</v>
      </c>
      <c r="G446" s="13">
        <v>45771</v>
      </c>
      <c r="H446" s="7">
        <f t="shared" si="30"/>
        <v>17</v>
      </c>
      <c r="I446" s="7">
        <f t="shared" si="31"/>
        <v>2</v>
      </c>
      <c r="J446" s="7" t="str">
        <f t="shared" si="32"/>
        <v>ASAP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Row],[CORREO]],1),E447)</f>
        <v>45770</v>
      </c>
      <c r="G447" s="13">
        <v>45772</v>
      </c>
      <c r="H447" s="7">
        <f t="shared" si="30"/>
        <v>17</v>
      </c>
      <c r="I447" s="7">
        <f t="shared" si="31"/>
        <v>3</v>
      </c>
      <c r="J447" s="7" t="str">
        <f t="shared" si="32"/>
        <v>Dentro</v>
      </c>
      <c r="K447" s="7" t="str">
        <f t="shared" si="33"/>
        <v>A tiempo</v>
      </c>
      <c r="L447" s="11"/>
      <c r="M447" s="22">
        <f t="shared" si="34"/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Row],[CORREO]],1),E448)</f>
        <v>45770</v>
      </c>
      <c r="G448" s="11">
        <v>45813</v>
      </c>
      <c r="H448" s="7">
        <f t="shared" si="30"/>
        <v>17</v>
      </c>
      <c r="I448" s="7">
        <f t="shared" si="31"/>
        <v>32</v>
      </c>
      <c r="J448" s="7" t="str">
        <f t="shared" si="32"/>
        <v>Fuera</v>
      </c>
      <c r="K448" s="7" t="str">
        <f t="shared" si="33"/>
        <v>A tiempo</v>
      </c>
      <c r="L448" s="13">
        <v>45770</v>
      </c>
      <c r="M448" s="22">
        <f t="shared" si="34"/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Row],[CORREO]],1),E449)</f>
        <v>45770</v>
      </c>
      <c r="G449" s="11">
        <v>45779</v>
      </c>
      <c r="H449" s="20">
        <f t="shared" si="30"/>
        <v>17</v>
      </c>
      <c r="I449" s="20">
        <f t="shared" si="31"/>
        <v>8</v>
      </c>
      <c r="J449" s="20" t="str">
        <f t="shared" si="32"/>
        <v>Fuera</v>
      </c>
      <c r="K449" s="20" t="str">
        <f t="shared" si="33"/>
        <v>A tiempo</v>
      </c>
      <c r="L449" s="27">
        <v>45771</v>
      </c>
      <c r="M449" s="23">
        <f t="shared" si="34"/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Row],[CORREO]],1),E450)</f>
        <v>45770.34652777778</v>
      </c>
      <c r="G450" s="13">
        <v>45771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2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Row],[CORREO]],1),E451)</f>
        <v>45770.373611111114</v>
      </c>
      <c r="G451" s="13">
        <v>45777</v>
      </c>
      <c r="H451" s="7">
        <f t="shared" si="35"/>
        <v>17</v>
      </c>
      <c r="I451" s="7">
        <f t="shared" si="36"/>
        <v>6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Row],[CORREO]],1),E452)</f>
        <v>45770.388888888891</v>
      </c>
      <c r="G452" s="13">
        <v>45771</v>
      </c>
      <c r="H452" s="7">
        <f t="shared" si="35"/>
        <v>17</v>
      </c>
      <c r="I452" s="7">
        <f t="shared" si="36"/>
        <v>2</v>
      </c>
      <c r="J452" s="7" t="str">
        <f t="shared" si="37"/>
        <v>Dentro</v>
      </c>
      <c r="K452" s="7" t="str">
        <f t="shared" si="38"/>
        <v>A tiempo</v>
      </c>
      <c r="L452" s="11"/>
      <c r="M452" s="22">
        <f t="shared" si="39"/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Row],[CORREO]],1),E453)</f>
        <v>45770.398611111108</v>
      </c>
      <c r="G453" s="11">
        <v>45784</v>
      </c>
      <c r="H453" s="7">
        <f t="shared" si="35"/>
        <v>17</v>
      </c>
      <c r="I453" s="7">
        <f t="shared" si="36"/>
        <v>11</v>
      </c>
      <c r="J453" s="7" t="str">
        <f t="shared" si="37"/>
        <v>Fuera</v>
      </c>
      <c r="K453" s="7" t="str">
        <f t="shared" si="38"/>
        <v>A tiempo</v>
      </c>
      <c r="L453" s="13">
        <v>45770</v>
      </c>
      <c r="M453" s="22">
        <f t="shared" si="39"/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Row],[CORREO]],1),E454)</f>
        <v>45770.40625</v>
      </c>
      <c r="G454" s="11">
        <v>45852</v>
      </c>
      <c r="H454" s="7">
        <f t="shared" si="35"/>
        <v>20</v>
      </c>
      <c r="I454" s="7">
        <f t="shared" si="36"/>
        <v>42</v>
      </c>
      <c r="J454" s="7" t="str">
        <f t="shared" si="37"/>
        <v>Programado</v>
      </c>
      <c r="K454" s="7" t="str">
        <f t="shared" si="38"/>
        <v>Programados</v>
      </c>
      <c r="L454" s="13">
        <v>45772</v>
      </c>
      <c r="M454" s="22">
        <f t="shared" si="39"/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Row],[CORREO]],1),E455)</f>
        <v>45770.436111111114</v>
      </c>
      <c r="G455" s="13">
        <v>45771</v>
      </c>
      <c r="H455" s="7">
        <f t="shared" si="35"/>
        <v>17</v>
      </c>
      <c r="I455" s="7">
        <f t="shared" si="36"/>
        <v>2</v>
      </c>
      <c r="J455" s="7" t="str">
        <f t="shared" si="37"/>
        <v>Dentro</v>
      </c>
      <c r="K455" s="7" t="str">
        <f t="shared" si="38"/>
        <v>A tiempo</v>
      </c>
      <c r="L455" s="11"/>
      <c r="M455" s="22">
        <f t="shared" si="39"/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Row],[CORREO]],1),E456)</f>
        <v>45751</v>
      </c>
      <c r="G456" s="13">
        <v>45804</v>
      </c>
      <c r="H456" s="7">
        <f t="shared" si="35"/>
        <v>17</v>
      </c>
      <c r="I456" s="7">
        <f t="shared" si="36"/>
        <v>25</v>
      </c>
      <c r="J456" s="7" t="str">
        <f t="shared" si="37"/>
        <v>Programado</v>
      </c>
      <c r="K456" s="7" t="str">
        <f t="shared" si="38"/>
        <v>Programados</v>
      </c>
      <c r="L456" s="13">
        <v>45784</v>
      </c>
      <c r="M456" s="22">
        <f t="shared" si="39"/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Row],[CORREO]],1),E457)</f>
        <v>45771</v>
      </c>
      <c r="G457" s="13">
        <v>45771</v>
      </c>
      <c r="H457" s="7">
        <f t="shared" si="35"/>
        <v>17</v>
      </c>
      <c r="I457" s="7">
        <f t="shared" si="36"/>
        <v>1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Row],[CORREO]],1),E458)</f>
        <v>45771</v>
      </c>
      <c r="G458" s="13">
        <v>45772</v>
      </c>
      <c r="H458" s="7">
        <f t="shared" si="35"/>
        <v>17</v>
      </c>
      <c r="I458" s="7">
        <f t="shared" si="36"/>
        <v>2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Row],[CORREO]],1),E459)</f>
        <v>45771.320833333331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Row],[CORREO]],1),E460)</f>
        <v>45771.327777777777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Row],[CORREO]],1),E461)</f>
        <v>45771.364583333336</v>
      </c>
      <c r="G461" s="13">
        <v>45771</v>
      </c>
      <c r="H461" s="7">
        <f t="shared" si="35"/>
        <v>17</v>
      </c>
      <c r="I461" s="7">
        <f t="shared" si="36"/>
        <v>1</v>
      </c>
      <c r="J461" s="7" t="str">
        <f t="shared" si="37"/>
        <v>Dentro</v>
      </c>
      <c r="K461" s="7" t="str">
        <f t="shared" si="38"/>
        <v>A tiempo</v>
      </c>
      <c r="L461" s="11"/>
      <c r="M461" s="22">
        <f t="shared" si="39"/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Row],[CORREO]],1),E462)</f>
        <v>45771</v>
      </c>
      <c r="G462" s="11">
        <v>45783</v>
      </c>
      <c r="H462" s="7">
        <f t="shared" si="35"/>
        <v>17</v>
      </c>
      <c r="I462" s="7">
        <f t="shared" si="36"/>
        <v>9</v>
      </c>
      <c r="J462" s="7" t="str">
        <f t="shared" si="37"/>
        <v>Fuera</v>
      </c>
      <c r="K462" s="7" t="str">
        <f t="shared" si="38"/>
        <v>A tiempo</v>
      </c>
      <c r="L462" s="13">
        <v>45772</v>
      </c>
      <c r="M462" s="22">
        <f t="shared" si="39"/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Row],[CORREO]],1),E463)</f>
        <v>45771.443749999999</v>
      </c>
      <c r="G463" s="13">
        <v>45772</v>
      </c>
      <c r="H463" s="7">
        <f t="shared" si="35"/>
        <v>17</v>
      </c>
      <c r="I463" s="7">
        <f t="shared" si="36"/>
        <v>2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Row],[CORREO]],1),E464)</f>
        <v>45771.45</v>
      </c>
      <c r="G464" s="13">
        <v>45776</v>
      </c>
      <c r="H464" s="7">
        <f t="shared" si="35"/>
        <v>17</v>
      </c>
      <c r="I464" s="7">
        <f t="shared" si="36"/>
        <v>4</v>
      </c>
      <c r="J464" s="7" t="str">
        <f t="shared" si="37"/>
        <v>ASAP</v>
      </c>
      <c r="K464" s="7" t="str">
        <f t="shared" si="38"/>
        <v>A tiempo</v>
      </c>
      <c r="L464" s="11"/>
      <c r="M464" s="22">
        <f t="shared" si="39"/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Row],[CORREO]],1),E465)</f>
        <v>0</v>
      </c>
      <c r="G465" s="13">
        <v>45771</v>
      </c>
      <c r="H465" s="7">
        <f t="shared" si="35"/>
        <v>17</v>
      </c>
      <c r="I465" s="7">
        <f t="shared" si="36"/>
        <v>1</v>
      </c>
      <c r="J465" s="7" t="str">
        <f t="shared" si="37"/>
        <v>Dentro</v>
      </c>
      <c r="K465" s="7" t="str">
        <f t="shared" si="38"/>
        <v>Programados</v>
      </c>
      <c r="L465" s="11"/>
      <c r="M465" s="22">
        <f t="shared" si="39"/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Row],[CORREO]],1),E466)</f>
        <v>45772</v>
      </c>
      <c r="G466" s="13">
        <v>45775</v>
      </c>
      <c r="H466" s="7">
        <f t="shared" si="35"/>
        <v>17</v>
      </c>
      <c r="I466" s="7">
        <f t="shared" si="36"/>
        <v>2</v>
      </c>
      <c r="J466" s="7" t="str">
        <f t="shared" si="37"/>
        <v>Dentro</v>
      </c>
      <c r="K466" s="7" t="str">
        <f t="shared" si="38"/>
        <v>A tiempo</v>
      </c>
      <c r="L466" s="11"/>
      <c r="M466" s="22">
        <f t="shared" si="39"/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Row],[CORREO]],1),E467)</f>
        <v>45772</v>
      </c>
      <c r="G467" s="11">
        <v>45779</v>
      </c>
      <c r="H467" s="7">
        <f t="shared" si="35"/>
        <v>17</v>
      </c>
      <c r="I467" s="7">
        <f t="shared" si="36"/>
        <v>6</v>
      </c>
      <c r="J467" s="7" t="str">
        <f t="shared" si="37"/>
        <v>Dentro</v>
      </c>
      <c r="K467" s="7" t="str">
        <f t="shared" si="38"/>
        <v>A tiempo</v>
      </c>
      <c r="L467" s="13">
        <v>45772</v>
      </c>
      <c r="M467" s="22">
        <f t="shared" si="39"/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Row],[CORREO]],1),E468)</f>
        <v>45772</v>
      </c>
      <c r="G468" s="13">
        <v>45775</v>
      </c>
      <c r="H468" s="7">
        <f t="shared" si="35"/>
        <v>17</v>
      </c>
      <c r="I468" s="7">
        <f t="shared" si="36"/>
        <v>2</v>
      </c>
      <c r="J468" s="7" t="str">
        <f t="shared" si="37"/>
        <v>Dentro</v>
      </c>
      <c r="K468" s="7" t="str">
        <f t="shared" si="38"/>
        <v>A tiempo</v>
      </c>
      <c r="L468" s="11"/>
      <c r="M468" s="22">
        <f t="shared" si="39"/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Row],[CORREO]],1),E469)</f>
        <v>45772.25277777778</v>
      </c>
      <c r="G469" s="11">
        <v>45779</v>
      </c>
      <c r="H469" s="7">
        <f t="shared" si="35"/>
        <v>17</v>
      </c>
      <c r="I469" s="7">
        <f t="shared" si="36"/>
        <v>6</v>
      </c>
      <c r="J469" s="7" t="str">
        <f t="shared" si="37"/>
        <v>Dentro</v>
      </c>
      <c r="K469" s="7" t="str">
        <f t="shared" si="38"/>
        <v>A tiempo</v>
      </c>
      <c r="L469" s="13">
        <v>45779</v>
      </c>
      <c r="M469" s="22">
        <f t="shared" si="39"/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Row],[CORREO]],1),E470)</f>
        <v>45772.377083333333</v>
      </c>
      <c r="G470" s="13">
        <v>45772</v>
      </c>
      <c r="H470" s="7">
        <f t="shared" si="35"/>
        <v>17</v>
      </c>
      <c r="I470" s="7">
        <f t="shared" si="36"/>
        <v>1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Row],[CORREO]],1),E471)</f>
        <v>45772.408333333333</v>
      </c>
      <c r="G471" s="13">
        <v>45777</v>
      </c>
      <c r="H471" s="7">
        <f t="shared" si="35"/>
        <v>17</v>
      </c>
      <c r="I471" s="7">
        <f t="shared" si="36"/>
        <v>4</v>
      </c>
      <c r="J471" s="7" t="str">
        <f t="shared" si="37"/>
        <v>Dentro</v>
      </c>
      <c r="K471" s="7" t="str">
        <f t="shared" si="38"/>
        <v>A tiempo</v>
      </c>
      <c r="L471" s="11"/>
      <c r="M471" s="22">
        <f t="shared" si="39"/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Row],[CORREO]],1),E472)</f>
        <v>45771.424305555556</v>
      </c>
      <c r="G472" s="13">
        <v>45775</v>
      </c>
      <c r="H472" s="7">
        <f t="shared" si="35"/>
        <v>17</v>
      </c>
      <c r="I472" s="7">
        <f t="shared" si="36"/>
        <v>2</v>
      </c>
      <c r="J472" s="7" t="str">
        <f t="shared" si="37"/>
        <v>Dentro</v>
      </c>
      <c r="K472" s="7" t="str">
        <f t="shared" si="38"/>
        <v>Programados</v>
      </c>
      <c r="L472" s="11"/>
      <c r="M472" s="22">
        <f t="shared" si="39"/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Row],[CORREO]],1),E473)</f>
        <v>0</v>
      </c>
      <c r="G473" s="11">
        <v>45779</v>
      </c>
      <c r="H473" s="7">
        <f t="shared" si="35"/>
        <v>17</v>
      </c>
      <c r="I473" s="7">
        <f t="shared" si="36"/>
        <v>5</v>
      </c>
      <c r="J473" s="7" t="str">
        <f t="shared" si="37"/>
        <v>Dentro</v>
      </c>
      <c r="K473" s="7" t="str">
        <f t="shared" si="38"/>
        <v>Programados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Row],[CORREO]],1),E474)</f>
        <v>45775</v>
      </c>
      <c r="G474" s="11">
        <v>45786</v>
      </c>
      <c r="H474" s="7">
        <f t="shared" si="35"/>
        <v>17</v>
      </c>
      <c r="I474" s="7">
        <f t="shared" si="36"/>
        <v>10</v>
      </c>
      <c r="J474" s="7" t="str">
        <f t="shared" si="37"/>
        <v>Fuera</v>
      </c>
      <c r="K474" s="7" t="str">
        <f t="shared" si="38"/>
        <v>A tiempo</v>
      </c>
      <c r="L474" s="13">
        <v>45775</v>
      </c>
      <c r="M474" s="22">
        <f t="shared" si="39"/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Row],[CORREO]],1),E475)</f>
        <v>45775.381944444445</v>
      </c>
      <c r="G475" s="13">
        <v>45776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Row],[CORREO]],1),E476)</f>
        <v>45776</v>
      </c>
      <c r="G476" s="13">
        <v>45777</v>
      </c>
      <c r="H476" s="7">
        <f t="shared" si="35"/>
        <v>17</v>
      </c>
      <c r="I476" s="7">
        <f t="shared" si="36"/>
        <v>2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Row],[CORREO]],1),E477)</f>
        <v>45776</v>
      </c>
      <c r="G477" s="13">
        <v>45776</v>
      </c>
      <c r="H477" s="7">
        <f t="shared" si="35"/>
        <v>17</v>
      </c>
      <c r="I477" s="7">
        <f t="shared" si="36"/>
        <v>1</v>
      </c>
      <c r="J477" s="7" t="str">
        <f t="shared" si="37"/>
        <v>Dentro</v>
      </c>
      <c r="K477" s="7" t="str">
        <f t="shared" si="38"/>
        <v>A tiempo</v>
      </c>
      <c r="L477" s="11"/>
      <c r="M477" s="22">
        <f t="shared" si="39"/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Row],[CORREO]],1),E478)</f>
        <v>45776</v>
      </c>
      <c r="G478" s="11">
        <v>45784</v>
      </c>
      <c r="H478" s="7">
        <f t="shared" si="35"/>
        <v>17</v>
      </c>
      <c r="I478" s="7">
        <f t="shared" si="36"/>
        <v>7</v>
      </c>
      <c r="J478" s="7" t="str">
        <f t="shared" si="37"/>
        <v>Dentro</v>
      </c>
      <c r="K478" s="7" t="str">
        <f t="shared" si="38"/>
        <v>A tiempo</v>
      </c>
      <c r="L478" s="13">
        <v>45776</v>
      </c>
      <c r="M478" s="22">
        <f t="shared" si="39"/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Row],[CORREO]],1),E479)</f>
        <v>45777</v>
      </c>
      <c r="G479" s="13">
        <v>45777</v>
      </c>
      <c r="H479" s="7">
        <f t="shared" si="35"/>
        <v>17</v>
      </c>
      <c r="I479" s="7">
        <f t="shared" si="36"/>
        <v>2</v>
      </c>
      <c r="J479" s="7" t="str">
        <f t="shared" si="37"/>
        <v>Dentro</v>
      </c>
      <c r="K479" s="7" t="str">
        <f t="shared" si="38"/>
        <v>Mismo día</v>
      </c>
      <c r="L479" s="11"/>
      <c r="M479" s="22">
        <f t="shared" si="39"/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Row],[CORREO]],1),E480)</f>
        <v>45777</v>
      </c>
      <c r="G480" s="11">
        <v>45790</v>
      </c>
      <c r="H480" s="7">
        <f t="shared" si="35"/>
        <v>18</v>
      </c>
      <c r="I480" s="7">
        <f t="shared" si="36"/>
        <v>10</v>
      </c>
      <c r="J480" s="7" t="str">
        <f t="shared" si="37"/>
        <v>Fuera</v>
      </c>
      <c r="K480" s="7" t="str">
        <f t="shared" si="38"/>
        <v>A tiempo</v>
      </c>
      <c r="L480" s="13">
        <v>45790</v>
      </c>
      <c r="M480" s="22">
        <f t="shared" si="39"/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Row],[CORREO]],1),E481)</f>
        <v>45777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Row],[CORREO]],1),E482)</f>
        <v>45777.383333333331</v>
      </c>
      <c r="G482" s="13">
        <v>45777</v>
      </c>
      <c r="H482" s="7">
        <f t="shared" si="35"/>
        <v>18</v>
      </c>
      <c r="I482" s="7">
        <f t="shared" si="36"/>
        <v>1</v>
      </c>
      <c r="J482" s="7" t="str">
        <f t="shared" si="37"/>
        <v>Dentro</v>
      </c>
      <c r="K482" s="7" t="str">
        <f t="shared" si="38"/>
        <v>A tiempo</v>
      </c>
      <c r="L482" s="11"/>
      <c r="M482" s="22">
        <f t="shared" si="39"/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Row],[CORREO]],1),E483)</f>
        <v>0</v>
      </c>
      <c r="G483" s="11">
        <v>45779</v>
      </c>
      <c r="H483" s="7">
        <f t="shared" si="35"/>
        <v>18</v>
      </c>
      <c r="I483" s="7">
        <f t="shared" si="36"/>
        <v>3</v>
      </c>
      <c r="J483" s="7" t="str">
        <f t="shared" si="37"/>
        <v>Dentro</v>
      </c>
      <c r="K483" s="7" t="str">
        <f t="shared" si="38"/>
        <v>Programados</v>
      </c>
      <c r="L483" s="13">
        <v>45779</v>
      </c>
      <c r="M483" s="22">
        <f t="shared" si="39"/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Row],[CORREO]],1),E484)</f>
        <v>45777.429166666669</v>
      </c>
      <c r="G484" s="13">
        <v>45777</v>
      </c>
      <c r="H484" s="7">
        <f t="shared" si="35"/>
        <v>18</v>
      </c>
      <c r="I484" s="7">
        <f t="shared" si="36"/>
        <v>1</v>
      </c>
      <c r="J484" s="7" t="str">
        <f t="shared" si="37"/>
        <v>Dentro</v>
      </c>
      <c r="K484" s="7" t="str">
        <f t="shared" si="38"/>
        <v>A tiempo</v>
      </c>
      <c r="L484" s="11"/>
      <c r="M484" s="22">
        <f t="shared" si="39"/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Row],[CORREO]],1),E485)</f>
        <v>45777.436805555553</v>
      </c>
      <c r="G485" s="11">
        <v>45779</v>
      </c>
      <c r="H485" s="7">
        <f t="shared" si="35"/>
        <v>18</v>
      </c>
      <c r="I485" s="7">
        <f t="shared" si="36"/>
        <v>3</v>
      </c>
      <c r="J485" s="7" t="str">
        <f t="shared" si="37"/>
        <v>Dentro</v>
      </c>
      <c r="K485" s="7" t="str">
        <f t="shared" si="38"/>
        <v>A tiempo</v>
      </c>
      <c r="L485" s="13">
        <v>45779</v>
      </c>
      <c r="M485" s="22">
        <f t="shared" si="39"/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Row],[CORREO]],1),E486)</f>
        <v>45810</v>
      </c>
      <c r="G486" s="11">
        <v>45783</v>
      </c>
      <c r="H486" s="7">
        <f t="shared" si="35"/>
        <v>18</v>
      </c>
      <c r="I486" s="7">
        <f t="shared" si="36"/>
        <v>5</v>
      </c>
      <c r="J486" s="7" t="str">
        <f t="shared" si="37"/>
        <v>Dentro</v>
      </c>
      <c r="K486" s="7" t="str">
        <f t="shared" si="38"/>
        <v>Mismo día</v>
      </c>
      <c r="L486" s="13">
        <v>45777</v>
      </c>
      <c r="M486" s="22">
        <f t="shared" si="39"/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Row],[CORREO]],1),E487)</f>
        <v>45778</v>
      </c>
      <c r="G487" s="11">
        <v>45784</v>
      </c>
      <c r="H487" s="7">
        <f t="shared" si="35"/>
        <v>18</v>
      </c>
      <c r="I487" s="7">
        <f t="shared" si="36"/>
        <v>4</v>
      </c>
      <c r="J487" s="7" t="str">
        <f t="shared" si="37"/>
        <v>Dentro</v>
      </c>
      <c r="K487" s="7" t="str">
        <f t="shared" si="38"/>
        <v>Programados</v>
      </c>
      <c r="L487" s="13">
        <v>45784</v>
      </c>
      <c r="M487" s="22">
        <f t="shared" si="39"/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Row],[CORREO]],1),E488)</f>
        <v>45778</v>
      </c>
      <c r="G488" s="11">
        <v>45779</v>
      </c>
      <c r="H488" s="7">
        <f t="shared" si="35"/>
        <v>18</v>
      </c>
      <c r="I488" s="7">
        <f t="shared" si="36"/>
        <v>1</v>
      </c>
      <c r="J488" s="7" t="str">
        <f t="shared" si="37"/>
        <v>Dentro</v>
      </c>
      <c r="K488" s="7" t="str">
        <f t="shared" si="38"/>
        <v>Programados</v>
      </c>
      <c r="L488" s="13">
        <v>45779</v>
      </c>
      <c r="M488" s="22">
        <f t="shared" si="39"/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Row],[CORREO]],1),E489)</f>
        <v>45778</v>
      </c>
      <c r="G489" s="11">
        <v>45812</v>
      </c>
      <c r="H489" s="7">
        <f t="shared" si="35"/>
        <v>19</v>
      </c>
      <c r="I489" s="7">
        <f t="shared" si="36"/>
        <v>17</v>
      </c>
      <c r="J489" s="7" t="str">
        <f t="shared" si="37"/>
        <v>Programado</v>
      </c>
      <c r="K489" s="7" t="str">
        <f t="shared" si="38"/>
        <v>Programados</v>
      </c>
      <c r="L489" s="13">
        <v>45783</v>
      </c>
      <c r="M489" s="22">
        <f t="shared" si="39"/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Row],[CORREO]],1),E490)</f>
        <v>45782</v>
      </c>
      <c r="G490" s="11">
        <v>45779</v>
      </c>
      <c r="H490" s="7">
        <f t="shared" si="35"/>
        <v>18</v>
      </c>
      <c r="I490" s="7">
        <f t="shared" si="36"/>
        <v>1</v>
      </c>
      <c r="J490" s="7" t="str">
        <f t="shared" si="37"/>
        <v>Dentro</v>
      </c>
      <c r="K490" s="7" t="str">
        <f t="shared" si="38"/>
        <v>Mismo día</v>
      </c>
      <c r="L490" s="13">
        <v>45779</v>
      </c>
      <c r="M490" s="22">
        <f t="shared" si="39"/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Row],[CORREO]],1),E491)</f>
        <v>45782</v>
      </c>
      <c r="G491" s="11">
        <v>45786</v>
      </c>
      <c r="H491" s="7">
        <f t="shared" si="35"/>
        <v>18</v>
      </c>
      <c r="I491" s="7">
        <f t="shared" si="36"/>
        <v>4</v>
      </c>
      <c r="J491" s="7" t="str">
        <f t="shared" si="37"/>
        <v>Dentro</v>
      </c>
      <c r="K491" s="7" t="str">
        <f t="shared" si="38"/>
        <v>Programados</v>
      </c>
      <c r="L491" s="13">
        <v>45783</v>
      </c>
      <c r="M491" s="22">
        <f t="shared" si="39"/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Row],[CORREO]],1),E492)</f>
        <v>45782.352083333331</v>
      </c>
      <c r="G492" s="11">
        <v>45791</v>
      </c>
      <c r="H492" s="7">
        <f t="shared" si="35"/>
        <v>18</v>
      </c>
      <c r="I492" s="7">
        <f t="shared" si="36"/>
        <v>7</v>
      </c>
      <c r="J492" s="7" t="str">
        <f t="shared" si="37"/>
        <v>Dentro</v>
      </c>
      <c r="K492" s="7" t="str">
        <f t="shared" si="38"/>
        <v>Programados</v>
      </c>
      <c r="L492" s="13">
        <v>45789</v>
      </c>
      <c r="M492" s="22">
        <f t="shared" si="39"/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Row],[CORREO]],1),E493)</f>
        <v>45783</v>
      </c>
      <c r="G493" s="11">
        <v>45783</v>
      </c>
      <c r="H493" s="7">
        <f t="shared" si="35"/>
        <v>18</v>
      </c>
      <c r="I493" s="7">
        <f t="shared" si="36"/>
        <v>1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Row],[CORREO]],1),E494)</f>
        <v>45783</v>
      </c>
      <c r="G494" s="11">
        <v>45784</v>
      </c>
      <c r="H494" s="7">
        <f t="shared" si="35"/>
        <v>18</v>
      </c>
      <c r="I494" s="7">
        <f t="shared" si="36"/>
        <v>2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Row],[CORREO]],1),E495)</f>
        <v>45783</v>
      </c>
      <c r="G495" s="11">
        <v>45790</v>
      </c>
      <c r="H495" s="7">
        <f t="shared" si="35"/>
        <v>18</v>
      </c>
      <c r="I495" s="7">
        <f t="shared" si="36"/>
        <v>6</v>
      </c>
      <c r="J495" s="7" t="str">
        <f t="shared" si="37"/>
        <v>Dentro</v>
      </c>
      <c r="K495" s="7" t="str">
        <f t="shared" si="38"/>
        <v>A tiempo</v>
      </c>
      <c r="L495" s="13">
        <v>45783</v>
      </c>
      <c r="M495" s="22">
        <f t="shared" si="39"/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Row],[CORREO]],1),E496)</f>
        <v>45783.380555555559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A tiempo</v>
      </c>
      <c r="L496" s="13">
        <v>45786</v>
      </c>
      <c r="M496" s="22">
        <f t="shared" si="39"/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Row],[CORREO]],1),E497)</f>
        <v>0</v>
      </c>
      <c r="G497" s="11">
        <v>45786</v>
      </c>
      <c r="H497" s="7">
        <f t="shared" si="35"/>
        <v>18</v>
      </c>
      <c r="I497" s="7">
        <f t="shared" si="36"/>
        <v>4</v>
      </c>
      <c r="J497" s="7" t="str">
        <f t="shared" si="37"/>
        <v>Dentro</v>
      </c>
      <c r="K497" s="7" t="str">
        <f t="shared" si="38"/>
        <v>Programados</v>
      </c>
      <c r="L497" s="13">
        <v>45783</v>
      </c>
      <c r="M497" s="22">
        <f t="shared" si="39"/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Row],[CORREO]],1),E498)</f>
        <v>0</v>
      </c>
      <c r="G498" s="11">
        <v>45798</v>
      </c>
      <c r="H498" s="7">
        <f t="shared" si="35"/>
        <v>18</v>
      </c>
      <c r="I498" s="7">
        <f t="shared" si="36"/>
        <v>12</v>
      </c>
      <c r="J498" s="7" t="str">
        <f t="shared" si="37"/>
        <v>Programado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45785</v>
      </c>
      <c r="M499" s="22">
        <f t="shared" si="39"/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45789</v>
      </c>
      <c r="H500" s="7">
        <f t="shared" si="35"/>
        <v>18</v>
      </c>
      <c r="I500" s="7">
        <f t="shared" si="36"/>
        <v>5</v>
      </c>
      <c r="J500" s="7" t="str">
        <f t="shared" si="37"/>
        <v>Dentro</v>
      </c>
      <c r="K500" s="7" t="str">
        <f t="shared" si="38"/>
        <v>Programados</v>
      </c>
      <c r="L500" s="13">
        <v>45783</v>
      </c>
      <c r="M500" s="22">
        <f t="shared" si="39"/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45792</v>
      </c>
      <c r="H501" s="7">
        <f t="shared" si="35"/>
        <v>18</v>
      </c>
      <c r="I501" s="7">
        <f t="shared" si="36"/>
        <v>8</v>
      </c>
      <c r="J501" s="7" t="str">
        <f t="shared" si="37"/>
        <v>Programado</v>
      </c>
      <c r="K501" s="7" t="str">
        <f t="shared" si="38"/>
        <v>Programados</v>
      </c>
      <c r="L501" s="13">
        <v>45785</v>
      </c>
      <c r="M501" s="22">
        <f t="shared" si="39"/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45783</v>
      </c>
      <c r="M502" s="22">
        <f t="shared" si="39"/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Row],[CORREO]],1),E503)</f>
        <v>0</v>
      </c>
      <c r="G503" s="11">
        <v>45789</v>
      </c>
      <c r="H503" s="7">
        <f t="shared" si="35"/>
        <v>18</v>
      </c>
      <c r="I503" s="7">
        <f t="shared" si="36"/>
        <v>5</v>
      </c>
      <c r="J503" s="7" t="str">
        <f t="shared" si="37"/>
        <v>Dentro</v>
      </c>
      <c r="K503" s="7" t="str">
        <f t="shared" si="38"/>
        <v>Programados</v>
      </c>
      <c r="L503" s="13">
        <v>45785</v>
      </c>
      <c r="M503" s="22">
        <f t="shared" si="39"/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Row],[CORREO]],1),E504)</f>
        <v>45783.404166666667</v>
      </c>
      <c r="G504" s="11">
        <v>45800</v>
      </c>
      <c r="H504" s="7">
        <f t="shared" si="35"/>
        <v>18</v>
      </c>
      <c r="I504" s="7">
        <f t="shared" si="36"/>
        <v>14</v>
      </c>
      <c r="J504" s="7" t="str">
        <f t="shared" si="37"/>
        <v>Fuera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Row],[CORREO]],1),E505)</f>
        <v>45783.436111111114</v>
      </c>
      <c r="G505" s="11">
        <v>45783</v>
      </c>
      <c r="H505" s="7">
        <f t="shared" si="35"/>
        <v>18</v>
      </c>
      <c r="I505" s="7">
        <f t="shared" si="36"/>
        <v>1</v>
      </c>
      <c r="J505" s="7" t="str">
        <f t="shared" si="37"/>
        <v>Dentro</v>
      </c>
      <c r="K505" s="7" t="str">
        <f t="shared" si="38"/>
        <v>A tiempo</v>
      </c>
      <c r="L505" s="13">
        <v>45783</v>
      </c>
      <c r="M505" s="22">
        <f t="shared" si="39"/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Row],[CORREO]],1),E506)</f>
        <v>0</v>
      </c>
      <c r="G506" s="11">
        <v>45784</v>
      </c>
      <c r="H506" s="7">
        <f t="shared" si="35"/>
        <v>18</v>
      </c>
      <c r="I506" s="7">
        <f t="shared" si="36"/>
        <v>2</v>
      </c>
      <c r="J506" s="7" t="str">
        <f t="shared" si="37"/>
        <v>Dentro</v>
      </c>
      <c r="K506" s="7" t="str">
        <f t="shared" si="38"/>
        <v>Programados</v>
      </c>
      <c r="L506" s="13">
        <v>45784</v>
      </c>
      <c r="M506" s="22">
        <f t="shared" si="39"/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Row],[CORREO]],1),E507)</f>
        <v>0</v>
      </c>
      <c r="G507" s="11">
        <v>45792</v>
      </c>
      <c r="H507" s="7">
        <f t="shared" si="35"/>
        <v>18</v>
      </c>
      <c r="I507" s="7">
        <f t="shared" si="36"/>
        <v>8</v>
      </c>
      <c r="J507" s="7" t="str">
        <f t="shared" si="37"/>
        <v>Programado</v>
      </c>
      <c r="K507" s="7" t="str">
        <f t="shared" si="38"/>
        <v>Programados</v>
      </c>
      <c r="L507" s="13">
        <v>45792</v>
      </c>
      <c r="M507" s="22">
        <f t="shared" si="39"/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Row],[CORREO]],1),E508)</f>
        <v>45784</v>
      </c>
      <c r="G508" s="11">
        <v>45833</v>
      </c>
      <c r="H508" s="7">
        <f t="shared" si="35"/>
        <v>19</v>
      </c>
      <c r="I508" s="7">
        <f t="shared" si="36"/>
        <v>34</v>
      </c>
      <c r="J508" s="7" t="str">
        <f t="shared" si="37"/>
        <v>Programado</v>
      </c>
      <c r="K508" s="7" t="str">
        <f t="shared" si="38"/>
        <v>Programados</v>
      </c>
      <c r="L508" s="13">
        <v>45798</v>
      </c>
      <c r="M508" s="22">
        <f t="shared" si="39"/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Row],[CORREO]],1),E510)</f>
        <v>45784</v>
      </c>
      <c r="G510" s="11">
        <v>45784</v>
      </c>
      <c r="H510" s="7">
        <f t="shared" si="35"/>
        <v>19</v>
      </c>
      <c r="I510" s="7">
        <f t="shared" si="36"/>
        <v>1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Row],[CORREO]],1),E511)</f>
        <v>45784</v>
      </c>
      <c r="G511" s="11">
        <v>45785</v>
      </c>
      <c r="H511" s="7">
        <f t="shared" si="35"/>
        <v>19</v>
      </c>
      <c r="I511" s="7">
        <f t="shared" si="36"/>
        <v>2</v>
      </c>
      <c r="J511" s="7" t="str">
        <f t="shared" si="37"/>
        <v>Dentro</v>
      </c>
      <c r="K511" s="7" t="str">
        <f t="shared" si="38"/>
        <v>A tiempo</v>
      </c>
      <c r="L511" s="13">
        <v>45784</v>
      </c>
      <c r="M511" s="22">
        <f t="shared" si="39"/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Row],[CORREO]],1),E512)</f>
        <v>45784</v>
      </c>
      <c r="G512" s="11">
        <v>45786</v>
      </c>
      <c r="H512" s="7">
        <f t="shared" si="35"/>
        <v>19</v>
      </c>
      <c r="I512" s="7">
        <f t="shared" si="36"/>
        <v>3</v>
      </c>
      <c r="J512" s="7" t="str">
        <f t="shared" si="37"/>
        <v>Dentro</v>
      </c>
      <c r="K512" s="7" t="str">
        <f t="shared" si="38"/>
        <v>A tiempo</v>
      </c>
      <c r="L512" s="13">
        <v>45786</v>
      </c>
      <c r="M512" s="22">
        <f t="shared" si="39"/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Row],[CORREO]],1),E513)</f>
        <v>45784.342361111114</v>
      </c>
      <c r="G513" s="11">
        <v>45784</v>
      </c>
      <c r="H513" s="7">
        <f t="shared" si="35"/>
        <v>19</v>
      </c>
      <c r="I513" s="7">
        <f t="shared" si="36"/>
        <v>1</v>
      </c>
      <c r="J513" s="7" t="str">
        <f t="shared" si="37"/>
        <v>Dentro</v>
      </c>
      <c r="K513" s="7" t="str">
        <f t="shared" si="38"/>
        <v>A tiempo</v>
      </c>
      <c r="L513" s="13">
        <v>45784</v>
      </c>
      <c r="M513" s="22">
        <f t="shared" si="39"/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Row],[CORREO]],1),E514)</f>
        <v>45784.45208333333</v>
      </c>
      <c r="G514" s="11">
        <v>45791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6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A tiempo</v>
      </c>
      <c r="L514" s="13">
        <v>45791</v>
      </c>
      <c r="M514" s="22">
        <f t="shared" ref="M514:M577" si="44">MAX(1,NETWORKDAYS(A514,L514))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Row],[CORREO]],1),E515)</f>
        <v>45785</v>
      </c>
      <c r="G515" s="11">
        <v>45784</v>
      </c>
      <c r="H515" s="7">
        <f t="shared" si="40"/>
        <v>19</v>
      </c>
      <c r="I515" s="7">
        <f t="shared" si="41"/>
        <v>1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Row],[CORREO]],1),E516)</f>
        <v>45785</v>
      </c>
      <c r="G516" s="11">
        <v>45789</v>
      </c>
      <c r="H516" s="7">
        <f t="shared" si="40"/>
        <v>19</v>
      </c>
      <c r="I516" s="7">
        <f t="shared" si="41"/>
        <v>4</v>
      </c>
      <c r="J516" s="7" t="str">
        <f t="shared" si="42"/>
        <v>Dentro</v>
      </c>
      <c r="K516" s="7" t="str">
        <f t="shared" si="43"/>
        <v>Mismo día</v>
      </c>
      <c r="L516" s="13">
        <v>45784</v>
      </c>
      <c r="M516" s="22">
        <f t="shared" si="44"/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Row],[CORREO]],1),E517)</f>
        <v>0</v>
      </c>
      <c r="G517" s="11">
        <v>45786</v>
      </c>
      <c r="H517" s="7">
        <f t="shared" si="40"/>
        <v>19</v>
      </c>
      <c r="I517" s="7">
        <f t="shared" si="41"/>
        <v>2</v>
      </c>
      <c r="J517" s="7" t="str">
        <f t="shared" si="42"/>
        <v>Dentro</v>
      </c>
      <c r="K517" s="7" t="str">
        <f t="shared" si="43"/>
        <v>Programados</v>
      </c>
      <c r="L517" s="13">
        <v>45786</v>
      </c>
      <c r="M517" s="22">
        <f t="shared" si="44"/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Row],[CORREO]],1),E518)</f>
        <v>45785</v>
      </c>
      <c r="G518" s="11">
        <v>45785</v>
      </c>
      <c r="H518" s="7">
        <f t="shared" si="40"/>
        <v>19</v>
      </c>
      <c r="I518" s="7">
        <f t="shared" si="41"/>
        <v>1</v>
      </c>
      <c r="J518" s="7" t="str">
        <f t="shared" si="42"/>
        <v>Dentro</v>
      </c>
      <c r="K518" s="7" t="str">
        <f t="shared" si="43"/>
        <v>A tiempo</v>
      </c>
      <c r="L518" s="13">
        <v>45785</v>
      </c>
      <c r="M518" s="22">
        <f t="shared" si="44"/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Row],[CORREO]],1),E519)</f>
        <v>45785</v>
      </c>
      <c r="G519" s="11">
        <v>45790</v>
      </c>
      <c r="H519" s="7">
        <f t="shared" si="40"/>
        <v>19</v>
      </c>
      <c r="I519" s="7">
        <f t="shared" si="41"/>
        <v>4</v>
      </c>
      <c r="J519" s="7" t="str">
        <f t="shared" si="42"/>
        <v>Dentro</v>
      </c>
      <c r="K519" s="7" t="str">
        <f t="shared" si="43"/>
        <v>A tiempo</v>
      </c>
      <c r="L519" s="13">
        <v>45790</v>
      </c>
      <c r="M519" s="22">
        <f t="shared" si="44"/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Row],[CORREO]],1),E520)</f>
        <v>0</v>
      </c>
      <c r="G520" s="11">
        <v>45812</v>
      </c>
      <c r="H520" s="7">
        <f t="shared" si="40"/>
        <v>19</v>
      </c>
      <c r="I520" s="7">
        <f t="shared" si="41"/>
        <v>20</v>
      </c>
      <c r="J520" s="7" t="str">
        <f t="shared" si="42"/>
        <v>Programado</v>
      </c>
      <c r="K520" s="7" t="str">
        <f t="shared" si="43"/>
        <v>Programados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Row],[CORREO]],1),E521)</f>
        <v>45785</v>
      </c>
      <c r="G521" s="11">
        <v>45785</v>
      </c>
      <c r="H521" s="7">
        <f t="shared" si="40"/>
        <v>19</v>
      </c>
      <c r="I521" s="7">
        <f t="shared" si="41"/>
        <v>1</v>
      </c>
      <c r="J521" s="7" t="str">
        <f t="shared" si="42"/>
        <v>Dentro</v>
      </c>
      <c r="K521" s="7" t="str">
        <f t="shared" si="43"/>
        <v>A tiempo</v>
      </c>
      <c r="L521" s="13">
        <v>45785</v>
      </c>
      <c r="M521" s="22">
        <f t="shared" si="44"/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Row],[CORREO]],1),E522)</f>
        <v>45796</v>
      </c>
      <c r="G522" s="11">
        <v>45833</v>
      </c>
      <c r="H522" s="7">
        <f t="shared" si="40"/>
        <v>19</v>
      </c>
      <c r="I522" s="7">
        <f t="shared" si="41"/>
        <v>35</v>
      </c>
      <c r="J522" s="7" t="str">
        <f t="shared" si="42"/>
        <v>Fuera</v>
      </c>
      <c r="K522" s="7" t="str">
        <f t="shared" si="43"/>
        <v>Mismo día</v>
      </c>
      <c r="L522" s="13">
        <v>45797</v>
      </c>
      <c r="M522" s="22">
        <f t="shared" si="44"/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Row],[CORREO]],1),E523)</f>
        <v>45785</v>
      </c>
      <c r="G523" s="11">
        <v>45785</v>
      </c>
      <c r="H523" s="7">
        <f t="shared" si="40"/>
        <v>19</v>
      </c>
      <c r="I523" s="7">
        <f t="shared" si="41"/>
        <v>1</v>
      </c>
      <c r="J523" s="7" t="str">
        <f t="shared" si="42"/>
        <v>Dentro</v>
      </c>
      <c r="K523" s="7" t="str">
        <f t="shared" si="43"/>
        <v>A tiempo</v>
      </c>
      <c r="L523" s="13">
        <v>45785</v>
      </c>
      <c r="M523" s="22">
        <f t="shared" si="44"/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Row],[CORREO]],1),E524)</f>
        <v>45785</v>
      </c>
      <c r="G524" s="11">
        <v>45786</v>
      </c>
      <c r="H524" s="7">
        <f t="shared" si="40"/>
        <v>19</v>
      </c>
      <c r="I524" s="7">
        <f t="shared" si="41"/>
        <v>2</v>
      </c>
      <c r="J524" s="7" t="str">
        <f t="shared" si="42"/>
        <v>Dentro</v>
      </c>
      <c r="K524" s="7" t="str">
        <f t="shared" si="43"/>
        <v>A tiempo</v>
      </c>
      <c r="L524" s="13">
        <v>45786</v>
      </c>
      <c r="M524" s="22">
        <f t="shared" si="44"/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Row],[CORREO]],1),E525)</f>
        <v>0</v>
      </c>
      <c r="G525" s="11">
        <v>45888</v>
      </c>
      <c r="H525" s="7">
        <f t="shared" si="40"/>
        <v>31</v>
      </c>
      <c r="I525" s="7">
        <f t="shared" si="41"/>
        <v>12</v>
      </c>
      <c r="J525" s="7" t="str">
        <f t="shared" si="42"/>
        <v>Programado</v>
      </c>
      <c r="K525" s="7" t="str">
        <f t="shared" si="43"/>
        <v>Programados</v>
      </c>
      <c r="L525" s="13">
        <v>45789</v>
      </c>
      <c r="M525" s="22">
        <f t="shared" si="44"/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Row],[CORREO]],1),E526)</f>
        <v>45786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45786</v>
      </c>
      <c r="M526" s="22">
        <f t="shared" si="44"/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Row],[CORREO]],1),E527)</f>
        <v>45786.363194444442</v>
      </c>
      <c r="G527" s="11">
        <v>45789</v>
      </c>
      <c r="H527" s="7">
        <f t="shared" si="40"/>
        <v>19</v>
      </c>
      <c r="I527" s="7">
        <f t="shared" si="41"/>
        <v>2</v>
      </c>
      <c r="J527" s="7" t="str">
        <f t="shared" si="42"/>
        <v>Dentro</v>
      </c>
      <c r="K527" s="7" t="str">
        <f t="shared" si="43"/>
        <v>A tiempo</v>
      </c>
      <c r="L527" s="13">
        <v>45787</v>
      </c>
      <c r="M527" s="22">
        <f t="shared" si="44"/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Row],[CORREO]],1),E528)</f>
        <v>0</v>
      </c>
      <c r="G528" s="11">
        <v>45812</v>
      </c>
      <c r="H528" s="7">
        <f t="shared" si="40"/>
        <v>19</v>
      </c>
      <c r="I528" s="7">
        <f t="shared" si="41"/>
        <v>19</v>
      </c>
      <c r="J528" s="7" t="str">
        <f t="shared" si="42"/>
        <v>Programado</v>
      </c>
      <c r="K528" s="7" t="str">
        <f t="shared" si="43"/>
        <v>Programados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Row],[CORREO]],1),E529)</f>
        <v>45786</v>
      </c>
      <c r="G529" s="11">
        <v>45799</v>
      </c>
      <c r="H529" s="7">
        <f t="shared" si="40"/>
        <v>19</v>
      </c>
      <c r="I529" s="7">
        <f t="shared" si="41"/>
        <v>10</v>
      </c>
      <c r="J529" s="7" t="str">
        <f t="shared" si="42"/>
        <v>Fuera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Row],[CORREO]],1),E531)</f>
        <v>45786</v>
      </c>
      <c r="G531" s="11">
        <v>45789</v>
      </c>
      <c r="H531" s="7">
        <f t="shared" si="40"/>
        <v>19</v>
      </c>
      <c r="I531" s="7">
        <f t="shared" si="41"/>
        <v>2</v>
      </c>
      <c r="J531" s="7" t="str">
        <f t="shared" si="42"/>
        <v>Dentro</v>
      </c>
      <c r="K531" s="7" t="str">
        <f t="shared" si="43"/>
        <v>A tiempo</v>
      </c>
      <c r="L531" s="13">
        <v>45786</v>
      </c>
      <c r="M531" s="22">
        <f t="shared" si="44"/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Row],[CORREO]],1),E532)</f>
        <v>45786</v>
      </c>
      <c r="G532" s="13">
        <v>45806</v>
      </c>
      <c r="H532" s="7">
        <f t="shared" si="40"/>
        <v>19</v>
      </c>
      <c r="I532" s="7">
        <f t="shared" si="41"/>
        <v>15</v>
      </c>
      <c r="J532" s="7" t="str">
        <f t="shared" si="42"/>
        <v>Fuera</v>
      </c>
      <c r="K532" s="7" t="str">
        <f t="shared" si="43"/>
        <v>A tiempo</v>
      </c>
      <c r="L532" s="13">
        <v>45797</v>
      </c>
      <c r="M532" s="22">
        <f t="shared" si="44"/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Row],[CORREO]],1),E533)</f>
        <v>45786.40902777778</v>
      </c>
      <c r="G533" s="11">
        <v>45798</v>
      </c>
      <c r="H533" s="7">
        <f t="shared" si="40"/>
        <v>19</v>
      </c>
      <c r="I533" s="7">
        <f t="shared" si="41"/>
        <v>9</v>
      </c>
      <c r="J533" s="7" t="str">
        <f t="shared" si="42"/>
        <v>Fuera</v>
      </c>
      <c r="K533" s="7" t="str">
        <f t="shared" si="43"/>
        <v>A tiempo</v>
      </c>
      <c r="L533" s="13">
        <v>45789</v>
      </c>
      <c r="M533" s="22">
        <f t="shared" si="44"/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Row],[CORREO]],1),E534)</f>
        <v>45789</v>
      </c>
      <c r="G534" s="11">
        <v>45793</v>
      </c>
      <c r="H534" s="7">
        <f t="shared" si="40"/>
        <v>19</v>
      </c>
      <c r="I534" s="7">
        <f t="shared" si="41"/>
        <v>5</v>
      </c>
      <c r="J534" s="7" t="str">
        <f t="shared" si="42"/>
        <v>Dentro</v>
      </c>
      <c r="K534" s="7" t="str">
        <f t="shared" si="43"/>
        <v>A tiempo</v>
      </c>
      <c r="L534" s="13">
        <v>45793</v>
      </c>
      <c r="M534" s="22">
        <f t="shared" si="44"/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Row],[CORREO]],1),E535)</f>
        <v>45789</v>
      </c>
      <c r="G535" s="11">
        <v>45819</v>
      </c>
      <c r="H535" s="7">
        <f t="shared" si="40"/>
        <v>19</v>
      </c>
      <c r="I535" s="7">
        <f t="shared" si="41"/>
        <v>23</v>
      </c>
      <c r="J535" s="7" t="str">
        <f t="shared" si="42"/>
        <v>Fuera</v>
      </c>
      <c r="K535" s="7" t="str">
        <f t="shared" si="43"/>
        <v>A tiempo</v>
      </c>
      <c r="L535" s="13">
        <v>45789</v>
      </c>
      <c r="M535" s="22">
        <f t="shared" si="44"/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Row],[CORREO]],1),E536)</f>
        <v>45787.327777777777</v>
      </c>
      <c r="G536" s="13">
        <v>45804</v>
      </c>
      <c r="H536" s="7">
        <f t="shared" si="40"/>
        <v>19</v>
      </c>
      <c r="I536" s="7">
        <f t="shared" si="41"/>
        <v>12</v>
      </c>
      <c r="J536" s="7" t="str">
        <f t="shared" si="42"/>
        <v>Programado</v>
      </c>
      <c r="K536" s="7" t="str">
        <f t="shared" si="43"/>
        <v>Programados</v>
      </c>
      <c r="L536" s="13">
        <v>45804</v>
      </c>
      <c r="M536" s="22">
        <f t="shared" si="44"/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Row],[CORREO]],1),E537)</f>
        <v>45789.322916666664</v>
      </c>
      <c r="G537" s="11">
        <v>45832</v>
      </c>
      <c r="H537" s="7">
        <f t="shared" si="40"/>
        <v>24</v>
      </c>
      <c r="I537" s="7">
        <f t="shared" si="41"/>
        <v>9</v>
      </c>
      <c r="J537" s="7" t="str">
        <f t="shared" si="42"/>
        <v>Programado</v>
      </c>
      <c r="K537" s="7" t="str">
        <f t="shared" si="43"/>
        <v>Programados</v>
      </c>
      <c r="L537" s="13">
        <v>45790</v>
      </c>
      <c r="M537" s="22">
        <f t="shared" si="44"/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Row],[CORREO]],1),E538)</f>
        <v>0</v>
      </c>
      <c r="G538" s="11">
        <v>45793</v>
      </c>
      <c r="H538" s="7">
        <f t="shared" si="40"/>
        <v>19</v>
      </c>
      <c r="I538" s="7">
        <f t="shared" si="41"/>
        <v>5</v>
      </c>
      <c r="J538" s="7" t="str">
        <f t="shared" si="42"/>
        <v>Dentro</v>
      </c>
      <c r="K538" s="7" t="str">
        <f t="shared" si="43"/>
        <v>Programados</v>
      </c>
      <c r="L538" s="13">
        <v>45790</v>
      </c>
      <c r="M538" s="22">
        <f t="shared" si="44"/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Row],[CORREO]],1),E539)</f>
        <v>45789.386805555558</v>
      </c>
      <c r="G539" s="11">
        <v>45789</v>
      </c>
      <c r="H539" s="7">
        <f t="shared" si="40"/>
        <v>19</v>
      </c>
      <c r="I539" s="7">
        <f t="shared" si="41"/>
        <v>1</v>
      </c>
      <c r="J539" s="7" t="str">
        <f t="shared" si="42"/>
        <v>Dentro</v>
      </c>
      <c r="K539" s="7" t="str">
        <f t="shared" si="43"/>
        <v>A tiempo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Row],[CORREO]],1),E540)</f>
        <v>41043</v>
      </c>
      <c r="G540" s="11">
        <v>45790</v>
      </c>
      <c r="H540" s="7">
        <f t="shared" si="40"/>
        <v>19</v>
      </c>
      <c r="I540" s="7">
        <f t="shared" si="41"/>
        <v>2</v>
      </c>
      <c r="J540" s="7" t="str">
        <f t="shared" si="42"/>
        <v>Dentro</v>
      </c>
      <c r="K540" s="7" t="str">
        <f t="shared" si="43"/>
        <v>Programados</v>
      </c>
      <c r="L540" s="13">
        <v>45789</v>
      </c>
      <c r="M540" s="22">
        <f t="shared" si="44"/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Row],[CORREO]],1),E541)</f>
        <v>0</v>
      </c>
      <c r="G541" s="11">
        <v>45791</v>
      </c>
      <c r="H541" s="7">
        <f t="shared" si="40"/>
        <v>19</v>
      </c>
      <c r="I541" s="7">
        <f t="shared" si="41"/>
        <v>3</v>
      </c>
      <c r="J541" s="7" t="str">
        <f t="shared" si="42"/>
        <v>Dentro</v>
      </c>
      <c r="K541" s="7" t="str">
        <f t="shared" si="43"/>
        <v>Programados</v>
      </c>
      <c r="L541" s="13">
        <v>45791</v>
      </c>
      <c r="M541" s="22">
        <f t="shared" si="44"/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Row],[CORREO]],1),E542)</f>
        <v>45790</v>
      </c>
      <c r="G542" s="11">
        <v>45793</v>
      </c>
      <c r="H542" s="7">
        <f t="shared" si="40"/>
        <v>19</v>
      </c>
      <c r="I542" s="7">
        <f t="shared" si="41"/>
        <v>4</v>
      </c>
      <c r="J542" s="7" t="str">
        <f t="shared" si="42"/>
        <v>Dentro</v>
      </c>
      <c r="K542" s="7" t="str">
        <f t="shared" si="43"/>
        <v>A tiempo</v>
      </c>
      <c r="L542" s="13">
        <v>45790</v>
      </c>
      <c r="M542" s="22">
        <f t="shared" si="44"/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Row],[CORREO]],1),E543)</f>
        <v>45790</v>
      </c>
      <c r="G543" s="11">
        <v>45791</v>
      </c>
      <c r="H543" s="7">
        <f t="shared" si="40"/>
        <v>19</v>
      </c>
      <c r="I543" s="7">
        <f t="shared" si="41"/>
        <v>2</v>
      </c>
      <c r="J543" s="7" t="str">
        <f t="shared" si="42"/>
        <v>Dentro</v>
      </c>
      <c r="K543" s="7" t="str">
        <f t="shared" si="43"/>
        <v>A tiempo</v>
      </c>
      <c r="L543" s="13">
        <v>45791</v>
      </c>
      <c r="M543" s="22">
        <f t="shared" si="44"/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Row],[CORREO]],1),E544)</f>
        <v>45790</v>
      </c>
      <c r="G544" s="11">
        <v>45790</v>
      </c>
      <c r="H544" s="7">
        <f t="shared" si="40"/>
        <v>19</v>
      </c>
      <c r="I544" s="7">
        <f t="shared" si="41"/>
        <v>1</v>
      </c>
      <c r="J544" s="7" t="str">
        <f t="shared" si="42"/>
        <v>Dentro</v>
      </c>
      <c r="K544" s="7" t="str">
        <f t="shared" si="43"/>
        <v>A tiempo</v>
      </c>
      <c r="L544" s="13">
        <v>45790</v>
      </c>
      <c r="M544" s="22">
        <f t="shared" si="44"/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Row],[CORREO]],1),E545)</f>
        <v>45790.313888888886</v>
      </c>
      <c r="G545" s="11">
        <v>45791</v>
      </c>
      <c r="H545" s="7">
        <f t="shared" si="40"/>
        <v>19</v>
      </c>
      <c r="I545" s="7">
        <f t="shared" si="41"/>
        <v>2</v>
      </c>
      <c r="J545" s="7" t="str">
        <f t="shared" si="42"/>
        <v>Dentro</v>
      </c>
      <c r="K545" s="7" t="str">
        <f t="shared" si="43"/>
        <v>A tiempo</v>
      </c>
      <c r="L545" s="13">
        <v>45791</v>
      </c>
      <c r="M545" s="22">
        <f t="shared" si="44"/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Row],[CORREO]],1),E546)</f>
        <v>45790.34375</v>
      </c>
      <c r="G546" s="11">
        <v>45798</v>
      </c>
      <c r="H546" s="7">
        <f t="shared" si="40"/>
        <v>19</v>
      </c>
      <c r="I546" s="7">
        <f t="shared" si="41"/>
        <v>7</v>
      </c>
      <c r="J546" s="7" t="str">
        <f t="shared" si="42"/>
        <v>Dentro</v>
      </c>
      <c r="K546" s="7" t="str">
        <f t="shared" si="43"/>
        <v>A tiempo</v>
      </c>
      <c r="L546" s="13">
        <v>45798</v>
      </c>
      <c r="M546" s="22">
        <f t="shared" si="44"/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Row],[CORREO]],1),E547)</f>
        <v>45790.386111111111</v>
      </c>
      <c r="G547" s="11">
        <v>45791</v>
      </c>
      <c r="H547" s="7">
        <f t="shared" si="40"/>
        <v>19</v>
      </c>
      <c r="I547" s="7">
        <f t="shared" si="41"/>
        <v>2</v>
      </c>
      <c r="J547" s="7" t="str">
        <f t="shared" si="42"/>
        <v>Dentro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Row],[CORREO]],1),E548)</f>
        <v>45790.402777777781</v>
      </c>
      <c r="G548" s="11">
        <v>45790</v>
      </c>
      <c r="H548" s="7">
        <f t="shared" si="40"/>
        <v>19</v>
      </c>
      <c r="I548" s="7">
        <f t="shared" si="41"/>
        <v>1</v>
      </c>
      <c r="J548" s="7" t="str">
        <f t="shared" si="42"/>
        <v>ASAP</v>
      </c>
      <c r="K548" s="7" t="str">
        <f t="shared" si="43"/>
        <v>A tiempo</v>
      </c>
      <c r="L548" s="13">
        <v>45790</v>
      </c>
      <c r="M548" s="22">
        <f t="shared" si="44"/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Row],[CORREO]],1),E549)</f>
        <v>45790.431250000001</v>
      </c>
      <c r="G549" s="11">
        <v>45798</v>
      </c>
      <c r="H549" s="7">
        <f t="shared" si="40"/>
        <v>19</v>
      </c>
      <c r="I549" s="7">
        <f t="shared" si="41"/>
        <v>7</v>
      </c>
      <c r="J549" s="7" t="str">
        <f t="shared" si="42"/>
        <v>Dentro</v>
      </c>
      <c r="K549" s="7" t="str">
        <f t="shared" si="43"/>
        <v>A tiempo</v>
      </c>
      <c r="L549" s="13">
        <v>45798</v>
      </c>
      <c r="M549" s="22">
        <f t="shared" si="44"/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Row],[CORREO]],1),E550)</f>
        <v>45791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Row],[CORREO]],1),E551)</f>
        <v>45791.352083333331</v>
      </c>
      <c r="G551" s="11">
        <v>45791</v>
      </c>
      <c r="H551" s="7">
        <f t="shared" si="40"/>
        <v>20</v>
      </c>
      <c r="I551" s="7">
        <f t="shared" si="41"/>
        <v>1</v>
      </c>
      <c r="J551" s="7" t="str">
        <f t="shared" si="42"/>
        <v>Dentro</v>
      </c>
      <c r="K551" s="7" t="str">
        <f t="shared" si="43"/>
        <v>A tiempo</v>
      </c>
      <c r="L551" s="13">
        <v>45791</v>
      </c>
      <c r="M551" s="22">
        <f t="shared" si="44"/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Row],[CORREO]],1),E552)</f>
        <v>45791.362500000003</v>
      </c>
      <c r="G552" s="11">
        <v>45798</v>
      </c>
      <c r="H552" s="7">
        <f t="shared" si="40"/>
        <v>20</v>
      </c>
      <c r="I552" s="7">
        <f t="shared" si="41"/>
        <v>6</v>
      </c>
      <c r="J552" s="7" t="str">
        <f t="shared" si="42"/>
        <v>Dentro</v>
      </c>
      <c r="K552" s="7" t="str">
        <f t="shared" si="43"/>
        <v>A tiempo</v>
      </c>
      <c r="L552" s="13">
        <v>45798</v>
      </c>
      <c r="M552" s="22">
        <f t="shared" si="44"/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Row],[CORREO]],1),E553)</f>
        <v>45791.373611111114</v>
      </c>
      <c r="G553" s="11">
        <v>45792</v>
      </c>
      <c r="H553" s="7">
        <f t="shared" si="40"/>
        <v>20</v>
      </c>
      <c r="I553" s="7">
        <f t="shared" si="41"/>
        <v>2</v>
      </c>
      <c r="J553" s="7" t="str">
        <f t="shared" si="42"/>
        <v>Dentro</v>
      </c>
      <c r="K553" s="7" t="str">
        <f t="shared" si="43"/>
        <v>A tiempo</v>
      </c>
      <c r="L553" s="13">
        <v>45792</v>
      </c>
      <c r="M553" s="22">
        <f t="shared" si="44"/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Row],[CORREO]],1),E554)</f>
        <v>45792</v>
      </c>
      <c r="G554" s="13">
        <v>45804</v>
      </c>
      <c r="H554" s="7">
        <f t="shared" si="40"/>
        <v>20</v>
      </c>
      <c r="I554" s="7">
        <f t="shared" si="41"/>
        <v>9</v>
      </c>
      <c r="J554" s="7" t="str">
        <f t="shared" si="42"/>
        <v>Fuera</v>
      </c>
      <c r="K554" s="7" t="str">
        <f t="shared" si="43"/>
        <v>A tiempo</v>
      </c>
      <c r="L554" s="13">
        <v>45796</v>
      </c>
      <c r="M554" s="22">
        <f t="shared" si="44"/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Row],[CORREO]],1),E555)</f>
        <v>45792</v>
      </c>
      <c r="G555" s="11">
        <v>45810</v>
      </c>
      <c r="H555" s="7">
        <f t="shared" si="40"/>
        <v>20</v>
      </c>
      <c r="I555" s="7">
        <f t="shared" si="41"/>
        <v>13</v>
      </c>
      <c r="J555" s="7" t="str">
        <f t="shared" si="42"/>
        <v>Fuera</v>
      </c>
      <c r="K555" s="7" t="str">
        <f t="shared" si="43"/>
        <v>A tiempo</v>
      </c>
      <c r="L555" s="13">
        <v>45793</v>
      </c>
      <c r="M555" s="22">
        <f t="shared" si="44"/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Row],[CORREO]],1),E556)</f>
        <v>45792.371527777781</v>
      </c>
      <c r="G556" s="11">
        <v>45796</v>
      </c>
      <c r="H556" s="7">
        <f t="shared" si="40"/>
        <v>20</v>
      </c>
      <c r="I556" s="7">
        <f t="shared" si="41"/>
        <v>3</v>
      </c>
      <c r="J556" s="7" t="str">
        <f t="shared" si="42"/>
        <v>Dentro</v>
      </c>
      <c r="K556" s="7" t="str">
        <f t="shared" si="43"/>
        <v>A tiempo</v>
      </c>
      <c r="L556" s="13">
        <v>45792</v>
      </c>
      <c r="M556" s="22">
        <f t="shared" si="44"/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Row],[CORREO]],1),E557)</f>
        <v>45793</v>
      </c>
      <c r="G557" s="11">
        <v>45799</v>
      </c>
      <c r="H557" s="7">
        <f t="shared" si="40"/>
        <v>20</v>
      </c>
      <c r="I557" s="7">
        <f t="shared" si="41"/>
        <v>5</v>
      </c>
      <c r="J557" s="7" t="str">
        <f t="shared" si="42"/>
        <v>Dentro</v>
      </c>
      <c r="K557" s="7" t="str">
        <f t="shared" si="43"/>
        <v>A tiempo</v>
      </c>
      <c r="L557" s="13">
        <v>45799</v>
      </c>
      <c r="M557" s="22">
        <f t="shared" si="44"/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Row],[CORREO]],1),E558)</f>
        <v>45793</v>
      </c>
      <c r="G558" s="11">
        <v>45811</v>
      </c>
      <c r="H558" s="7">
        <f t="shared" si="40"/>
        <v>20</v>
      </c>
      <c r="I558" s="7">
        <f t="shared" si="41"/>
        <v>13</v>
      </c>
      <c r="J558" s="7" t="str">
        <f t="shared" si="42"/>
        <v>Fuera</v>
      </c>
      <c r="K558" s="7" t="str">
        <f t="shared" si="43"/>
        <v>A tiempo</v>
      </c>
      <c r="L558" s="13">
        <v>45793</v>
      </c>
      <c r="M558" s="22">
        <f t="shared" si="44"/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Row],[CORREO]],1),E559)</f>
        <v>45793.322222222225</v>
      </c>
      <c r="G559" s="11">
        <v>45798</v>
      </c>
      <c r="H559" s="7">
        <f t="shared" si="40"/>
        <v>20</v>
      </c>
      <c r="I559" s="7">
        <f t="shared" si="41"/>
        <v>4</v>
      </c>
      <c r="J559" s="7" t="str">
        <f t="shared" si="42"/>
        <v>Dentro</v>
      </c>
      <c r="K559" s="7" t="str">
        <f t="shared" si="43"/>
        <v>A tiempo</v>
      </c>
      <c r="L559" s="13">
        <v>45796</v>
      </c>
      <c r="M559" s="22">
        <f t="shared" si="44"/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Row],[CORREO]],1),E560)</f>
        <v>45793.423611111109</v>
      </c>
      <c r="G560" s="11">
        <v>45793</v>
      </c>
      <c r="H560" s="7">
        <f t="shared" si="40"/>
        <v>20</v>
      </c>
      <c r="I560" s="7">
        <f t="shared" si="41"/>
        <v>1</v>
      </c>
      <c r="J560" s="7" t="str">
        <f t="shared" si="42"/>
        <v>Dentro</v>
      </c>
      <c r="K560" s="7" t="str">
        <f t="shared" si="43"/>
        <v>A tiempo</v>
      </c>
      <c r="L560" s="13">
        <v>45793</v>
      </c>
      <c r="M560" s="22">
        <f t="shared" si="44"/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Row],[CORREO]],1),E561)</f>
        <v>45793.427777777775</v>
      </c>
      <c r="G561" s="13">
        <v>45804</v>
      </c>
      <c r="H561" s="7">
        <f t="shared" si="40"/>
        <v>20</v>
      </c>
      <c r="I561" s="7">
        <f t="shared" si="41"/>
        <v>8</v>
      </c>
      <c r="J561" s="7" t="str">
        <f t="shared" si="42"/>
        <v>ASAP</v>
      </c>
      <c r="K561" s="7" t="str">
        <f t="shared" si="43"/>
        <v>A tiempo</v>
      </c>
      <c r="L561" s="13">
        <v>45798</v>
      </c>
      <c r="M561" s="22">
        <f t="shared" si="44"/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Row],[CORREO]],1),E562)</f>
        <v>45796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Mismo día</v>
      </c>
      <c r="L562" s="13">
        <v>45793</v>
      </c>
      <c r="M562" s="22">
        <f t="shared" si="44"/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Row],[CORREO]],1),E563)</f>
        <v>45793.440972222219</v>
      </c>
      <c r="G563" s="11">
        <v>45793</v>
      </c>
      <c r="H563" s="7">
        <f t="shared" si="40"/>
        <v>20</v>
      </c>
      <c r="I563" s="7">
        <f t="shared" si="41"/>
        <v>1</v>
      </c>
      <c r="J563" s="7" t="str">
        <f t="shared" si="42"/>
        <v>Dentro</v>
      </c>
      <c r="K563" s="7" t="str">
        <f t="shared" si="43"/>
        <v>A tiempo</v>
      </c>
      <c r="L563" s="13">
        <v>45793</v>
      </c>
      <c r="M563" s="22">
        <f t="shared" si="44"/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Row],[CORREO]],1),E564)</f>
        <v>45796</v>
      </c>
      <c r="G564" s="11">
        <v>45835</v>
      </c>
      <c r="H564" s="7">
        <f t="shared" si="40"/>
        <v>20</v>
      </c>
      <c r="I564" s="7">
        <f t="shared" si="41"/>
        <v>30</v>
      </c>
      <c r="J564" s="7" t="str">
        <f t="shared" si="42"/>
        <v>Fuera</v>
      </c>
      <c r="K564" s="7" t="str">
        <f t="shared" si="43"/>
        <v>A tiempo</v>
      </c>
      <c r="L564" s="13">
        <v>45797</v>
      </c>
      <c r="M564" s="22">
        <f t="shared" si="44"/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Row],[CORREO]],1),E565)</f>
        <v>45796</v>
      </c>
      <c r="G565" s="11">
        <v>45798</v>
      </c>
      <c r="H565" s="7">
        <f t="shared" si="40"/>
        <v>20</v>
      </c>
      <c r="I565" s="7">
        <f t="shared" si="41"/>
        <v>3</v>
      </c>
      <c r="J565" s="7" t="str">
        <f t="shared" si="42"/>
        <v>Dentro</v>
      </c>
      <c r="K565" s="7" t="str">
        <f t="shared" si="43"/>
        <v>A tiempo</v>
      </c>
      <c r="L565" s="13">
        <v>45798</v>
      </c>
      <c r="M565" s="22">
        <f t="shared" si="44"/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Row],[CORREO]],1),E566)</f>
        <v>45796.347916666666</v>
      </c>
      <c r="G566" s="11">
        <v>45796</v>
      </c>
      <c r="H566" s="7">
        <f t="shared" si="40"/>
        <v>20</v>
      </c>
      <c r="I566" s="7">
        <f t="shared" si="41"/>
        <v>1</v>
      </c>
      <c r="J566" s="7" t="str">
        <f t="shared" si="42"/>
        <v>Dentro</v>
      </c>
      <c r="K566" s="7" t="str">
        <f t="shared" si="43"/>
        <v>A tiempo</v>
      </c>
      <c r="L566" s="13">
        <v>45796</v>
      </c>
      <c r="M566" s="22">
        <f t="shared" si="44"/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Row],[CORREO]],1),E567)</f>
        <v>45796.356249999997</v>
      </c>
      <c r="G567" s="11">
        <v>45798</v>
      </c>
      <c r="H567" s="7">
        <f t="shared" si="40"/>
        <v>20</v>
      </c>
      <c r="I567" s="7">
        <f t="shared" si="41"/>
        <v>3</v>
      </c>
      <c r="J567" s="7" t="str">
        <f t="shared" si="42"/>
        <v>Dentro</v>
      </c>
      <c r="K567" s="7" t="str">
        <f t="shared" si="43"/>
        <v>A tiempo</v>
      </c>
      <c r="L567" s="13">
        <v>45798</v>
      </c>
      <c r="M567" s="22">
        <f t="shared" si="44"/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Row],[CORREO]],1),E568)</f>
        <v>0</v>
      </c>
      <c r="G568" s="11">
        <v>45800</v>
      </c>
      <c r="H568" s="7">
        <f t="shared" si="40"/>
        <v>20</v>
      </c>
      <c r="I568" s="7">
        <f t="shared" si="41"/>
        <v>5</v>
      </c>
      <c r="J568" s="7" t="str">
        <f t="shared" si="42"/>
        <v>Dentro</v>
      </c>
      <c r="K568" s="7" t="str">
        <f t="shared" si="43"/>
        <v>Programados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Row],[CORREO]],1),E570)</f>
        <v>45796.399305555555</v>
      </c>
      <c r="G570" s="11">
        <v>45796</v>
      </c>
      <c r="H570" s="7">
        <f t="shared" si="40"/>
        <v>20</v>
      </c>
      <c r="I570" s="7">
        <f t="shared" si="41"/>
        <v>1</v>
      </c>
      <c r="J570" s="7" t="str">
        <f t="shared" si="42"/>
        <v>Dentro</v>
      </c>
      <c r="K570" s="7" t="str">
        <f t="shared" si="43"/>
        <v>A tiempo</v>
      </c>
      <c r="L570" s="13">
        <v>45796</v>
      </c>
      <c r="M570" s="22">
        <f t="shared" si="44"/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Row],[CORREO]],1),E571)</f>
        <v>45796.419444444444</v>
      </c>
      <c r="G571" s="11">
        <v>45798</v>
      </c>
      <c r="H571" s="7">
        <f t="shared" si="40"/>
        <v>20</v>
      </c>
      <c r="I571" s="7">
        <f t="shared" si="41"/>
        <v>3</v>
      </c>
      <c r="J571" s="7" t="str">
        <f t="shared" si="42"/>
        <v>Dentro</v>
      </c>
      <c r="K571" s="7" t="str">
        <f t="shared" si="43"/>
        <v>A tiempo</v>
      </c>
      <c r="L571" s="13">
        <v>45797</v>
      </c>
      <c r="M571" s="22">
        <f t="shared" si="44"/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Row],[CORREO]],1),E572)</f>
        <v>0</v>
      </c>
      <c r="G572" s="11">
        <v>45819</v>
      </c>
      <c r="H572" s="7">
        <f t="shared" si="40"/>
        <v>20</v>
      </c>
      <c r="I572" s="7">
        <f t="shared" si="41"/>
        <v>18</v>
      </c>
      <c r="J572" s="7" t="str">
        <f t="shared" si="42"/>
        <v>Programado</v>
      </c>
      <c r="K572" s="7" t="str">
        <f t="shared" si="43"/>
        <v>Programados</v>
      </c>
      <c r="L572" s="13">
        <v>45796</v>
      </c>
      <c r="M572" s="22">
        <f t="shared" si="44"/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45797</v>
      </c>
      <c r="M573" s="22">
        <f t="shared" si="44"/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Row],[CORREO]],1),E574)</f>
        <v>45797</v>
      </c>
      <c r="G574" s="11">
        <v>45798</v>
      </c>
      <c r="H574" s="7">
        <f t="shared" si="40"/>
        <v>20</v>
      </c>
      <c r="I574" s="7">
        <f t="shared" si="41"/>
        <v>2</v>
      </c>
      <c r="J574" s="7" t="str">
        <f t="shared" si="42"/>
        <v>Dentro</v>
      </c>
      <c r="K574" s="7" t="str">
        <f t="shared" si="43"/>
        <v>A tiempo</v>
      </c>
      <c r="L574" s="13">
        <v>45798</v>
      </c>
      <c r="M574" s="22">
        <f t="shared" si="44"/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Row],[CORREO]],1),E575)</f>
        <v>0</v>
      </c>
      <c r="G575" s="11">
        <v>45812</v>
      </c>
      <c r="H575" s="7">
        <f t="shared" si="40"/>
        <v>20</v>
      </c>
      <c r="I575" s="7">
        <f t="shared" si="41"/>
        <v>12</v>
      </c>
      <c r="J575" s="7" t="str">
        <f t="shared" si="42"/>
        <v>Programado</v>
      </c>
      <c r="K575" s="7" t="str">
        <f t="shared" si="43"/>
        <v>Programados</v>
      </c>
      <c r="L575" s="13">
        <v>45805</v>
      </c>
      <c r="M575" s="22">
        <f t="shared" si="44"/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Row],[CORREO]],1),E576)</f>
        <v>45798</v>
      </c>
      <c r="G576" s="11">
        <v>45799</v>
      </c>
      <c r="H576" s="7">
        <f t="shared" si="40"/>
        <v>20</v>
      </c>
      <c r="I576" s="7">
        <f t="shared" si="41"/>
        <v>3</v>
      </c>
      <c r="J576" s="7" t="str">
        <f t="shared" si="42"/>
        <v>ASAP</v>
      </c>
      <c r="K576" s="7" t="str">
        <f t="shared" si="43"/>
        <v>Mismo día</v>
      </c>
      <c r="L576" s="13">
        <v>45799</v>
      </c>
      <c r="M576" s="22">
        <f t="shared" si="44"/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Row],[CORREO]],1),E577)</f>
        <v>45798</v>
      </c>
      <c r="G577" s="11">
        <v>45798</v>
      </c>
      <c r="H577" s="7">
        <f t="shared" si="40"/>
        <v>21</v>
      </c>
      <c r="I577" s="7">
        <f t="shared" si="41"/>
        <v>1</v>
      </c>
      <c r="J577" s="7" t="str">
        <f t="shared" si="42"/>
        <v>ASAP</v>
      </c>
      <c r="K577" s="7" t="str">
        <f t="shared" si="43"/>
        <v>A tiempo</v>
      </c>
      <c r="L577" s="13">
        <v>45798</v>
      </c>
      <c r="M577" s="22">
        <f t="shared" si="44"/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Row],[CORREO]],1),E578)</f>
        <v>45798</v>
      </c>
      <c r="G578" s="11">
        <v>45799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2</v>
      </c>
      <c r="J578" s="7" t="str">
        <f t="shared" ref="J578:J641" si="47">IF(G578="","Acumulado",IF(ISNUMBER(SEARCH("ASAP",C578)),"ASAP",IF(I578&lt;=7,"Dentro",IF(A578&gt;F578,"Programado","Fuera"))))</f>
        <v>ASAP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Row],[CORREO]],1),E579)</f>
        <v>45798</v>
      </c>
      <c r="G579" s="13">
        <v>45807</v>
      </c>
      <c r="H579" s="7">
        <f t="shared" si="45"/>
        <v>21</v>
      </c>
      <c r="I579" s="7">
        <f t="shared" si="46"/>
        <v>8</v>
      </c>
      <c r="J579" s="7" t="str">
        <f t="shared" si="47"/>
        <v>Fuera</v>
      </c>
      <c r="K579" s="7" t="str">
        <f t="shared" si="48"/>
        <v>A tiempo</v>
      </c>
      <c r="L579" s="13">
        <v>45799</v>
      </c>
      <c r="M579" s="22">
        <f t="shared" si="49"/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Row],[CORREO]],1),E580)</f>
        <v>45798.296527777777</v>
      </c>
      <c r="G580" s="13">
        <v>45805</v>
      </c>
      <c r="H580" s="7">
        <f t="shared" si="45"/>
        <v>21</v>
      </c>
      <c r="I580" s="7">
        <f t="shared" si="46"/>
        <v>6</v>
      </c>
      <c r="J580" s="7" t="str">
        <f t="shared" si="47"/>
        <v>Dentro</v>
      </c>
      <c r="K580" s="7" t="str">
        <f t="shared" si="48"/>
        <v>A tiempo</v>
      </c>
      <c r="L580" s="13">
        <v>45800</v>
      </c>
      <c r="M580" s="22">
        <f t="shared" si="49"/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Row],[CORREO]],1),E581)</f>
        <v>45798.370138888888</v>
      </c>
      <c r="G581" s="11">
        <v>45798</v>
      </c>
      <c r="H581" s="7">
        <f t="shared" si="45"/>
        <v>21</v>
      </c>
      <c r="I581" s="7">
        <f t="shared" si="46"/>
        <v>1</v>
      </c>
      <c r="J581" s="7" t="str">
        <f t="shared" si="47"/>
        <v>Dentro</v>
      </c>
      <c r="K581" s="7" t="str">
        <f t="shared" si="48"/>
        <v>A tiempo</v>
      </c>
      <c r="L581" s="13">
        <v>45798</v>
      </c>
      <c r="M581" s="22">
        <f t="shared" si="49"/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Row],[CORREO]],1),E582)</f>
        <v>45798.384722222225</v>
      </c>
      <c r="G582" s="13">
        <v>45804</v>
      </c>
      <c r="H582" s="7">
        <f t="shared" si="45"/>
        <v>21</v>
      </c>
      <c r="I582" s="7">
        <f t="shared" si="46"/>
        <v>5</v>
      </c>
      <c r="J582" s="7" t="str">
        <f t="shared" si="47"/>
        <v>Dentro</v>
      </c>
      <c r="K582" s="7" t="str">
        <f t="shared" si="48"/>
        <v>A tiempo</v>
      </c>
      <c r="L582" s="13">
        <v>45799</v>
      </c>
      <c r="M582" s="22">
        <f t="shared" si="49"/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Row],[CORREO]],1),E583)</f>
        <v>45798.398611111108</v>
      </c>
      <c r="G583" s="13">
        <v>45805</v>
      </c>
      <c r="H583" s="7">
        <f t="shared" si="45"/>
        <v>21</v>
      </c>
      <c r="I583" s="7">
        <f t="shared" si="46"/>
        <v>6</v>
      </c>
      <c r="J583" s="7" t="str">
        <f t="shared" si="47"/>
        <v>Dentro</v>
      </c>
      <c r="K583" s="7" t="str">
        <f t="shared" si="48"/>
        <v>A tiempo</v>
      </c>
      <c r="L583" s="13">
        <v>45804</v>
      </c>
      <c r="M583" s="22">
        <f t="shared" si="49"/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Row],[CORREO]],1),E584)</f>
        <v>45798.448611111111</v>
      </c>
      <c r="G584" s="13">
        <v>45804</v>
      </c>
      <c r="H584" s="7">
        <f t="shared" si="45"/>
        <v>21</v>
      </c>
      <c r="I584" s="7">
        <f t="shared" si="46"/>
        <v>5</v>
      </c>
      <c r="J584" s="7" t="str">
        <f t="shared" si="47"/>
        <v>Dentro</v>
      </c>
      <c r="K584" s="7" t="str">
        <f t="shared" si="48"/>
        <v>A tiempo</v>
      </c>
      <c r="L584" s="13">
        <v>45798</v>
      </c>
      <c r="M584" s="22">
        <f t="shared" si="49"/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2</v>
      </c>
      <c r="J585" s="7" t="str">
        <f t="shared" si="47"/>
        <v>ASAP</v>
      </c>
      <c r="K585" s="7" t="str">
        <f t="shared" si="48"/>
        <v>Mismo día</v>
      </c>
      <c r="L585" s="13">
        <v>45798</v>
      </c>
      <c r="M585" s="22">
        <f t="shared" si="49"/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Row],[CORREO]],1),E586)</f>
        <v>45799</v>
      </c>
      <c r="G586" s="11">
        <v>45799</v>
      </c>
      <c r="H586" s="7">
        <f t="shared" si="45"/>
        <v>21</v>
      </c>
      <c r="I586" s="7">
        <f t="shared" si="46"/>
        <v>1</v>
      </c>
      <c r="J586" s="7" t="str">
        <f t="shared" si="47"/>
        <v>Dentro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Row],[CORREO]],1),E587)</f>
        <v>45799.395138888889</v>
      </c>
      <c r="G587" s="11">
        <v>45800</v>
      </c>
      <c r="H587" s="7">
        <f t="shared" si="45"/>
        <v>21</v>
      </c>
      <c r="I587" s="7">
        <f t="shared" si="46"/>
        <v>2</v>
      </c>
      <c r="J587" s="7" t="str">
        <f t="shared" si="47"/>
        <v>ASAP</v>
      </c>
      <c r="K587" s="7" t="str">
        <f t="shared" si="48"/>
        <v>A tiempo</v>
      </c>
      <c r="L587" s="13">
        <v>45799</v>
      </c>
      <c r="M587" s="22">
        <f t="shared" si="49"/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Row],[CORREO]],1),E588)</f>
        <v>45800</v>
      </c>
      <c r="G588" s="13">
        <v>45805</v>
      </c>
      <c r="H588" s="7">
        <f t="shared" si="45"/>
        <v>21</v>
      </c>
      <c r="I588" s="7">
        <f t="shared" si="46"/>
        <v>4</v>
      </c>
      <c r="J588" s="7" t="str">
        <f t="shared" si="47"/>
        <v>Dentro</v>
      </c>
      <c r="K588" s="7" t="str">
        <f t="shared" si="48"/>
        <v>A tiempo</v>
      </c>
      <c r="L588" s="13">
        <v>45805</v>
      </c>
      <c r="M588" s="22">
        <f t="shared" si="49"/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Row],[CORREO]],1),E589)</f>
        <v>45800</v>
      </c>
      <c r="G589" s="11">
        <v>45800</v>
      </c>
      <c r="H589" s="7">
        <f t="shared" si="45"/>
        <v>21</v>
      </c>
      <c r="I589" s="7">
        <f t="shared" si="46"/>
        <v>1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Row],[CORREO]],1),E590)</f>
        <v>45800</v>
      </c>
      <c r="G590" s="13">
        <v>45804</v>
      </c>
      <c r="H590" s="20">
        <f t="shared" si="45"/>
        <v>21</v>
      </c>
      <c r="I590" s="20">
        <f t="shared" si="46"/>
        <v>3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Row],[CORREO]],1),E591)</f>
        <v>45800</v>
      </c>
      <c r="G591" s="11">
        <v>45800</v>
      </c>
      <c r="H591" s="7">
        <f t="shared" si="45"/>
        <v>21</v>
      </c>
      <c r="I591" s="7">
        <f t="shared" si="46"/>
        <v>1</v>
      </c>
      <c r="J591" s="7" t="str">
        <f t="shared" si="47"/>
        <v>Dentro</v>
      </c>
      <c r="K591" s="7" t="str">
        <f t="shared" si="48"/>
        <v>A tiempo</v>
      </c>
      <c r="L591" s="13">
        <v>45800</v>
      </c>
      <c r="M591" s="22">
        <f t="shared" si="49"/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Row],[CORREO]],1),E592)</f>
        <v>45800.402083333334</v>
      </c>
      <c r="G592" s="13">
        <v>45805</v>
      </c>
      <c r="H592" s="7">
        <f t="shared" si="45"/>
        <v>21</v>
      </c>
      <c r="I592" s="7">
        <f t="shared" si="46"/>
        <v>4</v>
      </c>
      <c r="J592" s="7" t="str">
        <f t="shared" si="47"/>
        <v>Dentro</v>
      </c>
      <c r="K592" s="7" t="str">
        <f t="shared" si="48"/>
        <v>A tiempo</v>
      </c>
      <c r="L592" s="13">
        <v>45804</v>
      </c>
      <c r="M592" s="22">
        <f t="shared" si="49"/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Row],[CORREO]],1),E593)</f>
        <v>45803</v>
      </c>
      <c r="G593" s="11">
        <v>45800</v>
      </c>
      <c r="H593" s="7">
        <f t="shared" si="45"/>
        <v>21</v>
      </c>
      <c r="I593" s="7">
        <f t="shared" si="46"/>
        <v>1</v>
      </c>
      <c r="J593" s="7" t="str">
        <f t="shared" si="47"/>
        <v>Dentro</v>
      </c>
      <c r="K593" s="7" t="str">
        <f t="shared" si="48"/>
        <v>Mismo día</v>
      </c>
      <c r="L593" s="13">
        <v>45800</v>
      </c>
      <c r="M593" s="22">
        <f t="shared" si="49"/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Row],[CORREO]],1),E594)</f>
        <v>0</v>
      </c>
      <c r="G594" s="13">
        <v>45807</v>
      </c>
      <c r="H594" s="7">
        <f t="shared" si="45"/>
        <v>21</v>
      </c>
      <c r="I594" s="7">
        <f t="shared" si="46"/>
        <v>5</v>
      </c>
      <c r="J594" s="7" t="str">
        <f t="shared" si="47"/>
        <v>Dentro</v>
      </c>
      <c r="K594" s="7" t="str">
        <f t="shared" si="48"/>
        <v>Programados</v>
      </c>
      <c r="L594" s="13">
        <v>45803</v>
      </c>
      <c r="M594" s="22">
        <f t="shared" si="49"/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Row],[CORREO]],1),E595)</f>
        <v>45803.334722222222</v>
      </c>
      <c r="G595" s="13">
        <v>45804</v>
      </c>
      <c r="H595" s="7">
        <f t="shared" si="45"/>
        <v>21</v>
      </c>
      <c r="I595" s="7">
        <f t="shared" si="46"/>
        <v>2</v>
      </c>
      <c r="J595" s="7" t="str">
        <f t="shared" si="47"/>
        <v>Dentro</v>
      </c>
      <c r="K595" s="7" t="str">
        <f t="shared" si="48"/>
        <v>A tiempo</v>
      </c>
      <c r="L595" s="13">
        <v>45803</v>
      </c>
      <c r="M595" s="22">
        <f t="shared" si="49"/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Row],[CORREO]],1),E596)</f>
        <v>45803.357638888891</v>
      </c>
      <c r="G596" s="11">
        <v>45904</v>
      </c>
      <c r="H596" s="7">
        <f t="shared" si="45"/>
        <v>30</v>
      </c>
      <c r="I596" s="7">
        <f t="shared" si="46"/>
        <v>30</v>
      </c>
      <c r="J596" s="7" t="str">
        <f t="shared" si="47"/>
        <v>Programado</v>
      </c>
      <c r="K596" s="7" t="str">
        <f t="shared" si="48"/>
        <v>Programados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Row],[CORREO]],1),E597)</f>
        <v>45803.368055555555</v>
      </c>
      <c r="G597" s="11">
        <v>45803</v>
      </c>
      <c r="H597" s="7">
        <f t="shared" si="45"/>
        <v>21</v>
      </c>
      <c r="I597" s="7">
        <f t="shared" si="46"/>
        <v>1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Row],[CORREO]],1),E598)</f>
        <v>45803.373611111114</v>
      </c>
      <c r="G598" s="13">
        <v>45804</v>
      </c>
      <c r="H598" s="7">
        <f t="shared" si="45"/>
        <v>21</v>
      </c>
      <c r="I598" s="7">
        <f t="shared" si="46"/>
        <v>2</v>
      </c>
      <c r="J598" s="7" t="str">
        <f t="shared" si="47"/>
        <v>Dentro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Row],[CORREO]],1),E599)</f>
        <v>45803.386805555558</v>
      </c>
      <c r="G599" s="11">
        <v>45848</v>
      </c>
      <c r="H599" s="7">
        <f t="shared" si="45"/>
        <v>21</v>
      </c>
      <c r="I599" s="7">
        <f t="shared" si="46"/>
        <v>34</v>
      </c>
      <c r="J599" s="7" t="str">
        <f t="shared" si="47"/>
        <v>Fuera</v>
      </c>
      <c r="K599" s="7" t="str">
        <f t="shared" si="48"/>
        <v>A tiempo</v>
      </c>
      <c r="L599" s="13">
        <v>45803</v>
      </c>
      <c r="M599" s="22">
        <f t="shared" si="49"/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Row],[CORREO]],1),E600)</f>
        <v>45805</v>
      </c>
      <c r="G600" s="13">
        <v>45804</v>
      </c>
      <c r="H600" s="7">
        <f t="shared" si="45"/>
        <v>21</v>
      </c>
      <c r="I600" s="7">
        <f t="shared" si="46"/>
        <v>1</v>
      </c>
      <c r="J600" s="7" t="str">
        <f t="shared" si="47"/>
        <v>Dentro</v>
      </c>
      <c r="K600" s="7" t="str">
        <f t="shared" si="48"/>
        <v>Mismo día</v>
      </c>
      <c r="L600" s="13">
        <v>45804</v>
      </c>
      <c r="M600" s="22">
        <f t="shared" si="49"/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Row],[CORREO]],1),E601)</f>
        <v>45835</v>
      </c>
      <c r="G601" s="11">
        <v>45813</v>
      </c>
      <c r="H601" s="7">
        <f t="shared" si="45"/>
        <v>21</v>
      </c>
      <c r="I601" s="7">
        <f t="shared" si="46"/>
        <v>8</v>
      </c>
      <c r="J601" s="7" t="str">
        <f t="shared" si="47"/>
        <v>Fuera</v>
      </c>
      <c r="K601" s="7" t="str">
        <f t="shared" si="48"/>
        <v>Mismo día</v>
      </c>
      <c r="L601" s="13">
        <v>45805</v>
      </c>
      <c r="M601" s="22">
        <f t="shared" si="49"/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Row],[CORREO]],1),E602)</f>
        <v>45805</v>
      </c>
      <c r="G602" s="13">
        <v>45804</v>
      </c>
      <c r="H602" s="7">
        <f t="shared" si="45"/>
        <v>21</v>
      </c>
      <c r="I602" s="7">
        <f t="shared" si="46"/>
        <v>1</v>
      </c>
      <c r="J602" s="7" t="str">
        <f t="shared" si="47"/>
        <v>Dentro</v>
      </c>
      <c r="K602" s="7" t="str">
        <f t="shared" si="48"/>
        <v>Mismo día</v>
      </c>
      <c r="L602" s="13">
        <v>45804</v>
      </c>
      <c r="M602" s="22">
        <f t="shared" si="49"/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Row],[CORREO]],1),E603)</f>
        <v>45805</v>
      </c>
      <c r="G603" s="13">
        <v>45805</v>
      </c>
      <c r="H603" s="7">
        <f t="shared" si="45"/>
        <v>22</v>
      </c>
      <c r="I603" s="7">
        <f t="shared" si="46"/>
        <v>1</v>
      </c>
      <c r="J603" s="7" t="str">
        <f t="shared" si="47"/>
        <v>Dentro</v>
      </c>
      <c r="K603" s="7" t="str">
        <f t="shared" si="48"/>
        <v>A tiempo</v>
      </c>
      <c r="L603" s="13">
        <v>45805</v>
      </c>
      <c r="M603" s="22">
        <f t="shared" si="49"/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Row],[CORREO]],1),E604)</f>
        <v>45805</v>
      </c>
      <c r="G604" s="11">
        <v>45814</v>
      </c>
      <c r="H604" s="7">
        <f t="shared" si="45"/>
        <v>22</v>
      </c>
      <c r="I604" s="7">
        <f t="shared" si="46"/>
        <v>8</v>
      </c>
      <c r="J604" s="7" t="str">
        <f t="shared" si="47"/>
        <v>Fuera</v>
      </c>
      <c r="K604" s="7" t="str">
        <f t="shared" si="48"/>
        <v>A tiempo</v>
      </c>
      <c r="L604" s="13">
        <v>45810</v>
      </c>
      <c r="M604" s="22">
        <f t="shared" si="49"/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Row],[CORREO]],1),E605)</f>
        <v>45805</v>
      </c>
      <c r="G605" s="13">
        <v>45806</v>
      </c>
      <c r="H605" s="7">
        <f t="shared" si="45"/>
        <v>22</v>
      </c>
      <c r="I605" s="7">
        <f t="shared" si="46"/>
        <v>2</v>
      </c>
      <c r="J605" s="7" t="str">
        <f t="shared" si="47"/>
        <v>Dentro</v>
      </c>
      <c r="K605" s="7" t="str">
        <f t="shared" si="48"/>
        <v>A tiempo</v>
      </c>
      <c r="L605" s="13">
        <v>45806</v>
      </c>
      <c r="M605" s="22">
        <f t="shared" si="49"/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Row],[CORREO]],1),E606)</f>
        <v>45805</v>
      </c>
      <c r="G606" s="13">
        <v>45805</v>
      </c>
      <c r="H606" s="7">
        <f t="shared" si="45"/>
        <v>22</v>
      </c>
      <c r="I606" s="7">
        <f t="shared" si="46"/>
        <v>1</v>
      </c>
      <c r="J606" s="7" t="str">
        <f t="shared" si="47"/>
        <v>Dentro</v>
      </c>
      <c r="K606" s="7" t="str">
        <f t="shared" si="48"/>
        <v>A tiempo</v>
      </c>
      <c r="L606" s="13">
        <v>45805</v>
      </c>
      <c r="M606" s="22">
        <f t="shared" si="49"/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Row],[CORREO]],1),E607)</f>
        <v>45806</v>
      </c>
      <c r="G607" s="11">
        <v>45814</v>
      </c>
      <c r="H607" s="7">
        <f t="shared" si="45"/>
        <v>22</v>
      </c>
      <c r="I607" s="7">
        <f t="shared" si="46"/>
        <v>7</v>
      </c>
      <c r="J607" s="7" t="str">
        <f t="shared" si="47"/>
        <v>Dentro</v>
      </c>
      <c r="K607" s="7" t="str">
        <f t="shared" si="48"/>
        <v>A tiempo</v>
      </c>
      <c r="L607" s="13">
        <v>45806</v>
      </c>
      <c r="M607" s="22">
        <f t="shared" si="49"/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Row],[CORREO]],1),E608)</f>
        <v>45806</v>
      </c>
      <c r="G608" s="11">
        <v>45855</v>
      </c>
      <c r="H608" s="7">
        <f t="shared" si="45"/>
        <v>22</v>
      </c>
      <c r="I608" s="7">
        <f t="shared" si="46"/>
        <v>36</v>
      </c>
      <c r="J608" s="7" t="str">
        <f t="shared" si="47"/>
        <v>Fuera</v>
      </c>
      <c r="K608" s="7" t="str">
        <f t="shared" si="48"/>
        <v>A tiempo</v>
      </c>
      <c r="L608" s="13">
        <v>45807</v>
      </c>
      <c r="M608" s="22">
        <f t="shared" si="49"/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Row],[CORREO]],1),E609)</f>
        <v>45806</v>
      </c>
      <c r="G609" s="11">
        <v>45831</v>
      </c>
      <c r="H609" s="7">
        <f t="shared" si="45"/>
        <v>22</v>
      </c>
      <c r="I609" s="7">
        <f t="shared" si="46"/>
        <v>18</v>
      </c>
      <c r="J609" s="7" t="str">
        <f t="shared" si="47"/>
        <v>Fuera</v>
      </c>
      <c r="K609" s="7" t="str">
        <f t="shared" si="48"/>
        <v>A tiempo</v>
      </c>
      <c r="L609" s="13">
        <v>45810</v>
      </c>
      <c r="M609" s="22">
        <f t="shared" si="49"/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Row],[CORREO]],1),E610)</f>
        <v>45806.293749999997</v>
      </c>
      <c r="G610" s="13">
        <v>45806</v>
      </c>
      <c r="H610" s="7">
        <f t="shared" si="45"/>
        <v>22</v>
      </c>
      <c r="I610" s="7">
        <f t="shared" si="46"/>
        <v>1</v>
      </c>
      <c r="J610" s="7" t="str">
        <f t="shared" si="47"/>
        <v>Dentro</v>
      </c>
      <c r="K610" s="7" t="str">
        <f t="shared" si="48"/>
        <v>A tiempo</v>
      </c>
      <c r="L610" s="13">
        <v>45806</v>
      </c>
      <c r="M610" s="22">
        <f t="shared" si="49"/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Row],[CORREO]],1),E611)</f>
        <v>45806.370138888888</v>
      </c>
      <c r="G611" s="11">
        <v>45818</v>
      </c>
      <c r="H611" s="7">
        <f t="shared" si="45"/>
        <v>22</v>
      </c>
      <c r="I611" s="7">
        <f t="shared" si="46"/>
        <v>9</v>
      </c>
      <c r="J611" s="7" t="str">
        <f t="shared" si="47"/>
        <v>Fuera</v>
      </c>
      <c r="K611" s="7" t="str">
        <f t="shared" si="48"/>
        <v>A tiempo</v>
      </c>
      <c r="L611" s="13">
        <v>45810</v>
      </c>
      <c r="M611" s="22">
        <f t="shared" si="49"/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Row],[CORREO]],1),E612)</f>
        <v>45806.45</v>
      </c>
      <c r="G612" s="13">
        <v>45806</v>
      </c>
      <c r="H612" s="7">
        <f t="shared" si="45"/>
        <v>22</v>
      </c>
      <c r="I612" s="7">
        <f t="shared" si="46"/>
        <v>1</v>
      </c>
      <c r="J612" s="7" t="str">
        <f t="shared" si="47"/>
        <v>Dentro</v>
      </c>
      <c r="K612" s="7" t="str">
        <f t="shared" si="48"/>
        <v>A tiempo</v>
      </c>
      <c r="L612" s="13">
        <v>45806</v>
      </c>
      <c r="M612" s="22">
        <f t="shared" si="49"/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Row],[CORREO]],1),E613)</f>
        <v>45807</v>
      </c>
      <c r="G613" s="13">
        <v>45807</v>
      </c>
      <c r="H613" s="7">
        <f t="shared" si="45"/>
        <v>22</v>
      </c>
      <c r="I613" s="7">
        <f t="shared" si="46"/>
        <v>2</v>
      </c>
      <c r="J613" s="7" t="str">
        <f t="shared" si="47"/>
        <v>ASAP</v>
      </c>
      <c r="K613" s="7" t="str">
        <f t="shared" si="48"/>
        <v>Mismo día</v>
      </c>
      <c r="L613" s="13">
        <v>45807</v>
      </c>
      <c r="M613" s="22">
        <f t="shared" si="49"/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Row],[CORREO]],1),E615)</f>
        <v>0</v>
      </c>
      <c r="G615" s="13">
        <v>45807</v>
      </c>
      <c r="H615" s="7">
        <f t="shared" si="45"/>
        <v>22</v>
      </c>
      <c r="I615" s="7">
        <f t="shared" si="46"/>
        <v>1</v>
      </c>
      <c r="J615" s="7" t="str">
        <f t="shared" si="47"/>
        <v>Dentro</v>
      </c>
      <c r="K615" s="7" t="str">
        <f t="shared" si="48"/>
        <v>Programados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Row],[CORREO]],1),E616)</f>
        <v>45807.367361111108</v>
      </c>
      <c r="G616" s="11">
        <v>45811</v>
      </c>
      <c r="H616" s="7">
        <f t="shared" si="45"/>
        <v>22</v>
      </c>
      <c r="I616" s="7">
        <f t="shared" si="46"/>
        <v>3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Row],[CORREO]],1),E617)</f>
        <v>45807.406944444447</v>
      </c>
      <c r="G617" s="13">
        <v>45807</v>
      </c>
      <c r="H617" s="7">
        <f t="shared" si="45"/>
        <v>22</v>
      </c>
      <c r="I617" s="7">
        <f t="shared" si="46"/>
        <v>1</v>
      </c>
      <c r="J617" s="7" t="str">
        <f t="shared" si="47"/>
        <v>Dentro</v>
      </c>
      <c r="K617" s="7" t="str">
        <f t="shared" si="48"/>
        <v>A tiempo</v>
      </c>
      <c r="L617" s="13">
        <v>45807</v>
      </c>
      <c r="M617" s="22">
        <f t="shared" si="49"/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Row],[CORREO]],1),E618)</f>
        <v>0</v>
      </c>
      <c r="G618" s="11">
        <v>45814</v>
      </c>
      <c r="H618" s="7">
        <f t="shared" si="45"/>
        <v>22</v>
      </c>
      <c r="I618" s="7">
        <f t="shared" si="46"/>
        <v>5</v>
      </c>
      <c r="J618" s="7" t="str">
        <f t="shared" si="47"/>
        <v>Dentro</v>
      </c>
      <c r="K618" s="7" t="str">
        <f t="shared" si="48"/>
        <v>Programados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Row],[CORREO]],1),E619)</f>
        <v>45810</v>
      </c>
      <c r="G619" s="11">
        <v>45812</v>
      </c>
      <c r="H619" s="7">
        <f t="shared" si="45"/>
        <v>22</v>
      </c>
      <c r="I619" s="7">
        <f t="shared" si="46"/>
        <v>3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Row],[CORREO]],1),E620)</f>
        <v>45810.299305555556</v>
      </c>
      <c r="G620" s="11">
        <v>45810</v>
      </c>
      <c r="H620" s="7">
        <f t="shared" si="45"/>
        <v>22</v>
      </c>
      <c r="I620" s="7">
        <f t="shared" si="46"/>
        <v>1</v>
      </c>
      <c r="J620" s="7" t="str">
        <f t="shared" si="47"/>
        <v>Dentro</v>
      </c>
      <c r="K620" s="7" t="str">
        <f t="shared" si="48"/>
        <v>A tiempo</v>
      </c>
      <c r="L620" s="13">
        <v>45810</v>
      </c>
      <c r="M620" s="22">
        <f t="shared" si="49"/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Row],[CORREO]],1),E621)</f>
        <v>0</v>
      </c>
      <c r="G621" s="11">
        <v>45943</v>
      </c>
      <c r="H621" s="7">
        <f t="shared" si="45"/>
        <v>22</v>
      </c>
      <c r="I621" s="7">
        <f t="shared" si="46"/>
        <v>96</v>
      </c>
      <c r="J621" s="7" t="str">
        <f t="shared" si="47"/>
        <v>Programado</v>
      </c>
      <c r="K621" s="7" t="str">
        <f t="shared" si="48"/>
        <v>Programados</v>
      </c>
      <c r="L621" s="13">
        <v>45811</v>
      </c>
      <c r="M621" s="22">
        <f t="shared" si="49"/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Row],[CORREO]],1),E622)</f>
        <v>45811</v>
      </c>
      <c r="G622" s="11">
        <v>45811</v>
      </c>
      <c r="H622" s="7">
        <f t="shared" si="45"/>
        <v>22</v>
      </c>
      <c r="I622" s="7">
        <f t="shared" si="46"/>
        <v>1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Row],[CORREO]],1),E623)</f>
        <v>45811</v>
      </c>
      <c r="G623" s="11">
        <v>45812</v>
      </c>
      <c r="H623" s="7">
        <f t="shared" si="45"/>
        <v>22</v>
      </c>
      <c r="I623" s="7">
        <f t="shared" si="46"/>
        <v>2</v>
      </c>
      <c r="J623" s="7" t="str">
        <f t="shared" si="47"/>
        <v>Dentro</v>
      </c>
      <c r="K623" s="7" t="str">
        <f t="shared" si="48"/>
        <v>A tiempo</v>
      </c>
      <c r="L623" s="13">
        <v>45811</v>
      </c>
      <c r="M623" s="22">
        <f t="shared" si="49"/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Row],[CORREO]],1),E624)</f>
        <v>45811.337500000001</v>
      </c>
      <c r="G624" s="11">
        <v>45820</v>
      </c>
      <c r="H624" s="7">
        <f t="shared" si="45"/>
        <v>22</v>
      </c>
      <c r="I624" s="7">
        <f t="shared" si="46"/>
        <v>8</v>
      </c>
      <c r="J624" s="7" t="str">
        <f t="shared" si="47"/>
        <v>Fuera</v>
      </c>
      <c r="K624" s="7" t="str">
        <f t="shared" si="48"/>
        <v>A tiempo</v>
      </c>
      <c r="L624" s="13">
        <v>45812</v>
      </c>
      <c r="M624" s="22">
        <f t="shared" si="49"/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Row],[CORREO]],1),E625)</f>
        <v>0</v>
      </c>
      <c r="G625" s="11">
        <v>45838</v>
      </c>
      <c r="H625" s="7">
        <f t="shared" si="45"/>
        <v>22</v>
      </c>
      <c r="I625" s="7">
        <f t="shared" si="46"/>
        <v>20</v>
      </c>
      <c r="J625" s="7" t="str">
        <f t="shared" si="47"/>
        <v>Programado</v>
      </c>
      <c r="K625" s="7" t="str">
        <f t="shared" si="48"/>
        <v>Programados</v>
      </c>
      <c r="L625" s="13">
        <v>45811</v>
      </c>
      <c r="M625" s="22">
        <f t="shared" si="49"/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Row],[CORREO]],1),E626)</f>
        <v>45812</v>
      </c>
      <c r="G626" s="11">
        <v>45811</v>
      </c>
      <c r="H626" s="7">
        <f t="shared" si="45"/>
        <v>22</v>
      </c>
      <c r="I626" s="7">
        <f t="shared" si="46"/>
        <v>1</v>
      </c>
      <c r="J626" s="7" t="str">
        <f t="shared" si="47"/>
        <v>Dentro</v>
      </c>
      <c r="K626" s="7" t="str">
        <f t="shared" si="48"/>
        <v>Mismo día</v>
      </c>
      <c r="L626" s="13">
        <v>45811</v>
      </c>
      <c r="M626" s="22">
        <f t="shared" si="49"/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Row],[CORREO]],1),E627)</f>
        <v>45812</v>
      </c>
      <c r="G627" s="11">
        <v>45908</v>
      </c>
      <c r="H627" s="7">
        <f t="shared" si="45"/>
        <v>32</v>
      </c>
      <c r="I627" s="7">
        <f t="shared" si="46"/>
        <v>21</v>
      </c>
      <c r="J627" s="7" t="str">
        <f t="shared" si="47"/>
        <v>Programado</v>
      </c>
      <c r="K627" s="7" t="str">
        <f t="shared" si="48"/>
        <v>Programados</v>
      </c>
      <c r="L627" s="13">
        <v>45827</v>
      </c>
      <c r="M627" s="22">
        <f t="shared" si="49"/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Row],[CORREO]],1),E628)</f>
        <v>45812</v>
      </c>
      <c r="G628" s="11">
        <v>45814</v>
      </c>
      <c r="H628" s="7">
        <f t="shared" si="45"/>
        <v>23</v>
      </c>
      <c r="I628" s="7">
        <f t="shared" si="46"/>
        <v>3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Row],[CORREO]],1),E629)</f>
        <v>45812.320833333331</v>
      </c>
      <c r="G629" s="11">
        <v>45813</v>
      </c>
      <c r="H629" s="7">
        <f t="shared" si="45"/>
        <v>23</v>
      </c>
      <c r="I629" s="7">
        <f t="shared" si="46"/>
        <v>2</v>
      </c>
      <c r="J629" s="7" t="str">
        <f t="shared" si="47"/>
        <v>Dentro</v>
      </c>
      <c r="K629" s="7" t="str">
        <f t="shared" si="48"/>
        <v>A tiempo</v>
      </c>
      <c r="L629" s="13">
        <v>45813</v>
      </c>
      <c r="M629" s="22">
        <f t="shared" si="49"/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Row],[CORREO]],1),E630)</f>
        <v>45812.38958333333</v>
      </c>
      <c r="G630" s="11">
        <v>45838</v>
      </c>
      <c r="H630" s="7">
        <f t="shared" si="45"/>
        <v>23</v>
      </c>
      <c r="I630" s="7">
        <f t="shared" si="46"/>
        <v>19</v>
      </c>
      <c r="J630" s="7" t="str">
        <f t="shared" si="47"/>
        <v>Fuera</v>
      </c>
      <c r="K630" s="7" t="str">
        <f t="shared" si="48"/>
        <v>A tiempo</v>
      </c>
      <c r="L630" s="13">
        <v>45812</v>
      </c>
      <c r="M630" s="22">
        <f t="shared" si="49"/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Row],[CORREO]],1),E631)</f>
        <v>45812.330555555556</v>
      </c>
      <c r="G631" s="11">
        <v>45819</v>
      </c>
      <c r="H631" s="7">
        <f t="shared" si="45"/>
        <v>23</v>
      </c>
      <c r="I631" s="7">
        <f t="shared" si="46"/>
        <v>6</v>
      </c>
      <c r="J631" s="7" t="str">
        <f t="shared" si="47"/>
        <v>Dentro</v>
      </c>
      <c r="K631" s="7" t="str">
        <f t="shared" si="48"/>
        <v>A tiempo</v>
      </c>
      <c r="L631" s="13">
        <v>45814</v>
      </c>
      <c r="M631" s="22">
        <f t="shared" si="49"/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Row],[CORREO]],1),E632)</f>
        <v>0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Programados</v>
      </c>
      <c r="L632" s="13">
        <v>45812</v>
      </c>
      <c r="M632" s="22">
        <f t="shared" si="49"/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Row],[CORREO]],1),E633)</f>
        <v>45813</v>
      </c>
      <c r="G633" s="11">
        <v>45813</v>
      </c>
      <c r="H633" s="7">
        <f t="shared" si="45"/>
        <v>23</v>
      </c>
      <c r="I633" s="7">
        <f t="shared" si="46"/>
        <v>2</v>
      </c>
      <c r="J633" s="7" t="str">
        <f t="shared" si="47"/>
        <v>Dentro</v>
      </c>
      <c r="K633" s="7" t="str">
        <f t="shared" si="48"/>
        <v>Mismo día</v>
      </c>
      <c r="L633" s="13">
        <v>45812</v>
      </c>
      <c r="M633" s="22">
        <f t="shared" si="49"/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Row],[CORREO]],1),E634)</f>
        <v>45813</v>
      </c>
      <c r="G634" s="11">
        <v>45825</v>
      </c>
      <c r="H634" s="7">
        <f t="shared" si="45"/>
        <v>23</v>
      </c>
      <c r="I634" s="7">
        <f t="shared" si="46"/>
        <v>9</v>
      </c>
      <c r="J634" s="7" t="str">
        <f t="shared" si="47"/>
        <v>Fuera</v>
      </c>
      <c r="K634" s="7" t="str">
        <f t="shared" si="48"/>
        <v>A tiempo</v>
      </c>
      <c r="L634" s="13">
        <v>45817</v>
      </c>
      <c r="M634" s="22">
        <f t="shared" si="49"/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Row],[CORREO]],1),E635)</f>
        <v>45813</v>
      </c>
      <c r="G635" s="11">
        <v>45867</v>
      </c>
      <c r="H635" s="7">
        <f t="shared" si="45"/>
        <v>27</v>
      </c>
      <c r="I635" s="7">
        <f t="shared" si="46"/>
        <v>17</v>
      </c>
      <c r="J635" s="7" t="str">
        <f t="shared" si="47"/>
        <v>Programado</v>
      </c>
      <c r="K635" s="7" t="str">
        <f t="shared" si="48"/>
        <v>Programados</v>
      </c>
      <c r="L635" s="13">
        <v>45813</v>
      </c>
      <c r="M635" s="22">
        <f t="shared" si="49"/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Row],[CORREO]],1),E636)</f>
        <v>45813</v>
      </c>
      <c r="G636" s="11">
        <v>45817</v>
      </c>
      <c r="H636" s="7">
        <f t="shared" si="45"/>
        <v>23</v>
      </c>
      <c r="I636" s="7">
        <f t="shared" si="46"/>
        <v>3</v>
      </c>
      <c r="J636" s="7" t="str">
        <f t="shared" si="47"/>
        <v>Dentro</v>
      </c>
      <c r="K636" s="7" t="str">
        <f t="shared" si="48"/>
        <v>A tiempo</v>
      </c>
      <c r="L636" s="13">
        <v>45814</v>
      </c>
      <c r="M636" s="22">
        <f t="shared" si="49"/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Row],[CORREO]],1),E637)</f>
        <v>45813.072916666664</v>
      </c>
      <c r="G637" s="11">
        <v>45831</v>
      </c>
      <c r="H637" s="7">
        <f t="shared" si="45"/>
        <v>23</v>
      </c>
      <c r="I637" s="7">
        <f t="shared" si="46"/>
        <v>13</v>
      </c>
      <c r="J637" s="7" t="str">
        <f t="shared" si="47"/>
        <v>Fuera</v>
      </c>
      <c r="K637" s="7" t="str">
        <f t="shared" si="48"/>
        <v>A tiempo</v>
      </c>
      <c r="L637" s="13">
        <v>45831</v>
      </c>
      <c r="M637" s="22">
        <f t="shared" si="49"/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Row],[CORREO]],1),E643)</f>
        <v>0</v>
      </c>
      <c r="G643" s="11">
        <v>45826</v>
      </c>
      <c r="H643" s="7">
        <f t="shared" si="50"/>
        <v>23</v>
      </c>
      <c r="I643" s="7">
        <f t="shared" si="51"/>
        <v>10</v>
      </c>
      <c r="J643" s="7" t="str">
        <f t="shared" si="52"/>
        <v>Programado</v>
      </c>
      <c r="K643" s="7" t="str">
        <f t="shared" si="53"/>
        <v>Programados</v>
      </c>
      <c r="L643" s="13">
        <v>45813</v>
      </c>
      <c r="M643" s="22">
        <f t="shared" si="54"/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Row],[CORREO]],1),E644)</f>
        <v>45813.428472222222</v>
      </c>
      <c r="G644" s="11">
        <v>45814</v>
      </c>
      <c r="H644" s="7">
        <f t="shared" si="50"/>
        <v>23</v>
      </c>
      <c r="I644" s="7">
        <f t="shared" si="51"/>
        <v>2</v>
      </c>
      <c r="J644" s="7" t="str">
        <f t="shared" si="52"/>
        <v>Dentro</v>
      </c>
      <c r="K644" s="7" t="str">
        <f t="shared" si="53"/>
        <v>A tiempo</v>
      </c>
      <c r="L644" s="13">
        <v>45813</v>
      </c>
      <c r="M644" s="22">
        <f t="shared" si="54"/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Row],[CORREO]],1),E645)</f>
        <v>45814</v>
      </c>
      <c r="G645" s="11">
        <v>45826</v>
      </c>
      <c r="H645" s="7">
        <f t="shared" si="50"/>
        <v>23</v>
      </c>
      <c r="I645" s="7">
        <f t="shared" si="51"/>
        <v>9</v>
      </c>
      <c r="J645" s="7" t="str">
        <f t="shared" si="52"/>
        <v>Fuera</v>
      </c>
      <c r="K645" s="7" t="str">
        <f t="shared" si="53"/>
        <v>A tiempo</v>
      </c>
      <c r="L645" s="13">
        <v>45817</v>
      </c>
      <c r="M645" s="22">
        <f t="shared" si="54"/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Row],[CORREO]],1),E646)</f>
        <v>45814.383333333331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A tiempo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Row],[CORREO]],1),E647)</f>
        <v>45817</v>
      </c>
      <c r="G647" s="11">
        <v>45814</v>
      </c>
      <c r="H647" s="7">
        <f t="shared" si="50"/>
        <v>23</v>
      </c>
      <c r="I647" s="7">
        <f t="shared" si="51"/>
        <v>1</v>
      </c>
      <c r="J647" s="7" t="str">
        <f t="shared" si="52"/>
        <v>Dentro</v>
      </c>
      <c r="K647" s="7" t="str">
        <f t="shared" si="53"/>
        <v>Mismo día</v>
      </c>
      <c r="L647" s="13">
        <v>45814</v>
      </c>
      <c r="M647" s="22">
        <f t="shared" si="54"/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9</v>
      </c>
      <c r="J648" s="7" t="str">
        <f t="shared" si="52"/>
        <v>Programado</v>
      </c>
      <c r="K648" s="7" t="str">
        <f t="shared" si="53"/>
        <v>Programados</v>
      </c>
      <c r="L648" s="13">
        <v>45814</v>
      </c>
      <c r="M648" s="22">
        <f t="shared" si="54"/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Row],[CORREO]],1),E649)</f>
        <v>0</v>
      </c>
      <c r="G649" s="11">
        <v>45826</v>
      </c>
      <c r="H649" s="7">
        <f t="shared" si="50"/>
        <v>23</v>
      </c>
      <c r="I649" s="7">
        <f t="shared" si="51"/>
        <v>8</v>
      </c>
      <c r="J649" s="7" t="str">
        <f t="shared" si="52"/>
        <v>ASAP</v>
      </c>
      <c r="K649" s="7" t="str">
        <f t="shared" si="53"/>
        <v>Programados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Row],[CORREO]],1),E650)</f>
        <v>45817</v>
      </c>
      <c r="G650" s="11">
        <v>45820</v>
      </c>
      <c r="H650" s="7">
        <f t="shared" si="50"/>
        <v>23</v>
      </c>
      <c r="I650" s="7">
        <f t="shared" si="51"/>
        <v>4</v>
      </c>
      <c r="J650" s="7" t="str">
        <f t="shared" si="52"/>
        <v>Dentro</v>
      </c>
      <c r="K650" s="7" t="str">
        <f t="shared" si="53"/>
        <v>A tiempo</v>
      </c>
      <c r="L650" s="13">
        <v>45817</v>
      </c>
      <c r="M650" s="22">
        <f t="shared" si="54"/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Row],[CORREO]],1),E651)</f>
        <v>45817.401388888888</v>
      </c>
      <c r="G651" s="11">
        <v>45819</v>
      </c>
      <c r="H651" s="7">
        <f t="shared" si="50"/>
        <v>23</v>
      </c>
      <c r="I651" s="7">
        <f t="shared" si="51"/>
        <v>3</v>
      </c>
      <c r="J651" s="7" t="str">
        <f t="shared" si="52"/>
        <v>Dentro</v>
      </c>
      <c r="K651" s="7" t="str">
        <f t="shared" si="53"/>
        <v>A tiempo</v>
      </c>
      <c r="L651" s="13">
        <v>45819</v>
      </c>
      <c r="M651" s="22">
        <f t="shared" si="54"/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Row],[CORREO]],1),E652)</f>
        <v>45817.402083333334</v>
      </c>
      <c r="G652" s="11">
        <v>45860</v>
      </c>
      <c r="H652" s="7">
        <f t="shared" si="50"/>
        <v>25</v>
      </c>
      <c r="I652" s="7">
        <f t="shared" si="51"/>
        <v>23</v>
      </c>
      <c r="J652" s="7" t="str">
        <f t="shared" si="52"/>
        <v>Programado</v>
      </c>
      <c r="K652" s="7" t="str">
        <f t="shared" si="53"/>
        <v>Programados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Row],[CORREO]],1),E653)</f>
        <v>45817.415277777778</v>
      </c>
      <c r="G653" s="11">
        <v>45818</v>
      </c>
      <c r="H653" s="7">
        <f t="shared" si="50"/>
        <v>23</v>
      </c>
      <c r="I653" s="7">
        <f t="shared" si="51"/>
        <v>2</v>
      </c>
      <c r="J653" s="7" t="str">
        <f t="shared" si="52"/>
        <v>Dentro</v>
      </c>
      <c r="K653" s="7" t="str">
        <f t="shared" si="53"/>
        <v>A tiempo</v>
      </c>
      <c r="L653" s="13">
        <v>45817</v>
      </c>
      <c r="M653" s="22">
        <f t="shared" si="54"/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Row],[CORREO]],1),E654)</f>
        <v>45818</v>
      </c>
      <c r="G654" s="11">
        <v>45820</v>
      </c>
      <c r="H654" s="7">
        <f t="shared" si="50"/>
        <v>23</v>
      </c>
      <c r="I654" s="7">
        <f t="shared" si="51"/>
        <v>4</v>
      </c>
      <c r="J654" s="7" t="str">
        <f t="shared" si="52"/>
        <v>Dentro</v>
      </c>
      <c r="K654" s="7" t="str">
        <f t="shared" si="53"/>
        <v>Mismo día</v>
      </c>
      <c r="L654" s="13">
        <v>45818</v>
      </c>
      <c r="M654" s="22">
        <f t="shared" si="54"/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Row],[CORREO]],1),E655)</f>
        <v>0</v>
      </c>
      <c r="G655" s="11">
        <v>45821</v>
      </c>
      <c r="H655" s="7">
        <f t="shared" si="50"/>
        <v>23</v>
      </c>
      <c r="I655" s="7">
        <f t="shared" si="51"/>
        <v>5</v>
      </c>
      <c r="J655" s="7" t="str">
        <f t="shared" si="52"/>
        <v>Dentro</v>
      </c>
      <c r="K655" s="7" t="str">
        <f t="shared" si="53"/>
        <v>Programados</v>
      </c>
      <c r="L655" s="13">
        <v>45817</v>
      </c>
      <c r="M655" s="22">
        <f t="shared" si="54"/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Row],[CORREO]],1),E656)</f>
        <v>0</v>
      </c>
      <c r="G656" s="11">
        <v>45846</v>
      </c>
      <c r="H656" s="7">
        <f t="shared" si="50"/>
        <v>23</v>
      </c>
      <c r="I656" s="7">
        <f t="shared" si="51"/>
        <v>21</v>
      </c>
      <c r="J656" s="7" t="str">
        <f t="shared" si="52"/>
        <v>Programado</v>
      </c>
      <c r="K656" s="7" t="str">
        <f t="shared" si="53"/>
        <v>Programados</v>
      </c>
      <c r="L656" s="13">
        <v>45818</v>
      </c>
      <c r="M656" s="22">
        <f t="shared" si="54"/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Row],[CORREO]],1),E657)</f>
        <v>45818</v>
      </c>
      <c r="G657" s="11">
        <v>45828</v>
      </c>
      <c r="H657" s="7">
        <f t="shared" si="50"/>
        <v>23</v>
      </c>
      <c r="I657" s="7">
        <f t="shared" si="51"/>
        <v>9</v>
      </c>
      <c r="J657" s="7" t="str">
        <f t="shared" si="52"/>
        <v>Fuera</v>
      </c>
      <c r="K657" s="7" t="str">
        <f t="shared" si="53"/>
        <v>A tiempo</v>
      </c>
      <c r="L657" s="13">
        <v>45826</v>
      </c>
      <c r="M657" s="22">
        <f t="shared" si="54"/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Row],[CORREO]],1),E658)</f>
        <v>45818</v>
      </c>
      <c r="G658" s="11">
        <v>45840</v>
      </c>
      <c r="H658" s="7">
        <f t="shared" si="50"/>
        <v>23</v>
      </c>
      <c r="I658" s="7">
        <f t="shared" si="51"/>
        <v>17</v>
      </c>
      <c r="J658" s="7" t="str">
        <f t="shared" si="52"/>
        <v>Fuera</v>
      </c>
      <c r="K658" s="7" t="str">
        <f t="shared" si="53"/>
        <v>A tiempo</v>
      </c>
      <c r="L658" s="13">
        <v>45818</v>
      </c>
      <c r="M658" s="22">
        <f t="shared" si="54"/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Row],[CORREO]],1),E659)</f>
        <v>45819</v>
      </c>
      <c r="G659" s="11">
        <v>45819</v>
      </c>
      <c r="H659" s="7">
        <f t="shared" si="50"/>
        <v>24</v>
      </c>
      <c r="I659" s="7">
        <f t="shared" si="51"/>
        <v>1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Row],[CORREO]],1),E660)</f>
        <v>45819</v>
      </c>
      <c r="G660" s="11">
        <v>45821</v>
      </c>
      <c r="H660" s="7">
        <f t="shared" si="50"/>
        <v>24</v>
      </c>
      <c r="I660" s="7">
        <f t="shared" si="51"/>
        <v>3</v>
      </c>
      <c r="J660" s="7" t="str">
        <f t="shared" si="52"/>
        <v>Dentro</v>
      </c>
      <c r="K660" s="7" t="str">
        <f t="shared" si="53"/>
        <v>A tiempo</v>
      </c>
      <c r="L660" s="13">
        <v>45819</v>
      </c>
      <c r="M660" s="22">
        <f t="shared" si="54"/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Row],[CORREO]],1),E661)</f>
        <v>0</v>
      </c>
      <c r="G661" s="11">
        <v>45820</v>
      </c>
      <c r="H661" s="7">
        <f t="shared" si="50"/>
        <v>24</v>
      </c>
      <c r="I661" s="7">
        <f t="shared" si="51"/>
        <v>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Row],[CORREO]],1),E662)</f>
        <v>0</v>
      </c>
      <c r="G662" s="11">
        <v>45835</v>
      </c>
      <c r="H662" s="7">
        <f t="shared" si="50"/>
        <v>24</v>
      </c>
      <c r="I662" s="7">
        <f t="shared" si="51"/>
        <v>12</v>
      </c>
      <c r="J662" s="7" t="str">
        <f t="shared" si="52"/>
        <v>ASAP</v>
      </c>
      <c r="K662" s="7" t="str">
        <f t="shared" si="53"/>
        <v>Programados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Row],[CORREO]],1),E663)</f>
        <v>45820</v>
      </c>
      <c r="G663" s="11">
        <v>45853</v>
      </c>
      <c r="H663" s="7">
        <f t="shared" si="50"/>
        <v>24</v>
      </c>
      <c r="I663" s="7">
        <f t="shared" si="51"/>
        <v>24</v>
      </c>
      <c r="J663" s="7" t="str">
        <f t="shared" si="52"/>
        <v>Fuera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Row],[CORREO]],1),E664)</f>
        <v>45820</v>
      </c>
      <c r="G664" s="11">
        <v>45827</v>
      </c>
      <c r="H664" s="7">
        <f t="shared" si="50"/>
        <v>24</v>
      </c>
      <c r="I664" s="7">
        <f t="shared" si="51"/>
        <v>6</v>
      </c>
      <c r="J664" s="7" t="str">
        <f t="shared" si="52"/>
        <v>Dentro</v>
      </c>
      <c r="K664" s="7" t="str">
        <f t="shared" si="53"/>
        <v>A tiempo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Row],[CORREO]],1),E665)</f>
        <v>0</v>
      </c>
      <c r="G665" s="11">
        <v>45833</v>
      </c>
      <c r="H665" s="7">
        <f t="shared" si="50"/>
        <v>24</v>
      </c>
      <c r="I665" s="7">
        <f t="shared" si="51"/>
        <v>10</v>
      </c>
      <c r="J665" s="7" t="str">
        <f t="shared" si="52"/>
        <v>Programado</v>
      </c>
      <c r="K665" s="7" t="str">
        <f t="shared" si="53"/>
        <v>Programados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Row],[CORREO]],1),E666)</f>
        <v>45820.362500000003</v>
      </c>
      <c r="G666" s="11">
        <v>45828</v>
      </c>
      <c r="H666" s="7">
        <f t="shared" si="50"/>
        <v>24</v>
      </c>
      <c r="I666" s="7">
        <f t="shared" si="51"/>
        <v>7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Row],[CORREO]],1),E667)</f>
        <v>45820.384722222225</v>
      </c>
      <c r="G667" s="11">
        <v>45827</v>
      </c>
      <c r="H667" s="7">
        <f t="shared" si="50"/>
        <v>24</v>
      </c>
      <c r="I667" s="7">
        <f t="shared" si="51"/>
        <v>6</v>
      </c>
      <c r="J667" s="7" t="str">
        <f t="shared" si="52"/>
        <v>Dentro</v>
      </c>
      <c r="K667" s="7" t="str">
        <f t="shared" si="53"/>
        <v>A tiempo</v>
      </c>
      <c r="L667" s="13">
        <v>45820</v>
      </c>
      <c r="M667" s="22">
        <f t="shared" si="54"/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Row],[CORREO]],1),E668)</f>
        <v>45820.397916666669</v>
      </c>
      <c r="G668" s="11">
        <v>45838</v>
      </c>
      <c r="H668" s="7">
        <f t="shared" si="50"/>
        <v>24</v>
      </c>
      <c r="I668" s="7">
        <f t="shared" si="51"/>
        <v>13</v>
      </c>
      <c r="J668" s="7" t="str">
        <f t="shared" si="52"/>
        <v>Fuera</v>
      </c>
      <c r="K668" s="7" t="str">
        <f t="shared" si="53"/>
        <v>A tiempo</v>
      </c>
      <c r="L668" s="13">
        <v>45821</v>
      </c>
      <c r="M668" s="22">
        <f t="shared" si="54"/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Row],[CORREO]],1),E669)</f>
        <v>45820.40347222222</v>
      </c>
      <c r="G669" s="11">
        <v>45840</v>
      </c>
      <c r="H669" s="7">
        <f t="shared" si="50"/>
        <v>24</v>
      </c>
      <c r="I669" s="7">
        <f t="shared" si="51"/>
        <v>15</v>
      </c>
      <c r="J669" s="7" t="str">
        <f t="shared" si="52"/>
        <v>Fuera</v>
      </c>
      <c r="K669" s="7" t="str">
        <f t="shared" si="53"/>
        <v>A tiempo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Row],[CORREO]],1),E671)</f>
        <v>45821</v>
      </c>
      <c r="G671" s="11">
        <v>45820</v>
      </c>
      <c r="H671" s="7">
        <f t="shared" si="50"/>
        <v>24</v>
      </c>
      <c r="I671" s="7">
        <f t="shared" si="51"/>
        <v>1</v>
      </c>
      <c r="J671" s="7" t="str">
        <f t="shared" si="52"/>
        <v>Dentro</v>
      </c>
      <c r="K671" s="7" t="str">
        <f t="shared" si="53"/>
        <v>Mismo día</v>
      </c>
      <c r="L671" s="13">
        <v>45820</v>
      </c>
      <c r="M671" s="22">
        <f t="shared" si="54"/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Row],[CORREO]],1),E672)</f>
        <v>45821</v>
      </c>
      <c r="G672" s="11">
        <v>45826</v>
      </c>
      <c r="H672" s="7">
        <f t="shared" si="50"/>
        <v>24</v>
      </c>
      <c r="I672" s="7">
        <f t="shared" si="51"/>
        <v>4</v>
      </c>
      <c r="J672" s="7" t="str">
        <f t="shared" si="52"/>
        <v>Dentro</v>
      </c>
      <c r="K672" s="7" t="str">
        <f t="shared" si="53"/>
        <v>A tiempo</v>
      </c>
      <c r="L672" s="13">
        <v>45826</v>
      </c>
      <c r="M672" s="22">
        <f t="shared" si="54"/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Row],[CORREO]],1),E673)</f>
        <v>45821</v>
      </c>
      <c r="G673" s="11">
        <v>45821</v>
      </c>
      <c r="H673" s="7">
        <f t="shared" si="50"/>
        <v>24</v>
      </c>
      <c r="I673" s="7">
        <f t="shared" si="51"/>
        <v>1</v>
      </c>
      <c r="J673" s="7" t="str">
        <f t="shared" si="52"/>
        <v>Dentro</v>
      </c>
      <c r="K673" s="7" t="str">
        <f t="shared" si="53"/>
        <v>A tiempo</v>
      </c>
      <c r="L673" s="13">
        <v>45821</v>
      </c>
      <c r="M673" s="22">
        <f t="shared" si="54"/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45822</v>
      </c>
      <c r="M674" s="22">
        <f t="shared" si="54"/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Row],[CORREO]],1),E675)</f>
        <v>0</v>
      </c>
      <c r="G675" s="11">
        <v>45825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45823</v>
      </c>
      <c r="M675" s="22">
        <f t="shared" si="54"/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Row],[CORREO]],1),E676)</f>
        <v>0</v>
      </c>
      <c r="G676" s="11">
        <v>45826</v>
      </c>
      <c r="H676" s="7">
        <f t="shared" si="50"/>
        <v>24</v>
      </c>
      <c r="I676" s="7">
        <f t="shared" si="51"/>
        <v>3</v>
      </c>
      <c r="J676" s="7" t="str">
        <f t="shared" si="52"/>
        <v>Dentro</v>
      </c>
      <c r="K676" s="7" t="str">
        <f t="shared" si="53"/>
        <v>Programados</v>
      </c>
      <c r="L676" s="13">
        <v>45826</v>
      </c>
      <c r="M676" s="22">
        <f t="shared" si="54"/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Row],[CORREO]],1),E677)</f>
        <v>0</v>
      </c>
      <c r="G677" s="11">
        <v>45828</v>
      </c>
      <c r="H677" s="7">
        <f t="shared" si="50"/>
        <v>24</v>
      </c>
      <c r="I677" s="7">
        <f t="shared" si="51"/>
        <v>4</v>
      </c>
      <c r="J677" s="7" t="str">
        <f t="shared" si="52"/>
        <v>Dentro</v>
      </c>
      <c r="K677" s="7" t="str">
        <f t="shared" si="53"/>
        <v>Programados</v>
      </c>
      <c r="L677" s="13">
        <v>45831</v>
      </c>
      <c r="M677" s="22">
        <f t="shared" si="54"/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Row],[CORREO]],1),E678)</f>
        <v>0</v>
      </c>
      <c r="G678" s="11">
        <v>45856</v>
      </c>
      <c r="H678" s="7">
        <f t="shared" si="50"/>
        <v>24</v>
      </c>
      <c r="I678" s="7">
        <f t="shared" si="51"/>
        <v>24</v>
      </c>
      <c r="J678" s="7" t="str">
        <f t="shared" si="52"/>
        <v>Programado</v>
      </c>
      <c r="K678" s="7" t="str">
        <f t="shared" si="53"/>
        <v>Programados</v>
      </c>
      <c r="L678" s="13">
        <v>45825</v>
      </c>
      <c r="M678" s="22">
        <f t="shared" si="54"/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Row],[CORREO]],1),E679)</f>
        <v>45824</v>
      </c>
      <c r="G679" s="11">
        <v>45827</v>
      </c>
      <c r="H679" s="7">
        <f t="shared" si="50"/>
        <v>24</v>
      </c>
      <c r="I679" s="7">
        <f t="shared" si="51"/>
        <v>3</v>
      </c>
      <c r="J679" s="7" t="str">
        <f t="shared" si="52"/>
        <v>Dentro</v>
      </c>
      <c r="K679" s="7" t="str">
        <f t="shared" si="53"/>
        <v>Programados</v>
      </c>
      <c r="L679" s="13">
        <v>45827</v>
      </c>
      <c r="M679" s="22">
        <f t="shared" si="54"/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Row],[CORREO]],1),E680)</f>
        <v>45824</v>
      </c>
      <c r="G680" s="11">
        <v>45838</v>
      </c>
      <c r="H680" s="7">
        <f t="shared" si="50"/>
        <v>24</v>
      </c>
      <c r="I680" s="7">
        <f t="shared" si="51"/>
        <v>10</v>
      </c>
      <c r="J680" s="7" t="str">
        <f t="shared" si="52"/>
        <v>Programado</v>
      </c>
      <c r="K680" s="7" t="str">
        <f t="shared" si="53"/>
        <v>Programados</v>
      </c>
      <c r="L680" s="13">
        <v>45828</v>
      </c>
      <c r="M680" s="22">
        <f t="shared" si="54"/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Row],[CORREO]],1),E681)</f>
        <v>45824.414583333331</v>
      </c>
      <c r="G681" s="11">
        <v>45825</v>
      </c>
      <c r="H681" s="7">
        <f t="shared" si="50"/>
        <v>24</v>
      </c>
      <c r="I681" s="7">
        <f t="shared" si="51"/>
        <v>1</v>
      </c>
      <c r="J681" s="7" t="str">
        <f t="shared" si="52"/>
        <v>Dentro</v>
      </c>
      <c r="K681" s="7" t="str">
        <f t="shared" si="53"/>
        <v>Programados</v>
      </c>
      <c r="L681" s="13">
        <v>45825</v>
      </c>
      <c r="M681" s="22">
        <f t="shared" si="54"/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Row],[CORREO]],1),E682)</f>
        <v>45825</v>
      </c>
      <c r="G682" s="11">
        <v>45831</v>
      </c>
      <c r="H682" s="7">
        <f t="shared" si="50"/>
        <v>24</v>
      </c>
      <c r="I682" s="7">
        <f t="shared" si="51"/>
        <v>5</v>
      </c>
      <c r="J682" s="7" t="str">
        <f t="shared" si="52"/>
        <v>Dentro</v>
      </c>
      <c r="K682" s="7" t="str">
        <f t="shared" si="53"/>
        <v>A tiempo</v>
      </c>
      <c r="L682" s="13">
        <v>45827</v>
      </c>
      <c r="M682" s="22">
        <f t="shared" si="54"/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Row],[CORREO]],1),E683)</f>
        <v>45825.445833333331</v>
      </c>
      <c r="G683" s="11">
        <v>45826</v>
      </c>
      <c r="H683" s="7">
        <f t="shared" si="50"/>
        <v>24</v>
      </c>
      <c r="I683" s="7">
        <f t="shared" si="51"/>
        <v>2</v>
      </c>
      <c r="J683" s="7" t="str">
        <f t="shared" si="52"/>
        <v>Dentro</v>
      </c>
      <c r="K683" s="7" t="str">
        <f t="shared" si="53"/>
        <v>A tiempo</v>
      </c>
      <c r="L683" s="13">
        <v>45825</v>
      </c>
      <c r="M683" s="22">
        <f t="shared" si="54"/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Row],[CORREO]],1),E684)</f>
        <v>45826</v>
      </c>
      <c r="G684" s="11">
        <v>45827</v>
      </c>
      <c r="H684" s="7">
        <f t="shared" si="50"/>
        <v>24</v>
      </c>
      <c r="I684" s="7">
        <f t="shared" si="51"/>
        <v>3</v>
      </c>
      <c r="J684" s="7" t="str">
        <f t="shared" si="52"/>
        <v>Dentro</v>
      </c>
      <c r="K684" s="7" t="str">
        <f t="shared" si="53"/>
        <v>Mismo día</v>
      </c>
      <c r="L684" s="13">
        <v>45827</v>
      </c>
      <c r="M684" s="22">
        <f t="shared" si="54"/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Row],[CORREO]],1),E686)</f>
        <v>45826</v>
      </c>
      <c r="G686" s="11">
        <v>45826</v>
      </c>
      <c r="H686" s="7">
        <f t="shared" si="50"/>
        <v>25</v>
      </c>
      <c r="I686" s="7">
        <f t="shared" si="51"/>
        <v>1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Row],[CORREO]],1),E687)</f>
        <v>45826</v>
      </c>
      <c r="G687" s="11">
        <v>45828</v>
      </c>
      <c r="H687" s="7">
        <f t="shared" si="50"/>
        <v>25</v>
      </c>
      <c r="I687" s="7">
        <f t="shared" si="51"/>
        <v>3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Row],[CORREO]],1),E688)</f>
        <v>45826.357638888891</v>
      </c>
      <c r="G688" s="11">
        <v>45826</v>
      </c>
      <c r="H688" s="7">
        <f t="shared" si="50"/>
        <v>25</v>
      </c>
      <c r="I688" s="7">
        <f t="shared" si="51"/>
        <v>1</v>
      </c>
      <c r="J688" s="7" t="str">
        <f t="shared" si="52"/>
        <v>Dentro</v>
      </c>
      <c r="K688" s="7" t="str">
        <f t="shared" si="53"/>
        <v>A tiempo</v>
      </c>
      <c r="L688" s="13">
        <v>45826</v>
      </c>
      <c r="M688" s="22">
        <f t="shared" si="54"/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Row],[CORREO]],1),E689)</f>
        <v>45826.367361111108</v>
      </c>
      <c r="G689" s="11">
        <v>45827</v>
      </c>
      <c r="H689" s="7">
        <f t="shared" si="50"/>
        <v>25</v>
      </c>
      <c r="I689" s="7">
        <f t="shared" si="51"/>
        <v>2</v>
      </c>
      <c r="J689" s="7" t="str">
        <f t="shared" si="52"/>
        <v>Dentro</v>
      </c>
      <c r="K689" s="7" t="str">
        <f t="shared" si="53"/>
        <v>A tiempo</v>
      </c>
      <c r="L689" s="13">
        <v>45827</v>
      </c>
      <c r="M689" s="22">
        <f t="shared" si="54"/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Row],[CORREO]],1),E690)</f>
        <v>45827</v>
      </c>
      <c r="G690" s="11">
        <v>45897</v>
      </c>
      <c r="H690" s="7">
        <f t="shared" si="50"/>
        <v>33</v>
      </c>
      <c r="I690" s="7">
        <f t="shared" si="51"/>
        <v>9</v>
      </c>
      <c r="J690" s="7" t="str">
        <f t="shared" si="52"/>
        <v>Programado</v>
      </c>
      <c r="K690" s="7" t="str">
        <f t="shared" si="53"/>
        <v>Programados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Row],[CORREO]],1),E691)</f>
        <v>45827</v>
      </c>
      <c r="G691" s="11">
        <v>45832</v>
      </c>
      <c r="H691" s="7">
        <f t="shared" si="50"/>
        <v>25</v>
      </c>
      <c r="I691" s="7">
        <f t="shared" si="51"/>
        <v>4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Row],[CORREO]],1),E692)</f>
        <v>45827</v>
      </c>
      <c r="G692" s="11">
        <v>45827</v>
      </c>
      <c r="H692" s="20">
        <f t="shared" si="50"/>
        <v>25</v>
      </c>
      <c r="I692" s="20">
        <f t="shared" si="51"/>
        <v>1</v>
      </c>
      <c r="J692" s="20" t="str">
        <f t="shared" si="52"/>
        <v>Dentro</v>
      </c>
      <c r="K692" s="20" t="str">
        <f t="shared" si="53"/>
        <v>A tiempo</v>
      </c>
      <c r="L692" s="13">
        <v>45827</v>
      </c>
      <c r="M692" s="23">
        <f t="shared" si="54"/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Row],[CORREO]],1),E693)</f>
        <v>45827.013194444444</v>
      </c>
      <c r="G693" s="11">
        <v>45867</v>
      </c>
      <c r="H693" s="7">
        <f t="shared" si="50"/>
        <v>27</v>
      </c>
      <c r="I693" s="7">
        <f t="shared" si="51"/>
        <v>18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Row],[CORREO]],1),E694)</f>
        <v>45827.354166666664</v>
      </c>
      <c r="G694" s="11">
        <v>45917</v>
      </c>
      <c r="H694" s="7">
        <f t="shared" si="50"/>
        <v>33</v>
      </c>
      <c r="I694" s="7">
        <f t="shared" si="51"/>
        <v>26</v>
      </c>
      <c r="J694" s="7" t="str">
        <f t="shared" si="52"/>
        <v>Programado</v>
      </c>
      <c r="K694" s="7" t="str">
        <f t="shared" si="53"/>
        <v>Programados</v>
      </c>
      <c r="L694" s="13">
        <v>45827</v>
      </c>
      <c r="M694" s="22">
        <f t="shared" si="54"/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Row],[CORREO]],1),E695)</f>
        <v>0</v>
      </c>
      <c r="G695" s="11">
        <v>45833</v>
      </c>
      <c r="H695" s="7">
        <f t="shared" si="50"/>
        <v>25</v>
      </c>
      <c r="I695" s="7">
        <f t="shared" si="51"/>
        <v>4</v>
      </c>
      <c r="J695" s="7" t="str">
        <f t="shared" si="52"/>
        <v>Dentro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Row],[CORREO]],1),E696)</f>
        <v>0</v>
      </c>
      <c r="G696" s="11">
        <v>45848</v>
      </c>
      <c r="H696" s="7">
        <f t="shared" si="50"/>
        <v>25</v>
      </c>
      <c r="I696" s="7">
        <f t="shared" si="51"/>
        <v>15</v>
      </c>
      <c r="J696" s="7" t="str">
        <f t="shared" si="52"/>
        <v>Programado</v>
      </c>
      <c r="K696" s="7" t="str">
        <f t="shared" si="53"/>
        <v>Programados</v>
      </c>
      <c r="L696" s="13">
        <v>45828</v>
      </c>
      <c r="M696" s="22">
        <f t="shared" si="54"/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Row],[CORREO]],1),E697)</f>
        <v>45831</v>
      </c>
      <c r="G697" s="11">
        <v>45835</v>
      </c>
      <c r="H697" s="7">
        <f t="shared" si="50"/>
        <v>25</v>
      </c>
      <c r="I697" s="7">
        <f t="shared" si="51"/>
        <v>5</v>
      </c>
      <c r="J697" s="7" t="str">
        <f t="shared" si="52"/>
        <v>Dentro</v>
      </c>
      <c r="K697" s="7" t="str">
        <f t="shared" si="53"/>
        <v>A tiempo</v>
      </c>
      <c r="L697" s="13">
        <v>45832</v>
      </c>
      <c r="M697" s="22">
        <f t="shared" si="54"/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Row],[CORREO]],1),E698)</f>
        <v>45829.085416666669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Programados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Row],[CORREO]],1),E699)</f>
        <v>45831.359722222223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45831</v>
      </c>
      <c r="M699" s="22">
        <f t="shared" si="54"/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Row],[CORREO]],1),E700)</f>
        <v>45831.379861111112</v>
      </c>
      <c r="G700" s="11">
        <v>45838</v>
      </c>
      <c r="H700" s="7">
        <f t="shared" si="50"/>
        <v>25</v>
      </c>
      <c r="I700" s="7">
        <f t="shared" si="51"/>
        <v>6</v>
      </c>
      <c r="J700" s="7" t="str">
        <f t="shared" si="52"/>
        <v>Dentro</v>
      </c>
      <c r="K700" s="7" t="str">
        <f t="shared" si="53"/>
        <v>A tiempo</v>
      </c>
      <c r="L700" s="13">
        <v>45832</v>
      </c>
      <c r="M700" s="22">
        <f t="shared" si="54"/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Row],[CORREO]],1),E701)</f>
        <v>45831.410416666666</v>
      </c>
      <c r="G701" s="11">
        <v>45831</v>
      </c>
      <c r="H701" s="7">
        <f t="shared" si="50"/>
        <v>25</v>
      </c>
      <c r="I701" s="7">
        <f t="shared" si="51"/>
        <v>1</v>
      </c>
      <c r="J701" s="7" t="str">
        <f t="shared" si="52"/>
        <v>Dentro</v>
      </c>
      <c r="K701" s="7" t="str">
        <f t="shared" si="53"/>
        <v>A tiempo</v>
      </c>
      <c r="L701" s="13">
        <v>45831</v>
      </c>
      <c r="M701" s="22">
        <f t="shared" si="54"/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Row],[CORREO]],1),E702)</f>
        <v>45831.456944444442</v>
      </c>
      <c r="G702" s="11">
        <v>45842</v>
      </c>
      <c r="H702" s="7">
        <f t="shared" si="50"/>
        <v>25</v>
      </c>
      <c r="I702" s="7">
        <f t="shared" si="51"/>
        <v>10</v>
      </c>
      <c r="J702" s="7" t="str">
        <f t="shared" si="52"/>
        <v>Fuera</v>
      </c>
      <c r="K702" s="7" t="str">
        <f t="shared" si="53"/>
        <v>A tiempo</v>
      </c>
      <c r="L702" s="13">
        <v>45834</v>
      </c>
      <c r="M702" s="22">
        <f t="shared" si="54"/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Row],[CORREO]],1),E703)</f>
        <v>0</v>
      </c>
      <c r="G703" s="11">
        <v>45838</v>
      </c>
      <c r="H703" s="7">
        <f t="shared" si="50"/>
        <v>25</v>
      </c>
      <c r="I703" s="7">
        <f t="shared" si="51"/>
        <v>5</v>
      </c>
      <c r="J703" s="7" t="str">
        <f t="shared" si="52"/>
        <v>Dentro</v>
      </c>
      <c r="K703" s="7" t="str">
        <f t="shared" si="53"/>
        <v>Programados</v>
      </c>
      <c r="L703" s="13">
        <v>45831</v>
      </c>
      <c r="M703" s="22">
        <f t="shared" si="54"/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Row],[CORREO]],1),E704)</f>
        <v>45832</v>
      </c>
      <c r="G704" s="11">
        <v>45833</v>
      </c>
      <c r="H704" s="7">
        <f t="shared" si="50"/>
        <v>25</v>
      </c>
      <c r="I704" s="7">
        <f t="shared" si="51"/>
        <v>2</v>
      </c>
      <c r="J704" s="7" t="str">
        <f t="shared" si="52"/>
        <v>Dentro</v>
      </c>
      <c r="K704" s="7" t="str">
        <f t="shared" si="53"/>
        <v>A tiempo</v>
      </c>
      <c r="L704" s="13">
        <v>45832</v>
      </c>
      <c r="M704" s="22">
        <f t="shared" si="54"/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Row],[CORREO]],1),E705)</f>
        <v>45833</v>
      </c>
      <c r="G705" s="11">
        <v>45905</v>
      </c>
      <c r="H705" s="7">
        <f t="shared" si="50"/>
        <v>30</v>
      </c>
      <c r="I705" s="7">
        <f t="shared" si="51"/>
        <v>32</v>
      </c>
      <c r="J705" s="7" t="str">
        <f t="shared" si="52"/>
        <v>Programado</v>
      </c>
      <c r="K705" s="7" t="str">
        <f t="shared" si="53"/>
        <v>Programados</v>
      </c>
      <c r="L705" s="13">
        <v>45833</v>
      </c>
      <c r="M705" s="22">
        <f t="shared" si="54"/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Row],[CORREO]],1),E706)</f>
        <v>45833</v>
      </c>
      <c r="G706" s="11">
        <v>45863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23</v>
      </c>
      <c r="J706" s="7" t="str">
        <f t="shared" ref="J706:J756" si="57">IF(G706="","Acumulado",IF(ISNUMBER(SEARCH("ASAP",C706)),"ASAP",IF(I706&lt;=7,"Dentro",IF(A706&gt;F706,"Programado","Fuera"))))</f>
        <v>Fuera</v>
      </c>
      <c r="K706" s="7" t="str">
        <f t="shared" ref="K706:K769" si="58">IF(INT(A706)=INT(F706),"A tiempo", IF(A706&lt;F706,"Mismo día","Programados"))</f>
        <v>A tiempo</v>
      </c>
      <c r="L706" s="13">
        <v>45845</v>
      </c>
      <c r="M706" s="22">
        <f t="shared" ref="M706:M769" si="59">MAX(1,NETWORKDAYS(A706,L706))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Row],[CORREO]],1),E707)</f>
        <v>45833.371527777781</v>
      </c>
      <c r="G707" s="11">
        <v>45834</v>
      </c>
      <c r="H707" s="7">
        <f t="shared" si="55"/>
        <v>26</v>
      </c>
      <c r="I707" s="7">
        <f t="shared" si="56"/>
        <v>2</v>
      </c>
      <c r="J707" s="7" t="str">
        <f t="shared" si="57"/>
        <v>Dentro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Row],[CORREO]],1),E708)</f>
        <v>45833.423611111109</v>
      </c>
      <c r="G708" s="11">
        <v>45847</v>
      </c>
      <c r="H708" s="7">
        <f t="shared" si="55"/>
        <v>26</v>
      </c>
      <c r="I708" s="7">
        <f t="shared" si="56"/>
        <v>11</v>
      </c>
      <c r="J708" s="7" t="str">
        <f t="shared" si="57"/>
        <v>Fuera</v>
      </c>
      <c r="K708" s="7" t="str">
        <f t="shared" si="58"/>
        <v>A tiempo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Row],[CORREO]],1),E709)</f>
        <v>45834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Mismo día</v>
      </c>
      <c r="L709" s="13">
        <v>45833</v>
      </c>
      <c r="M709" s="22">
        <f t="shared" si="59"/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Row],[CORREO]],1),E710)</f>
        <v>0</v>
      </c>
      <c r="G710" s="11">
        <v>45833</v>
      </c>
      <c r="H710" s="7">
        <f t="shared" si="55"/>
        <v>26</v>
      </c>
      <c r="I710" s="7">
        <f t="shared" si="56"/>
        <v>1</v>
      </c>
      <c r="J710" s="7" t="str">
        <f t="shared" si="57"/>
        <v>ASAP</v>
      </c>
      <c r="K710" s="7" t="str">
        <f t="shared" si="58"/>
        <v>Programados</v>
      </c>
      <c r="L710" s="13">
        <v>45833</v>
      </c>
      <c r="M710" s="22">
        <f t="shared" si="59"/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Row],[CORREO]],1),E711)</f>
        <v>45834</v>
      </c>
      <c r="G711" s="11">
        <v>45840</v>
      </c>
      <c r="H711" s="7">
        <f t="shared" si="55"/>
        <v>26</v>
      </c>
      <c r="I711" s="7">
        <f t="shared" si="56"/>
        <v>5</v>
      </c>
      <c r="J711" s="7" t="str">
        <f t="shared" si="57"/>
        <v>Dentro</v>
      </c>
      <c r="K711" s="7" t="str">
        <f t="shared" si="58"/>
        <v>A tiempo</v>
      </c>
      <c r="L711" s="13">
        <v>45838</v>
      </c>
      <c r="M711" s="22">
        <f t="shared" si="59"/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Row],[CORREO]],1),E712)</f>
        <v>45834</v>
      </c>
      <c r="G712" s="11">
        <v>45839</v>
      </c>
      <c r="H712" s="7">
        <f t="shared" si="55"/>
        <v>26</v>
      </c>
      <c r="I712" s="7">
        <f t="shared" si="56"/>
        <v>4</v>
      </c>
      <c r="J712" s="7" t="str">
        <f t="shared" si="57"/>
        <v>Dentro</v>
      </c>
      <c r="K712" s="7" t="str">
        <f t="shared" si="58"/>
        <v>A tiempo</v>
      </c>
      <c r="L712" s="13">
        <v>45834</v>
      </c>
      <c r="M712" s="22">
        <f t="shared" si="59"/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Row],[CORREO]],1),E713)</f>
        <v>45834</v>
      </c>
      <c r="G713" s="11">
        <v>45884</v>
      </c>
      <c r="H713" s="7">
        <f t="shared" si="55"/>
        <v>26</v>
      </c>
      <c r="I713" s="7">
        <f t="shared" si="56"/>
        <v>38</v>
      </c>
      <c r="J713" s="7" t="str">
        <f t="shared" si="57"/>
        <v>Fuera</v>
      </c>
      <c r="K713" s="7" t="str">
        <f t="shared" si="58"/>
        <v>Mismo día</v>
      </c>
      <c r="L713" s="13">
        <v>45834</v>
      </c>
      <c r="M713" s="22">
        <f t="shared" si="59"/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Row],[CORREO]],1),E714)</f>
        <v>45834</v>
      </c>
      <c r="G714" s="11">
        <v>45841</v>
      </c>
      <c r="H714" s="7">
        <f t="shared" si="55"/>
        <v>26</v>
      </c>
      <c r="I714" s="7">
        <f t="shared" si="56"/>
        <v>6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Row],[CORREO]],1),E715)</f>
        <v>45834.421527777777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Row],[CORREO]],1),E716)</f>
        <v>45834.4375</v>
      </c>
      <c r="G716" s="11">
        <v>45834</v>
      </c>
      <c r="H716" s="7">
        <f t="shared" si="55"/>
        <v>26</v>
      </c>
      <c r="I716" s="7">
        <f t="shared" si="56"/>
        <v>1</v>
      </c>
      <c r="J716" s="7" t="str">
        <f t="shared" si="57"/>
        <v>Dentro</v>
      </c>
      <c r="K716" s="7" t="str">
        <f t="shared" si="58"/>
        <v>A tiempo</v>
      </c>
      <c r="L716" s="13">
        <v>45834</v>
      </c>
      <c r="M716" s="22">
        <f t="shared" si="59"/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Row],[CORREO]],1),E717)</f>
        <v>45835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A tiempo</v>
      </c>
      <c r="L717" s="13">
        <v>45835</v>
      </c>
      <c r="M717" s="22">
        <f t="shared" si="59"/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Row],[CORREO]],1),E718)</f>
        <v>45838</v>
      </c>
      <c r="G718" s="11">
        <v>45838</v>
      </c>
      <c r="H718" s="7">
        <f t="shared" si="55"/>
        <v>26</v>
      </c>
      <c r="I718" s="7">
        <f t="shared" si="56"/>
        <v>2</v>
      </c>
      <c r="J718" s="7" t="str">
        <f t="shared" si="57"/>
        <v>Dentro</v>
      </c>
      <c r="K718" s="7" t="str">
        <f t="shared" si="58"/>
        <v>Mismo día</v>
      </c>
      <c r="L718" s="13">
        <v>45835</v>
      </c>
      <c r="M718" s="22">
        <f t="shared" si="59"/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Row],[CORREO]],1),E719)</f>
        <v>45866</v>
      </c>
      <c r="G719" s="11">
        <v>45881</v>
      </c>
      <c r="H719" s="7">
        <f t="shared" si="55"/>
        <v>29</v>
      </c>
      <c r="I719" s="7">
        <f t="shared" si="56"/>
        <v>17</v>
      </c>
      <c r="J719" s="7" t="str">
        <f t="shared" si="57"/>
        <v>Fuera</v>
      </c>
      <c r="K719" s="7" t="str">
        <f t="shared" si="58"/>
        <v>Mismo día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Row],[CORREO]],1),E721)</f>
        <v>0</v>
      </c>
      <c r="G721" s="11">
        <v>45842</v>
      </c>
      <c r="H721" s="7">
        <f t="shared" si="55"/>
        <v>26</v>
      </c>
      <c r="I721" s="7">
        <f t="shared" si="56"/>
        <v>5</v>
      </c>
      <c r="J721" s="7" t="str">
        <f t="shared" si="57"/>
        <v>Dentro</v>
      </c>
      <c r="K721" s="7" t="str">
        <f t="shared" si="58"/>
        <v>Programados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Row],[CORREO]],1),E722)</f>
        <v>45839</v>
      </c>
      <c r="G722" s="11">
        <v>45838</v>
      </c>
      <c r="H722" s="7">
        <f t="shared" si="55"/>
        <v>26</v>
      </c>
      <c r="I722" s="7">
        <f t="shared" si="56"/>
        <v>1</v>
      </c>
      <c r="J722" s="7" t="str">
        <f t="shared" si="57"/>
        <v>Dentro</v>
      </c>
      <c r="K722" s="7" t="str">
        <f t="shared" si="58"/>
        <v>Mismo día</v>
      </c>
      <c r="L722" s="13">
        <v>45838</v>
      </c>
      <c r="M722" s="22">
        <f t="shared" si="59"/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Row],[CORREO]],1),E723)</f>
        <v>0</v>
      </c>
      <c r="G723" s="11">
        <v>45839</v>
      </c>
      <c r="H723" s="7">
        <f t="shared" si="55"/>
        <v>26</v>
      </c>
      <c r="I723" s="7">
        <f t="shared" si="56"/>
        <v>2</v>
      </c>
      <c r="J723" s="7" t="str">
        <f t="shared" si="57"/>
        <v>ASAP</v>
      </c>
      <c r="K723" s="7" t="str">
        <f t="shared" si="58"/>
        <v>Programados</v>
      </c>
      <c r="L723" s="13">
        <v>45839</v>
      </c>
      <c r="M723" s="22">
        <f t="shared" si="59"/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Row],[CORREO]],1),E724)</f>
        <v>45839.436111111114</v>
      </c>
      <c r="G724" s="11">
        <v>45840</v>
      </c>
      <c r="H724" s="7">
        <f t="shared" si="55"/>
        <v>26</v>
      </c>
      <c r="I724" s="7">
        <f t="shared" si="56"/>
        <v>2</v>
      </c>
      <c r="J724" s="7" t="str">
        <f t="shared" si="57"/>
        <v>Dentro</v>
      </c>
      <c r="K724" s="7" t="str">
        <f t="shared" si="58"/>
        <v>A tiempo</v>
      </c>
      <c r="L724" s="13">
        <v>45840</v>
      </c>
      <c r="M724" s="22">
        <f t="shared" si="59"/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Row],[CORREO]],1),E725)</f>
        <v>0</v>
      </c>
      <c r="G725" s="11">
        <v>45846</v>
      </c>
      <c r="H725" s="7">
        <f t="shared" si="55"/>
        <v>26</v>
      </c>
      <c r="I725" s="7">
        <f t="shared" si="56"/>
        <v>6</v>
      </c>
      <c r="J725" s="7" t="str">
        <f t="shared" si="57"/>
        <v>ASAP</v>
      </c>
      <c r="K725" s="7" t="str">
        <f t="shared" si="58"/>
        <v>Programados</v>
      </c>
      <c r="L725" s="13">
        <v>45841</v>
      </c>
      <c r="M725" s="22">
        <f t="shared" si="59"/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Row],[CORREO]],1),E726)</f>
        <v>45840</v>
      </c>
      <c r="G726" s="11">
        <v>45847</v>
      </c>
      <c r="H726" s="7">
        <f t="shared" si="55"/>
        <v>27</v>
      </c>
      <c r="I726" s="7">
        <f t="shared" si="56"/>
        <v>6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Row],[CORREO]],1),E727)</f>
        <v>45840</v>
      </c>
      <c r="G727" s="11">
        <v>45840</v>
      </c>
      <c r="H727" s="7">
        <f t="shared" si="55"/>
        <v>27</v>
      </c>
      <c r="I727" s="7">
        <f t="shared" si="56"/>
        <v>1</v>
      </c>
      <c r="J727" s="7" t="str">
        <f t="shared" si="57"/>
        <v>Dentro</v>
      </c>
      <c r="K727" s="7" t="str">
        <f t="shared" si="58"/>
        <v>A tiempo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Row],[CORREO]],1),E728)</f>
        <v>0</v>
      </c>
      <c r="G728" s="11">
        <v>45847</v>
      </c>
      <c r="H728" s="7">
        <f t="shared" si="55"/>
        <v>27</v>
      </c>
      <c r="I728" s="7">
        <f t="shared" si="56"/>
        <v>6</v>
      </c>
      <c r="J728" s="7" t="str">
        <f t="shared" si="57"/>
        <v>Dentro</v>
      </c>
      <c r="K728" s="7" t="str">
        <f t="shared" si="58"/>
        <v>Programados</v>
      </c>
      <c r="L728" s="13">
        <v>45840</v>
      </c>
      <c r="M728" s="22">
        <f t="shared" si="59"/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Row],[CORREO]],1),E729)</f>
        <v>0</v>
      </c>
      <c r="G729" s="11">
        <v>45842</v>
      </c>
      <c r="H729" s="7">
        <f t="shared" si="55"/>
        <v>27</v>
      </c>
      <c r="I729" s="7">
        <f t="shared" si="56"/>
        <v>3</v>
      </c>
      <c r="J729" s="7" t="str">
        <f t="shared" si="57"/>
        <v>Dentro</v>
      </c>
      <c r="K729" s="7" t="str">
        <f t="shared" si="58"/>
        <v>Programados</v>
      </c>
      <c r="L729" s="13">
        <v>45842</v>
      </c>
      <c r="M729" s="22">
        <f t="shared" si="59"/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Row],[CORREO]],1),E730)</f>
        <v>45841</v>
      </c>
      <c r="G730" s="11">
        <v>45852</v>
      </c>
      <c r="H730" s="7">
        <f t="shared" si="55"/>
        <v>27</v>
      </c>
      <c r="I730" s="7">
        <f t="shared" si="56"/>
        <v>8</v>
      </c>
      <c r="J730" s="7" t="str">
        <f t="shared" si="57"/>
        <v>Fuera</v>
      </c>
      <c r="K730" s="7" t="str">
        <f t="shared" si="58"/>
        <v>A tiempo</v>
      </c>
      <c r="L730" s="13">
        <v>45840</v>
      </c>
      <c r="M730" s="22">
        <f t="shared" si="59"/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Row],[CORREO]],1),E731)</f>
        <v>45811</v>
      </c>
      <c r="G731" s="11">
        <v>45841</v>
      </c>
      <c r="H731" s="7">
        <f t="shared" si="55"/>
        <v>27</v>
      </c>
      <c r="I731" s="7">
        <f t="shared" si="56"/>
        <v>1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45849</v>
      </c>
      <c r="H732" s="7">
        <f t="shared" si="55"/>
        <v>27</v>
      </c>
      <c r="I732" s="7">
        <f t="shared" si="56"/>
        <v>7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45848</v>
      </c>
      <c r="H734" s="7">
        <f t="shared" si="55"/>
        <v>27</v>
      </c>
      <c r="I734" s="7">
        <f t="shared" si="56"/>
        <v>6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45845</v>
      </c>
      <c r="H735" s="7">
        <f t="shared" si="55"/>
        <v>27</v>
      </c>
      <c r="I735" s="7">
        <f t="shared" si="56"/>
        <v>3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Row],[CORREO]],1),E737)</f>
        <v>0</v>
      </c>
      <c r="G737" s="11">
        <v>45847</v>
      </c>
      <c r="H737" s="7">
        <f t="shared" si="55"/>
        <v>27</v>
      </c>
      <c r="I737" s="7">
        <f t="shared" si="56"/>
        <v>5</v>
      </c>
      <c r="J737" s="7" t="str">
        <f t="shared" si="57"/>
        <v>Dentro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Row],[CORREO]],1),E738)</f>
        <v>45841.388888888891</v>
      </c>
      <c r="G738" s="11">
        <v>45867</v>
      </c>
      <c r="H738" s="7">
        <f t="shared" si="55"/>
        <v>28</v>
      </c>
      <c r="I738" s="7">
        <f t="shared" si="56"/>
        <v>13</v>
      </c>
      <c r="J738" s="7" t="str">
        <f t="shared" si="57"/>
        <v>Programado</v>
      </c>
      <c r="K738" s="7" t="str">
        <f t="shared" si="58"/>
        <v>Programados</v>
      </c>
      <c r="L738" s="13">
        <v>45841</v>
      </c>
      <c r="M738" s="22">
        <f t="shared" si="59"/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Row],[CORREO]],1),E739)</f>
        <v>45842</v>
      </c>
      <c r="G739" s="11">
        <v>45854</v>
      </c>
      <c r="H739" s="7">
        <f t="shared" si="55"/>
        <v>27</v>
      </c>
      <c r="I739" s="7">
        <f t="shared" si="56"/>
        <v>9</v>
      </c>
      <c r="J739" s="7" t="str">
        <f t="shared" si="57"/>
        <v>Fuera</v>
      </c>
      <c r="K739" s="7" t="str">
        <f t="shared" si="58"/>
        <v>A tiempo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Row],[CORREO]],1),E740)</f>
        <v>45812.356944444444</v>
      </c>
      <c r="G740" s="11">
        <v>45842</v>
      </c>
      <c r="H740" s="7">
        <f t="shared" si="55"/>
        <v>27</v>
      </c>
      <c r="I740" s="7">
        <f t="shared" si="56"/>
        <v>1</v>
      </c>
      <c r="J740" s="7" t="str">
        <f t="shared" si="57"/>
        <v>Dentro</v>
      </c>
      <c r="K740" s="7" t="str">
        <f t="shared" si="58"/>
        <v>Programados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Row],[CORREO]],1),E741)</f>
        <v>45842.422222222223</v>
      </c>
      <c r="G741" s="11">
        <v>45847</v>
      </c>
      <c r="H741" s="7">
        <f t="shared" si="55"/>
        <v>27</v>
      </c>
      <c r="I741" s="7">
        <f t="shared" si="56"/>
        <v>4</v>
      </c>
      <c r="J741" s="7" t="str">
        <f t="shared" si="57"/>
        <v>Dentro</v>
      </c>
      <c r="K741" s="7" t="str">
        <f t="shared" si="58"/>
        <v>A tiempo</v>
      </c>
      <c r="L741" s="13">
        <v>45842</v>
      </c>
      <c r="M741" s="22">
        <f t="shared" si="59"/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Row],[CORREO]],1),E742)</f>
        <v>0</v>
      </c>
      <c r="G742" s="11">
        <v>45849</v>
      </c>
      <c r="H742" s="7">
        <f t="shared" si="55"/>
        <v>27</v>
      </c>
      <c r="I742" s="7">
        <f t="shared" si="56"/>
        <v>6</v>
      </c>
      <c r="J742" s="7" t="str">
        <f t="shared" si="57"/>
        <v>Dentro</v>
      </c>
      <c r="K742" s="7" t="str">
        <f t="shared" si="58"/>
        <v>Programados</v>
      </c>
      <c r="L742" s="13">
        <v>45845</v>
      </c>
      <c r="M742" s="22">
        <f t="shared" si="59"/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Row],[CORREO]],1),E743)</f>
        <v>45845</v>
      </c>
      <c r="G743" s="11">
        <v>45847</v>
      </c>
      <c r="H743" s="7">
        <f t="shared" si="55"/>
        <v>27</v>
      </c>
      <c r="I743" s="7">
        <f t="shared" si="56"/>
        <v>3</v>
      </c>
      <c r="J743" s="7" t="str">
        <f t="shared" si="57"/>
        <v>Dentro</v>
      </c>
      <c r="K743" s="7" t="str">
        <f t="shared" si="58"/>
        <v>A tiempo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Row],[CORREO]],1),E744)</f>
        <v>0</v>
      </c>
      <c r="G744" s="11">
        <v>45849</v>
      </c>
      <c r="H744" s="7">
        <f t="shared" si="55"/>
        <v>27</v>
      </c>
      <c r="I744" s="7">
        <f t="shared" si="56"/>
        <v>5</v>
      </c>
      <c r="J744" s="7" t="str">
        <f t="shared" si="57"/>
        <v>Dentro</v>
      </c>
      <c r="K744" s="7" t="str">
        <f t="shared" si="58"/>
        <v>Programados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Row],[CORREO]],1),E745)</f>
        <v>45845.424305555556</v>
      </c>
      <c r="G745" s="11">
        <v>45860</v>
      </c>
      <c r="H745" s="7">
        <f t="shared" si="55"/>
        <v>27</v>
      </c>
      <c r="I745" s="7">
        <f t="shared" si="56"/>
        <v>12</v>
      </c>
      <c r="J745" s="7" t="str">
        <f t="shared" si="57"/>
        <v>Fuera</v>
      </c>
      <c r="K745" s="7" t="str">
        <f t="shared" si="58"/>
        <v>A tiempo</v>
      </c>
      <c r="L745" s="13">
        <v>45845</v>
      </c>
      <c r="M745" s="22">
        <f t="shared" si="59"/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Row],[CORREO]],1),E746)</f>
        <v>45846</v>
      </c>
      <c r="G746" s="11">
        <v>45845</v>
      </c>
      <c r="H746" s="7">
        <f t="shared" si="55"/>
        <v>27</v>
      </c>
      <c r="I746" s="7">
        <f t="shared" si="56"/>
        <v>1</v>
      </c>
      <c r="J746" s="7" t="str">
        <f t="shared" si="57"/>
        <v>Dentro</v>
      </c>
      <c r="K746" s="7" t="str">
        <f t="shared" si="58"/>
        <v>Mismo día</v>
      </c>
      <c r="L746" s="13">
        <v>45845</v>
      </c>
      <c r="M746" s="22">
        <f t="shared" si="59"/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Row],[CORREO]],1),E747)</f>
        <v>45846</v>
      </c>
      <c r="G747" s="11">
        <v>45989</v>
      </c>
      <c r="H747" s="7">
        <f t="shared" si="55"/>
        <v>27</v>
      </c>
      <c r="I747" s="7">
        <f t="shared" si="56"/>
        <v>103</v>
      </c>
      <c r="J747" s="7" t="str">
        <f t="shared" si="57"/>
        <v>Fuera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Row],[CORREO]],1),E748)</f>
        <v>45846.357638888891</v>
      </c>
      <c r="G748" s="11">
        <v>45846</v>
      </c>
      <c r="H748" s="7">
        <f t="shared" si="55"/>
        <v>27</v>
      </c>
      <c r="I748" s="7">
        <f t="shared" si="56"/>
        <v>1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Row],[CORREO]],1),E749)</f>
        <v>45846.415277777778</v>
      </c>
      <c r="G749" s="11">
        <v>45848</v>
      </c>
      <c r="H749" s="7">
        <f t="shared" si="55"/>
        <v>27</v>
      </c>
      <c r="I749" s="7">
        <f t="shared" si="56"/>
        <v>3</v>
      </c>
      <c r="J749" s="7" t="str">
        <f t="shared" si="57"/>
        <v>Dentro</v>
      </c>
      <c r="K749" s="7" t="str">
        <f t="shared" si="58"/>
        <v>A tiempo</v>
      </c>
      <c r="L749" s="13">
        <v>45846</v>
      </c>
      <c r="M749" s="22">
        <f t="shared" si="59"/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Row],[CORREO]],1),E750)</f>
        <v>45844.424305555556</v>
      </c>
      <c r="G750" s="11">
        <v>45853</v>
      </c>
      <c r="H750" s="7">
        <f t="shared" si="55"/>
        <v>27</v>
      </c>
      <c r="I750" s="7">
        <f t="shared" si="56"/>
        <v>6</v>
      </c>
      <c r="J750" s="7" t="str">
        <f t="shared" si="57"/>
        <v>Dentro</v>
      </c>
      <c r="K750" s="7" t="str">
        <f t="shared" si="58"/>
        <v>Programados</v>
      </c>
      <c r="L750" s="13">
        <v>45846</v>
      </c>
      <c r="M750" s="22">
        <f t="shared" si="59"/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Row],[CORREO]],1),E751)</f>
        <v>45847</v>
      </c>
      <c r="G751" s="11">
        <v>45848</v>
      </c>
      <c r="H751" s="7">
        <f t="shared" si="55"/>
        <v>28</v>
      </c>
      <c r="I751" s="7">
        <f t="shared" si="56"/>
        <v>2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Row],[CORREO]],1),E752)</f>
        <v>45847</v>
      </c>
      <c r="G752" s="11">
        <v>45854</v>
      </c>
      <c r="H752" s="7">
        <f t="shared" si="55"/>
        <v>28</v>
      </c>
      <c r="I752" s="7">
        <f t="shared" si="56"/>
        <v>6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Row],[CORREO]],1),E754)</f>
        <v>45847</v>
      </c>
      <c r="G754" s="11">
        <v>45847</v>
      </c>
      <c r="H754" s="7">
        <f t="shared" si="55"/>
        <v>28</v>
      </c>
      <c r="I754" s="7">
        <f t="shared" si="56"/>
        <v>1</v>
      </c>
      <c r="J754" s="7" t="str">
        <f t="shared" si="57"/>
        <v>Dentro</v>
      </c>
      <c r="K754" s="7" t="str">
        <f t="shared" si="58"/>
        <v>A tiempo</v>
      </c>
      <c r="L754" s="13">
        <v>45847</v>
      </c>
      <c r="M754" s="22">
        <f t="shared" si="59"/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Row],[CORREO]],1),E755)</f>
        <v>45847</v>
      </c>
      <c r="G755" s="11">
        <v>45869</v>
      </c>
      <c r="H755" s="7">
        <f t="shared" si="55"/>
        <v>29</v>
      </c>
      <c r="I755" s="7">
        <f t="shared" si="56"/>
        <v>9</v>
      </c>
      <c r="J755" s="7" t="str">
        <f t="shared" si="57"/>
        <v>Programado</v>
      </c>
      <c r="K755" s="7" t="str">
        <f t="shared" si="58"/>
        <v>Programados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Row],[CORREO]],1),E756)</f>
        <v>45847.384027777778</v>
      </c>
      <c r="G756" s="11">
        <v>45847</v>
      </c>
      <c r="H756" s="7">
        <f t="shared" si="55"/>
        <v>28</v>
      </c>
      <c r="I756" s="7">
        <f t="shared" si="56"/>
        <v>1</v>
      </c>
      <c r="J756" s="7" t="str">
        <f t="shared" si="57"/>
        <v>Dentro</v>
      </c>
      <c r="K756" s="7" t="str">
        <f t="shared" si="58"/>
        <v>A tiempo</v>
      </c>
      <c r="L756" s="13">
        <v>45847</v>
      </c>
      <c r="M756" s="22">
        <f t="shared" si="59"/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Row],[CORREO]],1),E757)</f>
        <v>0</v>
      </c>
      <c r="G757" s="11">
        <v>45922</v>
      </c>
      <c r="H757" s="7">
        <f t="shared" si="55"/>
        <v>28</v>
      </c>
      <c r="I757" s="7">
        <f t="shared" si="56"/>
        <v>54</v>
      </c>
      <c r="J757" s="7" t="s">
        <v>2659</v>
      </c>
      <c r="K757" s="7" t="str">
        <f t="shared" si="58"/>
        <v>Programados</v>
      </c>
      <c r="L757" s="13">
        <v>45849</v>
      </c>
      <c r="M757" s="22">
        <f t="shared" si="59"/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Row],[CORREO]],1),E758)</f>
        <v>45848</v>
      </c>
      <c r="G758" s="11">
        <v>45847</v>
      </c>
      <c r="H758" s="7">
        <f t="shared" si="55"/>
        <v>28</v>
      </c>
      <c r="I758" s="7">
        <f t="shared" si="56"/>
        <v>1</v>
      </c>
      <c r="J758" s="7" t="str">
        <f t="shared" ref="J758:J821" si="60">IF(G758="","Acumulado",IF(ISNUMBER(SEARCH("ASAP",C758)),"ASAP",IF(I758&lt;=7,"Dentro",IF(A758&gt;F758,"Programado","Fuera"))))</f>
        <v>Dentro</v>
      </c>
      <c r="K758" s="7" t="str">
        <f t="shared" si="58"/>
        <v>Mismo día</v>
      </c>
      <c r="L758" s="13">
        <v>45847</v>
      </c>
      <c r="M758" s="22">
        <f t="shared" si="59"/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Row],[CORREO]],1),E759)</f>
        <v>45847.386805555558</v>
      </c>
      <c r="G759" s="11">
        <v>45869</v>
      </c>
      <c r="H759" s="7">
        <f t="shared" si="55"/>
        <v>28</v>
      </c>
      <c r="I759" s="7">
        <f t="shared" si="56"/>
        <v>16</v>
      </c>
      <c r="J759" s="7" t="str">
        <f t="shared" si="60"/>
        <v>Programado</v>
      </c>
      <c r="K759" s="7" t="str">
        <f t="shared" si="58"/>
        <v>Programados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Row],[CORREO]],1),E761)</f>
        <v>45848</v>
      </c>
      <c r="G761" s="11">
        <v>45848</v>
      </c>
      <c r="H761" s="7">
        <f t="shared" si="55"/>
        <v>28</v>
      </c>
      <c r="I761" s="7">
        <f t="shared" si="56"/>
        <v>1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Row],[CORREO]],1),E762)</f>
        <v>45848.302083333336</v>
      </c>
      <c r="G762" s="11">
        <v>45855</v>
      </c>
      <c r="H762" s="7">
        <f t="shared" si="55"/>
        <v>28</v>
      </c>
      <c r="I762" s="7">
        <f t="shared" si="56"/>
        <v>6</v>
      </c>
      <c r="J762" s="7" t="str">
        <f t="shared" si="60"/>
        <v>Dentro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Row],[CORREO]],1),E763)</f>
        <v>45848.347222222219</v>
      </c>
      <c r="G763" s="11">
        <v>45870</v>
      </c>
      <c r="H763" s="7">
        <f t="shared" si="55"/>
        <v>28</v>
      </c>
      <c r="I763" s="7">
        <f t="shared" si="56"/>
        <v>17</v>
      </c>
      <c r="J763" s="7" t="str">
        <f t="shared" si="60"/>
        <v>Fuera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Row],[CORREO]],1),E764)</f>
        <v>45848.42083333333</v>
      </c>
      <c r="G764" s="11">
        <v>45849</v>
      </c>
      <c r="H764" s="7">
        <f t="shared" si="55"/>
        <v>28</v>
      </c>
      <c r="I764" s="7">
        <f t="shared" si="56"/>
        <v>2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Row],[CORREO]],1),E765)</f>
        <v>45848.441666666666</v>
      </c>
      <c r="G765" s="11">
        <v>45856</v>
      </c>
      <c r="H765" s="7">
        <f t="shared" si="55"/>
        <v>28</v>
      </c>
      <c r="I765" s="7">
        <f t="shared" si="56"/>
        <v>7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Row],[CORREO]],1),E766)</f>
        <v>45848.445138888892</v>
      </c>
      <c r="G766" s="11">
        <v>45849</v>
      </c>
      <c r="H766" s="7">
        <f t="shared" si="55"/>
        <v>28</v>
      </c>
      <c r="I766" s="7">
        <f t="shared" si="56"/>
        <v>2</v>
      </c>
      <c r="J766" s="7" t="str">
        <f t="shared" si="60"/>
        <v>Dentro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Row],[CORREO]],1),E767)</f>
        <v>45848.445833333331</v>
      </c>
      <c r="G767" s="11">
        <v>45859</v>
      </c>
      <c r="H767" s="7">
        <f t="shared" si="55"/>
        <v>28</v>
      </c>
      <c r="I767" s="7">
        <f t="shared" si="56"/>
        <v>8</v>
      </c>
      <c r="J767" s="7" t="str">
        <f t="shared" si="60"/>
        <v>Fuera</v>
      </c>
      <c r="K767" s="7" t="str">
        <f t="shared" si="58"/>
        <v>A tiempo</v>
      </c>
      <c r="L767" s="13">
        <v>45848</v>
      </c>
      <c r="M767" s="22">
        <f t="shared" si="59"/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Row],[CORREO]],1),E769)</f>
        <v>45852</v>
      </c>
      <c r="G769" s="11">
        <v>45849</v>
      </c>
      <c r="H769" s="7">
        <f t="shared" si="55"/>
        <v>28</v>
      </c>
      <c r="I769" s="7">
        <f t="shared" si="56"/>
        <v>1</v>
      </c>
      <c r="J769" s="7" t="str">
        <f t="shared" si="60"/>
        <v>Dentro</v>
      </c>
      <c r="K769" s="7" t="str">
        <f t="shared" si="58"/>
        <v>Mismo día</v>
      </c>
      <c r="L769" s="13">
        <v>45849</v>
      </c>
      <c r="M769" s="22">
        <f t="shared" si="59"/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Row],[CORREO]],1),E770)</f>
        <v>0</v>
      </c>
      <c r="G770" s="11">
        <v>45856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5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Programados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Row],[CORREO]],1),E771)</f>
        <v>45852</v>
      </c>
      <c r="G771" s="11">
        <v>45853</v>
      </c>
      <c r="H771" s="7">
        <f t="shared" si="61"/>
        <v>28</v>
      </c>
      <c r="I771" s="7">
        <f t="shared" si="62"/>
        <v>2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Row],[CORREO]],1),E772)</f>
        <v>45852.421527777777</v>
      </c>
      <c r="G772" s="11">
        <v>45852</v>
      </c>
      <c r="H772" s="7">
        <f t="shared" si="61"/>
        <v>28</v>
      </c>
      <c r="I772" s="7">
        <f t="shared" si="62"/>
        <v>1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Row],[CORREO]],1),E773)</f>
        <v>45852.441666666666</v>
      </c>
      <c r="G773" s="11">
        <v>45854</v>
      </c>
      <c r="H773" s="7">
        <f t="shared" si="61"/>
        <v>28</v>
      </c>
      <c r="I773" s="7">
        <f t="shared" si="62"/>
        <v>3</v>
      </c>
      <c r="J773" s="7" t="str">
        <f t="shared" si="60"/>
        <v>Dentro</v>
      </c>
      <c r="K773" s="7" t="str">
        <f t="shared" si="63"/>
        <v>A tiempo</v>
      </c>
      <c r="L773" s="13">
        <v>45852</v>
      </c>
      <c r="M773" s="22">
        <f t="shared" si="64"/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Row],[CORREO]],1),E774)</f>
        <v>45884</v>
      </c>
      <c r="G774" s="11">
        <v>45883</v>
      </c>
      <c r="H774" s="7">
        <f t="shared" si="61"/>
        <v>33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45883</v>
      </c>
      <c r="M774" s="22">
        <f t="shared" si="64"/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Row],[CORREO]],1),E775)</f>
        <v>45853</v>
      </c>
      <c r="G775" s="11">
        <v>45852</v>
      </c>
      <c r="H775" s="7">
        <f t="shared" si="61"/>
        <v>28</v>
      </c>
      <c r="I775" s="7">
        <f t="shared" si="62"/>
        <v>1</v>
      </c>
      <c r="J775" s="7" t="str">
        <f t="shared" si="60"/>
        <v>Dentro</v>
      </c>
      <c r="K775" s="7" t="str">
        <f t="shared" si="63"/>
        <v>Mismo día</v>
      </c>
      <c r="L775" s="13">
        <v>45852</v>
      </c>
      <c r="M775" s="22">
        <f t="shared" si="64"/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Row],[CORREO]],1),E776)</f>
        <v>0</v>
      </c>
      <c r="G776" s="11">
        <v>45888</v>
      </c>
      <c r="H776" s="7">
        <f t="shared" si="61"/>
        <v>28</v>
      </c>
      <c r="I776" s="7">
        <f t="shared" si="62"/>
        <v>26</v>
      </c>
      <c r="J776" s="7" t="str">
        <f t="shared" si="60"/>
        <v>Programado</v>
      </c>
      <c r="K776" s="7" t="str">
        <f t="shared" si="63"/>
        <v>Programados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Row],[CORREO]],1),E777)</f>
        <v>45853</v>
      </c>
      <c r="G777" s="11">
        <v>45860</v>
      </c>
      <c r="H777" s="7">
        <f t="shared" si="61"/>
        <v>28</v>
      </c>
      <c r="I777" s="7">
        <f t="shared" si="62"/>
        <v>6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Row],[CORREO]],1),E778)</f>
        <v>45853.342361111114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Row],[CORREO]],1),E779)</f>
        <v>45853.354861111111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Row],[CORREO]],1),E780)</f>
        <v>45853.371527777781</v>
      </c>
      <c r="G780" s="11">
        <v>45853</v>
      </c>
      <c r="H780" s="7">
        <f t="shared" si="61"/>
        <v>28</v>
      </c>
      <c r="I780" s="7">
        <f t="shared" si="62"/>
        <v>1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Row],[CORREO]],1),E781)</f>
        <v>45853.396527777775</v>
      </c>
      <c r="G781" s="11">
        <v>45855</v>
      </c>
      <c r="H781" s="7">
        <f t="shared" si="61"/>
        <v>28</v>
      </c>
      <c r="I781" s="7">
        <f t="shared" si="62"/>
        <v>3</v>
      </c>
      <c r="J781" s="7" t="str">
        <f t="shared" si="60"/>
        <v>Dentro</v>
      </c>
      <c r="K781" s="7" t="str">
        <f t="shared" si="63"/>
        <v>A tiempo</v>
      </c>
      <c r="L781" s="13">
        <v>45853</v>
      </c>
      <c r="M781" s="22">
        <f t="shared" si="64"/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Row],[CORREO]],1),E782)</f>
        <v>45854</v>
      </c>
      <c r="G782" s="11">
        <v>45859</v>
      </c>
      <c r="H782" s="7">
        <f t="shared" si="61"/>
        <v>29</v>
      </c>
      <c r="I782" s="7">
        <f t="shared" si="62"/>
        <v>4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Row],[CORREO]],1),E783)</f>
        <v>45854.297222222223</v>
      </c>
      <c r="G783" s="11">
        <v>45856</v>
      </c>
      <c r="H783" s="7">
        <f t="shared" si="61"/>
        <v>29</v>
      </c>
      <c r="I783" s="7">
        <f t="shared" si="62"/>
        <v>3</v>
      </c>
      <c r="J783" s="7" t="str">
        <f t="shared" si="60"/>
        <v>Dentro</v>
      </c>
      <c r="K783" s="7" t="str">
        <f t="shared" si="63"/>
        <v>A tiempo</v>
      </c>
      <c r="L783" s="13">
        <v>45854</v>
      </c>
      <c r="M783" s="22">
        <f t="shared" si="64"/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Row],[CORREO]],1),E784)</f>
        <v>0</v>
      </c>
      <c r="G784" s="11">
        <v>45910</v>
      </c>
      <c r="H784" s="7">
        <f t="shared" si="61"/>
        <v>29</v>
      </c>
      <c r="I784" s="7">
        <f t="shared" si="62"/>
        <v>40</v>
      </c>
      <c r="J784" s="7" t="str">
        <f t="shared" si="60"/>
        <v>Programado</v>
      </c>
      <c r="K784" s="7" t="str">
        <f t="shared" si="63"/>
        <v>Programados</v>
      </c>
      <c r="L784" s="13">
        <v>45910</v>
      </c>
      <c r="M784" s="22">
        <f t="shared" si="64"/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Row],[CORREO]],1),E785)</f>
        <v>45854</v>
      </c>
      <c r="G785" s="11">
        <v>45854</v>
      </c>
      <c r="H785" s="7">
        <f t="shared" si="61"/>
        <v>29</v>
      </c>
      <c r="I785" s="7">
        <f t="shared" si="62"/>
        <v>1</v>
      </c>
      <c r="J785" s="7" t="str">
        <f t="shared" si="60"/>
        <v>Dentro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Row],[CORREO]],1),E786)</f>
        <v>45854</v>
      </c>
      <c r="G786" s="11">
        <v>45867</v>
      </c>
      <c r="H786" s="7">
        <f t="shared" si="61"/>
        <v>29</v>
      </c>
      <c r="I786" s="7">
        <f t="shared" si="62"/>
        <v>10</v>
      </c>
      <c r="J786" s="7" t="str">
        <f t="shared" si="60"/>
        <v>Fuera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Row],[CORREO]],1),E787)</f>
        <v>45854</v>
      </c>
      <c r="G787" s="11">
        <v>45856</v>
      </c>
      <c r="H787" s="7">
        <f t="shared" si="61"/>
        <v>29</v>
      </c>
      <c r="I787" s="7">
        <f t="shared" si="62"/>
        <v>3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Row],[CORREO]],1),E788)</f>
        <v>45854.378472222219</v>
      </c>
      <c r="G788" s="11">
        <v>45854</v>
      </c>
      <c r="H788" s="7">
        <f t="shared" si="61"/>
        <v>29</v>
      </c>
      <c r="I788" s="7">
        <f t="shared" si="62"/>
        <v>1</v>
      </c>
      <c r="J788" s="7" t="str">
        <f t="shared" si="60"/>
        <v>Dentro</v>
      </c>
      <c r="K788" s="7" t="str">
        <f t="shared" si="63"/>
        <v>A tiempo</v>
      </c>
      <c r="L788" s="13">
        <v>45854</v>
      </c>
      <c r="M788" s="22">
        <f t="shared" si="64"/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Row],[CORREO]],1),E789)</f>
        <v>45854.38958333333</v>
      </c>
      <c r="G789" s="11">
        <v>45856</v>
      </c>
      <c r="H789" s="7">
        <f t="shared" si="61"/>
        <v>29</v>
      </c>
      <c r="I789" s="7">
        <f t="shared" si="62"/>
        <v>3</v>
      </c>
      <c r="J789" s="7" t="str">
        <f t="shared" si="60"/>
        <v>Dentro</v>
      </c>
      <c r="K789" s="7" t="str">
        <f t="shared" si="63"/>
        <v>A tiempo</v>
      </c>
      <c r="L789" s="13">
        <v>45856</v>
      </c>
      <c r="M789" s="22">
        <f t="shared" si="64"/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Row],[CORREO]],1),E790)</f>
        <v>45854.409722222219</v>
      </c>
      <c r="G790" s="11">
        <v>45854</v>
      </c>
      <c r="H790" s="7">
        <f t="shared" si="61"/>
        <v>29</v>
      </c>
      <c r="I790" s="7">
        <f t="shared" si="62"/>
        <v>1</v>
      </c>
      <c r="J790" s="7" t="str">
        <f t="shared" si="60"/>
        <v>Dentro</v>
      </c>
      <c r="K790" s="7" t="str">
        <f t="shared" si="63"/>
        <v>A tiempo</v>
      </c>
      <c r="L790" s="13">
        <v>45854</v>
      </c>
      <c r="M790" s="22">
        <f t="shared" si="64"/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Row],[CORREO]],1),E791)</f>
        <v>45855</v>
      </c>
      <c r="G791" s="11">
        <v>45856</v>
      </c>
      <c r="H791" s="7">
        <f t="shared" si="61"/>
        <v>29</v>
      </c>
      <c r="I791" s="7">
        <f t="shared" si="62"/>
        <v>3</v>
      </c>
      <c r="J791" s="7" t="str">
        <f t="shared" si="60"/>
        <v>Dentro</v>
      </c>
      <c r="K791" s="7" t="str">
        <f t="shared" si="63"/>
        <v>Mismo día</v>
      </c>
      <c r="L791" s="13">
        <v>45854</v>
      </c>
      <c r="M791" s="22">
        <f t="shared" si="64"/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Row],[CORREO]],1),E792)</f>
        <v>45855</v>
      </c>
      <c r="G792" s="11">
        <v>45866</v>
      </c>
      <c r="H792" s="7">
        <f t="shared" si="61"/>
        <v>29</v>
      </c>
      <c r="I792" s="7">
        <f t="shared" si="62"/>
        <v>8</v>
      </c>
      <c r="J792" s="7" t="str">
        <f t="shared" si="60"/>
        <v>Fuera</v>
      </c>
      <c r="K792" s="7" t="str">
        <f t="shared" si="63"/>
        <v>A tiempo</v>
      </c>
      <c r="L792" s="13">
        <v>45866</v>
      </c>
      <c r="M792" s="22">
        <f t="shared" si="64"/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45856</v>
      </c>
      <c r="M793" s="22">
        <f t="shared" si="64"/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Row],[CORREO]],1),E794)</f>
        <v>45856</v>
      </c>
      <c r="G794" s="11">
        <v>45861</v>
      </c>
      <c r="H794" s="7">
        <f t="shared" si="61"/>
        <v>29</v>
      </c>
      <c r="I794" s="7">
        <f t="shared" si="62"/>
        <v>4</v>
      </c>
      <c r="J794" s="7" t="str">
        <f t="shared" si="60"/>
        <v>Dentro</v>
      </c>
      <c r="K794" s="7" t="str">
        <f t="shared" si="63"/>
        <v>A tiempo</v>
      </c>
      <c r="L794" s="13">
        <v>45860</v>
      </c>
      <c r="M794" s="22">
        <f t="shared" si="64"/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Row],[CORREO]],1),E795)</f>
        <v>45859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Mismo día</v>
      </c>
      <c r="L795" s="13">
        <v>45859</v>
      </c>
      <c r="M795" s="22">
        <f t="shared" si="64"/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Row],[CORREO]],1),E797)</f>
        <v>0</v>
      </c>
      <c r="G797" s="11">
        <v>45859</v>
      </c>
      <c r="H797" s="7">
        <f t="shared" si="61"/>
        <v>29</v>
      </c>
      <c r="I797" s="7">
        <f t="shared" si="62"/>
        <v>2</v>
      </c>
      <c r="J797" s="7" t="str">
        <f t="shared" si="60"/>
        <v>Dentro</v>
      </c>
      <c r="K797" s="7" t="str">
        <f t="shared" si="63"/>
        <v>Programados</v>
      </c>
      <c r="L797" s="13">
        <v>45856</v>
      </c>
      <c r="M797" s="22">
        <f t="shared" si="64"/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Row],[CORREO]],1),E798)</f>
        <v>0</v>
      </c>
      <c r="G798" s="11">
        <v>45863</v>
      </c>
      <c r="H798" s="7">
        <f t="shared" si="61"/>
        <v>29</v>
      </c>
      <c r="I798" s="7">
        <f t="shared" si="62"/>
        <v>5</v>
      </c>
      <c r="J798" s="7" t="str">
        <f t="shared" si="60"/>
        <v>Dentro</v>
      </c>
      <c r="K798" s="7" t="str">
        <f t="shared" si="63"/>
        <v>Programados</v>
      </c>
      <c r="L798" s="13">
        <v>45859</v>
      </c>
      <c r="M798" s="22">
        <f t="shared" si="64"/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Row],[CORREO]],1),E799)</f>
        <v>45860</v>
      </c>
      <c r="G799" s="11">
        <v>45860</v>
      </c>
      <c r="H799" s="7">
        <f t="shared" si="61"/>
        <v>29</v>
      </c>
      <c r="I799" s="7">
        <f t="shared" si="62"/>
        <v>2</v>
      </c>
      <c r="J799" s="7" t="str">
        <f t="shared" si="60"/>
        <v>Dentro</v>
      </c>
      <c r="K799" s="7" t="str">
        <f t="shared" si="63"/>
        <v>Mismo día</v>
      </c>
      <c r="L799" s="13">
        <v>45859</v>
      </c>
      <c r="M799" s="22">
        <f t="shared" si="64"/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Row],[CORREO]],1),E800)</f>
        <v>45860.372916666667</v>
      </c>
      <c r="G800" s="11">
        <v>45866</v>
      </c>
      <c r="H800" s="7">
        <f t="shared" si="61"/>
        <v>29</v>
      </c>
      <c r="I800" s="7">
        <f t="shared" si="62"/>
        <v>5</v>
      </c>
      <c r="J800" s="7" t="str">
        <f t="shared" si="60"/>
        <v>Dentro</v>
      </c>
      <c r="K800" s="7" t="str">
        <f t="shared" si="63"/>
        <v>A tiempo</v>
      </c>
      <c r="L800" s="13">
        <v>45861</v>
      </c>
      <c r="M800" s="22">
        <f t="shared" si="64"/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Row],[CORREO]],1),E801)</f>
        <v>45860.379861111112</v>
      </c>
      <c r="G801" s="11">
        <v>45861</v>
      </c>
      <c r="H801" s="7">
        <f t="shared" si="61"/>
        <v>29</v>
      </c>
      <c r="I801" s="7">
        <f t="shared" si="62"/>
        <v>2</v>
      </c>
      <c r="J801" s="7" t="str">
        <f t="shared" si="60"/>
        <v>Dentro</v>
      </c>
      <c r="K801" s="7" t="str">
        <f t="shared" si="63"/>
        <v>A tiempo</v>
      </c>
      <c r="L801" s="13">
        <v>45860</v>
      </c>
      <c r="M801" s="22">
        <f t="shared" si="64"/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Row],[CORREO]],1),E802)</f>
        <v>45861</v>
      </c>
      <c r="G802" s="11">
        <v>45862</v>
      </c>
      <c r="H802" s="7">
        <f t="shared" si="61"/>
        <v>29</v>
      </c>
      <c r="I802" s="7">
        <f t="shared" si="62"/>
        <v>3</v>
      </c>
      <c r="J802" s="7" t="str">
        <f t="shared" si="60"/>
        <v>ASAP</v>
      </c>
      <c r="K802" s="7" t="str">
        <f t="shared" si="63"/>
        <v>Mismo día</v>
      </c>
      <c r="L802" s="13">
        <v>45860</v>
      </c>
      <c r="M802" s="22">
        <f t="shared" si="64"/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Row],[CORREO]],1),E804)</f>
        <v>45861</v>
      </c>
      <c r="G804" s="11">
        <v>45863</v>
      </c>
      <c r="H804" s="7">
        <f t="shared" si="61"/>
        <v>30</v>
      </c>
      <c r="I804" s="7">
        <f t="shared" si="62"/>
        <v>3</v>
      </c>
      <c r="J804" s="7" t="str">
        <f t="shared" si="60"/>
        <v>Dentro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Row],[CORREO]],1),E805)</f>
        <v>45861.355555555558</v>
      </c>
      <c r="G805" s="11">
        <v>45861</v>
      </c>
      <c r="H805" s="7">
        <f t="shared" si="61"/>
        <v>30</v>
      </c>
      <c r="I805" s="7">
        <f t="shared" si="62"/>
        <v>1</v>
      </c>
      <c r="J805" s="7" t="str">
        <f t="shared" si="60"/>
        <v>ASAP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Row],[CORREO]],1),E806)</f>
        <v>45861</v>
      </c>
      <c r="G806" s="11">
        <v>45867</v>
      </c>
      <c r="H806" s="7">
        <f t="shared" si="61"/>
        <v>30</v>
      </c>
      <c r="I806" s="7">
        <f t="shared" si="62"/>
        <v>5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Row],[CORREO]],1),E807)</f>
        <v>45861.379861111112</v>
      </c>
      <c r="G807" s="11">
        <v>45861</v>
      </c>
      <c r="H807" s="7">
        <f t="shared" si="61"/>
        <v>30</v>
      </c>
      <c r="I807" s="7">
        <f t="shared" si="62"/>
        <v>1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Row],[CORREO]],1),E808)</f>
        <v>45861.393055555556</v>
      </c>
      <c r="G808" s="11">
        <v>45866</v>
      </c>
      <c r="H808" s="7">
        <f t="shared" si="61"/>
        <v>30</v>
      </c>
      <c r="I808" s="7">
        <f t="shared" si="62"/>
        <v>4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Row],[CORREO]],1),E809)</f>
        <v>45861.40347222222</v>
      </c>
      <c r="G809" s="11">
        <v>45863</v>
      </c>
      <c r="H809" s="7">
        <f t="shared" si="61"/>
        <v>30</v>
      </c>
      <c r="I809" s="7">
        <f t="shared" si="62"/>
        <v>3</v>
      </c>
      <c r="J809" s="7" t="str">
        <f t="shared" si="60"/>
        <v>Dentro</v>
      </c>
      <c r="K809" s="7" t="str">
        <f t="shared" si="63"/>
        <v>A tiempo</v>
      </c>
      <c r="L809" s="13">
        <v>45861</v>
      </c>
      <c r="M809" s="22">
        <f t="shared" si="64"/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Row],[CORREO]],1),E810)</f>
        <v>45862</v>
      </c>
      <c r="G810" s="11">
        <v>45861</v>
      </c>
      <c r="H810" s="7">
        <f t="shared" si="61"/>
        <v>30</v>
      </c>
      <c r="I810" s="7">
        <f t="shared" si="62"/>
        <v>1</v>
      </c>
      <c r="J810" s="7" t="str">
        <f t="shared" si="60"/>
        <v>Dentro</v>
      </c>
      <c r="K810" s="7" t="str">
        <f t="shared" si="63"/>
        <v>Mismo día</v>
      </c>
      <c r="L810" s="13">
        <v>45861</v>
      </c>
      <c r="M810" s="22">
        <f t="shared" si="64"/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Row],[CORREO]],1),E811)</f>
        <v>45862</v>
      </c>
      <c r="G811" s="11">
        <v>45863</v>
      </c>
      <c r="H811" s="7">
        <f t="shared" si="61"/>
        <v>30</v>
      </c>
      <c r="I811" s="7">
        <f t="shared" si="62"/>
        <v>2</v>
      </c>
      <c r="J811" s="7" t="str">
        <f t="shared" si="60"/>
        <v>Dentro</v>
      </c>
      <c r="K811" s="7" t="str">
        <f t="shared" si="63"/>
        <v>A tiempo</v>
      </c>
      <c r="L811" s="13">
        <v>45862</v>
      </c>
      <c r="M811" s="22">
        <f t="shared" si="64"/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Row],[CORREO]],1),E812)</f>
        <v>45861</v>
      </c>
      <c r="G812" s="11">
        <v>45862</v>
      </c>
      <c r="H812" s="7">
        <f t="shared" si="61"/>
        <v>30</v>
      </c>
      <c r="I812" s="7">
        <f t="shared" si="62"/>
        <v>1</v>
      </c>
      <c r="J812" s="7" t="str">
        <f t="shared" si="60"/>
        <v>Dentro</v>
      </c>
      <c r="K812" s="7" t="str">
        <f t="shared" si="63"/>
        <v>Programados</v>
      </c>
      <c r="L812" s="13">
        <v>45862</v>
      </c>
      <c r="M812" s="22">
        <f t="shared" si="64"/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Row],[CORREO]],1),E814)</f>
        <v>45863</v>
      </c>
      <c r="G814" s="11">
        <v>45869</v>
      </c>
      <c r="H814" s="7">
        <f t="shared" si="61"/>
        <v>30</v>
      </c>
      <c r="I814" s="7">
        <f t="shared" si="62"/>
        <v>5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Row],[CORREO]],1),E815)</f>
        <v>45863.356944444444</v>
      </c>
      <c r="G815" s="11">
        <v>45870</v>
      </c>
      <c r="H815" s="7">
        <f t="shared" si="61"/>
        <v>30</v>
      </c>
      <c r="I815" s="7">
        <f t="shared" si="62"/>
        <v>6</v>
      </c>
      <c r="J815" s="7" t="str">
        <f t="shared" si="60"/>
        <v>Dentro</v>
      </c>
      <c r="K815" s="7" t="str">
        <f t="shared" si="63"/>
        <v>A tiempo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Row],[CORREO]],1),E816)</f>
        <v>0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Programados</v>
      </c>
      <c r="L816" s="13">
        <v>45863</v>
      </c>
      <c r="M816" s="22">
        <f t="shared" si="64"/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Row],[CORREO]],1),E817)</f>
        <v>45866</v>
      </c>
      <c r="G817" s="11">
        <v>45863</v>
      </c>
      <c r="H817" s="7">
        <f t="shared" si="61"/>
        <v>30</v>
      </c>
      <c r="I817" s="7">
        <f t="shared" si="62"/>
        <v>1</v>
      </c>
      <c r="J817" s="7" t="str">
        <f t="shared" si="60"/>
        <v>ASAP</v>
      </c>
      <c r="K817" s="7" t="str">
        <f t="shared" si="63"/>
        <v>Mismo día</v>
      </c>
      <c r="L817" s="13">
        <v>45863</v>
      </c>
      <c r="M817" s="22">
        <f t="shared" si="64"/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Row],[CORREO]],1),E818)</f>
        <v>0</v>
      </c>
      <c r="G818" s="11">
        <v>45870</v>
      </c>
      <c r="H818" s="7">
        <f t="shared" si="61"/>
        <v>30</v>
      </c>
      <c r="I818" s="7">
        <f t="shared" si="62"/>
        <v>5</v>
      </c>
      <c r="J818" s="7" t="str">
        <f t="shared" si="60"/>
        <v>Dentro</v>
      </c>
      <c r="K818" s="7" t="str">
        <f t="shared" si="63"/>
        <v>Programados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Row],[CORREO]],1),E819)</f>
        <v>45866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Row],[CORREO]],1),E820)</f>
        <v>45866.32916666667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Row],[CORREO]],1),E821)</f>
        <v>45866.339583333334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si="60"/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Row],[CORREO]],1),E822)</f>
        <v>45866.367361111108</v>
      </c>
      <c r="G822" s="11">
        <v>45866</v>
      </c>
      <c r="H822" s="7">
        <f t="shared" si="61"/>
        <v>30</v>
      </c>
      <c r="I822" s="7">
        <f t="shared" si="62"/>
        <v>1</v>
      </c>
      <c r="J822" s="7" t="str">
        <f t="shared" ref="J822:J885" si="65">IF(G822="","Acumulado",IF(ISNUMBER(SEARCH("ASAP",C822)),"ASAP",IF(I822&lt;=7,"Dentro",IF(A822&gt;F822,"Programado","Fuera"))))</f>
        <v>Dentro</v>
      </c>
      <c r="K822" s="7" t="str">
        <f t="shared" si="63"/>
        <v>A tiempo</v>
      </c>
      <c r="L822" s="13">
        <v>45866</v>
      </c>
      <c r="M822" s="22">
        <f t="shared" si="64"/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Row],[CORREO]],1),E823)</f>
        <v>45867</v>
      </c>
      <c r="G823" s="11">
        <v>45869</v>
      </c>
      <c r="H823" s="7">
        <f t="shared" si="61"/>
        <v>30</v>
      </c>
      <c r="I823" s="7">
        <f t="shared" si="62"/>
        <v>3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Row],[CORREO]],1),E824)</f>
        <v>45867</v>
      </c>
      <c r="G824" s="11">
        <v>45867</v>
      </c>
      <c r="H824" s="7">
        <f t="shared" si="61"/>
        <v>30</v>
      </c>
      <c r="I824" s="7">
        <f t="shared" si="62"/>
        <v>1</v>
      </c>
      <c r="J824" s="7" t="str">
        <f t="shared" si="65"/>
        <v>Dentro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Row],[CORREO]],1),E825)</f>
        <v>45867.410416666666</v>
      </c>
      <c r="G825" s="11">
        <v>45870</v>
      </c>
      <c r="H825" s="7">
        <f t="shared" si="61"/>
        <v>30</v>
      </c>
      <c r="I825" s="7">
        <f t="shared" si="62"/>
        <v>4</v>
      </c>
      <c r="J825" s="7" t="str">
        <f t="shared" si="65"/>
        <v>ASAP</v>
      </c>
      <c r="K825" s="7" t="str">
        <f t="shared" si="63"/>
        <v>A tiempo</v>
      </c>
      <c r="L825" s="13">
        <v>45867</v>
      </c>
      <c r="M825" s="22">
        <f t="shared" si="64"/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45870</v>
      </c>
      <c r="H826" s="7">
        <f t="shared" si="61"/>
        <v>31</v>
      </c>
      <c r="I826" s="7">
        <f t="shared" si="62"/>
        <v>3</v>
      </c>
      <c r="J826" s="7" t="str">
        <f t="shared" si="65"/>
        <v>Dentro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45953</v>
      </c>
      <c r="H827" s="7">
        <f t="shared" si="61"/>
        <v>31</v>
      </c>
      <c r="I827" s="7">
        <f t="shared" si="62"/>
        <v>62</v>
      </c>
      <c r="J827" s="7" t="str">
        <f t="shared" si="65"/>
        <v>Programado</v>
      </c>
      <c r="K827" s="7" t="str">
        <f t="shared" si="63"/>
        <v>Programados</v>
      </c>
      <c r="L827" s="13">
        <v>45868</v>
      </c>
      <c r="M827" s="22">
        <f t="shared" si="64"/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45890</v>
      </c>
      <c r="H828" s="7">
        <f t="shared" si="61"/>
        <v>31</v>
      </c>
      <c r="I828" s="7">
        <f t="shared" si="62"/>
        <v>17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Row],[CORREO]],1),E829)</f>
        <v>0</v>
      </c>
      <c r="G829" s="11">
        <v>45911</v>
      </c>
      <c r="H829" s="7">
        <f t="shared" si="61"/>
        <v>31</v>
      </c>
      <c r="I829" s="7">
        <f t="shared" si="62"/>
        <v>32</v>
      </c>
      <c r="J829" s="7" t="str">
        <f t="shared" si="65"/>
        <v>Programado</v>
      </c>
      <c r="K829" s="7" t="str">
        <f t="shared" si="63"/>
        <v>Programados</v>
      </c>
      <c r="L829" s="13">
        <v>45869</v>
      </c>
      <c r="M829" s="22">
        <f t="shared" si="64"/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Row],[CORREO]],1),E830)</f>
        <v>45866</v>
      </c>
      <c r="G830" s="11">
        <v>45919</v>
      </c>
      <c r="H830" s="7">
        <f t="shared" si="61"/>
        <v>31</v>
      </c>
      <c r="I830" s="7">
        <f t="shared" si="62"/>
        <v>38</v>
      </c>
      <c r="J830" s="7" t="str">
        <f t="shared" si="65"/>
        <v>Programado</v>
      </c>
      <c r="K830" s="7" t="str">
        <f t="shared" si="63"/>
        <v>Programados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Row],[CORREO]],1),E831)</f>
        <v>45868</v>
      </c>
      <c r="G831" s="11">
        <v>45868</v>
      </c>
      <c r="H831" s="7">
        <f t="shared" si="61"/>
        <v>31</v>
      </c>
      <c r="I831" s="7">
        <f t="shared" si="62"/>
        <v>1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Row],[CORREO]],1),E833)</f>
        <v>45868</v>
      </c>
      <c r="G833" s="11">
        <v>45870</v>
      </c>
      <c r="H833" s="7">
        <f t="shared" si="61"/>
        <v>31</v>
      </c>
      <c r="I833" s="7">
        <f t="shared" si="62"/>
        <v>3</v>
      </c>
      <c r="J833" s="7" t="str">
        <f t="shared" si="65"/>
        <v>Dentro</v>
      </c>
      <c r="K833" s="7" t="str">
        <f t="shared" si="63"/>
        <v>A tiempo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Row],[CORREO]],1),E834)</f>
        <v>0</v>
      </c>
      <c r="G834" s="11"/>
      <c r="H834" s="7">
        <f t="shared" ref="H834:H897" si="66">INT((A834-DATE(YEAR(A834),1,1))/7) + 1</f>
        <v>31</v>
      </c>
      <c r="I834" s="7">
        <f t="shared" ref="I834:I897" si="67">MAX(1,NETWORKDAYS(A834,G834,DATE(2025,11,17)))</f>
        <v>1</v>
      </c>
      <c r="J834" s="7" t="str">
        <f t="shared" si="65"/>
        <v>Acumulado</v>
      </c>
      <c r="K834" s="7" t="str">
        <f t="shared" ref="K834:K897" si="68">IF(INT(A834)=INT(F834),"A tiempo", IF(A834&lt;F834,"Mismo día","Programados"))</f>
        <v>Programados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Row],[CORREO]],1),E835)</f>
        <v>45868</v>
      </c>
      <c r="G835" s="11">
        <v>45870</v>
      </c>
      <c r="H835" s="7">
        <f t="shared" si="66"/>
        <v>31</v>
      </c>
      <c r="I835" s="7">
        <f t="shared" si="67"/>
        <v>3</v>
      </c>
      <c r="J835" s="7" t="str">
        <f t="shared" si="65"/>
        <v>Dentro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Row],[CORREO]],1),E836)</f>
        <v>45868</v>
      </c>
      <c r="G836" s="11">
        <v>45877</v>
      </c>
      <c r="H836" s="7">
        <f t="shared" si="66"/>
        <v>31</v>
      </c>
      <c r="I836" s="7">
        <f t="shared" si="67"/>
        <v>8</v>
      </c>
      <c r="J836" s="7" t="str">
        <f t="shared" si="65"/>
        <v>Fuera</v>
      </c>
      <c r="K836" s="7" t="str">
        <f t="shared" si="68"/>
        <v>A tiempo</v>
      </c>
      <c r="L836" s="13">
        <v>45868</v>
      </c>
      <c r="M836" s="22">
        <f t="shared" si="69"/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Row],[CORREO]],1),E837)</f>
        <v>45868.374305555553</v>
      </c>
      <c r="G837" s="11"/>
      <c r="H837" s="7">
        <f t="shared" si="66"/>
        <v>31</v>
      </c>
      <c r="I837" s="7">
        <f t="shared" si="67"/>
        <v>1</v>
      </c>
      <c r="J837" s="7" t="str">
        <f t="shared" si="65"/>
        <v>Acumulado</v>
      </c>
      <c r="K837" s="7" t="str">
        <f t="shared" si="68"/>
        <v>Programados</v>
      </c>
      <c r="L837" s="13">
        <v>45868</v>
      </c>
      <c r="M837" s="22">
        <f t="shared" si="69"/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Row],[CORREO]],1),E838)</f>
        <v>45868.418749999997</v>
      </c>
      <c r="G838" s="11">
        <v>45895</v>
      </c>
      <c r="H838" s="7">
        <f t="shared" si="66"/>
        <v>31</v>
      </c>
      <c r="I838" s="7">
        <f t="shared" si="67"/>
        <v>20</v>
      </c>
      <c r="J838" s="7" t="str">
        <f t="shared" si="65"/>
        <v>Fuera</v>
      </c>
      <c r="K838" s="7" t="str">
        <f t="shared" si="68"/>
        <v>A tiempo</v>
      </c>
      <c r="L838" s="13">
        <v>45869</v>
      </c>
      <c r="M838" s="22">
        <f t="shared" si="69"/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Row],[CORREO]],1),E839)</f>
        <v>45868</v>
      </c>
      <c r="G839" s="11">
        <v>45875</v>
      </c>
      <c r="H839" s="7">
        <f t="shared" si="66"/>
        <v>31</v>
      </c>
      <c r="I839" s="7">
        <f t="shared" si="67"/>
        <v>4</v>
      </c>
      <c r="J839" s="7" t="str">
        <f t="shared" si="65"/>
        <v>Dentro</v>
      </c>
      <c r="K839" s="7" t="str">
        <f t="shared" si="68"/>
        <v>Programados</v>
      </c>
      <c r="L839" s="13">
        <v>45868</v>
      </c>
      <c r="M839" s="22">
        <f t="shared" si="69"/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Row],[CORREO]],1),E840)</f>
        <v>45869.306944444441</v>
      </c>
      <c r="G840" s="11">
        <v>45875</v>
      </c>
      <c r="H840" s="7">
        <f t="shared" si="66"/>
        <v>31</v>
      </c>
      <c r="I840" s="7">
        <f t="shared" si="67"/>
        <v>5</v>
      </c>
      <c r="J840" s="7" t="str">
        <f t="shared" si="65"/>
        <v>Dentro</v>
      </c>
      <c r="K840" s="7" t="str">
        <f t="shared" si="68"/>
        <v>A tiempo</v>
      </c>
      <c r="L840" s="13">
        <v>45869</v>
      </c>
      <c r="M840" s="22">
        <f t="shared" si="69"/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Row],[CORREO]],1),E841)</f>
        <v>45870</v>
      </c>
      <c r="G841" s="11">
        <v>45875</v>
      </c>
      <c r="H841" s="7">
        <f t="shared" si="66"/>
        <v>31</v>
      </c>
      <c r="I841" s="7">
        <f t="shared" si="67"/>
        <v>4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Row],[CORREO]],1),E842)</f>
        <v>45870</v>
      </c>
      <c r="G842" s="11">
        <v>45873</v>
      </c>
      <c r="H842" s="7">
        <f t="shared" si="66"/>
        <v>31</v>
      </c>
      <c r="I842" s="7">
        <f t="shared" si="67"/>
        <v>2</v>
      </c>
      <c r="J842" s="7" t="str">
        <f t="shared" si="65"/>
        <v>Dentro</v>
      </c>
      <c r="K842" s="7" t="str">
        <f t="shared" si="68"/>
        <v>A tiempo</v>
      </c>
      <c r="L842" s="13">
        <v>45870</v>
      </c>
      <c r="M842" s="22">
        <f t="shared" si="69"/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Row],[CORREO]],1),E843)</f>
        <v>0</v>
      </c>
      <c r="G843" s="11">
        <v>45877</v>
      </c>
      <c r="H843" s="7">
        <f t="shared" si="66"/>
        <v>31</v>
      </c>
      <c r="I843" s="7">
        <f t="shared" si="67"/>
        <v>5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Row],[CORREO]],1),E844)</f>
        <v>0</v>
      </c>
      <c r="G844" s="11">
        <v>45873</v>
      </c>
      <c r="H844" s="7">
        <f t="shared" si="66"/>
        <v>31</v>
      </c>
      <c r="I844" s="7">
        <f t="shared" si="67"/>
        <v>1</v>
      </c>
      <c r="J844" s="7" t="str">
        <f t="shared" si="65"/>
        <v>Dentro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Row],[CORREO]],1),E849)</f>
        <v>0</v>
      </c>
      <c r="G849" s="11">
        <v>45887</v>
      </c>
      <c r="H849" s="7">
        <f t="shared" si="66"/>
        <v>31</v>
      </c>
      <c r="I849" s="7">
        <f t="shared" si="67"/>
        <v>11</v>
      </c>
      <c r="J849" s="7" t="str">
        <f t="shared" si="65"/>
        <v>Programado</v>
      </c>
      <c r="K849" s="7" t="str">
        <f t="shared" si="68"/>
        <v>Programados</v>
      </c>
      <c r="L849" s="13">
        <v>45873</v>
      </c>
      <c r="M849" s="22">
        <f t="shared" si="69"/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Row],[CORREO]],1),E850)</f>
        <v>45874</v>
      </c>
      <c r="G850" s="11">
        <v>45873</v>
      </c>
      <c r="H850" s="7">
        <f t="shared" si="66"/>
        <v>31</v>
      </c>
      <c r="I850" s="7">
        <f t="shared" si="67"/>
        <v>1</v>
      </c>
      <c r="J850" s="7" t="str">
        <f t="shared" si="65"/>
        <v>Dentro</v>
      </c>
      <c r="K850" s="7" t="str">
        <f t="shared" si="68"/>
        <v>Mismo día</v>
      </c>
      <c r="L850" s="13">
        <v>45873</v>
      </c>
      <c r="M850" s="22">
        <f t="shared" si="69"/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Row],[CORREO]],1),E851)</f>
        <v>45873</v>
      </c>
      <c r="G851" s="11">
        <v>45924</v>
      </c>
      <c r="H851" s="7">
        <f t="shared" si="66"/>
        <v>32</v>
      </c>
      <c r="I851" s="7">
        <f t="shared" si="67"/>
        <v>34</v>
      </c>
      <c r="J851" s="7" t="str">
        <f t="shared" si="65"/>
        <v>Programado</v>
      </c>
      <c r="K851" s="7" t="str">
        <f t="shared" si="68"/>
        <v>Programados</v>
      </c>
      <c r="L851" s="13">
        <v>45873</v>
      </c>
      <c r="M851" s="22">
        <f t="shared" si="69"/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Row],[CORREO]],1),E852)</f>
        <v>45874.333333333336</v>
      </c>
      <c r="G852" s="11">
        <v>45891</v>
      </c>
      <c r="H852" s="7">
        <f t="shared" si="66"/>
        <v>31</v>
      </c>
      <c r="I852" s="7">
        <f t="shared" si="67"/>
        <v>14</v>
      </c>
      <c r="J852" s="7" t="str">
        <f t="shared" si="65"/>
        <v>Fuera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Row],[CORREO]],1),E853)</f>
        <v>45874.334027777775</v>
      </c>
      <c r="G853" s="11">
        <v>45874</v>
      </c>
      <c r="H853" s="7">
        <f t="shared" si="66"/>
        <v>31</v>
      </c>
      <c r="I853" s="7">
        <f t="shared" si="67"/>
        <v>1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Row],[CORREO]],1),E854)</f>
        <v>45874.355555555558</v>
      </c>
      <c r="G854" s="11">
        <v>45875</v>
      </c>
      <c r="H854" s="7">
        <f t="shared" si="66"/>
        <v>31</v>
      </c>
      <c r="I854" s="7">
        <f t="shared" si="67"/>
        <v>2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Row],[CORREO]],1),E855)</f>
        <v>45874</v>
      </c>
      <c r="G855" s="11">
        <v>45874</v>
      </c>
      <c r="H855" s="7">
        <f t="shared" si="66"/>
        <v>31</v>
      </c>
      <c r="I855" s="7">
        <f t="shared" si="67"/>
        <v>1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Row],[CORREO]],1),E856)</f>
        <v>45874.407638888886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Dentro</v>
      </c>
      <c r="K856" s="7" t="str">
        <f t="shared" si="68"/>
        <v>A tiempo</v>
      </c>
      <c r="L856" s="13">
        <v>45874</v>
      </c>
      <c r="M856" s="22">
        <f t="shared" si="69"/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Row],[CORREO]],1),E857)</f>
        <v>45875</v>
      </c>
      <c r="G857" s="11">
        <v>45875</v>
      </c>
      <c r="H857" s="7">
        <f t="shared" si="66"/>
        <v>31</v>
      </c>
      <c r="I857" s="7">
        <f t="shared" si="67"/>
        <v>2</v>
      </c>
      <c r="J857" s="7" t="str">
        <f t="shared" si="65"/>
        <v>ASAP</v>
      </c>
      <c r="K857" s="7" t="str">
        <f t="shared" si="68"/>
        <v>Mismo día</v>
      </c>
      <c r="L857" s="13">
        <v>45874</v>
      </c>
      <c r="M857" s="22">
        <f t="shared" si="69"/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Row],[CORREO]],1),E858)</f>
        <v>45875</v>
      </c>
      <c r="G858" s="11">
        <v>45975</v>
      </c>
      <c r="H858" s="7">
        <f t="shared" si="66"/>
        <v>32</v>
      </c>
      <c r="I858" s="7">
        <f t="shared" si="67"/>
        <v>73</v>
      </c>
      <c r="J858" s="7" t="str">
        <f t="shared" si="65"/>
        <v>Fuera</v>
      </c>
      <c r="K858" s="7" t="str">
        <f t="shared" si="68"/>
        <v>A tiempo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Row],[CORREO]],1),E859)</f>
        <v>0</v>
      </c>
      <c r="G859" s="11">
        <v>45890</v>
      </c>
      <c r="H859" s="7">
        <f t="shared" si="66"/>
        <v>32</v>
      </c>
      <c r="I859" s="7">
        <f t="shared" si="67"/>
        <v>12</v>
      </c>
      <c r="J859" s="7" t="str">
        <f t="shared" si="65"/>
        <v>ASAP</v>
      </c>
      <c r="K859" s="7" t="str">
        <f t="shared" si="68"/>
        <v>Programados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Row],[CORREO]],1),E860)</f>
        <v>45875.361805555556</v>
      </c>
      <c r="G860" s="11">
        <v>45889</v>
      </c>
      <c r="H860" s="7">
        <f t="shared" si="66"/>
        <v>32</v>
      </c>
      <c r="I860" s="7">
        <f t="shared" si="67"/>
        <v>11</v>
      </c>
      <c r="J860" s="7" t="str">
        <f t="shared" si="65"/>
        <v>Fuera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Row],[CORREO]],1),E861)</f>
        <v>45875.390972222223</v>
      </c>
      <c r="G861" s="11">
        <v>45875</v>
      </c>
      <c r="H861" s="7">
        <f t="shared" si="66"/>
        <v>32</v>
      </c>
      <c r="I861" s="7">
        <f t="shared" si="67"/>
        <v>1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Row],[CORREO]],1),E862)</f>
        <v>45875</v>
      </c>
      <c r="G862" s="11">
        <v>45877</v>
      </c>
      <c r="H862" s="7">
        <f t="shared" si="66"/>
        <v>32</v>
      </c>
      <c r="I862" s="7">
        <f t="shared" si="67"/>
        <v>3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Row],[CORREO]],1),E863)</f>
        <v>45875.414583333331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Dentro</v>
      </c>
      <c r="K863" s="7" t="str">
        <f t="shared" si="68"/>
        <v>A tiempo</v>
      </c>
      <c r="L863" s="13">
        <v>45875</v>
      </c>
      <c r="M863" s="22">
        <f t="shared" si="69"/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Row],[CORREO]],1),E864)</f>
        <v>45876</v>
      </c>
      <c r="G864" s="11">
        <v>45875</v>
      </c>
      <c r="H864" s="7">
        <f t="shared" si="66"/>
        <v>32</v>
      </c>
      <c r="I864" s="7">
        <f t="shared" si="67"/>
        <v>1</v>
      </c>
      <c r="J864" s="7" t="str">
        <f t="shared" si="65"/>
        <v>ASAP</v>
      </c>
      <c r="K864" s="7" t="str">
        <f t="shared" si="68"/>
        <v>Mismo día</v>
      </c>
      <c r="L864" s="13">
        <v>45875</v>
      </c>
      <c r="M864" s="22">
        <f t="shared" si="69"/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Row],[CORREO]],1),E865)</f>
        <v>45876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A tiempo</v>
      </c>
      <c r="L865" s="13">
        <v>45877</v>
      </c>
      <c r="M865" s="22">
        <f t="shared" si="69"/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Row],[CORREO]],1),E866)</f>
        <v>45877</v>
      </c>
      <c r="G866" s="11">
        <v>45876</v>
      </c>
      <c r="H866" s="7">
        <f t="shared" si="66"/>
        <v>32</v>
      </c>
      <c r="I866" s="7">
        <f t="shared" si="67"/>
        <v>1</v>
      </c>
      <c r="J866" s="7" t="str">
        <f t="shared" si="65"/>
        <v>Dentro</v>
      </c>
      <c r="K866" s="7" t="str">
        <f t="shared" si="68"/>
        <v>Mismo día</v>
      </c>
      <c r="L866" s="13">
        <v>45876</v>
      </c>
      <c r="M866" s="22">
        <f t="shared" si="69"/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Row],[CORREO]],1),E867)</f>
        <v>0</v>
      </c>
      <c r="G867" s="11">
        <v>45910</v>
      </c>
      <c r="H867" s="7">
        <f t="shared" si="66"/>
        <v>33</v>
      </c>
      <c r="I867" s="7">
        <f t="shared" si="67"/>
        <v>20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Row],[CORREO]],1),E868)</f>
        <v>0</v>
      </c>
      <c r="G868" s="11">
        <v>45901</v>
      </c>
      <c r="H868" s="7">
        <f t="shared" si="66"/>
        <v>32</v>
      </c>
      <c r="I868" s="7">
        <f t="shared" si="67"/>
        <v>17</v>
      </c>
      <c r="J868" s="7" t="str">
        <f t="shared" si="65"/>
        <v>Programado</v>
      </c>
      <c r="K868" s="7" t="str">
        <f t="shared" si="68"/>
        <v>Programados</v>
      </c>
      <c r="L868" s="13">
        <v>45877</v>
      </c>
      <c r="M868" s="22">
        <f t="shared" si="69"/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Row],[CORREO]],1),E869)</f>
        <v>45877.313194444447</v>
      </c>
      <c r="G869" s="11">
        <v>45877</v>
      </c>
      <c r="H869" s="7">
        <f t="shared" si="66"/>
        <v>32</v>
      </c>
      <c r="I869" s="7">
        <f t="shared" si="67"/>
        <v>1</v>
      </c>
      <c r="J869" s="7" t="str">
        <f t="shared" si="65"/>
        <v>Dentro</v>
      </c>
      <c r="K869" s="7" t="str">
        <f t="shared" si="68"/>
        <v>A tiempo</v>
      </c>
      <c r="L869" s="13">
        <v>45877</v>
      </c>
      <c r="M869" s="22">
        <f t="shared" si="69"/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Row],[CORREO]],1),E870)</f>
        <v>45880</v>
      </c>
      <c r="G870" s="11">
        <v>45882</v>
      </c>
      <c r="H870" s="7">
        <f t="shared" si="66"/>
        <v>32</v>
      </c>
      <c r="I870" s="7">
        <f t="shared" si="67"/>
        <v>3</v>
      </c>
      <c r="J870" s="7" t="str">
        <f t="shared" si="65"/>
        <v>Dentro</v>
      </c>
      <c r="K870" s="7" t="str">
        <f t="shared" si="68"/>
        <v>A tiempo</v>
      </c>
      <c r="L870" s="13">
        <v>45880</v>
      </c>
      <c r="M870" s="22">
        <f t="shared" si="69"/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Row],[CORREO]],1),E871)</f>
        <v>45877.334722222222</v>
      </c>
      <c r="G871" s="11">
        <v>45877</v>
      </c>
      <c r="H871" s="7">
        <f t="shared" si="66"/>
        <v>32</v>
      </c>
      <c r="I871" s="7">
        <f t="shared" si="67"/>
        <v>1</v>
      </c>
      <c r="J871" s="7" t="str">
        <f t="shared" si="65"/>
        <v>Dentro</v>
      </c>
      <c r="K871" s="7" t="str">
        <f t="shared" si="68"/>
        <v>A tiempo</v>
      </c>
      <c r="L871" s="13">
        <v>45877</v>
      </c>
      <c r="M871" s="22">
        <f t="shared" si="69"/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Row],[CORREO]],1),E872)</f>
        <v>0</v>
      </c>
      <c r="G872" s="11">
        <v>45894</v>
      </c>
      <c r="H872" s="7">
        <f t="shared" si="66"/>
        <v>32</v>
      </c>
      <c r="I872" s="7">
        <f t="shared" si="67"/>
        <v>12</v>
      </c>
      <c r="J872" s="7" t="str">
        <f t="shared" si="65"/>
        <v>Programado</v>
      </c>
      <c r="K872" s="7" t="str">
        <f t="shared" si="68"/>
        <v>Programados</v>
      </c>
      <c r="L872" s="13">
        <v>45877</v>
      </c>
      <c r="M872" s="22">
        <f t="shared" si="69"/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Row],[CORREO]],1),E873)</f>
        <v>0</v>
      </c>
      <c r="G873" s="11">
        <v>45887</v>
      </c>
      <c r="H873" s="7">
        <f t="shared" si="66"/>
        <v>32</v>
      </c>
      <c r="I873" s="7">
        <f t="shared" si="67"/>
        <v>6</v>
      </c>
      <c r="J873" s="7" t="str">
        <f t="shared" si="65"/>
        <v>Dentro</v>
      </c>
      <c r="K873" s="7" t="str">
        <f t="shared" si="68"/>
        <v>Programados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Row],[CORREO]],1),E874)</f>
        <v>45880</v>
      </c>
      <c r="G874" s="11">
        <v>45881</v>
      </c>
      <c r="H874" s="7">
        <f t="shared" si="66"/>
        <v>32</v>
      </c>
      <c r="I874" s="7">
        <f t="shared" si="67"/>
        <v>2</v>
      </c>
      <c r="J874" s="7" t="str">
        <f t="shared" si="65"/>
        <v>Dentro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Row],[CORREO]],1),E875)</f>
        <v>45880</v>
      </c>
      <c r="G875" s="11">
        <v>45905</v>
      </c>
      <c r="H875" s="7">
        <f t="shared" si="66"/>
        <v>32</v>
      </c>
      <c r="I875" s="7">
        <f t="shared" si="67"/>
        <v>20</v>
      </c>
      <c r="J875" s="7" t="str">
        <f t="shared" si="65"/>
        <v>Fuera</v>
      </c>
      <c r="K875" s="7" t="str">
        <f t="shared" si="68"/>
        <v>A tiempo</v>
      </c>
      <c r="L875" s="13">
        <v>45880</v>
      </c>
      <c r="M875" s="22">
        <f t="shared" si="69"/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Row],[CORREO]],1),E876)</f>
        <v>0</v>
      </c>
      <c r="G876" s="11">
        <v>45894</v>
      </c>
      <c r="H876" s="7">
        <f t="shared" si="66"/>
        <v>32</v>
      </c>
      <c r="I876" s="7">
        <f t="shared" si="67"/>
        <v>11</v>
      </c>
      <c r="J876" s="7" t="str">
        <f t="shared" si="65"/>
        <v>Programado</v>
      </c>
      <c r="K876" s="7" t="str">
        <f t="shared" si="68"/>
        <v>Programados</v>
      </c>
      <c r="L876" s="13">
        <v>45880</v>
      </c>
      <c r="M876" s="22">
        <f t="shared" si="69"/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Row],[CORREO]],1),E877)</f>
        <v>45881</v>
      </c>
      <c r="G877" s="11">
        <v>45881</v>
      </c>
      <c r="H877" s="7">
        <f t="shared" si="66"/>
        <v>32</v>
      </c>
      <c r="I877" s="7">
        <f t="shared" si="67"/>
        <v>1</v>
      </c>
      <c r="J877" s="7" t="str">
        <f t="shared" si="65"/>
        <v>Dentro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Row],[CORREO]],1),E878)</f>
        <v>45881</v>
      </c>
      <c r="G878" s="11">
        <v>45891</v>
      </c>
      <c r="H878" s="7">
        <f t="shared" si="66"/>
        <v>32</v>
      </c>
      <c r="I878" s="7">
        <f t="shared" si="67"/>
        <v>9</v>
      </c>
      <c r="J878" s="7" t="str">
        <f t="shared" si="65"/>
        <v>Fuera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Row],[CORREO]],1),E879)</f>
        <v>45881</v>
      </c>
      <c r="G879" s="11">
        <v>45887</v>
      </c>
      <c r="H879" s="7">
        <f t="shared" si="66"/>
        <v>32</v>
      </c>
      <c r="I879" s="7">
        <f t="shared" si="67"/>
        <v>5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Row],[CORREO]],1),E880)</f>
        <v>45881.387499999997</v>
      </c>
      <c r="G880" s="11">
        <v>45882</v>
      </c>
      <c r="H880" s="7">
        <f t="shared" si="66"/>
        <v>32</v>
      </c>
      <c r="I880" s="7">
        <f t="shared" si="67"/>
        <v>2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Row],[CORREO]],1),E881)</f>
        <v>45881.433333333334</v>
      </c>
      <c r="G881" s="11">
        <v>45886</v>
      </c>
      <c r="H881" s="7">
        <f t="shared" si="66"/>
        <v>32</v>
      </c>
      <c r="I881" s="7">
        <f t="shared" si="67"/>
        <v>4</v>
      </c>
      <c r="J881" s="7" t="str">
        <f t="shared" si="65"/>
        <v>Dentro</v>
      </c>
      <c r="K881" s="7" t="str">
        <f t="shared" si="68"/>
        <v>A tiempo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Row],[CORREO]],1),E882)</f>
        <v>45882</v>
      </c>
      <c r="G882" s="11">
        <v>45885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Row],[CORREO]],1),E883)</f>
        <v>45882</v>
      </c>
      <c r="G883" s="11">
        <v>45886</v>
      </c>
      <c r="H883" s="7">
        <f t="shared" si="66"/>
        <v>32</v>
      </c>
      <c r="I883" s="7">
        <f t="shared" si="67"/>
        <v>4</v>
      </c>
      <c r="J883" s="7" t="str">
        <f t="shared" si="65"/>
        <v>ASAP</v>
      </c>
      <c r="K883" s="7" t="str">
        <f t="shared" si="68"/>
        <v>Mismo día</v>
      </c>
      <c r="L883" s="13">
        <v>45881</v>
      </c>
      <c r="M883" s="22">
        <f t="shared" si="69"/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Row],[CORREO]],1),E884)</f>
        <v>45882</v>
      </c>
      <c r="G884" s="11">
        <v>45895</v>
      </c>
      <c r="H884" s="7">
        <f t="shared" si="66"/>
        <v>33</v>
      </c>
      <c r="I884" s="7">
        <f t="shared" si="67"/>
        <v>10</v>
      </c>
      <c r="J884" s="7" t="str">
        <f t="shared" si="65"/>
        <v>Fuera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si="65"/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Row],[CORREO]],1),E886)</f>
        <v>45882</v>
      </c>
      <c r="G886" s="11">
        <v>45888</v>
      </c>
      <c r="H886" s="7">
        <f t="shared" si="66"/>
        <v>33</v>
      </c>
      <c r="I886" s="7">
        <f t="shared" si="67"/>
        <v>5</v>
      </c>
      <c r="J886" s="7" t="str">
        <f t="shared" ref="J886:J949" si="70">IF(G886="","Acumulado",IF(ISNUMBER(SEARCH("ASAP",C886)),"ASAP",IF(I886&lt;=7,"Dentro",IF(A886&gt;F886,"Programado","Fuera"))))</f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Row],[CORREO]],1),E887)</f>
        <v>45882.329861111109</v>
      </c>
      <c r="G887" s="11">
        <v>45883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45882</v>
      </c>
      <c r="M887" s="22">
        <f t="shared" si="69"/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Row],[CORREO]],1),E888)</f>
        <v>45883</v>
      </c>
      <c r="G888" s="11">
        <v>45885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Row],[CORREO]],1),E889)</f>
        <v>45883</v>
      </c>
      <c r="G889" s="11">
        <v>45884</v>
      </c>
      <c r="H889" s="7">
        <f t="shared" si="66"/>
        <v>33</v>
      </c>
      <c r="I889" s="7">
        <f t="shared" si="67"/>
        <v>2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Row],[CORREO]],1),E890)</f>
        <v>45883.428472222222</v>
      </c>
      <c r="G890" s="11">
        <v>45887</v>
      </c>
      <c r="H890" s="7">
        <f t="shared" si="66"/>
        <v>33</v>
      </c>
      <c r="I890" s="7">
        <f t="shared" si="67"/>
        <v>3</v>
      </c>
      <c r="J890" s="7" t="str">
        <f t="shared" si="70"/>
        <v>Dentro</v>
      </c>
      <c r="K890" s="7" t="str">
        <f t="shared" si="68"/>
        <v>A tiempo</v>
      </c>
      <c r="L890" s="13">
        <v>45883</v>
      </c>
      <c r="M890" s="22">
        <f t="shared" si="69"/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Row],[CORREO]],1),E891)</f>
        <v>45884</v>
      </c>
      <c r="G891" s="11">
        <v>45887</v>
      </c>
      <c r="H891" s="7">
        <f t="shared" si="66"/>
        <v>33</v>
      </c>
      <c r="I891" s="7">
        <f t="shared" si="67"/>
        <v>2</v>
      </c>
      <c r="J891" s="7" t="str">
        <f t="shared" si="70"/>
        <v>Dentro</v>
      </c>
      <c r="K891" s="7" t="str">
        <f t="shared" si="68"/>
        <v>A tiempo</v>
      </c>
      <c r="L891" s="13">
        <v>45884</v>
      </c>
      <c r="M891" s="22">
        <f t="shared" si="69"/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Row],[CORREO]],1),E892)</f>
        <v>0</v>
      </c>
      <c r="G892" s="11">
        <v>45901</v>
      </c>
      <c r="H892" s="7">
        <f t="shared" si="66"/>
        <v>33</v>
      </c>
      <c r="I892" s="7">
        <f t="shared" si="67"/>
        <v>12</v>
      </c>
      <c r="J892" s="7" t="str">
        <f t="shared" si="70"/>
        <v>Programado</v>
      </c>
      <c r="K892" s="7" t="str">
        <f t="shared" si="68"/>
        <v>Programados</v>
      </c>
      <c r="L892" s="13">
        <v>45884</v>
      </c>
      <c r="M892" s="22">
        <f t="shared" si="69"/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Row],[CORREO]],1),E893)</f>
        <v>45884</v>
      </c>
      <c r="G893" s="11">
        <v>45887</v>
      </c>
      <c r="H893" s="7">
        <f t="shared" si="66"/>
        <v>33</v>
      </c>
      <c r="I893" s="7">
        <f t="shared" si="67"/>
        <v>3</v>
      </c>
      <c r="J893" s="7" t="str">
        <f t="shared" si="70"/>
        <v>ASAP</v>
      </c>
      <c r="K893" s="7" t="str">
        <f t="shared" si="68"/>
        <v>Mismo día</v>
      </c>
      <c r="L893" s="13">
        <v>45883</v>
      </c>
      <c r="M893" s="22">
        <f t="shared" si="69"/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Row],[CORREO]],1),E894)</f>
        <v>0</v>
      </c>
      <c r="G894" s="11">
        <v>45905</v>
      </c>
      <c r="H894" s="7">
        <f t="shared" si="66"/>
        <v>33</v>
      </c>
      <c r="I894" s="7">
        <f t="shared" si="67"/>
        <v>16</v>
      </c>
      <c r="J894" s="7" t="str">
        <f t="shared" si="70"/>
        <v>ASAP</v>
      </c>
      <c r="K894" s="7" t="str">
        <f t="shared" si="68"/>
        <v>Programados</v>
      </c>
      <c r="L894" s="13">
        <v>45884</v>
      </c>
      <c r="M894" s="22">
        <f t="shared" si="69"/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Row],[CORREO]],1),E897)</f>
        <v>0</v>
      </c>
      <c r="G897" s="11">
        <v>45894</v>
      </c>
      <c r="H897" s="7">
        <f t="shared" si="66"/>
        <v>33</v>
      </c>
      <c r="I897" s="7">
        <f t="shared" si="67"/>
        <v>6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Row],[CORREO]],1),E898)</f>
        <v>0</v>
      </c>
      <c r="G898" s="11">
        <v>45887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1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Programados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Row],[CORREO]],1),E899)</f>
        <v>45887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Row],[CORREO]],1),E900)</f>
        <v>45887.418749999997</v>
      </c>
      <c r="G900" s="11">
        <v>45888</v>
      </c>
      <c r="H900" s="7">
        <f t="shared" si="71"/>
        <v>33</v>
      </c>
      <c r="I900" s="7">
        <f t="shared" si="72"/>
        <v>2</v>
      </c>
      <c r="J900" s="7" t="str">
        <f t="shared" si="70"/>
        <v>Dentro</v>
      </c>
      <c r="K900" s="7" t="str">
        <f t="shared" si="73"/>
        <v>A tiempo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Row],[CORREO]],1),E901)</f>
        <v>0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Programados</v>
      </c>
      <c r="L901" s="13">
        <v>45887</v>
      </c>
      <c r="M901" s="22">
        <f t="shared" si="74"/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Row],[CORREO]],1),E902)</f>
        <v>45888</v>
      </c>
      <c r="G902" s="11">
        <v>45891</v>
      </c>
      <c r="H902" s="7">
        <f t="shared" si="71"/>
        <v>33</v>
      </c>
      <c r="I902" s="7">
        <f t="shared" si="72"/>
        <v>5</v>
      </c>
      <c r="J902" s="7" t="str">
        <f t="shared" si="70"/>
        <v>Dentro</v>
      </c>
      <c r="K902" s="7" t="str">
        <f t="shared" si="73"/>
        <v>Mismo día</v>
      </c>
      <c r="L902" s="13">
        <v>45887</v>
      </c>
      <c r="M902" s="22">
        <f t="shared" si="74"/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Row],[CORREO]],1),E903)</f>
        <v>45888</v>
      </c>
      <c r="G903" s="11">
        <v>45888</v>
      </c>
      <c r="H903" s="7">
        <f t="shared" si="71"/>
        <v>33</v>
      </c>
      <c r="I903" s="7">
        <f t="shared" si="72"/>
        <v>1</v>
      </c>
      <c r="J903" s="7" t="str">
        <f t="shared" si="70"/>
        <v>Dentro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Row],[CORREO]],1),E904)</f>
        <v>45888</v>
      </c>
      <c r="G904" s="11">
        <v>45901</v>
      </c>
      <c r="H904" s="7">
        <f t="shared" si="71"/>
        <v>33</v>
      </c>
      <c r="I904" s="7">
        <f t="shared" si="72"/>
        <v>10</v>
      </c>
      <c r="J904" s="7" t="str">
        <f t="shared" si="70"/>
        <v>Fuera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45888</v>
      </c>
      <c r="M905" s="22">
        <f t="shared" si="74"/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Row],[CORREO]],1),E906)</f>
        <v>45888</v>
      </c>
      <c r="G906" s="11">
        <v>45891</v>
      </c>
      <c r="H906" s="7">
        <f t="shared" si="71"/>
        <v>33</v>
      </c>
      <c r="I906" s="7">
        <f t="shared" si="72"/>
        <v>4</v>
      </c>
      <c r="J906" s="7" t="str">
        <f t="shared" si="70"/>
        <v>Dentro</v>
      </c>
      <c r="K906" s="7" t="str">
        <f t="shared" si="73"/>
        <v>A tiempo</v>
      </c>
      <c r="L906" s="13">
        <v>45889</v>
      </c>
      <c r="M906" s="22">
        <f t="shared" si="74"/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Row],[CORREO]],1),E907)</f>
        <v>45888</v>
      </c>
      <c r="G907" s="11">
        <v>45895</v>
      </c>
      <c r="H907" s="7">
        <f t="shared" si="71"/>
        <v>33</v>
      </c>
      <c r="I907" s="7">
        <f t="shared" si="72"/>
        <v>6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Row],[CORREO]],1),E908)</f>
        <v>45888.329861111109</v>
      </c>
      <c r="G908" s="11">
        <v>45890</v>
      </c>
      <c r="H908" s="7">
        <f t="shared" si="71"/>
        <v>33</v>
      </c>
      <c r="I908" s="7">
        <f t="shared" si="72"/>
        <v>3</v>
      </c>
      <c r="J908" s="7" t="str">
        <f t="shared" si="70"/>
        <v>Dentro</v>
      </c>
      <c r="K908" s="7" t="str">
        <f t="shared" si="73"/>
        <v>A tiempo</v>
      </c>
      <c r="L908" s="13">
        <v>45888</v>
      </c>
      <c r="M908" s="22">
        <f t="shared" si="74"/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33</v>
      </c>
      <c r="I909" s="7">
        <f t="shared" si="72"/>
        <v>4</v>
      </c>
      <c r="J909" s="7" t="str">
        <f t="shared" si="70"/>
        <v>ASAP</v>
      </c>
      <c r="K909" s="7" t="str">
        <f t="shared" si="73"/>
        <v>Mismo día</v>
      </c>
      <c r="L909" s="13">
        <v>45888</v>
      </c>
      <c r="M909" s="22">
        <f t="shared" si="74"/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Row],[CORREO]],1),E910)</f>
        <v>45889</v>
      </c>
      <c r="G910" s="11">
        <v>45891</v>
      </c>
      <c r="H910" s="7">
        <f t="shared" si="71"/>
        <v>34</v>
      </c>
      <c r="I910" s="7">
        <f t="shared" si="72"/>
        <v>3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Row],[CORREO]],1),E911)</f>
        <v>45889</v>
      </c>
      <c r="G911" s="11">
        <v>45894</v>
      </c>
      <c r="H911" s="7">
        <f t="shared" si="71"/>
        <v>34</v>
      </c>
      <c r="I911" s="7">
        <f t="shared" si="72"/>
        <v>4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Row],[CORREO]],1),E912)</f>
        <v>45889</v>
      </c>
      <c r="G912" s="11">
        <v>45895</v>
      </c>
      <c r="H912" s="7">
        <f t="shared" si="71"/>
        <v>34</v>
      </c>
      <c r="I912" s="7">
        <f t="shared" si="72"/>
        <v>5</v>
      </c>
      <c r="J912" s="7" t="str">
        <f t="shared" si="70"/>
        <v>Dentro</v>
      </c>
      <c r="K912" s="7" t="str">
        <f t="shared" si="73"/>
        <v>A tiempo</v>
      </c>
      <c r="L912" s="13">
        <v>45889</v>
      </c>
      <c r="M912" s="22">
        <f t="shared" si="74"/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Row],[CORREO]],1),E913)</f>
        <v>45889.429861111108</v>
      </c>
      <c r="G913" s="11">
        <v>45897</v>
      </c>
      <c r="H913" s="7">
        <f t="shared" si="71"/>
        <v>34</v>
      </c>
      <c r="I913" s="7">
        <f t="shared" si="72"/>
        <v>7</v>
      </c>
      <c r="J913" s="7" t="str">
        <f t="shared" si="70"/>
        <v>Dentro</v>
      </c>
      <c r="K913" s="7" t="str">
        <f t="shared" si="73"/>
        <v>A tiempo</v>
      </c>
      <c r="L913" s="13">
        <v>45890</v>
      </c>
      <c r="M913" s="22">
        <f t="shared" si="74"/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Row],[CORREO]],1),E914)</f>
        <v>45889.444444444445</v>
      </c>
      <c r="G914" s="11">
        <v>45891</v>
      </c>
      <c r="H914" s="7">
        <f t="shared" si="71"/>
        <v>34</v>
      </c>
      <c r="I914" s="7">
        <f t="shared" si="72"/>
        <v>3</v>
      </c>
      <c r="J914" s="7" t="str">
        <f t="shared" si="70"/>
        <v>Dentro</v>
      </c>
      <c r="K914" s="7" t="str">
        <f t="shared" si="73"/>
        <v>A tiempo</v>
      </c>
      <c r="L914" s="13">
        <v>45889</v>
      </c>
      <c r="M914" s="22">
        <f t="shared" si="74"/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Row],[CORREO]],1),E915)</f>
        <v>45890.435416666667</v>
      </c>
      <c r="G915" s="11">
        <v>45895</v>
      </c>
      <c r="H915" s="7">
        <f t="shared" si="71"/>
        <v>34</v>
      </c>
      <c r="I915" s="7">
        <f t="shared" si="72"/>
        <v>4</v>
      </c>
      <c r="J915" s="7" t="str">
        <f t="shared" si="70"/>
        <v>Dentro</v>
      </c>
      <c r="K915" s="7" t="str">
        <f t="shared" si="73"/>
        <v>A tiempo</v>
      </c>
      <c r="L915" s="13">
        <v>45890</v>
      </c>
      <c r="M915" s="22">
        <f t="shared" si="74"/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Row],[CORREO]],1),E916)</f>
        <v>45891</v>
      </c>
      <c r="G916" s="11">
        <v>45891</v>
      </c>
      <c r="H916" s="7">
        <f t="shared" si="71"/>
        <v>34</v>
      </c>
      <c r="I916" s="7">
        <f t="shared" si="72"/>
        <v>2</v>
      </c>
      <c r="J916" s="7" t="str">
        <f t="shared" si="70"/>
        <v>Dentro</v>
      </c>
      <c r="K916" s="7" t="str">
        <f t="shared" si="73"/>
        <v>Mismo día</v>
      </c>
      <c r="L916" s="13">
        <v>45890</v>
      </c>
      <c r="M916" s="22">
        <f t="shared" si="74"/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Row],[CORREO]],1),E917)</f>
        <v>0</v>
      </c>
      <c r="G917" s="11">
        <v>45910</v>
      </c>
      <c r="H917" s="7">
        <f t="shared" si="71"/>
        <v>34</v>
      </c>
      <c r="I917" s="7">
        <f t="shared" si="72"/>
        <v>14</v>
      </c>
      <c r="J917" s="7" t="str">
        <f t="shared" si="70"/>
        <v>Programado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Row],[CORREO]],1),E919)</f>
        <v>0</v>
      </c>
      <c r="G919" s="11">
        <v>45894</v>
      </c>
      <c r="H919" s="7">
        <f t="shared" si="71"/>
        <v>34</v>
      </c>
      <c r="I919" s="7">
        <f t="shared" si="72"/>
        <v>2</v>
      </c>
      <c r="J919" s="7" t="str">
        <f t="shared" si="70"/>
        <v>Dentro</v>
      </c>
      <c r="K919" s="7" t="str">
        <f t="shared" si="73"/>
        <v>Programados</v>
      </c>
      <c r="L919" s="13">
        <v>45891</v>
      </c>
      <c r="M919" s="22">
        <f t="shared" si="74"/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Row],[CORREO]],1),E920)</f>
        <v>45891.40347222222</v>
      </c>
      <c r="G920" s="11">
        <v>45891</v>
      </c>
      <c r="H920" s="7">
        <f t="shared" si="71"/>
        <v>34</v>
      </c>
      <c r="I920" s="7">
        <f t="shared" si="72"/>
        <v>1</v>
      </c>
      <c r="J920" s="7" t="str">
        <f t="shared" si="70"/>
        <v>Dentro</v>
      </c>
      <c r="K920" s="7" t="str">
        <f t="shared" si="73"/>
        <v>A tiempo</v>
      </c>
      <c r="L920" s="13">
        <v>45894</v>
      </c>
      <c r="M920" s="22">
        <f t="shared" si="74"/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Row],[CORREO]],1),E921)</f>
        <v>0</v>
      </c>
      <c r="G921" s="11">
        <v>45898</v>
      </c>
      <c r="H921" s="7">
        <f t="shared" si="71"/>
        <v>34</v>
      </c>
      <c r="I921" s="7">
        <f t="shared" si="72"/>
        <v>5</v>
      </c>
      <c r="J921" s="7" t="str">
        <f t="shared" si="70"/>
        <v>Dentro</v>
      </c>
      <c r="K921" s="7" t="str">
        <f t="shared" si="73"/>
        <v>Programados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Row],[CORREO]],1),E922)</f>
        <v>45894</v>
      </c>
      <c r="G922" s="11">
        <v>45894</v>
      </c>
      <c r="H922" s="7">
        <f t="shared" si="71"/>
        <v>34</v>
      </c>
      <c r="I922" s="7">
        <f t="shared" si="72"/>
        <v>1</v>
      </c>
      <c r="J922" s="7" t="str">
        <f t="shared" si="70"/>
        <v>Dentro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Row],[CORREO]],1),E923)</f>
        <v>45894.324305555558</v>
      </c>
      <c r="G923" s="11">
        <v>45903</v>
      </c>
      <c r="H923" s="7">
        <f t="shared" si="71"/>
        <v>34</v>
      </c>
      <c r="I923" s="7">
        <f t="shared" si="72"/>
        <v>8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Row],[CORREO]],1),E924)</f>
        <v>45894.392361111109</v>
      </c>
      <c r="G924" s="11">
        <v>45904</v>
      </c>
      <c r="H924" s="7">
        <f t="shared" si="71"/>
        <v>34</v>
      </c>
      <c r="I924" s="7">
        <f t="shared" si="72"/>
        <v>9</v>
      </c>
      <c r="J924" s="7" t="str">
        <f t="shared" si="70"/>
        <v>Fuera</v>
      </c>
      <c r="K924" s="7" t="str">
        <f t="shared" si="73"/>
        <v>A tiempo</v>
      </c>
      <c r="L924" s="13">
        <v>45894</v>
      </c>
      <c r="M924" s="22">
        <f t="shared" si="74"/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Row],[CORREO]],1),E925)</f>
        <v>0</v>
      </c>
      <c r="G925" s="11">
        <v>45901</v>
      </c>
      <c r="H925" s="7">
        <f t="shared" si="71"/>
        <v>34</v>
      </c>
      <c r="I925" s="7">
        <f t="shared" si="72"/>
        <v>6</v>
      </c>
      <c r="J925" s="7" t="str">
        <f t="shared" si="70"/>
        <v>Dentro</v>
      </c>
      <c r="K925" s="7" t="str">
        <f t="shared" si="73"/>
        <v>Programados</v>
      </c>
      <c r="L925" s="13">
        <v>45894</v>
      </c>
      <c r="M925" s="22">
        <f t="shared" si="74"/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Row],[CORREO]],1),E926)</f>
        <v>45895</v>
      </c>
      <c r="G926" s="11">
        <v>45896</v>
      </c>
      <c r="H926" s="7">
        <f t="shared" si="71"/>
        <v>34</v>
      </c>
      <c r="I926" s="7">
        <f t="shared" si="72"/>
        <v>2</v>
      </c>
      <c r="J926" s="7" t="str">
        <f t="shared" si="70"/>
        <v>ASAP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Row],[CORREO]],1),E927)</f>
        <v>45895.412499999999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Row],[CORREO]],1),E928)</f>
        <v>45895.416666666664</v>
      </c>
      <c r="G928" s="11">
        <v>45895</v>
      </c>
      <c r="H928" s="7">
        <f t="shared" si="71"/>
        <v>34</v>
      </c>
      <c r="I928" s="7">
        <f t="shared" si="72"/>
        <v>1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Row],[CORREO]],1),E929)</f>
        <v>45895.436111111114</v>
      </c>
      <c r="G929" s="11">
        <v>45896</v>
      </c>
      <c r="H929" s="7">
        <f t="shared" si="71"/>
        <v>34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45895</v>
      </c>
      <c r="M929" s="22">
        <f t="shared" si="74"/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Row],[CORREO]],1),E930)</f>
        <v>45896</v>
      </c>
      <c r="G930" s="11">
        <v>45897</v>
      </c>
      <c r="H930" s="7">
        <f t="shared" si="71"/>
        <v>35</v>
      </c>
      <c r="I930" s="7">
        <f t="shared" si="72"/>
        <v>2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Row],[CORREO]],1),E931)</f>
        <v>45896.345138888886</v>
      </c>
      <c r="G931" s="11">
        <v>45896</v>
      </c>
      <c r="H931" s="7">
        <f t="shared" si="71"/>
        <v>35</v>
      </c>
      <c r="I931" s="7">
        <f t="shared" si="72"/>
        <v>1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Row],[CORREO]],1),E932)</f>
        <v>45896.373611111114</v>
      </c>
      <c r="G932" s="11">
        <v>45902</v>
      </c>
      <c r="H932" s="7">
        <f t="shared" si="71"/>
        <v>35</v>
      </c>
      <c r="I932" s="7">
        <f t="shared" si="72"/>
        <v>5</v>
      </c>
      <c r="J932" s="7" t="str">
        <f t="shared" si="70"/>
        <v>Dentro</v>
      </c>
      <c r="K932" s="7" t="str">
        <f t="shared" si="73"/>
        <v>A tiempo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Row],[CORREO]],1),E933)</f>
        <v>0</v>
      </c>
      <c r="G933" s="11">
        <v>45922</v>
      </c>
      <c r="H933" s="7">
        <f t="shared" si="71"/>
        <v>35</v>
      </c>
      <c r="I933" s="7">
        <f t="shared" si="72"/>
        <v>19</v>
      </c>
      <c r="J933" s="7" t="str">
        <f t="shared" si="70"/>
        <v>Programado</v>
      </c>
      <c r="K933" s="7" t="str">
        <f t="shared" si="73"/>
        <v>Programados</v>
      </c>
      <c r="L933" s="13">
        <v>45896</v>
      </c>
      <c r="M933" s="22">
        <f t="shared" si="74"/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Row],[CORREO]],1),E934)</f>
        <v>45896.433333333334</v>
      </c>
      <c r="G934" s="11">
        <v>45902</v>
      </c>
      <c r="H934" s="7">
        <f t="shared" si="71"/>
        <v>35</v>
      </c>
      <c r="I934" s="7">
        <f t="shared" si="72"/>
        <v>5</v>
      </c>
      <c r="J934" s="7" t="str">
        <f t="shared" si="70"/>
        <v>Dentro</v>
      </c>
      <c r="K934" s="7" t="str">
        <f t="shared" si="73"/>
        <v>A tiempo</v>
      </c>
      <c r="L934" s="13">
        <v>45896</v>
      </c>
      <c r="M934" s="22">
        <f t="shared" si="74"/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Row],[CORREO]],1),E935)</f>
        <v>45897</v>
      </c>
      <c r="G935" s="11">
        <v>45898</v>
      </c>
      <c r="H935" s="7">
        <f t="shared" si="71"/>
        <v>35</v>
      </c>
      <c r="I935" s="7">
        <f t="shared" si="72"/>
        <v>2</v>
      </c>
      <c r="J935" s="7" t="str">
        <f t="shared" si="70"/>
        <v>Dentro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>
        <v>45896.568055555559</v>
      </c>
      <c r="F936" s="11">
        <f>IF(HOUR(Table1[[#This Row],[CORREO]])&gt;=11,WORKDAY(Table1[[#This Row],[CORREO]],1),E936)</f>
        <v>45897</v>
      </c>
      <c r="G936" s="11"/>
      <c r="H936" s="7">
        <f t="shared" si="71"/>
        <v>35</v>
      </c>
      <c r="I936" s="7">
        <f t="shared" si="72"/>
        <v>1</v>
      </c>
      <c r="J936" s="7" t="str">
        <f t="shared" si="70"/>
        <v>Acumulado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Row],[CORREO]],1),E937)</f>
        <v>45897</v>
      </c>
      <c r="G937" s="11">
        <v>45902</v>
      </c>
      <c r="H937" s="7">
        <f t="shared" si="71"/>
        <v>35</v>
      </c>
      <c r="I937" s="7">
        <f t="shared" si="72"/>
        <v>4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Row],[CORREO]],1),E938)</f>
        <v>45897</v>
      </c>
      <c r="G938" s="11">
        <v>45905</v>
      </c>
      <c r="H938" s="7">
        <f t="shared" si="71"/>
        <v>35</v>
      </c>
      <c r="I938" s="7">
        <f t="shared" si="72"/>
        <v>7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Row],[CORREO]],1),E939)</f>
        <v>45897.293055555558</v>
      </c>
      <c r="G939" s="11">
        <v>45897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45897</v>
      </c>
      <c r="M939" s="22">
        <f t="shared" si="74"/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Row],[CORREO]],1),E940)</f>
        <v>45898</v>
      </c>
      <c r="G940" s="11">
        <v>45898</v>
      </c>
      <c r="H940" s="7">
        <f t="shared" si="71"/>
        <v>35</v>
      </c>
      <c r="I940" s="7">
        <f t="shared" si="72"/>
        <v>1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Row],[CORREO]],1),E941)</f>
        <v>45898</v>
      </c>
      <c r="G941" s="11">
        <v>45902</v>
      </c>
      <c r="H941" s="20">
        <f t="shared" si="71"/>
        <v>35</v>
      </c>
      <c r="I941" s="20">
        <f t="shared" si="72"/>
        <v>3</v>
      </c>
      <c r="J941" s="20" t="str">
        <f t="shared" si="70"/>
        <v>Dentro</v>
      </c>
      <c r="K941" s="20" t="str">
        <f t="shared" si="73"/>
        <v>A tiempo</v>
      </c>
      <c r="L941" s="13">
        <v>45898</v>
      </c>
      <c r="M941" s="23">
        <f t="shared" si="74"/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Row],[CORREO]],1),E942)</f>
        <v>0</v>
      </c>
      <c r="G942" s="11">
        <v>45905</v>
      </c>
      <c r="H942" s="7">
        <f t="shared" si="71"/>
        <v>35</v>
      </c>
      <c r="I942" s="7">
        <f t="shared" si="72"/>
        <v>5</v>
      </c>
      <c r="J942" s="7" t="str">
        <f t="shared" si="70"/>
        <v>Dentro</v>
      </c>
      <c r="K942" s="7" t="str">
        <f t="shared" si="73"/>
        <v>Programados</v>
      </c>
      <c r="L942" s="13">
        <v>45875</v>
      </c>
      <c r="M942" s="22">
        <f t="shared" si="74"/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Row],[CORREO]],1),E943)</f>
        <v>45901</v>
      </c>
      <c r="G943" s="11">
        <v>45901</v>
      </c>
      <c r="H943" s="7">
        <f t="shared" si="71"/>
        <v>35</v>
      </c>
      <c r="I943" s="7">
        <f t="shared" si="72"/>
        <v>1</v>
      </c>
      <c r="J943" s="7" t="str">
        <f t="shared" si="70"/>
        <v>Dentro</v>
      </c>
      <c r="K943" s="7" t="str">
        <f t="shared" si="73"/>
        <v>A tiempo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Row],[CORREO]],1),E944)</f>
        <v>0</v>
      </c>
      <c r="G944" s="11">
        <v>45911</v>
      </c>
      <c r="H944" s="7">
        <f t="shared" si="71"/>
        <v>35</v>
      </c>
      <c r="I944" s="7">
        <f t="shared" si="72"/>
        <v>9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Row],[CORREO]],1),E945)</f>
        <v>0</v>
      </c>
      <c r="G945" s="11">
        <v>45918</v>
      </c>
      <c r="H945" s="7">
        <f t="shared" si="71"/>
        <v>35</v>
      </c>
      <c r="I945" s="7">
        <f t="shared" si="72"/>
        <v>14</v>
      </c>
      <c r="J945" s="7" t="str">
        <f t="shared" si="70"/>
        <v>Programado</v>
      </c>
      <c r="K945" s="7" t="str">
        <f t="shared" si="73"/>
        <v>Programados</v>
      </c>
      <c r="L945" s="13">
        <v>45901</v>
      </c>
      <c r="M945" s="22">
        <f t="shared" si="74"/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Row],[CORREO]],1),E946)</f>
        <v>45902</v>
      </c>
      <c r="G946" s="11">
        <v>45902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Mismo día</v>
      </c>
      <c r="L946" s="13">
        <v>45901</v>
      </c>
      <c r="M946" s="22">
        <f t="shared" si="74"/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Row],[CORREO]],1),E947)</f>
        <v>45902.365972222222</v>
      </c>
      <c r="G947" s="11">
        <v>45903</v>
      </c>
      <c r="H947" s="7">
        <f t="shared" si="71"/>
        <v>35</v>
      </c>
      <c r="I947" s="7">
        <f t="shared" si="72"/>
        <v>2</v>
      </c>
      <c r="J947" s="7" t="str">
        <f t="shared" si="70"/>
        <v>Dentro</v>
      </c>
      <c r="K947" s="7" t="str">
        <f t="shared" si="73"/>
        <v>A tiempo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45910</v>
      </c>
      <c r="H948" s="7">
        <f t="shared" si="71"/>
        <v>35</v>
      </c>
      <c r="I948" s="7">
        <f t="shared" si="72"/>
        <v>7</v>
      </c>
      <c r="J948" s="7" t="str">
        <f t="shared" si="70"/>
        <v>Dentro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45922</v>
      </c>
      <c r="H949" s="7">
        <f t="shared" si="71"/>
        <v>35</v>
      </c>
      <c r="I949" s="7">
        <f t="shared" si="72"/>
        <v>15</v>
      </c>
      <c r="J949" s="7" t="str">
        <f t="shared" si="70"/>
        <v>Programado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ref="J950:J1013" si="75">IF(G950="","Acumulado",IF(ISNUMBER(SEARCH("ASAP",C950)),"ASAP",IF(I950&lt;=7,"Dentro",IF(A950&gt;F950,"Programado","Fuera"))))</f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Row],[CORREO]],1),E952)</f>
        <v>0</v>
      </c>
      <c r="G952" s="11">
        <v>45910</v>
      </c>
      <c r="H952" s="7">
        <f t="shared" si="71"/>
        <v>35</v>
      </c>
      <c r="I952" s="7">
        <f t="shared" si="72"/>
        <v>7</v>
      </c>
      <c r="J952" s="7" t="str">
        <f t="shared" si="75"/>
        <v>Dentro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Row],[CORREO]],1),E953)</f>
        <v>0</v>
      </c>
      <c r="G953" s="11">
        <v>45902</v>
      </c>
      <c r="H953" s="7">
        <f t="shared" si="71"/>
        <v>35</v>
      </c>
      <c r="I953" s="7">
        <f t="shared" si="72"/>
        <v>1</v>
      </c>
      <c r="J953" s="7" t="str">
        <f t="shared" si="75"/>
        <v>ASAP</v>
      </c>
      <c r="K953" s="7" t="str">
        <f t="shared" si="73"/>
        <v>Programados</v>
      </c>
      <c r="L953" s="13">
        <v>45902</v>
      </c>
      <c r="M953" s="22">
        <f t="shared" si="74"/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Row],[CORREO]],1),E954)</f>
        <v>45903</v>
      </c>
      <c r="G954" s="11">
        <v>45950</v>
      </c>
      <c r="H954" s="7">
        <f t="shared" si="71"/>
        <v>36</v>
      </c>
      <c r="I954" s="7">
        <f t="shared" si="72"/>
        <v>34</v>
      </c>
      <c r="J954" s="7" t="str">
        <f t="shared" si="75"/>
        <v>Fuera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Row],[CORREO]],1),E955)</f>
        <v>45903</v>
      </c>
      <c r="G955" s="11">
        <v>45905</v>
      </c>
      <c r="H955" s="7">
        <f t="shared" si="71"/>
        <v>36</v>
      </c>
      <c r="I955" s="7">
        <f t="shared" si="72"/>
        <v>3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Row],[CORREO]],1),E956)</f>
        <v>45903.304166666669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A tiempo</v>
      </c>
      <c r="L956" s="13">
        <v>45903</v>
      </c>
      <c r="M956" s="22">
        <f t="shared" si="74"/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Row],[CORREO]],1),E957)</f>
        <v>45904</v>
      </c>
      <c r="G957" s="11">
        <v>45903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Mismo día</v>
      </c>
      <c r="L957" s="13">
        <v>45903</v>
      </c>
      <c r="M957" s="22">
        <f t="shared" si="74"/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Row],[CORREO]],1),E959)</f>
        <v>45904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Row],[CORREO]],1),E960)</f>
        <v>45904.363194444442</v>
      </c>
      <c r="G960" s="11">
        <v>45904</v>
      </c>
      <c r="H960" s="7">
        <f t="shared" si="71"/>
        <v>36</v>
      </c>
      <c r="I960" s="7">
        <f t="shared" si="72"/>
        <v>1</v>
      </c>
      <c r="J960" s="7" t="str">
        <f t="shared" si="75"/>
        <v>Dentro</v>
      </c>
      <c r="K960" s="7" t="str">
        <f t="shared" si="73"/>
        <v>A tiempo</v>
      </c>
      <c r="L960" s="13">
        <v>45904</v>
      </c>
      <c r="M960" s="22">
        <f t="shared" si="74"/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Row],[CORREO]],1),E961)</f>
        <v>45905</v>
      </c>
      <c r="G961" s="11">
        <v>45908</v>
      </c>
      <c r="H961" s="7">
        <f t="shared" si="71"/>
        <v>36</v>
      </c>
      <c r="I961" s="7">
        <f t="shared" si="72"/>
        <v>2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Row],[CORREO]],1),E962)</f>
        <v>45905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Row],[CORREO]],1),E963)</f>
        <v>45905.306944444441</v>
      </c>
      <c r="G963" s="11">
        <v>45905</v>
      </c>
      <c r="H963" s="7">
        <f t="shared" si="76"/>
        <v>36</v>
      </c>
      <c r="I963" s="7">
        <f t="shared" si="77"/>
        <v>1</v>
      </c>
      <c r="J963" s="7" t="str">
        <f t="shared" si="75"/>
        <v>Dentro</v>
      </c>
      <c r="K963" s="7" t="str">
        <f t="shared" si="78"/>
        <v>A tiempo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Row],[CORREO]],1),E964)</f>
        <v>0</v>
      </c>
      <c r="G964" s="11">
        <v>45912</v>
      </c>
      <c r="H964" s="7">
        <f t="shared" si="76"/>
        <v>36</v>
      </c>
      <c r="I964" s="7">
        <f t="shared" si="77"/>
        <v>6</v>
      </c>
      <c r="J964" s="7" t="str">
        <f t="shared" si="75"/>
        <v>Dentro</v>
      </c>
      <c r="K964" s="7" t="str">
        <f t="shared" si="78"/>
        <v>Programados</v>
      </c>
      <c r="L964" s="13">
        <v>45905</v>
      </c>
      <c r="M964" s="22">
        <f t="shared" si="79"/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Row],[CORREO]],1),E965)</f>
        <v>45905.368055555555</v>
      </c>
      <c r="G965" s="11">
        <v>45910</v>
      </c>
      <c r="H965" s="7">
        <f t="shared" si="76"/>
        <v>36</v>
      </c>
      <c r="I965" s="7">
        <f t="shared" si="77"/>
        <v>4</v>
      </c>
      <c r="J965" s="7" t="str">
        <f t="shared" si="75"/>
        <v>Dentro</v>
      </c>
      <c r="K965" s="7" t="str">
        <f t="shared" si="78"/>
        <v>A tiempo</v>
      </c>
      <c r="L965" s="13">
        <v>45908</v>
      </c>
      <c r="M965" s="22">
        <f t="shared" si="79"/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Row],[CORREO]],1),E966)</f>
        <v>0</v>
      </c>
      <c r="G966" s="11">
        <v>45931</v>
      </c>
      <c r="H966" s="7">
        <f t="shared" si="76"/>
        <v>36</v>
      </c>
      <c r="I966" s="7">
        <f t="shared" si="77"/>
        <v>18</v>
      </c>
      <c r="J966" s="7" t="str">
        <f t="shared" si="75"/>
        <v>Programado</v>
      </c>
      <c r="K966" s="7" t="str">
        <f t="shared" si="78"/>
        <v>Programados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Row],[CORREO]],1),E967)</f>
        <v>45908</v>
      </c>
      <c r="G967" s="11">
        <v>45909</v>
      </c>
      <c r="H967" s="7">
        <f t="shared" si="76"/>
        <v>36</v>
      </c>
      <c r="I967" s="7">
        <f t="shared" si="77"/>
        <v>2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Row],[CORREO]],1),E968)</f>
        <v>45908</v>
      </c>
      <c r="G968" s="11">
        <v>45910</v>
      </c>
      <c r="H968" s="7">
        <f t="shared" si="76"/>
        <v>36</v>
      </c>
      <c r="I968" s="7">
        <f t="shared" si="77"/>
        <v>3</v>
      </c>
      <c r="J968" s="7" t="str">
        <f t="shared" si="75"/>
        <v>Dentro</v>
      </c>
      <c r="K968" s="7" t="str">
        <f t="shared" si="78"/>
        <v>A tiempo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Row],[CORREO]],1),E969)</f>
        <v>0</v>
      </c>
      <c r="G969" s="11">
        <v>45912</v>
      </c>
      <c r="H969" s="7">
        <f t="shared" si="76"/>
        <v>36</v>
      </c>
      <c r="I969" s="7">
        <f t="shared" si="77"/>
        <v>5</v>
      </c>
      <c r="J969" s="7" t="str">
        <f t="shared" si="75"/>
        <v>Dentro</v>
      </c>
      <c r="K969" s="7" t="str">
        <f t="shared" si="78"/>
        <v>Programados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Row],[CORREO]],1),E970)</f>
        <v>45908</v>
      </c>
      <c r="G970" s="11">
        <v>45909</v>
      </c>
      <c r="H970" s="7">
        <f t="shared" si="76"/>
        <v>36</v>
      </c>
      <c r="I970" s="7">
        <f t="shared" si="77"/>
        <v>2</v>
      </c>
      <c r="J970" s="7" t="str">
        <f t="shared" si="75"/>
        <v>Dentro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Row],[CORREO]],1),E971)</f>
        <v>45908</v>
      </c>
      <c r="G971" s="11">
        <v>45918</v>
      </c>
      <c r="H971" s="7">
        <f t="shared" si="76"/>
        <v>36</v>
      </c>
      <c r="I971" s="7">
        <f t="shared" si="77"/>
        <v>9</v>
      </c>
      <c r="J971" s="7" t="str">
        <f t="shared" si="75"/>
        <v>Fuera</v>
      </c>
      <c r="K971" s="7" t="str">
        <f t="shared" si="78"/>
        <v>A tiempo</v>
      </c>
      <c r="L971" s="13">
        <v>45908</v>
      </c>
      <c r="M971" s="22">
        <f t="shared" si="79"/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Row],[CORREO]],1),E972)</f>
        <v>45908.34375</v>
      </c>
      <c r="G972" s="11">
        <v>45912</v>
      </c>
      <c r="H972" s="7">
        <f t="shared" si="76"/>
        <v>36</v>
      </c>
      <c r="I972" s="7">
        <f t="shared" si="77"/>
        <v>5</v>
      </c>
      <c r="J972" s="7" t="str">
        <f t="shared" si="75"/>
        <v>Dentro</v>
      </c>
      <c r="K972" s="7" t="str">
        <f t="shared" si="78"/>
        <v>A tiempo</v>
      </c>
      <c r="L972" s="13">
        <v>45909</v>
      </c>
      <c r="M972" s="22">
        <f t="shared" si="79"/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Row],[CORREO]],1),E973)</f>
        <v>45908.35833333333</v>
      </c>
      <c r="G973" s="11">
        <v>45909</v>
      </c>
      <c r="H973" s="7">
        <f t="shared" si="76"/>
        <v>36</v>
      </c>
      <c r="I973" s="7">
        <f t="shared" si="77"/>
        <v>2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Row],[CORREO]],1),E974)</f>
        <v>45908.359027777777</v>
      </c>
      <c r="G974" s="11">
        <v>45911</v>
      </c>
      <c r="H974" s="7">
        <f t="shared" si="76"/>
        <v>36</v>
      </c>
      <c r="I974" s="7">
        <f t="shared" si="77"/>
        <v>4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Row],[CORREO]],1),E975)</f>
        <v>45908.445138888892</v>
      </c>
      <c r="G975" s="11">
        <v>45910</v>
      </c>
      <c r="H975" s="7">
        <f t="shared" si="76"/>
        <v>36</v>
      </c>
      <c r="I975" s="7">
        <f t="shared" si="77"/>
        <v>3</v>
      </c>
      <c r="J975" s="7" t="str">
        <f t="shared" si="75"/>
        <v>Dentro</v>
      </c>
      <c r="K975" s="7" t="str">
        <f t="shared" si="78"/>
        <v>A tiempo</v>
      </c>
      <c r="L975" s="13">
        <v>45908</v>
      </c>
      <c r="M975" s="22">
        <f t="shared" si="79"/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45910</v>
      </c>
      <c r="M976" s="22">
        <f t="shared" si="79"/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Row],[CORREO]],1),E977)</f>
        <v>0</v>
      </c>
      <c r="G977" s="11">
        <v>45918</v>
      </c>
      <c r="H977" s="7">
        <f t="shared" si="76"/>
        <v>36</v>
      </c>
      <c r="I977" s="7">
        <f t="shared" si="77"/>
        <v>8</v>
      </c>
      <c r="J977" s="7" t="str">
        <f t="shared" si="75"/>
        <v>Programado</v>
      </c>
      <c r="K977" s="7" t="str">
        <f t="shared" si="78"/>
        <v>Programados</v>
      </c>
      <c r="L977" s="13">
        <v>45864</v>
      </c>
      <c r="M977" s="22">
        <f t="shared" si="79"/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Row],[CORREO]],1),E978)</f>
        <v>45909.320833333331</v>
      </c>
      <c r="G978" s="11">
        <v>45910</v>
      </c>
      <c r="H978" s="7">
        <f t="shared" si="76"/>
        <v>36</v>
      </c>
      <c r="I978" s="7">
        <f t="shared" si="77"/>
        <v>2</v>
      </c>
      <c r="J978" s="7" t="str">
        <f t="shared" si="75"/>
        <v>Dentro</v>
      </c>
      <c r="K978" s="7" t="str">
        <f t="shared" si="78"/>
        <v>A tiempo</v>
      </c>
      <c r="L978" s="13">
        <v>45909</v>
      </c>
      <c r="M978" s="22">
        <f t="shared" si="79"/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Row],[CORREO]],1),E979)</f>
        <v>0</v>
      </c>
      <c r="G979" s="11">
        <v>45918</v>
      </c>
      <c r="H979" s="7">
        <f t="shared" si="76"/>
        <v>36</v>
      </c>
      <c r="I979" s="7">
        <f t="shared" si="77"/>
        <v>8</v>
      </c>
      <c r="J979" s="7" t="str">
        <f t="shared" si="75"/>
        <v>Programado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Row],[CORREO]],1),E980)</f>
        <v>45853.342361111114</v>
      </c>
      <c r="G980" s="11">
        <v>45910</v>
      </c>
      <c r="H980" s="7">
        <f t="shared" si="76"/>
        <v>36</v>
      </c>
      <c r="I980" s="7">
        <f t="shared" si="77"/>
        <v>2</v>
      </c>
      <c r="J980" s="7" t="str">
        <f t="shared" si="75"/>
        <v>ASAP</v>
      </c>
      <c r="K980" s="7" t="str">
        <f t="shared" si="78"/>
        <v>Programados</v>
      </c>
      <c r="L980" s="13">
        <v>45910</v>
      </c>
      <c r="M980" s="22">
        <f t="shared" si="79"/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Row],[CORREO]],1),E981)</f>
        <v>45910</v>
      </c>
      <c r="G981" s="11">
        <v>45910</v>
      </c>
      <c r="H981" s="7">
        <f t="shared" si="76"/>
        <v>37</v>
      </c>
      <c r="I981" s="7">
        <f t="shared" si="77"/>
        <v>1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Row],[CORREO]],1),E982)</f>
        <v>45910</v>
      </c>
      <c r="G982" s="11">
        <v>45911</v>
      </c>
      <c r="H982" s="7">
        <f t="shared" si="76"/>
        <v>37</v>
      </c>
      <c r="I982" s="7">
        <f t="shared" si="77"/>
        <v>2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Row],[CORREO]],1),E983)</f>
        <v>45910</v>
      </c>
      <c r="G983" s="11">
        <v>45910</v>
      </c>
      <c r="H983" s="7">
        <f t="shared" si="76"/>
        <v>37</v>
      </c>
      <c r="I983" s="7">
        <f t="shared" si="77"/>
        <v>1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Row],[CORREO]],1),E984)</f>
        <v>45910.345138888886</v>
      </c>
      <c r="G984" s="11">
        <v>45912</v>
      </c>
      <c r="H984" s="7">
        <f t="shared" si="76"/>
        <v>37</v>
      </c>
      <c r="I984" s="7">
        <f t="shared" si="77"/>
        <v>3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Row],[CORREO]],1),E985)</f>
        <v>45910.418749999997</v>
      </c>
      <c r="G985" s="11">
        <v>45910</v>
      </c>
      <c r="H985" s="7">
        <f t="shared" si="76"/>
        <v>37</v>
      </c>
      <c r="I985" s="7">
        <f t="shared" si="77"/>
        <v>1</v>
      </c>
      <c r="J985" s="7" t="str">
        <f t="shared" si="75"/>
        <v>Dentro</v>
      </c>
      <c r="K985" s="7" t="str">
        <f t="shared" si="78"/>
        <v>A tiempo</v>
      </c>
      <c r="L985" s="13">
        <v>45910</v>
      </c>
      <c r="M985" s="22">
        <f t="shared" si="79"/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Row],[CORREO]],1),E986)</f>
        <v>45911</v>
      </c>
      <c r="G986" s="11">
        <v>45911</v>
      </c>
      <c r="H986" s="7">
        <f t="shared" si="76"/>
        <v>37</v>
      </c>
      <c r="I986" s="7">
        <f t="shared" si="77"/>
        <v>2</v>
      </c>
      <c r="J986" s="7" t="str">
        <f t="shared" si="75"/>
        <v>Dentro</v>
      </c>
      <c r="K986" s="7" t="str">
        <f t="shared" si="78"/>
        <v>Mismo día</v>
      </c>
      <c r="L986" s="13">
        <v>45910</v>
      </c>
      <c r="M986" s="22">
        <f t="shared" si="79"/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Row],[CORREO]],1),E987)</f>
        <v>0</v>
      </c>
      <c r="G987" s="11">
        <v>45926</v>
      </c>
      <c r="H987" s="7">
        <f t="shared" si="76"/>
        <v>37</v>
      </c>
      <c r="I987" s="7">
        <f t="shared" si="77"/>
        <v>12</v>
      </c>
      <c r="J987" s="7" t="str">
        <f t="shared" si="75"/>
        <v>Programado</v>
      </c>
      <c r="K987" s="7" t="str">
        <f t="shared" si="78"/>
        <v>Programados</v>
      </c>
      <c r="L987" s="13">
        <v>45911</v>
      </c>
      <c r="M987" s="22">
        <f t="shared" si="79"/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Row],[CORREO]],1),E988)</f>
        <v>45912</v>
      </c>
      <c r="G988" s="11">
        <v>45911</v>
      </c>
      <c r="H988" s="7">
        <f t="shared" si="76"/>
        <v>37</v>
      </c>
      <c r="I988" s="7">
        <f t="shared" si="77"/>
        <v>1</v>
      </c>
      <c r="J988" s="7" t="str">
        <f t="shared" si="75"/>
        <v>Dentro</v>
      </c>
      <c r="K988" s="7" t="str">
        <f t="shared" si="78"/>
        <v>Mismo día</v>
      </c>
      <c r="L988" s="13">
        <v>45911</v>
      </c>
      <c r="M988" s="22">
        <f t="shared" si="79"/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Row],[CORREO]],1),E989)</f>
        <v>45912</v>
      </c>
      <c r="G989" s="11">
        <v>45917</v>
      </c>
      <c r="H989" s="7">
        <f t="shared" si="76"/>
        <v>37</v>
      </c>
      <c r="I989" s="7">
        <f t="shared" si="77"/>
        <v>4</v>
      </c>
      <c r="J989" s="7" t="str">
        <f t="shared" si="75"/>
        <v>Dentro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Row],[CORREO]],1),E990)</f>
        <v>45912</v>
      </c>
      <c r="G990" s="11">
        <v>45933</v>
      </c>
      <c r="H990" s="7">
        <f t="shared" si="76"/>
        <v>37</v>
      </c>
      <c r="I990" s="7">
        <f t="shared" si="77"/>
        <v>16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Row],[CORREO]],1),E991)</f>
        <v>45912</v>
      </c>
      <c r="G991" s="11">
        <v>45923</v>
      </c>
      <c r="H991" s="7">
        <f t="shared" si="76"/>
        <v>37</v>
      </c>
      <c r="I991" s="7">
        <f t="shared" si="77"/>
        <v>8</v>
      </c>
      <c r="J991" s="7" t="str">
        <f t="shared" si="75"/>
        <v>Fuera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Row],[CORREO]],1),E992)</f>
        <v>45912</v>
      </c>
      <c r="G992" s="11">
        <v>45917</v>
      </c>
      <c r="H992" s="7">
        <f t="shared" si="76"/>
        <v>37</v>
      </c>
      <c r="I992" s="7">
        <f t="shared" si="77"/>
        <v>4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Row],[CORREO]],1),E993)</f>
        <v>45912</v>
      </c>
      <c r="G993" s="11">
        <v>45912</v>
      </c>
      <c r="H993" s="7">
        <f t="shared" si="76"/>
        <v>37</v>
      </c>
      <c r="I993" s="7">
        <f t="shared" si="77"/>
        <v>1</v>
      </c>
      <c r="J993" s="7" t="str">
        <f t="shared" si="75"/>
        <v>Dentro</v>
      </c>
      <c r="K993" s="7" t="str">
        <f t="shared" si="78"/>
        <v>A tiempo</v>
      </c>
      <c r="L993" s="13">
        <v>45912</v>
      </c>
      <c r="M993" s="22">
        <f t="shared" si="79"/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Row],[CORREO]],1),E994)</f>
        <v>45909.338888888888</v>
      </c>
      <c r="G994" s="11">
        <v>45918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45909</v>
      </c>
      <c r="M994" s="22">
        <f t="shared" si="79"/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Row],[CORREO]],1),E995)</f>
        <v>0</v>
      </c>
      <c r="G995" s="11">
        <v>45919</v>
      </c>
      <c r="H995" s="7">
        <f t="shared" si="76"/>
        <v>37</v>
      </c>
      <c r="I995" s="7">
        <f t="shared" si="77"/>
        <v>5</v>
      </c>
      <c r="J995" s="7" t="str">
        <f t="shared" si="75"/>
        <v>Dentro</v>
      </c>
      <c r="K995" s="7" t="str">
        <f t="shared" si="78"/>
        <v>Programados</v>
      </c>
      <c r="L995" s="13">
        <v>45915</v>
      </c>
      <c r="M995" s="22">
        <f t="shared" si="79"/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Row],[CORREO]],1),E996)</f>
        <v>45915</v>
      </c>
      <c r="G996" s="11">
        <v>45917</v>
      </c>
      <c r="H996" s="7">
        <f t="shared" si="76"/>
        <v>37</v>
      </c>
      <c r="I996" s="7">
        <f t="shared" si="77"/>
        <v>3</v>
      </c>
      <c r="J996" s="7" t="str">
        <f t="shared" si="75"/>
        <v>Dentro</v>
      </c>
      <c r="K996" s="7" t="str">
        <f t="shared" si="78"/>
        <v>A tiempo</v>
      </c>
      <c r="L996" s="13">
        <v>45915</v>
      </c>
      <c r="M996" s="22">
        <f t="shared" si="79"/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Row],[CORREO]],1),E997)</f>
        <v>45916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Programados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Row],[CORREO]],1),E998)</f>
        <v>45917.357638888891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A tiempo</v>
      </c>
      <c r="L998" s="13">
        <v>45917</v>
      </c>
      <c r="M998" s="22">
        <f t="shared" si="79"/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Row],[CORREO]],1),E999)</f>
        <v>45918</v>
      </c>
      <c r="G999" s="11">
        <v>45917</v>
      </c>
      <c r="H999" s="7">
        <f t="shared" si="76"/>
        <v>38</v>
      </c>
      <c r="I999" s="7">
        <f t="shared" si="77"/>
        <v>1</v>
      </c>
      <c r="J999" s="7" t="str">
        <f t="shared" si="75"/>
        <v>Dentro</v>
      </c>
      <c r="K999" s="7" t="str">
        <f t="shared" si="78"/>
        <v>Mismo día</v>
      </c>
      <c r="L999" s="13">
        <v>45917</v>
      </c>
      <c r="M999" s="22">
        <f t="shared" si="79"/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Row],[CORREO]],1),E1000)</f>
        <v>45918</v>
      </c>
      <c r="G1000" s="11">
        <v>45950</v>
      </c>
      <c r="H1000" s="7">
        <f t="shared" si="76"/>
        <v>38</v>
      </c>
      <c r="I1000" s="7">
        <f t="shared" si="77"/>
        <v>23</v>
      </c>
      <c r="J1000" s="7" t="str">
        <f t="shared" si="75"/>
        <v>Fuera</v>
      </c>
      <c r="K1000" s="7" t="str">
        <f t="shared" si="78"/>
        <v>A tiempo</v>
      </c>
      <c r="L1000" s="13">
        <v>45919</v>
      </c>
      <c r="M1000" s="22">
        <f t="shared" si="79"/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Row],[CORREO]],1),E1002)</f>
        <v>45919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Row],[CORREO]],1),E1003)</f>
        <v>45919.265972222223</v>
      </c>
      <c r="G1003" s="11">
        <v>45922</v>
      </c>
      <c r="H1003" s="7">
        <f t="shared" si="76"/>
        <v>38</v>
      </c>
      <c r="I1003" s="7">
        <f t="shared" si="77"/>
        <v>2</v>
      </c>
      <c r="J1003" s="7" t="str">
        <f t="shared" si="75"/>
        <v>Dentro</v>
      </c>
      <c r="K1003" s="7" t="str">
        <f t="shared" si="78"/>
        <v>A tiempo</v>
      </c>
      <c r="L1003" s="13">
        <v>45919</v>
      </c>
      <c r="M1003" s="22">
        <f t="shared" si="79"/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Row],[CORREO]],1),E1004)</f>
        <v>45919.35</v>
      </c>
      <c r="G1004" s="11">
        <v>45959</v>
      </c>
      <c r="H1004" s="7">
        <f t="shared" si="76"/>
        <v>38</v>
      </c>
      <c r="I1004" s="7">
        <f t="shared" si="77"/>
        <v>29</v>
      </c>
      <c r="J1004" s="7" t="str">
        <f t="shared" si="75"/>
        <v>Fuera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Row],[CORREO]],1),E1005)</f>
        <v>45919.351388888892</v>
      </c>
      <c r="G1005" s="11">
        <v>45922</v>
      </c>
      <c r="H1005" s="7">
        <f t="shared" si="76"/>
        <v>38</v>
      </c>
      <c r="I1005" s="7">
        <f t="shared" si="77"/>
        <v>2</v>
      </c>
      <c r="J1005" s="7" t="str">
        <f t="shared" si="75"/>
        <v>Dentro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Row],[CORREO]],1),E1006)</f>
        <v>45919.352777777778</v>
      </c>
      <c r="G1006" s="11">
        <v>45987</v>
      </c>
      <c r="H1006" s="7">
        <f t="shared" si="76"/>
        <v>38</v>
      </c>
      <c r="I1006" s="7">
        <f t="shared" si="77"/>
        <v>48</v>
      </c>
      <c r="J1006" s="7" t="str">
        <f t="shared" si="75"/>
        <v>Fuera</v>
      </c>
      <c r="K1006" s="7" t="str">
        <f t="shared" si="78"/>
        <v>A tiempo</v>
      </c>
      <c r="L1006" s="13">
        <v>45922</v>
      </c>
      <c r="M1006" s="22">
        <f t="shared" si="79"/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Row],[CORREO]],1),E1007)</f>
        <v>45919.365972222222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Row],[CORREO]],1),E1008)</f>
        <v>45919.442361111112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A tiempo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Row],[CORREO]],1),E1009)</f>
        <v>0</v>
      </c>
      <c r="G1009" s="11">
        <v>45922</v>
      </c>
      <c r="H1009" s="7">
        <f t="shared" si="76"/>
        <v>38</v>
      </c>
      <c r="I1009" s="7">
        <f t="shared" si="77"/>
        <v>2</v>
      </c>
      <c r="J1009" s="7" t="str">
        <f t="shared" si="75"/>
        <v>Dentro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Row],[CORREO]],1),E1010)</f>
        <v>0</v>
      </c>
      <c r="G1010" s="11">
        <v>45932</v>
      </c>
      <c r="H1010" s="7">
        <f t="shared" si="76"/>
        <v>38</v>
      </c>
      <c r="I1010" s="7">
        <f t="shared" si="77"/>
        <v>10</v>
      </c>
      <c r="J1010" s="7" t="str">
        <f t="shared" si="75"/>
        <v>Programado</v>
      </c>
      <c r="K1010" s="7" t="str">
        <f t="shared" si="78"/>
        <v>Programados</v>
      </c>
      <c r="L1010" s="13">
        <v>45919</v>
      </c>
      <c r="M1010" s="22">
        <f t="shared" si="79"/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Row],[CORREO]],1),E1012)</f>
        <v>0</v>
      </c>
      <c r="G1012" s="11">
        <v>45922</v>
      </c>
      <c r="H1012" s="7">
        <f t="shared" si="76"/>
        <v>38</v>
      </c>
      <c r="I1012" s="7">
        <f t="shared" si="77"/>
        <v>1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Row],[CORREO]],1),E1013)</f>
        <v>0</v>
      </c>
      <c r="G1013" s="11">
        <v>45926</v>
      </c>
      <c r="H1013" s="7">
        <f t="shared" si="76"/>
        <v>38</v>
      </c>
      <c r="I1013" s="7">
        <f t="shared" si="77"/>
        <v>5</v>
      </c>
      <c r="J1013" s="7" t="str">
        <f t="shared" si="75"/>
        <v>Dentro</v>
      </c>
      <c r="K1013" s="7" t="str">
        <f t="shared" si="78"/>
        <v>Programados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Row],[CORREO]],1),E1014)</f>
        <v>45922</v>
      </c>
      <c r="G1014" s="11">
        <v>45922</v>
      </c>
      <c r="H1014" s="7">
        <f t="shared" si="76"/>
        <v>38</v>
      </c>
      <c r="I1014" s="7">
        <f t="shared" si="77"/>
        <v>1</v>
      </c>
      <c r="J1014" s="7" t="str">
        <f t="shared" ref="J1014:J1077" si="80">IF(G1014="","Acumulado",IF(ISNUMBER(SEARCH("ASAP",C1014)),"ASAP",IF(I1014&lt;=7,"Dentro",IF(A1014&gt;F1014,"Programado","Fuera"))))</f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Row],[CORREO]],1),E1015)</f>
        <v>45922</v>
      </c>
      <c r="G1015" s="11">
        <v>45925</v>
      </c>
      <c r="H1015" s="7">
        <f t="shared" si="76"/>
        <v>38</v>
      </c>
      <c r="I1015" s="7">
        <f t="shared" si="77"/>
        <v>4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Row],[CORREO]],1),E1016)</f>
        <v>45922.37222222222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Row],[CORREO]],1),E1017)</f>
        <v>45922.419444444444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Row],[CORREO]],1),E1018)</f>
        <v>45922.434027777781</v>
      </c>
      <c r="G1018" s="11">
        <v>45922</v>
      </c>
      <c r="H1018" s="7">
        <f t="shared" si="76"/>
        <v>38</v>
      </c>
      <c r="I1018" s="7">
        <f t="shared" si="77"/>
        <v>1</v>
      </c>
      <c r="J1018" s="7" t="str">
        <f t="shared" si="80"/>
        <v>Dentro</v>
      </c>
      <c r="K1018" s="7" t="str">
        <f t="shared" si="78"/>
        <v>A tiempo</v>
      </c>
      <c r="L1018" s="13">
        <v>45922</v>
      </c>
      <c r="M1018" s="22">
        <f t="shared" si="79"/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Row],[CORREO]],1),E1019)</f>
        <v>0</v>
      </c>
      <c r="G1019" s="11">
        <v>45923</v>
      </c>
      <c r="H1019" s="7">
        <f t="shared" si="76"/>
        <v>38</v>
      </c>
      <c r="I1019" s="7">
        <f t="shared" si="77"/>
        <v>2</v>
      </c>
      <c r="J1019" s="7" t="str">
        <f t="shared" si="80"/>
        <v>Dentro</v>
      </c>
      <c r="K1019" s="7" t="str">
        <f t="shared" si="78"/>
        <v>Programados</v>
      </c>
      <c r="L1019" s="13">
        <v>45922</v>
      </c>
      <c r="M1019" s="22">
        <f t="shared" si="79"/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Row],[CORREO]],1),E1020)</f>
        <v>45922</v>
      </c>
      <c r="G1020" s="11">
        <v>45933</v>
      </c>
      <c r="H1020" s="7">
        <f t="shared" si="76"/>
        <v>38</v>
      </c>
      <c r="I1020" s="7">
        <f t="shared" si="77"/>
        <v>9</v>
      </c>
      <c r="J1020" s="7" t="str">
        <f t="shared" si="80"/>
        <v>Programado</v>
      </c>
      <c r="K1020" s="7" t="str">
        <f t="shared" si="78"/>
        <v>Programados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Row],[CORREO]],1),E1021)</f>
        <v>45923</v>
      </c>
      <c r="G1021" s="11">
        <v>45923</v>
      </c>
      <c r="H1021" s="7">
        <f t="shared" si="76"/>
        <v>38</v>
      </c>
      <c r="I1021" s="7">
        <f t="shared" si="77"/>
        <v>1</v>
      </c>
      <c r="J1021" s="7" t="str">
        <f t="shared" si="80"/>
        <v>Dentro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Row],[CORREO]],1),E1022)</f>
        <v>45923</v>
      </c>
      <c r="G1022" s="11">
        <v>45933</v>
      </c>
      <c r="H1022" s="7">
        <f t="shared" si="76"/>
        <v>38</v>
      </c>
      <c r="I1022" s="7">
        <f t="shared" si="77"/>
        <v>9</v>
      </c>
      <c r="J1022" s="7" t="str">
        <f t="shared" si="80"/>
        <v>Fuera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Row],[CORREO]],1),E1023)</f>
        <v>45923</v>
      </c>
      <c r="G1023" s="11">
        <v>45926</v>
      </c>
      <c r="H1023" s="7">
        <f t="shared" si="76"/>
        <v>38</v>
      </c>
      <c r="I1023" s="7">
        <f t="shared" si="77"/>
        <v>4</v>
      </c>
      <c r="J1023" s="7" t="str">
        <f t="shared" si="80"/>
        <v>ASAP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Row],[CORREO]],1),E1024)</f>
        <v>45923.404166666667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A tiempo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Row],[CORREO]],1),E1025)</f>
        <v>0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Programados</v>
      </c>
      <c r="L1025" s="13">
        <v>45923</v>
      </c>
      <c r="M1025" s="22">
        <f t="shared" si="79"/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Row],[CORREO]],1),E1026)</f>
        <v>45923.42083333333</v>
      </c>
      <c r="G1026" s="11">
        <v>45923</v>
      </c>
      <c r="H1026" s="7">
        <f t="shared" ref="H1026:H1089" si="81">INT((A1026-DATE(YEAR(A1026),1,1))/7) + 1</f>
        <v>38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45923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Row],[CORREO]],1),E1027)</f>
        <v>45924</v>
      </c>
      <c r="G1027" s="11">
        <v>45924</v>
      </c>
      <c r="H1027" s="7">
        <f t="shared" si="81"/>
        <v>39</v>
      </c>
      <c r="I1027" s="7">
        <f t="shared" si="82"/>
        <v>1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Row],[CORREO]],1),E1028)</f>
        <v>45924.373611111114</v>
      </c>
      <c r="G1028" s="11">
        <v>45926</v>
      </c>
      <c r="H1028" s="7">
        <f t="shared" si="81"/>
        <v>39</v>
      </c>
      <c r="I1028" s="7">
        <f t="shared" si="82"/>
        <v>3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Row],[CORREO]],1),E1029)</f>
        <v>45924.449305555558</v>
      </c>
      <c r="G1029" s="11">
        <v>45925</v>
      </c>
      <c r="H1029" s="7">
        <f t="shared" si="81"/>
        <v>39</v>
      </c>
      <c r="I1029" s="7">
        <f t="shared" si="82"/>
        <v>2</v>
      </c>
      <c r="J1029" s="7" t="str">
        <f t="shared" si="80"/>
        <v>Dentro</v>
      </c>
      <c r="K1029" s="7" t="str">
        <f t="shared" si="83"/>
        <v>A tiempo</v>
      </c>
      <c r="L1029" s="13">
        <v>45924</v>
      </c>
      <c r="M1029" s="22">
        <f t="shared" si="84"/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Row],[CORREO]],1),E1030)</f>
        <v>45925</v>
      </c>
      <c r="G1030" s="11">
        <v>45953</v>
      </c>
      <c r="H1030" s="7">
        <f t="shared" si="81"/>
        <v>39</v>
      </c>
      <c r="I1030" s="7">
        <f t="shared" si="82"/>
        <v>22</v>
      </c>
      <c r="J1030" s="7" t="str">
        <f t="shared" si="80"/>
        <v>Fuera</v>
      </c>
      <c r="K1030" s="7" t="str">
        <f t="shared" si="83"/>
        <v>Mismo día</v>
      </c>
      <c r="L1030" s="13">
        <v>45924</v>
      </c>
      <c r="M1030" s="22">
        <f t="shared" si="84"/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Dentro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Row],[CORREO]],1),E1032)</f>
        <v>45925</v>
      </c>
      <c r="G1032" s="11">
        <v>45925</v>
      </c>
      <c r="H1032" s="7">
        <f t="shared" si="81"/>
        <v>39</v>
      </c>
      <c r="I1032" s="7">
        <f t="shared" si="82"/>
        <v>1</v>
      </c>
      <c r="J1032" s="7" t="str">
        <f t="shared" si="80"/>
        <v>ASAP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Row],[CORREO]],1),E1033)</f>
        <v>45925.306944444441</v>
      </c>
      <c r="G1033" s="11">
        <v>45929</v>
      </c>
      <c r="H1033" s="7">
        <f t="shared" si="81"/>
        <v>39</v>
      </c>
      <c r="I1033" s="7">
        <f t="shared" si="82"/>
        <v>3</v>
      </c>
      <c r="J1033" s="7" t="str">
        <f t="shared" si="80"/>
        <v>Dentro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Row],[CORREO]],1),E1034)</f>
        <v>45925.339583333334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Fuera</v>
      </c>
      <c r="K1034" s="7" t="str">
        <f t="shared" si="83"/>
        <v>A tiempo</v>
      </c>
      <c r="L1034" s="13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Row],[CORREO]],1),E1044)</f>
        <v>45930</v>
      </c>
      <c r="G1044" s="11">
        <v>45929</v>
      </c>
      <c r="H1044" s="20">
        <f t="shared" si="81"/>
        <v>39</v>
      </c>
      <c r="I1044" s="20">
        <f t="shared" si="82"/>
        <v>1</v>
      </c>
      <c r="J1044" s="20" t="str">
        <f t="shared" si="80"/>
        <v>Dentro</v>
      </c>
      <c r="K1044" s="20" t="str">
        <f t="shared" si="83"/>
        <v>Mismo día</v>
      </c>
      <c r="L1044" s="13">
        <v>45929</v>
      </c>
      <c r="M1044" s="23">
        <f t="shared" si="84"/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Row],[CORREO]],1),E1045)</f>
        <v>0</v>
      </c>
      <c r="G1045" s="15">
        <v>45929</v>
      </c>
      <c r="H1045" s="7">
        <f t="shared" si="81"/>
        <v>39</v>
      </c>
      <c r="I1045" s="7">
        <f t="shared" si="82"/>
        <v>1</v>
      </c>
      <c r="J1045" s="7" t="str">
        <f t="shared" si="80"/>
        <v>ASAP</v>
      </c>
      <c r="K1045" s="7" t="str">
        <f t="shared" si="83"/>
        <v>Programados</v>
      </c>
      <c r="L1045" s="13">
        <v>45929</v>
      </c>
      <c r="M1045" s="22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>
        <v>45967</v>
      </c>
      <c r="H1046" s="7">
        <f t="shared" si="81"/>
        <v>39</v>
      </c>
      <c r="I1046" s="7">
        <f t="shared" si="82"/>
        <v>28</v>
      </c>
      <c r="J1046" s="7" t="str">
        <f t="shared" si="80"/>
        <v>Fuera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si="80"/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ref="J1078:J1141" si="85">IF(G1078="","Acumulado",IF(ISNUMBER(SEARCH("ASAP",C1078)),"ASAP",IF(I1078&lt;=7,"Dentro",IF(A1078&gt;F1078,"Programado","Fuera"))))</f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7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5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>
        <v>45945</v>
      </c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>
        <v>45951</v>
      </c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si="85"/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ref="J1142:J1205" si="90">IF(G1142="","Acumulado",IF(ISNUMBER(SEARCH("ASAP",C1142)),"ASAP",IF(I1142&lt;=7,"Dentro",IF(A1142&gt;F1142,"Programado","Fuera"))))</f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Row],[CORREO]],1),E1170)</f>
        <v>45959</v>
      </c>
      <c r="G1170" s="15">
        <v>45959</v>
      </c>
      <c r="H1170" s="20">
        <f t="shared" si="91"/>
        <v>44</v>
      </c>
      <c r="I1170" s="20">
        <f t="shared" si="92"/>
        <v>1</v>
      </c>
      <c r="J1170" s="20" t="str">
        <f t="shared" si="90"/>
        <v>Dentro</v>
      </c>
      <c r="K1170" s="20" t="str">
        <f t="shared" si="94"/>
        <v>A tiempo</v>
      </c>
      <c r="L1170" s="13">
        <v>45959</v>
      </c>
      <c r="M1170" s="23">
        <f t="shared" si="93"/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Row],[CORREO]],1),E1171)</f>
        <v>45959</v>
      </c>
      <c r="G1171" s="17">
        <v>45961</v>
      </c>
      <c r="H1171" s="7">
        <f t="shared" si="91"/>
        <v>44</v>
      </c>
      <c r="I1171" s="7">
        <f t="shared" si="92"/>
        <v>3</v>
      </c>
      <c r="J1171" s="7" t="str">
        <f t="shared" si="90"/>
        <v>Dentro</v>
      </c>
      <c r="K1171" s="7" t="str">
        <f t="shared" si="94"/>
        <v>A tiempo</v>
      </c>
      <c r="L1171" s="13">
        <v>45959</v>
      </c>
      <c r="M1171" s="22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>
        <v>45960</v>
      </c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>
        <v>45961</v>
      </c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>
        <v>46010</v>
      </c>
      <c r="H1197" s="7">
        <f t="shared" si="91"/>
        <v>45</v>
      </c>
      <c r="I1197" s="7">
        <f t="shared" si="92"/>
        <v>32</v>
      </c>
      <c r="J1197" s="7" t="str">
        <f t="shared" si="90"/>
        <v>Fuera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si="90"/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ref="J1206:J1269" si="96">IF(G1206="","Acumulado",IF(ISNUMBER(SEARCH("ASAP",C1206)),"ASAP",IF(I1206&lt;=7,"Dentro",IF(A1206&gt;F1206,"Programado","Fuera"))))</f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>
        <v>46050</v>
      </c>
      <c r="H1217" s="7">
        <f t="shared" si="91"/>
        <v>45</v>
      </c>
      <c r="I1217" s="7">
        <f t="shared" si="92"/>
        <v>57</v>
      </c>
      <c r="J1217" s="7" t="str">
        <f t="shared" si="96"/>
        <v>Programado</v>
      </c>
      <c r="K1217" s="7" t="s">
        <v>2658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1" si="97">INT((A1218-DATE(YEAR(A1218),1,1))/7) + 1</f>
        <v>45</v>
      </c>
      <c r="I1218" s="7">
        <f t="shared" ref="I1218:I1281" si="98">MAX(1,NETWORKDAYS(A1218,G1218,DATE(2025,11,17)))</f>
        <v>1</v>
      </c>
      <c r="J1218" s="7" t="str">
        <f t="shared" si="96"/>
        <v>Dentro</v>
      </c>
      <c r="K1218" s="7" t="str">
        <f t="shared" ref="K1218:K1281" si="99">IF(INT(A1218)=INT(F1218),"A tiempo", IF(A1218&lt;F1218,"Mismo día","Programados"))</f>
        <v>A tiempo</v>
      </c>
      <c r="L1218" s="13">
        <v>45972</v>
      </c>
      <c r="M1218" s="22">
        <f t="shared" ref="M1218:M1281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>
        <v>45979</v>
      </c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>
        <v>46045</v>
      </c>
      <c r="H1246" s="7">
        <f t="shared" si="97"/>
        <v>46</v>
      </c>
      <c r="I1246" s="7">
        <f t="shared" si="98"/>
        <v>49</v>
      </c>
      <c r="J1246" s="7" t="str">
        <f t="shared" si="96"/>
        <v>ASAP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si="99"/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99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99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99"/>
        <v>Programados</v>
      </c>
      <c r="L1253" s="11">
        <v>45949</v>
      </c>
      <c r="M1253" s="22">
        <f t="shared" si="100"/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Row],[CORREO]],1),E1254)</f>
        <v>45981</v>
      </c>
      <c r="G1254" s="17">
        <v>45987</v>
      </c>
      <c r="H1254" s="7">
        <f t="shared" si="97"/>
        <v>47</v>
      </c>
      <c r="I1254" s="7">
        <f t="shared" si="98"/>
        <v>5</v>
      </c>
      <c r="J1254" s="7" t="str">
        <f t="shared" si="96"/>
        <v>Dentro</v>
      </c>
      <c r="K1254" s="7" t="str">
        <f t="shared" si="99"/>
        <v>A tiempo</v>
      </c>
      <c r="L1254" s="13">
        <v>45981</v>
      </c>
      <c r="M1254" s="22">
        <f t="shared" si="100"/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Row],[CORREO]],1),E1255)</f>
        <v>45981</v>
      </c>
      <c r="G1255" s="17">
        <v>45981</v>
      </c>
      <c r="H1255" s="7">
        <f t="shared" si="97"/>
        <v>47</v>
      </c>
      <c r="I1255" s="7">
        <f t="shared" si="98"/>
        <v>1</v>
      </c>
      <c r="J1255" s="7" t="str">
        <f t="shared" si="96"/>
        <v>Dentro</v>
      </c>
      <c r="K1255" s="7" t="str">
        <f t="shared" si="99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Row],[CORREO]],1),E1256)</f>
        <v>45981</v>
      </c>
      <c r="G1256" s="17">
        <v>46029</v>
      </c>
      <c r="H1256" s="7">
        <f t="shared" si="97"/>
        <v>47</v>
      </c>
      <c r="I1256" s="7">
        <f t="shared" si="98"/>
        <v>35</v>
      </c>
      <c r="J1256" s="7" t="str">
        <f t="shared" si="96"/>
        <v>Fuera</v>
      </c>
      <c r="K1256" s="7" t="str">
        <f t="shared" si="99"/>
        <v>A tiempo</v>
      </c>
      <c r="L1256" s="13">
        <v>45982</v>
      </c>
      <c r="M1256" s="22">
        <f t="shared" si="100"/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Row],[CORREO]],1),E1257)</f>
        <v>45981</v>
      </c>
      <c r="G1257" s="17">
        <v>45986</v>
      </c>
      <c r="H1257" s="7">
        <f t="shared" si="97"/>
        <v>47</v>
      </c>
      <c r="I1257" s="7">
        <f t="shared" si="98"/>
        <v>4</v>
      </c>
      <c r="J1257" s="7" t="str">
        <f t="shared" si="96"/>
        <v>Dentro</v>
      </c>
      <c r="K1257" s="7" t="str">
        <f t="shared" si="99"/>
        <v>A tiempo</v>
      </c>
      <c r="L1257" s="13">
        <v>45981</v>
      </c>
      <c r="M1257" s="22">
        <f t="shared" si="100"/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Row],[CORREO]],1),E1258)</f>
        <v>45981</v>
      </c>
      <c r="G1258" s="17">
        <v>45987</v>
      </c>
      <c r="H1258" s="7">
        <f t="shared" si="97"/>
        <v>47</v>
      </c>
      <c r="I1258" s="7">
        <f t="shared" si="98"/>
        <v>5</v>
      </c>
      <c r="J1258" s="7" t="str">
        <f t="shared" si="96"/>
        <v>Dentro</v>
      </c>
      <c r="K1258" s="7" t="str">
        <f t="shared" si="99"/>
        <v>A tiempo</v>
      </c>
      <c r="L1258" s="13">
        <v>45981</v>
      </c>
      <c r="M1258" s="22">
        <f t="shared" si="100"/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Row],[CORREO]],1),E1259)</f>
        <v>45981.183333333334</v>
      </c>
      <c r="G1259" s="17">
        <v>45987</v>
      </c>
      <c r="H1259" s="7">
        <f t="shared" si="97"/>
        <v>47</v>
      </c>
      <c r="I1259" s="7">
        <f t="shared" si="98"/>
        <v>5</v>
      </c>
      <c r="J1259" s="7" t="str">
        <f t="shared" si="96"/>
        <v>Dentro</v>
      </c>
      <c r="K1259" s="7" t="str">
        <f t="shared" si="99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Row],[CORREO]],1),E1260)</f>
        <v>45981.329861111109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99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Row],[CORREO]],1),E1261)</f>
        <v>0</v>
      </c>
      <c r="G1261" s="17">
        <v>46006</v>
      </c>
      <c r="H1261" s="7">
        <f t="shared" si="97"/>
        <v>47</v>
      </c>
      <c r="I1261" s="7">
        <f t="shared" si="98"/>
        <v>18</v>
      </c>
      <c r="J1261" s="7" t="str">
        <f t="shared" si="96"/>
        <v>Programado</v>
      </c>
      <c r="K1261" s="7" t="str">
        <f t="shared" si="99"/>
        <v>Programados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Row],[CORREO]],1),E1262)</f>
        <v>45981.385416666664</v>
      </c>
      <c r="G1262" s="17">
        <v>45982</v>
      </c>
      <c r="H1262" s="7">
        <f t="shared" si="97"/>
        <v>47</v>
      </c>
      <c r="I1262" s="7">
        <f t="shared" si="98"/>
        <v>2</v>
      </c>
      <c r="J1262" s="7" t="str">
        <f t="shared" si="96"/>
        <v>Dentro</v>
      </c>
      <c r="K1262" s="7" t="str">
        <f t="shared" si="99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Row],[CORREO]],1),E1263)</f>
        <v>45989.365972222222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Fuera</v>
      </c>
      <c r="K1263" s="7" t="str">
        <f t="shared" si="99"/>
        <v>Mismo día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Row],[CORREO]],1),E1264)</f>
        <v>45981.418749999997</v>
      </c>
      <c r="G1264" s="17">
        <v>45988</v>
      </c>
      <c r="H1264" s="7">
        <f t="shared" si="97"/>
        <v>47</v>
      </c>
      <c r="I1264" s="7">
        <f t="shared" si="98"/>
        <v>6</v>
      </c>
      <c r="J1264" s="7" t="str">
        <f t="shared" si="96"/>
        <v>Dentro</v>
      </c>
      <c r="K1264" s="7" t="str">
        <f t="shared" si="99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Row],[CORREO]],1),E1265)</f>
        <v>45981.436805555553</v>
      </c>
      <c r="G1265" s="17">
        <v>45989</v>
      </c>
      <c r="H1265" s="7">
        <f t="shared" si="97"/>
        <v>47</v>
      </c>
      <c r="I1265" s="7">
        <f t="shared" si="98"/>
        <v>7</v>
      </c>
      <c r="J1265" s="7" t="str">
        <f t="shared" si="96"/>
        <v>Dentro</v>
      </c>
      <c r="K1265" s="7" t="str">
        <f t="shared" si="99"/>
        <v>A tiempo</v>
      </c>
      <c r="L1265" s="13">
        <v>45981</v>
      </c>
      <c r="M1265" s="22">
        <f t="shared" si="100"/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Row],[CORREO]],1),E1266)</f>
        <v>45982</v>
      </c>
      <c r="G1266" s="17">
        <v>45987</v>
      </c>
      <c r="H1266" s="7">
        <f t="shared" si="97"/>
        <v>47</v>
      </c>
      <c r="I1266" s="7">
        <f t="shared" si="98"/>
        <v>4</v>
      </c>
      <c r="J1266" s="7" t="str">
        <f t="shared" si="96"/>
        <v>Dentro</v>
      </c>
      <c r="K1266" s="7" t="str">
        <f t="shared" si="99"/>
        <v>A tiempo</v>
      </c>
      <c r="L1266" s="13">
        <v>45982</v>
      </c>
      <c r="M1266" s="22">
        <f t="shared" si="100"/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Row],[CORREO]],1),E1267)</f>
        <v>45982</v>
      </c>
      <c r="G1267" s="17">
        <v>45985</v>
      </c>
      <c r="H1267" s="7">
        <f t="shared" si="97"/>
        <v>47</v>
      </c>
      <c r="I1267" s="7">
        <f t="shared" si="98"/>
        <v>2</v>
      </c>
      <c r="J1267" s="7" t="str">
        <f t="shared" si="96"/>
        <v>Dentro</v>
      </c>
      <c r="K1267" s="7" t="str">
        <f t="shared" si="99"/>
        <v>A tiempo</v>
      </c>
      <c r="L1267" s="13">
        <v>45982</v>
      </c>
      <c r="M1267" s="22">
        <f t="shared" si="100"/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Row],[CORREO]],1),E1268)</f>
        <v>45982.417361111111</v>
      </c>
      <c r="G1268" s="17">
        <v>45987</v>
      </c>
      <c r="H1268" s="7">
        <f t="shared" si="97"/>
        <v>47</v>
      </c>
      <c r="I1268" s="7">
        <f t="shared" si="98"/>
        <v>4</v>
      </c>
      <c r="J1268" s="7" t="str">
        <f t="shared" si="96"/>
        <v>Dentro</v>
      </c>
      <c r="K1268" s="7" t="str">
        <f t="shared" si="99"/>
        <v>A tiempo</v>
      </c>
      <c r="L1268" s="13">
        <v>45982</v>
      </c>
      <c r="M1268" s="22">
        <f t="shared" si="100"/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Row],[CORREO]],1),E1269)</f>
        <v>0</v>
      </c>
      <c r="G1269" s="17">
        <v>45985</v>
      </c>
      <c r="H1269" s="7">
        <f t="shared" si="97"/>
        <v>47</v>
      </c>
      <c r="I1269" s="7">
        <f t="shared" si="98"/>
        <v>2</v>
      </c>
      <c r="J1269" s="7" t="str">
        <f t="shared" si="96"/>
        <v>Dentro</v>
      </c>
      <c r="K1269" s="7" t="str">
        <f t="shared" si="99"/>
        <v>Programados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Row],[CORREO]],1),E1270)</f>
        <v>0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ref="J1270:J1293" si="101">IF(G1270="","Acumulado",IF(ISNUMBER(SEARCH("ASAP",C1270)),"ASAP",IF(I1270&lt;=7,"Dentro",IF(A1270&gt;F1270,"Programado","Fuera"))))</f>
        <v>Dentro</v>
      </c>
      <c r="K1270" s="7" t="str">
        <f t="shared" si="99"/>
        <v>Programados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Row],[CORREO]],1),E1271)</f>
        <v>45985</v>
      </c>
      <c r="G1271" s="17">
        <v>45985</v>
      </c>
      <c r="H1271" s="7">
        <f t="shared" si="97"/>
        <v>47</v>
      </c>
      <c r="I1271" s="7">
        <f t="shared" si="98"/>
        <v>2</v>
      </c>
      <c r="J1271" s="7" t="str">
        <f t="shared" si="101"/>
        <v>Dentro</v>
      </c>
      <c r="K1271" s="7" t="str">
        <f t="shared" si="99"/>
        <v>Mismo día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Row],[CORREO]],1),E1272)</f>
        <v>45985</v>
      </c>
      <c r="G1272" s="17">
        <v>45986</v>
      </c>
      <c r="H1272" s="7">
        <f t="shared" si="97"/>
        <v>47</v>
      </c>
      <c r="I1272" s="7">
        <f t="shared" si="98"/>
        <v>3</v>
      </c>
      <c r="J1272" s="7" t="str">
        <f t="shared" si="101"/>
        <v>ASAP</v>
      </c>
      <c r="K1272" s="7" t="str">
        <f t="shared" si="99"/>
        <v>Mismo día</v>
      </c>
      <c r="L1272" s="13">
        <v>45985</v>
      </c>
      <c r="M1272" s="22">
        <f t="shared" si="100"/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Row],[CORREO]],1),E1273)</f>
        <v>0</v>
      </c>
      <c r="G1273" s="17">
        <v>45989</v>
      </c>
      <c r="H1273" s="7">
        <f t="shared" si="97"/>
        <v>47</v>
      </c>
      <c r="I1273" s="7">
        <f t="shared" si="98"/>
        <v>5</v>
      </c>
      <c r="J1273" s="7" t="str">
        <f t="shared" si="101"/>
        <v>Dentro</v>
      </c>
      <c r="K1273" s="7" t="str">
        <f t="shared" si="99"/>
        <v>Programados</v>
      </c>
      <c r="L1273" s="13">
        <v>45985</v>
      </c>
      <c r="M1273" s="22">
        <f t="shared" si="100"/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1</v>
      </c>
      <c r="J1274" s="7" t="str">
        <f t="shared" si="101"/>
        <v>Dentro</v>
      </c>
      <c r="K1274" s="7" t="str">
        <f t="shared" si="99"/>
        <v>A tiempo</v>
      </c>
      <c r="L1274" s="13">
        <v>45985</v>
      </c>
      <c r="M1274" s="22">
        <f t="shared" si="100"/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Row],[CORREO]],1),E1275)</f>
        <v>45985</v>
      </c>
      <c r="G1275" s="17">
        <v>45987</v>
      </c>
      <c r="H1275" s="7">
        <f t="shared" si="97"/>
        <v>47</v>
      </c>
      <c r="I1275" s="7">
        <f t="shared" si="98"/>
        <v>3</v>
      </c>
      <c r="J1275" s="7" t="str">
        <f t="shared" si="101"/>
        <v>Dentro</v>
      </c>
      <c r="K1275" s="7" t="str">
        <f t="shared" si="99"/>
        <v>A tiempo</v>
      </c>
      <c r="L1275" s="13">
        <v>45985</v>
      </c>
      <c r="M1275" s="22">
        <f t="shared" si="100"/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Row],[CORREO]],1),E1276)</f>
        <v>45985</v>
      </c>
      <c r="G1276" s="17">
        <v>45986</v>
      </c>
      <c r="H1276" s="7">
        <f t="shared" si="97"/>
        <v>47</v>
      </c>
      <c r="I1276" s="7">
        <f t="shared" si="98"/>
        <v>2</v>
      </c>
      <c r="J1276" s="7" t="str">
        <f t="shared" si="101"/>
        <v>Dentro</v>
      </c>
      <c r="K1276" s="7" t="str">
        <f t="shared" si="99"/>
        <v>A tiempo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1"/>
        <v>Dentro</v>
      </c>
      <c r="K1277" s="7" t="str">
        <f t="shared" si="99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Row],[CORREO]],1),E1278)</f>
        <v>45985.435416666667</v>
      </c>
      <c r="G1278" s="17">
        <v>45985</v>
      </c>
      <c r="H1278" s="7">
        <f t="shared" si="97"/>
        <v>47</v>
      </c>
      <c r="I1278" s="7">
        <f t="shared" si="98"/>
        <v>1</v>
      </c>
      <c r="J1278" s="7" t="str">
        <f t="shared" si="101"/>
        <v>Dentro</v>
      </c>
      <c r="K1278" s="7" t="str">
        <f t="shared" si="99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Row],[CORREO]],1),E1279)</f>
        <v>45986</v>
      </c>
      <c r="G1279" s="17">
        <v>45988</v>
      </c>
      <c r="H1279" s="7">
        <f t="shared" si="97"/>
        <v>47</v>
      </c>
      <c r="I1279" s="7">
        <f t="shared" si="98"/>
        <v>3</v>
      </c>
      <c r="J1279" s="7" t="str">
        <f t="shared" si="101"/>
        <v>Dentro</v>
      </c>
      <c r="K1279" s="7" t="str">
        <f t="shared" si="99"/>
        <v>A tiempo</v>
      </c>
      <c r="L1279" s="13">
        <v>45986</v>
      </c>
      <c r="M1279" s="22">
        <f t="shared" si="100"/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Row],[CORREO]],1),E1280)</f>
        <v>45986</v>
      </c>
      <c r="G1280" s="17">
        <v>45993</v>
      </c>
      <c r="H1280" s="7">
        <f t="shared" si="97"/>
        <v>47</v>
      </c>
      <c r="I1280" s="7">
        <f t="shared" si="98"/>
        <v>6</v>
      </c>
      <c r="J1280" s="7" t="str">
        <f t="shared" si="101"/>
        <v>Dentro</v>
      </c>
      <c r="K1280" s="7" t="str">
        <f t="shared" si="99"/>
        <v>A tiempo</v>
      </c>
      <c r="L1280" s="11">
        <v>45986</v>
      </c>
      <c r="M1280" s="22">
        <f t="shared" si="100"/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Row],[CORREO]],1),E1281)</f>
        <v>45986</v>
      </c>
      <c r="G1281" s="17">
        <v>45992</v>
      </c>
      <c r="H1281" s="7">
        <f t="shared" si="97"/>
        <v>47</v>
      </c>
      <c r="I1281" s="7">
        <f t="shared" si="98"/>
        <v>5</v>
      </c>
      <c r="J1281" s="7" t="str">
        <f t="shared" si="101"/>
        <v>Dentro</v>
      </c>
      <c r="K1281" s="7" t="str">
        <f t="shared" si="99"/>
        <v>A tiempo</v>
      </c>
      <c r="L1281" s="11">
        <v>45986</v>
      </c>
      <c r="M1281" s="22">
        <f t="shared" si="100"/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Row],[CORREO]],1),E1282)</f>
        <v>45986.388194444444</v>
      </c>
      <c r="G1282" s="17">
        <v>45988</v>
      </c>
      <c r="H1282" s="7">
        <f t="shared" ref="H1282:H1293" si="102">INT((A1282-DATE(YEAR(A1282),1,1))/7) + 1</f>
        <v>47</v>
      </c>
      <c r="I1282" s="7">
        <f t="shared" ref="I1282:I1293" si="103">MAX(1,NETWORKDAYS(A1282,G1282,DATE(2025,11,17)))</f>
        <v>3</v>
      </c>
      <c r="J1282" s="7" t="str">
        <f t="shared" si="101"/>
        <v>Dentro</v>
      </c>
      <c r="K1282" s="7" t="str">
        <f t="shared" ref="K1282:K1293" si="104">IF(INT(A1282)=INT(F1282),"A tiempo", IF(A1282&lt;F1282,"Mismo día","Programados"))</f>
        <v>A tiempo</v>
      </c>
      <c r="L1282" s="13">
        <v>45986</v>
      </c>
      <c r="M1282" s="22">
        <f t="shared" ref="M1282:M1293" si="105">MAX(1,NETWORKDAYS(A1282,L1282))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Row],[CORREO]],1),E1283)</f>
        <v>45986.443749999999</v>
      </c>
      <c r="G1283" s="17">
        <v>45987</v>
      </c>
      <c r="H1283" s="7">
        <f t="shared" si="102"/>
        <v>47</v>
      </c>
      <c r="I1283" s="7">
        <f t="shared" si="103"/>
        <v>2</v>
      </c>
      <c r="J1283" s="7" t="str">
        <f t="shared" si="101"/>
        <v>Dentro</v>
      </c>
      <c r="K1283" s="7" t="str">
        <f t="shared" si="104"/>
        <v>A tiempo</v>
      </c>
      <c r="L1283" s="13">
        <v>45986</v>
      </c>
      <c r="M1283" s="22">
        <f t="shared" si="105"/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Row],[CORREO]],1),E1284)</f>
        <v>0</v>
      </c>
      <c r="G1284" s="17">
        <v>46002</v>
      </c>
      <c r="H1284" s="7">
        <f t="shared" si="102"/>
        <v>47</v>
      </c>
      <c r="I1284" s="7">
        <f t="shared" si="103"/>
        <v>13</v>
      </c>
      <c r="J1284" s="7" t="str">
        <f t="shared" si="101"/>
        <v>ASAP</v>
      </c>
      <c r="K1284" s="7" t="str">
        <f t="shared" si="104"/>
        <v>Programados</v>
      </c>
      <c r="L1284" s="13">
        <v>45987</v>
      </c>
      <c r="M1284" s="22">
        <f t="shared" si="105"/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Row],[CORREO]],1),E1285)</f>
        <v>45987</v>
      </c>
      <c r="G1285" s="17">
        <v>45989</v>
      </c>
      <c r="H1285" s="7">
        <f t="shared" si="102"/>
        <v>48</v>
      </c>
      <c r="I1285" s="7">
        <f t="shared" si="103"/>
        <v>3</v>
      </c>
      <c r="J1285" s="7" t="str">
        <f t="shared" si="101"/>
        <v>Dentro</v>
      </c>
      <c r="K1285" s="7" t="str">
        <f t="shared" si="104"/>
        <v>A tiempo</v>
      </c>
      <c r="L1285" s="13">
        <v>45987</v>
      </c>
      <c r="M1285" s="22">
        <f t="shared" si="105"/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Row],[CORREO]],1),E1286)</f>
        <v>45987</v>
      </c>
      <c r="G1286" s="16">
        <v>45987</v>
      </c>
      <c r="H1286" s="7">
        <f t="shared" si="102"/>
        <v>48</v>
      </c>
      <c r="I1286" s="7">
        <f t="shared" si="103"/>
        <v>1</v>
      </c>
      <c r="J1286" s="7" t="str">
        <f t="shared" si="101"/>
        <v>Dentro</v>
      </c>
      <c r="K1286" s="7" t="str">
        <f t="shared" si="104"/>
        <v>A tiempo</v>
      </c>
      <c r="L1286" s="13">
        <v>45987</v>
      </c>
      <c r="M1286" s="22">
        <f t="shared" si="105"/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Row],[CORREO]],1),E1287)</f>
        <v>45987</v>
      </c>
      <c r="G1287" s="16">
        <v>45987</v>
      </c>
      <c r="H1287" s="7">
        <f t="shared" si="102"/>
        <v>48</v>
      </c>
      <c r="I1287" s="7">
        <f t="shared" si="103"/>
        <v>1</v>
      </c>
      <c r="J1287" s="7" t="str">
        <f t="shared" si="101"/>
        <v>Dentro</v>
      </c>
      <c r="K1287" s="7" t="str">
        <f t="shared" si="104"/>
        <v>A tiempo</v>
      </c>
      <c r="L1287" s="13">
        <v>45987</v>
      </c>
      <c r="M1287" s="22">
        <f t="shared" si="105"/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Row],[CORREO]],1),E1288)</f>
        <v>0</v>
      </c>
      <c r="G1288" s="16">
        <v>46035</v>
      </c>
      <c r="H1288" s="7">
        <f t="shared" si="102"/>
        <v>48</v>
      </c>
      <c r="I1288" s="7">
        <f t="shared" si="103"/>
        <v>35</v>
      </c>
      <c r="J1288" s="7" t="str">
        <f t="shared" si="101"/>
        <v>Programado</v>
      </c>
      <c r="K1288" s="7" t="str">
        <f t="shared" si="104"/>
        <v>Programados</v>
      </c>
      <c r="L1288" s="13">
        <v>45987</v>
      </c>
      <c r="M1288" s="22">
        <f t="shared" si="105"/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Row],[CORREO]],1),E1289)</f>
        <v>45988</v>
      </c>
      <c r="G1289" s="11">
        <v>45989</v>
      </c>
      <c r="H1289" s="7">
        <f t="shared" si="102"/>
        <v>48</v>
      </c>
      <c r="I1289" s="7">
        <f t="shared" si="103"/>
        <v>2</v>
      </c>
      <c r="J1289" s="7" t="str">
        <f t="shared" si="101"/>
        <v>Dentro</v>
      </c>
      <c r="K1289" s="7" t="str">
        <f t="shared" si="104"/>
        <v>A tiempo</v>
      </c>
      <c r="L1289" s="13">
        <v>45988</v>
      </c>
      <c r="M1289" s="22">
        <f t="shared" si="105"/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Row],[CORREO]],1),E1290)</f>
        <v>0</v>
      </c>
      <c r="G1290" s="11">
        <v>45994</v>
      </c>
      <c r="H1290" s="7">
        <f t="shared" si="102"/>
        <v>48</v>
      </c>
      <c r="I1290" s="7">
        <f t="shared" si="103"/>
        <v>5</v>
      </c>
      <c r="J1290" s="7" t="str">
        <f t="shared" si="101"/>
        <v>Dentro</v>
      </c>
      <c r="K1290" s="7" t="str">
        <f t="shared" si="104"/>
        <v>Programados</v>
      </c>
      <c r="L1290" s="11">
        <v>45988</v>
      </c>
      <c r="M1290" s="22">
        <f t="shared" si="105"/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Row],[CORREO]],1),E1291)</f>
        <v>45988.337500000001</v>
      </c>
      <c r="G1291" s="11">
        <v>46009</v>
      </c>
      <c r="H1291" s="7">
        <f t="shared" si="102"/>
        <v>48</v>
      </c>
      <c r="I1291" s="7">
        <f t="shared" si="103"/>
        <v>16</v>
      </c>
      <c r="J1291" s="7" t="str">
        <f t="shared" si="101"/>
        <v>Fuera</v>
      </c>
      <c r="K1291" s="7" t="str">
        <f t="shared" si="104"/>
        <v>A tiempo</v>
      </c>
      <c r="L1291" s="13">
        <v>45988</v>
      </c>
      <c r="M1291" s="22">
        <f t="shared" si="105"/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Row],[CORREO]],1),E1292)</f>
        <v>45988.406944444447</v>
      </c>
      <c r="G1292" s="11">
        <v>45992</v>
      </c>
      <c r="H1292" s="7">
        <f t="shared" si="102"/>
        <v>48</v>
      </c>
      <c r="I1292" s="7">
        <f t="shared" si="103"/>
        <v>3</v>
      </c>
      <c r="J1292" s="7" t="str">
        <f t="shared" si="101"/>
        <v>Dentro</v>
      </c>
      <c r="K1292" s="7" t="str">
        <f t="shared" si="104"/>
        <v>A tiempo</v>
      </c>
      <c r="L1292" s="11">
        <v>45988</v>
      </c>
      <c r="M1292" s="22">
        <f t="shared" si="105"/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>
        <v>45988.436805555553</v>
      </c>
      <c r="F1293" s="11">
        <f>IF(HOUR(Table1[[#This Row],[CORREO]])&gt;=11,WORKDAY(Table1[[#This Row],[CORREO]],1),E1293)</f>
        <v>45988.436805555553</v>
      </c>
      <c r="G1293" s="11"/>
      <c r="H1293" s="7">
        <f t="shared" si="102"/>
        <v>48</v>
      </c>
      <c r="I1293" s="7">
        <f t="shared" si="103"/>
        <v>1</v>
      </c>
      <c r="J1293" s="7" t="str">
        <f t="shared" si="101"/>
        <v>Acumulado</v>
      </c>
      <c r="K1293" s="7" t="str">
        <f t="shared" si="104"/>
        <v>A tiempo</v>
      </c>
      <c r="L1293" s="13">
        <v>45989</v>
      </c>
      <c r="M1293" s="22">
        <f t="shared" si="105"/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Row],[CORREO]],1),E1294)</f>
        <v>0</v>
      </c>
      <c r="G1294" s="11">
        <v>45994</v>
      </c>
      <c r="H1294" s="7">
        <f t="shared" ref="H1294:H1357" si="106">INT((A1294-DATE(YEAR(A1294),1,1))/7) + 1</f>
        <v>48</v>
      </c>
      <c r="I1294" s="7">
        <f t="shared" ref="I1294:I1357" si="107">MAX(1,NETWORKDAYS(A1294,G1294,DATE(2025,11,17)))</f>
        <v>4</v>
      </c>
      <c r="J1294" s="7" t="str">
        <f t="shared" ref="J1294:J1357" si="108">IF(G1294="","Acumulado",IF(ISNUMBER(SEARCH("ASAP",C1294)),"ASAP",IF(I1294&lt;=7,"Dentro",IF(A1294&gt;F1294,"Programado","Fuera"))))</f>
        <v>Dentro</v>
      </c>
      <c r="K1294" s="7" t="str">
        <f t="shared" ref="K1294:K1357" si="109">IF(INT(A1294)=INT(F1294),"A tiempo", IF(A1294&lt;F1294,"Mismo día","Programados"))</f>
        <v>Programados</v>
      </c>
      <c r="L1294" s="11">
        <v>45989</v>
      </c>
      <c r="M1294" s="22">
        <f t="shared" ref="M1294:M1357" si="110">MAX(1,NETWORKDAYS(A1294,L1294))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Row],[CORREO]],1),E1295)</f>
        <v>45989</v>
      </c>
      <c r="G1295" s="11">
        <v>46050</v>
      </c>
      <c r="H1295" s="7">
        <f t="shared" si="106"/>
        <v>48</v>
      </c>
      <c r="I1295" s="7">
        <f t="shared" si="107"/>
        <v>44</v>
      </c>
      <c r="J1295" s="7" t="str">
        <f t="shared" si="108"/>
        <v>Fuera</v>
      </c>
      <c r="K1295" s="7" t="str">
        <f t="shared" si="109"/>
        <v>A tiempo</v>
      </c>
      <c r="L1295" s="13">
        <v>45989</v>
      </c>
      <c r="M1295" s="22">
        <f t="shared" si="110"/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Row],[CORREO]],1),E1296)</f>
        <v>45989</v>
      </c>
      <c r="G1296" s="11">
        <v>45994</v>
      </c>
      <c r="H1296" s="7">
        <f t="shared" si="106"/>
        <v>48</v>
      </c>
      <c r="I1296" s="7">
        <f t="shared" si="107"/>
        <v>4</v>
      </c>
      <c r="J1296" s="7" t="str">
        <f t="shared" si="108"/>
        <v>Dentro</v>
      </c>
      <c r="K1296" s="7" t="str">
        <f t="shared" si="109"/>
        <v>A tiempo</v>
      </c>
      <c r="L1296" s="11">
        <v>45989</v>
      </c>
      <c r="M1296" s="22">
        <f t="shared" si="110"/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Row],[CORREO]],1),E1297)</f>
        <v>45989.328472222223</v>
      </c>
      <c r="G1297" s="11">
        <v>45992</v>
      </c>
      <c r="H1297" s="7">
        <f t="shared" si="106"/>
        <v>48</v>
      </c>
      <c r="I1297" s="7">
        <f t="shared" si="107"/>
        <v>2</v>
      </c>
      <c r="J1297" s="7" t="str">
        <f t="shared" si="108"/>
        <v>Dentro</v>
      </c>
      <c r="K1297" s="7" t="str">
        <f t="shared" si="109"/>
        <v>A tiempo</v>
      </c>
      <c r="L1297" s="11">
        <v>45989</v>
      </c>
      <c r="M1297" s="22">
        <f t="shared" si="110"/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Row],[CORREO]],1),E1298)</f>
        <v>45989.353472222225</v>
      </c>
      <c r="G1298" s="11">
        <v>45992</v>
      </c>
      <c r="H1298" s="7">
        <f t="shared" si="106"/>
        <v>48</v>
      </c>
      <c r="I1298" s="7">
        <f t="shared" si="107"/>
        <v>2</v>
      </c>
      <c r="J1298" s="7" t="str">
        <f t="shared" si="108"/>
        <v>Dentro</v>
      </c>
      <c r="K1298" s="7" t="str">
        <f t="shared" si="109"/>
        <v>A tiempo</v>
      </c>
      <c r="L1298" s="11">
        <v>45989</v>
      </c>
      <c r="M1298" s="22">
        <f t="shared" si="110"/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Row],[CORREO]],1),E1299)</f>
        <v>0</v>
      </c>
      <c r="G1299" s="11">
        <v>45996</v>
      </c>
      <c r="H1299" s="7">
        <f t="shared" si="106"/>
        <v>48</v>
      </c>
      <c r="I1299" s="7">
        <f t="shared" si="107"/>
        <v>6</v>
      </c>
      <c r="J1299" s="7" t="str">
        <f t="shared" si="108"/>
        <v>Dentro</v>
      </c>
      <c r="K1299" s="7" t="str">
        <f t="shared" si="109"/>
        <v>Programados</v>
      </c>
      <c r="L1299" s="13">
        <v>45989</v>
      </c>
      <c r="M1299" s="22">
        <f t="shared" si="110"/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Row],[CORREO]],1),E1300)</f>
        <v>45992</v>
      </c>
      <c r="G1300" s="11">
        <v>45993</v>
      </c>
      <c r="H1300" s="7">
        <f t="shared" si="106"/>
        <v>48</v>
      </c>
      <c r="I1300" s="7">
        <f t="shared" si="107"/>
        <v>2</v>
      </c>
      <c r="J1300" s="7" t="str">
        <f t="shared" si="108"/>
        <v>Dentro</v>
      </c>
      <c r="K1300" s="7" t="str">
        <f t="shared" si="109"/>
        <v>A tiempo</v>
      </c>
      <c r="L1300" s="11">
        <v>45992</v>
      </c>
      <c r="M1300" s="22">
        <f t="shared" si="110"/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Row],[CORREO]],1),E1301)</f>
        <v>45992.311805555553</v>
      </c>
      <c r="G1301" s="11">
        <v>45994</v>
      </c>
      <c r="H1301" s="7">
        <f t="shared" si="106"/>
        <v>48</v>
      </c>
      <c r="I1301" s="7">
        <f t="shared" si="107"/>
        <v>3</v>
      </c>
      <c r="J1301" s="7" t="str">
        <f t="shared" si="108"/>
        <v>Dentro</v>
      </c>
      <c r="K1301" s="7" t="str">
        <f t="shared" si="109"/>
        <v>A tiempo</v>
      </c>
      <c r="L1301" s="11">
        <v>45992</v>
      </c>
      <c r="M1301" s="22">
        <f t="shared" si="110"/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Row],[CORREO]],1),E1302)</f>
        <v>45992.381249999999</v>
      </c>
      <c r="G1302" s="11">
        <v>45993</v>
      </c>
      <c r="H1302" s="7">
        <f t="shared" si="106"/>
        <v>48</v>
      </c>
      <c r="I1302" s="7">
        <f t="shared" si="107"/>
        <v>2</v>
      </c>
      <c r="J1302" s="7" t="str">
        <f t="shared" si="108"/>
        <v>Dentro</v>
      </c>
      <c r="K1302" s="7" t="str">
        <f t="shared" si="109"/>
        <v>A tiempo</v>
      </c>
      <c r="L1302" s="11">
        <v>45992</v>
      </c>
      <c r="M1302" s="22">
        <f t="shared" si="110"/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Row],[CORREO]],1),E1303)</f>
        <v>45992.398611111108</v>
      </c>
      <c r="G1303" s="11">
        <v>45996</v>
      </c>
      <c r="H1303" s="7">
        <f t="shared" si="106"/>
        <v>48</v>
      </c>
      <c r="I1303" s="7">
        <f t="shared" si="107"/>
        <v>5</v>
      </c>
      <c r="J1303" s="7" t="str">
        <f t="shared" si="108"/>
        <v>Dentro</v>
      </c>
      <c r="K1303" s="7" t="str">
        <f t="shared" si="109"/>
        <v>A tiempo</v>
      </c>
      <c r="L1303" s="11">
        <v>45992</v>
      </c>
      <c r="M1303" s="22">
        <f t="shared" si="110"/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Row],[CORREO]],1),E1304)</f>
        <v>45992.398611111108</v>
      </c>
      <c r="G1304" s="11">
        <v>45996</v>
      </c>
      <c r="H1304" s="7">
        <f t="shared" si="106"/>
        <v>48</v>
      </c>
      <c r="I1304" s="7">
        <f t="shared" si="107"/>
        <v>5</v>
      </c>
      <c r="J1304" s="7" t="str">
        <f t="shared" si="108"/>
        <v>Dentro</v>
      </c>
      <c r="K1304" s="7" t="str">
        <f t="shared" si="109"/>
        <v>A tiempo</v>
      </c>
      <c r="L1304" s="11">
        <v>45992</v>
      </c>
      <c r="M1304" s="22">
        <f t="shared" si="110"/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Row],[CORREO]],1),E1305)</f>
        <v>45992.404861111114</v>
      </c>
      <c r="G1305" s="11">
        <v>45993</v>
      </c>
      <c r="H1305" s="7">
        <f t="shared" si="106"/>
        <v>48</v>
      </c>
      <c r="I1305" s="7">
        <f t="shared" si="107"/>
        <v>2</v>
      </c>
      <c r="J1305" s="7" t="str">
        <f t="shared" si="108"/>
        <v>Dentro</v>
      </c>
      <c r="K1305" s="7" t="str">
        <f t="shared" si="109"/>
        <v>A tiempo</v>
      </c>
      <c r="L1305" s="11">
        <v>45992</v>
      </c>
      <c r="M1305" s="22">
        <f t="shared" si="110"/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Row],[CORREO]],1),E1306)</f>
        <v>45993</v>
      </c>
      <c r="G1306" s="11">
        <v>46001</v>
      </c>
      <c r="H1306" s="7">
        <f t="shared" si="106"/>
        <v>48</v>
      </c>
      <c r="I1306" s="7">
        <f t="shared" si="107"/>
        <v>8</v>
      </c>
      <c r="J1306" s="7" t="str">
        <f t="shared" si="108"/>
        <v>ASAP</v>
      </c>
      <c r="K1306" s="7" t="str">
        <f t="shared" si="109"/>
        <v>Mismo día</v>
      </c>
      <c r="L1306" s="11">
        <v>45992</v>
      </c>
      <c r="M1306" s="22">
        <f t="shared" si="110"/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Row],[CORREO]],1),E1307)</f>
        <v>45993</v>
      </c>
      <c r="G1307" s="11">
        <v>45993</v>
      </c>
      <c r="H1307" s="7">
        <f t="shared" si="106"/>
        <v>48</v>
      </c>
      <c r="I1307" s="7">
        <f t="shared" si="107"/>
        <v>1</v>
      </c>
      <c r="J1307" s="7" t="str">
        <f t="shared" si="108"/>
        <v>Dentro</v>
      </c>
      <c r="K1307" s="7" t="str">
        <f t="shared" si="109"/>
        <v>A tiempo</v>
      </c>
      <c r="L1307" s="11">
        <v>45993</v>
      </c>
      <c r="M1307" s="22">
        <f t="shared" si="110"/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Row],[CORREO]],1),E1308)</f>
        <v>45993</v>
      </c>
      <c r="G1308" s="11">
        <v>45994</v>
      </c>
      <c r="H1308" s="7">
        <f t="shared" si="106"/>
        <v>48</v>
      </c>
      <c r="I1308" s="7">
        <f t="shared" si="107"/>
        <v>2</v>
      </c>
      <c r="J1308" s="7" t="str">
        <f t="shared" si="108"/>
        <v>Dentro</v>
      </c>
      <c r="K1308" s="7" t="str">
        <f t="shared" si="109"/>
        <v>A tiempo</v>
      </c>
      <c r="L1308" s="11">
        <v>45993</v>
      </c>
      <c r="M1308" s="22">
        <f t="shared" si="110"/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Row],[CORREO]],1),E1309)</f>
        <v>45994</v>
      </c>
      <c r="G1309" s="11">
        <v>45994</v>
      </c>
      <c r="H1309" s="7">
        <f t="shared" si="106"/>
        <v>48</v>
      </c>
      <c r="I1309" s="7">
        <f t="shared" si="107"/>
        <v>2</v>
      </c>
      <c r="J1309" s="7" t="str">
        <f t="shared" si="108"/>
        <v>Dentro</v>
      </c>
      <c r="K1309" s="7" t="str">
        <f t="shared" si="109"/>
        <v>Mismo día</v>
      </c>
      <c r="L1309" s="11">
        <v>45993</v>
      </c>
      <c r="M1309" s="22">
        <f t="shared" si="110"/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Row],[CORREO]],1),E1310)</f>
        <v>45994</v>
      </c>
      <c r="G1310" s="11">
        <v>45995</v>
      </c>
      <c r="H1310" s="7">
        <f t="shared" si="106"/>
        <v>49</v>
      </c>
      <c r="I1310" s="7">
        <f t="shared" si="107"/>
        <v>2</v>
      </c>
      <c r="J1310" s="7" t="str">
        <f t="shared" si="108"/>
        <v>Dentro</v>
      </c>
      <c r="K1310" s="7" t="str">
        <f t="shared" si="109"/>
        <v>A tiempo</v>
      </c>
      <c r="L1310" s="11">
        <v>45994</v>
      </c>
      <c r="M1310" s="22">
        <f t="shared" si="110"/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Row],[CORREO]],1),E1311)</f>
        <v>45994</v>
      </c>
      <c r="G1311" s="11">
        <v>45994</v>
      </c>
      <c r="H1311" s="7">
        <f t="shared" si="106"/>
        <v>49</v>
      </c>
      <c r="I1311" s="7">
        <f t="shared" si="107"/>
        <v>1</v>
      </c>
      <c r="J1311" s="7" t="str">
        <f t="shared" si="108"/>
        <v>Dentro</v>
      </c>
      <c r="K1311" s="7" t="str">
        <f t="shared" si="109"/>
        <v>A tiempo</v>
      </c>
      <c r="L1311" s="11">
        <v>45994</v>
      </c>
      <c r="M1311" s="22">
        <f t="shared" si="110"/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Row],[CORREO]],1),E1312)</f>
        <v>45994.287499999999</v>
      </c>
      <c r="G1312" s="11">
        <v>45996</v>
      </c>
      <c r="H1312" s="7">
        <f t="shared" si="106"/>
        <v>49</v>
      </c>
      <c r="I1312" s="7">
        <f t="shared" si="107"/>
        <v>3</v>
      </c>
      <c r="J1312" s="7" t="str">
        <f t="shared" si="108"/>
        <v>Dentro</v>
      </c>
      <c r="K1312" s="7" t="str">
        <f t="shared" si="109"/>
        <v>A tiempo</v>
      </c>
      <c r="L1312" s="11">
        <v>45994</v>
      </c>
      <c r="M1312" s="22">
        <f t="shared" si="110"/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Row],[CORREO]],1),E1313)</f>
        <v>45994.329861111109</v>
      </c>
      <c r="G1313" s="11">
        <v>45996</v>
      </c>
      <c r="H1313" s="7">
        <f t="shared" si="106"/>
        <v>49</v>
      </c>
      <c r="I1313" s="7">
        <f t="shared" si="107"/>
        <v>3</v>
      </c>
      <c r="J1313" s="7" t="str">
        <f t="shared" si="108"/>
        <v>Dentro</v>
      </c>
      <c r="K1313" s="7" t="str">
        <f t="shared" si="109"/>
        <v>A tiempo</v>
      </c>
      <c r="L1313" s="11">
        <v>45994</v>
      </c>
      <c r="M1313" s="22">
        <f t="shared" si="110"/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Row],[CORREO]],1),E1314)</f>
        <v>45995</v>
      </c>
      <c r="G1314" s="11">
        <v>45996</v>
      </c>
      <c r="H1314" s="7">
        <f t="shared" si="106"/>
        <v>49</v>
      </c>
      <c r="I1314" s="7">
        <f t="shared" si="107"/>
        <v>2</v>
      </c>
      <c r="J1314" s="7" t="str">
        <f t="shared" si="108"/>
        <v>Dentro</v>
      </c>
      <c r="K1314" s="7" t="str">
        <f t="shared" si="109"/>
        <v>A tiempo</v>
      </c>
      <c r="L1314" s="11">
        <v>45995</v>
      </c>
      <c r="M1314" s="22">
        <f t="shared" si="110"/>
        <v>1</v>
      </c>
    </row>
    <row r="1315" spans="1:13" x14ac:dyDescent="0.35">
      <c r="A1315" s="11">
        <v>45995</v>
      </c>
      <c r="B1315" s="7" t="s">
        <v>2701</v>
      </c>
      <c r="C1315" s="7" t="s">
        <v>2713</v>
      </c>
      <c r="D1315" s="7" t="s">
        <v>2167</v>
      </c>
      <c r="E1315" s="18">
        <v>45994.746527777781</v>
      </c>
      <c r="F1315" s="11">
        <f>IF(HOUR(Table1[[#This Row],[CORREO]])&gt;=11,WORKDAY(Table1[[#This Row],[CORREO]],1),E1315)</f>
        <v>45995</v>
      </c>
      <c r="G1315" s="11">
        <v>46008</v>
      </c>
      <c r="H1315" s="7">
        <f t="shared" si="106"/>
        <v>49</v>
      </c>
      <c r="I1315" s="7">
        <f t="shared" si="107"/>
        <v>10</v>
      </c>
      <c r="J1315" s="7" t="str">
        <f t="shared" si="108"/>
        <v>Fuera</v>
      </c>
      <c r="K1315" s="7" t="str">
        <f t="shared" si="109"/>
        <v>A tiempo</v>
      </c>
      <c r="L1315" s="11">
        <v>45995</v>
      </c>
      <c r="M1315" s="22">
        <f t="shared" si="110"/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Row],[CORREO]],1),E1316)</f>
        <v>45995</v>
      </c>
      <c r="G1316" s="11">
        <v>45996</v>
      </c>
      <c r="H1316" s="7">
        <f t="shared" si="106"/>
        <v>49</v>
      </c>
      <c r="I1316" s="7">
        <f t="shared" si="107"/>
        <v>2</v>
      </c>
      <c r="J1316" s="7" t="str">
        <f t="shared" si="108"/>
        <v>Dentro</v>
      </c>
      <c r="K1316" s="7" t="str">
        <f t="shared" si="109"/>
        <v>A tiempo</v>
      </c>
      <c r="L1316" s="11">
        <v>45996</v>
      </c>
      <c r="M1316" s="22">
        <f t="shared" si="110"/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Row],[CORREO]],1),E1317)</f>
        <v>45995.357638888891</v>
      </c>
      <c r="G1317" s="11">
        <v>46000</v>
      </c>
      <c r="H1317" s="7">
        <f t="shared" si="106"/>
        <v>49</v>
      </c>
      <c r="I1317" s="7">
        <f t="shared" si="107"/>
        <v>4</v>
      </c>
      <c r="J1317" s="7" t="str">
        <f t="shared" si="108"/>
        <v>Dentro</v>
      </c>
      <c r="K1317" s="7" t="str">
        <f t="shared" si="109"/>
        <v>A tiempo</v>
      </c>
      <c r="L1317" s="11">
        <v>45995</v>
      </c>
      <c r="M1317" s="22">
        <f t="shared" si="110"/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Row],[CORREO]],1),E1318)</f>
        <v>45995.456944444442</v>
      </c>
      <c r="G1318" s="11">
        <v>45995</v>
      </c>
      <c r="H1318" s="7">
        <f t="shared" si="106"/>
        <v>49</v>
      </c>
      <c r="I1318" s="7">
        <f t="shared" si="107"/>
        <v>1</v>
      </c>
      <c r="J1318" s="7" t="str">
        <f t="shared" si="108"/>
        <v>Dentro</v>
      </c>
      <c r="K1318" s="7" t="str">
        <f t="shared" si="109"/>
        <v>A tiempo</v>
      </c>
      <c r="L1318" s="11">
        <v>45995</v>
      </c>
      <c r="M1318" s="22">
        <f t="shared" si="110"/>
        <v>1</v>
      </c>
    </row>
    <row r="1319" spans="1:13" x14ac:dyDescent="0.35">
      <c r="A1319" s="11">
        <v>45995</v>
      </c>
      <c r="B1319" s="7" t="s">
        <v>2664</v>
      </c>
      <c r="C1319" s="7" t="s">
        <v>2714</v>
      </c>
      <c r="D1319" s="7" t="s">
        <v>538</v>
      </c>
      <c r="E1319" s="18"/>
      <c r="F1319" s="11">
        <f>IF(HOUR(Table1[[#This Row],[CORREO]])&gt;=11,WORKDAY(Table1[[#This Row],[CORREO]],1),E1319)</f>
        <v>0</v>
      </c>
      <c r="G1319" s="11">
        <v>46001</v>
      </c>
      <c r="H1319" s="7">
        <f t="shared" si="106"/>
        <v>49</v>
      </c>
      <c r="I1319" s="7">
        <f t="shared" si="107"/>
        <v>5</v>
      </c>
      <c r="J1319" s="7" t="str">
        <f t="shared" si="108"/>
        <v>Dentro</v>
      </c>
      <c r="K1319" s="7" t="str">
        <f t="shared" si="109"/>
        <v>Programados</v>
      </c>
      <c r="L1319" s="11">
        <v>45996</v>
      </c>
      <c r="M1319" s="22">
        <f t="shared" si="110"/>
        <v>2</v>
      </c>
    </row>
    <row r="1320" spans="1:13" x14ac:dyDescent="0.35">
      <c r="A1320" s="11">
        <v>45995</v>
      </c>
      <c r="B1320" s="7" t="s">
        <v>2665</v>
      </c>
      <c r="C1320" s="7" t="s">
        <v>2714</v>
      </c>
      <c r="D1320" s="7" t="s">
        <v>27</v>
      </c>
      <c r="E1320" s="18"/>
      <c r="F1320" s="11">
        <f>IF(HOUR(Table1[[#This Row],[CORREO]])&gt;=11,WORKDAY(Table1[[#This Row],[CORREO]],1),E1320)</f>
        <v>0</v>
      </c>
      <c r="G1320" s="11">
        <v>46001</v>
      </c>
      <c r="H1320" s="7">
        <f t="shared" si="106"/>
        <v>49</v>
      </c>
      <c r="I1320" s="7">
        <f t="shared" si="107"/>
        <v>5</v>
      </c>
      <c r="J1320" s="7" t="str">
        <f t="shared" si="108"/>
        <v>Dentro</v>
      </c>
      <c r="K1320" s="7" t="str">
        <f t="shared" si="109"/>
        <v>Programados</v>
      </c>
      <c r="L1320" s="11">
        <v>45996</v>
      </c>
      <c r="M1320" s="22">
        <f t="shared" si="110"/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Row],[CORREO]],1),E1321)</f>
        <v>0</v>
      </c>
      <c r="G1321" s="11">
        <v>46001</v>
      </c>
      <c r="H1321" s="7">
        <f t="shared" si="106"/>
        <v>49</v>
      </c>
      <c r="I1321" s="7">
        <f t="shared" si="107"/>
        <v>4</v>
      </c>
      <c r="J1321" s="7" t="str">
        <f t="shared" si="108"/>
        <v>Dentro</v>
      </c>
      <c r="K1321" s="7" t="str">
        <f t="shared" si="109"/>
        <v>Programados</v>
      </c>
      <c r="L1321" s="11">
        <v>45999</v>
      </c>
      <c r="M1321" s="22">
        <f t="shared" si="110"/>
        <v>2</v>
      </c>
    </row>
    <row r="1322" spans="1:13" x14ac:dyDescent="0.35">
      <c r="A1322" s="11">
        <v>45996</v>
      </c>
      <c r="B1322" s="7" t="s">
        <v>2661</v>
      </c>
      <c r="C1322" s="7" t="s">
        <v>2715</v>
      </c>
      <c r="D1322" s="7" t="s">
        <v>1675</v>
      </c>
      <c r="E1322" s="18">
        <v>45995.690972222219</v>
      </c>
      <c r="F1322" s="11">
        <f>IF(HOUR(Table1[[#This Row],[CORREO]])&gt;=11,WORKDAY(Table1[[#This Row],[CORREO]],1),E1322)</f>
        <v>45996</v>
      </c>
      <c r="G1322" s="11">
        <v>46001</v>
      </c>
      <c r="H1322" s="7">
        <f t="shared" si="106"/>
        <v>49</v>
      </c>
      <c r="I1322" s="7">
        <f t="shared" si="107"/>
        <v>4</v>
      </c>
      <c r="J1322" s="7" t="str">
        <f t="shared" si="108"/>
        <v>Dentro</v>
      </c>
      <c r="K1322" s="7" t="str">
        <f t="shared" si="109"/>
        <v>A tiempo</v>
      </c>
      <c r="L1322" s="11">
        <v>45996</v>
      </c>
      <c r="M1322" s="22">
        <f t="shared" si="110"/>
        <v>1</v>
      </c>
    </row>
    <row r="1323" spans="1:13" x14ac:dyDescent="0.35">
      <c r="A1323" s="11">
        <v>45996</v>
      </c>
      <c r="B1323" s="7" t="s">
        <v>2676</v>
      </c>
      <c r="C1323" s="7" t="s">
        <v>2716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46002</v>
      </c>
      <c r="H1323" s="7">
        <f t="shared" si="106"/>
        <v>49</v>
      </c>
      <c r="I1323" s="7">
        <f t="shared" si="107"/>
        <v>5</v>
      </c>
      <c r="J1323" s="7" t="str">
        <f t="shared" si="108"/>
        <v>Dentro</v>
      </c>
      <c r="K1323" s="7" t="str">
        <f t="shared" si="109"/>
        <v>Programados</v>
      </c>
      <c r="L1323" s="11">
        <v>45996</v>
      </c>
      <c r="M1323" s="22">
        <f t="shared" si="110"/>
        <v>1</v>
      </c>
    </row>
    <row r="1324" spans="1:13" x14ac:dyDescent="0.35">
      <c r="A1324" s="11">
        <v>45996</v>
      </c>
      <c r="B1324" s="7" t="s">
        <v>2677</v>
      </c>
      <c r="C1324" s="7" t="s">
        <v>2717</v>
      </c>
      <c r="D1324" s="7" t="s">
        <v>27</v>
      </c>
      <c r="E1324" s="18"/>
      <c r="F1324" s="11">
        <f>IF(HOUR(Table1[[#This Row],[CORREO]])&gt;=11,WORKDAY(Table1[[#This Row],[CORREO]],1),E1324)</f>
        <v>0</v>
      </c>
      <c r="G1324" s="11">
        <v>46002</v>
      </c>
      <c r="H1324" s="7">
        <f t="shared" si="106"/>
        <v>49</v>
      </c>
      <c r="I1324" s="7">
        <f t="shared" si="107"/>
        <v>5</v>
      </c>
      <c r="J1324" s="7" t="str">
        <f t="shared" si="108"/>
        <v>Dentro</v>
      </c>
      <c r="K1324" s="7" t="str">
        <f t="shared" si="109"/>
        <v>Programados</v>
      </c>
      <c r="L1324" s="11">
        <v>45996</v>
      </c>
      <c r="M1324" s="22">
        <f t="shared" si="110"/>
        <v>1</v>
      </c>
    </row>
    <row r="1325" spans="1:13" x14ac:dyDescent="0.35">
      <c r="A1325" s="11">
        <v>45996</v>
      </c>
      <c r="B1325" s="7" t="s">
        <v>2691</v>
      </c>
      <c r="C1325" s="7" t="s">
        <v>2718</v>
      </c>
      <c r="D1325" s="7" t="s">
        <v>27</v>
      </c>
      <c r="E1325" s="18"/>
      <c r="F1325" s="11">
        <f>IF(HOUR(Table1[[#This Row],[CORREO]])&gt;=11,WORKDAY(Table1[[#This Row],[CORREO]],1),E1325)</f>
        <v>0</v>
      </c>
      <c r="G1325" s="11">
        <v>46006</v>
      </c>
      <c r="H1325" s="7">
        <f t="shared" si="106"/>
        <v>49</v>
      </c>
      <c r="I1325" s="7">
        <f t="shared" si="107"/>
        <v>7</v>
      </c>
      <c r="J1325" s="7" t="str">
        <f t="shared" si="108"/>
        <v>Dentro</v>
      </c>
      <c r="K1325" s="7" t="str">
        <f t="shared" si="109"/>
        <v>Programados</v>
      </c>
      <c r="L1325" s="11">
        <v>45996</v>
      </c>
      <c r="M1325" s="22">
        <f t="shared" si="110"/>
        <v>1</v>
      </c>
    </row>
    <row r="1326" spans="1:13" x14ac:dyDescent="0.35">
      <c r="A1326" s="11">
        <v>45996</v>
      </c>
      <c r="B1326" s="7" t="s">
        <v>2690</v>
      </c>
      <c r="C1326" s="7" t="s">
        <v>2719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46006</v>
      </c>
      <c r="H1326" s="7">
        <f t="shared" si="106"/>
        <v>49</v>
      </c>
      <c r="I1326" s="7">
        <f t="shared" si="107"/>
        <v>7</v>
      </c>
      <c r="J1326" s="7" t="str">
        <f t="shared" si="108"/>
        <v>Dentro</v>
      </c>
      <c r="K1326" s="7" t="str">
        <f t="shared" si="109"/>
        <v>Programados</v>
      </c>
      <c r="L1326" s="11">
        <v>45996</v>
      </c>
      <c r="M1326" s="22">
        <f t="shared" si="110"/>
        <v>1</v>
      </c>
    </row>
    <row r="1327" spans="1:13" x14ac:dyDescent="0.35">
      <c r="A1327" s="11">
        <v>45996</v>
      </c>
      <c r="B1327" s="7" t="s">
        <v>2678</v>
      </c>
      <c r="C1327" s="7" t="s">
        <v>2720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6"/>
        <v>49</v>
      </c>
      <c r="I1327" s="7">
        <f t="shared" si="107"/>
        <v>5</v>
      </c>
      <c r="J1327" s="7" t="str">
        <f t="shared" si="108"/>
        <v>Dentro</v>
      </c>
      <c r="K1327" s="7" t="str">
        <f t="shared" si="109"/>
        <v>Programados</v>
      </c>
      <c r="L1327" s="11">
        <v>45996</v>
      </c>
      <c r="M1327" s="22">
        <f t="shared" si="110"/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Row],[CORREO]],1),E1328)</f>
        <v>45996.376388888886</v>
      </c>
      <c r="G1328" s="11">
        <v>45996</v>
      </c>
      <c r="H1328" s="7">
        <f t="shared" si="106"/>
        <v>49</v>
      </c>
      <c r="I1328" s="7">
        <f t="shared" si="107"/>
        <v>1</v>
      </c>
      <c r="J1328" s="7" t="str">
        <f t="shared" si="108"/>
        <v>Dentro</v>
      </c>
      <c r="K1328" s="7" t="str">
        <f t="shared" si="109"/>
        <v>A tiempo</v>
      </c>
      <c r="L1328" s="11">
        <v>45996</v>
      </c>
      <c r="M1328" s="22">
        <f t="shared" si="110"/>
        <v>1</v>
      </c>
    </row>
    <row r="1329" spans="1:13" x14ac:dyDescent="0.35">
      <c r="A1329" s="11">
        <v>45996</v>
      </c>
      <c r="B1329" s="7" t="s">
        <v>2672</v>
      </c>
      <c r="C1329" s="7" t="s">
        <v>2721</v>
      </c>
      <c r="D1329" s="7" t="s">
        <v>1333</v>
      </c>
      <c r="E1329" s="18"/>
      <c r="F1329" s="11">
        <f>IF(HOUR(Table1[[#This Row],[CORREO]])&gt;=11,WORKDAY(Table1[[#This Row],[CORREO]],1),E1329)</f>
        <v>0</v>
      </c>
      <c r="G1329" s="11">
        <v>46002</v>
      </c>
      <c r="H1329" s="7">
        <f t="shared" si="106"/>
        <v>49</v>
      </c>
      <c r="I1329" s="7">
        <f t="shared" si="107"/>
        <v>5</v>
      </c>
      <c r="J1329" s="7" t="str">
        <f t="shared" si="108"/>
        <v>Dentro</v>
      </c>
      <c r="K1329" s="7" t="str">
        <f t="shared" si="109"/>
        <v>Programados</v>
      </c>
      <c r="L1329" s="11">
        <v>45996</v>
      </c>
      <c r="M1329" s="22">
        <f t="shared" si="110"/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Row],[CORREO]],1),E1330)</f>
        <v>45999</v>
      </c>
      <c r="G1330" s="11">
        <v>45999</v>
      </c>
      <c r="H1330" s="7">
        <f t="shared" si="106"/>
        <v>49</v>
      </c>
      <c r="I1330" s="7">
        <f t="shared" si="107"/>
        <v>2</v>
      </c>
      <c r="J1330" s="7" t="str">
        <f t="shared" si="108"/>
        <v>ASAP</v>
      </c>
      <c r="K1330" s="7" t="str">
        <f t="shared" si="109"/>
        <v>Mismo día</v>
      </c>
      <c r="L1330" s="11">
        <v>45999</v>
      </c>
      <c r="M1330" s="22">
        <f t="shared" si="110"/>
        <v>2</v>
      </c>
    </row>
    <row r="1331" spans="1:13" x14ac:dyDescent="0.35">
      <c r="A1331" s="11">
        <v>45996</v>
      </c>
      <c r="B1331" s="7" t="s">
        <v>2671</v>
      </c>
      <c r="C1331" s="7" t="s">
        <v>2722</v>
      </c>
      <c r="D1331" s="7" t="s">
        <v>27</v>
      </c>
      <c r="E1331" s="18">
        <v>45996.573611111111</v>
      </c>
      <c r="F1331" s="11">
        <f>IF(HOUR(Table1[[#This Row],[CORREO]])&gt;=11,WORKDAY(Table1[[#This Row],[CORREO]],1),E1331)</f>
        <v>45999</v>
      </c>
      <c r="G1331" s="11">
        <v>46002</v>
      </c>
      <c r="H1331" s="7">
        <f t="shared" si="106"/>
        <v>49</v>
      </c>
      <c r="I1331" s="7">
        <f t="shared" si="107"/>
        <v>5</v>
      </c>
      <c r="J1331" s="7" t="str">
        <f t="shared" si="108"/>
        <v>ASAP</v>
      </c>
      <c r="K1331" s="7" t="str">
        <f t="shared" si="109"/>
        <v>Mismo día</v>
      </c>
      <c r="L1331" s="11">
        <v>45996</v>
      </c>
      <c r="M1331" s="22">
        <f t="shared" si="110"/>
        <v>1</v>
      </c>
    </row>
    <row r="1332" spans="1:13" x14ac:dyDescent="0.35">
      <c r="A1332" s="11">
        <v>45999</v>
      </c>
      <c r="B1332" s="7" t="s">
        <v>2679</v>
      </c>
      <c r="C1332" s="7" t="s">
        <v>2723</v>
      </c>
      <c r="D1332" s="7" t="s">
        <v>24</v>
      </c>
      <c r="E1332" s="18"/>
      <c r="F1332" s="11">
        <f>IF(HOUR(Table1[[#This Row],[CORREO]])&gt;=11,WORKDAY(Table1[[#This Row],[CORREO]],1),E1332)</f>
        <v>0</v>
      </c>
      <c r="G1332" s="11">
        <v>46003</v>
      </c>
      <c r="H1332" s="7">
        <f t="shared" si="106"/>
        <v>49</v>
      </c>
      <c r="I1332" s="7">
        <f t="shared" si="107"/>
        <v>5</v>
      </c>
      <c r="J1332" s="7" t="str">
        <f t="shared" si="108"/>
        <v>Dentro</v>
      </c>
      <c r="K1332" s="7" t="str">
        <f t="shared" si="109"/>
        <v>Programados</v>
      </c>
      <c r="L1332" s="11">
        <v>45999</v>
      </c>
      <c r="M1332" s="22">
        <f t="shared" si="110"/>
        <v>1</v>
      </c>
    </row>
    <row r="1333" spans="1:13" x14ac:dyDescent="0.35">
      <c r="A1333" s="11">
        <v>45999</v>
      </c>
      <c r="B1333" s="7" t="s">
        <v>2697</v>
      </c>
      <c r="C1333" s="7" t="s">
        <v>2724</v>
      </c>
      <c r="D1333" s="7" t="s">
        <v>24</v>
      </c>
      <c r="E1333" s="18">
        <v>45996.511805555558</v>
      </c>
      <c r="F1333" s="11">
        <f>IF(HOUR(Table1[[#This Row],[CORREO]])&gt;=11,WORKDAY(Table1[[#This Row],[CORREO]],1),E1333)</f>
        <v>45999</v>
      </c>
      <c r="G1333" s="11">
        <v>46007</v>
      </c>
      <c r="H1333" s="7">
        <f t="shared" si="106"/>
        <v>49</v>
      </c>
      <c r="I1333" s="7">
        <f t="shared" si="107"/>
        <v>7</v>
      </c>
      <c r="J1333" s="7" t="str">
        <f t="shared" si="108"/>
        <v>Dentro</v>
      </c>
      <c r="K1333" s="7" t="str">
        <f t="shared" si="109"/>
        <v>A tiempo</v>
      </c>
      <c r="L1333" s="11">
        <v>45999</v>
      </c>
      <c r="M1333" s="22">
        <f t="shared" si="110"/>
        <v>1</v>
      </c>
    </row>
    <row r="1334" spans="1:13" x14ac:dyDescent="0.35">
      <c r="A1334" s="11">
        <v>45999</v>
      </c>
      <c r="B1334" s="7" t="s">
        <v>2707</v>
      </c>
      <c r="C1334" s="7" t="s">
        <v>2725</v>
      </c>
      <c r="D1334" s="7" t="s">
        <v>1136</v>
      </c>
      <c r="E1334" s="18">
        <v>45996.54791666667</v>
      </c>
      <c r="F1334" s="11">
        <f>IF(HOUR(Table1[[#This Row],[CORREO]])&gt;=11,WORKDAY(Table1[[#This Row],[CORREO]],1),E1334)</f>
        <v>45999</v>
      </c>
      <c r="G1334" s="11">
        <v>46030</v>
      </c>
      <c r="H1334" s="7">
        <f t="shared" si="106"/>
        <v>49</v>
      </c>
      <c r="I1334" s="7">
        <f t="shared" si="107"/>
        <v>24</v>
      </c>
      <c r="J1334" s="7" t="str">
        <f t="shared" si="108"/>
        <v>Fuera</v>
      </c>
      <c r="K1334" s="7" t="str">
        <f t="shared" si="109"/>
        <v>A tiempo</v>
      </c>
      <c r="L1334" s="11">
        <v>45999</v>
      </c>
      <c r="M1334" s="22">
        <f t="shared" si="110"/>
        <v>1</v>
      </c>
    </row>
    <row r="1335" spans="1:13" x14ac:dyDescent="0.35">
      <c r="A1335" s="11">
        <v>45999</v>
      </c>
      <c r="B1335" s="7" t="s">
        <v>2663</v>
      </c>
      <c r="C1335" s="7" t="s">
        <v>2726</v>
      </c>
      <c r="D1335" s="7" t="s">
        <v>1136</v>
      </c>
      <c r="E1335" s="18">
        <v>45996.549305555556</v>
      </c>
      <c r="F1335" s="11">
        <f>IF(HOUR(Table1[[#This Row],[CORREO]])&gt;=11,WORKDAY(Table1[[#This Row],[CORREO]],1),E1335)</f>
        <v>45999</v>
      </c>
      <c r="G1335" s="11">
        <v>46001</v>
      </c>
      <c r="H1335" s="7">
        <f t="shared" si="106"/>
        <v>49</v>
      </c>
      <c r="I1335" s="7">
        <f t="shared" si="107"/>
        <v>3</v>
      </c>
      <c r="J1335" s="7" t="str">
        <f t="shared" si="108"/>
        <v>Dentro</v>
      </c>
      <c r="K1335" s="7" t="str">
        <f t="shared" si="109"/>
        <v>A tiempo</v>
      </c>
      <c r="L1335" s="11">
        <v>45999</v>
      </c>
      <c r="M1335" s="22">
        <f t="shared" si="110"/>
        <v>1</v>
      </c>
    </row>
    <row r="1336" spans="1:13" x14ac:dyDescent="0.35">
      <c r="A1336" s="11">
        <v>45999</v>
      </c>
      <c r="B1336" s="7" t="s">
        <v>2662</v>
      </c>
      <c r="C1336" s="18" t="s">
        <v>2727</v>
      </c>
      <c r="D1336" s="7" t="s">
        <v>1136</v>
      </c>
      <c r="E1336" s="18">
        <v>45996.551388888889</v>
      </c>
      <c r="F1336" s="11">
        <f>IF(HOUR(Table1[[#This Row],[CORREO]])&gt;=11,WORKDAY(Table1[[#This Row],[CORREO]],1),E1336)</f>
        <v>45999</v>
      </c>
      <c r="G1336" s="11">
        <v>46001</v>
      </c>
      <c r="H1336" s="7">
        <f t="shared" si="106"/>
        <v>49</v>
      </c>
      <c r="I1336" s="7">
        <f t="shared" si="107"/>
        <v>3</v>
      </c>
      <c r="J1336" s="7" t="str">
        <f t="shared" si="108"/>
        <v>Dentro</v>
      </c>
      <c r="K1336" s="7" t="str">
        <f t="shared" si="109"/>
        <v>A tiempo</v>
      </c>
      <c r="L1336" s="11">
        <v>45999</v>
      </c>
      <c r="M1336" s="22">
        <f t="shared" si="110"/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Row],[CORREO]],1),E1337)</f>
        <v>45999</v>
      </c>
      <c r="G1337" s="11">
        <v>45999</v>
      </c>
      <c r="H1337" s="7">
        <f t="shared" si="106"/>
        <v>49</v>
      </c>
      <c r="I1337" s="7">
        <f t="shared" si="107"/>
        <v>1</v>
      </c>
      <c r="J1337" s="7" t="str">
        <f t="shared" si="108"/>
        <v>Dentro</v>
      </c>
      <c r="K1337" s="7" t="str">
        <f t="shared" si="109"/>
        <v>A tiempo</v>
      </c>
      <c r="L1337" s="11">
        <v>45999</v>
      </c>
      <c r="M1337" s="22">
        <f t="shared" si="110"/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Row],[CORREO]],1),E1338)</f>
        <v>45999</v>
      </c>
      <c r="G1338" s="11">
        <v>45999</v>
      </c>
      <c r="H1338" s="7">
        <f t="shared" si="106"/>
        <v>49</v>
      </c>
      <c r="I1338" s="7">
        <f t="shared" si="107"/>
        <v>1</v>
      </c>
      <c r="J1338" s="7" t="str">
        <f t="shared" si="108"/>
        <v>Dentro</v>
      </c>
      <c r="K1338" s="7" t="str">
        <f t="shared" si="109"/>
        <v>A tiempo</v>
      </c>
      <c r="L1338" s="11">
        <v>45999</v>
      </c>
      <c r="M1338" s="22">
        <f t="shared" si="110"/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Row],[CORREO]],1),E1339)</f>
        <v>45999</v>
      </c>
      <c r="G1339" s="11">
        <v>45999</v>
      </c>
      <c r="H1339" s="7">
        <f t="shared" si="106"/>
        <v>49</v>
      </c>
      <c r="I1339" s="7">
        <f t="shared" si="107"/>
        <v>1</v>
      </c>
      <c r="J1339" s="7" t="str">
        <f t="shared" si="108"/>
        <v>Dentro</v>
      </c>
      <c r="K1339" s="7" t="str">
        <f t="shared" si="109"/>
        <v>A tiempo</v>
      </c>
      <c r="L1339" s="11">
        <v>45999</v>
      </c>
      <c r="M1339" s="22">
        <f t="shared" si="110"/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Row],[CORREO]],1),E1340)</f>
        <v>45999.34375</v>
      </c>
      <c r="G1340" s="11">
        <v>45999</v>
      </c>
      <c r="H1340" s="7">
        <f t="shared" si="106"/>
        <v>49</v>
      </c>
      <c r="I1340" s="7">
        <f t="shared" si="107"/>
        <v>1</v>
      </c>
      <c r="J1340" s="7" t="str">
        <f t="shared" si="108"/>
        <v>Dentro</v>
      </c>
      <c r="K1340" s="7" t="str">
        <f t="shared" si="109"/>
        <v>A tiempo</v>
      </c>
      <c r="L1340" s="11">
        <v>45999</v>
      </c>
      <c r="M1340" s="22">
        <f t="shared" si="110"/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Row],[CORREO]],1),E1341)</f>
        <v>45999.38958333333</v>
      </c>
      <c r="G1341" s="11">
        <v>46000</v>
      </c>
      <c r="H1341" s="7">
        <f t="shared" si="106"/>
        <v>49</v>
      </c>
      <c r="I1341" s="7">
        <f t="shared" si="107"/>
        <v>2</v>
      </c>
      <c r="J1341" s="7" t="str">
        <f t="shared" si="108"/>
        <v>Dentro</v>
      </c>
      <c r="K1341" s="7" t="str">
        <f t="shared" si="109"/>
        <v>A tiempo</v>
      </c>
      <c r="L1341" s="11">
        <v>45999</v>
      </c>
      <c r="M1341" s="22">
        <f t="shared" si="110"/>
        <v>1</v>
      </c>
    </row>
    <row r="1342" spans="1:13" x14ac:dyDescent="0.35">
      <c r="A1342" s="11">
        <v>46000</v>
      </c>
      <c r="B1342" s="7" t="s">
        <v>2709</v>
      </c>
      <c r="C1342" s="7" t="s">
        <v>2728</v>
      </c>
      <c r="D1342" s="7" t="s">
        <v>1360</v>
      </c>
      <c r="E1342" s="18"/>
      <c r="F1342" s="11">
        <f>IF(HOUR(Table1[[#This Row],[CORREO]])&gt;=11,WORKDAY(Table1[[#This Row],[CORREO]],1),E1342)</f>
        <v>0</v>
      </c>
      <c r="G1342" s="11">
        <v>46010</v>
      </c>
      <c r="H1342" s="7">
        <f t="shared" si="106"/>
        <v>49</v>
      </c>
      <c r="I1342" s="7">
        <f t="shared" si="107"/>
        <v>9</v>
      </c>
      <c r="J1342" s="7" t="str">
        <f t="shared" si="108"/>
        <v>ASAP</v>
      </c>
      <c r="K1342" s="7" t="str">
        <f t="shared" si="109"/>
        <v>Programados</v>
      </c>
      <c r="L1342" s="11">
        <v>46001</v>
      </c>
      <c r="M1342" s="22">
        <f t="shared" si="110"/>
        <v>2</v>
      </c>
    </row>
    <row r="1343" spans="1:13" x14ac:dyDescent="0.35">
      <c r="A1343" s="11">
        <v>46000</v>
      </c>
      <c r="B1343" s="7" t="s">
        <v>2710</v>
      </c>
      <c r="C1343" s="7" t="s">
        <v>2729</v>
      </c>
      <c r="D1343" s="7" t="s">
        <v>1360</v>
      </c>
      <c r="E1343" s="18"/>
      <c r="F1343" s="11">
        <f>IF(HOUR(Table1[[#This Row],[CORREO]])&gt;=11,WORKDAY(Table1[[#This Row],[CORREO]],1),E1343)</f>
        <v>0</v>
      </c>
      <c r="G1343" s="11">
        <v>46010</v>
      </c>
      <c r="H1343" s="7">
        <f t="shared" si="106"/>
        <v>49</v>
      </c>
      <c r="I1343" s="7">
        <f t="shared" si="107"/>
        <v>9</v>
      </c>
      <c r="J1343" s="7" t="str">
        <f t="shared" si="108"/>
        <v>ASAP</v>
      </c>
      <c r="K1343" s="7" t="str">
        <f t="shared" si="109"/>
        <v>Programados</v>
      </c>
      <c r="L1343" s="11">
        <v>46001</v>
      </c>
      <c r="M1343" s="22">
        <f t="shared" si="110"/>
        <v>2</v>
      </c>
    </row>
    <row r="1344" spans="1:13" x14ac:dyDescent="0.35">
      <c r="A1344" s="16">
        <v>46000</v>
      </c>
      <c r="B1344" s="20" t="s">
        <v>2673</v>
      </c>
      <c r="C1344" s="20" t="s">
        <v>2730</v>
      </c>
      <c r="D1344" s="20" t="s">
        <v>42</v>
      </c>
      <c r="E1344" s="21">
        <v>45999.61041666667</v>
      </c>
      <c r="F1344" s="16">
        <f>IF(HOUR(Table1[[#This Row],[CORREO]])&gt;=11,WORKDAY(Table1[[#This Row],[CORREO]],1),E1344)</f>
        <v>46000</v>
      </c>
      <c r="G1344" s="16">
        <v>46002</v>
      </c>
      <c r="H1344" s="20">
        <f t="shared" si="106"/>
        <v>49</v>
      </c>
      <c r="I1344" s="20">
        <f t="shared" si="107"/>
        <v>3</v>
      </c>
      <c r="J1344" s="20" t="str">
        <f t="shared" si="108"/>
        <v>Dentro</v>
      </c>
      <c r="K1344" s="20" t="str">
        <f t="shared" si="109"/>
        <v>A tiempo</v>
      </c>
      <c r="L1344" s="16">
        <v>46000</v>
      </c>
      <c r="M1344" s="23">
        <f t="shared" si="110"/>
        <v>1</v>
      </c>
    </row>
    <row r="1345" spans="1:13" x14ac:dyDescent="0.35">
      <c r="A1345" s="11">
        <v>46000</v>
      </c>
      <c r="B1345" s="7" t="s">
        <v>2708</v>
      </c>
      <c r="C1345" s="7" t="s">
        <v>2731</v>
      </c>
      <c r="D1345" s="7" t="s">
        <v>24</v>
      </c>
      <c r="E1345" s="18">
        <v>45999.654166666667</v>
      </c>
      <c r="F1345" s="11">
        <f>IF(HOUR(Table1[[#This Row],[CORREO]])&gt;=11,WORKDAY(Table1[[#This Row],[CORREO]],1),E1345)</f>
        <v>46000</v>
      </c>
      <c r="G1345" s="11"/>
      <c r="H1345" s="7">
        <f t="shared" si="106"/>
        <v>49</v>
      </c>
      <c r="I1345" s="7">
        <f t="shared" si="107"/>
        <v>1</v>
      </c>
      <c r="J1345" s="7" t="str">
        <f t="shared" si="108"/>
        <v>Acumulado</v>
      </c>
      <c r="K1345" s="7" t="str">
        <f t="shared" si="109"/>
        <v>A tiempo</v>
      </c>
      <c r="L1345" s="11">
        <v>46009</v>
      </c>
      <c r="M1345" s="22">
        <f t="shared" si="110"/>
        <v>8</v>
      </c>
    </row>
    <row r="1346" spans="1:13" x14ac:dyDescent="0.35">
      <c r="A1346" s="11">
        <v>46000</v>
      </c>
      <c r="B1346" s="7" t="s">
        <v>2668</v>
      </c>
      <c r="C1346" s="7" t="s">
        <v>2732</v>
      </c>
      <c r="D1346" s="7" t="s">
        <v>100</v>
      </c>
      <c r="E1346" s="18">
        <v>45999.82708333333</v>
      </c>
      <c r="F1346" s="11">
        <f>IF(HOUR(Table1[[#This Row],[CORREO]])&gt;=11,WORKDAY(Table1[[#This Row],[CORREO]],1),E1346)</f>
        <v>46000</v>
      </c>
      <c r="G1346" s="11">
        <v>46001</v>
      </c>
      <c r="H1346" s="7">
        <f t="shared" si="106"/>
        <v>49</v>
      </c>
      <c r="I1346" s="7">
        <f t="shared" si="107"/>
        <v>2</v>
      </c>
      <c r="J1346" s="7" t="str">
        <f t="shared" si="108"/>
        <v>Dentro</v>
      </c>
      <c r="K1346" s="7" t="str">
        <f t="shared" si="109"/>
        <v>A tiempo</v>
      </c>
      <c r="L1346" s="11">
        <v>46001</v>
      </c>
      <c r="M1346" s="22">
        <f t="shared" si="110"/>
        <v>2</v>
      </c>
    </row>
    <row r="1347" spans="1:13" x14ac:dyDescent="0.35">
      <c r="A1347" s="11">
        <v>46000</v>
      </c>
      <c r="B1347" s="7" t="s">
        <v>2667</v>
      </c>
      <c r="C1347" s="7" t="s">
        <v>2733</v>
      </c>
      <c r="D1347" s="7" t="s">
        <v>24</v>
      </c>
      <c r="E1347" s="18"/>
      <c r="F1347" s="11">
        <f>IF(HOUR(Table1[[#This Row],[CORREO]])&gt;=11,WORKDAY(Table1[[#This Row],[CORREO]],1),E1347)</f>
        <v>0</v>
      </c>
      <c r="G1347" s="11">
        <v>46001</v>
      </c>
      <c r="H1347" s="7">
        <f t="shared" si="106"/>
        <v>49</v>
      </c>
      <c r="I1347" s="7">
        <f t="shared" si="107"/>
        <v>2</v>
      </c>
      <c r="J1347" s="7" t="str">
        <f t="shared" si="108"/>
        <v>ASAP</v>
      </c>
      <c r="K1347" s="7" t="str">
        <f t="shared" si="109"/>
        <v>Programados</v>
      </c>
      <c r="L1347" s="11">
        <v>46000</v>
      </c>
      <c r="M1347" s="22">
        <f t="shared" si="110"/>
        <v>1</v>
      </c>
    </row>
    <row r="1348" spans="1:13" x14ac:dyDescent="0.35">
      <c r="A1348" s="11">
        <v>46000</v>
      </c>
      <c r="B1348" s="7" t="s">
        <v>2660</v>
      </c>
      <c r="C1348" s="7" t="s">
        <v>2734</v>
      </c>
      <c r="D1348" s="7" t="s">
        <v>27</v>
      </c>
      <c r="E1348" s="18">
        <v>46000.719444444447</v>
      </c>
      <c r="F1348" s="11">
        <f>IF(HOUR(Table1[[#This Row],[CORREO]])&gt;=11,WORKDAY(Table1[[#This Row],[CORREO]],1),E1348)</f>
        <v>46001</v>
      </c>
      <c r="G1348" s="11">
        <v>46001</v>
      </c>
      <c r="H1348" s="7">
        <f t="shared" si="106"/>
        <v>49</v>
      </c>
      <c r="I1348" s="7">
        <f t="shared" si="107"/>
        <v>2</v>
      </c>
      <c r="J1348" s="7" t="str">
        <f t="shared" si="108"/>
        <v>ASAP</v>
      </c>
      <c r="K1348" s="7" t="str">
        <f t="shared" si="109"/>
        <v>Mismo día</v>
      </c>
      <c r="L1348" s="11">
        <v>46000</v>
      </c>
      <c r="M1348" s="22">
        <f t="shared" si="110"/>
        <v>1</v>
      </c>
    </row>
    <row r="1349" spans="1:13" x14ac:dyDescent="0.35">
      <c r="A1349" s="11">
        <v>46001</v>
      </c>
      <c r="B1349" s="7" t="s">
        <v>2695</v>
      </c>
      <c r="C1349" s="7" t="s">
        <v>2735</v>
      </c>
      <c r="D1349" s="7" t="s">
        <v>571</v>
      </c>
      <c r="E1349" s="18">
        <v>46000.65902777778</v>
      </c>
      <c r="F1349" s="11">
        <f>IF(HOUR(Table1[[#This Row],[CORREO]])&gt;=11,WORKDAY(Table1[[#This Row],[CORREO]],1),E1349)</f>
        <v>46001</v>
      </c>
      <c r="G1349" s="11">
        <v>46007</v>
      </c>
      <c r="H1349" s="7">
        <f t="shared" si="106"/>
        <v>50</v>
      </c>
      <c r="I1349" s="7">
        <f t="shared" si="107"/>
        <v>5</v>
      </c>
      <c r="J1349" s="7" t="str">
        <f t="shared" si="108"/>
        <v>Dentro</v>
      </c>
      <c r="K1349" s="7" t="str">
        <f t="shared" si="109"/>
        <v>A tiempo</v>
      </c>
      <c r="L1349" s="11">
        <v>46001</v>
      </c>
      <c r="M1349" s="22">
        <f t="shared" si="110"/>
        <v>1</v>
      </c>
    </row>
    <row r="1350" spans="1:13" x14ac:dyDescent="0.35">
      <c r="A1350" s="11">
        <v>46001</v>
      </c>
      <c r="B1350" s="7" t="s">
        <v>2669</v>
      </c>
      <c r="C1350" s="7" t="s">
        <v>2735</v>
      </c>
      <c r="D1350" s="7" t="s">
        <v>571</v>
      </c>
      <c r="E1350" s="18">
        <v>46000.723611111112</v>
      </c>
      <c r="F1350" s="11">
        <f>IF(HOUR(Table1[[#This Row],[CORREO]])&gt;=11,WORKDAY(Table1[[#This Row],[CORREO]],1),E1350)</f>
        <v>46001</v>
      </c>
      <c r="G1350" s="11">
        <v>46001</v>
      </c>
      <c r="H1350" s="7">
        <f t="shared" si="106"/>
        <v>50</v>
      </c>
      <c r="I1350" s="7">
        <f t="shared" si="107"/>
        <v>1</v>
      </c>
      <c r="J1350" s="7" t="str">
        <f t="shared" si="108"/>
        <v>Dentro</v>
      </c>
      <c r="K1350" s="7" t="str">
        <f t="shared" si="109"/>
        <v>A tiempo</v>
      </c>
      <c r="L1350" s="11">
        <v>46001</v>
      </c>
      <c r="M1350" s="22">
        <f t="shared" si="110"/>
        <v>1</v>
      </c>
    </row>
    <row r="1351" spans="1:13" x14ac:dyDescent="0.35">
      <c r="A1351" s="11">
        <v>46001</v>
      </c>
      <c r="B1351" s="7" t="s">
        <v>2692</v>
      </c>
      <c r="C1351" s="7" t="s">
        <v>2736</v>
      </c>
      <c r="D1351" s="7" t="s">
        <v>24</v>
      </c>
      <c r="E1351" s="18">
        <v>46001.369444444441</v>
      </c>
      <c r="F1351" s="11">
        <f>IF(HOUR(Table1[[#This Row],[CORREO]])&gt;=11,WORKDAY(Table1[[#This Row],[CORREO]],1),E1351)</f>
        <v>46001.369444444441</v>
      </c>
      <c r="G1351" s="11">
        <v>46006</v>
      </c>
      <c r="H1351" s="7">
        <f t="shared" si="106"/>
        <v>50</v>
      </c>
      <c r="I1351" s="7">
        <f t="shared" si="107"/>
        <v>4</v>
      </c>
      <c r="J1351" s="7" t="str">
        <f t="shared" si="108"/>
        <v>Dentro</v>
      </c>
      <c r="K1351" s="7" t="str">
        <f t="shared" si="109"/>
        <v>A tiempo</v>
      </c>
      <c r="L1351" s="11">
        <v>46001</v>
      </c>
      <c r="M1351" s="22">
        <f t="shared" si="110"/>
        <v>1</v>
      </c>
    </row>
    <row r="1352" spans="1:13" x14ac:dyDescent="0.35">
      <c r="A1352" s="11">
        <v>46001</v>
      </c>
      <c r="B1352" s="7" t="s">
        <v>2670</v>
      </c>
      <c r="C1352" s="7" t="s">
        <v>2737</v>
      </c>
      <c r="D1352" s="7" t="s">
        <v>1099</v>
      </c>
      <c r="E1352" s="18">
        <v>46001.382638888892</v>
      </c>
      <c r="F1352" s="11">
        <f>IF(HOUR(Table1[[#This Row],[CORREO]])&gt;=11,WORKDAY(Table1[[#This Row],[CORREO]],1),E1352)</f>
        <v>46001.382638888892</v>
      </c>
      <c r="G1352" s="11">
        <v>46001</v>
      </c>
      <c r="H1352" s="7">
        <f t="shared" si="106"/>
        <v>50</v>
      </c>
      <c r="I1352" s="7">
        <f t="shared" si="107"/>
        <v>1</v>
      </c>
      <c r="J1352" s="7" t="str">
        <f t="shared" si="108"/>
        <v>Dentro</v>
      </c>
      <c r="K1352" s="7" t="str">
        <f t="shared" si="109"/>
        <v>A tiempo</v>
      </c>
      <c r="L1352" s="11">
        <v>46001</v>
      </c>
      <c r="M1352" s="22">
        <f t="shared" si="110"/>
        <v>1</v>
      </c>
    </row>
    <row r="1353" spans="1:13" x14ac:dyDescent="0.35">
      <c r="A1353" s="11">
        <v>46001</v>
      </c>
      <c r="B1353" s="7" t="s">
        <v>2685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Row],[CORREO]],1),E1353)</f>
        <v>46001.443055555559</v>
      </c>
      <c r="G1353" s="11">
        <v>46006</v>
      </c>
      <c r="H1353" s="7">
        <f t="shared" si="106"/>
        <v>50</v>
      </c>
      <c r="I1353" s="7">
        <f t="shared" si="107"/>
        <v>4</v>
      </c>
      <c r="J1353" s="7" t="str">
        <f t="shared" si="108"/>
        <v>Dentro</v>
      </c>
      <c r="K1353" s="7" t="str">
        <f t="shared" si="109"/>
        <v>A tiempo</v>
      </c>
      <c r="L1353" s="11">
        <v>46001</v>
      </c>
      <c r="M1353" s="22">
        <f t="shared" si="110"/>
        <v>1</v>
      </c>
    </row>
    <row r="1354" spans="1:13" x14ac:dyDescent="0.35">
      <c r="A1354" s="11">
        <v>46001</v>
      </c>
      <c r="B1354" s="7" t="s">
        <v>2686</v>
      </c>
      <c r="C1354" s="7" t="s">
        <v>2738</v>
      </c>
      <c r="D1354" s="7" t="s">
        <v>133</v>
      </c>
      <c r="E1354" s="18">
        <v>46001.444444444445</v>
      </c>
      <c r="F1354" s="11">
        <f>IF(HOUR(Table1[[#This Row],[CORREO]])&gt;=11,WORKDAY(Table1[[#This Row],[CORREO]],1),E1354)</f>
        <v>46001.444444444445</v>
      </c>
      <c r="G1354" s="11">
        <v>46006</v>
      </c>
      <c r="H1354" s="7">
        <f t="shared" si="106"/>
        <v>50</v>
      </c>
      <c r="I1354" s="7">
        <f t="shared" si="107"/>
        <v>4</v>
      </c>
      <c r="J1354" s="7" t="str">
        <f t="shared" si="108"/>
        <v>Dentro</v>
      </c>
      <c r="K1354" s="7" t="str">
        <f t="shared" si="109"/>
        <v>A tiempo</v>
      </c>
      <c r="L1354" s="11">
        <v>46001</v>
      </c>
      <c r="M1354" s="22">
        <f t="shared" si="110"/>
        <v>1</v>
      </c>
    </row>
    <row r="1355" spans="1:13" x14ac:dyDescent="0.35">
      <c r="A1355" s="11">
        <v>46001</v>
      </c>
      <c r="B1355" s="7" t="s">
        <v>2687</v>
      </c>
      <c r="C1355" s="7" t="s">
        <v>2740</v>
      </c>
      <c r="D1355" s="7" t="s">
        <v>133</v>
      </c>
      <c r="E1355" s="18">
        <v>46001.443749999999</v>
      </c>
      <c r="F1355" s="11">
        <f>IF(HOUR(Table1[[#This Row],[CORREO]])&gt;=11,WORKDAY(Table1[[#This Row],[CORREO]],1),E1355)</f>
        <v>46001.443749999999</v>
      </c>
      <c r="G1355" s="11">
        <v>46006</v>
      </c>
      <c r="H1355" s="7">
        <f t="shared" si="106"/>
        <v>50</v>
      </c>
      <c r="I1355" s="7">
        <f t="shared" si="107"/>
        <v>4</v>
      </c>
      <c r="J1355" s="7" t="str">
        <f t="shared" si="108"/>
        <v>Dentro</v>
      </c>
      <c r="K1355" s="7" t="str">
        <f t="shared" si="109"/>
        <v>A tiempo</v>
      </c>
      <c r="L1355" s="11">
        <v>46001</v>
      </c>
      <c r="M1355" s="22">
        <f t="shared" si="110"/>
        <v>1</v>
      </c>
    </row>
    <row r="1356" spans="1:13" x14ac:dyDescent="0.35">
      <c r="A1356" s="11">
        <v>46001</v>
      </c>
      <c r="B1356" s="7" t="s">
        <v>2666</v>
      </c>
      <c r="C1356" s="7" t="s">
        <v>2741</v>
      </c>
      <c r="D1356" s="7" t="s">
        <v>61</v>
      </c>
      <c r="E1356" s="18">
        <v>46001.54583333333</v>
      </c>
      <c r="F1356" s="11">
        <f>IF(HOUR(Table1[[#This Row],[CORREO]])&gt;=11,WORKDAY(Table1[[#This Row],[CORREO]],1),E1356)</f>
        <v>46002</v>
      </c>
      <c r="G1356" s="11">
        <v>46001</v>
      </c>
      <c r="H1356" s="7">
        <f t="shared" si="106"/>
        <v>50</v>
      </c>
      <c r="I1356" s="7">
        <f t="shared" si="107"/>
        <v>1</v>
      </c>
      <c r="J1356" s="7" t="str">
        <f t="shared" si="108"/>
        <v>Dentro</v>
      </c>
      <c r="K1356" s="7" t="str">
        <f t="shared" si="109"/>
        <v>Mismo día</v>
      </c>
      <c r="L1356" s="11">
        <v>46001</v>
      </c>
      <c r="M1356" s="22">
        <f t="shared" si="110"/>
        <v>1</v>
      </c>
    </row>
    <row r="1357" spans="1:13" x14ac:dyDescent="0.35">
      <c r="A1357" s="11">
        <v>46001</v>
      </c>
      <c r="B1357" s="7" t="s">
        <v>2675</v>
      </c>
      <c r="C1357" s="7" t="s">
        <v>2742</v>
      </c>
      <c r="D1357" s="7" t="s">
        <v>372</v>
      </c>
      <c r="E1357" s="18">
        <v>46001.609027777777</v>
      </c>
      <c r="F1357" s="11">
        <f>IF(HOUR(Table1[[#This Row],[CORREO]])&gt;=11,WORKDAY(Table1[[#This Row],[CORREO]],1),E1357)</f>
        <v>46002</v>
      </c>
      <c r="G1357" s="11">
        <v>46002</v>
      </c>
      <c r="H1357" s="7">
        <f t="shared" si="106"/>
        <v>50</v>
      </c>
      <c r="I1357" s="7">
        <f t="shared" si="107"/>
        <v>2</v>
      </c>
      <c r="J1357" s="7" t="str">
        <f t="shared" si="108"/>
        <v>Dentro</v>
      </c>
      <c r="K1357" s="7" t="str">
        <f t="shared" si="109"/>
        <v>Mismo día</v>
      </c>
      <c r="L1357" s="11">
        <v>46001</v>
      </c>
      <c r="M1357" s="22">
        <f t="shared" si="110"/>
        <v>1</v>
      </c>
    </row>
    <row r="1358" spans="1:13" x14ac:dyDescent="0.35">
      <c r="A1358" s="11">
        <v>46002</v>
      </c>
      <c r="B1358" s="7" t="s">
        <v>2823</v>
      </c>
      <c r="C1358" s="7" t="s">
        <v>2937</v>
      </c>
      <c r="D1358" s="7" t="s">
        <v>24</v>
      </c>
      <c r="E1358" s="18">
        <v>46001.576388888891</v>
      </c>
      <c r="F1358" s="11">
        <f>IF(HOUR(Table1[[#This Row],[CORREO]])&gt;=11,WORKDAY(Table1[[#This Row],[CORREO]],1),E1358)</f>
        <v>46002</v>
      </c>
      <c r="G1358" s="11">
        <v>46036</v>
      </c>
      <c r="H1358" s="7">
        <f t="shared" ref="H1358:H1421" si="111">INT((A1358-DATE(YEAR(A1358),1,1))/7) + 1</f>
        <v>50</v>
      </c>
      <c r="I1358" s="7">
        <f t="shared" ref="I1358:I1421" si="112">MAX(1,NETWORKDAYS(A1358,G1358,DATE(2025,11,17)))</f>
        <v>25</v>
      </c>
      <c r="J1358" s="7" t="str">
        <f t="shared" ref="J1358:J1421" si="113">IF(G1358="","Acumulado",IF(ISNUMBER(SEARCH("ASAP",C1358)),"ASAP",IF(I1358&lt;=7,"Dentro",IF(A1358&gt;F1358,"Programado","Fuera"))))</f>
        <v>Fuera</v>
      </c>
      <c r="K1358" s="7" t="str">
        <f t="shared" ref="K1358:K1421" si="114">IF(INT(A1358)=INT(F1358),"A tiempo", IF(A1358&lt;F1358,"Mismo día","Programados"))</f>
        <v>A tiempo</v>
      </c>
      <c r="L1358" s="11">
        <v>46368</v>
      </c>
      <c r="M1358" s="22">
        <f t="shared" ref="M1358:M1421" si="115">MAX(1,NETWORKDAYS(A1358,L1358))</f>
        <v>262</v>
      </c>
    </row>
    <row r="1359" spans="1:13" x14ac:dyDescent="0.35">
      <c r="A1359" s="11">
        <v>46002</v>
      </c>
      <c r="B1359" s="26" t="s">
        <v>2805</v>
      </c>
      <c r="C1359" s="7" t="s">
        <v>2938</v>
      </c>
      <c r="D1359" s="7" t="s">
        <v>24</v>
      </c>
      <c r="E1359" s="18"/>
      <c r="F1359" s="11">
        <f>IF(HOUR(Table1[[#This Row],[CORREO]])&gt;=11,WORKDAY(Table1[[#This Row],[CORREO]],1),E1359)</f>
        <v>0</v>
      </c>
      <c r="G1359" s="11"/>
      <c r="H1359" s="7">
        <f t="shared" si="111"/>
        <v>50</v>
      </c>
      <c r="I1359" s="7">
        <f t="shared" si="112"/>
        <v>1</v>
      </c>
      <c r="J1359" s="7" t="str">
        <f t="shared" si="113"/>
        <v>Acumulado</v>
      </c>
      <c r="K1359" s="7" t="str">
        <f t="shared" si="114"/>
        <v>Programados</v>
      </c>
      <c r="L1359" s="11">
        <v>46006</v>
      </c>
      <c r="M1359" s="22">
        <f t="shared" si="115"/>
        <v>3</v>
      </c>
    </row>
    <row r="1360" spans="1:13" x14ac:dyDescent="0.35">
      <c r="A1360" s="11">
        <v>46002</v>
      </c>
      <c r="B1360" s="7" t="s">
        <v>2704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Row],[CORREO]],1),E1360)</f>
        <v>46002</v>
      </c>
      <c r="G1360" s="11">
        <v>46009</v>
      </c>
      <c r="H1360" s="7">
        <f t="shared" si="111"/>
        <v>50</v>
      </c>
      <c r="I1360" s="7">
        <f t="shared" si="112"/>
        <v>6</v>
      </c>
      <c r="J1360" s="7" t="str">
        <f t="shared" si="113"/>
        <v>Dentro</v>
      </c>
      <c r="K1360" s="7" t="str">
        <f t="shared" si="114"/>
        <v>A tiempo</v>
      </c>
      <c r="L1360" s="11">
        <v>46006</v>
      </c>
      <c r="M1360" s="22">
        <f t="shared" si="115"/>
        <v>3</v>
      </c>
    </row>
    <row r="1361" spans="1:13" x14ac:dyDescent="0.35">
      <c r="A1361" s="11">
        <v>46002</v>
      </c>
      <c r="B1361" s="7" t="s">
        <v>2680</v>
      </c>
      <c r="C1361" s="7" t="s">
        <v>2743</v>
      </c>
      <c r="D1361" s="7" t="s">
        <v>1360</v>
      </c>
      <c r="E1361" s="18">
        <v>46002.344444444447</v>
      </c>
      <c r="F1361" s="11">
        <f>IF(HOUR(Table1[[#This Row],[CORREO]])&gt;=11,WORKDAY(Table1[[#This Row],[CORREO]],1),E1361)</f>
        <v>46002.344444444447</v>
      </c>
      <c r="G1361" s="11">
        <v>46003</v>
      </c>
      <c r="H1361" s="7">
        <f t="shared" si="111"/>
        <v>50</v>
      </c>
      <c r="I1361" s="7">
        <f t="shared" si="112"/>
        <v>2</v>
      </c>
      <c r="J1361" s="7" t="str">
        <f t="shared" si="113"/>
        <v>Dentro</v>
      </c>
      <c r="K1361" s="7" t="str">
        <f t="shared" si="114"/>
        <v>A tiempo</v>
      </c>
      <c r="L1361" s="11">
        <v>45972</v>
      </c>
      <c r="M1361" s="22">
        <f t="shared" si="115"/>
        <v>1</v>
      </c>
    </row>
    <row r="1362" spans="1:13" x14ac:dyDescent="0.35">
      <c r="A1362" s="11">
        <v>46002</v>
      </c>
      <c r="B1362" s="7" t="s">
        <v>2699</v>
      </c>
      <c r="C1362" s="7" t="s">
        <v>2744</v>
      </c>
      <c r="D1362" s="7" t="s">
        <v>650</v>
      </c>
      <c r="E1362" s="18">
        <v>46002.359027777777</v>
      </c>
      <c r="F1362" s="11">
        <f>IF(HOUR(Table1[[#This Row],[CORREO]])&gt;=11,WORKDAY(Table1[[#This Row],[CORREO]],1),E1362)</f>
        <v>46002.359027777777</v>
      </c>
      <c r="G1362" s="11">
        <v>46008</v>
      </c>
      <c r="H1362" s="7">
        <f t="shared" si="111"/>
        <v>50</v>
      </c>
      <c r="I1362" s="7">
        <f t="shared" si="112"/>
        <v>5</v>
      </c>
      <c r="J1362" s="7" t="str">
        <f t="shared" si="113"/>
        <v>Dentro</v>
      </c>
      <c r="K1362" s="7" t="str">
        <f t="shared" si="114"/>
        <v>A tiempo</v>
      </c>
      <c r="L1362" s="11">
        <v>46002</v>
      </c>
      <c r="M1362" s="22">
        <f t="shared" si="115"/>
        <v>1</v>
      </c>
    </row>
    <row r="1363" spans="1:13" x14ac:dyDescent="0.35">
      <c r="A1363" s="11">
        <v>46002</v>
      </c>
      <c r="B1363" s="7" t="s">
        <v>2674</v>
      </c>
      <c r="C1363" s="7" t="s">
        <v>2745</v>
      </c>
      <c r="D1363" s="7" t="s">
        <v>2167</v>
      </c>
      <c r="E1363" s="18"/>
      <c r="F1363" s="11">
        <f>IF(HOUR(Table1[[#This Row],[CORREO]])&gt;=11,WORKDAY(Table1[[#This Row],[CORREO]],1),E1363)</f>
        <v>0</v>
      </c>
      <c r="G1363" s="11">
        <v>46002</v>
      </c>
      <c r="H1363" s="7">
        <f t="shared" si="111"/>
        <v>50</v>
      </c>
      <c r="I1363" s="7">
        <f t="shared" si="112"/>
        <v>1</v>
      </c>
      <c r="J1363" s="7" t="str">
        <f t="shared" si="113"/>
        <v>Dentro</v>
      </c>
      <c r="K1363" s="7" t="str">
        <f t="shared" si="114"/>
        <v>Programados</v>
      </c>
      <c r="L1363" s="11">
        <v>46002</v>
      </c>
      <c r="M1363" s="22">
        <f t="shared" si="115"/>
        <v>1</v>
      </c>
    </row>
    <row r="1364" spans="1:13" x14ac:dyDescent="0.35">
      <c r="A1364" s="11">
        <v>46002</v>
      </c>
      <c r="B1364" s="7" t="s">
        <v>2681</v>
      </c>
      <c r="C1364" s="7" t="s">
        <v>2746</v>
      </c>
      <c r="D1364" s="7" t="s">
        <v>24</v>
      </c>
      <c r="E1364" s="18">
        <v>46002.706944444442</v>
      </c>
      <c r="F1364" s="11">
        <f>IF(HOUR(Table1[[#This Row],[CORREO]])&gt;=11,WORKDAY(Table1[[#This Row],[CORREO]],1),E1364)</f>
        <v>46003</v>
      </c>
      <c r="G1364" s="11">
        <v>46003</v>
      </c>
      <c r="H1364" s="7">
        <f t="shared" si="111"/>
        <v>50</v>
      </c>
      <c r="I1364" s="7">
        <f t="shared" si="112"/>
        <v>2</v>
      </c>
      <c r="J1364" s="7" t="str">
        <f t="shared" si="113"/>
        <v>ASAP</v>
      </c>
      <c r="K1364" s="7" t="str">
        <f t="shared" si="114"/>
        <v>Mismo día</v>
      </c>
      <c r="L1364" s="11">
        <v>46003</v>
      </c>
      <c r="M1364" s="22">
        <f t="shared" si="115"/>
        <v>2</v>
      </c>
    </row>
    <row r="1365" spans="1:13" x14ac:dyDescent="0.35">
      <c r="A1365" s="11">
        <v>46003</v>
      </c>
      <c r="B1365" s="7" t="s">
        <v>2682</v>
      </c>
      <c r="C1365" s="7" t="s">
        <v>2747</v>
      </c>
      <c r="D1365" s="7" t="s">
        <v>1333</v>
      </c>
      <c r="E1365" s="18"/>
      <c r="F1365" s="11">
        <f>IF(HOUR(Table1[[#This Row],[CORREO]])&gt;=11,WORKDAY(Table1[[#This Row],[CORREO]],1),E1365)</f>
        <v>0</v>
      </c>
      <c r="G1365" s="11">
        <v>46003</v>
      </c>
      <c r="H1365" s="7">
        <f t="shared" si="111"/>
        <v>50</v>
      </c>
      <c r="I1365" s="7">
        <f t="shared" si="112"/>
        <v>1</v>
      </c>
      <c r="J1365" s="7" t="str">
        <f t="shared" si="113"/>
        <v>Dentro</v>
      </c>
      <c r="K1365" s="7" t="str">
        <f t="shared" si="114"/>
        <v>Programados</v>
      </c>
      <c r="L1365" s="11">
        <v>46003</v>
      </c>
      <c r="M1365" s="22">
        <f t="shared" si="115"/>
        <v>1</v>
      </c>
    </row>
    <row r="1366" spans="1:13" x14ac:dyDescent="0.35">
      <c r="A1366" s="11">
        <v>46003</v>
      </c>
      <c r="B1366" s="7" t="s">
        <v>2703</v>
      </c>
      <c r="C1366" s="7" t="s">
        <v>2748</v>
      </c>
      <c r="D1366" s="7" t="s">
        <v>154</v>
      </c>
      <c r="E1366" s="18">
        <v>46002.482638888891</v>
      </c>
      <c r="F1366" s="11">
        <f>IF(HOUR(Table1[[#This Row],[CORREO]])&gt;=11,WORKDAY(Table1[[#This Row],[CORREO]],1),E1366)</f>
        <v>46003</v>
      </c>
      <c r="G1366" s="11">
        <v>46009</v>
      </c>
      <c r="H1366" s="7">
        <f t="shared" si="111"/>
        <v>50</v>
      </c>
      <c r="I1366" s="7">
        <f t="shared" si="112"/>
        <v>5</v>
      </c>
      <c r="J1366" s="7" t="str">
        <f t="shared" si="113"/>
        <v>Dentro</v>
      </c>
      <c r="K1366" s="7" t="str">
        <f t="shared" si="114"/>
        <v>A tiempo</v>
      </c>
      <c r="L1366" s="11">
        <v>46003</v>
      </c>
      <c r="M1366" s="22">
        <f t="shared" si="115"/>
        <v>1</v>
      </c>
    </row>
    <row r="1367" spans="1:13" x14ac:dyDescent="0.35">
      <c r="A1367" s="16">
        <v>46003</v>
      </c>
      <c r="B1367" s="20" t="s">
        <v>2702</v>
      </c>
      <c r="C1367" s="20" t="s">
        <v>2749</v>
      </c>
      <c r="D1367" s="20" t="s">
        <v>1906</v>
      </c>
      <c r="E1367" s="21">
        <v>46002.628472222219</v>
      </c>
      <c r="F1367" s="16">
        <f>IF(HOUR(Table1[[#This Row],[CORREO]])&gt;=11,WORKDAY(Table1[[#This Row],[CORREO]],1),E1367)</f>
        <v>46003</v>
      </c>
      <c r="G1367" s="16">
        <v>46008</v>
      </c>
      <c r="H1367" s="20">
        <f t="shared" si="111"/>
        <v>50</v>
      </c>
      <c r="I1367" s="20">
        <f t="shared" si="112"/>
        <v>4</v>
      </c>
      <c r="J1367" s="20" t="str">
        <f t="shared" si="113"/>
        <v>Dentro</v>
      </c>
      <c r="K1367" s="20" t="str">
        <f t="shared" si="114"/>
        <v>A tiempo</v>
      </c>
      <c r="L1367" s="16">
        <v>46003</v>
      </c>
      <c r="M1367" s="23">
        <f t="shared" si="115"/>
        <v>1</v>
      </c>
    </row>
    <row r="1368" spans="1:13" x14ac:dyDescent="0.35">
      <c r="A1368" s="16">
        <v>46006</v>
      </c>
      <c r="B1368" s="20" t="s">
        <v>2683</v>
      </c>
      <c r="C1368" s="20" t="s">
        <v>2750</v>
      </c>
      <c r="D1368" s="20" t="s">
        <v>1193</v>
      </c>
      <c r="E1368" s="21">
        <v>46005.848611111112</v>
      </c>
      <c r="F1368" s="16">
        <f>IF(HOUR(Table1[[#This Row],[CORREO]])&gt;=11,WORKDAY(Table1[[#This Row],[CORREO]],1),E1368)</f>
        <v>46006</v>
      </c>
      <c r="G1368" s="16">
        <v>46006</v>
      </c>
      <c r="H1368" s="20">
        <f t="shared" si="111"/>
        <v>50</v>
      </c>
      <c r="I1368" s="20">
        <f t="shared" si="112"/>
        <v>1</v>
      </c>
      <c r="J1368" s="20" t="str">
        <f t="shared" si="113"/>
        <v>Dentro</v>
      </c>
      <c r="K1368" s="20" t="str">
        <f t="shared" si="114"/>
        <v>A tiempo</v>
      </c>
      <c r="L1368" s="16">
        <v>46006</v>
      </c>
      <c r="M1368" s="23">
        <f t="shared" si="115"/>
        <v>1</v>
      </c>
    </row>
    <row r="1369" spans="1:13" x14ac:dyDescent="0.35">
      <c r="A1369" s="16">
        <v>46006</v>
      </c>
      <c r="B1369" s="20" t="s">
        <v>2684</v>
      </c>
      <c r="C1369" s="20" t="s">
        <v>2751</v>
      </c>
      <c r="D1369" s="20" t="s">
        <v>1193</v>
      </c>
      <c r="E1369" s="21">
        <v>46006.259722222225</v>
      </c>
      <c r="F1369" s="16">
        <f>IF(HOUR(Table1[[#This Row],[CORREO]])&gt;=11,WORKDAY(Table1[[#This Row],[CORREO]],1),E1369)</f>
        <v>46006.259722222225</v>
      </c>
      <c r="G1369" s="16">
        <v>46006</v>
      </c>
      <c r="H1369" s="20">
        <f t="shared" si="111"/>
        <v>50</v>
      </c>
      <c r="I1369" s="20">
        <f t="shared" si="112"/>
        <v>1</v>
      </c>
      <c r="J1369" s="20" t="str">
        <f t="shared" si="113"/>
        <v>Dentro</v>
      </c>
      <c r="K1369" s="20" t="str">
        <f t="shared" si="114"/>
        <v>A tiempo</v>
      </c>
      <c r="L1369" s="16">
        <v>46006</v>
      </c>
      <c r="M1369" s="23">
        <f t="shared" si="115"/>
        <v>1</v>
      </c>
    </row>
    <row r="1370" spans="1:13" x14ac:dyDescent="0.35">
      <c r="A1370" s="16">
        <v>46006</v>
      </c>
      <c r="B1370" s="20" t="s">
        <v>2824</v>
      </c>
      <c r="C1370" s="20" t="s">
        <v>2939</v>
      </c>
      <c r="D1370" s="20" t="s">
        <v>154</v>
      </c>
      <c r="E1370" s="21">
        <v>46006.375694444447</v>
      </c>
      <c r="F1370" s="16">
        <f>IF(HOUR(Table1[[#This Row],[CORREO]])&gt;=11,WORKDAY(Table1[[#This Row],[CORREO]],1),E1370)</f>
        <v>46006.375694444447</v>
      </c>
      <c r="G1370" s="16">
        <v>46027</v>
      </c>
      <c r="H1370" s="20">
        <f t="shared" si="111"/>
        <v>50</v>
      </c>
      <c r="I1370" s="20">
        <f t="shared" si="112"/>
        <v>16</v>
      </c>
      <c r="J1370" s="20" t="str">
        <f t="shared" si="113"/>
        <v>Fuera</v>
      </c>
      <c r="K1370" s="20" t="str">
        <f t="shared" si="114"/>
        <v>A tiempo</v>
      </c>
      <c r="L1370" s="16">
        <v>46006</v>
      </c>
      <c r="M1370" s="23">
        <f t="shared" si="115"/>
        <v>1</v>
      </c>
    </row>
    <row r="1371" spans="1:13" x14ac:dyDescent="0.35">
      <c r="A1371" s="16">
        <v>46006</v>
      </c>
      <c r="B1371" s="20" t="s">
        <v>2689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Row],[CORREO]],1),E1371)</f>
        <v>46006.402777777781</v>
      </c>
      <c r="G1371" s="16">
        <v>46006</v>
      </c>
      <c r="H1371" s="20">
        <f t="shared" si="111"/>
        <v>50</v>
      </c>
      <c r="I1371" s="20">
        <f t="shared" si="112"/>
        <v>1</v>
      </c>
      <c r="J1371" s="20" t="str">
        <f t="shared" si="113"/>
        <v>Dentro</v>
      </c>
      <c r="K1371" s="20" t="str">
        <f t="shared" si="114"/>
        <v>A tiempo</v>
      </c>
      <c r="L1371" s="16">
        <v>46006</v>
      </c>
      <c r="M1371" s="23">
        <f t="shared" si="115"/>
        <v>1</v>
      </c>
    </row>
    <row r="1372" spans="1:13" x14ac:dyDescent="0.35">
      <c r="A1372" s="16">
        <v>46006</v>
      </c>
      <c r="B1372" s="20" t="s">
        <v>2688</v>
      </c>
      <c r="C1372" s="20" t="s">
        <v>2752</v>
      </c>
      <c r="D1372" s="20" t="s">
        <v>538</v>
      </c>
      <c r="E1372" s="21"/>
      <c r="F1372" s="16">
        <f>IF(HOUR(Table1[[#This Row],[CORREO]])&gt;=11,WORKDAY(Table1[[#This Row],[CORREO]],1),E1372)</f>
        <v>0</v>
      </c>
      <c r="G1372" s="16">
        <v>46006</v>
      </c>
      <c r="H1372" s="20">
        <f t="shared" si="111"/>
        <v>50</v>
      </c>
      <c r="I1372" s="20">
        <f t="shared" si="112"/>
        <v>1</v>
      </c>
      <c r="J1372" s="20" t="str">
        <f t="shared" si="113"/>
        <v>ASAP</v>
      </c>
      <c r="K1372" s="20" t="str">
        <f t="shared" si="114"/>
        <v>Programados</v>
      </c>
      <c r="L1372" s="16">
        <v>46006</v>
      </c>
      <c r="M1372" s="23">
        <f t="shared" si="115"/>
        <v>1</v>
      </c>
    </row>
    <row r="1373" spans="1:13" x14ac:dyDescent="0.35">
      <c r="A1373" s="16">
        <v>46006</v>
      </c>
      <c r="B1373" s="20" t="s">
        <v>2693</v>
      </c>
      <c r="C1373" s="20" t="s">
        <v>2753</v>
      </c>
      <c r="D1373" s="20" t="s">
        <v>27</v>
      </c>
      <c r="E1373" s="21">
        <v>46006.683333333334</v>
      </c>
      <c r="F1373" s="16">
        <f>IF(HOUR(Table1[[#This Row],[CORREO]])&gt;=11,WORKDAY(Table1[[#This Row],[CORREO]],1),E1373)</f>
        <v>46007</v>
      </c>
      <c r="G1373" s="16">
        <v>46006</v>
      </c>
      <c r="H1373" s="20">
        <f t="shared" si="111"/>
        <v>50</v>
      </c>
      <c r="I1373" s="20">
        <f t="shared" si="112"/>
        <v>1</v>
      </c>
      <c r="J1373" s="20" t="str">
        <f t="shared" si="113"/>
        <v>ASAP</v>
      </c>
      <c r="K1373" s="20" t="str">
        <f t="shared" si="114"/>
        <v>Mismo día</v>
      </c>
      <c r="L1373" s="16">
        <v>46006</v>
      </c>
      <c r="M1373" s="23">
        <f t="shared" si="115"/>
        <v>1</v>
      </c>
    </row>
    <row r="1374" spans="1:13" x14ac:dyDescent="0.35">
      <c r="A1374" s="16">
        <v>46007</v>
      </c>
      <c r="B1374" s="20" t="s">
        <v>2694</v>
      </c>
      <c r="C1374" s="20" t="s">
        <v>2754</v>
      </c>
      <c r="D1374" s="20" t="s">
        <v>24</v>
      </c>
      <c r="E1374" s="21">
        <v>46006.827777777777</v>
      </c>
      <c r="F1374" s="16">
        <f>IF(HOUR(Table1[[#This Row],[CORREO]])&gt;=11,WORKDAY(Table1[[#This Row],[CORREO]],1),E1374)</f>
        <v>46007</v>
      </c>
      <c r="G1374" s="16">
        <v>46007</v>
      </c>
      <c r="H1374" s="20">
        <f t="shared" si="111"/>
        <v>50</v>
      </c>
      <c r="I1374" s="20">
        <f t="shared" si="112"/>
        <v>1</v>
      </c>
      <c r="J1374" s="20" t="str">
        <f t="shared" si="113"/>
        <v>ASAP</v>
      </c>
      <c r="K1374" s="20" t="str">
        <f t="shared" si="114"/>
        <v>A tiempo</v>
      </c>
      <c r="L1374" s="16">
        <v>46007</v>
      </c>
      <c r="M1374" s="23">
        <f t="shared" si="115"/>
        <v>1</v>
      </c>
    </row>
    <row r="1375" spans="1:13" x14ac:dyDescent="0.35">
      <c r="A1375" s="16">
        <v>46007</v>
      </c>
      <c r="B1375" s="20" t="s">
        <v>2825</v>
      </c>
      <c r="C1375" s="20" t="s">
        <v>2940</v>
      </c>
      <c r="D1375" s="20" t="s">
        <v>89</v>
      </c>
      <c r="E1375" s="21">
        <v>46006.526388888888</v>
      </c>
      <c r="F1375" s="16">
        <f>IF(HOUR(Table1[[#This Row],[CORREO]])&gt;=11,WORKDAY(Table1[[#This Row],[CORREO]],1),E1375)</f>
        <v>46007</v>
      </c>
      <c r="G1375" s="16">
        <v>46028</v>
      </c>
      <c r="H1375" s="20">
        <f t="shared" si="111"/>
        <v>50</v>
      </c>
      <c r="I1375" s="20">
        <f t="shared" si="112"/>
        <v>16</v>
      </c>
      <c r="J1375" s="20" t="str">
        <f t="shared" si="113"/>
        <v>Fuera</v>
      </c>
      <c r="K1375" s="20" t="str">
        <f t="shared" si="114"/>
        <v>A tiempo</v>
      </c>
      <c r="L1375" s="16">
        <v>46007</v>
      </c>
      <c r="M1375" s="23">
        <f t="shared" si="115"/>
        <v>1</v>
      </c>
    </row>
    <row r="1376" spans="1:13" x14ac:dyDescent="0.35">
      <c r="A1376" s="16">
        <v>46007</v>
      </c>
      <c r="B1376" s="20" t="s">
        <v>2696</v>
      </c>
      <c r="C1376" s="20" t="s">
        <v>2755</v>
      </c>
      <c r="D1376" s="20" t="s">
        <v>351</v>
      </c>
      <c r="E1376" s="21">
        <v>46006.580555555556</v>
      </c>
      <c r="F1376" s="16">
        <f>IF(HOUR(Table1[[#This Row],[CORREO]])&gt;=11,WORKDAY(Table1[[#This Row],[CORREO]],1),E1376)</f>
        <v>46007</v>
      </c>
      <c r="G1376" s="16">
        <v>46007</v>
      </c>
      <c r="H1376" s="20">
        <f t="shared" si="111"/>
        <v>50</v>
      </c>
      <c r="I1376" s="20">
        <f t="shared" si="112"/>
        <v>1</v>
      </c>
      <c r="J1376" s="20" t="str">
        <f t="shared" si="113"/>
        <v>Dentro</v>
      </c>
      <c r="K1376" s="20" t="str">
        <f t="shared" si="114"/>
        <v>A tiempo</v>
      </c>
      <c r="L1376" s="16">
        <v>46007</v>
      </c>
      <c r="M1376" s="23">
        <f t="shared" si="115"/>
        <v>1</v>
      </c>
    </row>
    <row r="1377" spans="1:13" x14ac:dyDescent="0.35">
      <c r="A1377" s="16">
        <v>46007</v>
      </c>
      <c r="B1377" s="20" t="s">
        <v>2700</v>
      </c>
      <c r="C1377" s="20" t="s">
        <v>2756</v>
      </c>
      <c r="D1377" s="20" t="s">
        <v>61</v>
      </c>
      <c r="E1377" s="21">
        <v>46007.384027777778</v>
      </c>
      <c r="F1377" s="16">
        <f>IF(HOUR(Table1[[#This Row],[CORREO]])&gt;=11,WORKDAY(Table1[[#This Row],[CORREO]],1),E1377)</f>
        <v>46007.384027777778</v>
      </c>
      <c r="G1377" s="16">
        <v>46009</v>
      </c>
      <c r="H1377" s="20">
        <f t="shared" si="111"/>
        <v>50</v>
      </c>
      <c r="I1377" s="20">
        <f t="shared" si="112"/>
        <v>3</v>
      </c>
      <c r="J1377" s="20" t="str">
        <f t="shared" si="113"/>
        <v>Dentro</v>
      </c>
      <c r="K1377" s="20" t="str">
        <f t="shared" si="114"/>
        <v>A tiempo</v>
      </c>
      <c r="L1377" s="16">
        <v>46007</v>
      </c>
      <c r="M1377" s="23">
        <f t="shared" si="115"/>
        <v>1</v>
      </c>
    </row>
    <row r="1378" spans="1:13" x14ac:dyDescent="0.35">
      <c r="A1378" s="16">
        <v>46007</v>
      </c>
      <c r="B1378" s="20" t="s">
        <v>2698</v>
      </c>
      <c r="C1378" s="20" t="s">
        <v>2739</v>
      </c>
      <c r="D1378" s="20" t="s">
        <v>1906</v>
      </c>
      <c r="E1378" s="21">
        <v>46007.434027777781</v>
      </c>
      <c r="F1378" s="16">
        <f>IF(HOUR(Table1[[#This Row],[CORREO]])&gt;=11,WORKDAY(Table1[[#This Row],[CORREO]],1),E1378)</f>
        <v>46007.434027777781</v>
      </c>
      <c r="G1378" s="16">
        <v>46008</v>
      </c>
      <c r="H1378" s="20">
        <f t="shared" si="111"/>
        <v>50</v>
      </c>
      <c r="I1378" s="20">
        <f t="shared" si="112"/>
        <v>2</v>
      </c>
      <c r="J1378" s="20" t="str">
        <f t="shared" si="113"/>
        <v>Dentro</v>
      </c>
      <c r="K1378" s="20" t="str">
        <f t="shared" si="114"/>
        <v>A tiempo</v>
      </c>
      <c r="L1378" s="16">
        <v>46007</v>
      </c>
      <c r="M1378" s="23">
        <f t="shared" si="115"/>
        <v>1</v>
      </c>
    </row>
    <row r="1379" spans="1:13" x14ac:dyDescent="0.35">
      <c r="A1379" s="16">
        <v>46007</v>
      </c>
      <c r="B1379" s="20" t="s">
        <v>2757</v>
      </c>
      <c r="C1379" s="20" t="s">
        <v>2758</v>
      </c>
      <c r="D1379" s="20" t="s">
        <v>15</v>
      </c>
      <c r="E1379" s="21">
        <v>46007.449305555558</v>
      </c>
      <c r="F1379" s="16">
        <f>IF(HOUR(Table1[[#This Row],[CORREO]])&gt;=11,WORKDAY(Table1[[#This Row],[CORREO]],1),E1379)</f>
        <v>46007.449305555558</v>
      </c>
      <c r="G1379" s="16"/>
      <c r="H1379" s="20">
        <f t="shared" si="111"/>
        <v>50</v>
      </c>
      <c r="I1379" s="20">
        <f t="shared" si="112"/>
        <v>1</v>
      </c>
      <c r="J1379" s="20" t="str">
        <f t="shared" si="113"/>
        <v>Acumulado</v>
      </c>
      <c r="K1379" s="20" t="str">
        <f t="shared" si="114"/>
        <v>A tiempo</v>
      </c>
      <c r="L1379" s="16">
        <v>46007</v>
      </c>
      <c r="M1379" s="23">
        <f t="shared" si="115"/>
        <v>1</v>
      </c>
    </row>
    <row r="1380" spans="1:13" x14ac:dyDescent="0.35">
      <c r="A1380" s="16">
        <v>46008</v>
      </c>
      <c r="B1380" s="20" t="s">
        <v>2759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Row],[CORREO]],1),E1380)</f>
        <v>46007</v>
      </c>
      <c r="G1380" s="16">
        <v>46010</v>
      </c>
      <c r="H1380" s="20">
        <f t="shared" si="111"/>
        <v>51</v>
      </c>
      <c r="I1380" s="20">
        <f t="shared" si="112"/>
        <v>3</v>
      </c>
      <c r="J1380" s="20" t="str">
        <f t="shared" si="113"/>
        <v>Dentro</v>
      </c>
      <c r="K1380" s="20" t="str">
        <f t="shared" si="114"/>
        <v>Programados</v>
      </c>
      <c r="L1380" s="16">
        <v>46008</v>
      </c>
      <c r="M1380" s="23">
        <f t="shared" si="115"/>
        <v>1</v>
      </c>
    </row>
    <row r="1381" spans="1:13" x14ac:dyDescent="0.35">
      <c r="A1381" s="16">
        <v>46008</v>
      </c>
      <c r="B1381" s="20" t="s">
        <v>2760</v>
      </c>
      <c r="C1381" s="20" t="s">
        <v>2761</v>
      </c>
      <c r="D1381" s="20" t="s">
        <v>994</v>
      </c>
      <c r="E1381" s="21">
        <v>46007.642361111109</v>
      </c>
      <c r="F1381" s="16">
        <f>IF(HOUR(Table1[[#This Row],[CORREO]])&gt;=11,WORKDAY(Table1[[#This Row],[CORREO]],1),E1381)</f>
        <v>46008</v>
      </c>
      <c r="G1381" s="16">
        <v>46010</v>
      </c>
      <c r="H1381" s="20">
        <f t="shared" si="111"/>
        <v>51</v>
      </c>
      <c r="I1381" s="20">
        <f t="shared" si="112"/>
        <v>3</v>
      </c>
      <c r="J1381" s="20" t="str">
        <f t="shared" si="113"/>
        <v>Dentro</v>
      </c>
      <c r="K1381" s="20" t="str">
        <f t="shared" si="114"/>
        <v>A tiempo</v>
      </c>
      <c r="L1381" s="16">
        <v>46008</v>
      </c>
      <c r="M1381" s="23">
        <f t="shared" si="115"/>
        <v>1</v>
      </c>
    </row>
    <row r="1382" spans="1:13" x14ac:dyDescent="0.35">
      <c r="A1382" s="16">
        <v>46008</v>
      </c>
      <c r="B1382" s="20" t="s">
        <v>2762</v>
      </c>
      <c r="C1382" s="20" t="s">
        <v>2763</v>
      </c>
      <c r="D1382" s="20" t="s">
        <v>538</v>
      </c>
      <c r="E1382" s="21"/>
      <c r="F1382" s="16">
        <f>IF(HOUR(Table1[[#This Row],[CORREO]])&gt;=11,WORKDAY(Table1[[#This Row],[CORREO]],1),E1382)</f>
        <v>0</v>
      </c>
      <c r="G1382" s="16">
        <v>46010</v>
      </c>
      <c r="H1382" s="20">
        <f t="shared" si="111"/>
        <v>51</v>
      </c>
      <c r="I1382" s="20">
        <f t="shared" si="112"/>
        <v>3</v>
      </c>
      <c r="J1382" s="20" t="str">
        <f t="shared" si="113"/>
        <v>Dentro</v>
      </c>
      <c r="K1382" s="20" t="str">
        <f t="shared" si="114"/>
        <v>Programados</v>
      </c>
      <c r="L1382" s="16">
        <v>46009</v>
      </c>
      <c r="M1382" s="23">
        <f t="shared" si="115"/>
        <v>2</v>
      </c>
    </row>
    <row r="1383" spans="1:13" x14ac:dyDescent="0.35">
      <c r="A1383" s="16">
        <v>46008</v>
      </c>
      <c r="B1383" s="20" t="s">
        <v>2764</v>
      </c>
      <c r="C1383" s="20" t="s">
        <v>2765</v>
      </c>
      <c r="D1383" s="20" t="s">
        <v>27</v>
      </c>
      <c r="E1383" s="21">
        <v>46008.366666666669</v>
      </c>
      <c r="F1383" s="16">
        <f>IF(HOUR(Table1[[#This Row],[CORREO]])&gt;=11,WORKDAY(Table1[[#This Row],[CORREO]],1),E1383)</f>
        <v>46008.366666666669</v>
      </c>
      <c r="G1383" s="16">
        <v>46010</v>
      </c>
      <c r="H1383" s="20">
        <f t="shared" si="111"/>
        <v>51</v>
      </c>
      <c r="I1383" s="20">
        <f t="shared" si="112"/>
        <v>3</v>
      </c>
      <c r="J1383" s="20" t="str">
        <f t="shared" si="113"/>
        <v>Dentro</v>
      </c>
      <c r="K1383" s="20" t="str">
        <f t="shared" si="114"/>
        <v>A tiempo</v>
      </c>
      <c r="L1383" s="16">
        <v>46008</v>
      </c>
      <c r="M1383" s="23">
        <f t="shared" si="115"/>
        <v>1</v>
      </c>
    </row>
    <row r="1384" spans="1:13" x14ac:dyDescent="0.35">
      <c r="A1384" s="16">
        <v>46008</v>
      </c>
      <c r="B1384" s="20" t="s">
        <v>2766</v>
      </c>
      <c r="C1384" s="20" t="s">
        <v>2767</v>
      </c>
      <c r="D1384" s="20" t="s">
        <v>18</v>
      </c>
      <c r="E1384" s="21">
        <v>46008.42291666667</v>
      </c>
      <c r="F1384" s="16">
        <f>IF(HOUR(Table1[[#This Row],[CORREO]])&gt;=11,WORKDAY(Table1[[#This Row],[CORREO]],1),E1384)</f>
        <v>46008.42291666667</v>
      </c>
      <c r="G1384" s="16">
        <v>46010</v>
      </c>
      <c r="H1384" s="20">
        <f t="shared" si="111"/>
        <v>51</v>
      </c>
      <c r="I1384" s="20">
        <f t="shared" si="112"/>
        <v>3</v>
      </c>
      <c r="J1384" s="20" t="str">
        <f t="shared" si="113"/>
        <v>Dentro</v>
      </c>
      <c r="K1384" s="20" t="str">
        <f t="shared" si="114"/>
        <v>A tiempo</v>
      </c>
      <c r="L1384" s="16">
        <v>46008</v>
      </c>
      <c r="M1384" s="23">
        <f t="shared" si="115"/>
        <v>1</v>
      </c>
    </row>
    <row r="1385" spans="1:13" x14ac:dyDescent="0.35">
      <c r="A1385" s="16">
        <v>46009</v>
      </c>
      <c r="B1385" s="20" t="s">
        <v>2768</v>
      </c>
      <c r="C1385" s="20" t="s">
        <v>2769</v>
      </c>
      <c r="D1385" s="20" t="s">
        <v>61</v>
      </c>
      <c r="E1385" s="21">
        <v>46008.486805555556</v>
      </c>
      <c r="F1385" s="16">
        <f>IF(HOUR(Table1[[#This Row],[CORREO]])&gt;=11,WORKDAY(Table1[[#This Row],[CORREO]],1),E1385)</f>
        <v>46009</v>
      </c>
      <c r="G1385" s="16">
        <v>46010</v>
      </c>
      <c r="H1385" s="20">
        <f t="shared" si="111"/>
        <v>51</v>
      </c>
      <c r="I1385" s="20">
        <f t="shared" si="112"/>
        <v>2</v>
      </c>
      <c r="J1385" s="20" t="str">
        <f t="shared" si="113"/>
        <v>Dentro</v>
      </c>
      <c r="K1385" s="20" t="str">
        <f t="shared" si="114"/>
        <v>A tiempo</v>
      </c>
      <c r="L1385" s="16">
        <v>46009</v>
      </c>
      <c r="M1385" s="23">
        <f t="shared" si="115"/>
        <v>1</v>
      </c>
    </row>
    <row r="1386" spans="1:13" x14ac:dyDescent="0.35">
      <c r="A1386" s="16">
        <v>46009</v>
      </c>
      <c r="B1386" s="20" t="s">
        <v>2770</v>
      </c>
      <c r="C1386" s="20" t="s">
        <v>2771</v>
      </c>
      <c r="D1386" s="20" t="s">
        <v>916</v>
      </c>
      <c r="E1386" s="21">
        <v>46008.644444444442</v>
      </c>
      <c r="F1386" s="16">
        <f>IF(HOUR(Table1[[#This Row],[CORREO]])&gt;=11,WORKDAY(Table1[[#This Row],[CORREO]],1),E1386)</f>
        <v>46009</v>
      </c>
      <c r="G1386" s="16">
        <v>46028</v>
      </c>
      <c r="H1386" s="20">
        <f t="shared" si="111"/>
        <v>51</v>
      </c>
      <c r="I1386" s="20">
        <f t="shared" si="112"/>
        <v>14</v>
      </c>
      <c r="J1386" s="20" t="str">
        <f t="shared" si="113"/>
        <v>Fuera</v>
      </c>
      <c r="K1386" s="20" t="str">
        <f t="shared" si="114"/>
        <v>A tiempo</v>
      </c>
      <c r="L1386" s="16">
        <v>46009</v>
      </c>
      <c r="M1386" s="23">
        <f t="shared" si="115"/>
        <v>1</v>
      </c>
    </row>
    <row r="1387" spans="1:13" x14ac:dyDescent="0.35">
      <c r="A1387" s="16">
        <v>46009</v>
      </c>
      <c r="B1387" s="20" t="s">
        <v>2772</v>
      </c>
      <c r="C1387" s="20" t="s">
        <v>2773</v>
      </c>
      <c r="D1387" s="20" t="s">
        <v>61</v>
      </c>
      <c r="E1387" s="21">
        <v>46008.67291666667</v>
      </c>
      <c r="F1387" s="16">
        <f>IF(HOUR(Table1[[#This Row],[CORREO]])&gt;=11,WORKDAY(Table1[[#This Row],[CORREO]],1),E1387)</f>
        <v>46009</v>
      </c>
      <c r="G1387" s="16">
        <v>46010</v>
      </c>
      <c r="H1387" s="20">
        <f t="shared" si="111"/>
        <v>51</v>
      </c>
      <c r="I1387" s="20">
        <f t="shared" si="112"/>
        <v>2</v>
      </c>
      <c r="J1387" s="20" t="str">
        <f t="shared" si="113"/>
        <v>Dentro</v>
      </c>
      <c r="K1387" s="20" t="str">
        <f t="shared" si="114"/>
        <v>A tiempo</v>
      </c>
      <c r="L1387" s="16">
        <v>46009</v>
      </c>
      <c r="M1387" s="23">
        <f t="shared" si="115"/>
        <v>1</v>
      </c>
    </row>
    <row r="1388" spans="1:13" x14ac:dyDescent="0.35">
      <c r="A1388" s="16">
        <v>46009</v>
      </c>
      <c r="B1388" s="20" t="s">
        <v>2774</v>
      </c>
      <c r="C1388" s="20" t="s">
        <v>2775</v>
      </c>
      <c r="D1388" s="20" t="s">
        <v>517</v>
      </c>
      <c r="E1388" s="21">
        <v>46009.373611111114</v>
      </c>
      <c r="F1388" s="16">
        <f>IF(HOUR(Table1[[#This Row],[CORREO]])&gt;=11,WORKDAY(Table1[[#This Row],[CORREO]],1),E1388)</f>
        <v>46009.373611111114</v>
      </c>
      <c r="G1388" s="16">
        <v>46010</v>
      </c>
      <c r="H1388" s="20">
        <f t="shared" si="111"/>
        <v>51</v>
      </c>
      <c r="I1388" s="20">
        <f t="shared" si="112"/>
        <v>2</v>
      </c>
      <c r="J1388" s="20" t="str">
        <f t="shared" si="113"/>
        <v>Dentro</v>
      </c>
      <c r="K1388" s="20" t="str">
        <f t="shared" si="114"/>
        <v>A tiempo</v>
      </c>
      <c r="L1388" s="16">
        <v>46009</v>
      </c>
      <c r="M1388" s="23">
        <f t="shared" si="115"/>
        <v>1</v>
      </c>
    </row>
    <row r="1389" spans="1:13" x14ac:dyDescent="0.35">
      <c r="A1389" s="16">
        <v>46010</v>
      </c>
      <c r="B1389" s="20" t="s">
        <v>2776</v>
      </c>
      <c r="C1389" s="20" t="s">
        <v>2777</v>
      </c>
      <c r="D1389" s="20" t="s">
        <v>75</v>
      </c>
      <c r="E1389" s="21">
        <v>46009.647222222222</v>
      </c>
      <c r="F1389" s="16">
        <f>IF(HOUR(Table1[[#This Row],[CORREO]])&gt;=11,WORKDAY(Table1[[#This Row],[CORREO]],1),E1389)</f>
        <v>46010</v>
      </c>
      <c r="G1389" s="16">
        <v>46010</v>
      </c>
      <c r="H1389" s="20">
        <f t="shared" si="111"/>
        <v>51</v>
      </c>
      <c r="I1389" s="20">
        <f t="shared" si="112"/>
        <v>1</v>
      </c>
      <c r="J1389" s="20" t="str">
        <f t="shared" si="113"/>
        <v>Dentro</v>
      </c>
      <c r="K1389" s="20" t="str">
        <f t="shared" si="114"/>
        <v>A tiempo</v>
      </c>
      <c r="L1389" s="16">
        <v>46010</v>
      </c>
      <c r="M1389" s="23">
        <f t="shared" si="115"/>
        <v>1</v>
      </c>
    </row>
    <row r="1390" spans="1:13" x14ac:dyDescent="0.35">
      <c r="A1390" s="16">
        <v>46010</v>
      </c>
      <c r="B1390" s="20" t="s">
        <v>2778</v>
      </c>
      <c r="C1390" s="20" t="s">
        <v>2779</v>
      </c>
      <c r="D1390" s="20" t="s">
        <v>1333</v>
      </c>
      <c r="E1390" s="21"/>
      <c r="F1390" s="16">
        <f>IF(HOUR(Table1[[#This Row],[CORREO]])&gt;=11,WORKDAY(Table1[[#This Row],[CORREO]],1),E1390)</f>
        <v>0</v>
      </c>
      <c r="G1390" s="16">
        <v>46010</v>
      </c>
      <c r="H1390" s="20">
        <f t="shared" si="111"/>
        <v>51</v>
      </c>
      <c r="I1390" s="20">
        <f t="shared" si="112"/>
        <v>1</v>
      </c>
      <c r="J1390" s="20" t="str">
        <f t="shared" si="113"/>
        <v>Dentro</v>
      </c>
      <c r="K1390" s="20" t="str">
        <f t="shared" si="114"/>
        <v>Programados</v>
      </c>
      <c r="L1390" s="16">
        <v>46010</v>
      </c>
      <c r="M1390" s="23">
        <f t="shared" si="115"/>
        <v>1</v>
      </c>
    </row>
    <row r="1391" spans="1:13" x14ac:dyDescent="0.35">
      <c r="A1391" s="11">
        <v>46010</v>
      </c>
      <c r="B1391" s="7" t="s">
        <v>2781</v>
      </c>
      <c r="C1391" s="7" t="s">
        <v>2780</v>
      </c>
      <c r="D1391" s="7" t="s">
        <v>100</v>
      </c>
      <c r="E1391" s="18">
        <v>46010.375694444447</v>
      </c>
      <c r="F1391" s="11">
        <f>IF(HOUR(Table1[[#This Row],[CORREO]])&gt;=11,WORKDAY(Table1[[#This Row],[CORREO]],1),E1391)</f>
        <v>46010.375694444447</v>
      </c>
      <c r="G1391" s="11">
        <v>46010</v>
      </c>
      <c r="H1391" s="7">
        <f t="shared" si="111"/>
        <v>51</v>
      </c>
      <c r="I1391" s="7">
        <f t="shared" si="112"/>
        <v>1</v>
      </c>
      <c r="J1391" s="7" t="str">
        <f t="shared" si="113"/>
        <v>Dentro</v>
      </c>
      <c r="K1391" s="7" t="str">
        <f t="shared" si="114"/>
        <v>A tiempo</v>
      </c>
      <c r="L1391" s="11">
        <v>46010</v>
      </c>
      <c r="M1391" s="22">
        <f t="shared" si="115"/>
        <v>1</v>
      </c>
    </row>
    <row r="1392" spans="1:13" x14ac:dyDescent="0.35">
      <c r="A1392" s="11">
        <v>46020</v>
      </c>
      <c r="B1392" s="7" t="s">
        <v>2782</v>
      </c>
      <c r="C1392" s="7" t="s">
        <v>2783</v>
      </c>
      <c r="D1392" s="7" t="s">
        <v>24</v>
      </c>
      <c r="E1392" s="18"/>
      <c r="F1392" s="11">
        <f>IF(HOUR(Table1[[#This Row],[CORREO]])&gt;=11,WORKDAY(Table1[[#This Row],[CORREO]],1),E1392)</f>
        <v>0</v>
      </c>
      <c r="G1392" s="11">
        <v>46024</v>
      </c>
      <c r="H1392" s="7">
        <f t="shared" si="111"/>
        <v>52</v>
      </c>
      <c r="I1392" s="7">
        <f t="shared" si="112"/>
        <v>5</v>
      </c>
      <c r="J1392" s="7" t="str">
        <f t="shared" si="113"/>
        <v>Dentro</v>
      </c>
      <c r="K1392" s="7" t="str">
        <f t="shared" si="114"/>
        <v>Programados</v>
      </c>
      <c r="L1392" s="11">
        <v>46020</v>
      </c>
      <c r="M1392" s="22">
        <f t="shared" si="115"/>
        <v>1</v>
      </c>
    </row>
    <row r="1393" spans="1:13" x14ac:dyDescent="0.35">
      <c r="A1393" s="11">
        <v>46020</v>
      </c>
      <c r="B1393" s="7" t="s">
        <v>2785</v>
      </c>
      <c r="C1393" s="7" t="s">
        <v>2786</v>
      </c>
      <c r="D1393" s="7" t="s">
        <v>2787</v>
      </c>
      <c r="E1393" s="18"/>
      <c r="F1393" s="11">
        <f>IF(HOUR(Table1[[#This Row],[CORREO]])&gt;=11,WORKDAY(Table1[[#This Row],[CORREO]],1),E1393)</f>
        <v>0</v>
      </c>
      <c r="G1393" s="11">
        <v>46034</v>
      </c>
      <c r="H1393" s="7">
        <f t="shared" si="111"/>
        <v>52</v>
      </c>
      <c r="I1393" s="7">
        <f t="shared" si="112"/>
        <v>11</v>
      </c>
      <c r="J1393" s="7" t="str">
        <f t="shared" si="113"/>
        <v>Programado</v>
      </c>
      <c r="K1393" s="7" t="str">
        <f t="shared" si="114"/>
        <v>Programados</v>
      </c>
      <c r="L1393" s="11">
        <v>46020</v>
      </c>
      <c r="M1393" s="22">
        <f t="shared" si="115"/>
        <v>1</v>
      </c>
    </row>
    <row r="1394" spans="1:13" x14ac:dyDescent="0.35">
      <c r="A1394" s="11">
        <v>46024</v>
      </c>
      <c r="B1394" s="7" t="s">
        <v>2788</v>
      </c>
      <c r="C1394" s="7" t="s">
        <v>2789</v>
      </c>
      <c r="D1394" s="7" t="s">
        <v>1333</v>
      </c>
      <c r="E1394" s="18"/>
      <c r="F1394" s="11">
        <f>IF(HOUR(Table1[[#This Row],[CORREO]])&gt;=11,WORKDAY(Table1[[#This Row],[CORREO]],1),E1394)</f>
        <v>0</v>
      </c>
      <c r="G1394" s="11">
        <v>46041</v>
      </c>
      <c r="H1394" s="7">
        <f t="shared" si="111"/>
        <v>1</v>
      </c>
      <c r="I1394" s="7">
        <f t="shared" si="112"/>
        <v>12</v>
      </c>
      <c r="J1394" s="7" t="str">
        <f t="shared" si="113"/>
        <v>Programado</v>
      </c>
      <c r="K1394" s="7" t="str">
        <f t="shared" si="114"/>
        <v>Programados</v>
      </c>
      <c r="L1394" s="11">
        <v>46024</v>
      </c>
      <c r="M1394" s="22">
        <f t="shared" si="115"/>
        <v>1</v>
      </c>
    </row>
    <row r="1395" spans="1:13" x14ac:dyDescent="0.35">
      <c r="A1395" s="11">
        <v>46027</v>
      </c>
      <c r="B1395" s="7" t="s">
        <v>2790</v>
      </c>
      <c r="C1395" s="7" t="s">
        <v>2791</v>
      </c>
      <c r="D1395" s="7" t="s">
        <v>24</v>
      </c>
      <c r="E1395" s="18"/>
      <c r="F1395" s="11">
        <f>IF(HOUR(Table1[[#This Row],[CORREO]])&gt;=11,WORKDAY(Table1[[#This Row],[CORREO]],1),E1395)</f>
        <v>0</v>
      </c>
      <c r="G1395" s="11">
        <v>46031</v>
      </c>
      <c r="H1395" s="7">
        <f t="shared" si="111"/>
        <v>1</v>
      </c>
      <c r="I1395" s="7">
        <f t="shared" si="112"/>
        <v>5</v>
      </c>
      <c r="J1395" s="7" t="str">
        <f t="shared" si="113"/>
        <v>Dentro</v>
      </c>
      <c r="K1395" s="7" t="str">
        <f t="shared" si="114"/>
        <v>Programados</v>
      </c>
      <c r="L1395" s="11">
        <v>46027</v>
      </c>
      <c r="M1395" s="22">
        <f t="shared" si="115"/>
        <v>1</v>
      </c>
    </row>
    <row r="1396" spans="1:13" x14ac:dyDescent="0.35">
      <c r="A1396" s="11">
        <v>46027</v>
      </c>
      <c r="B1396" s="7" t="s">
        <v>2792</v>
      </c>
      <c r="C1396" s="7" t="s">
        <v>2793</v>
      </c>
      <c r="D1396" s="7" t="s">
        <v>372</v>
      </c>
      <c r="E1396" s="18">
        <v>46025.613888888889</v>
      </c>
      <c r="F1396" s="11">
        <f>IF(HOUR(Table1[[#This Row],[CORREO]])&gt;=11,WORKDAY(Table1[[#This Row],[CORREO]],1),E1396)</f>
        <v>46027</v>
      </c>
      <c r="G1396" s="11">
        <v>46028</v>
      </c>
      <c r="H1396" s="7">
        <f t="shared" si="111"/>
        <v>1</v>
      </c>
      <c r="I1396" s="7">
        <f t="shared" si="112"/>
        <v>2</v>
      </c>
      <c r="J1396" s="7" t="str">
        <f t="shared" si="113"/>
        <v>Dentro</v>
      </c>
      <c r="K1396" s="7" t="str">
        <f t="shared" si="114"/>
        <v>A tiempo</v>
      </c>
      <c r="L1396" s="11">
        <v>46027</v>
      </c>
      <c r="M1396" s="22">
        <f t="shared" si="115"/>
        <v>1</v>
      </c>
    </row>
    <row r="1397" spans="1:13" x14ac:dyDescent="0.35">
      <c r="A1397" s="11">
        <v>46027</v>
      </c>
      <c r="B1397" s="7" t="s">
        <v>2794</v>
      </c>
      <c r="C1397" s="7" t="s">
        <v>2795</v>
      </c>
      <c r="D1397" s="7" t="s">
        <v>42</v>
      </c>
      <c r="E1397" s="18">
        <v>46027.320138888892</v>
      </c>
      <c r="F1397" s="11">
        <f>IF(HOUR(Table1[[#This Row],[CORREO]])&gt;=11,WORKDAY(Table1[[#This Row],[CORREO]],1),E1397)</f>
        <v>46027.320138888892</v>
      </c>
      <c r="G1397" s="11">
        <v>46027</v>
      </c>
      <c r="H1397" s="7">
        <f t="shared" si="111"/>
        <v>1</v>
      </c>
      <c r="I1397" s="7">
        <f t="shared" si="112"/>
        <v>1</v>
      </c>
      <c r="J1397" s="7" t="str">
        <f t="shared" si="113"/>
        <v>Dentro</v>
      </c>
      <c r="K1397" s="7" t="str">
        <f t="shared" si="114"/>
        <v>A tiempo</v>
      </c>
      <c r="L1397" s="11">
        <v>46027</v>
      </c>
      <c r="M1397" s="22">
        <f t="shared" si="115"/>
        <v>1</v>
      </c>
    </row>
    <row r="1398" spans="1:13" x14ac:dyDescent="0.35">
      <c r="A1398" s="11">
        <v>46027</v>
      </c>
      <c r="B1398" s="7" t="s">
        <v>2796</v>
      </c>
      <c r="C1398" s="7" t="s">
        <v>2797</v>
      </c>
      <c r="D1398" s="7" t="s">
        <v>154</v>
      </c>
      <c r="E1398" s="18"/>
      <c r="F1398" s="11">
        <f>IF(HOUR(Table1[[#This Row],[CORREO]])&gt;=11,WORKDAY(Table1[[#This Row],[CORREO]],1),E1398)</f>
        <v>0</v>
      </c>
      <c r="G1398" s="11">
        <v>46027</v>
      </c>
      <c r="H1398" s="7">
        <f t="shared" si="111"/>
        <v>1</v>
      </c>
      <c r="I1398" s="7">
        <f t="shared" si="112"/>
        <v>1</v>
      </c>
      <c r="J1398" s="7" t="str">
        <f t="shared" si="113"/>
        <v>Dentro</v>
      </c>
      <c r="K1398" s="7" t="str">
        <f t="shared" si="114"/>
        <v>Programados</v>
      </c>
      <c r="L1398" s="11">
        <v>46027</v>
      </c>
      <c r="M1398" s="22">
        <f t="shared" si="115"/>
        <v>1</v>
      </c>
    </row>
    <row r="1399" spans="1:13" x14ac:dyDescent="0.35">
      <c r="A1399" s="11">
        <v>46027</v>
      </c>
      <c r="B1399" s="7" t="s">
        <v>2798</v>
      </c>
      <c r="C1399" s="7" t="s">
        <v>2799</v>
      </c>
      <c r="D1399" s="7" t="s">
        <v>2800</v>
      </c>
      <c r="E1399" s="18"/>
      <c r="F1399" s="11">
        <f>IF(HOUR(Table1[[#This Row],[CORREO]])&gt;=11,WORKDAY(Table1[[#This Row],[CORREO]],1),E1399)</f>
        <v>0</v>
      </c>
      <c r="G1399" s="11">
        <v>46029</v>
      </c>
      <c r="H1399" s="7">
        <f t="shared" si="111"/>
        <v>1</v>
      </c>
      <c r="I1399" s="7">
        <f t="shared" si="112"/>
        <v>3</v>
      </c>
      <c r="J1399" s="7" t="str">
        <f t="shared" si="113"/>
        <v>Dentro</v>
      </c>
      <c r="K1399" s="7" t="str">
        <f t="shared" si="114"/>
        <v>Programados</v>
      </c>
      <c r="L1399" s="11">
        <v>46027</v>
      </c>
      <c r="M1399" s="22">
        <f t="shared" si="115"/>
        <v>1</v>
      </c>
    </row>
    <row r="1400" spans="1:13" x14ac:dyDescent="0.35">
      <c r="A1400" s="16">
        <v>46027</v>
      </c>
      <c r="B1400" s="20" t="s">
        <v>2801</v>
      </c>
      <c r="C1400" s="20" t="s">
        <v>2802</v>
      </c>
      <c r="D1400" s="20" t="s">
        <v>1735</v>
      </c>
      <c r="E1400" s="21">
        <v>46027.395833333336</v>
      </c>
      <c r="F1400" s="16">
        <f>IF(HOUR(Table1[[#This Row],[CORREO]])&gt;=11,WORKDAY(Table1[[#This Row],[CORREO]],1),E1400)</f>
        <v>46027.395833333336</v>
      </c>
      <c r="G1400" s="16">
        <v>46027</v>
      </c>
      <c r="H1400" s="20">
        <f t="shared" si="111"/>
        <v>1</v>
      </c>
      <c r="I1400" s="20">
        <f t="shared" si="112"/>
        <v>1</v>
      </c>
      <c r="J1400" s="20" t="str">
        <f t="shared" si="113"/>
        <v>Dentro</v>
      </c>
      <c r="K1400" s="20" t="str">
        <f t="shared" si="114"/>
        <v>A tiempo</v>
      </c>
      <c r="L1400" s="16">
        <v>46027</v>
      </c>
      <c r="M1400" s="23">
        <f t="shared" si="115"/>
        <v>1</v>
      </c>
    </row>
    <row r="1401" spans="1:13" x14ac:dyDescent="0.35">
      <c r="A1401" s="11">
        <v>46027</v>
      </c>
      <c r="B1401" s="7" t="s">
        <v>2803</v>
      </c>
      <c r="C1401" s="7" t="s">
        <v>2804</v>
      </c>
      <c r="D1401" s="7" t="s">
        <v>15</v>
      </c>
      <c r="E1401" s="18">
        <v>45662.40347222222</v>
      </c>
      <c r="F1401" s="11">
        <f>IF(HOUR(Table1[[#This Row],[CORREO]])&gt;=11,WORKDAY(Table1[[#This Row],[CORREO]],1),E1401)</f>
        <v>45662.40347222222</v>
      </c>
      <c r="G1401" s="11">
        <v>46029</v>
      </c>
      <c r="H1401" s="7">
        <f t="shared" si="111"/>
        <v>1</v>
      </c>
      <c r="I1401" s="7">
        <f t="shared" si="112"/>
        <v>3</v>
      </c>
      <c r="J1401" s="7" t="str">
        <f t="shared" si="113"/>
        <v>Dentro</v>
      </c>
      <c r="K1401" s="7" t="str">
        <f t="shared" si="114"/>
        <v>Programados</v>
      </c>
      <c r="L1401" s="11">
        <v>46027</v>
      </c>
      <c r="M1401" s="22">
        <f t="shared" si="115"/>
        <v>1</v>
      </c>
    </row>
    <row r="1402" spans="1:13" x14ac:dyDescent="0.35">
      <c r="A1402" s="11">
        <v>46027</v>
      </c>
      <c r="B1402" s="7" t="s">
        <v>2826</v>
      </c>
      <c r="C1402" s="7" t="s">
        <v>2872</v>
      </c>
      <c r="D1402" s="7" t="s">
        <v>15</v>
      </c>
      <c r="E1402" s="18"/>
      <c r="F1402" s="11">
        <f>IF(HOUR(Table1[[#This Row],[CORREO]])&gt;=11,WORKDAY(Table1[[#This Row],[CORREO]],1),E1402)</f>
        <v>0</v>
      </c>
      <c r="G1402" s="11">
        <v>46027</v>
      </c>
      <c r="H1402" s="7">
        <f t="shared" si="111"/>
        <v>1</v>
      </c>
      <c r="I1402" s="7">
        <f t="shared" si="112"/>
        <v>1</v>
      </c>
      <c r="J1402" s="7" t="str">
        <f t="shared" si="113"/>
        <v>Dentro</v>
      </c>
      <c r="K1402" s="7" t="str">
        <f t="shared" si="114"/>
        <v>Programados</v>
      </c>
      <c r="L1402" s="11">
        <v>46027</v>
      </c>
      <c r="M1402" s="22">
        <f t="shared" si="115"/>
        <v>1</v>
      </c>
    </row>
    <row r="1403" spans="1:13" x14ac:dyDescent="0.35">
      <c r="A1403" s="11">
        <v>46028</v>
      </c>
      <c r="B1403" s="7" t="s">
        <v>2826</v>
      </c>
      <c r="C1403" s="7" t="s">
        <v>2873</v>
      </c>
      <c r="D1403" s="7" t="s">
        <v>27</v>
      </c>
      <c r="E1403" s="18"/>
      <c r="F1403" s="11">
        <f>IF(HOUR(Table1[[#This Row],[CORREO]])&gt;=11,WORKDAY(Table1[[#This Row],[CORREO]],1),E1403)</f>
        <v>0</v>
      </c>
      <c r="G1403" s="11">
        <v>46041</v>
      </c>
      <c r="H1403" s="7">
        <f t="shared" si="111"/>
        <v>1</v>
      </c>
      <c r="I1403" s="7">
        <f t="shared" si="112"/>
        <v>10</v>
      </c>
      <c r="J1403" s="7" t="str">
        <f t="shared" si="113"/>
        <v>Programado</v>
      </c>
      <c r="K1403" s="7" t="str">
        <f t="shared" si="114"/>
        <v>Programados</v>
      </c>
      <c r="L1403" s="11">
        <v>46028</v>
      </c>
      <c r="M1403" s="22">
        <f t="shared" si="115"/>
        <v>1</v>
      </c>
    </row>
    <row r="1404" spans="1:13" x14ac:dyDescent="0.35">
      <c r="A1404" s="11">
        <v>46028</v>
      </c>
      <c r="B1404" s="7" t="s">
        <v>2827</v>
      </c>
      <c r="C1404" s="7" t="s">
        <v>2874</v>
      </c>
      <c r="D1404" s="7" t="s">
        <v>27</v>
      </c>
      <c r="E1404" s="18"/>
      <c r="F1404" s="11">
        <f>IF(HOUR(Table1[[#This Row],[CORREO]])&gt;=11,WORKDAY(Table1[[#This Row],[CORREO]],1),E1404)</f>
        <v>0</v>
      </c>
      <c r="G1404" s="11">
        <v>46041</v>
      </c>
      <c r="H1404" s="7">
        <f t="shared" si="111"/>
        <v>1</v>
      </c>
      <c r="I1404" s="7">
        <f t="shared" si="112"/>
        <v>10</v>
      </c>
      <c r="J1404" s="7" t="str">
        <f t="shared" si="113"/>
        <v>Programado</v>
      </c>
      <c r="K1404" s="7" t="str">
        <f t="shared" si="114"/>
        <v>Programados</v>
      </c>
      <c r="L1404" s="11">
        <v>46028</v>
      </c>
      <c r="M1404" s="22">
        <f t="shared" si="115"/>
        <v>1</v>
      </c>
    </row>
    <row r="1405" spans="1:13" x14ac:dyDescent="0.35">
      <c r="A1405" s="11">
        <v>46028</v>
      </c>
      <c r="B1405" s="7" t="s">
        <v>2848</v>
      </c>
      <c r="C1405" s="7" t="s">
        <v>2875</v>
      </c>
      <c r="D1405" s="7" t="s">
        <v>27</v>
      </c>
      <c r="E1405" s="18"/>
      <c r="F1405" s="11">
        <f>IF(HOUR(Table1[[#This Row],[CORREO]])&gt;=11,WORKDAY(Table1[[#This Row],[CORREO]],1),E1405)</f>
        <v>0</v>
      </c>
      <c r="G1405" s="11">
        <v>46041</v>
      </c>
      <c r="H1405" s="7">
        <f t="shared" si="111"/>
        <v>1</v>
      </c>
      <c r="I1405" s="7">
        <f t="shared" si="112"/>
        <v>10</v>
      </c>
      <c r="J1405" s="7" t="str">
        <f t="shared" si="113"/>
        <v>Programado</v>
      </c>
      <c r="K1405" s="7" t="str">
        <f t="shared" si="114"/>
        <v>Programados</v>
      </c>
      <c r="L1405" s="11">
        <v>46028</v>
      </c>
      <c r="M1405" s="22">
        <f t="shared" si="115"/>
        <v>1</v>
      </c>
    </row>
    <row r="1406" spans="1:13" x14ac:dyDescent="0.35">
      <c r="A1406" s="11">
        <v>46028</v>
      </c>
      <c r="B1406" s="7" t="s">
        <v>2828</v>
      </c>
      <c r="C1406" s="7" t="s">
        <v>2876</v>
      </c>
      <c r="D1406" s="7" t="s">
        <v>27</v>
      </c>
      <c r="E1406" s="18"/>
      <c r="F1406" s="11">
        <f>IF(HOUR(Table1[[#This Row],[CORREO]])&gt;=11,WORKDAY(Table1[[#This Row],[CORREO]],1),E1406)</f>
        <v>0</v>
      </c>
      <c r="G1406" s="11">
        <v>46037</v>
      </c>
      <c r="H1406" s="7">
        <f t="shared" si="111"/>
        <v>1</v>
      </c>
      <c r="I1406" s="7">
        <f t="shared" si="112"/>
        <v>8</v>
      </c>
      <c r="J1406" s="7" t="str">
        <f t="shared" si="113"/>
        <v>Programado</v>
      </c>
      <c r="K1406" s="7" t="str">
        <f t="shared" si="114"/>
        <v>Programados</v>
      </c>
      <c r="L1406" s="11">
        <v>46028</v>
      </c>
      <c r="M1406" s="22">
        <f t="shared" si="115"/>
        <v>1</v>
      </c>
    </row>
    <row r="1407" spans="1:13" x14ac:dyDescent="0.35">
      <c r="A1407" s="11">
        <v>46028</v>
      </c>
      <c r="B1407" s="7" t="s">
        <v>2849</v>
      </c>
      <c r="C1407" s="7" t="s">
        <v>2877</v>
      </c>
      <c r="D1407" s="7" t="s">
        <v>27</v>
      </c>
      <c r="E1407" s="18"/>
      <c r="F1407" s="11">
        <f>IF(HOUR(Table1[[#This Row],[CORREO]])&gt;=11,WORKDAY(Table1[[#This Row],[CORREO]],1),E1407)</f>
        <v>0</v>
      </c>
      <c r="G1407" s="11">
        <v>46041</v>
      </c>
      <c r="H1407" s="7">
        <f t="shared" si="111"/>
        <v>1</v>
      </c>
      <c r="I1407" s="7">
        <f t="shared" si="112"/>
        <v>10</v>
      </c>
      <c r="J1407" s="7" t="str">
        <f t="shared" si="113"/>
        <v>Programado</v>
      </c>
      <c r="K1407" s="7" t="str">
        <f t="shared" si="114"/>
        <v>Programados</v>
      </c>
      <c r="L1407" s="11">
        <v>46028</v>
      </c>
      <c r="M1407" s="22">
        <f t="shared" si="115"/>
        <v>1</v>
      </c>
    </row>
    <row r="1408" spans="1:13" x14ac:dyDescent="0.35">
      <c r="A1408" s="11">
        <v>46028</v>
      </c>
      <c r="B1408" s="7" t="s">
        <v>2861</v>
      </c>
      <c r="C1408" s="7" t="s">
        <v>2878</v>
      </c>
      <c r="D1408" s="7" t="s">
        <v>27</v>
      </c>
      <c r="E1408" s="18"/>
      <c r="F1408" s="11">
        <f>IF(HOUR(Table1[[#This Row],[CORREO]])&gt;=11,WORKDAY(Table1[[#This Row],[CORREO]],1),E1408)</f>
        <v>0</v>
      </c>
      <c r="G1408" s="11">
        <v>46043</v>
      </c>
      <c r="H1408" s="7">
        <f t="shared" si="111"/>
        <v>1</v>
      </c>
      <c r="I1408" s="7">
        <f t="shared" si="112"/>
        <v>12</v>
      </c>
      <c r="J1408" s="7" t="str">
        <f t="shared" si="113"/>
        <v>Programado</v>
      </c>
      <c r="K1408" s="7" t="str">
        <f t="shared" si="114"/>
        <v>Programados</v>
      </c>
      <c r="L1408" s="11">
        <v>46028</v>
      </c>
      <c r="M1408" s="22">
        <f t="shared" si="115"/>
        <v>1</v>
      </c>
    </row>
    <row r="1409" spans="1:13" x14ac:dyDescent="0.35">
      <c r="A1409" s="11">
        <v>46029</v>
      </c>
      <c r="B1409" s="7" t="s">
        <v>2864</v>
      </c>
      <c r="C1409" s="7" t="s">
        <v>2879</v>
      </c>
      <c r="D1409" s="7" t="s">
        <v>517</v>
      </c>
      <c r="E1409" s="18">
        <v>46028.46875</v>
      </c>
      <c r="F1409" s="11">
        <f>IF(HOUR(Table1[[#This Row],[CORREO]])&gt;=11,WORKDAY(Table1[[#This Row],[CORREO]],1),E1409)</f>
        <v>46029</v>
      </c>
      <c r="G1409" s="11">
        <v>46044</v>
      </c>
      <c r="H1409" s="7">
        <f t="shared" si="111"/>
        <v>1</v>
      </c>
      <c r="I1409" s="7">
        <f t="shared" si="112"/>
        <v>12</v>
      </c>
      <c r="J1409" s="7" t="str">
        <f t="shared" si="113"/>
        <v>Fuera</v>
      </c>
      <c r="K1409" s="7" t="str">
        <f t="shared" si="114"/>
        <v>A tiempo</v>
      </c>
      <c r="L1409" s="11">
        <v>46029</v>
      </c>
      <c r="M1409" s="22">
        <f t="shared" si="115"/>
        <v>1</v>
      </c>
    </row>
    <row r="1410" spans="1:13" x14ac:dyDescent="0.35">
      <c r="A1410" s="11">
        <v>46029</v>
      </c>
      <c r="B1410" s="7" t="s">
        <v>2829</v>
      </c>
      <c r="C1410" s="7" t="s">
        <v>2880</v>
      </c>
      <c r="D1410" s="7" t="s">
        <v>194</v>
      </c>
      <c r="E1410" s="18">
        <v>46028.576388888891</v>
      </c>
      <c r="F1410" s="11">
        <f>IF(HOUR(Table1[[#This Row],[CORREO]])&gt;=11,WORKDAY(Table1[[#This Row],[CORREO]],1),E1410)</f>
        <v>46029</v>
      </c>
      <c r="G1410" s="11">
        <v>46034</v>
      </c>
      <c r="H1410" s="7">
        <f t="shared" si="111"/>
        <v>1</v>
      </c>
      <c r="I1410" s="7">
        <f t="shared" si="112"/>
        <v>4</v>
      </c>
      <c r="J1410" s="7" t="str">
        <f t="shared" si="113"/>
        <v>Dentro</v>
      </c>
      <c r="K1410" s="7" t="str">
        <f t="shared" si="114"/>
        <v>A tiempo</v>
      </c>
      <c r="L1410" s="11">
        <v>46029</v>
      </c>
      <c r="M1410" s="22">
        <f t="shared" si="115"/>
        <v>1</v>
      </c>
    </row>
    <row r="1411" spans="1:13" x14ac:dyDescent="0.35">
      <c r="A1411" s="11">
        <v>46029</v>
      </c>
      <c r="B1411" s="7" t="s">
        <v>2830</v>
      </c>
      <c r="C1411" s="7" t="s">
        <v>2881</v>
      </c>
      <c r="D1411" s="7" t="s">
        <v>308</v>
      </c>
      <c r="E1411" s="18">
        <v>46029.450694444444</v>
      </c>
      <c r="F1411" s="11">
        <f>IF(HOUR(Table1[[#This Row],[CORREO]])&gt;=11,WORKDAY(Table1[[#This Row],[CORREO]],1),E1411)</f>
        <v>46029.450694444444</v>
      </c>
      <c r="G1411" s="11">
        <v>46029</v>
      </c>
      <c r="H1411" s="7">
        <f t="shared" si="111"/>
        <v>1</v>
      </c>
      <c r="I1411" s="7">
        <f t="shared" si="112"/>
        <v>1</v>
      </c>
      <c r="J1411" s="7" t="str">
        <f t="shared" si="113"/>
        <v>Dentro</v>
      </c>
      <c r="K1411" s="7" t="str">
        <f t="shared" si="114"/>
        <v>A tiempo</v>
      </c>
      <c r="L1411" s="11">
        <v>46029</v>
      </c>
      <c r="M1411" s="22">
        <f t="shared" si="115"/>
        <v>1</v>
      </c>
    </row>
    <row r="1412" spans="1:13" x14ac:dyDescent="0.35">
      <c r="A1412" s="17">
        <v>46030</v>
      </c>
      <c r="B1412" s="7" t="s">
        <v>2831</v>
      </c>
      <c r="C1412" s="7" t="s">
        <v>2936</v>
      </c>
      <c r="D1412" s="7" t="s">
        <v>171</v>
      </c>
      <c r="E1412" s="18"/>
      <c r="F1412" s="11">
        <f>IF(HOUR(Table1[[#This Row],[CORREO]])&gt;=11,WORKDAY(Table1[[#This Row],[CORREO]],1),E1412)</f>
        <v>0</v>
      </c>
      <c r="G1412" s="11">
        <v>46030</v>
      </c>
      <c r="H1412" s="7">
        <f t="shared" si="111"/>
        <v>2</v>
      </c>
      <c r="I1412" s="7">
        <f t="shared" si="112"/>
        <v>1</v>
      </c>
      <c r="J1412" s="7" t="str">
        <f t="shared" si="113"/>
        <v>Dentro</v>
      </c>
      <c r="K1412" s="7" t="str">
        <f t="shared" si="114"/>
        <v>Programados</v>
      </c>
      <c r="L1412" s="11">
        <v>46030</v>
      </c>
      <c r="M1412" s="22">
        <f t="shared" si="115"/>
        <v>1</v>
      </c>
    </row>
    <row r="1413" spans="1:13" x14ac:dyDescent="0.35">
      <c r="A1413" s="11">
        <v>46030</v>
      </c>
      <c r="B1413" s="7" t="s">
        <v>2806</v>
      </c>
      <c r="C1413" s="7" t="s">
        <v>2941</v>
      </c>
      <c r="D1413" s="7" t="s">
        <v>2942</v>
      </c>
      <c r="E1413" s="18">
        <v>45665.322222222225</v>
      </c>
      <c r="F1413" s="11">
        <f>IF(HOUR(Table1[[#This Row],[CORREO]])&gt;=11,WORKDAY(Table1[[#This Row],[CORREO]],1),E1413)</f>
        <v>45665.322222222225</v>
      </c>
      <c r="G1413" s="11"/>
      <c r="H1413" s="7">
        <f t="shared" si="111"/>
        <v>2</v>
      </c>
      <c r="I1413" s="7">
        <f t="shared" si="112"/>
        <v>1</v>
      </c>
      <c r="J1413" s="7" t="str">
        <f t="shared" si="113"/>
        <v>Acumulado</v>
      </c>
      <c r="K1413" s="7" t="str">
        <f t="shared" si="114"/>
        <v>Programados</v>
      </c>
      <c r="L1413" s="11">
        <v>46031</v>
      </c>
      <c r="M1413" s="22">
        <f t="shared" si="115"/>
        <v>2</v>
      </c>
    </row>
    <row r="1414" spans="1:13" x14ac:dyDescent="0.35">
      <c r="A1414" s="11">
        <v>46027</v>
      </c>
      <c r="B1414" s="7" t="s">
        <v>2871</v>
      </c>
      <c r="C1414" s="7" t="s">
        <v>2943</v>
      </c>
      <c r="D1414" s="7" t="s">
        <v>61</v>
      </c>
      <c r="E1414" s="18">
        <v>46027.481944444444</v>
      </c>
      <c r="F1414" s="11">
        <f>IF(HOUR(Table1[[#This Row],[CORREO]])&gt;=11,WORKDAY(Table1[[#This Row],[CORREO]],1),E1414)</f>
        <v>46028</v>
      </c>
      <c r="G1414" s="11">
        <v>46027</v>
      </c>
      <c r="H1414" s="7">
        <f t="shared" si="111"/>
        <v>1</v>
      </c>
      <c r="I1414" s="7">
        <f t="shared" si="112"/>
        <v>1</v>
      </c>
      <c r="J1414" s="7" t="str">
        <f t="shared" si="113"/>
        <v>Dentro</v>
      </c>
      <c r="K1414" s="7" t="str">
        <f t="shared" si="114"/>
        <v>Mismo día</v>
      </c>
      <c r="L1414" s="11">
        <v>46027</v>
      </c>
      <c r="M1414" s="22">
        <f t="shared" si="115"/>
        <v>1</v>
      </c>
    </row>
    <row r="1415" spans="1:13" x14ac:dyDescent="0.35">
      <c r="A1415" s="11">
        <v>46030</v>
      </c>
      <c r="B1415" s="7" t="s">
        <v>2850</v>
      </c>
      <c r="C1415" s="7" t="s">
        <v>2944</v>
      </c>
      <c r="D1415" s="7" t="s">
        <v>1360</v>
      </c>
      <c r="E1415" s="18"/>
      <c r="F1415" s="11">
        <f>IF(HOUR(Table1[[#This Row],[CORREO]])&gt;=11,WORKDAY(Table1[[#This Row],[CORREO]],1),E1415)</f>
        <v>0</v>
      </c>
      <c r="G1415" s="11">
        <v>46041</v>
      </c>
      <c r="H1415" s="7">
        <f t="shared" si="111"/>
        <v>2</v>
      </c>
      <c r="I1415" s="7">
        <f t="shared" si="112"/>
        <v>8</v>
      </c>
      <c r="J1415" s="7" t="str">
        <f t="shared" si="113"/>
        <v>Programado</v>
      </c>
      <c r="K1415" s="7" t="str">
        <f t="shared" si="114"/>
        <v>Programados</v>
      </c>
      <c r="L1415" s="11">
        <v>46030</v>
      </c>
      <c r="M1415" s="22">
        <f t="shared" si="115"/>
        <v>1</v>
      </c>
    </row>
    <row r="1416" spans="1:13" x14ac:dyDescent="0.35">
      <c r="A1416" s="11">
        <v>46030</v>
      </c>
      <c r="B1416" s="7" t="s">
        <v>2851</v>
      </c>
      <c r="C1416" s="7" t="s">
        <v>2945</v>
      </c>
      <c r="D1416" s="7" t="s">
        <v>1360</v>
      </c>
      <c r="E1416" s="18"/>
      <c r="F1416" s="11">
        <f>IF(HOUR(Table1[[#This Row],[CORREO]])&gt;=11,WORKDAY(Table1[[#This Row],[CORREO]],1),E1416)</f>
        <v>0</v>
      </c>
      <c r="G1416" s="11">
        <v>46041</v>
      </c>
      <c r="H1416" s="7">
        <f t="shared" si="111"/>
        <v>2</v>
      </c>
      <c r="I1416" s="7">
        <f t="shared" si="112"/>
        <v>8</v>
      </c>
      <c r="J1416" s="7" t="str">
        <f t="shared" si="113"/>
        <v>Programado</v>
      </c>
      <c r="K1416" s="7" t="str">
        <f t="shared" si="114"/>
        <v>Programados</v>
      </c>
      <c r="L1416" s="11">
        <v>46030</v>
      </c>
      <c r="M1416" s="22">
        <f t="shared" si="115"/>
        <v>1</v>
      </c>
    </row>
    <row r="1417" spans="1:13" x14ac:dyDescent="0.35">
      <c r="A1417" s="11">
        <v>46030</v>
      </c>
      <c r="B1417" s="7" t="s">
        <v>2852</v>
      </c>
      <c r="C1417" s="7" t="s">
        <v>2946</v>
      </c>
      <c r="D1417" s="7" t="s">
        <v>1360</v>
      </c>
      <c r="E1417" s="18"/>
      <c r="F1417" s="11">
        <f>IF(HOUR(Table1[[#This Row],[CORREO]])&gt;=11,WORKDAY(Table1[[#This Row],[CORREO]],1),E1417)</f>
        <v>0</v>
      </c>
      <c r="G1417" s="11">
        <v>46041</v>
      </c>
      <c r="H1417" s="7">
        <f t="shared" si="111"/>
        <v>2</v>
      </c>
      <c r="I1417" s="7">
        <f t="shared" si="112"/>
        <v>8</v>
      </c>
      <c r="J1417" s="7" t="str">
        <f t="shared" si="113"/>
        <v>Programado</v>
      </c>
      <c r="K1417" s="7" t="str">
        <f t="shared" si="114"/>
        <v>Programados</v>
      </c>
      <c r="L1417" s="11">
        <v>46030</v>
      </c>
      <c r="M1417" s="22">
        <f t="shared" si="115"/>
        <v>1</v>
      </c>
    </row>
    <row r="1418" spans="1:13" x14ac:dyDescent="0.35">
      <c r="A1418" s="11">
        <v>46030</v>
      </c>
      <c r="B1418" s="7" t="s">
        <v>2832</v>
      </c>
      <c r="C1418" s="7" t="s">
        <v>2947</v>
      </c>
      <c r="D1418" s="7" t="s">
        <v>194</v>
      </c>
      <c r="E1418" s="18">
        <v>46030.367361111108</v>
      </c>
      <c r="F1418" s="11">
        <f>IF(HOUR(Table1[[#This Row],[CORREO]])&gt;=11,WORKDAY(Table1[[#This Row],[CORREO]],1),E1418)</f>
        <v>46030.367361111108</v>
      </c>
      <c r="G1418" s="11">
        <v>46035</v>
      </c>
      <c r="H1418" s="7">
        <f t="shared" si="111"/>
        <v>2</v>
      </c>
      <c r="I1418" s="7">
        <f t="shared" si="112"/>
        <v>4</v>
      </c>
      <c r="J1418" s="7" t="str">
        <f t="shared" si="113"/>
        <v>Dentro</v>
      </c>
      <c r="K1418" s="7" t="str">
        <f t="shared" si="114"/>
        <v>A tiempo</v>
      </c>
      <c r="L1418" s="11">
        <v>46030</v>
      </c>
      <c r="M1418" s="22">
        <f t="shared" si="115"/>
        <v>1</v>
      </c>
    </row>
    <row r="1419" spans="1:13" x14ac:dyDescent="0.35">
      <c r="A1419" s="11">
        <v>46031</v>
      </c>
      <c r="B1419" s="7" t="s">
        <v>2862</v>
      </c>
      <c r="C1419" s="7" t="s">
        <v>2948</v>
      </c>
      <c r="D1419" s="7" t="s">
        <v>1333</v>
      </c>
      <c r="E1419" s="18"/>
      <c r="F1419" s="11">
        <f>IF(HOUR(Table1[[#This Row],[CORREO]])&gt;=11,WORKDAY(Table1[[#This Row],[CORREO]],1),E1419)</f>
        <v>0</v>
      </c>
      <c r="G1419" s="11">
        <v>46045</v>
      </c>
      <c r="H1419" s="7">
        <f t="shared" si="111"/>
        <v>2</v>
      </c>
      <c r="I1419" s="7">
        <f t="shared" si="112"/>
        <v>11</v>
      </c>
      <c r="J1419" s="7" t="str">
        <f t="shared" si="113"/>
        <v>Programado</v>
      </c>
      <c r="K1419" s="7" t="str">
        <f t="shared" si="114"/>
        <v>Programados</v>
      </c>
      <c r="L1419" s="11">
        <v>46031</v>
      </c>
      <c r="M1419" s="22">
        <f t="shared" si="115"/>
        <v>1</v>
      </c>
    </row>
    <row r="1420" spans="1:13" x14ac:dyDescent="0.35">
      <c r="A1420" s="11">
        <v>46031</v>
      </c>
      <c r="B1420" s="7" t="s">
        <v>2833</v>
      </c>
      <c r="C1420" s="7" t="s">
        <v>2949</v>
      </c>
      <c r="D1420" s="7" t="s">
        <v>171</v>
      </c>
      <c r="E1420" s="18">
        <v>46028.622916666667</v>
      </c>
      <c r="F1420" s="11">
        <f>IF(HOUR(Table1[[#This Row],[CORREO]])&gt;=11,WORKDAY(Table1[[#This Row],[CORREO]],1),E1420)</f>
        <v>46029</v>
      </c>
      <c r="G1420" s="11">
        <v>46036</v>
      </c>
      <c r="H1420" s="7">
        <f t="shared" si="111"/>
        <v>2</v>
      </c>
      <c r="I1420" s="7">
        <f t="shared" si="112"/>
        <v>4</v>
      </c>
      <c r="J1420" s="7" t="str">
        <f t="shared" si="113"/>
        <v>Dentro</v>
      </c>
      <c r="K1420" s="7" t="str">
        <f t="shared" si="114"/>
        <v>Programados</v>
      </c>
      <c r="L1420" s="11">
        <v>46031</v>
      </c>
      <c r="M1420" s="22">
        <f t="shared" si="115"/>
        <v>1</v>
      </c>
    </row>
    <row r="1421" spans="1:13" x14ac:dyDescent="0.35">
      <c r="A1421" s="11">
        <v>46031</v>
      </c>
      <c r="B1421" s="7" t="s">
        <v>2807</v>
      </c>
      <c r="C1421" s="7" t="s">
        <v>2950</v>
      </c>
      <c r="D1421" s="7" t="s">
        <v>139</v>
      </c>
      <c r="E1421" s="18">
        <v>46030.539583333331</v>
      </c>
      <c r="F1421" s="11">
        <f>IF(HOUR(Table1[[#This Row],[CORREO]])&gt;=11,WORKDAY(Table1[[#This Row],[CORREO]],1),E1421)</f>
        <v>46031</v>
      </c>
      <c r="G1421" s="11"/>
      <c r="H1421" s="7">
        <f t="shared" si="111"/>
        <v>2</v>
      </c>
      <c r="I1421" s="7">
        <f t="shared" si="112"/>
        <v>1</v>
      </c>
      <c r="J1421" s="7" t="str">
        <f t="shared" si="113"/>
        <v>Acumulado</v>
      </c>
      <c r="K1421" s="7" t="str">
        <f t="shared" si="114"/>
        <v>A tiempo</v>
      </c>
      <c r="L1421" s="11">
        <v>46031</v>
      </c>
      <c r="M1421" s="22">
        <f t="shared" si="115"/>
        <v>1</v>
      </c>
    </row>
    <row r="1422" spans="1:13" x14ac:dyDescent="0.35">
      <c r="A1422" s="11">
        <v>46031</v>
      </c>
      <c r="B1422" s="7" t="s">
        <v>2834</v>
      </c>
      <c r="C1422" s="7" t="s">
        <v>2951</v>
      </c>
      <c r="D1422" s="7" t="s">
        <v>136</v>
      </c>
      <c r="E1422" s="18">
        <v>46031.363888888889</v>
      </c>
      <c r="F1422" s="11">
        <f>IF(HOUR(Table1[[#This Row],[CORREO]])&gt;=11,WORKDAY(Table1[[#This Row],[CORREO]],1),E1422)</f>
        <v>46031.363888888889</v>
      </c>
      <c r="G1422" s="11">
        <v>46031</v>
      </c>
      <c r="H1422" s="7">
        <f t="shared" ref="H1422:H1485" si="116">INT((A1422-DATE(YEAR(A1422),1,1))/7) + 1</f>
        <v>2</v>
      </c>
      <c r="I1422" s="7">
        <f t="shared" ref="I1422:I1485" si="117">MAX(1,NETWORKDAYS(A1422,G1422,DATE(2025,11,17)))</f>
        <v>1</v>
      </c>
      <c r="J1422" s="7" t="str">
        <f t="shared" ref="J1422:J1485" si="118">IF(G1422="","Acumulado",IF(ISNUMBER(SEARCH("ASAP",C1422)),"ASAP",IF(I1422&lt;=7,"Dentro",IF(A1422&gt;F1422,"Programado","Fuera"))))</f>
        <v>Dentro</v>
      </c>
      <c r="K1422" s="7" t="str">
        <f t="shared" ref="K1422:K1485" si="119">IF(INT(A1422)=INT(F1422),"A tiempo", IF(A1422&lt;F1422,"Mismo día","Programados"))</f>
        <v>A tiempo</v>
      </c>
      <c r="L1422" s="11">
        <v>46031</v>
      </c>
      <c r="M1422" s="22">
        <f t="shared" ref="M1422:M1485" si="120">MAX(1,NETWORKDAYS(A1422,L1422))</f>
        <v>1</v>
      </c>
    </row>
    <row r="1423" spans="1:13" x14ac:dyDescent="0.35">
      <c r="A1423" s="11">
        <v>46031</v>
      </c>
      <c r="B1423" s="7" t="s">
        <v>2835</v>
      </c>
      <c r="C1423" s="7" t="s">
        <v>2939</v>
      </c>
      <c r="D1423" s="7" t="s">
        <v>154</v>
      </c>
      <c r="E1423" s="18">
        <v>46031.4375</v>
      </c>
      <c r="F1423" s="11">
        <f>IF(HOUR(Table1[[#This Row],[CORREO]])&gt;=11,WORKDAY(Table1[[#This Row],[CORREO]],1),E1423)</f>
        <v>46031.4375</v>
      </c>
      <c r="G1423" s="11">
        <v>46034</v>
      </c>
      <c r="H1423" s="7">
        <f t="shared" si="116"/>
        <v>2</v>
      </c>
      <c r="I1423" s="7">
        <f t="shared" si="117"/>
        <v>2</v>
      </c>
      <c r="J1423" s="7" t="str">
        <f t="shared" si="118"/>
        <v>Dentro</v>
      </c>
      <c r="K1423" s="7" t="str">
        <f t="shared" si="119"/>
        <v>A tiempo</v>
      </c>
      <c r="L1423" s="11">
        <v>46031</v>
      </c>
      <c r="M1423" s="22">
        <f t="shared" si="120"/>
        <v>1</v>
      </c>
    </row>
    <row r="1424" spans="1:13" x14ac:dyDescent="0.35">
      <c r="A1424" s="11">
        <v>46034</v>
      </c>
      <c r="B1424" s="7" t="s">
        <v>2836</v>
      </c>
      <c r="C1424" s="7" t="s">
        <v>2952</v>
      </c>
      <c r="D1424" s="7" t="s">
        <v>24</v>
      </c>
      <c r="E1424" s="18"/>
      <c r="F1424" s="11">
        <f>IF(HOUR(Table1[[#This Row],[CORREO]])&gt;=11,WORKDAY(Table1[[#This Row],[CORREO]],1),E1424)</f>
        <v>0</v>
      </c>
      <c r="G1424" s="11">
        <v>46038</v>
      </c>
      <c r="H1424" s="7">
        <f t="shared" si="116"/>
        <v>2</v>
      </c>
      <c r="I1424" s="7">
        <f t="shared" si="117"/>
        <v>5</v>
      </c>
      <c r="J1424" s="7" t="str">
        <f t="shared" si="118"/>
        <v>Dentro</v>
      </c>
      <c r="K1424" s="7" t="str">
        <f t="shared" si="119"/>
        <v>Programados</v>
      </c>
      <c r="L1424" s="11">
        <v>46034</v>
      </c>
      <c r="M1424" s="22">
        <f t="shared" si="120"/>
        <v>1</v>
      </c>
    </row>
    <row r="1425" spans="1:13" x14ac:dyDescent="0.35">
      <c r="A1425" s="11">
        <v>46034</v>
      </c>
      <c r="B1425" s="7" t="s">
        <v>2808</v>
      </c>
      <c r="C1425" s="7" t="s">
        <v>2953</v>
      </c>
      <c r="D1425" s="7" t="s">
        <v>538</v>
      </c>
      <c r="E1425" s="18">
        <v>46031.695138888892</v>
      </c>
      <c r="F1425" s="11">
        <f>IF(HOUR(Table1[[#This Row],[CORREO]])&gt;=11,WORKDAY(Table1[[#This Row],[CORREO]],1),E1425)</f>
        <v>46034</v>
      </c>
      <c r="G1425" s="11">
        <v>46050</v>
      </c>
      <c r="H1425" s="7">
        <f t="shared" si="116"/>
        <v>2</v>
      </c>
      <c r="I1425" s="7">
        <f t="shared" si="117"/>
        <v>13</v>
      </c>
      <c r="J1425" s="7" t="str">
        <f t="shared" si="118"/>
        <v>Fuera</v>
      </c>
      <c r="K1425" s="7" t="str">
        <f t="shared" si="119"/>
        <v>A tiempo</v>
      </c>
      <c r="L1425" s="11">
        <v>46034</v>
      </c>
      <c r="M1425" s="22">
        <f t="shared" si="120"/>
        <v>1</v>
      </c>
    </row>
    <row r="1426" spans="1:13" x14ac:dyDescent="0.35">
      <c r="A1426" s="11">
        <v>46034</v>
      </c>
      <c r="B1426" s="7" t="s">
        <v>2837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Row],[CORREO]],1),E1426)</f>
        <v>46034.368055555555</v>
      </c>
      <c r="G1426" s="11">
        <v>46034</v>
      </c>
      <c r="H1426" s="7">
        <f t="shared" si="116"/>
        <v>2</v>
      </c>
      <c r="I1426" s="7">
        <f t="shared" si="117"/>
        <v>1</v>
      </c>
      <c r="J1426" s="7" t="str">
        <f t="shared" si="118"/>
        <v>Dentro</v>
      </c>
      <c r="K1426" s="7" t="str">
        <f t="shared" si="119"/>
        <v>A tiempo</v>
      </c>
      <c r="L1426" s="11">
        <v>46034</v>
      </c>
      <c r="M1426" s="22">
        <f t="shared" si="120"/>
        <v>1</v>
      </c>
    </row>
    <row r="1427" spans="1:13" x14ac:dyDescent="0.35">
      <c r="A1427" s="11">
        <v>46035</v>
      </c>
      <c r="B1427" s="7" t="s">
        <v>2809</v>
      </c>
      <c r="C1427" s="7" t="s">
        <v>2954</v>
      </c>
      <c r="D1427" s="7" t="s">
        <v>913</v>
      </c>
      <c r="E1427" s="18">
        <v>46034.484722222223</v>
      </c>
      <c r="F1427" s="11">
        <f>IF(HOUR(Table1[[#This Row],[CORREO]])&gt;=11,WORKDAY(Table1[[#This Row],[CORREO]],1),E1427)</f>
        <v>46035</v>
      </c>
      <c r="G1427" s="11">
        <v>46050</v>
      </c>
      <c r="H1427" s="7">
        <f t="shared" si="116"/>
        <v>2</v>
      </c>
      <c r="I1427" s="7">
        <f t="shared" si="117"/>
        <v>12</v>
      </c>
      <c r="J1427" s="7" t="str">
        <f t="shared" si="118"/>
        <v>Fuera</v>
      </c>
      <c r="K1427" s="7" t="str">
        <f t="shared" si="119"/>
        <v>A tiempo</v>
      </c>
      <c r="L1427" s="11">
        <v>46035</v>
      </c>
      <c r="M1427" s="22">
        <f t="shared" si="120"/>
        <v>1</v>
      </c>
    </row>
    <row r="1428" spans="1:13" x14ac:dyDescent="0.35">
      <c r="A1428" s="11">
        <v>46035</v>
      </c>
      <c r="B1428" s="7" t="s">
        <v>2838</v>
      </c>
      <c r="C1428" s="7" t="s">
        <v>2955</v>
      </c>
      <c r="D1428" s="7" t="s">
        <v>89</v>
      </c>
      <c r="E1428" s="18">
        <v>46034.486111111109</v>
      </c>
      <c r="F1428" s="11">
        <f>IF(HOUR(Table1[[#This Row],[CORREO]])&gt;=11,WORKDAY(Table1[[#This Row],[CORREO]],1),E1428)</f>
        <v>46035</v>
      </c>
      <c r="G1428" s="11">
        <v>46035</v>
      </c>
      <c r="H1428" s="7">
        <f t="shared" si="116"/>
        <v>2</v>
      </c>
      <c r="I1428" s="7">
        <f t="shared" si="117"/>
        <v>1</v>
      </c>
      <c r="J1428" s="7" t="str">
        <f t="shared" si="118"/>
        <v>Dentro</v>
      </c>
      <c r="K1428" s="7" t="str">
        <f t="shared" si="119"/>
        <v>A tiempo</v>
      </c>
      <c r="L1428" s="11">
        <v>46035</v>
      </c>
      <c r="M1428" s="22">
        <f t="shared" si="120"/>
        <v>1</v>
      </c>
    </row>
    <row r="1429" spans="1:13" x14ac:dyDescent="0.35">
      <c r="A1429" s="11">
        <v>46035</v>
      </c>
      <c r="B1429" s="7" t="s">
        <v>2839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Row],[CORREO]],1),E1429)</f>
        <v>46035</v>
      </c>
      <c r="G1429" s="11">
        <v>46035</v>
      </c>
      <c r="H1429" s="7">
        <f t="shared" si="116"/>
        <v>2</v>
      </c>
      <c r="I1429" s="7">
        <f t="shared" si="117"/>
        <v>1</v>
      </c>
      <c r="J1429" s="7" t="str">
        <f t="shared" si="118"/>
        <v>Dentro</v>
      </c>
      <c r="K1429" s="7" t="str">
        <f t="shared" si="119"/>
        <v>A tiempo</v>
      </c>
      <c r="L1429" s="11">
        <v>46035</v>
      </c>
      <c r="M1429" s="22">
        <f t="shared" si="120"/>
        <v>1</v>
      </c>
    </row>
    <row r="1430" spans="1:13" x14ac:dyDescent="0.35">
      <c r="A1430" s="11">
        <v>46035</v>
      </c>
      <c r="B1430" s="7" t="s">
        <v>2810</v>
      </c>
      <c r="C1430" s="7" t="s">
        <v>2956</v>
      </c>
      <c r="D1430" s="7" t="s">
        <v>151</v>
      </c>
      <c r="E1430" s="18">
        <v>46034.517361111109</v>
      </c>
      <c r="F1430" s="11">
        <f>IF(HOUR(Table1[[#This Row],[CORREO]])&gt;=11,WORKDAY(Table1[[#This Row],[CORREO]],1),E1430)</f>
        <v>46035</v>
      </c>
      <c r="G1430" s="11">
        <v>46050</v>
      </c>
      <c r="H1430" s="7">
        <f t="shared" si="116"/>
        <v>2</v>
      </c>
      <c r="I1430" s="7">
        <f t="shared" si="117"/>
        <v>12</v>
      </c>
      <c r="J1430" s="7" t="str">
        <f t="shared" si="118"/>
        <v>Fuera</v>
      </c>
      <c r="K1430" s="7" t="str">
        <f t="shared" si="119"/>
        <v>A tiempo</v>
      </c>
      <c r="L1430" s="11">
        <v>46035</v>
      </c>
      <c r="M1430" s="22">
        <f t="shared" si="120"/>
        <v>1</v>
      </c>
    </row>
    <row r="1431" spans="1:13" x14ac:dyDescent="0.35">
      <c r="A1431" s="11">
        <v>46035</v>
      </c>
      <c r="B1431" s="7" t="s">
        <v>2840</v>
      </c>
      <c r="C1431" s="7" t="s">
        <v>2957</v>
      </c>
      <c r="D1431" s="7" t="s">
        <v>61</v>
      </c>
      <c r="E1431" s="18">
        <v>46034.521527777775</v>
      </c>
      <c r="F1431" s="11">
        <f>IF(HOUR(Table1[[#This Row],[CORREO]])&gt;=11,WORKDAY(Table1[[#This Row],[CORREO]],1),E1431)</f>
        <v>46035</v>
      </c>
      <c r="G1431" s="11">
        <v>46035</v>
      </c>
      <c r="H1431" s="7">
        <f t="shared" si="116"/>
        <v>2</v>
      </c>
      <c r="I1431" s="7">
        <f t="shared" si="117"/>
        <v>1</v>
      </c>
      <c r="J1431" s="7" t="str">
        <f t="shared" si="118"/>
        <v>Dentro</v>
      </c>
      <c r="K1431" s="7" t="str">
        <f t="shared" si="119"/>
        <v>A tiempo</v>
      </c>
      <c r="L1431" s="11">
        <v>46035</v>
      </c>
      <c r="M1431" s="22">
        <f t="shared" si="120"/>
        <v>1</v>
      </c>
    </row>
    <row r="1432" spans="1:13" x14ac:dyDescent="0.35">
      <c r="A1432" s="11">
        <v>46035</v>
      </c>
      <c r="B1432" s="7" t="s">
        <v>2811</v>
      </c>
      <c r="C1432" s="7" t="s">
        <v>2958</v>
      </c>
      <c r="D1432" s="7" t="s">
        <v>24</v>
      </c>
      <c r="E1432" s="18"/>
      <c r="F1432" s="11">
        <f>IF(HOUR(Table1[[#This Row],[CORREO]])&gt;=11,WORKDAY(Table1[[#This Row],[CORREO]],1),E1432)</f>
        <v>0</v>
      </c>
      <c r="G1432" s="11"/>
      <c r="H1432" s="7">
        <f t="shared" si="116"/>
        <v>2</v>
      </c>
      <c r="I1432" s="7">
        <f t="shared" si="117"/>
        <v>1</v>
      </c>
      <c r="J1432" s="7" t="str">
        <f t="shared" si="118"/>
        <v>Acumulado</v>
      </c>
      <c r="K1432" s="7" t="str">
        <f t="shared" si="119"/>
        <v>Programados</v>
      </c>
      <c r="L1432" s="11">
        <v>46035</v>
      </c>
      <c r="M1432" s="22">
        <f t="shared" si="120"/>
        <v>1</v>
      </c>
    </row>
    <row r="1433" spans="1:13" x14ac:dyDescent="0.35">
      <c r="A1433" s="11">
        <v>46035</v>
      </c>
      <c r="B1433" s="7" t="s">
        <v>2841</v>
      </c>
      <c r="C1433" s="7" t="s">
        <v>2959</v>
      </c>
      <c r="D1433" s="7" t="s">
        <v>27</v>
      </c>
      <c r="E1433" s="18">
        <v>46035.411805555559</v>
      </c>
      <c r="F1433" s="11">
        <f>IF(HOUR(Table1[[#This Row],[CORREO]])&gt;=11,WORKDAY(Table1[[#This Row],[CORREO]],1),E1433)</f>
        <v>46035.411805555559</v>
      </c>
      <c r="G1433" s="11">
        <v>46035</v>
      </c>
      <c r="H1433" s="7">
        <f t="shared" si="116"/>
        <v>2</v>
      </c>
      <c r="I1433" s="7">
        <f t="shared" si="117"/>
        <v>1</v>
      </c>
      <c r="J1433" s="7" t="str">
        <f t="shared" si="118"/>
        <v>ASAP</v>
      </c>
      <c r="K1433" s="7" t="str">
        <f t="shared" si="119"/>
        <v>A tiempo</v>
      </c>
      <c r="L1433" s="11">
        <v>46035</v>
      </c>
      <c r="M1433" s="22">
        <f t="shared" si="120"/>
        <v>1</v>
      </c>
    </row>
    <row r="1434" spans="1:13" x14ac:dyDescent="0.35">
      <c r="A1434" s="11">
        <v>46035</v>
      </c>
      <c r="B1434" s="7" t="s">
        <v>2842</v>
      </c>
      <c r="C1434" s="7" t="s">
        <v>2960</v>
      </c>
      <c r="D1434" s="7" t="s">
        <v>27</v>
      </c>
      <c r="E1434" s="18">
        <v>46035.440972222219</v>
      </c>
      <c r="F1434" s="11">
        <f>IF(HOUR(Table1[[#This Row],[CORREO]])&gt;=11,WORKDAY(Table1[[#This Row],[CORREO]],1),E1434)</f>
        <v>46035.440972222219</v>
      </c>
      <c r="G1434" s="11">
        <v>46035</v>
      </c>
      <c r="H1434" s="7">
        <f t="shared" si="116"/>
        <v>2</v>
      </c>
      <c r="I1434" s="7">
        <f t="shared" si="117"/>
        <v>1</v>
      </c>
      <c r="J1434" s="7" t="str">
        <f t="shared" si="118"/>
        <v>Dentro</v>
      </c>
      <c r="K1434" s="7" t="str">
        <f t="shared" si="119"/>
        <v>A tiempo</v>
      </c>
      <c r="L1434" s="11">
        <v>46035</v>
      </c>
      <c r="M1434" s="22">
        <f t="shared" si="120"/>
        <v>1</v>
      </c>
    </row>
    <row r="1435" spans="1:13" x14ac:dyDescent="0.35">
      <c r="A1435" s="11">
        <v>46036</v>
      </c>
      <c r="B1435" s="7" t="s">
        <v>2843</v>
      </c>
      <c r="C1435" s="7" t="s">
        <v>2961</v>
      </c>
      <c r="D1435" s="7" t="s">
        <v>151</v>
      </c>
      <c r="E1435" s="18">
        <v>46035.532638888886</v>
      </c>
      <c r="F1435" s="11">
        <f>IF(HOUR(Table1[[#This Row],[CORREO]])&gt;=11,WORKDAY(Table1[[#This Row],[CORREO]],1),E1435)</f>
        <v>46036</v>
      </c>
      <c r="G1435" s="11">
        <v>46036</v>
      </c>
      <c r="H1435" s="7">
        <f t="shared" si="116"/>
        <v>2</v>
      </c>
      <c r="I1435" s="7">
        <f t="shared" si="117"/>
        <v>1</v>
      </c>
      <c r="J1435" s="7" t="str">
        <f t="shared" si="118"/>
        <v>Dentro</v>
      </c>
      <c r="K1435" s="7" t="str">
        <f t="shared" si="119"/>
        <v>A tiempo</v>
      </c>
      <c r="L1435" s="11">
        <v>46036</v>
      </c>
      <c r="M1435" s="22">
        <f t="shared" si="120"/>
        <v>1</v>
      </c>
    </row>
    <row r="1436" spans="1:13" x14ac:dyDescent="0.35">
      <c r="A1436" s="11">
        <v>46036</v>
      </c>
      <c r="B1436" s="7" t="s">
        <v>2844</v>
      </c>
      <c r="C1436" s="7" t="s">
        <v>2962</v>
      </c>
      <c r="D1436" s="7" t="s">
        <v>199</v>
      </c>
      <c r="E1436" s="18">
        <v>46035.697916666664</v>
      </c>
      <c r="F1436" s="11">
        <f>IF(HOUR(Table1[[#This Row],[CORREO]])&gt;=11,WORKDAY(Table1[[#This Row],[CORREO]],1),E1436)</f>
        <v>46036</v>
      </c>
      <c r="G1436" s="11">
        <v>46036</v>
      </c>
      <c r="H1436" s="7">
        <f t="shared" si="116"/>
        <v>2</v>
      </c>
      <c r="I1436" s="7">
        <f t="shared" si="117"/>
        <v>1</v>
      </c>
      <c r="J1436" s="7" t="str">
        <f t="shared" si="118"/>
        <v>Dentro</v>
      </c>
      <c r="K1436" s="7" t="str">
        <f t="shared" si="119"/>
        <v>A tiempo</v>
      </c>
      <c r="L1436" s="11">
        <v>46036</v>
      </c>
      <c r="M1436" s="22">
        <f t="shared" si="120"/>
        <v>1</v>
      </c>
    </row>
    <row r="1437" spans="1:13" x14ac:dyDescent="0.35">
      <c r="A1437" s="11">
        <v>46037</v>
      </c>
      <c r="B1437" s="7" t="s">
        <v>2845</v>
      </c>
      <c r="C1437" s="7" t="s">
        <v>2963</v>
      </c>
      <c r="D1437" s="7" t="s">
        <v>2964</v>
      </c>
      <c r="E1437" s="18">
        <v>46036.67291666667</v>
      </c>
      <c r="F1437" s="11">
        <f>IF(HOUR(Table1[[#This Row],[CORREO]])&gt;=11,WORKDAY(Table1[[#This Row],[CORREO]],1),E1437)</f>
        <v>46037</v>
      </c>
      <c r="G1437" s="11">
        <v>46038</v>
      </c>
      <c r="H1437" s="7">
        <f t="shared" si="116"/>
        <v>3</v>
      </c>
      <c r="I1437" s="7">
        <f t="shared" si="117"/>
        <v>2</v>
      </c>
      <c r="J1437" s="7" t="str">
        <f t="shared" si="118"/>
        <v>Dentro</v>
      </c>
      <c r="K1437" s="7" t="str">
        <f t="shared" si="119"/>
        <v>A tiempo</v>
      </c>
      <c r="L1437" s="11">
        <v>46037</v>
      </c>
      <c r="M1437" s="22">
        <f t="shared" si="120"/>
        <v>1</v>
      </c>
    </row>
    <row r="1438" spans="1:13" x14ac:dyDescent="0.35">
      <c r="A1438" s="11">
        <v>46037</v>
      </c>
      <c r="B1438" s="7" t="s">
        <v>2846</v>
      </c>
      <c r="C1438" s="7" t="s">
        <v>2965</v>
      </c>
      <c r="D1438" s="7" t="s">
        <v>24</v>
      </c>
      <c r="E1438" s="18">
        <v>46037.35833333333</v>
      </c>
      <c r="F1438" s="11">
        <f>IF(HOUR(Table1[[#This Row],[CORREO]])&gt;=11,WORKDAY(Table1[[#This Row],[CORREO]],1),E1438)</f>
        <v>46037.35833333333</v>
      </c>
      <c r="G1438" s="11">
        <v>46037</v>
      </c>
      <c r="H1438" s="7">
        <f t="shared" si="116"/>
        <v>3</v>
      </c>
      <c r="I1438" s="7">
        <f t="shared" si="117"/>
        <v>1</v>
      </c>
      <c r="J1438" s="7" t="str">
        <f t="shared" si="118"/>
        <v>Dentro</v>
      </c>
      <c r="K1438" s="7" t="str">
        <f t="shared" si="119"/>
        <v>A tiempo</v>
      </c>
      <c r="L1438" s="11">
        <v>46037</v>
      </c>
      <c r="M1438" s="22">
        <f t="shared" si="120"/>
        <v>1</v>
      </c>
    </row>
    <row r="1439" spans="1:13" x14ac:dyDescent="0.35">
      <c r="A1439" s="11">
        <v>46038</v>
      </c>
      <c r="B1439" s="7" t="s">
        <v>2853</v>
      </c>
      <c r="C1439" s="7" t="s">
        <v>2966</v>
      </c>
      <c r="D1439" s="7" t="s">
        <v>148</v>
      </c>
      <c r="E1439" s="18">
        <v>46037.543749999997</v>
      </c>
      <c r="F1439" s="11">
        <f>IF(HOUR(Table1[[#This Row],[CORREO]])&gt;=11,WORKDAY(Table1[[#This Row],[CORREO]],1),E1439)</f>
        <v>46038</v>
      </c>
      <c r="G1439" s="11">
        <v>46041</v>
      </c>
      <c r="H1439" s="7">
        <f t="shared" si="116"/>
        <v>3</v>
      </c>
      <c r="I1439" s="7">
        <f t="shared" si="117"/>
        <v>2</v>
      </c>
      <c r="J1439" s="7" t="str">
        <f t="shared" si="118"/>
        <v>Dentro</v>
      </c>
      <c r="K1439" s="7" t="str">
        <f t="shared" si="119"/>
        <v>A tiempo</v>
      </c>
      <c r="L1439" s="11">
        <v>46038</v>
      </c>
      <c r="M1439" s="22">
        <f t="shared" si="120"/>
        <v>1</v>
      </c>
    </row>
    <row r="1440" spans="1:13" x14ac:dyDescent="0.35">
      <c r="A1440" s="11">
        <v>46041</v>
      </c>
      <c r="B1440" s="7" t="s">
        <v>2812</v>
      </c>
      <c r="C1440" s="7" t="s">
        <v>2967</v>
      </c>
      <c r="D1440" s="7" t="s">
        <v>24</v>
      </c>
      <c r="E1440" s="18"/>
      <c r="F1440" s="11">
        <f>IF(HOUR(Table1[[#This Row],[CORREO]])&gt;=11,WORKDAY(Table1[[#This Row],[CORREO]],1),E1440)</f>
        <v>0</v>
      </c>
      <c r="G1440" s="11">
        <v>46045</v>
      </c>
      <c r="H1440" s="7">
        <f t="shared" si="116"/>
        <v>3</v>
      </c>
      <c r="I1440" s="7">
        <f t="shared" si="117"/>
        <v>5</v>
      </c>
      <c r="J1440" s="7" t="str">
        <f t="shared" si="118"/>
        <v>Dentro</v>
      </c>
      <c r="K1440" s="7" t="str">
        <f t="shared" si="119"/>
        <v>Programados</v>
      </c>
      <c r="L1440" s="11">
        <v>46041</v>
      </c>
      <c r="M1440" s="22">
        <f t="shared" si="120"/>
        <v>1</v>
      </c>
    </row>
    <row r="1441" spans="1:13" x14ac:dyDescent="0.35">
      <c r="A1441" s="11">
        <v>46041</v>
      </c>
      <c r="B1441" s="7" t="s">
        <v>2854</v>
      </c>
      <c r="C1441" s="7" t="s">
        <v>2968</v>
      </c>
      <c r="D1441" s="7" t="s">
        <v>85</v>
      </c>
      <c r="E1441" s="18">
        <v>46038.533333333333</v>
      </c>
      <c r="F1441" s="11">
        <f>IF(HOUR(Table1[[#This Row],[CORREO]])&gt;=11,WORKDAY(Table1[[#This Row],[CORREO]],1),E1441)</f>
        <v>46041</v>
      </c>
      <c r="G1441" s="11">
        <v>46042</v>
      </c>
      <c r="H1441" s="7">
        <f t="shared" si="116"/>
        <v>3</v>
      </c>
      <c r="I1441" s="7">
        <f t="shared" si="117"/>
        <v>2</v>
      </c>
      <c r="J1441" s="7" t="str">
        <f t="shared" si="118"/>
        <v>Dentro</v>
      </c>
      <c r="K1441" s="7" t="str">
        <f t="shared" si="119"/>
        <v>A tiempo</v>
      </c>
      <c r="L1441" s="11">
        <v>46041</v>
      </c>
      <c r="M1441" s="22">
        <f t="shared" si="120"/>
        <v>1</v>
      </c>
    </row>
    <row r="1442" spans="1:13" x14ac:dyDescent="0.35">
      <c r="A1442" s="11">
        <v>46041</v>
      </c>
      <c r="B1442" s="7" t="s">
        <v>2857</v>
      </c>
      <c r="C1442" s="7" t="s">
        <v>2969</v>
      </c>
      <c r="D1442" s="7" t="s">
        <v>133</v>
      </c>
      <c r="E1442" s="18">
        <v>46038.663888888892</v>
      </c>
      <c r="F1442" s="11">
        <f>IF(HOUR(Table1[[#This Row],[CORREO]])&gt;=11,WORKDAY(Table1[[#This Row],[CORREO]],1),E1442)</f>
        <v>46041</v>
      </c>
      <c r="G1442" s="11">
        <v>46045</v>
      </c>
      <c r="H1442" s="7">
        <f t="shared" si="116"/>
        <v>3</v>
      </c>
      <c r="I1442" s="7">
        <f t="shared" si="117"/>
        <v>5</v>
      </c>
      <c r="J1442" s="7" t="str">
        <f t="shared" si="118"/>
        <v>Dentro</v>
      </c>
      <c r="K1442" s="7" t="str">
        <f t="shared" si="119"/>
        <v>A tiempo</v>
      </c>
      <c r="L1442" s="11">
        <v>46041</v>
      </c>
      <c r="M1442" s="22">
        <f t="shared" si="120"/>
        <v>1</v>
      </c>
    </row>
    <row r="1443" spans="1:13" x14ac:dyDescent="0.35">
      <c r="A1443" s="11">
        <v>46041</v>
      </c>
      <c r="B1443" s="7" t="s">
        <v>2847</v>
      </c>
      <c r="C1443" s="7" t="s">
        <v>2970</v>
      </c>
      <c r="D1443" s="7" t="s">
        <v>504</v>
      </c>
      <c r="E1443" s="18">
        <v>46041.337500000001</v>
      </c>
      <c r="F1443" s="11">
        <f>IF(HOUR(Table1[[#This Row],[CORREO]])&gt;=11,WORKDAY(Table1[[#This Row],[CORREO]],1),E1443)</f>
        <v>46041.337500000001</v>
      </c>
      <c r="G1443" s="11">
        <v>46041</v>
      </c>
      <c r="H1443" s="7">
        <f t="shared" si="116"/>
        <v>3</v>
      </c>
      <c r="I1443" s="7">
        <f t="shared" si="117"/>
        <v>1</v>
      </c>
      <c r="J1443" s="7" t="str">
        <f t="shared" si="118"/>
        <v>Dentro</v>
      </c>
      <c r="K1443" s="7" t="str">
        <f t="shared" si="119"/>
        <v>A tiempo</v>
      </c>
      <c r="L1443" s="11">
        <v>46041</v>
      </c>
      <c r="M1443" s="22">
        <f t="shared" si="120"/>
        <v>1</v>
      </c>
    </row>
    <row r="1444" spans="1:13" x14ac:dyDescent="0.35">
      <c r="A1444" s="11">
        <v>46041</v>
      </c>
      <c r="B1444" s="7" t="s">
        <v>2855</v>
      </c>
      <c r="C1444" s="7" t="s">
        <v>2971</v>
      </c>
      <c r="D1444" s="7" t="s">
        <v>27</v>
      </c>
      <c r="E1444" s="18"/>
      <c r="F1444" s="11">
        <f>IF(HOUR(Table1[[#This Row],[CORREO]])&gt;=11,WORKDAY(Table1[[#This Row],[CORREO]],1),E1444)</f>
        <v>0</v>
      </c>
      <c r="G1444" s="11">
        <v>46042</v>
      </c>
      <c r="H1444" s="7">
        <f t="shared" si="116"/>
        <v>3</v>
      </c>
      <c r="I1444" s="7">
        <f t="shared" si="117"/>
        <v>2</v>
      </c>
      <c r="J1444" s="7" t="str">
        <f t="shared" si="118"/>
        <v>Dentro</v>
      </c>
      <c r="K1444" s="7" t="str">
        <f t="shared" si="119"/>
        <v>Programados</v>
      </c>
      <c r="L1444" s="11">
        <v>46041</v>
      </c>
      <c r="M1444" s="22">
        <f t="shared" si="120"/>
        <v>1</v>
      </c>
    </row>
    <row r="1445" spans="1:13" x14ac:dyDescent="0.35">
      <c r="A1445" s="11">
        <v>46042</v>
      </c>
      <c r="B1445" s="7" t="s">
        <v>2866</v>
      </c>
      <c r="C1445" s="7" t="s">
        <v>2972</v>
      </c>
      <c r="D1445" s="7" t="s">
        <v>269</v>
      </c>
      <c r="E1445" s="18">
        <v>46041.68472222222</v>
      </c>
      <c r="F1445" s="11">
        <f>IF(HOUR(Table1[[#This Row],[CORREO]])&gt;=11,WORKDAY(Table1[[#This Row],[CORREO]],1),E1445)</f>
        <v>46042</v>
      </c>
      <c r="G1445" s="11">
        <v>46045</v>
      </c>
      <c r="H1445" s="7">
        <f t="shared" si="116"/>
        <v>3</v>
      </c>
      <c r="I1445" s="7">
        <f t="shared" si="117"/>
        <v>4</v>
      </c>
      <c r="J1445" s="7" t="str">
        <f t="shared" si="118"/>
        <v>Dentro</v>
      </c>
      <c r="K1445" s="7" t="str">
        <f t="shared" si="119"/>
        <v>A tiempo</v>
      </c>
      <c r="L1445" s="11">
        <v>46042</v>
      </c>
      <c r="M1445" s="22">
        <f t="shared" si="120"/>
        <v>1</v>
      </c>
    </row>
    <row r="1446" spans="1:13" x14ac:dyDescent="0.35">
      <c r="A1446" s="11">
        <v>46042</v>
      </c>
      <c r="B1446" s="7" t="s">
        <v>2867</v>
      </c>
      <c r="C1446" s="7" t="s">
        <v>2973</v>
      </c>
      <c r="D1446" s="7" t="s">
        <v>1333</v>
      </c>
      <c r="E1446" s="18">
        <v>46041.6875</v>
      </c>
      <c r="F1446" s="11">
        <f>IF(HOUR(Table1[[#This Row],[CORREO]])&gt;=11,WORKDAY(Table1[[#This Row],[CORREO]],1),E1446)</f>
        <v>46042</v>
      </c>
      <c r="G1446" s="11">
        <v>46042</v>
      </c>
      <c r="H1446" s="7">
        <f t="shared" si="116"/>
        <v>3</v>
      </c>
      <c r="I1446" s="7">
        <f t="shared" si="117"/>
        <v>1</v>
      </c>
      <c r="J1446" s="7" t="str">
        <f t="shared" si="118"/>
        <v>Dentro</v>
      </c>
      <c r="K1446" s="7" t="str">
        <f t="shared" si="119"/>
        <v>A tiempo</v>
      </c>
      <c r="L1446" s="11">
        <v>46044</v>
      </c>
      <c r="M1446" s="22">
        <f t="shared" si="120"/>
        <v>3</v>
      </c>
    </row>
    <row r="1447" spans="1:13" x14ac:dyDescent="0.35">
      <c r="A1447" s="11">
        <v>46042</v>
      </c>
      <c r="B1447" s="7" t="s">
        <v>2868</v>
      </c>
      <c r="C1447" s="7" t="s">
        <v>2974</v>
      </c>
      <c r="D1447" s="7" t="s">
        <v>2975</v>
      </c>
      <c r="E1447" s="18">
        <v>46041.713888888888</v>
      </c>
      <c r="F1447" s="11">
        <f>IF(HOUR(Table1[[#This Row],[CORREO]])&gt;=11,WORKDAY(Table1[[#This Row],[CORREO]],1),E1447)</f>
        <v>46042</v>
      </c>
      <c r="G1447" s="11">
        <v>46045</v>
      </c>
      <c r="H1447" s="7">
        <f t="shared" si="116"/>
        <v>3</v>
      </c>
      <c r="I1447" s="7">
        <f t="shared" si="117"/>
        <v>4</v>
      </c>
      <c r="J1447" s="7" t="str">
        <f t="shared" si="118"/>
        <v>Dentro</v>
      </c>
      <c r="K1447" s="7" t="str">
        <f t="shared" si="119"/>
        <v>A tiempo</v>
      </c>
      <c r="L1447" s="11">
        <v>46042</v>
      </c>
      <c r="M1447" s="22">
        <f t="shared" si="120"/>
        <v>1</v>
      </c>
    </row>
    <row r="1448" spans="1:13" x14ac:dyDescent="0.35">
      <c r="A1448" s="11">
        <v>46042</v>
      </c>
      <c r="B1448" s="7" t="s">
        <v>2865</v>
      </c>
      <c r="C1448" s="7" t="s">
        <v>2976</v>
      </c>
      <c r="D1448" s="7" t="s">
        <v>2977</v>
      </c>
      <c r="E1448" s="18">
        <v>46041.86041666667</v>
      </c>
      <c r="F1448" s="11">
        <f>IF(HOUR(Table1[[#This Row],[CORREO]])&gt;=11,WORKDAY(Table1[[#This Row],[CORREO]],1),E1448)</f>
        <v>46042</v>
      </c>
      <c r="G1448" s="11">
        <v>46045</v>
      </c>
      <c r="H1448" s="7">
        <f t="shared" si="116"/>
        <v>3</v>
      </c>
      <c r="I1448" s="7">
        <f t="shared" si="117"/>
        <v>4</v>
      </c>
      <c r="J1448" s="7" t="str">
        <f t="shared" si="118"/>
        <v>Dentro</v>
      </c>
      <c r="K1448" s="7" t="str">
        <f t="shared" si="119"/>
        <v>A tiempo</v>
      </c>
      <c r="L1448" s="11">
        <v>46042</v>
      </c>
      <c r="M1448" s="22">
        <f t="shared" si="120"/>
        <v>1</v>
      </c>
    </row>
    <row r="1449" spans="1:13" x14ac:dyDescent="0.35">
      <c r="A1449" s="11">
        <v>46042</v>
      </c>
      <c r="B1449" s="7" t="s">
        <v>2858</v>
      </c>
      <c r="C1449" s="7" t="s">
        <v>2978</v>
      </c>
      <c r="D1449" s="7" t="s">
        <v>2980</v>
      </c>
      <c r="E1449" s="18">
        <v>46041.886805555558</v>
      </c>
      <c r="F1449" s="11">
        <f>IF(HOUR(Table1[[#This Row],[CORREO]])&gt;=11,WORKDAY(Table1[[#This Row],[CORREO]],1),E1449)</f>
        <v>46042</v>
      </c>
      <c r="G1449" s="11">
        <v>46045</v>
      </c>
      <c r="H1449" s="7">
        <f t="shared" si="116"/>
        <v>3</v>
      </c>
      <c r="I1449" s="7">
        <f t="shared" si="117"/>
        <v>4</v>
      </c>
      <c r="J1449" s="7" t="str">
        <f t="shared" si="118"/>
        <v>Dentro</v>
      </c>
      <c r="K1449" s="7" t="str">
        <f t="shared" si="119"/>
        <v>A tiempo</v>
      </c>
      <c r="L1449" s="11">
        <v>46043</v>
      </c>
      <c r="M1449" s="22">
        <f t="shared" si="120"/>
        <v>2</v>
      </c>
    </row>
    <row r="1450" spans="1:13" x14ac:dyDescent="0.35">
      <c r="A1450" s="11">
        <v>46042</v>
      </c>
      <c r="B1450" s="7" t="s">
        <v>2813</v>
      </c>
      <c r="C1450" s="7" t="s">
        <v>2979</v>
      </c>
      <c r="D1450" s="7" t="s">
        <v>27</v>
      </c>
      <c r="E1450" s="18">
        <v>46042.361111111109</v>
      </c>
      <c r="F1450" s="11">
        <f>IF(HOUR(Table1[[#This Row],[CORREO]])&gt;=11,WORKDAY(Table1[[#This Row],[CORREO]],1),E1450)</f>
        <v>46042.361111111109</v>
      </c>
      <c r="G1450" s="11">
        <v>46045</v>
      </c>
      <c r="H1450" s="7">
        <f t="shared" si="116"/>
        <v>3</v>
      </c>
      <c r="I1450" s="7">
        <f t="shared" si="117"/>
        <v>4</v>
      </c>
      <c r="J1450" s="7" t="str">
        <f t="shared" si="118"/>
        <v>Dentro</v>
      </c>
      <c r="K1450" s="7" t="str">
        <f t="shared" si="119"/>
        <v>A tiempo</v>
      </c>
      <c r="L1450" s="11">
        <v>46043</v>
      </c>
      <c r="M1450" s="22">
        <f t="shared" si="120"/>
        <v>2</v>
      </c>
    </row>
    <row r="1451" spans="1:13" x14ac:dyDescent="0.35">
      <c r="A1451" s="11">
        <v>46042</v>
      </c>
      <c r="B1451" s="7" t="s">
        <v>2856</v>
      </c>
      <c r="C1451" s="7" t="s">
        <v>2981</v>
      </c>
      <c r="D1451" s="7" t="s">
        <v>2982</v>
      </c>
      <c r="E1451" s="18">
        <v>46042.374305555553</v>
      </c>
      <c r="F1451" s="11">
        <f>IF(HOUR(Table1[[#This Row],[CORREO]])&gt;=11,WORKDAY(Table1[[#This Row],[CORREO]],1),E1451)</f>
        <v>46042.374305555553</v>
      </c>
      <c r="G1451" s="11">
        <v>46042</v>
      </c>
      <c r="H1451" s="7">
        <f t="shared" si="116"/>
        <v>3</v>
      </c>
      <c r="I1451" s="7">
        <f t="shared" si="117"/>
        <v>1</v>
      </c>
      <c r="J1451" s="7" t="str">
        <f t="shared" si="118"/>
        <v>Dentro</v>
      </c>
      <c r="K1451" s="7" t="str">
        <f t="shared" si="119"/>
        <v>A tiempo</v>
      </c>
      <c r="L1451" s="11">
        <v>46042</v>
      </c>
      <c r="M1451" s="22">
        <f t="shared" si="120"/>
        <v>1</v>
      </c>
    </row>
    <row r="1452" spans="1:13" x14ac:dyDescent="0.35">
      <c r="A1452" s="11">
        <v>46042</v>
      </c>
      <c r="B1452" s="7" t="s">
        <v>2814</v>
      </c>
      <c r="C1452" s="7" t="s">
        <v>2983</v>
      </c>
      <c r="D1452" s="7" t="s">
        <v>1540</v>
      </c>
      <c r="E1452" s="18">
        <v>46042.395833333336</v>
      </c>
      <c r="F1452" s="11">
        <f>IF(HOUR(Table1[[#This Row],[CORREO]])&gt;=11,WORKDAY(Table1[[#This Row],[CORREO]],1),E1452)</f>
        <v>46042.395833333336</v>
      </c>
      <c r="G1452" s="11">
        <v>46045</v>
      </c>
      <c r="H1452" s="7">
        <f t="shared" si="116"/>
        <v>3</v>
      </c>
      <c r="I1452" s="7">
        <f t="shared" si="117"/>
        <v>4</v>
      </c>
      <c r="J1452" s="7" t="str">
        <f t="shared" si="118"/>
        <v>Dentro</v>
      </c>
      <c r="K1452" s="7" t="str">
        <f t="shared" si="119"/>
        <v>A tiempo</v>
      </c>
      <c r="L1452" s="11">
        <v>46042</v>
      </c>
      <c r="M1452" s="22">
        <f t="shared" si="120"/>
        <v>1</v>
      </c>
    </row>
    <row r="1453" spans="1:13" x14ac:dyDescent="0.35">
      <c r="A1453" s="11">
        <v>46042</v>
      </c>
      <c r="B1453" s="7" t="s">
        <v>2859</v>
      </c>
      <c r="C1453" s="7" t="s">
        <v>2984</v>
      </c>
      <c r="D1453" s="7" t="s">
        <v>2985</v>
      </c>
      <c r="E1453" s="18"/>
      <c r="F1453" s="11">
        <f>IF(HOUR(Table1[[#This Row],[CORREO]])&gt;=11,WORKDAY(Table1[[#This Row],[CORREO]],1),E1453)</f>
        <v>0</v>
      </c>
      <c r="G1453" s="11">
        <v>46045</v>
      </c>
      <c r="H1453" s="7">
        <f t="shared" si="116"/>
        <v>3</v>
      </c>
      <c r="I1453" s="7">
        <f t="shared" si="117"/>
        <v>4</v>
      </c>
      <c r="J1453" s="7" t="str">
        <f t="shared" si="118"/>
        <v>Dentro</v>
      </c>
      <c r="K1453" s="7" t="str">
        <f t="shared" si="119"/>
        <v>Programados</v>
      </c>
      <c r="L1453" s="11">
        <v>46042</v>
      </c>
      <c r="M1453" s="22">
        <f t="shared" si="120"/>
        <v>1</v>
      </c>
    </row>
    <row r="1454" spans="1:13" x14ac:dyDescent="0.35">
      <c r="A1454" s="11">
        <v>46042</v>
      </c>
      <c r="B1454" s="7" t="s">
        <v>2869</v>
      </c>
      <c r="C1454" s="7" t="s">
        <v>2986</v>
      </c>
      <c r="D1454" s="7" t="s">
        <v>2987</v>
      </c>
      <c r="E1454" s="18"/>
      <c r="F1454" s="11">
        <f>IF(HOUR(Table1[[#This Row],[CORREO]])&gt;=11,WORKDAY(Table1[[#This Row],[CORREO]],1),E1454)</f>
        <v>0</v>
      </c>
      <c r="G1454" s="11">
        <v>46045</v>
      </c>
      <c r="H1454" s="7">
        <f t="shared" si="116"/>
        <v>3</v>
      </c>
      <c r="I1454" s="7">
        <f t="shared" si="117"/>
        <v>4</v>
      </c>
      <c r="J1454" s="7" t="str">
        <f t="shared" si="118"/>
        <v>Dentro</v>
      </c>
      <c r="K1454" s="7" t="str">
        <f t="shared" si="119"/>
        <v>Programados</v>
      </c>
      <c r="L1454" s="11">
        <v>46044</v>
      </c>
      <c r="M1454" s="22">
        <f t="shared" si="120"/>
        <v>3</v>
      </c>
    </row>
    <row r="1455" spans="1:13" x14ac:dyDescent="0.35">
      <c r="A1455" s="11">
        <v>46042</v>
      </c>
      <c r="B1455" s="7" t="s">
        <v>2860</v>
      </c>
      <c r="C1455" s="7" t="s">
        <v>2988</v>
      </c>
      <c r="D1455" s="7" t="s">
        <v>2989</v>
      </c>
      <c r="E1455" s="18"/>
      <c r="F1455" s="11">
        <f>IF(HOUR(Table1[[#This Row],[CORREO]])&gt;=11,WORKDAY(Table1[[#This Row],[CORREO]],1),E1455)</f>
        <v>0</v>
      </c>
      <c r="G1455" s="11">
        <v>46043</v>
      </c>
      <c r="H1455" s="7">
        <f t="shared" si="116"/>
        <v>3</v>
      </c>
      <c r="I1455" s="7">
        <f t="shared" si="117"/>
        <v>2</v>
      </c>
      <c r="J1455" s="7" t="str">
        <f t="shared" si="118"/>
        <v>Dentro</v>
      </c>
      <c r="K1455" s="7" t="str">
        <f t="shared" si="119"/>
        <v>Programados</v>
      </c>
      <c r="L1455" s="11">
        <v>46042</v>
      </c>
      <c r="M1455" s="22">
        <f t="shared" si="120"/>
        <v>1</v>
      </c>
    </row>
    <row r="1456" spans="1:13" x14ac:dyDescent="0.35">
      <c r="A1456" s="11">
        <v>46042</v>
      </c>
      <c r="B1456" s="7" t="s">
        <v>2870</v>
      </c>
      <c r="C1456" s="7" t="s">
        <v>2990</v>
      </c>
      <c r="D1456" s="7" t="s">
        <v>2991</v>
      </c>
      <c r="E1456" s="18"/>
      <c r="F1456" s="11">
        <f>IF(HOUR(Table1[[#This Row],[CORREO]])&gt;=11,WORKDAY(Table1[[#This Row],[CORREO]],1),E1456)</f>
        <v>0</v>
      </c>
      <c r="G1456" s="11">
        <v>46045</v>
      </c>
      <c r="H1456" s="7">
        <f t="shared" si="116"/>
        <v>3</v>
      </c>
      <c r="I1456" s="7">
        <f t="shared" si="117"/>
        <v>4</v>
      </c>
      <c r="J1456" s="7" t="str">
        <f t="shared" si="118"/>
        <v>Dentro</v>
      </c>
      <c r="K1456" s="7" t="str">
        <f t="shared" si="119"/>
        <v>Programados</v>
      </c>
      <c r="L1456" s="11">
        <v>46042</v>
      </c>
      <c r="M1456" s="22">
        <f t="shared" si="120"/>
        <v>1</v>
      </c>
    </row>
    <row r="1457" spans="1:13" x14ac:dyDescent="0.35">
      <c r="A1457" s="11">
        <v>46042</v>
      </c>
      <c r="B1457" s="7" t="s">
        <v>2815</v>
      </c>
      <c r="C1457" s="7" t="s">
        <v>2992</v>
      </c>
      <c r="D1457" s="7" t="s">
        <v>61</v>
      </c>
      <c r="E1457" s="18">
        <v>46042.67083333333</v>
      </c>
      <c r="F1457" s="11">
        <f>IF(HOUR(Table1[[#This Row],[CORREO]])&gt;=11,WORKDAY(Table1[[#This Row],[CORREO]],1),E1457)</f>
        <v>46043</v>
      </c>
      <c r="G1457" s="11">
        <v>46045</v>
      </c>
      <c r="H1457" s="7">
        <f t="shared" si="116"/>
        <v>3</v>
      </c>
      <c r="I1457" s="7">
        <f t="shared" si="117"/>
        <v>4</v>
      </c>
      <c r="J1457" s="7" t="str">
        <f t="shared" si="118"/>
        <v>Dentro</v>
      </c>
      <c r="K1457" s="7" t="str">
        <f t="shared" si="119"/>
        <v>Mismo día</v>
      </c>
      <c r="L1457" s="11">
        <v>46042</v>
      </c>
      <c r="M1457" s="22">
        <f t="shared" si="120"/>
        <v>1</v>
      </c>
    </row>
    <row r="1458" spans="1:13" x14ac:dyDescent="0.35">
      <c r="A1458" s="11">
        <v>46043</v>
      </c>
      <c r="B1458" s="7" t="s">
        <v>2816</v>
      </c>
      <c r="C1458" s="7" t="s">
        <v>2993</v>
      </c>
      <c r="D1458" s="7" t="s">
        <v>392</v>
      </c>
      <c r="E1458" s="18">
        <v>46042.55</v>
      </c>
      <c r="F1458" s="11">
        <f>IF(HOUR(Table1[[#This Row],[CORREO]])&gt;=11,WORKDAY(Table1[[#This Row],[CORREO]],1),E1458)</f>
        <v>46043</v>
      </c>
      <c r="G1458" s="11">
        <v>46045</v>
      </c>
      <c r="H1458" s="7">
        <f t="shared" si="116"/>
        <v>3</v>
      </c>
      <c r="I1458" s="7">
        <f t="shared" si="117"/>
        <v>3</v>
      </c>
      <c r="J1458" s="7" t="str">
        <f t="shared" si="118"/>
        <v>Dentro</v>
      </c>
      <c r="K1458" s="7" t="str">
        <f t="shared" si="119"/>
        <v>A tiempo</v>
      </c>
      <c r="L1458" s="11">
        <v>46043</v>
      </c>
      <c r="M1458" s="22">
        <f t="shared" si="120"/>
        <v>1</v>
      </c>
    </row>
    <row r="1459" spans="1:13" x14ac:dyDescent="0.35">
      <c r="A1459" s="11">
        <v>46043</v>
      </c>
      <c r="B1459" s="7" t="s">
        <v>2817</v>
      </c>
      <c r="C1459" s="7" t="s">
        <v>2994</v>
      </c>
      <c r="D1459" s="7" t="s">
        <v>2995</v>
      </c>
      <c r="E1459" s="18">
        <v>46042.611111111109</v>
      </c>
      <c r="F1459" s="11">
        <f>IF(HOUR(Table1[[#This Row],[CORREO]])&gt;=11,WORKDAY(Table1[[#This Row],[CORREO]],1),E1459)</f>
        <v>46043</v>
      </c>
      <c r="G1459" s="11">
        <v>46050</v>
      </c>
      <c r="H1459" s="7">
        <f t="shared" si="116"/>
        <v>3</v>
      </c>
      <c r="I1459" s="7">
        <f t="shared" si="117"/>
        <v>6</v>
      </c>
      <c r="J1459" s="7" t="str">
        <f t="shared" si="118"/>
        <v>Dentro</v>
      </c>
      <c r="K1459" s="7" t="str">
        <f t="shared" si="119"/>
        <v>A tiempo</v>
      </c>
      <c r="L1459" s="11">
        <v>46043</v>
      </c>
      <c r="M1459" s="22">
        <f t="shared" si="120"/>
        <v>1</v>
      </c>
    </row>
    <row r="1460" spans="1:13" x14ac:dyDescent="0.35">
      <c r="A1460" s="11">
        <v>46043</v>
      </c>
      <c r="B1460" s="7" t="s">
        <v>2818</v>
      </c>
      <c r="C1460" s="7" t="s">
        <v>2996</v>
      </c>
      <c r="D1460" s="7" t="s">
        <v>24</v>
      </c>
      <c r="E1460" s="18"/>
      <c r="F1460" s="11">
        <f>IF(HOUR(Table1[[#This Row],[CORREO]])&gt;=11,WORKDAY(Table1[[#This Row],[CORREO]],1),E1460)</f>
        <v>0</v>
      </c>
      <c r="G1460" s="11">
        <v>46051</v>
      </c>
      <c r="H1460" s="7">
        <f t="shared" si="116"/>
        <v>3</v>
      </c>
      <c r="I1460" s="7">
        <f t="shared" si="117"/>
        <v>7</v>
      </c>
      <c r="J1460" s="7" t="str">
        <f t="shared" si="118"/>
        <v>Dentro</v>
      </c>
      <c r="K1460" s="7" t="str">
        <f t="shared" si="119"/>
        <v>Programados</v>
      </c>
      <c r="L1460" s="11">
        <v>46043</v>
      </c>
      <c r="M1460" s="22">
        <f t="shared" si="120"/>
        <v>1</v>
      </c>
    </row>
    <row r="1461" spans="1:13" x14ac:dyDescent="0.35">
      <c r="A1461" s="11">
        <v>46043</v>
      </c>
      <c r="B1461" s="7" t="s">
        <v>2819</v>
      </c>
      <c r="C1461" s="7" t="s">
        <v>2997</v>
      </c>
      <c r="D1461" s="7" t="s">
        <v>154</v>
      </c>
      <c r="E1461" s="18">
        <v>46043.430555555555</v>
      </c>
      <c r="F1461" s="11">
        <f>IF(HOUR(Table1[[#This Row],[CORREO]])&gt;=11,WORKDAY(Table1[[#This Row],[CORREO]],1),E1461)</f>
        <v>46043.430555555555</v>
      </c>
      <c r="G1461" s="11">
        <v>46050</v>
      </c>
      <c r="H1461" s="7">
        <f t="shared" si="116"/>
        <v>3</v>
      </c>
      <c r="I1461" s="7">
        <f t="shared" si="117"/>
        <v>6</v>
      </c>
      <c r="J1461" s="7" t="str">
        <f t="shared" si="118"/>
        <v>Dentro</v>
      </c>
      <c r="K1461" s="7" t="str">
        <f t="shared" si="119"/>
        <v>A tiempo</v>
      </c>
      <c r="L1461" s="11">
        <v>46043</v>
      </c>
      <c r="M1461" s="22">
        <f t="shared" si="120"/>
        <v>1</v>
      </c>
    </row>
    <row r="1462" spans="1:13" x14ac:dyDescent="0.35">
      <c r="A1462" s="11">
        <v>46043</v>
      </c>
      <c r="B1462" s="7" t="s">
        <v>2863</v>
      </c>
      <c r="C1462" s="7" t="s">
        <v>2998</v>
      </c>
      <c r="D1462" s="7" t="s">
        <v>623</v>
      </c>
      <c r="E1462" s="18">
        <v>46043.488194444442</v>
      </c>
      <c r="F1462" s="11">
        <f>IF(HOUR(Table1[[#This Row],[CORREO]])&gt;=11,WORKDAY(Table1[[#This Row],[CORREO]],1),E1462)</f>
        <v>46044</v>
      </c>
      <c r="G1462" s="11">
        <v>46045</v>
      </c>
      <c r="H1462" s="7">
        <f t="shared" si="116"/>
        <v>3</v>
      </c>
      <c r="I1462" s="7">
        <f t="shared" si="117"/>
        <v>3</v>
      </c>
      <c r="J1462" s="7" t="str">
        <f t="shared" si="118"/>
        <v>Dentro</v>
      </c>
      <c r="K1462" s="7" t="str">
        <f t="shared" si="119"/>
        <v>Mismo día</v>
      </c>
      <c r="L1462" s="11">
        <v>46043</v>
      </c>
      <c r="M1462" s="22">
        <f t="shared" si="120"/>
        <v>1</v>
      </c>
    </row>
    <row r="1463" spans="1:13" x14ac:dyDescent="0.35">
      <c r="A1463" s="16">
        <v>46044</v>
      </c>
      <c r="B1463" s="20" t="s">
        <v>2820</v>
      </c>
      <c r="C1463" s="20" t="s">
        <v>2999</v>
      </c>
      <c r="D1463" s="20" t="s">
        <v>27</v>
      </c>
      <c r="E1463" s="21">
        <v>46043.565972222219</v>
      </c>
      <c r="F1463" s="16">
        <f>IF(HOUR(Table1[[#This Row],[CORREO]])&gt;=11,WORKDAY(Table1[[#This Row],[CORREO]],1),E1463)</f>
        <v>46044</v>
      </c>
      <c r="G1463" s="16">
        <v>46050</v>
      </c>
      <c r="H1463" s="20">
        <f t="shared" si="116"/>
        <v>4</v>
      </c>
      <c r="I1463" s="20">
        <f t="shared" si="117"/>
        <v>5</v>
      </c>
      <c r="J1463" s="20" t="str">
        <f t="shared" si="118"/>
        <v>Dentro</v>
      </c>
      <c r="K1463" s="20" t="str">
        <f t="shared" si="119"/>
        <v>A tiempo</v>
      </c>
      <c r="L1463" s="16">
        <v>46044</v>
      </c>
      <c r="M1463" s="23">
        <f t="shared" si="120"/>
        <v>1</v>
      </c>
    </row>
    <row r="1464" spans="1:13" x14ac:dyDescent="0.35">
      <c r="A1464" s="16">
        <v>46044</v>
      </c>
      <c r="B1464" s="20" t="s">
        <v>2821</v>
      </c>
      <c r="C1464" s="20" t="s">
        <v>3000</v>
      </c>
      <c r="D1464" s="20" t="s">
        <v>538</v>
      </c>
      <c r="E1464" s="21">
        <v>46043.613194444442</v>
      </c>
      <c r="F1464" s="16">
        <f>IF(HOUR(Table1[[#This Row],[CORREO]])&gt;=11,WORKDAY(Table1[[#This Row],[CORREO]],1),E1464)</f>
        <v>46044</v>
      </c>
      <c r="G1464" s="16"/>
      <c r="H1464" s="20">
        <f t="shared" si="116"/>
        <v>4</v>
      </c>
      <c r="I1464" s="20">
        <f t="shared" si="117"/>
        <v>1</v>
      </c>
      <c r="J1464" s="20" t="str">
        <f t="shared" si="118"/>
        <v>Acumulado</v>
      </c>
      <c r="K1464" s="20" t="str">
        <f t="shared" si="119"/>
        <v>A tiempo</v>
      </c>
      <c r="L1464" s="16">
        <v>46044</v>
      </c>
      <c r="M1464" s="23">
        <f t="shared" si="120"/>
        <v>1</v>
      </c>
    </row>
    <row r="1465" spans="1:13" x14ac:dyDescent="0.35">
      <c r="A1465" s="16">
        <v>46044</v>
      </c>
      <c r="B1465" s="20" t="s">
        <v>2822</v>
      </c>
      <c r="C1465" s="20" t="s">
        <v>3001</v>
      </c>
      <c r="D1465" s="20" t="s">
        <v>586</v>
      </c>
      <c r="E1465" s="21">
        <v>46044.413194444445</v>
      </c>
      <c r="F1465" s="16">
        <f>IF(HOUR(Table1[[#This Row],[CORREO]])&gt;=11,WORKDAY(Table1[[#This Row],[CORREO]],1),E1465)</f>
        <v>46044.413194444445</v>
      </c>
      <c r="G1465" s="16">
        <v>46048</v>
      </c>
      <c r="H1465" s="20">
        <f t="shared" si="116"/>
        <v>4</v>
      </c>
      <c r="I1465" s="20">
        <f t="shared" si="117"/>
        <v>3</v>
      </c>
      <c r="J1465" s="20" t="str">
        <f t="shared" si="118"/>
        <v>Dentro</v>
      </c>
      <c r="K1465" s="20" t="str">
        <f t="shared" si="119"/>
        <v>A tiempo</v>
      </c>
      <c r="L1465" s="16">
        <v>46044</v>
      </c>
      <c r="M1465" s="23">
        <f t="shared" si="120"/>
        <v>1</v>
      </c>
    </row>
    <row r="1466" spans="1:13" x14ac:dyDescent="0.35">
      <c r="A1466" s="16">
        <v>46044</v>
      </c>
      <c r="B1466" s="20" t="s">
        <v>2882</v>
      </c>
      <c r="C1466" s="7" t="s">
        <v>3002</v>
      </c>
      <c r="D1466" s="7" t="s">
        <v>994</v>
      </c>
      <c r="E1466" s="18">
        <v>46044.466666666667</v>
      </c>
      <c r="F1466" s="11">
        <f>IF(HOUR(Table1[[#This Row],[CORREO]])&gt;=11,WORKDAY(Table1[[#This Row],[CORREO]],1),E1466)</f>
        <v>46045</v>
      </c>
      <c r="G1466" s="11">
        <v>46045</v>
      </c>
      <c r="H1466" s="7">
        <f t="shared" si="116"/>
        <v>4</v>
      </c>
      <c r="I1466" s="7">
        <f t="shared" si="117"/>
        <v>2</v>
      </c>
      <c r="J1466" s="7" t="str">
        <f t="shared" si="118"/>
        <v>Dentro</v>
      </c>
      <c r="K1466" s="7" t="str">
        <f t="shared" si="119"/>
        <v>Mismo día</v>
      </c>
      <c r="L1466" s="11">
        <v>46044</v>
      </c>
      <c r="M1466" s="22">
        <f t="shared" si="120"/>
        <v>1</v>
      </c>
    </row>
    <row r="1467" spans="1:13" x14ac:dyDescent="0.35">
      <c r="A1467" s="11">
        <v>46044</v>
      </c>
      <c r="B1467" s="20" t="s">
        <v>2883</v>
      </c>
      <c r="C1467" s="7" t="s">
        <v>3003</v>
      </c>
      <c r="D1467" s="7" t="s">
        <v>24</v>
      </c>
      <c r="E1467" s="18"/>
      <c r="F1467" s="11">
        <f>IF(HOUR(Table1[[#This Row],[CORREO]])&gt;=11,WORKDAY(Table1[[#This Row],[CORREO]],1),E1467)</f>
        <v>0</v>
      </c>
      <c r="G1467" s="11"/>
      <c r="H1467" s="7">
        <f t="shared" si="116"/>
        <v>4</v>
      </c>
      <c r="I1467" s="7">
        <f t="shared" si="117"/>
        <v>1</v>
      </c>
      <c r="J1467" s="7" t="str">
        <f t="shared" si="118"/>
        <v>Acumulado</v>
      </c>
      <c r="K1467" s="7" t="str">
        <f t="shared" si="119"/>
        <v>Programados</v>
      </c>
      <c r="L1467" s="11">
        <v>46044</v>
      </c>
      <c r="M1467" s="22">
        <f t="shared" si="120"/>
        <v>1</v>
      </c>
    </row>
    <row r="1468" spans="1:13" x14ac:dyDescent="0.35">
      <c r="A1468" s="11">
        <v>46044</v>
      </c>
      <c r="B1468" s="20" t="s">
        <v>2884</v>
      </c>
      <c r="C1468" s="7" t="s">
        <v>3004</v>
      </c>
      <c r="D1468" s="7" t="s">
        <v>994</v>
      </c>
      <c r="E1468" s="18"/>
      <c r="F1468" s="11">
        <f>IF(HOUR(Table1[[#This Row],[CORREO]])&gt;=11,WORKDAY(Table1[[#This Row],[CORREO]],1),E1468)</f>
        <v>0</v>
      </c>
      <c r="G1468" s="11">
        <v>46045</v>
      </c>
      <c r="H1468" s="7">
        <f t="shared" si="116"/>
        <v>4</v>
      </c>
      <c r="I1468" s="7">
        <f t="shared" si="117"/>
        <v>2</v>
      </c>
      <c r="J1468" s="7" t="str">
        <f t="shared" si="118"/>
        <v>Dentro</v>
      </c>
      <c r="K1468" s="7" t="str">
        <f t="shared" si="119"/>
        <v>Programados</v>
      </c>
      <c r="L1468" s="11">
        <v>46044</v>
      </c>
      <c r="M1468" s="22">
        <f t="shared" si="120"/>
        <v>1</v>
      </c>
    </row>
    <row r="1469" spans="1:13" x14ac:dyDescent="0.35">
      <c r="A1469" s="11">
        <v>46045</v>
      </c>
      <c r="B1469" s="20" t="s">
        <v>2885</v>
      </c>
      <c r="C1469" s="7" t="s">
        <v>3005</v>
      </c>
      <c r="D1469" s="7" t="s">
        <v>3006</v>
      </c>
      <c r="E1469" s="18">
        <v>46044.460416666669</v>
      </c>
      <c r="F1469" s="11">
        <f>IF(HOUR(Table1[[#This Row],[CORREO]])&gt;=11,WORKDAY(Table1[[#This Row],[CORREO]],1),E1469)</f>
        <v>46045</v>
      </c>
      <c r="G1469" s="11">
        <v>46051</v>
      </c>
      <c r="H1469" s="7">
        <f t="shared" si="116"/>
        <v>4</v>
      </c>
      <c r="I1469" s="7">
        <f t="shared" si="117"/>
        <v>5</v>
      </c>
      <c r="J1469" s="7" t="str">
        <f t="shared" si="118"/>
        <v>Dentro</v>
      </c>
      <c r="K1469" s="7" t="str">
        <f t="shared" si="119"/>
        <v>A tiempo</v>
      </c>
      <c r="L1469" s="11">
        <v>46045</v>
      </c>
      <c r="M1469" s="22">
        <f t="shared" si="120"/>
        <v>1</v>
      </c>
    </row>
    <row r="1470" spans="1:13" x14ac:dyDescent="0.35">
      <c r="A1470" s="11">
        <v>46045</v>
      </c>
      <c r="B1470" s="20" t="s">
        <v>2886</v>
      </c>
      <c r="C1470" s="7" t="s">
        <v>3007</v>
      </c>
      <c r="D1470" s="7" t="s">
        <v>3008</v>
      </c>
      <c r="E1470" s="18">
        <v>46044.539583333331</v>
      </c>
      <c r="F1470" s="11">
        <f>IF(HOUR(Table1[[#This Row],[CORREO]])&gt;=11,WORKDAY(Table1[[#This Row],[CORREO]],1),E1470)</f>
        <v>46045</v>
      </c>
      <c r="G1470" s="11">
        <v>46051</v>
      </c>
      <c r="H1470" s="7">
        <f t="shared" si="116"/>
        <v>4</v>
      </c>
      <c r="I1470" s="7">
        <f t="shared" si="117"/>
        <v>5</v>
      </c>
      <c r="J1470" s="7" t="str">
        <f t="shared" si="118"/>
        <v>Dentro</v>
      </c>
      <c r="K1470" s="7" t="str">
        <f t="shared" si="119"/>
        <v>A tiempo</v>
      </c>
      <c r="L1470" s="11">
        <v>46048</v>
      </c>
      <c r="M1470" s="22">
        <f t="shared" si="120"/>
        <v>2</v>
      </c>
    </row>
    <row r="1471" spans="1:13" x14ac:dyDescent="0.35">
      <c r="A1471" s="11">
        <v>46045</v>
      </c>
      <c r="B1471" s="20" t="s">
        <v>2887</v>
      </c>
      <c r="C1471" s="7" t="s">
        <v>3009</v>
      </c>
      <c r="D1471" s="7" t="s">
        <v>3010</v>
      </c>
      <c r="E1471" s="18">
        <v>46044.546527777777</v>
      </c>
      <c r="F1471" s="11">
        <f>IF(HOUR(Table1[[#This Row],[CORREO]])&gt;=11,WORKDAY(Table1[[#This Row],[CORREO]],1),E1471)</f>
        <v>46045</v>
      </c>
      <c r="G1471" s="11">
        <v>46051</v>
      </c>
      <c r="H1471" s="7">
        <f t="shared" si="116"/>
        <v>4</v>
      </c>
      <c r="I1471" s="7">
        <f t="shared" si="117"/>
        <v>5</v>
      </c>
      <c r="J1471" s="7" t="str">
        <f t="shared" si="118"/>
        <v>Dentro</v>
      </c>
      <c r="K1471" s="7" t="str">
        <f t="shared" si="119"/>
        <v>A tiempo</v>
      </c>
      <c r="L1471" s="11">
        <v>46048</v>
      </c>
      <c r="M1471" s="22">
        <f t="shared" si="120"/>
        <v>2</v>
      </c>
    </row>
    <row r="1472" spans="1:13" x14ac:dyDescent="0.35">
      <c r="A1472" s="11">
        <v>46045</v>
      </c>
      <c r="B1472" s="20" t="s">
        <v>2888</v>
      </c>
      <c r="C1472" s="7" t="s">
        <v>3011</v>
      </c>
      <c r="D1472" s="7" t="s">
        <v>2174</v>
      </c>
      <c r="E1472" s="18">
        <v>46044.637499999997</v>
      </c>
      <c r="F1472" s="11">
        <f>IF(HOUR(Table1[[#This Row],[CORREO]])&gt;=11,WORKDAY(Table1[[#This Row],[CORREO]],1),E1472)</f>
        <v>46045</v>
      </c>
      <c r="G1472" s="11">
        <v>46050</v>
      </c>
      <c r="H1472" s="7">
        <f t="shared" si="116"/>
        <v>4</v>
      </c>
      <c r="I1472" s="7">
        <f t="shared" si="117"/>
        <v>4</v>
      </c>
      <c r="J1472" s="7" t="str">
        <f t="shared" si="118"/>
        <v>Dentro</v>
      </c>
      <c r="K1472" s="7" t="str">
        <f t="shared" si="119"/>
        <v>A tiempo</v>
      </c>
      <c r="L1472" s="11">
        <v>46045</v>
      </c>
      <c r="M1472" s="22">
        <f t="shared" si="120"/>
        <v>1</v>
      </c>
    </row>
    <row r="1473" spans="1:13" x14ac:dyDescent="0.35">
      <c r="A1473" s="11">
        <v>46045</v>
      </c>
      <c r="B1473" s="20" t="s">
        <v>2889</v>
      </c>
      <c r="C1473" s="7" t="s">
        <v>3012</v>
      </c>
      <c r="D1473" s="7" t="s">
        <v>85</v>
      </c>
      <c r="E1473" s="18">
        <v>46045.332638888889</v>
      </c>
      <c r="F1473" s="11">
        <f>IF(HOUR(Table1[[#This Row],[CORREO]])&gt;=11,WORKDAY(Table1[[#This Row],[CORREO]],1),E1473)</f>
        <v>46045.332638888889</v>
      </c>
      <c r="G1473" s="11">
        <v>46050</v>
      </c>
      <c r="H1473" s="7">
        <f t="shared" si="116"/>
        <v>4</v>
      </c>
      <c r="I1473" s="7">
        <f t="shared" si="117"/>
        <v>4</v>
      </c>
      <c r="J1473" s="7" t="str">
        <f t="shared" si="118"/>
        <v>Dentro</v>
      </c>
      <c r="K1473" s="7" t="str">
        <f t="shared" si="119"/>
        <v>A tiempo</v>
      </c>
      <c r="L1473" s="11">
        <v>46045</v>
      </c>
      <c r="M1473" s="22">
        <f t="shared" si="120"/>
        <v>1</v>
      </c>
    </row>
    <row r="1474" spans="1:13" x14ac:dyDescent="0.35">
      <c r="A1474" s="11">
        <v>46045</v>
      </c>
      <c r="B1474" s="20" t="s">
        <v>2890</v>
      </c>
      <c r="C1474" s="7" t="s">
        <v>3009</v>
      </c>
      <c r="D1474" s="7" t="s">
        <v>3013</v>
      </c>
      <c r="E1474" s="18">
        <v>46045.349305555559</v>
      </c>
      <c r="F1474" s="11">
        <f>IF(HOUR(Table1[[#This Row],[CORREO]])&gt;=11,WORKDAY(Table1[[#This Row],[CORREO]],1),E1474)</f>
        <v>46045.349305555559</v>
      </c>
      <c r="G1474" s="11">
        <v>46048</v>
      </c>
      <c r="H1474" s="7">
        <f t="shared" si="116"/>
        <v>4</v>
      </c>
      <c r="I1474" s="7">
        <f t="shared" si="117"/>
        <v>2</v>
      </c>
      <c r="J1474" s="7" t="str">
        <f t="shared" si="118"/>
        <v>Dentro</v>
      </c>
      <c r="K1474" s="7" t="str">
        <f t="shared" si="119"/>
        <v>A tiempo</v>
      </c>
      <c r="L1474" s="11">
        <v>46048</v>
      </c>
      <c r="M1474" s="22">
        <f t="shared" si="120"/>
        <v>2</v>
      </c>
    </row>
    <row r="1475" spans="1:13" x14ac:dyDescent="0.35">
      <c r="A1475" s="11">
        <v>46045</v>
      </c>
      <c r="B1475" s="20" t="s">
        <v>2891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Row],[CORREO]],1),E1475)</f>
        <v>0</v>
      </c>
      <c r="G1475" s="11">
        <v>46050</v>
      </c>
      <c r="H1475" s="7">
        <f t="shared" si="116"/>
        <v>4</v>
      </c>
      <c r="I1475" s="7">
        <f t="shared" si="117"/>
        <v>4</v>
      </c>
      <c r="J1475" s="7" t="str">
        <f t="shared" si="118"/>
        <v>Dentro</v>
      </c>
      <c r="K1475" s="7" t="str">
        <f t="shared" si="119"/>
        <v>Programados</v>
      </c>
      <c r="L1475" s="11">
        <v>46045</v>
      </c>
      <c r="M1475" s="22">
        <f t="shared" si="120"/>
        <v>1</v>
      </c>
    </row>
    <row r="1476" spans="1:13" x14ac:dyDescent="0.35">
      <c r="A1476" s="11">
        <v>46045</v>
      </c>
      <c r="B1476" s="20" t="s">
        <v>2892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Row],[CORREO]],1),E1476)</f>
        <v>0</v>
      </c>
      <c r="G1476" s="11">
        <v>46050</v>
      </c>
      <c r="H1476" s="7">
        <f t="shared" si="116"/>
        <v>4</v>
      </c>
      <c r="I1476" s="7">
        <f t="shared" si="117"/>
        <v>4</v>
      </c>
      <c r="J1476" s="7" t="str">
        <f t="shared" si="118"/>
        <v>Dentro</v>
      </c>
      <c r="K1476" s="7" t="str">
        <f t="shared" si="119"/>
        <v>Programados</v>
      </c>
      <c r="L1476" s="11">
        <v>46045</v>
      </c>
      <c r="M1476" s="22">
        <f t="shared" si="120"/>
        <v>1</v>
      </c>
    </row>
    <row r="1477" spans="1:13" x14ac:dyDescent="0.35">
      <c r="A1477" s="11">
        <v>46045</v>
      </c>
      <c r="B1477" s="20" t="s">
        <v>2893</v>
      </c>
      <c r="C1477" s="7" t="s">
        <v>3014</v>
      </c>
      <c r="D1477" s="7" t="s">
        <v>186</v>
      </c>
      <c r="E1477" s="18">
        <v>46045.435416666667</v>
      </c>
      <c r="F1477" s="11">
        <f>IF(HOUR(Table1[[#This Row],[CORREO]])&gt;=11,WORKDAY(Table1[[#This Row],[CORREO]],1),E1477)</f>
        <v>46045.435416666667</v>
      </c>
      <c r="G1477" s="11"/>
      <c r="H1477" s="7">
        <f t="shared" si="116"/>
        <v>4</v>
      </c>
      <c r="I1477" s="7">
        <f t="shared" si="117"/>
        <v>1</v>
      </c>
      <c r="J1477" s="7" t="str">
        <f t="shared" si="118"/>
        <v>Acumulado</v>
      </c>
      <c r="K1477" s="7" t="str">
        <f t="shared" si="119"/>
        <v>A tiempo</v>
      </c>
      <c r="L1477" s="11">
        <v>46048</v>
      </c>
      <c r="M1477" s="22">
        <f t="shared" si="120"/>
        <v>2</v>
      </c>
    </row>
    <row r="1478" spans="1:13" x14ac:dyDescent="0.35">
      <c r="A1478" s="11">
        <v>46045</v>
      </c>
      <c r="B1478" s="20" t="s">
        <v>2894</v>
      </c>
      <c r="C1478" s="7" t="s">
        <v>3015</v>
      </c>
      <c r="D1478" s="7" t="s">
        <v>85</v>
      </c>
      <c r="E1478" s="18">
        <v>46045.518750000003</v>
      </c>
      <c r="F1478" s="11">
        <f>IF(HOUR(Table1[[#This Row],[CORREO]])&gt;=11,WORKDAY(Table1[[#This Row],[CORREO]],1),E1478)</f>
        <v>46048</v>
      </c>
      <c r="G1478" s="11">
        <v>46048</v>
      </c>
      <c r="H1478" s="7">
        <f t="shared" si="116"/>
        <v>4</v>
      </c>
      <c r="I1478" s="7">
        <f t="shared" si="117"/>
        <v>2</v>
      </c>
      <c r="J1478" s="7" t="str">
        <f t="shared" si="118"/>
        <v>Dentro</v>
      </c>
      <c r="K1478" s="7" t="str">
        <f t="shared" si="119"/>
        <v>Mismo día</v>
      </c>
      <c r="L1478" s="11">
        <v>46045</v>
      </c>
      <c r="M1478" s="22">
        <f t="shared" si="120"/>
        <v>1</v>
      </c>
    </row>
    <row r="1479" spans="1:13" x14ac:dyDescent="0.35">
      <c r="A1479" s="11">
        <v>46045</v>
      </c>
      <c r="B1479" s="20" t="s">
        <v>2895</v>
      </c>
      <c r="C1479" s="7" t="s">
        <v>3016</v>
      </c>
      <c r="D1479" s="7" t="s">
        <v>1333</v>
      </c>
      <c r="E1479" s="18"/>
      <c r="F1479" s="11">
        <f>IF(HOUR(Table1[[#This Row],[CORREO]])&gt;=11,WORKDAY(Table1[[#This Row],[CORREO]],1),E1479)</f>
        <v>0</v>
      </c>
      <c r="G1479" s="11"/>
      <c r="H1479" s="7">
        <f t="shared" si="116"/>
        <v>4</v>
      </c>
      <c r="I1479" s="7">
        <f t="shared" si="117"/>
        <v>1</v>
      </c>
      <c r="J1479" s="7" t="str">
        <f t="shared" si="118"/>
        <v>Acumulado</v>
      </c>
      <c r="K1479" s="7" t="str">
        <f t="shared" si="119"/>
        <v>Programados</v>
      </c>
      <c r="L1479" s="11">
        <v>46045</v>
      </c>
      <c r="M1479" s="22">
        <f t="shared" si="120"/>
        <v>1</v>
      </c>
    </row>
    <row r="1480" spans="1:13" x14ac:dyDescent="0.35">
      <c r="A1480" s="11">
        <v>46048</v>
      </c>
      <c r="B1480" s="20" t="s">
        <v>2896</v>
      </c>
      <c r="C1480" s="7" t="s">
        <v>3017</v>
      </c>
      <c r="D1480" s="7" t="s">
        <v>24</v>
      </c>
      <c r="E1480" s="18"/>
      <c r="F1480" s="11">
        <f>IF(HOUR(Table1[[#This Row],[CORREO]])&gt;=11,WORKDAY(Table1[[#This Row],[CORREO]],1),E1480)</f>
        <v>0</v>
      </c>
      <c r="G1480" s="11">
        <v>46052</v>
      </c>
      <c r="H1480" s="7">
        <f t="shared" si="116"/>
        <v>4</v>
      </c>
      <c r="I1480" s="7">
        <f t="shared" si="117"/>
        <v>5</v>
      </c>
      <c r="J1480" s="7" t="str">
        <f t="shared" si="118"/>
        <v>Dentro</v>
      </c>
      <c r="K1480" s="7" t="str">
        <f t="shared" si="119"/>
        <v>Programados</v>
      </c>
      <c r="L1480" s="11">
        <v>46048</v>
      </c>
      <c r="M1480" s="22">
        <f t="shared" si="120"/>
        <v>1</v>
      </c>
    </row>
    <row r="1481" spans="1:13" x14ac:dyDescent="0.35">
      <c r="A1481" s="11">
        <v>46048</v>
      </c>
      <c r="B1481" s="20" t="s">
        <v>2897</v>
      </c>
      <c r="C1481" s="7" t="s">
        <v>3018</v>
      </c>
      <c r="D1481" s="7" t="s">
        <v>56</v>
      </c>
      <c r="E1481" s="18">
        <v>46045.460416666669</v>
      </c>
      <c r="F1481" s="11">
        <f>IF(HOUR(Table1[[#This Row],[CORREO]])&gt;=11,WORKDAY(Table1[[#This Row],[CORREO]],1),E1481)</f>
        <v>46048</v>
      </c>
      <c r="G1481" s="11">
        <v>46048</v>
      </c>
      <c r="H1481" s="7">
        <f t="shared" si="116"/>
        <v>4</v>
      </c>
      <c r="I1481" s="7">
        <f t="shared" si="117"/>
        <v>1</v>
      </c>
      <c r="J1481" s="7" t="str">
        <f t="shared" si="118"/>
        <v>Dentro</v>
      </c>
      <c r="K1481" s="7" t="str">
        <f t="shared" si="119"/>
        <v>A tiempo</v>
      </c>
      <c r="L1481" s="11">
        <v>46048</v>
      </c>
      <c r="M1481" s="22">
        <f t="shared" si="120"/>
        <v>1</v>
      </c>
    </row>
    <row r="1482" spans="1:13" x14ac:dyDescent="0.35">
      <c r="A1482" s="11">
        <v>46048</v>
      </c>
      <c r="B1482" s="20" t="s">
        <v>2898</v>
      </c>
      <c r="C1482" s="7" t="s">
        <v>3019</v>
      </c>
      <c r="D1482" s="7" t="s">
        <v>538</v>
      </c>
      <c r="E1482" s="18">
        <v>46045.636111111111</v>
      </c>
      <c r="F1482" s="11">
        <f>IF(HOUR(Table1[[#This Row],[CORREO]])&gt;=11,WORKDAY(Table1[[#This Row],[CORREO]],1),E1482)</f>
        <v>46048</v>
      </c>
      <c r="G1482" s="11">
        <v>46048</v>
      </c>
      <c r="H1482" s="7">
        <f t="shared" si="116"/>
        <v>4</v>
      </c>
      <c r="I1482" s="7">
        <f t="shared" si="117"/>
        <v>1</v>
      </c>
      <c r="J1482" s="7" t="str">
        <f t="shared" si="118"/>
        <v>Dentro</v>
      </c>
      <c r="K1482" s="7" t="str">
        <f t="shared" si="119"/>
        <v>A tiempo</v>
      </c>
      <c r="L1482" s="11">
        <v>46048</v>
      </c>
      <c r="M1482" s="22">
        <f t="shared" si="120"/>
        <v>1</v>
      </c>
    </row>
    <row r="1483" spans="1:13" x14ac:dyDescent="0.35">
      <c r="A1483" s="11">
        <v>46048</v>
      </c>
      <c r="B1483" s="20" t="s">
        <v>2899</v>
      </c>
      <c r="C1483" s="7" t="s">
        <v>3020</v>
      </c>
      <c r="D1483" s="7" t="s">
        <v>3021</v>
      </c>
      <c r="E1483" s="18">
        <v>46048.267361111109</v>
      </c>
      <c r="F1483" s="11">
        <f>IF(HOUR(Table1[[#This Row],[CORREO]])&gt;=11,WORKDAY(Table1[[#This Row],[CORREO]],1),E1483)</f>
        <v>46048.267361111109</v>
      </c>
      <c r="G1483" s="11">
        <v>46048</v>
      </c>
      <c r="H1483" s="7">
        <f t="shared" si="116"/>
        <v>4</v>
      </c>
      <c r="I1483" s="7">
        <f t="shared" si="117"/>
        <v>1</v>
      </c>
      <c r="J1483" s="7" t="str">
        <f t="shared" si="118"/>
        <v>Dentro</v>
      </c>
      <c r="K1483" s="7" t="str">
        <f t="shared" si="119"/>
        <v>A tiempo</v>
      </c>
      <c r="L1483" s="11">
        <v>46048</v>
      </c>
      <c r="M1483" s="22">
        <f t="shared" si="120"/>
        <v>1</v>
      </c>
    </row>
    <row r="1484" spans="1:13" x14ac:dyDescent="0.35">
      <c r="A1484" s="11">
        <v>46048</v>
      </c>
      <c r="B1484" s="20" t="s">
        <v>2900</v>
      </c>
      <c r="C1484" s="7" t="s">
        <v>3022</v>
      </c>
      <c r="D1484" s="7" t="s">
        <v>1840</v>
      </c>
      <c r="E1484" s="18">
        <v>46048.341666666667</v>
      </c>
      <c r="F1484" s="11">
        <f>IF(HOUR(Table1[[#This Row],[CORREO]])&gt;=11,WORKDAY(Table1[[#This Row],[CORREO]],1),E1484)</f>
        <v>46048.341666666667</v>
      </c>
      <c r="G1484" s="11"/>
      <c r="H1484" s="7">
        <f t="shared" si="116"/>
        <v>4</v>
      </c>
      <c r="I1484" s="7">
        <f t="shared" si="117"/>
        <v>1</v>
      </c>
      <c r="J1484" s="7" t="str">
        <f t="shared" si="118"/>
        <v>Acumulado</v>
      </c>
      <c r="K1484" s="7" t="str">
        <f t="shared" si="119"/>
        <v>A tiempo</v>
      </c>
      <c r="L1484" s="11">
        <v>46049</v>
      </c>
      <c r="M1484" s="22">
        <f t="shared" si="120"/>
        <v>2</v>
      </c>
    </row>
    <row r="1485" spans="1:13" x14ac:dyDescent="0.35">
      <c r="A1485" s="11">
        <v>46048</v>
      </c>
      <c r="B1485" s="20" t="s">
        <v>2901</v>
      </c>
      <c r="C1485" s="7" t="s">
        <v>3023</v>
      </c>
      <c r="D1485" s="7" t="s">
        <v>24</v>
      </c>
      <c r="E1485" s="18">
        <v>46048.362500000003</v>
      </c>
      <c r="F1485" s="11">
        <f>IF(HOUR(Table1[[#This Row],[CORREO]])&gt;=11,WORKDAY(Table1[[#This Row],[CORREO]],1),E1485)</f>
        <v>46048.362500000003</v>
      </c>
      <c r="G1485" s="11">
        <v>46057</v>
      </c>
      <c r="H1485" s="7">
        <f t="shared" si="116"/>
        <v>4</v>
      </c>
      <c r="I1485" s="7">
        <f t="shared" si="117"/>
        <v>8</v>
      </c>
      <c r="J1485" s="7" t="str">
        <f t="shared" si="118"/>
        <v>Fuera</v>
      </c>
      <c r="K1485" s="7" t="str">
        <f t="shared" si="119"/>
        <v>A tiempo</v>
      </c>
      <c r="L1485" s="11">
        <v>46049</v>
      </c>
      <c r="M1485" s="22">
        <f t="shared" si="120"/>
        <v>2</v>
      </c>
    </row>
    <row r="1486" spans="1:13" x14ac:dyDescent="0.35">
      <c r="A1486" s="11">
        <v>46048</v>
      </c>
      <c r="B1486" s="20" t="s">
        <v>2902</v>
      </c>
      <c r="C1486" s="7" t="s">
        <v>3024</v>
      </c>
      <c r="D1486" s="7" t="s">
        <v>1840</v>
      </c>
      <c r="E1486" s="18">
        <v>46048.402777777781</v>
      </c>
      <c r="F1486" s="11">
        <f>IF(HOUR(Table1[[#This Row],[CORREO]])&gt;=11,WORKDAY(Table1[[#This Row],[CORREO]],1),E1486)</f>
        <v>46048.402777777781</v>
      </c>
      <c r="G1486" s="11">
        <v>46048</v>
      </c>
      <c r="H1486" s="7">
        <f t="shared" ref="H1486:H1519" si="121">INT((A1486-DATE(YEAR(A1486),1,1))/7) + 1</f>
        <v>4</v>
      </c>
      <c r="I1486" s="7">
        <f t="shared" ref="I1486:I1519" si="122">MAX(1,NETWORKDAYS(A1486,G1486,DATE(2025,11,17)))</f>
        <v>1</v>
      </c>
      <c r="J1486" s="7" t="str">
        <f t="shared" ref="J1486:J1519" si="123">IF(G1486="","Acumulado",IF(ISNUMBER(SEARCH("ASAP",C1486)),"ASAP",IF(I1486&lt;=7,"Dentro",IF(A1486&gt;F1486,"Programado","Fuera"))))</f>
        <v>Dentro</v>
      </c>
      <c r="K1486" s="7" t="str">
        <f t="shared" ref="K1486:K1519" si="124">IF(INT(A1486)=INT(F1486),"A tiempo", IF(A1486&lt;F1486,"Mismo día","Programados"))</f>
        <v>A tiempo</v>
      </c>
      <c r="L1486" s="11">
        <v>46048</v>
      </c>
      <c r="M1486" s="22">
        <f t="shared" ref="M1486:M1519" si="125">MAX(1,NETWORKDAYS(A1486,L1486))</f>
        <v>1</v>
      </c>
    </row>
    <row r="1487" spans="1:13" x14ac:dyDescent="0.35">
      <c r="A1487" s="11">
        <v>46048</v>
      </c>
      <c r="B1487" s="20" t="s">
        <v>2903</v>
      </c>
      <c r="C1487" s="7" t="s">
        <v>3025</v>
      </c>
      <c r="D1487" s="7" t="s">
        <v>24</v>
      </c>
      <c r="E1487" s="18">
        <v>46048.458333333336</v>
      </c>
      <c r="F1487" s="11">
        <f>IF(HOUR(Table1[[#This Row],[CORREO]])&gt;=11,WORKDAY(Table1[[#This Row],[CORREO]],1),E1487)</f>
        <v>46049</v>
      </c>
      <c r="G1487" s="11">
        <v>46050</v>
      </c>
      <c r="H1487" s="7">
        <f t="shared" si="121"/>
        <v>4</v>
      </c>
      <c r="I1487" s="7">
        <f t="shared" si="122"/>
        <v>3</v>
      </c>
      <c r="J1487" s="7" t="str">
        <f t="shared" si="123"/>
        <v>Dentro</v>
      </c>
      <c r="K1487" s="7" t="str">
        <f t="shared" si="124"/>
        <v>Mismo día</v>
      </c>
      <c r="L1487" s="11">
        <v>46048</v>
      </c>
      <c r="M1487" s="22">
        <f t="shared" si="125"/>
        <v>1</v>
      </c>
    </row>
    <row r="1488" spans="1:13" x14ac:dyDescent="0.35">
      <c r="A1488" s="11">
        <v>46048</v>
      </c>
      <c r="B1488" s="20" t="s">
        <v>2904</v>
      </c>
      <c r="C1488" s="7" t="s">
        <v>3026</v>
      </c>
      <c r="D1488" s="7" t="s">
        <v>586</v>
      </c>
      <c r="E1488" s="18">
        <v>46048.529861111114</v>
      </c>
      <c r="F1488" s="11">
        <f>IF(HOUR(Table1[[#This Row],[CORREO]])&gt;=11,WORKDAY(Table1[[#This Row],[CORREO]],1),E1488)</f>
        <v>46049</v>
      </c>
      <c r="G1488" s="11">
        <v>46048</v>
      </c>
      <c r="H1488" s="7">
        <f t="shared" si="121"/>
        <v>4</v>
      </c>
      <c r="I1488" s="7">
        <f t="shared" si="122"/>
        <v>1</v>
      </c>
      <c r="J1488" s="7" t="str">
        <f t="shared" si="123"/>
        <v>Dentro</v>
      </c>
      <c r="K1488" s="7" t="str">
        <f t="shared" si="124"/>
        <v>Mismo día</v>
      </c>
      <c r="L1488" s="11">
        <v>46048</v>
      </c>
      <c r="M1488" s="22">
        <f t="shared" si="125"/>
        <v>1</v>
      </c>
    </row>
    <row r="1489" spans="1:13" x14ac:dyDescent="0.35">
      <c r="A1489" s="11">
        <v>46048</v>
      </c>
      <c r="B1489" s="20" t="s">
        <v>2905</v>
      </c>
      <c r="C1489" s="7" t="s">
        <v>3027</v>
      </c>
      <c r="D1489" s="7" t="s">
        <v>27</v>
      </c>
      <c r="E1489" s="18">
        <v>46048.700694444444</v>
      </c>
      <c r="F1489" s="11">
        <f>IF(HOUR(Table1[[#This Row],[CORREO]])&gt;=11,WORKDAY(Table1[[#This Row],[CORREO]],1),E1489)</f>
        <v>46049</v>
      </c>
      <c r="G1489" s="11">
        <v>46056</v>
      </c>
      <c r="H1489" s="7">
        <f t="shared" si="121"/>
        <v>4</v>
      </c>
      <c r="I1489" s="7">
        <f t="shared" si="122"/>
        <v>7</v>
      </c>
      <c r="J1489" s="7" t="str">
        <f t="shared" si="123"/>
        <v>Dentro</v>
      </c>
      <c r="K1489" s="7" t="str">
        <f t="shared" si="124"/>
        <v>Mismo día</v>
      </c>
      <c r="L1489" s="11">
        <v>46049</v>
      </c>
      <c r="M1489" s="22">
        <f t="shared" si="125"/>
        <v>2</v>
      </c>
    </row>
    <row r="1490" spans="1:13" x14ac:dyDescent="0.35">
      <c r="A1490" s="11">
        <v>46049</v>
      </c>
      <c r="B1490" s="20" t="s">
        <v>2906</v>
      </c>
      <c r="C1490" s="7" t="s">
        <v>3028</v>
      </c>
      <c r="D1490" s="7" t="s">
        <v>504</v>
      </c>
      <c r="E1490" s="18">
        <v>46048.461111111108</v>
      </c>
      <c r="F1490" s="11">
        <f>IF(HOUR(Table1[[#This Row],[CORREO]])&gt;=11,WORKDAY(Table1[[#This Row],[CORREO]],1),E1490)</f>
        <v>46049</v>
      </c>
      <c r="G1490" s="11"/>
      <c r="H1490" s="7">
        <f t="shared" si="121"/>
        <v>4</v>
      </c>
      <c r="I1490" s="7">
        <f t="shared" si="122"/>
        <v>1</v>
      </c>
      <c r="J1490" s="7" t="str">
        <f t="shared" si="123"/>
        <v>Acumulado</v>
      </c>
      <c r="K1490" s="7" t="str">
        <f t="shared" si="124"/>
        <v>A tiempo</v>
      </c>
      <c r="L1490" s="11">
        <v>46049</v>
      </c>
      <c r="M1490" s="22">
        <f t="shared" si="125"/>
        <v>1</v>
      </c>
    </row>
    <row r="1491" spans="1:13" x14ac:dyDescent="0.35">
      <c r="A1491" s="11">
        <v>46049</v>
      </c>
      <c r="B1491" s="20" t="s">
        <v>2907</v>
      </c>
      <c r="C1491" s="7" t="s">
        <v>3029</v>
      </c>
      <c r="D1491" s="7" t="s">
        <v>24</v>
      </c>
      <c r="E1491" s="18">
        <v>46048.586111111108</v>
      </c>
      <c r="F1491" s="11">
        <f>IF(HOUR(Table1[[#This Row],[CORREO]])&gt;=11,WORKDAY(Table1[[#This Row],[CORREO]],1),E1491)</f>
        <v>46049</v>
      </c>
      <c r="G1491" s="11">
        <v>46056</v>
      </c>
      <c r="H1491" s="7">
        <f t="shared" si="121"/>
        <v>4</v>
      </c>
      <c r="I1491" s="7">
        <f t="shared" si="122"/>
        <v>6</v>
      </c>
      <c r="J1491" s="7" t="str">
        <f t="shared" si="123"/>
        <v>Dentro</v>
      </c>
      <c r="K1491" s="7" t="str">
        <f t="shared" si="124"/>
        <v>A tiempo</v>
      </c>
      <c r="L1491" s="11">
        <v>46049</v>
      </c>
      <c r="M1491" s="22">
        <f t="shared" si="125"/>
        <v>1</v>
      </c>
    </row>
    <row r="1492" spans="1:13" x14ac:dyDescent="0.35">
      <c r="A1492" s="11">
        <v>46049</v>
      </c>
      <c r="B1492" s="20" t="s">
        <v>2908</v>
      </c>
      <c r="C1492" s="7" t="s">
        <v>3030</v>
      </c>
      <c r="D1492" s="7" t="s">
        <v>53</v>
      </c>
      <c r="E1492" s="18">
        <v>46048.662499999999</v>
      </c>
      <c r="F1492" s="11">
        <f>IF(HOUR(Table1[[#This Row],[CORREO]])&gt;=11,WORKDAY(Table1[[#This Row],[CORREO]],1),E1492)</f>
        <v>46049</v>
      </c>
      <c r="G1492" s="11">
        <v>46051</v>
      </c>
      <c r="H1492" s="7">
        <f t="shared" si="121"/>
        <v>4</v>
      </c>
      <c r="I1492" s="7">
        <f t="shared" si="122"/>
        <v>3</v>
      </c>
      <c r="J1492" s="7" t="str">
        <f t="shared" si="123"/>
        <v>Dentro</v>
      </c>
      <c r="K1492" s="7" t="str">
        <f t="shared" si="124"/>
        <v>A tiempo</v>
      </c>
      <c r="L1492" s="11">
        <v>46049</v>
      </c>
      <c r="M1492" s="22">
        <f t="shared" si="125"/>
        <v>1</v>
      </c>
    </row>
    <row r="1493" spans="1:13" x14ac:dyDescent="0.35">
      <c r="A1493" s="11">
        <v>46049</v>
      </c>
      <c r="B1493" s="20" t="s">
        <v>2909</v>
      </c>
      <c r="C1493" s="7" t="s">
        <v>3031</v>
      </c>
      <c r="D1493" s="7" t="s">
        <v>24</v>
      </c>
      <c r="E1493" s="18">
        <v>46048.71875</v>
      </c>
      <c r="F1493" s="11">
        <f>IF(HOUR(Table1[[#This Row],[CORREO]])&gt;=11,WORKDAY(Table1[[#This Row],[CORREO]],1),E1493)</f>
        <v>46049</v>
      </c>
      <c r="G1493" s="11">
        <v>46050</v>
      </c>
      <c r="H1493" s="7">
        <f t="shared" si="121"/>
        <v>4</v>
      </c>
      <c r="I1493" s="7">
        <f t="shared" si="122"/>
        <v>2</v>
      </c>
      <c r="J1493" s="7" t="str">
        <f t="shared" si="123"/>
        <v>ASAP</v>
      </c>
      <c r="K1493" s="7" t="str">
        <f t="shared" si="124"/>
        <v>A tiempo</v>
      </c>
      <c r="L1493" s="11">
        <v>46049</v>
      </c>
      <c r="M1493" s="22">
        <f t="shared" si="125"/>
        <v>1</v>
      </c>
    </row>
    <row r="1494" spans="1:13" x14ac:dyDescent="0.35">
      <c r="A1494" s="11">
        <v>46049</v>
      </c>
      <c r="B1494" s="20" t="s">
        <v>2910</v>
      </c>
      <c r="C1494" s="7" t="s">
        <v>3032</v>
      </c>
      <c r="D1494" s="7" t="s">
        <v>139</v>
      </c>
      <c r="E1494" s="18">
        <v>46049.349305555559</v>
      </c>
      <c r="F1494" s="11">
        <f>IF(HOUR(Table1[[#This Row],[CORREO]])&gt;=11,WORKDAY(Table1[[#This Row],[CORREO]],1),E1494)</f>
        <v>46049.349305555559</v>
      </c>
      <c r="G1494" s="11">
        <v>46050</v>
      </c>
      <c r="H1494" s="7">
        <f t="shared" si="121"/>
        <v>4</v>
      </c>
      <c r="I1494" s="7">
        <f t="shared" si="122"/>
        <v>2</v>
      </c>
      <c r="J1494" s="7" t="str">
        <f t="shared" si="123"/>
        <v>Dentro</v>
      </c>
      <c r="K1494" s="7" t="str">
        <f t="shared" si="124"/>
        <v>A tiempo</v>
      </c>
      <c r="L1494" s="11">
        <v>46049</v>
      </c>
      <c r="M1494" s="22">
        <f t="shared" si="125"/>
        <v>1</v>
      </c>
    </row>
    <row r="1495" spans="1:13" x14ac:dyDescent="0.35">
      <c r="A1495" s="11">
        <v>46049</v>
      </c>
      <c r="B1495" s="20" t="s">
        <v>2911</v>
      </c>
      <c r="C1495" s="7" t="s">
        <v>3033</v>
      </c>
      <c r="D1495" s="7" t="s">
        <v>308</v>
      </c>
      <c r="E1495" s="18">
        <v>46049.381249999999</v>
      </c>
      <c r="F1495" s="11">
        <f>IF(HOUR(Table1[[#This Row],[CORREO]])&gt;=11,WORKDAY(Table1[[#This Row],[CORREO]],1),E1495)</f>
        <v>46049.381249999999</v>
      </c>
      <c r="G1495" s="11">
        <v>46050</v>
      </c>
      <c r="H1495" s="7">
        <f t="shared" si="121"/>
        <v>4</v>
      </c>
      <c r="I1495" s="7">
        <f t="shared" si="122"/>
        <v>2</v>
      </c>
      <c r="J1495" s="7" t="str">
        <f t="shared" si="123"/>
        <v>Dentro</v>
      </c>
      <c r="K1495" s="7" t="str">
        <f t="shared" si="124"/>
        <v>A tiempo</v>
      </c>
      <c r="L1495" s="11">
        <v>46050</v>
      </c>
      <c r="M1495" s="22">
        <f t="shared" si="125"/>
        <v>2</v>
      </c>
    </row>
    <row r="1496" spans="1:13" x14ac:dyDescent="0.35">
      <c r="A1496" s="11">
        <v>46049</v>
      </c>
      <c r="B1496" s="20" t="s">
        <v>2912</v>
      </c>
      <c r="C1496" s="7" t="s">
        <v>3034</v>
      </c>
      <c r="D1496" s="7" t="s">
        <v>538</v>
      </c>
      <c r="E1496" s="18">
        <v>46049.415277777778</v>
      </c>
      <c r="F1496" s="11">
        <f>IF(HOUR(Table1[[#This Row],[CORREO]])&gt;=11,WORKDAY(Table1[[#This Row],[CORREO]],1),E1496)</f>
        <v>46049.415277777778</v>
      </c>
      <c r="G1496" s="11">
        <v>46056</v>
      </c>
      <c r="H1496" s="7">
        <f t="shared" si="121"/>
        <v>4</v>
      </c>
      <c r="I1496" s="7">
        <f t="shared" si="122"/>
        <v>6</v>
      </c>
      <c r="J1496" s="7" t="str">
        <f t="shared" si="123"/>
        <v>Dentro</v>
      </c>
      <c r="K1496" s="7" t="str">
        <f t="shared" si="124"/>
        <v>A tiempo</v>
      </c>
      <c r="L1496" s="11">
        <v>46049</v>
      </c>
      <c r="M1496" s="22">
        <f t="shared" si="125"/>
        <v>1</v>
      </c>
    </row>
    <row r="1497" spans="1:13" x14ac:dyDescent="0.35">
      <c r="A1497" s="11">
        <v>46049</v>
      </c>
      <c r="B1497" s="20" t="s">
        <v>2913</v>
      </c>
      <c r="C1497" s="7" t="s">
        <v>3035</v>
      </c>
      <c r="D1497" s="7" t="s">
        <v>27</v>
      </c>
      <c r="E1497" s="18">
        <v>46049.417361111111</v>
      </c>
      <c r="F1497" s="11">
        <f>IF(HOUR(Table1[[#This Row],[CORREO]])&gt;=11,WORKDAY(Table1[[#This Row],[CORREO]],1),E1497)</f>
        <v>46049.417361111111</v>
      </c>
      <c r="G1497" s="11"/>
      <c r="H1497" s="7">
        <f t="shared" si="121"/>
        <v>4</v>
      </c>
      <c r="I1497" s="7">
        <f t="shared" si="122"/>
        <v>1</v>
      </c>
      <c r="J1497" s="7" t="str">
        <f t="shared" si="123"/>
        <v>Acumulado</v>
      </c>
      <c r="K1497" s="7" t="str">
        <f t="shared" si="124"/>
        <v>A tiempo</v>
      </c>
      <c r="L1497" s="11">
        <v>46049</v>
      </c>
      <c r="M1497" s="22">
        <f t="shared" si="125"/>
        <v>1</v>
      </c>
    </row>
    <row r="1498" spans="1:13" x14ac:dyDescent="0.35">
      <c r="A1498" s="11">
        <v>46049</v>
      </c>
      <c r="B1498" s="20" t="s">
        <v>2914</v>
      </c>
      <c r="C1498" s="7" t="s">
        <v>3036</v>
      </c>
      <c r="D1498" s="7" t="s">
        <v>3037</v>
      </c>
      <c r="E1498" s="18">
        <v>46049.431250000001</v>
      </c>
      <c r="F1498" s="11">
        <f>IF(HOUR(Table1[[#This Row],[CORREO]])&gt;=11,WORKDAY(Table1[[#This Row],[CORREO]],1),E1498)</f>
        <v>46049.431250000001</v>
      </c>
      <c r="G1498" s="11">
        <v>46052</v>
      </c>
      <c r="H1498" s="7">
        <f t="shared" si="121"/>
        <v>4</v>
      </c>
      <c r="I1498" s="7">
        <f t="shared" si="122"/>
        <v>4</v>
      </c>
      <c r="J1498" s="7" t="str">
        <f t="shared" si="123"/>
        <v>Dentro</v>
      </c>
      <c r="K1498" s="7" t="str">
        <f t="shared" si="124"/>
        <v>A tiempo</v>
      </c>
      <c r="L1498" s="11">
        <v>46049</v>
      </c>
      <c r="M1498" s="22">
        <f t="shared" si="125"/>
        <v>1</v>
      </c>
    </row>
    <row r="1499" spans="1:13" x14ac:dyDescent="0.35">
      <c r="A1499" s="11">
        <v>46050</v>
      </c>
      <c r="B1499" s="20" t="s">
        <v>2915</v>
      </c>
      <c r="C1499" s="7" t="s">
        <v>3038</v>
      </c>
      <c r="D1499" s="7" t="s">
        <v>1726</v>
      </c>
      <c r="E1499" s="18"/>
      <c r="F1499" s="11">
        <f>IF(HOUR(Table1[[#This Row],[CORREO]])&gt;=11,WORKDAY(Table1[[#This Row],[CORREO]],1),E1499)</f>
        <v>0</v>
      </c>
      <c r="G1499" s="11"/>
      <c r="H1499" s="7">
        <f t="shared" si="121"/>
        <v>4</v>
      </c>
      <c r="I1499" s="7">
        <f t="shared" si="122"/>
        <v>1</v>
      </c>
      <c r="J1499" s="7" t="str">
        <f t="shared" si="123"/>
        <v>Acumulado</v>
      </c>
      <c r="K1499" s="7" t="str">
        <f t="shared" si="124"/>
        <v>Programados</v>
      </c>
      <c r="L1499" s="11">
        <v>46050</v>
      </c>
      <c r="M1499" s="22">
        <f t="shared" si="125"/>
        <v>1</v>
      </c>
    </row>
    <row r="1500" spans="1:13" x14ac:dyDescent="0.35">
      <c r="A1500" s="11">
        <v>46050</v>
      </c>
      <c r="B1500" s="20" t="s">
        <v>2916</v>
      </c>
      <c r="C1500" s="7" t="s">
        <v>3039</v>
      </c>
      <c r="D1500" s="7" t="s">
        <v>3040</v>
      </c>
      <c r="E1500" s="18"/>
      <c r="F1500" s="11">
        <f>IF(HOUR(Table1[[#This Row],[CORREO]])&gt;=11,WORKDAY(Table1[[#This Row],[CORREO]],1),E1500)</f>
        <v>0</v>
      </c>
      <c r="G1500" s="11">
        <v>46052</v>
      </c>
      <c r="H1500" s="7">
        <f t="shared" si="121"/>
        <v>4</v>
      </c>
      <c r="I1500" s="7">
        <f t="shared" si="122"/>
        <v>3</v>
      </c>
      <c r="J1500" s="7" t="str">
        <f t="shared" si="123"/>
        <v>Dentro</v>
      </c>
      <c r="K1500" s="7" t="str">
        <f t="shared" si="124"/>
        <v>Programados</v>
      </c>
      <c r="L1500" s="11">
        <v>46050</v>
      </c>
      <c r="M1500" s="22">
        <f t="shared" si="125"/>
        <v>1</v>
      </c>
    </row>
    <row r="1501" spans="1:13" x14ac:dyDescent="0.35">
      <c r="A1501" s="11">
        <v>46050</v>
      </c>
      <c r="B1501" s="20" t="s">
        <v>2917</v>
      </c>
      <c r="C1501" s="7" t="s">
        <v>3041</v>
      </c>
      <c r="D1501" s="7" t="s">
        <v>3042</v>
      </c>
      <c r="E1501" s="18"/>
      <c r="F1501" s="11">
        <f>IF(HOUR(Table1[[#This Row],[CORREO]])&gt;=11,WORKDAY(Table1[[#This Row],[CORREO]],1),E1501)</f>
        <v>0</v>
      </c>
      <c r="G1501" s="11">
        <v>46051</v>
      </c>
      <c r="H1501" s="7">
        <f t="shared" si="121"/>
        <v>4</v>
      </c>
      <c r="I1501" s="7">
        <f t="shared" si="122"/>
        <v>2</v>
      </c>
      <c r="J1501" s="7" t="str">
        <f t="shared" si="123"/>
        <v>Dentro</v>
      </c>
      <c r="K1501" s="7" t="str">
        <f t="shared" si="124"/>
        <v>Programados</v>
      </c>
      <c r="L1501" s="11">
        <v>46050</v>
      </c>
      <c r="M1501" s="22">
        <f t="shared" si="125"/>
        <v>1</v>
      </c>
    </row>
    <row r="1502" spans="1:13" x14ac:dyDescent="0.35">
      <c r="A1502" s="11">
        <v>46050</v>
      </c>
      <c r="B1502" s="20" t="s">
        <v>2918</v>
      </c>
      <c r="C1502" s="7" t="s">
        <v>2775</v>
      </c>
      <c r="D1502" s="7" t="s">
        <v>517</v>
      </c>
      <c r="E1502" s="18">
        <v>46049.643750000003</v>
      </c>
      <c r="F1502" s="11">
        <f>IF(HOUR(Table1[[#This Row],[CORREO]])&gt;=11,WORKDAY(Table1[[#This Row],[CORREO]],1),E1502)</f>
        <v>46050</v>
      </c>
      <c r="G1502" s="11">
        <v>46050</v>
      </c>
      <c r="H1502" s="7">
        <f t="shared" si="121"/>
        <v>4</v>
      </c>
      <c r="I1502" s="7">
        <f t="shared" si="122"/>
        <v>1</v>
      </c>
      <c r="J1502" s="7" t="str">
        <f t="shared" si="123"/>
        <v>Dentro</v>
      </c>
      <c r="K1502" s="7" t="str">
        <f t="shared" si="124"/>
        <v>A tiempo</v>
      </c>
      <c r="L1502" s="11">
        <v>46050</v>
      </c>
      <c r="M1502" s="22">
        <f t="shared" si="125"/>
        <v>1</v>
      </c>
    </row>
    <row r="1503" spans="1:13" x14ac:dyDescent="0.35">
      <c r="A1503" s="11">
        <v>46050</v>
      </c>
      <c r="B1503" s="20" t="s">
        <v>2919</v>
      </c>
      <c r="C1503" s="7" t="s">
        <v>3043</v>
      </c>
      <c r="D1503" s="7" t="s">
        <v>238</v>
      </c>
      <c r="E1503" s="18">
        <v>46050.349305555559</v>
      </c>
      <c r="F1503" s="11">
        <f>IF(HOUR(Table1[[#This Row],[CORREO]])&gt;=11,WORKDAY(Table1[[#This Row],[CORREO]],1),E1503)</f>
        <v>46050.349305555559</v>
      </c>
      <c r="G1503" s="11">
        <v>46050</v>
      </c>
      <c r="H1503" s="7">
        <f t="shared" si="121"/>
        <v>4</v>
      </c>
      <c r="I1503" s="7">
        <f t="shared" si="122"/>
        <v>1</v>
      </c>
      <c r="J1503" s="7" t="str">
        <f t="shared" si="123"/>
        <v>Dentro</v>
      </c>
      <c r="K1503" s="7" t="str">
        <f t="shared" si="124"/>
        <v>A tiempo</v>
      </c>
      <c r="L1503" s="11">
        <v>46050</v>
      </c>
      <c r="M1503" s="22">
        <f t="shared" si="125"/>
        <v>1</v>
      </c>
    </row>
    <row r="1504" spans="1:13" x14ac:dyDescent="0.35">
      <c r="A1504" s="11">
        <v>46050</v>
      </c>
      <c r="B1504" s="20" t="s">
        <v>2920</v>
      </c>
      <c r="C1504" s="7" t="s">
        <v>3044</v>
      </c>
      <c r="D1504" s="7" t="s">
        <v>3021</v>
      </c>
      <c r="E1504" s="18">
        <v>46050.365972222222</v>
      </c>
      <c r="F1504" s="11">
        <f>IF(HOUR(Table1[[#This Row],[CORREO]])&gt;=11,WORKDAY(Table1[[#This Row],[CORREO]],1),E1504)</f>
        <v>46050.365972222222</v>
      </c>
      <c r="G1504" s="11">
        <v>46051</v>
      </c>
      <c r="H1504" s="7">
        <f t="shared" si="121"/>
        <v>4</v>
      </c>
      <c r="I1504" s="7">
        <f t="shared" si="122"/>
        <v>2</v>
      </c>
      <c r="J1504" s="7" t="str">
        <f t="shared" si="123"/>
        <v>Dentro</v>
      </c>
      <c r="K1504" s="7" t="str">
        <f t="shared" si="124"/>
        <v>A tiempo</v>
      </c>
      <c r="L1504" s="11">
        <v>46050</v>
      </c>
      <c r="M1504" s="22">
        <f t="shared" si="125"/>
        <v>1</v>
      </c>
    </row>
    <row r="1505" spans="1:13" x14ac:dyDescent="0.35">
      <c r="A1505" s="11">
        <v>46050</v>
      </c>
      <c r="B1505" s="20" t="s">
        <v>2921</v>
      </c>
      <c r="C1505" s="7" t="s">
        <v>3045</v>
      </c>
      <c r="D1505" s="7" t="s">
        <v>538</v>
      </c>
      <c r="E1505" s="18">
        <v>46050.368750000001</v>
      </c>
      <c r="F1505" s="11">
        <f>IF(HOUR(Table1[[#This Row],[CORREO]])&gt;=11,WORKDAY(Table1[[#This Row],[CORREO]],1),E1505)</f>
        <v>46050.368750000001</v>
      </c>
      <c r="G1505" s="11">
        <v>46051</v>
      </c>
      <c r="H1505" s="7">
        <f t="shared" si="121"/>
        <v>4</v>
      </c>
      <c r="I1505" s="7">
        <f t="shared" si="122"/>
        <v>2</v>
      </c>
      <c r="J1505" s="7" t="str">
        <f t="shared" si="123"/>
        <v>Dentro</v>
      </c>
      <c r="K1505" s="7" t="str">
        <f t="shared" si="124"/>
        <v>A tiempo</v>
      </c>
      <c r="L1505" s="11">
        <v>46050</v>
      </c>
      <c r="M1505" s="22">
        <f t="shared" si="125"/>
        <v>1</v>
      </c>
    </row>
    <row r="1506" spans="1:13" x14ac:dyDescent="0.35">
      <c r="A1506" s="11">
        <v>46050</v>
      </c>
      <c r="B1506" s="20" t="s">
        <v>2922</v>
      </c>
      <c r="C1506" s="7" t="s">
        <v>3046</v>
      </c>
      <c r="D1506" s="7" t="s">
        <v>406</v>
      </c>
      <c r="E1506" s="18">
        <v>46050.37777777778</v>
      </c>
      <c r="F1506" s="11">
        <f>IF(HOUR(Table1[[#This Row],[CORREO]])&gt;=11,WORKDAY(Table1[[#This Row],[CORREO]],1),E1506)</f>
        <v>46050.37777777778</v>
      </c>
      <c r="G1506" s="11">
        <v>46051</v>
      </c>
      <c r="H1506" s="7">
        <f t="shared" si="121"/>
        <v>4</v>
      </c>
      <c r="I1506" s="7">
        <f t="shared" si="122"/>
        <v>2</v>
      </c>
      <c r="J1506" s="7" t="str">
        <f t="shared" si="123"/>
        <v>Dentro</v>
      </c>
      <c r="K1506" s="7" t="str">
        <f t="shared" si="124"/>
        <v>A tiempo</v>
      </c>
      <c r="L1506" s="11">
        <v>46050</v>
      </c>
      <c r="M1506" s="22">
        <f t="shared" si="125"/>
        <v>1</v>
      </c>
    </row>
    <row r="1507" spans="1:13" x14ac:dyDescent="0.35">
      <c r="A1507" s="11">
        <v>46050</v>
      </c>
      <c r="B1507" s="20" t="s">
        <v>2923</v>
      </c>
      <c r="C1507" s="7" t="s">
        <v>3047</v>
      </c>
      <c r="D1507" s="7" t="s">
        <v>623</v>
      </c>
      <c r="E1507" s="18">
        <v>46050.396527777775</v>
      </c>
      <c r="F1507" s="11">
        <f>IF(HOUR(Table1[[#This Row],[CORREO]])&gt;=11,WORKDAY(Table1[[#This Row],[CORREO]],1),E1507)</f>
        <v>46050.396527777775</v>
      </c>
      <c r="G1507" s="11">
        <v>46056</v>
      </c>
      <c r="H1507" s="7">
        <f t="shared" si="121"/>
        <v>4</v>
      </c>
      <c r="I1507" s="7">
        <f t="shared" si="122"/>
        <v>5</v>
      </c>
      <c r="J1507" s="7" t="str">
        <f t="shared" si="123"/>
        <v>Dentro</v>
      </c>
      <c r="K1507" s="7" t="str">
        <f t="shared" si="124"/>
        <v>A tiempo</v>
      </c>
      <c r="L1507" s="11">
        <v>46050</v>
      </c>
      <c r="M1507" s="22">
        <f t="shared" si="125"/>
        <v>1</v>
      </c>
    </row>
    <row r="1508" spans="1:13" x14ac:dyDescent="0.35">
      <c r="A1508" s="11">
        <v>46050</v>
      </c>
      <c r="B1508" s="20" t="s">
        <v>2924</v>
      </c>
      <c r="C1508" s="7" t="s">
        <v>3048</v>
      </c>
      <c r="D1508" s="7" t="s">
        <v>3049</v>
      </c>
      <c r="E1508" s="18">
        <v>46050.447222222225</v>
      </c>
      <c r="F1508" s="11">
        <f>IF(HOUR(Table1[[#This Row],[CORREO]])&gt;=11,WORKDAY(Table1[[#This Row],[CORREO]],1),E1508)</f>
        <v>46050.447222222225</v>
      </c>
      <c r="G1508" s="11">
        <v>46052</v>
      </c>
      <c r="H1508" s="7">
        <f t="shared" si="121"/>
        <v>4</v>
      </c>
      <c r="I1508" s="7">
        <f t="shared" si="122"/>
        <v>3</v>
      </c>
      <c r="J1508" s="7" t="str">
        <f t="shared" si="123"/>
        <v>Dentro</v>
      </c>
      <c r="K1508" s="7" t="str">
        <f t="shared" si="124"/>
        <v>A tiempo</v>
      </c>
      <c r="L1508" s="11">
        <v>46050</v>
      </c>
      <c r="M1508" s="22">
        <f t="shared" si="125"/>
        <v>1</v>
      </c>
    </row>
    <row r="1509" spans="1:13" x14ac:dyDescent="0.35">
      <c r="A1509" s="11">
        <v>46050</v>
      </c>
      <c r="B1509" s="20" t="s">
        <v>2925</v>
      </c>
      <c r="C1509" s="7" t="s">
        <v>2655</v>
      </c>
      <c r="D1509" s="7" t="s">
        <v>24</v>
      </c>
      <c r="E1509" s="18">
        <v>46050.525000000001</v>
      </c>
      <c r="F1509" s="11">
        <f>IF(HOUR(Table1[[#This Row],[CORREO]])&gt;=11,WORKDAY(Table1[[#This Row],[CORREO]],1),E1509)</f>
        <v>46051</v>
      </c>
      <c r="G1509" s="11"/>
      <c r="H1509" s="7">
        <f t="shared" si="121"/>
        <v>4</v>
      </c>
      <c r="I1509" s="7">
        <f t="shared" si="122"/>
        <v>1</v>
      </c>
      <c r="J1509" s="7" t="str">
        <f t="shared" si="123"/>
        <v>Acumulado</v>
      </c>
      <c r="K1509" s="7" t="str">
        <f t="shared" si="124"/>
        <v>Mismo día</v>
      </c>
      <c r="L1509" s="11">
        <v>46050</v>
      </c>
      <c r="M1509" s="22">
        <f t="shared" si="125"/>
        <v>1</v>
      </c>
    </row>
    <row r="1510" spans="1:13" x14ac:dyDescent="0.35">
      <c r="A1510" s="11">
        <v>46051</v>
      </c>
      <c r="B1510" s="20" t="s">
        <v>2926</v>
      </c>
      <c r="C1510" s="7" t="s">
        <v>3050</v>
      </c>
      <c r="D1510" s="7" t="s">
        <v>269</v>
      </c>
      <c r="E1510" s="18">
        <v>46050.469444444447</v>
      </c>
      <c r="F1510" s="11">
        <f>IF(HOUR(Table1[[#This Row],[CORREO]])&gt;=11,WORKDAY(Table1[[#This Row],[CORREO]],1),E1510)</f>
        <v>46051</v>
      </c>
      <c r="G1510" s="11"/>
      <c r="H1510" s="7">
        <f t="shared" si="121"/>
        <v>5</v>
      </c>
      <c r="I1510" s="7">
        <f t="shared" si="122"/>
        <v>1</v>
      </c>
      <c r="J1510" s="7" t="str">
        <f t="shared" si="123"/>
        <v>Acumulado</v>
      </c>
      <c r="K1510" s="7" t="str">
        <f t="shared" si="124"/>
        <v>A tiempo</v>
      </c>
      <c r="L1510" s="11">
        <v>46051</v>
      </c>
      <c r="M1510" s="22">
        <f t="shared" si="125"/>
        <v>1</v>
      </c>
    </row>
    <row r="1511" spans="1:13" x14ac:dyDescent="0.35">
      <c r="A1511" s="11">
        <v>46051</v>
      </c>
      <c r="B1511" s="20" t="s">
        <v>2927</v>
      </c>
      <c r="C1511" s="7" t="s">
        <v>3051</v>
      </c>
      <c r="D1511" s="7" t="s">
        <v>3049</v>
      </c>
      <c r="E1511" s="18">
        <v>46050.47152777778</v>
      </c>
      <c r="F1511" s="11">
        <f>IF(HOUR(Table1[[#This Row],[CORREO]])&gt;=11,WORKDAY(Table1[[#This Row],[CORREO]],1),E1511)</f>
        <v>46051</v>
      </c>
      <c r="G1511" s="11"/>
      <c r="H1511" s="7">
        <f t="shared" si="121"/>
        <v>5</v>
      </c>
      <c r="I1511" s="7">
        <f t="shared" si="122"/>
        <v>1</v>
      </c>
      <c r="J1511" s="7" t="str">
        <f t="shared" si="123"/>
        <v>Acumulado</v>
      </c>
      <c r="K1511" s="7" t="str">
        <f t="shared" si="124"/>
        <v>A tiempo</v>
      </c>
      <c r="L1511" s="11">
        <v>46051</v>
      </c>
      <c r="M1511" s="22">
        <f t="shared" si="125"/>
        <v>1</v>
      </c>
    </row>
    <row r="1512" spans="1:13" x14ac:dyDescent="0.35">
      <c r="A1512" s="11">
        <v>46051</v>
      </c>
      <c r="B1512" s="20" t="s">
        <v>2928</v>
      </c>
      <c r="C1512" s="7" t="s">
        <v>3052</v>
      </c>
      <c r="D1512" s="7" t="s">
        <v>24</v>
      </c>
      <c r="E1512" s="18">
        <v>46050.648611111108</v>
      </c>
      <c r="F1512" s="11">
        <f>IF(HOUR(Table1[[#This Row],[CORREO]])&gt;=11,WORKDAY(Table1[[#This Row],[CORREO]],1),E1512)</f>
        <v>46051</v>
      </c>
      <c r="G1512" s="11"/>
      <c r="H1512" s="7">
        <f t="shared" si="121"/>
        <v>5</v>
      </c>
      <c r="I1512" s="7">
        <f t="shared" si="122"/>
        <v>1</v>
      </c>
      <c r="J1512" s="7" t="str">
        <f t="shared" si="123"/>
        <v>Acumulado</v>
      </c>
      <c r="K1512" s="7" t="str">
        <f t="shared" si="124"/>
        <v>A tiempo</v>
      </c>
      <c r="L1512" s="11">
        <v>46051</v>
      </c>
      <c r="M1512" s="22">
        <f t="shared" si="125"/>
        <v>1</v>
      </c>
    </row>
    <row r="1513" spans="1:13" x14ac:dyDescent="0.35">
      <c r="A1513" s="11">
        <v>46051</v>
      </c>
      <c r="B1513" s="20" t="s">
        <v>2929</v>
      </c>
      <c r="C1513" s="7" t="s">
        <v>3053</v>
      </c>
      <c r="D1513" s="7" t="s">
        <v>3054</v>
      </c>
      <c r="E1513" s="18">
        <v>46051.367361111108</v>
      </c>
      <c r="F1513" s="11">
        <f>IF(HOUR(Table1[[#This Row],[CORREO]])&gt;=11,WORKDAY(Table1[[#This Row],[CORREO]],1),E1513)</f>
        <v>46051.367361111108</v>
      </c>
      <c r="G1513" s="11">
        <v>46051</v>
      </c>
      <c r="H1513" s="7">
        <f t="shared" si="121"/>
        <v>5</v>
      </c>
      <c r="I1513" s="7">
        <f t="shared" si="122"/>
        <v>1</v>
      </c>
      <c r="J1513" s="7" t="str">
        <f t="shared" si="123"/>
        <v>Dentro</v>
      </c>
      <c r="K1513" s="7" t="str">
        <f t="shared" si="124"/>
        <v>A tiempo</v>
      </c>
      <c r="L1513" s="11">
        <v>46051</v>
      </c>
      <c r="M1513" s="22">
        <f t="shared" si="125"/>
        <v>1</v>
      </c>
    </row>
    <row r="1514" spans="1:13" x14ac:dyDescent="0.35">
      <c r="A1514" s="11">
        <v>46051</v>
      </c>
      <c r="B1514" s="20" t="s">
        <v>2930</v>
      </c>
      <c r="C1514" s="7" t="s">
        <v>3055</v>
      </c>
      <c r="D1514" s="7" t="s">
        <v>3056</v>
      </c>
      <c r="E1514" s="18">
        <v>46050.648611111108</v>
      </c>
      <c r="F1514" s="11">
        <f>IF(HOUR(Table1[[#This Row],[CORREO]])&gt;=11,WORKDAY(Table1[[#This Row],[CORREO]],1),E1514)</f>
        <v>46051</v>
      </c>
      <c r="G1514" s="11">
        <v>46056</v>
      </c>
      <c r="H1514" s="7">
        <f t="shared" si="121"/>
        <v>5</v>
      </c>
      <c r="I1514" s="7">
        <f t="shared" si="122"/>
        <v>4</v>
      </c>
      <c r="J1514" s="7" t="str">
        <f t="shared" si="123"/>
        <v>Dentro</v>
      </c>
      <c r="K1514" s="7" t="str">
        <f t="shared" si="124"/>
        <v>A tiempo</v>
      </c>
      <c r="L1514" s="11">
        <v>46052</v>
      </c>
      <c r="M1514" s="22">
        <f t="shared" si="125"/>
        <v>2</v>
      </c>
    </row>
    <row r="1515" spans="1:13" x14ac:dyDescent="0.35">
      <c r="A1515" s="11">
        <v>46052</v>
      </c>
      <c r="B1515" s="20" t="s">
        <v>2931</v>
      </c>
      <c r="C1515" s="7" t="s">
        <v>3057</v>
      </c>
      <c r="D1515" s="7" t="s">
        <v>194</v>
      </c>
      <c r="E1515" s="18">
        <v>46051.511805555558</v>
      </c>
      <c r="F1515" s="11">
        <f>IF(HOUR(Table1[[#This Row],[CORREO]])&gt;=11,WORKDAY(Table1[[#This Row],[CORREO]],1),E1515)</f>
        <v>46052</v>
      </c>
      <c r="G1515" s="11"/>
      <c r="H1515" s="7">
        <f t="shared" si="121"/>
        <v>5</v>
      </c>
      <c r="I1515" s="7">
        <f t="shared" si="122"/>
        <v>1</v>
      </c>
      <c r="J1515" s="7" t="str">
        <f t="shared" si="123"/>
        <v>Acumulado</v>
      </c>
      <c r="K1515" s="7" t="str">
        <f t="shared" si="124"/>
        <v>A tiempo</v>
      </c>
      <c r="L1515" s="11">
        <v>46052</v>
      </c>
      <c r="M1515" s="22">
        <f t="shared" si="125"/>
        <v>1</v>
      </c>
    </row>
    <row r="1516" spans="1:13" x14ac:dyDescent="0.35">
      <c r="A1516" s="11">
        <v>46052</v>
      </c>
      <c r="B1516" s="20" t="s">
        <v>2932</v>
      </c>
      <c r="C1516" s="7" t="s">
        <v>3058</v>
      </c>
      <c r="D1516" s="7" t="s">
        <v>56</v>
      </c>
      <c r="E1516" s="18">
        <v>46051.568749999999</v>
      </c>
      <c r="F1516" s="11">
        <f>IF(HOUR(Table1[[#This Row],[CORREO]])&gt;=11,WORKDAY(Table1[[#This Row],[CORREO]],1),E1516)</f>
        <v>46052</v>
      </c>
      <c r="G1516" s="11">
        <v>46052</v>
      </c>
      <c r="H1516" s="7">
        <f t="shared" si="121"/>
        <v>5</v>
      </c>
      <c r="I1516" s="7">
        <f t="shared" si="122"/>
        <v>1</v>
      </c>
      <c r="J1516" s="7" t="str">
        <f t="shared" si="123"/>
        <v>Dentro</v>
      </c>
      <c r="K1516" s="7" t="str">
        <f t="shared" si="124"/>
        <v>A tiempo</v>
      </c>
      <c r="L1516" s="11">
        <v>46052</v>
      </c>
      <c r="M1516" s="22">
        <f t="shared" si="125"/>
        <v>1</v>
      </c>
    </row>
    <row r="1517" spans="1:13" x14ac:dyDescent="0.35">
      <c r="A1517" s="11">
        <v>46052</v>
      </c>
      <c r="B1517" s="20" t="s">
        <v>2933</v>
      </c>
      <c r="C1517" s="7" t="s">
        <v>3059</v>
      </c>
      <c r="D1517" s="7" t="s">
        <v>2471</v>
      </c>
      <c r="E1517" s="18">
        <v>46051.621527777781</v>
      </c>
      <c r="F1517" s="11">
        <f>IF(HOUR(Table1[[#This Row],[CORREO]])&gt;=11,WORKDAY(Table1[[#This Row],[CORREO]],1),E1517)</f>
        <v>46052</v>
      </c>
      <c r="G1517" s="11"/>
      <c r="H1517" s="7">
        <f t="shared" si="121"/>
        <v>5</v>
      </c>
      <c r="I1517" s="7">
        <f t="shared" si="122"/>
        <v>1</v>
      </c>
      <c r="J1517" s="7" t="str">
        <f t="shared" si="123"/>
        <v>Acumulado</v>
      </c>
      <c r="K1517" s="7" t="str">
        <f t="shared" si="124"/>
        <v>A tiempo</v>
      </c>
      <c r="L1517" s="11">
        <v>46052</v>
      </c>
      <c r="M1517" s="22">
        <f t="shared" si="125"/>
        <v>1</v>
      </c>
    </row>
    <row r="1518" spans="1:13" x14ac:dyDescent="0.35">
      <c r="A1518" s="11">
        <v>46052</v>
      </c>
      <c r="B1518" s="20" t="s">
        <v>2934</v>
      </c>
      <c r="C1518" s="7" t="s">
        <v>3060</v>
      </c>
      <c r="D1518" s="7" t="s">
        <v>1333</v>
      </c>
      <c r="E1518" s="18"/>
      <c r="F1518" s="11">
        <f>IF(HOUR(Table1[[#This Row],[CORREO]])&gt;=11,WORKDAY(Table1[[#This Row],[CORREO]],1),E1518)</f>
        <v>0</v>
      </c>
      <c r="G1518" s="11">
        <v>46052</v>
      </c>
      <c r="H1518" s="7">
        <f t="shared" si="121"/>
        <v>5</v>
      </c>
      <c r="I1518" s="7">
        <f t="shared" si="122"/>
        <v>1</v>
      </c>
      <c r="J1518" s="7" t="str">
        <f t="shared" si="123"/>
        <v>Dentro</v>
      </c>
      <c r="K1518" s="7" t="str">
        <f t="shared" si="124"/>
        <v>Programados</v>
      </c>
      <c r="L1518" s="11">
        <v>46052</v>
      </c>
      <c r="M1518" s="22">
        <f t="shared" si="125"/>
        <v>1</v>
      </c>
    </row>
    <row r="1519" spans="1:13" x14ac:dyDescent="0.35">
      <c r="A1519" s="11">
        <v>46052</v>
      </c>
      <c r="B1519" s="20" t="s">
        <v>2935</v>
      </c>
      <c r="C1519" s="7" t="s">
        <v>3061</v>
      </c>
      <c r="D1519" s="7" t="s">
        <v>406</v>
      </c>
      <c r="E1519" s="18"/>
      <c r="F1519" s="11">
        <f>IF(HOUR(Table1[[#This Row],[CORREO]])&gt;=11,WORKDAY(Table1[[#This Row],[CORREO]],1),E1519)</f>
        <v>0</v>
      </c>
      <c r="G1519" s="11">
        <v>46052</v>
      </c>
      <c r="H1519" s="7">
        <f t="shared" si="121"/>
        <v>5</v>
      </c>
      <c r="I1519" s="7">
        <f t="shared" si="122"/>
        <v>1</v>
      </c>
      <c r="J1519" s="7" t="str">
        <f t="shared" si="123"/>
        <v>Dentro</v>
      </c>
      <c r="K1519" s="7" t="str">
        <f t="shared" si="124"/>
        <v>Programados</v>
      </c>
      <c r="L1519" s="11">
        <v>46052</v>
      </c>
      <c r="M1519" s="22">
        <f t="shared" si="125"/>
        <v>1</v>
      </c>
    </row>
    <row r="1520" spans="1:13" x14ac:dyDescent="0.35">
      <c r="A1520" s="16">
        <v>46056</v>
      </c>
      <c r="B1520" s="20" t="s">
        <v>3062</v>
      </c>
      <c r="C1520" s="20" t="s">
        <v>3070</v>
      </c>
      <c r="D1520" s="20" t="s">
        <v>24</v>
      </c>
      <c r="E1520" s="21"/>
      <c r="F1520" s="16">
        <f>IF(HOUR(Table1[[#This Row],[CORREO]])&gt;=11,WORKDAY(Table1[[#This Row],[CORREO]],1),E1520)</f>
        <v>0</v>
      </c>
      <c r="G1520" s="16"/>
      <c r="H1520" s="20">
        <f>INT((A1520-DATE(YEAR(A1520),1,1))/7) + 1</f>
        <v>5</v>
      </c>
      <c r="I1520" s="20">
        <f>MAX(1,NETWORKDAYS(A1520,G1520,DATE(2025,11,17)))</f>
        <v>1</v>
      </c>
      <c r="J1520" s="20" t="str">
        <f>IF(G1520="","Acumulado",IF(ISNUMBER(SEARCH("ASAP",C1520)),"ASAP",IF(I1520&lt;=7,"Dentro",IF(A1520&gt;F1520,"Programado","Fuera"))))</f>
        <v>Acumulado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MAX(1,NETWORKDAYS(A1520,L1520))</f>
        <v>1</v>
      </c>
    </row>
    <row r="1521" spans="1:13" x14ac:dyDescent="0.35">
      <c r="A1521" s="11">
        <v>46056</v>
      </c>
      <c r="B1521" s="20" t="s">
        <v>3063</v>
      </c>
      <c r="C1521" s="7" t="s">
        <v>3071</v>
      </c>
      <c r="D1521" s="7" t="s">
        <v>61</v>
      </c>
      <c r="E1521" s="18">
        <v>46056.39166666667</v>
      </c>
      <c r="F1521" s="11">
        <f>IF(HOUR(Table1[[#This Row],[CORREO]])&gt;=11,WORKDAY(Table1[[#This Row],[CORREO]],1),E1521)</f>
        <v>46056.39166666667</v>
      </c>
      <c r="G1521" s="11">
        <v>46056</v>
      </c>
      <c r="H1521" s="7">
        <f t="shared" ref="H1521:H1527" si="126">INT((A1521-DATE(YEAR(A1521),1,1))/7) + 1</f>
        <v>5</v>
      </c>
      <c r="I1521" s="7">
        <f t="shared" ref="I1521:I1527" si="127">MAX(1,NETWORKDAYS(A1521,G1521,DATE(2025,11,17)))</f>
        <v>1</v>
      </c>
      <c r="J1521" s="7" t="str">
        <f t="shared" ref="J1521:J1527" si="128">IF(G1521="","Acumulado",IF(ISNUMBER(SEARCH("ASAP",C1521)),"ASAP",IF(I1521&lt;=7,"Dentro",IF(A1521&gt;F1521,"Programado","Fuera"))))</f>
        <v>Dentro</v>
      </c>
      <c r="K1521" s="7" t="str">
        <f t="shared" ref="K1521:K1527" si="129">IF(INT(A1521)=INT(F1521),"A tiempo", IF(A1521&lt;F1521,"Mismo día","Programados"))</f>
        <v>A tiempo</v>
      </c>
      <c r="L1521" s="11">
        <v>46056</v>
      </c>
      <c r="M1521" s="22">
        <f t="shared" ref="M1521:M1527" si="130">MAX(1,NETWORKDAYS(A1521,L1521))</f>
        <v>1</v>
      </c>
    </row>
    <row r="1522" spans="1:13" x14ac:dyDescent="0.35">
      <c r="A1522" s="11">
        <v>46056</v>
      </c>
      <c r="B1522" s="20" t="s">
        <v>3064</v>
      </c>
      <c r="C1522" s="7" t="s">
        <v>3071</v>
      </c>
      <c r="D1522" s="7" t="s">
        <v>61</v>
      </c>
      <c r="E1522" s="18">
        <v>46056.39166666667</v>
      </c>
      <c r="F1522" s="11">
        <f>IF(HOUR(Table1[[#This Row],[CORREO]])&gt;=11,WORKDAY(Table1[[#This Row],[CORREO]],1),E1522)</f>
        <v>46056.39166666667</v>
      </c>
      <c r="G1522" s="11">
        <v>46056</v>
      </c>
      <c r="H1522" s="7">
        <f t="shared" si="126"/>
        <v>5</v>
      </c>
      <c r="I1522" s="7">
        <f t="shared" si="127"/>
        <v>1</v>
      </c>
      <c r="J1522" s="7" t="str">
        <f t="shared" si="128"/>
        <v>Dentro</v>
      </c>
      <c r="K1522" s="7" t="str">
        <f t="shared" si="129"/>
        <v>A tiempo</v>
      </c>
      <c r="L1522" s="11">
        <v>46056</v>
      </c>
      <c r="M1522" s="22">
        <f t="shared" si="130"/>
        <v>1</v>
      </c>
    </row>
    <row r="1523" spans="1:13" x14ac:dyDescent="0.35">
      <c r="A1523" s="11">
        <v>46056</v>
      </c>
      <c r="B1523" s="20" t="s">
        <v>3065</v>
      </c>
      <c r="C1523" s="7" t="s">
        <v>3072</v>
      </c>
      <c r="D1523" s="7" t="s">
        <v>27</v>
      </c>
      <c r="E1523" s="18">
        <v>46056.411805555559</v>
      </c>
      <c r="F1523" s="11">
        <f>IF(HOUR(Table1[[#This Row],[CORREO]])&gt;=11,WORKDAY(Table1[[#This Row],[CORREO]],1),E1523)</f>
        <v>46056.411805555559</v>
      </c>
      <c r="G1523" s="11"/>
      <c r="H1523" s="7">
        <f t="shared" si="126"/>
        <v>5</v>
      </c>
      <c r="I1523" s="7">
        <f t="shared" si="127"/>
        <v>1</v>
      </c>
      <c r="J1523" s="7" t="str">
        <f t="shared" si="128"/>
        <v>Acumulado</v>
      </c>
      <c r="K1523" s="7" t="str">
        <f t="shared" si="129"/>
        <v>A tiempo</v>
      </c>
      <c r="L1523" s="11">
        <v>46056</v>
      </c>
      <c r="M1523" s="22">
        <f t="shared" si="130"/>
        <v>1</v>
      </c>
    </row>
    <row r="1524" spans="1:13" x14ac:dyDescent="0.35">
      <c r="A1524" s="11">
        <v>46056</v>
      </c>
      <c r="B1524" s="20" t="s">
        <v>3066</v>
      </c>
      <c r="C1524" s="7" t="s">
        <v>3073</v>
      </c>
      <c r="D1524" s="7" t="s">
        <v>517</v>
      </c>
      <c r="E1524" s="18">
        <v>46056.420138888891</v>
      </c>
      <c r="F1524" s="11">
        <f>IF(HOUR(Table1[[#This Row],[CORREO]])&gt;=11,WORKDAY(Table1[[#This Row],[CORREO]],1),E1524)</f>
        <v>46056.420138888891</v>
      </c>
      <c r="G1524" s="11">
        <v>46056</v>
      </c>
      <c r="H1524" s="7">
        <f t="shared" si="126"/>
        <v>5</v>
      </c>
      <c r="I1524" s="7">
        <f t="shared" si="127"/>
        <v>1</v>
      </c>
      <c r="J1524" s="7" t="str">
        <f t="shared" si="128"/>
        <v>Dentro</v>
      </c>
      <c r="K1524" s="7" t="str">
        <f t="shared" si="129"/>
        <v>A tiempo</v>
      </c>
      <c r="L1524" s="11">
        <v>46056</v>
      </c>
      <c r="M1524" s="22">
        <f t="shared" si="130"/>
        <v>1</v>
      </c>
    </row>
    <row r="1525" spans="1:13" x14ac:dyDescent="0.35">
      <c r="A1525" s="11">
        <v>46056</v>
      </c>
      <c r="B1525" s="20" t="s">
        <v>3067</v>
      </c>
      <c r="C1525" s="7" t="s">
        <v>3074</v>
      </c>
      <c r="D1525" s="7" t="s">
        <v>194</v>
      </c>
      <c r="E1525" s="18">
        <v>46056.42083333333</v>
      </c>
      <c r="F1525" s="11">
        <f>IF(HOUR(Table1[[#This Row],[CORREO]])&gt;=11,WORKDAY(Table1[[#This Row],[CORREO]],1),E1525)</f>
        <v>46056.42083333333</v>
      </c>
      <c r="G1525" s="11">
        <v>46056</v>
      </c>
      <c r="H1525" s="7">
        <f t="shared" si="126"/>
        <v>5</v>
      </c>
      <c r="I1525" s="7">
        <f t="shared" si="127"/>
        <v>1</v>
      </c>
      <c r="J1525" s="7" t="str">
        <f t="shared" si="128"/>
        <v>Dentro</v>
      </c>
      <c r="K1525" s="7" t="str">
        <f t="shared" si="129"/>
        <v>A tiempo</v>
      </c>
      <c r="L1525" s="11">
        <v>46056</v>
      </c>
      <c r="M1525" s="22">
        <f t="shared" si="130"/>
        <v>1</v>
      </c>
    </row>
    <row r="1526" spans="1:13" x14ac:dyDescent="0.35">
      <c r="A1526" s="11">
        <v>46056</v>
      </c>
      <c r="B1526" s="20" t="s">
        <v>3068</v>
      </c>
      <c r="C1526" s="7" t="s">
        <v>3075</v>
      </c>
      <c r="D1526" s="7" t="s">
        <v>194</v>
      </c>
      <c r="E1526" s="18">
        <v>46056.421527777777</v>
      </c>
      <c r="F1526" s="11">
        <f>IF(HOUR(Table1[[#This Row],[CORREO]])&gt;=11,WORKDAY(Table1[[#This Row],[CORREO]],1),E1526)</f>
        <v>46056.421527777777</v>
      </c>
      <c r="G1526" s="11">
        <v>46056</v>
      </c>
      <c r="H1526" s="7">
        <f t="shared" si="126"/>
        <v>5</v>
      </c>
      <c r="I1526" s="7">
        <f t="shared" si="127"/>
        <v>1</v>
      </c>
      <c r="J1526" s="7" t="str">
        <f t="shared" si="128"/>
        <v>Dentro</v>
      </c>
      <c r="K1526" s="7" t="str">
        <f t="shared" si="129"/>
        <v>A tiempo</v>
      </c>
      <c r="L1526" s="11">
        <v>46056</v>
      </c>
      <c r="M1526" s="22">
        <f t="shared" si="130"/>
        <v>1</v>
      </c>
    </row>
    <row r="1527" spans="1:13" x14ac:dyDescent="0.35">
      <c r="A1527" s="11">
        <v>46056</v>
      </c>
      <c r="B1527" s="20" t="s">
        <v>3069</v>
      </c>
      <c r="C1527" s="7" t="s">
        <v>3076</v>
      </c>
      <c r="D1527" s="7" t="s">
        <v>3077</v>
      </c>
      <c r="E1527" s="18">
        <v>46056.465277777781</v>
      </c>
      <c r="F1527" s="11">
        <f>IF(HOUR(Table1[[#This Row],[CORREO]])&gt;=11,WORKDAY(Table1[[#This Row],[CORREO]],1),E1527)</f>
        <v>46057</v>
      </c>
      <c r="G1527" s="11">
        <v>46057</v>
      </c>
      <c r="H1527" s="7">
        <f t="shared" si="126"/>
        <v>5</v>
      </c>
      <c r="I1527" s="7">
        <f t="shared" si="127"/>
        <v>2</v>
      </c>
      <c r="J1527" s="7" t="str">
        <f t="shared" si="128"/>
        <v>Dentro</v>
      </c>
      <c r="K1527" s="7" t="str">
        <f t="shared" si="129"/>
        <v>Mismo día</v>
      </c>
      <c r="L1527" s="11">
        <v>46056</v>
      </c>
      <c r="M1527" s="22">
        <f t="shared" si="130"/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2026-02-04T23:01:42Z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