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rreobuap-my.sharepoint.com/personal/rm202455570_alm_buap_mx/Documents/Documentos/Proyectos personales/Reporte mensual/"/>
    </mc:Choice>
  </mc:AlternateContent>
  <xr:revisionPtr revIDLastSave="1602" documentId="13_ncr:1_{66DC8E2D-CE0C-4D27-8E33-136B8AB8B3E7}" xr6:coauthVersionLast="47" xr6:coauthVersionMax="47" xr10:uidLastSave="{7F4E01E9-2147-43E9-84A3-F67FBB7587A3}"/>
  <bookViews>
    <workbookView xWindow="11424" yWindow="0" windowWidth="11712" windowHeight="12336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69" i="1" l="1"/>
  <c r="F2170" i="1"/>
  <c r="F2171" i="1"/>
  <c r="F2172" i="1"/>
  <c r="F2173" i="1"/>
  <c r="F2174" i="1"/>
  <c r="F2175" i="1"/>
  <c r="F2176" i="1"/>
  <c r="K2176" i="1" s="1"/>
  <c r="F2177" i="1"/>
  <c r="K2177" i="1" s="1"/>
  <c r="F2178" i="1"/>
  <c r="K2178" i="1" s="1"/>
  <c r="F2179" i="1"/>
  <c r="K2179" i="1" s="1"/>
  <c r="F2180" i="1"/>
  <c r="K2180" i="1" s="1"/>
  <c r="F2181" i="1"/>
  <c r="K2181" i="1" s="1"/>
  <c r="F2182" i="1"/>
  <c r="K2182" i="1" s="1"/>
  <c r="F2183" i="1"/>
  <c r="K2183" i="1" s="1"/>
  <c r="F2184" i="1"/>
  <c r="K2184" i="1" s="1"/>
  <c r="F2185" i="1"/>
  <c r="K2185" i="1" s="1"/>
  <c r="F2186" i="1"/>
  <c r="F2187" i="1"/>
  <c r="F2188" i="1"/>
  <c r="K2188" i="1" s="1"/>
  <c r="F2189" i="1"/>
  <c r="K2189" i="1" s="1"/>
  <c r="F2190" i="1"/>
  <c r="K2190" i="1" s="1"/>
  <c r="F2191" i="1"/>
  <c r="K2191" i="1" s="1"/>
  <c r="F2192" i="1"/>
  <c r="K2192" i="1" s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K2169" i="1"/>
  <c r="K2170" i="1"/>
  <c r="K2171" i="1"/>
  <c r="K2172" i="1"/>
  <c r="K2173" i="1"/>
  <c r="K2174" i="1"/>
  <c r="K2175" i="1"/>
  <c r="K2186" i="1"/>
  <c r="K2187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F2168" i="1"/>
  <c r="K2168" i="1" s="1"/>
  <c r="H2168" i="1"/>
  <c r="I2168" i="1"/>
  <c r="J2168" i="1"/>
  <c r="M2168" i="1"/>
  <c r="F2167" i="1"/>
  <c r="K2167" i="1" s="1"/>
  <c r="H2167" i="1"/>
  <c r="I2167" i="1"/>
  <c r="J2167" i="1"/>
  <c r="M2167" i="1"/>
  <c r="F2077" i="1"/>
  <c r="K2077" i="1" s="1"/>
  <c r="F2152" i="1"/>
  <c r="K2152" i="1" s="1"/>
  <c r="F2153" i="1"/>
  <c r="K2153" i="1" s="1"/>
  <c r="F2154" i="1"/>
  <c r="K2154" i="1" s="1"/>
  <c r="F2155" i="1"/>
  <c r="K2155" i="1" s="1"/>
  <c r="F2156" i="1"/>
  <c r="K2156" i="1" s="1"/>
  <c r="F2157" i="1"/>
  <c r="K2157" i="1" s="1"/>
  <c r="F2158" i="1"/>
  <c r="K2158" i="1" s="1"/>
  <c r="F2159" i="1"/>
  <c r="K2159" i="1" s="1"/>
  <c r="F2160" i="1"/>
  <c r="K2160" i="1" s="1"/>
  <c r="F2161" i="1"/>
  <c r="K2161" i="1" s="1"/>
  <c r="F2162" i="1"/>
  <c r="K2162" i="1" s="1"/>
  <c r="F2163" i="1"/>
  <c r="K2163" i="1" s="1"/>
  <c r="F2164" i="1"/>
  <c r="K2164" i="1" s="1"/>
  <c r="F2165" i="1"/>
  <c r="K2165" i="1" s="1"/>
  <c r="F2166" i="1"/>
  <c r="K2166" i="1" s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J2152" i="1"/>
  <c r="J2157" i="1"/>
  <c r="J2158" i="1"/>
  <c r="J2159" i="1"/>
  <c r="J2160" i="1"/>
  <c r="J2161" i="1"/>
  <c r="J2162" i="1"/>
  <c r="J2164" i="1"/>
  <c r="J2165" i="1"/>
  <c r="J2166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F2092" i="1"/>
  <c r="K2092" i="1" s="1"/>
  <c r="F2093" i="1"/>
  <c r="K2093" i="1" s="1"/>
  <c r="F2094" i="1"/>
  <c r="K2094" i="1" s="1"/>
  <c r="F2095" i="1"/>
  <c r="J2095" i="1" s="1"/>
  <c r="F2096" i="1"/>
  <c r="J2096" i="1" s="1"/>
  <c r="F2097" i="1"/>
  <c r="K2097" i="1" s="1"/>
  <c r="F2098" i="1"/>
  <c r="K2098" i="1" s="1"/>
  <c r="F2099" i="1"/>
  <c r="K2099" i="1" s="1"/>
  <c r="F2100" i="1"/>
  <c r="J2100" i="1" s="1"/>
  <c r="F2101" i="1"/>
  <c r="J2101" i="1" s="1"/>
  <c r="F2102" i="1"/>
  <c r="K2102" i="1" s="1"/>
  <c r="F2103" i="1"/>
  <c r="K2103" i="1" s="1"/>
  <c r="F2104" i="1"/>
  <c r="K2104" i="1" s="1"/>
  <c r="F2105" i="1"/>
  <c r="K2105" i="1" s="1"/>
  <c r="F2106" i="1"/>
  <c r="K2106" i="1" s="1"/>
  <c r="F2107" i="1"/>
  <c r="K2107" i="1" s="1"/>
  <c r="F2108" i="1"/>
  <c r="K2108" i="1" s="1"/>
  <c r="F2109" i="1"/>
  <c r="J2109" i="1" s="1"/>
  <c r="F2110" i="1"/>
  <c r="K2110" i="1" s="1"/>
  <c r="F2111" i="1"/>
  <c r="K2111" i="1" s="1"/>
  <c r="F2112" i="1"/>
  <c r="K2112" i="1" s="1"/>
  <c r="F2113" i="1"/>
  <c r="K2113" i="1" s="1"/>
  <c r="F2114" i="1"/>
  <c r="J2114" i="1" s="1"/>
  <c r="F2115" i="1"/>
  <c r="K2115" i="1" s="1"/>
  <c r="F2116" i="1"/>
  <c r="K2116" i="1" s="1"/>
  <c r="F2117" i="1"/>
  <c r="J2117" i="1" s="1"/>
  <c r="F2118" i="1"/>
  <c r="J2118" i="1" s="1"/>
  <c r="F2119" i="1"/>
  <c r="K2119" i="1" s="1"/>
  <c r="F2120" i="1"/>
  <c r="K2120" i="1" s="1"/>
  <c r="F2121" i="1"/>
  <c r="K2121" i="1" s="1"/>
  <c r="F2122" i="1"/>
  <c r="J2122" i="1" s="1"/>
  <c r="F2123" i="1"/>
  <c r="K2123" i="1" s="1"/>
  <c r="F2124" i="1"/>
  <c r="J2124" i="1" s="1"/>
  <c r="F2125" i="1"/>
  <c r="K2125" i="1" s="1"/>
  <c r="F2126" i="1"/>
  <c r="J2126" i="1" s="1"/>
  <c r="F2127" i="1"/>
  <c r="K2127" i="1" s="1"/>
  <c r="F2128" i="1"/>
  <c r="K2128" i="1" s="1"/>
  <c r="F2129" i="1"/>
  <c r="K2129" i="1" s="1"/>
  <c r="F2130" i="1"/>
  <c r="J2130" i="1" s="1"/>
  <c r="F2131" i="1"/>
  <c r="K2131" i="1" s="1"/>
  <c r="F2132" i="1"/>
  <c r="K2132" i="1" s="1"/>
  <c r="F2133" i="1"/>
  <c r="J2133" i="1" s="1"/>
  <c r="F2134" i="1"/>
  <c r="K2134" i="1" s="1"/>
  <c r="F2135" i="1"/>
  <c r="K2135" i="1" s="1"/>
  <c r="F2136" i="1"/>
  <c r="K2136" i="1" s="1"/>
  <c r="F2137" i="1"/>
  <c r="K2137" i="1" s="1"/>
  <c r="F2138" i="1"/>
  <c r="K2138" i="1" s="1"/>
  <c r="F2139" i="1"/>
  <c r="K2139" i="1" s="1"/>
  <c r="F2140" i="1"/>
  <c r="K2140" i="1" s="1"/>
  <c r="F2141" i="1"/>
  <c r="K2141" i="1" s="1"/>
  <c r="F2142" i="1"/>
  <c r="K2142" i="1" s="1"/>
  <c r="F2143" i="1"/>
  <c r="K2143" i="1" s="1"/>
  <c r="F2144" i="1"/>
  <c r="K2144" i="1" s="1"/>
  <c r="F2145" i="1"/>
  <c r="K2145" i="1" s="1"/>
  <c r="F2146" i="1"/>
  <c r="J2146" i="1" s="1"/>
  <c r="F2147" i="1"/>
  <c r="K2147" i="1" s="1"/>
  <c r="F2148" i="1"/>
  <c r="K2148" i="1" s="1"/>
  <c r="F2149" i="1"/>
  <c r="K2149" i="1" s="1"/>
  <c r="F2150" i="1"/>
  <c r="J2150" i="1" s="1"/>
  <c r="F2151" i="1"/>
  <c r="K2151" i="1" s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J2110" i="1"/>
  <c r="J2140" i="1"/>
  <c r="J214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F2050" i="1"/>
  <c r="K2050" i="1" s="1"/>
  <c r="F2051" i="1"/>
  <c r="J2051" i="1" s="1"/>
  <c r="F2052" i="1"/>
  <c r="K2052" i="1" s="1"/>
  <c r="F2053" i="1"/>
  <c r="K2053" i="1" s="1"/>
  <c r="F2054" i="1"/>
  <c r="K2054" i="1" s="1"/>
  <c r="F2055" i="1"/>
  <c r="K2055" i="1" s="1"/>
  <c r="F2056" i="1"/>
  <c r="K2056" i="1" s="1"/>
  <c r="F2057" i="1"/>
  <c r="K2057" i="1" s="1"/>
  <c r="F2058" i="1"/>
  <c r="K2058" i="1" s="1"/>
  <c r="F2059" i="1"/>
  <c r="K2059" i="1" s="1"/>
  <c r="F2060" i="1"/>
  <c r="J2060" i="1" s="1"/>
  <c r="F2061" i="1"/>
  <c r="J2061" i="1" s="1"/>
  <c r="F2062" i="1"/>
  <c r="K2062" i="1" s="1"/>
  <c r="F2063" i="1"/>
  <c r="K2063" i="1" s="1"/>
  <c r="F2064" i="1"/>
  <c r="K2064" i="1" s="1"/>
  <c r="F2065" i="1"/>
  <c r="K2065" i="1" s="1"/>
  <c r="F2066" i="1"/>
  <c r="J2066" i="1" s="1"/>
  <c r="F2067" i="1"/>
  <c r="K2067" i="1" s="1"/>
  <c r="F2068" i="1"/>
  <c r="K2068" i="1" s="1"/>
  <c r="F2069" i="1"/>
  <c r="K2069" i="1" s="1"/>
  <c r="F2070" i="1"/>
  <c r="K2070" i="1" s="1"/>
  <c r="F2071" i="1"/>
  <c r="K2071" i="1" s="1"/>
  <c r="F2072" i="1"/>
  <c r="K2072" i="1" s="1"/>
  <c r="F2073" i="1"/>
  <c r="K2073" i="1" s="1"/>
  <c r="F2074" i="1"/>
  <c r="K2074" i="1" s="1"/>
  <c r="F2075" i="1"/>
  <c r="J2075" i="1" s="1"/>
  <c r="F2076" i="1"/>
  <c r="K2076" i="1" s="1"/>
  <c r="F2078" i="1"/>
  <c r="K2078" i="1" s="1"/>
  <c r="F2079" i="1"/>
  <c r="K2079" i="1" s="1"/>
  <c r="F2080" i="1"/>
  <c r="K2080" i="1" s="1"/>
  <c r="F2081" i="1"/>
  <c r="K2081" i="1" s="1"/>
  <c r="F2082" i="1"/>
  <c r="K2082" i="1" s="1"/>
  <c r="F2083" i="1"/>
  <c r="K2083" i="1" s="1"/>
  <c r="F2084" i="1"/>
  <c r="K2084" i="1" s="1"/>
  <c r="F2085" i="1"/>
  <c r="K2085" i="1" s="1"/>
  <c r="F2086" i="1"/>
  <c r="K2086" i="1" s="1"/>
  <c r="F2087" i="1"/>
  <c r="K2087" i="1" s="1"/>
  <c r="F2088" i="1"/>
  <c r="K2088" i="1" s="1"/>
  <c r="F2089" i="1"/>
  <c r="K2089" i="1" s="1"/>
  <c r="F2090" i="1"/>
  <c r="K2090" i="1" s="1"/>
  <c r="F2091" i="1"/>
  <c r="K2091" i="1" s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J2072" i="1"/>
  <c r="J2090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F2045" i="1"/>
  <c r="K2045" i="1" s="1"/>
  <c r="F2046" i="1"/>
  <c r="K2046" i="1" s="1"/>
  <c r="F2047" i="1"/>
  <c r="K2047" i="1" s="1"/>
  <c r="F2048" i="1"/>
  <c r="K2048" i="1" s="1"/>
  <c r="F2049" i="1"/>
  <c r="J2049" i="1" s="1"/>
  <c r="H2045" i="1"/>
  <c r="H2046" i="1"/>
  <c r="H2047" i="1"/>
  <c r="H2048" i="1"/>
  <c r="H2049" i="1"/>
  <c r="I2045" i="1"/>
  <c r="I2046" i="1"/>
  <c r="I2047" i="1"/>
  <c r="I2048" i="1"/>
  <c r="I2049" i="1"/>
  <c r="J2047" i="1"/>
  <c r="M2045" i="1"/>
  <c r="M2046" i="1"/>
  <c r="M2047" i="1"/>
  <c r="M2048" i="1"/>
  <c r="M2049" i="1"/>
  <c r="F2008" i="1"/>
  <c r="K2008" i="1" s="1"/>
  <c r="F2009" i="1"/>
  <c r="K2009" i="1" s="1"/>
  <c r="F2010" i="1"/>
  <c r="K2010" i="1" s="1"/>
  <c r="F2011" i="1"/>
  <c r="J2011" i="1" s="1"/>
  <c r="F2012" i="1"/>
  <c r="K2012" i="1" s="1"/>
  <c r="F2013" i="1"/>
  <c r="K2013" i="1" s="1"/>
  <c r="F2014" i="1"/>
  <c r="K2014" i="1" s="1"/>
  <c r="F2015" i="1"/>
  <c r="K2015" i="1" s="1"/>
  <c r="F2016" i="1"/>
  <c r="J2016" i="1" s="1"/>
  <c r="F2017" i="1"/>
  <c r="K2017" i="1" s="1"/>
  <c r="F2018" i="1"/>
  <c r="K2018" i="1" s="1"/>
  <c r="F2019" i="1"/>
  <c r="J2019" i="1" s="1"/>
  <c r="F2020" i="1"/>
  <c r="J2020" i="1" s="1"/>
  <c r="F2021" i="1"/>
  <c r="K2021" i="1" s="1"/>
  <c r="F2022" i="1"/>
  <c r="K2022" i="1" s="1"/>
  <c r="F2023" i="1"/>
  <c r="K2023" i="1" s="1"/>
  <c r="F2024" i="1"/>
  <c r="K2024" i="1" s="1"/>
  <c r="F2025" i="1"/>
  <c r="K2025" i="1" s="1"/>
  <c r="F2026" i="1"/>
  <c r="K2026" i="1" s="1"/>
  <c r="F2027" i="1"/>
  <c r="K2027" i="1" s="1"/>
  <c r="F2028" i="1"/>
  <c r="K2028" i="1" s="1"/>
  <c r="F2029" i="1"/>
  <c r="K2029" i="1" s="1"/>
  <c r="F2030" i="1"/>
  <c r="K2030" i="1" s="1"/>
  <c r="F2031" i="1"/>
  <c r="K2031" i="1" s="1"/>
  <c r="F2032" i="1"/>
  <c r="J2032" i="1" s="1"/>
  <c r="F2033" i="1"/>
  <c r="K2033" i="1" s="1"/>
  <c r="F2034" i="1"/>
  <c r="K2034" i="1" s="1"/>
  <c r="F2035" i="1"/>
  <c r="K2035" i="1" s="1"/>
  <c r="F2036" i="1"/>
  <c r="K2036" i="1" s="1"/>
  <c r="F2037" i="1"/>
  <c r="K2037" i="1" s="1"/>
  <c r="F2038" i="1"/>
  <c r="K2038" i="1" s="1"/>
  <c r="F2039" i="1"/>
  <c r="K2039" i="1" s="1"/>
  <c r="F2040" i="1"/>
  <c r="K2040" i="1" s="1"/>
  <c r="F2041" i="1"/>
  <c r="K2041" i="1" s="1"/>
  <c r="F2042" i="1"/>
  <c r="K2042" i="1" s="1"/>
  <c r="F2043" i="1"/>
  <c r="K2043" i="1" s="1"/>
  <c r="F2044" i="1"/>
  <c r="K2044" i="1" s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J2009" i="1"/>
  <c r="J2017" i="1"/>
  <c r="J2024" i="1"/>
  <c r="J2025" i="1"/>
  <c r="J2030" i="1"/>
  <c r="J2036" i="1"/>
  <c r="J2040" i="1"/>
  <c r="J2041" i="1"/>
  <c r="J2044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F1957" i="1"/>
  <c r="K1957" i="1" s="1"/>
  <c r="F1958" i="1"/>
  <c r="K1958" i="1" s="1"/>
  <c r="F1959" i="1"/>
  <c r="K1959" i="1" s="1"/>
  <c r="F1960" i="1"/>
  <c r="K1960" i="1" s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K1968" i="1" s="1"/>
  <c r="F1969" i="1"/>
  <c r="K1969" i="1" s="1"/>
  <c r="F1970" i="1"/>
  <c r="K1970" i="1" s="1"/>
  <c r="F1971" i="1"/>
  <c r="J1971" i="1" s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K1977" i="1" s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K1984" i="1" s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K1990" i="1" s="1"/>
  <c r="F1991" i="1"/>
  <c r="K1991" i="1" s="1"/>
  <c r="F1992" i="1"/>
  <c r="K1992" i="1" s="1"/>
  <c r="F1993" i="1"/>
  <c r="K1993" i="1" s="1"/>
  <c r="F1994" i="1"/>
  <c r="K1994" i="1" s="1"/>
  <c r="F1995" i="1"/>
  <c r="K1995" i="1" s="1"/>
  <c r="F1996" i="1"/>
  <c r="K1996" i="1" s="1"/>
  <c r="F1997" i="1"/>
  <c r="K1997" i="1" s="1"/>
  <c r="F1998" i="1"/>
  <c r="K1998" i="1" s="1"/>
  <c r="F1999" i="1"/>
  <c r="K1999" i="1" s="1"/>
  <c r="F2000" i="1"/>
  <c r="K2000" i="1" s="1"/>
  <c r="F2001" i="1"/>
  <c r="K2001" i="1" s="1"/>
  <c r="F2002" i="1"/>
  <c r="K2002" i="1" s="1"/>
  <c r="F2003" i="1"/>
  <c r="K2003" i="1" s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J1985" i="1"/>
  <c r="J2000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J1910" i="1" s="1"/>
  <c r="F1911" i="1"/>
  <c r="J1911" i="1" s="1"/>
  <c r="H1910" i="1"/>
  <c r="H1911" i="1"/>
  <c r="I1910" i="1"/>
  <c r="I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J1899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J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J1112" i="1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J1242" i="1" s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J1359" i="1" s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J1596" i="1" s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1" i="1"/>
  <c r="J172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8" i="1"/>
  <c r="J1146" i="1"/>
  <c r="J1167" i="1"/>
  <c r="J1168" i="1"/>
  <c r="J1199" i="1"/>
  <c r="J1211" i="1"/>
  <c r="J1213" i="1"/>
  <c r="J1221" i="1"/>
  <c r="J1222" i="1"/>
  <c r="J1245" i="1"/>
  <c r="J1246" i="1"/>
  <c r="J1272" i="1"/>
  <c r="J1284" i="1"/>
  <c r="J1306" i="1"/>
  <c r="J1330" i="1"/>
  <c r="J1331" i="1"/>
  <c r="J1342" i="1"/>
  <c r="J1343" i="1"/>
  <c r="J1347" i="1"/>
  <c r="J1348" i="1"/>
  <c r="J1364" i="1"/>
  <c r="J1372" i="1"/>
  <c r="J1373" i="1"/>
  <c r="J1374" i="1"/>
  <c r="J1433" i="1"/>
  <c r="J1493" i="1"/>
  <c r="J1509" i="1"/>
  <c r="J1578" i="1"/>
  <c r="J1592" i="1"/>
  <c r="J1615" i="1"/>
  <c r="J1635" i="1"/>
  <c r="H1599" i="1"/>
  <c r="J1960" i="1" l="1"/>
  <c r="J2043" i="1"/>
  <c r="J2018" i="1"/>
  <c r="J2035" i="1"/>
  <c r="J2151" i="1"/>
  <c r="J2042" i="1"/>
  <c r="J2027" i="1"/>
  <c r="J2069" i="1"/>
  <c r="J2037" i="1"/>
  <c r="J2021" i="1"/>
  <c r="J1996" i="1"/>
  <c r="J1993" i="1"/>
  <c r="J2046" i="1"/>
  <c r="J2149" i="1"/>
  <c r="J2034" i="1"/>
  <c r="J2013" i="1"/>
  <c r="J2045" i="1"/>
  <c r="J2144" i="1"/>
  <c r="J2154" i="1"/>
  <c r="J2153" i="1"/>
  <c r="J2134" i="1"/>
  <c r="K2118" i="1"/>
  <c r="J2163" i="1"/>
  <c r="J2156" i="1"/>
  <c r="J2102" i="1"/>
  <c r="K2150" i="1"/>
  <c r="J2142" i="1"/>
  <c r="K2126" i="1"/>
  <c r="J2098" i="1"/>
  <c r="J2135" i="1"/>
  <c r="J2155" i="1"/>
  <c r="K2114" i="1"/>
  <c r="J2089" i="1"/>
  <c r="J2081" i="1"/>
  <c r="J2091" i="1"/>
  <c r="K2146" i="1"/>
  <c r="J2147" i="1"/>
  <c r="J2115" i="1"/>
  <c r="J2139" i="1"/>
  <c r="K2061" i="1"/>
  <c r="J2059" i="1"/>
  <c r="K2122" i="1"/>
  <c r="K2051" i="1"/>
  <c r="J2137" i="1"/>
  <c r="J2145" i="1"/>
  <c r="K2095" i="1"/>
  <c r="J2103" i="1"/>
  <c r="J2143" i="1"/>
  <c r="J2129" i="1"/>
  <c r="J2127" i="1"/>
  <c r="K2066" i="1"/>
  <c r="K2130" i="1"/>
  <c r="J2094" i="1"/>
  <c r="J2119" i="1"/>
  <c r="K2117" i="1"/>
  <c r="K2133" i="1"/>
  <c r="J2093" i="1"/>
  <c r="K2109" i="1"/>
  <c r="J2125" i="1"/>
  <c r="J2107" i="1"/>
  <c r="K2101" i="1"/>
  <c r="J2123" i="1"/>
  <c r="J2082" i="1"/>
  <c r="J2131" i="1"/>
  <c r="J2099" i="1"/>
  <c r="K2075" i="1"/>
  <c r="J2084" i="1"/>
  <c r="J2132" i="1"/>
  <c r="J2121" i="1"/>
  <c r="J2108" i="1"/>
  <c r="J2148" i="1"/>
  <c r="J2077" i="1"/>
  <c r="J2076" i="1"/>
  <c r="K2124" i="1"/>
  <c r="J2116" i="1"/>
  <c r="J2058" i="1"/>
  <c r="K2060" i="1"/>
  <c r="J2074" i="1"/>
  <c r="J2052" i="1"/>
  <c r="K2100" i="1"/>
  <c r="J2106" i="1"/>
  <c r="J2085" i="1"/>
  <c r="J2050" i="1"/>
  <c r="K2096" i="1"/>
  <c r="J2138" i="1"/>
  <c r="J2104" i="1"/>
  <c r="J2112" i="1"/>
  <c r="J2083" i="1"/>
  <c r="J2068" i="1"/>
  <c r="J2136" i="1"/>
  <c r="J2128" i="1"/>
  <c r="J2120" i="1"/>
  <c r="J2111" i="1"/>
  <c r="J2092" i="1"/>
  <c r="J2067" i="1"/>
  <c r="J2065" i="1"/>
  <c r="J2073" i="1"/>
  <c r="J2008" i="1"/>
  <c r="K2032" i="1"/>
  <c r="J2088" i="1"/>
  <c r="J2080" i="1"/>
  <c r="J2063" i="1"/>
  <c r="K2016" i="1"/>
  <c r="J2087" i="1"/>
  <c r="J2079" i="1"/>
  <c r="J2071" i="1"/>
  <c r="J2086" i="1"/>
  <c r="J2078" i="1"/>
  <c r="J2070" i="1"/>
  <c r="J2005" i="1"/>
  <c r="J2113" i="1"/>
  <c r="J2105" i="1"/>
  <c r="J2097" i="1"/>
  <c r="J2064" i="1"/>
  <c r="K2049" i="1"/>
  <c r="J2054" i="1"/>
  <c r="J2053" i="1"/>
  <c r="J2062" i="1"/>
  <c r="J1997" i="1"/>
  <c r="J2057" i="1"/>
  <c r="J2056" i="1"/>
  <c r="J2055" i="1"/>
  <c r="J1989" i="1"/>
  <c r="J2048" i="1"/>
  <c r="K1981" i="1"/>
  <c r="K1971" i="1"/>
  <c r="J2003" i="1"/>
  <c r="J1977" i="1"/>
  <c r="K1916" i="1"/>
  <c r="J2001" i="1"/>
  <c r="J1968" i="1"/>
  <c r="J1948" i="1"/>
  <c r="K2019" i="1"/>
  <c r="J2038" i="1"/>
  <c r="J2026" i="1"/>
  <c r="J2010" i="1"/>
  <c r="J1961" i="1"/>
  <c r="J1995" i="1"/>
  <c r="J1949" i="1"/>
  <c r="J2004" i="1"/>
  <c r="J2033" i="1"/>
  <c r="J1992" i="1"/>
  <c r="J1850" i="1"/>
  <c r="J2002" i="1"/>
  <c r="K2011" i="1"/>
  <c r="J1984" i="1"/>
  <c r="K1929" i="1"/>
  <c r="J1990" i="1"/>
  <c r="J1918" i="1"/>
  <c r="J1974" i="1"/>
  <c r="J2029" i="1"/>
  <c r="J1991" i="1"/>
  <c r="K2020" i="1"/>
  <c r="J1999" i="1"/>
  <c r="J2012" i="1"/>
  <c r="J1982" i="1"/>
  <c r="K1911" i="1"/>
  <c r="J1945" i="1"/>
  <c r="J1889" i="1"/>
  <c r="J2039" i="1"/>
  <c r="J2031" i="1"/>
  <c r="J2023" i="1"/>
  <c r="J2015" i="1"/>
  <c r="J2006" i="1"/>
  <c r="J1998" i="1"/>
  <c r="J2022" i="1"/>
  <c r="J2014" i="1"/>
  <c r="J1987" i="1"/>
  <c r="J1963" i="1"/>
  <c r="K1910" i="1"/>
  <c r="J1946" i="1"/>
  <c r="J1979" i="1"/>
  <c r="J2028" i="1"/>
  <c r="J1855" i="1"/>
  <c r="J1943" i="1"/>
  <c r="K1967" i="1"/>
  <c r="J1853" i="1"/>
  <c r="J1942" i="1"/>
  <c r="J1941" i="1"/>
  <c r="J1784" i="1"/>
  <c r="J1922" i="1"/>
  <c r="J1966" i="1"/>
  <c r="J1884" i="1"/>
  <c r="J1883" i="1"/>
  <c r="J1902" i="1"/>
  <c r="J1724" i="1"/>
  <c r="J1851" i="1"/>
  <c r="J1860" i="1"/>
  <c r="J1881" i="1"/>
  <c r="J1937" i="1"/>
  <c r="K1983" i="1"/>
  <c r="J1936" i="1"/>
  <c r="J1844" i="1"/>
  <c r="J1876" i="1"/>
  <c r="J1935" i="1"/>
  <c r="J1720" i="1"/>
  <c r="J1812" i="1"/>
  <c r="J1891" i="1"/>
  <c r="J1944" i="1"/>
  <c r="J1934" i="1"/>
  <c r="J1976" i="1"/>
  <c r="J1864" i="1"/>
  <c r="J1882" i="1"/>
  <c r="J1938" i="1"/>
  <c r="J1975" i="1"/>
  <c r="J1895" i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<sst xmlns="http://schemas.openxmlformats.org/spreadsheetml/2006/main" count="6588" uniqueCount="4410">
  <si>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</si>
  <si>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</si>
  <si>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</si>
  <si>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</si>
  <si>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</si>
  <si>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</si>
  <si>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</si>
  <si>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</si>
  <si>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</si>
  <si>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</si>
  <si>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</si>
  <si>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</si>
  <si>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</si>
  <si>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</si>
  <si>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</si>
  <si>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</si>
  <si>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</si>
  <si>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</si>
  <si>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</si>
  <si>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</si>
  <si>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</si>
  <si>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</si>
  <si>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</si>
  <si>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</si>
  <si>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</si>
  <si>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</si>
  <si>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</si>
  <si>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</si>
  <si>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</si>
  <si>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</si>
  <si>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</si>
  <si>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</si>
  <si>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</si>
  <si>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</si>
  <si>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</si>
  <si>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</si>
  <si>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</si>
  <si>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</si>
  <si>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</si>
  <si>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</si>
  <si>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</si>
  <si>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</si>
  <si>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</si>
  <si>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</si>
  <si>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</si>
  <si>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</si>
  <si>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</si>
  <si>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</si>
  <si>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</si>
  <si>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</si>
  <si>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</si>
  <si>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</si>
  <si>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</si>
  <si>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</si>
  <si>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</si>
  <si>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</si>
  <si>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</si>
  <si>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</si>
  <si>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</si>
  <si>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</si>
  <si>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</si>
  <si>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</si>
  <si>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</si>
  <si>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</si>
  <si>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</si>
  <si>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</si>
  <si>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</si>
  <si>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</si>
  <si>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</si>
  <si>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</si>
  <si>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</si>
  <si>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</si>
  <si>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</si>
  <si>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</si>
  <si>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</si>
  <si>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</si>
  <si>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</si>
  <si>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</si>
  <si>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</si>
  <si>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</si>
  <si>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</si>
  <si>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</si>
  <si>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</si>
  <si>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</si>
  <si>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</si>
  <si>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</si>
  <si>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</si>
  <si>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</si>
  <si>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</si>
  <si>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</si>
  <si>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</si>
  <si>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</si>
  <si>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</si>
  <si>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</si>
  <si>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</si>
  <si>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</si>
  <si>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</si>
  <si>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</si>
  <si>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</si>
  <si>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</si>
  <si>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</si>
  <si>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</si>
  <si>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</si>
  <si>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</si>
  <si>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</si>
  <si>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</si>
  <si>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</si>
  <si>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</si>
  <si>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</si>
  <si>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</si>
  <si>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</si>
  <si>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</si>
  <si>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</si>
  <si>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</si>
  <si>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</si>
  <si>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</si>
  <si>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</si>
  <si>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</si>
  <si>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</si>
  <si>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</si>
  <si>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</si>
  <si>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</si>
  <si>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</si>
  <si>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</si>
  <si>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</si>
  <si>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</si>
  <si>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</si>
  <si>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</si>
  <si>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</si>
  <si>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</si>
  <si>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</si>
  <si>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</si>
  <si>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</si>
  <si>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</si>
  <si>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</si>
  <si>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</si>
  <si>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</si>
  <si>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</si>
  <si>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</si>
  <si>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</si>
  <si>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</si>
  <si>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</si>
  <si>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</si>
  <si>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</si>
  <si>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</si>
  <si>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</si>
  <si>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</si>
  <si>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</si>
  <si>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</si>
  <si>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</si>
  <si>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</si>
  <si>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</si>
  <si>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</si>
  <si>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</si>
  <si>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</si>
  <si>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</si>
  <si>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</si>
  <si>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</si>
  <si>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</si>
  <si>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</si>
  <si>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</si>
  <si>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</si>
  <si>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</si>
  <si>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</si>
  <si>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</si>
  <si>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</si>
  <si>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</si>
  <si>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</si>
  <si>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</si>
  <si>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</si>
  <si>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</si>
  <si>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</si>
  <si>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</si>
  <si>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</si>
  <si>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</si>
  <si>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</si>
  <si>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</si>
  <si>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</si>
  <si>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</si>
  <si>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</si>
  <si>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</si>
  <si>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</si>
  <si>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</si>
  <si>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</si>
  <si>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</si>
  <si>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</si>
  <si>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</si>
  <si>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</si>
  <si>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</si>
  <si>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</si>
  <si>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</si>
  <si>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</si>
  <si>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</si>
  <si>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</si>
  <si>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</si>
  <si>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</si>
  <si>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</si>
  <si>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</si>
  <si>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</si>
  <si>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</si>
  <si>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</si>
  <si>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</si>
  <si>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</si>
  <si>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</si>
  <si>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</si>
  <si>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</si>
  <si>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</si>
  <si>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</si>
  <si>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</si>
  <si>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</si>
  <si>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</si>
  <si>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</si>
  <si>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</si>
  <si>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</si>
  <si>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</si>
  <si>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</si>
  <si>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</si>
  <si>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</si>
  <si>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</si>
  <si>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</si>
  <si>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</si>
  <si>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</si>
  <si>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</si>
  <si>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</si>
  <si>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</si>
  <si>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</si>
  <si>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</si>
  <si>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</si>
  <si>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</si>
  <si>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</si>
  <si>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</si>
  <si>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</si>
  <si>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</si>
  <si>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</si>
  <si>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</si>
  <si>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</si>
  <si>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</si>
  <si>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</si>
  <si>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</si>
  <si>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</si>
  <si>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</si>
  <si>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</si>
  <si>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</si>
  <si>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</si>
  <si>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</si>
  <si>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</si>
  <si>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</si>
  <si>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</si>
  <si>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</si>
  <si>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</si>
  <si>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</si>
  <si>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</si>
  <si>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</si>
  <si>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</si>
  <si>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</si>
  <si>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</si>
  <si>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</si>
  <si>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</si>
  <si>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</si>
  <si>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</si>
  <si>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</si>
  <si>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</si>
  <si>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</si>
  <si>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</si>
  <si>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</si>
  <si>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</si>
  <si>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</si>
  <si>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</si>
  <si>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</si>
  <si>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</si>
  <si>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</si>
  <si>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</si>
  <si>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</si>
  <si>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</si>
  <si>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</si>
  <si>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</si>
  <si>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</si>
  <si>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</si>
  <si>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</si>
  <si>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</si>
  <si>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</si>
  <si>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</si>
  <si>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</si>
  <si>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</si>
  <si>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</si>
  <si>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</si>
  <si>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</si>
  <si>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</si>
  <si>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</si>
  <si>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</si>
  <si>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</si>
  <si>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</si>
  <si>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</si>
  <si>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</si>
  <si>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</si>
  <si>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</si>
  <si>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</si>
  <si>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</si>
  <si>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</si>
  <si>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</si>
  <si>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</si>
  <si>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</si>
  <si>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</si>
  <si>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</si>
  <si>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</si>
  <si>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</si>
  <si>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</si>
  <si>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</si>
  <si>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</si>
  <si>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</si>
  <si>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</si>
  <si>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</si>
  <si>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</si>
  <si>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</si>
  <si>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</si>
  <si>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</si>
  <si>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</si>
  <si>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</si>
  <si>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</si>
  <si>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</si>
  <si>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</si>
  <si>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</si>
  <si>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</si>
  <si>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</si>
  <si>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</si>
  <si>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</si>
  <si>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</si>
  <si>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</si>
  <si>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</si>
  <si>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</si>
  <si>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</si>
  <si>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</si>
  <si>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</si>
  <si>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</si>
  <si>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</si>
  <si>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</si>
  <si>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</si>
  <si>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</si>
  <si>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</si>
  <si>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</si>
  <si>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</si>
  <si>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</si>
  <si>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</si>
  <si>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</si>
  <si>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</si>
  <si>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</si>
  <si>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</si>
  <si>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</si>
  <si>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</si>
  <si>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</si>
  <si>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</si>
  <si>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</si>
  <si>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</si>
  <si>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</si>
  <si>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</si>
  <si>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</si>
  <si>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</si>
  <si>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</si>
  <si>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</si>
  <si>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</si>
  <si>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</si>
  <si>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</si>
  <si>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</si>
  <si>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</si>
  <si>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</si>
  <si>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</si>
  <si>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</si>
  <si>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</si>
  <si>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</si>
  <si>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</si>
  <si>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</si>
  <si>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</si>
  <si>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</si>
  <si>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</si>
  <si>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</si>
  <si>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</si>
  <si>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</si>
  <si>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</si>
  <si>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</si>
  <si>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</si>
  <si>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</si>
  <si>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</si>
  <si>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</si>
  <si>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</si>
  <si>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</si>
  <si>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</si>
  <si>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</si>
  <si>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</si>
  <si>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</si>
  <si>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</si>
  <si>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</si>
  <si>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</si>
  <si>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</si>
  <si>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</si>
  <si>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</si>
  <si>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</si>
  <si>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</si>
  <si>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</si>
  <si>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</si>
  <si>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</si>
  <si>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</si>
  <si>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</si>
  <si>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</si>
  <si>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</si>
  <si>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</si>
  <si>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</si>
  <si>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</si>
  <si>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</si>
  <si>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</si>
  <si>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</si>
  <si>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</si>
  <si>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</si>
  <si>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</si>
  <si>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</si>
  <si>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</si>
  <si>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</si>
  <si>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</si>
  <si>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</si>
  <si>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</si>
  <si>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</si>
  <si>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</si>
  <si>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</si>
  <si>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</si>
  <si>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</si>
  <si>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</si>
  <si>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</si>
  <si>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</si>
  <si>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</si>
  <si>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</si>
  <si>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</si>
  <si>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</si>
  <si>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</si>
  <si>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</si>
  <si>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</si>
  <si>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</si>
  <si>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</si>
  <si>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</si>
  <si>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</si>
  <si>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</si>
  <si>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</si>
  <si>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</si>
  <si>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</si>
  <si>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</si>
  <si>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</si>
  <si>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</si>
  <si>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</si>
  <si>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</si>
  <si>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</si>
  <si>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</si>
  <si>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</si>
  <si>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</si>
  <si>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</si>
  <si>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</si>
  <si>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</si>
  <si>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</si>
  <si>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</si>
  <si>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</si>
  <si>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</si>
  <si>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</si>
  <si>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</si>
  <si>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</si>
  <si>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</si>
  <si>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</si>
  <si>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</si>
  <si>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</si>
  <si>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</si>
  <si>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</si>
  <si>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</si>
  <si>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</si>
  <si>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</si>
  <si>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</si>
  <si>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</si>
  <si>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</si>
  <si>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</si>
  <si>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</si>
  <si>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</si>
  <si>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</si>
  <si>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</si>
  <si>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</si>
  <si>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</si>
  <si>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</si>
  <si>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</si>
  <si>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</si>
  <si>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</si>
  <si>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</si>
  <si>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</si>
  <si>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</si>
  <si>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</si>
  <si>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</si>
  <si>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</si>
  <si>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</si>
  <si>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</si>
  <si>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</si>
  <si>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</si>
  <si>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</si>
  <si>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</si>
  <si>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</si>
  <si>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</si>
  <si>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</si>
  <si>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</si>
  <si>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</si>
  <si>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</si>
  <si>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</si>
  <si>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</si>
  <si>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</si>
  <si>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</si>
  <si>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</si>
  <si>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</si>
  <si>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</si>
  <si>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</si>
  <si>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</si>
  <si>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</si>
  <si>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</si>
  <si>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</si>
  <si>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</si>
  <si>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</si>
  <si>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</si>
  <si>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</si>
  <si>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</si>
  <si>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</si>
  <si>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</si>
  <si>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</si>
  <si>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</si>
  <si>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</si>
  <si>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</si>
  <si>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</si>
  <si>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</si>
  <si>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</si>
  <si>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</si>
  <si>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</si>
  <si>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</si>
  <si>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</si>
  <si>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</si>
  <si>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</si>
  <si>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</si>
  <si>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</si>
  <si>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</si>
  <si>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</si>
  <si>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</si>
  <si>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</si>
  <si>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</si>
  <si>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</si>
  <si>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</si>
  <si>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</si>
  <si>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</si>
  <si>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</si>
  <si>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</si>
  <si>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</si>
  <si>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</si>
  <si>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</si>
  <si>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</si>
  <si>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</si>
  <si>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</si>
  <si>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</si>
  <si>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</si>
  <si>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</si>
  <si>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</si>
  <si>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</si>
  <si>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</si>
  <si>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</si>
  <si>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</si>
  <si>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</si>
  <si>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</si>
  <si>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</si>
  <si>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</si>
  <si>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</si>
  <si>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</si>
  <si>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</si>
  <si>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</si>
  <si>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</si>
  <si>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</si>
  <si>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</si>
  <si>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</si>
  <si>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</si>
  <si>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</si>
  <si>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</si>
  <si>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</si>
  <si>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</si>
  <si>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</si>
  <si>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</si>
  <si>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</si>
  <si>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</si>
  <si>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</si>
  <si>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</si>
  <si>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</si>
  <si>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</si>
  <si>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</si>
  <si>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</si>
  <si>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</si>
  <si>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</si>
  <si>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</si>
  <si>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</si>
  <si>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</si>
  <si>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</si>
  <si>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</si>
  <si>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</si>
  <si>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</si>
  <si>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</si>
  <si>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</si>
  <si>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</si>
  <si>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</si>
  <si>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</si>
  <si>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</si>
  <si>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</si>
  <si>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</si>
  <si>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</si>
  <si>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</si>
  <si>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</si>
  <si>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</si>
  <si>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</si>
  <si>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</si>
  <si>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</si>
  <si>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</si>
  <si>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</si>
  <si>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</si>
  <si>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</si>
  <si>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</si>
  <si>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</si>
  <si>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</si>
  <si>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</si>
  <si>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</si>
  <si>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</si>
  <si>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</si>
  <si>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</si>
  <si>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</si>
  <si>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</si>
  <si>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</si>
  <si>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</si>
  <si>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</si>
  <si>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</si>
  <si>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</si>
  <si>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</si>
  <si>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</si>
  <si>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</si>
  <si>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</si>
  <si>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</si>
  <si>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</si>
  <si>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</si>
  <si>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</si>
  <si>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</si>
  <si>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</si>
  <si>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</si>
  <si>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</si>
  <si>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</si>
  <si>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</si>
  <si>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</si>
  <si>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</si>
  <si>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</si>
  <si>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</si>
  <si>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</si>
  <si>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</si>
  <si>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</si>
  <si>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</si>
  <si>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</si>
  <si>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</si>
  <si>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</si>
  <si>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</si>
  <si>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</si>
  <si>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</si>
  <si>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</si>
  <si>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</si>
  <si>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</si>
  <si>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</si>
  <si>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</si>
  <si>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</si>
  <si>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</si>
  <si>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</si>
  <si>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</si>
  <si>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</si>
  <si>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</si>
  <si>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</si>
  <si>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</si>
  <si>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</si>
  <si>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</si>
  <si>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</si>
  <si>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</si>
  <si>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</si>
  <si>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</si>
  <si>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</si>
  <si>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</si>
  <si>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</si>
  <si>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</si>
  <si>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</si>
  <si>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</si>
  <si>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</si>
  <si>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</si>
  <si>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</si>
  <si>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</si>
  <si>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</si>
  <si>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</si>
  <si>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</si>
  <si>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</si>
  <si>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</si>
  <si>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</si>
  <si>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</si>
  <si>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</si>
  <si>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</si>
  <si>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</si>
  <si>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</si>
  <si>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</si>
  <si>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</si>
  <si>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</si>
  <si>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</si>
  <si>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</si>
  <si>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</si>
  <si>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</si>
  <si>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</si>
  <si>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</si>
  <si>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</si>
  <si>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</si>
  <si>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</si>
  <si>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</si>
  <si>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</si>
  <si>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</si>
  <si>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</si>
  <si>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</si>
  <si>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</si>
  <si>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</si>
  <si>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</si>
  <si>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</si>
  <si>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</si>
  <si>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</si>
  <si>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</si>
  <si>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</si>
  <si>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</si>
  <si>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</si>
  <si>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</si>
  <si>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</si>
  <si>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</si>
  <si>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</si>
  <si>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</si>
  <si>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</si>
  <si>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</si>
  <si>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</si>
  <si>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</si>
  <si>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</si>
  <si>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</si>
  <si>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</si>
  <si>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</si>
  <si>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</si>
  <si>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</si>
  <si>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</si>
  <si>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</si>
  <si>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</si>
  <si>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</si>
  <si>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</si>
  <si>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</si>
  <si>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</si>
  <si>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</si>
  <si>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</si>
  <si>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</si>
  <si>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</si>
  <si>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</si>
  <si>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</si>
  <si>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</si>
  <si>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</si>
  <si>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</si>
  <si>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</si>
  <si>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</si>
  <si>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</si>
  <si>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</si>
  <si>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</si>
  <si>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</si>
  <si>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</si>
  <si>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</si>
  <si>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</si>
  <si>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</si>
  <si>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</si>
  <si>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</si>
  <si>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</si>
  <si>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</si>
  <si>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</si>
  <si>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</si>
  <si>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</si>
  <si>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</si>
  <si>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</si>
  <si>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</si>
  <si>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</si>
  <si>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</si>
  <si>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</si>
  <si>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</si>
  <si>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</si>
  <si>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</si>
  <si>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</si>
  <si>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</si>
  <si>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</si>
  <si>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</si>
  <si>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</si>
  <si>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</si>
  <si>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</si>
  <si>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</si>
  <si>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</si>
  <si>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</si>
  <si>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</si>
  <si>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</si>
  <si>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</si>
  <si>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</si>
  <si>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</si>
  <si>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</si>
  <si>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</si>
  <si>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</si>
  <si>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</si>
  <si>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</si>
  <si>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</si>
  <si>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</si>
  <si>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</si>
  <si>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</si>
  <si>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</si>
  <si>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</si>
  <si>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</si>
  <si>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</si>
  <si>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</si>
  <si>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</si>
  <si>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</si>
  <si>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</si>
  <si>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</si>
  <si>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</si>
  <si>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</si>
  <si>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</si>
  <si>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</si>
  <si>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</si>
  <si>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</si>
  <si>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</si>
  <si>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</si>
  <si>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</si>
  <si>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</si>
  <si>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</si>
  <si>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</si>
  <si>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</si>
  <si>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</si>
  <si>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</si>
  <si>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</si>
  <si>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</si>
  <si>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</si>
  <si>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</si>
  <si>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</si>
  <si>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</si>
  <si>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</si>
  <si>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</si>
  <si>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</si>
  <si>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</si>
  <si>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</si>
  <si>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</si>
  <si>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</si>
  <si>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</si>
  <si>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</si>
  <si>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</si>
  <si>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</si>
  <si>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</si>
  <si>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</si>
  <si>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</si>
  <si>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</si>
  <si>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</si>
  <si>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</si>
  <si>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</si>
  <si>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</si>
  <si>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</si>
  <si>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</si>
  <si>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</si>
  <si>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</si>
  <si>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</si>
  <si>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</si>
  <si>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</si>
  <si>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</si>
  <si>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</si>
  <si>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</si>
  <si>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</si>
  <si>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</si>
  <si>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</si>
  <si>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</si>
  <si>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</si>
  <si>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</si>
  <si>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</si>
  <si>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</si>
  <si>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</si>
  <si>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</si>
  <si>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</si>
  <si>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</si>
  <si>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</si>
  <si>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</si>
  <si>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</si>
  <si>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</si>
  <si>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</si>
  <si>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</si>
  <si>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</si>
  <si>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</si>
  <si>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</si>
  <si>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</si>
  <si>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</si>
  <si>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</si>
  <si>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</si>
  <si>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</si>
  <si>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</si>
  <si>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</si>
  <si>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</si>
  <si>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</si>
  <si>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</si>
  <si>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</si>
  <si>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</si>
  <si>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</si>
  <si>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</si>
  <si>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</si>
  <si>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</si>
  <si>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</si>
  <si>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</si>
  <si>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</si>
  <si>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</si>
  <si>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</si>
  <si>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</si>
  <si>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</si>
  <si>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</si>
  <si>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</si>
  <si>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</si>
  <si>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</si>
  <si>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</si>
  <si>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</si>
  <si>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</si>
  <si>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</si>
  <si>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</si>
  <si>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</si>
  <si>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</si>
  <si>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</si>
  <si>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</si>
  <si>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</si>
  <si>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</si>
  <si>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</si>
  <si>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</si>
  <si>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</si>
  <si>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</si>
  <si>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</si>
  <si>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</si>
  <si>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</si>
  <si>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</si>
  <si>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</si>
  <si>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</si>
  <si>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</si>
  <si>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</si>
  <si>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</si>
  <si>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</si>
  <si>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</si>
  <si>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</si>
  <si>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</si>
  <si>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</si>
  <si>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</si>
  <si>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</si>
  <si>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</si>
  <si>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</si>
  <si>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</si>
  <si>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</si>
  <si>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</si>
  <si>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</si>
  <si>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</si>
  <si>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</si>
  <si>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</si>
  <si>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</si>
  <si>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</si>
  <si>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</si>
  <si>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</si>
  <si>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</si>
  <si>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</si>
  <si>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</si>
  <si>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</si>
  <si>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</si>
  <si>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</si>
  <si>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</si>
  <si>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</si>
  <si>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</si>
  <si>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</si>
  <si>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</si>
  <si>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</si>
  <si>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</si>
  <si>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</si>
  <si>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</si>
  <si>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</si>
  <si>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</si>
  <si>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</si>
  <si>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</si>
  <si>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</si>
  <si>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</si>
  <si>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</si>
  <si>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</si>
  <si>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</si>
  <si>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</si>
  <si>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</si>
  <si>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</si>
  <si>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</si>
  <si>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</si>
  <si>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</si>
  <si>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</si>
  <si>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</si>
  <si>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</si>
  <si>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</si>
  <si>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</si>
  <si>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</si>
  <si>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</si>
  <si>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</si>
  <si>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</si>
  <si>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</si>
  <si>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</si>
  <si>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</si>
  <si>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</si>
  <si>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</si>
  <si>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</si>
  <si>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</si>
  <si>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</si>
  <si>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</si>
  <si>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</si>
  <si>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</si>
  <si>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</si>
  <si>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</si>
  <si>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</si>
  <si>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</si>
  <si>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</si>
  <si>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</si>
  <si>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</si>
  <si>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</si>
  <si>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</si>
  <si>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</si>
  <si>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</si>
  <si>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</si>
  <si>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</si>
  <si>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</si>
  <si>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</si>
  <si>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</si>
  <si>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</si>
  <si>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</si>
  <si>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</si>
  <si>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</si>
  <si>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</si>
  <si>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</si>
  <si>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</si>
  <si>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</si>
  <si>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</si>
  <si>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</si>
  <si>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</si>
  <si>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</si>
  <si>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</si>
  <si>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</si>
  <si>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</si>
  <si>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</si>
  <si>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</si>
  <si>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</si>
  <si>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</si>
  <si>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</si>
  <si>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</si>
  <si>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</si>
  <si>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</si>
  <si>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</si>
  <si>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</si>
  <si>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</si>
  <si>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</si>
  <si>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</si>
  <si>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</si>
  <si>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</si>
  <si>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</si>
  <si>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</si>
  <si>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</si>
  <si>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</si>
  <si>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</si>
  <si>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</si>
  <si>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</si>
  <si>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</si>
  <si>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</si>
  <si>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</si>
  <si>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</si>
  <si>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</si>
  <si>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</si>
  <si>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</si>
  <si>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</si>
  <si>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</si>
  <si>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</si>
  <si>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</si>
  <si>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</si>
  <si>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</si>
  <si>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</si>
  <si>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</si>
  <si>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</si>
  <si>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</si>
  <si>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</si>
  <si>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</si>
  <si>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</si>
  <si>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</si>
  <si>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</si>
  <si>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</si>
  <si>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</si>
  <si>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</si>
  <si>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</si>
  <si>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</si>
  <si>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</si>
  <si>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</si>
  <si>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</si>
  <si>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</si>
  <si>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</si>
  <si>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</si>
  <si>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</si>
  <si>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</si>
  <si>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</si>
  <si>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</si>
  <si>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</si>
  <si>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</si>
  <si>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</si>
  <si>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</si>
  <si>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</si>
  <si>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</si>
  <si>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</si>
  <si>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</si>
  <si>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</si>
  <si>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</si>
  <si>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</si>
  <si>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</si>
  <si>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</si>
  <si>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</si>
  <si>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</si>
  <si>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</si>
  <si>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</si>
  <si>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</si>
  <si>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</si>
  <si>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</si>
  <si>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</si>
  <si>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</si>
  <si>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</si>
  <si>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</si>
  <si>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</si>
  <si>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</si>
  <si>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</si>
  <si>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</si>
  <si>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</si>
  <si>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</si>
  <si>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</si>
  <si>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</si>
  <si>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</si>
  <si>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</si>
  <si>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</si>
  <si>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</si>
  <si>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</si>
  <si>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</si>
  <si>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</si>
  <si>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</si>
  <si>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</si>
  <si>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</si>
  <si>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</si>
  <si>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</si>
  <si>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</si>
  <si>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</si>
  <si>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</si>
  <si>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</si>
  <si>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</si>
  <si>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</si>
  <si>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</si>
  <si>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</si>
  <si>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</si>
  <si>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</si>
  <si>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</si>
  <si>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</si>
  <si>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</si>
  <si>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</si>
  <si>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</si>
  <si>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</si>
  <si>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</si>
  <si>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</si>
  <si>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</si>
  <si>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</si>
  <si>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</si>
  <si>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</si>
  <si>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</si>
  <si>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</si>
  <si>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</si>
  <si>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</si>
  <si>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</si>
  <si>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</si>
  <si>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</si>
  <si>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</si>
  <si>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</si>
  <si>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</si>
  <si>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</si>
  <si>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</si>
  <si>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</si>
  <si>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</si>
  <si>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</si>
  <si>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</si>
  <si>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</si>
  <si>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</si>
  <si>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</si>
  <si>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</si>
  <si>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</si>
  <si>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</si>
  <si>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</si>
  <si>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</si>
  <si>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</si>
  <si>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</si>
  <si>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</si>
  <si>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</si>
  <si>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</si>
  <si>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</si>
  <si>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</si>
  <si>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</si>
  <si>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</si>
  <si>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</si>
  <si>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</si>
  <si>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</si>
  <si>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</si>
  <si>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</si>
  <si>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</si>
  <si>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</si>
  <si>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</si>
  <si>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</si>
  <si>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</si>
  <si>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</si>
  <si>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</si>
  <si>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</si>
  <si>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</si>
  <si>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</si>
  <si>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</si>
  <si>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</si>
  <si>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</si>
  <si>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</si>
  <si>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</si>
  <si>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</si>
  <si>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</si>
  <si>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</si>
  <si>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</si>
  <si>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</si>
  <si>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</si>
  <si>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</si>
  <si>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</si>
  <si>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</si>
  <si>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</si>
  <si>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</si>
  <si>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</si>
  <si>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</si>
  <si>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</si>
  <si>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</si>
  <si>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</si>
  <si>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</si>
  <si>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</si>
  <si>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</si>
  <si>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</si>
  <si>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</si>
  <si>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</si>
  <si>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</si>
  <si>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</si>
  <si>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</si>
  <si>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</si>
  <si>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</si>
  <si>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</si>
  <si>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</si>
  <si>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</si>
  <si>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</si>
  <si>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</si>
  <si>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</si>
  <si>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</si>
  <si>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</si>
  <si>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</si>
  <si>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</si>
  <si>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</si>
  <si>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</si>
  <si>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</si>
  <si>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</si>
  <si>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</si>
  <si>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</si>
  <si>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</si>
  <si>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</si>
  <si>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</si>
  <si>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</si>
  <si>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</si>
  <si>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</si>
  <si>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</si>
  <si>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</si>
  <si>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</si>
  <si>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</si>
  <si>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</si>
  <si>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</si>
  <si>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</si>
  <si>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</si>
  <si>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</si>
  <si>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</si>
  <si>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</si>
  <si>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</si>
  <si>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</si>
  <si>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</si>
  <si>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</si>
  <si>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</si>
  <si>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</si>
  <si>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</si>
  <si>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</si>
  <si>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</si>
  <si>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</si>
  <si>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</si>
  <si>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</si>
  <si>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</si>
  <si>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</si>
  <si>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</si>
  <si>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</si>
  <si>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</si>
  <si>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</si>
  <si>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</si>
  <si>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</si>
  <si>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</si>
  <si>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</si>
  <si>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</si>
  <si>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</si>
  <si>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</si>
  <si>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</si>
  <si>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</si>
  <si>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</si>
  <si>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</si>
  <si>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</si>
  <si>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</si>
  <si>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</si>
  <si>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</si>
  <si>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</si>
  <si>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</si>
  <si>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</si>
  <si>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</si>
  <si>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</si>
  <si>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</si>
  <si>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</si>
  <si>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</si>
  <si>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</si>
  <si>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</si>
  <si>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</si>
  <si>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</si>
  <si>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</si>
  <si>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</si>
  <si>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</si>
  <si>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</si>
  <si>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</si>
  <si>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</si>
  <si>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</si>
  <si>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</si>
  <si>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</si>
  <si>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</si>
  <si>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</si>
  <si>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</si>
  <si>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</si>
  <si>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</si>
  <si>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</si>
  <si>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</si>
  <si>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</si>
  <si>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</si>
  <si>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</si>
  <si>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</si>
  <si>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</si>
  <si>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</si>
  <si>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</si>
  <si>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</si>
  <si>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</si>
  <si>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</si>
  <si>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</si>
  <si>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</si>
  <si>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</si>
  <si>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</si>
  <si>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</si>
  <si>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</si>
  <si>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</si>
  <si>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</si>
  <si>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</si>
  <si>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</si>
  <si>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</si>
  <si>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</si>
  <si>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</si>
  <si>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</si>
  <si>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</si>
  <si>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</si>
  <si>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</si>
  <si>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</si>
  <si>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</si>
  <si>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</si>
  <si>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</si>
  <si>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</si>
  <si>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</si>
  <si>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</si>
  <si>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</si>
  <si>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</si>
  <si>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</si>
  <si>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</si>
  <si>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</si>
  <si>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</si>
  <si>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</si>
  <si>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</si>
  <si>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</si>
  <si>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</si>
  <si>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</si>
  <si>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</si>
  <si>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</si>
  <si>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</si>
  <si>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</si>
  <si>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</si>
  <si>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</si>
  <si>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</si>
  <si>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</si>
  <si>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</si>
  <si>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</si>
  <si>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</si>
  <si>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</si>
  <si>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</si>
  <si>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</si>
  <si>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</si>
  <si>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</si>
  <si>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</si>
  <si>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</si>
  <si>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</si>
  <si>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</si>
  <si>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</si>
  <si>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</si>
  <si>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</si>
  <si>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</si>
  <si>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</si>
  <si>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</si>
  <si>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</si>
  <si>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</si>
  <si>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</si>
  <si>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</si>
  <si>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</si>
  <si>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</si>
  <si>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</si>
  <si>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</si>
  <si>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</si>
  <si>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</si>
  <si>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</si>
  <si>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</si>
  <si>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</si>
  <si>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</si>
  <si>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</si>
  <si>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</si>
  <si>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</si>
  <si>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</si>
  <si>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</si>
  <si>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</si>
  <si>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</si>
  <si>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</si>
  <si>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</si>
  <si>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</si>
  <si>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</si>
  <si>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</si>
  <si>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</si>
  <si>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</si>
  <si>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</si>
  <si>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</si>
  <si>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</si>
  <si>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</si>
  <si>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</si>
  <si>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</si>
  <si>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</si>
  <si>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</si>
  <si>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</si>
  <si>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</si>
  <si>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</si>
  <si>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</si>
  <si>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</si>
  <si>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</si>
  <si>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</si>
  <si>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</si>
  <si>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</si>
  <si>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</si>
  <si>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</si>
  <si>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</si>
  <si>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</si>
  <si>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</si>
  <si>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</si>
  <si>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</si>
  <si>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</si>
  <si>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</si>
  <si>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</si>
  <si>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</si>
  <si>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</si>
  <si>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</si>
  <si>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</si>
  <si>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</si>
  <si>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</si>
  <si>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</si>
  <si>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</si>
  <si>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</si>
  <si>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</si>
  <si>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</si>
  <si>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</si>
  <si>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</si>
  <si>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</si>
  <si>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</si>
  <si>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</si>
  <si>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</si>
  <si>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</si>
  <si>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</si>
  <si>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</si>
  <si>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</si>
  <si>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</si>
  <si>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</si>
  <si>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</si>
  <si>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</si>
  <si>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</si>
  <si>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</si>
  <si>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</si>
  <si>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</si>
  <si>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</si>
  <si>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</si>
  <si>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</si>
  <si>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</si>
  <si>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</si>
  <si>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</si>
  <si>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</si>
  <si>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</si>
  <si>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</si>
  <si>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</si>
  <si>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</si>
  <si>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</si>
  <si>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</si>
  <si>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</si>
  <si>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</si>
  <si>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</si>
  <si>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</si>
  <si>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</si>
  <si>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</si>
  <si>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</si>
  <si>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</si>
  <si>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</si>
  <si>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</si>
  <si>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</si>
  <si>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</si>
  <si>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</si>
  <si>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</si>
  <si>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</si>
  <si>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</si>
  <si>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</si>
  <si>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</si>
  <si>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</si>
  <si>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</si>
  <si>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</si>
  <si>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</si>
  <si>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</si>
  <si>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</si>
  <si>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</si>
  <si>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</si>
  <si>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</si>
  <si>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</si>
  <si>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</si>
  <si>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</si>
  <si>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</si>
  <si>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</si>
  <si>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</si>
  <si>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</si>
  <si>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</si>
  <si>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</si>
  <si>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</si>
  <si>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</si>
  <si>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</si>
  <si>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</si>
  <si>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</si>
  <si>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</si>
  <si>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</si>
  <si>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</si>
  <si>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</si>
  <si>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</si>
  <si>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</si>
  <si>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</si>
  <si>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</si>
  <si>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</si>
  <si>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</si>
  <si>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</si>
  <si>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</si>
  <si>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</si>
  <si>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</si>
  <si>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</si>
  <si>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</si>
  <si>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</si>
  <si>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</si>
  <si>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</si>
  <si>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</si>
  <si>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</si>
  <si>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</si>
  <si>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</si>
  <si>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</si>
  <si>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</si>
  <si>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</si>
  <si>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</si>
  <si>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</si>
  <si>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</si>
  <si>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</si>
  <si>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</si>
  <si>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</si>
  <si>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</si>
  <si>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</si>
  <si>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</si>
  <si>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</si>
  <si>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</si>
  <si>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</si>
  <si>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</si>
  <si>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</si>
  <si>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</si>
  <si>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</si>
  <si>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</si>
  <si>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</si>
  <si>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</si>
  <si>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</si>
  <si>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</si>
  <si>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</si>
  <si>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</si>
  <si>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</si>
  <si>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</si>
  <si>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</si>
  <si>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</si>
  <si>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</si>
  <si>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</si>
  <si>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</si>
  <si>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</si>
  <si>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</si>
  <si>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</si>
  <si>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</si>
  <si>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</si>
  <si>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</si>
  <si>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</si>
  <si>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</si>
  <si>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</si>
  <si>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</si>
  <si>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</si>
  <si>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</si>
  <si>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</si>
  <si>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</si>
  <si>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</si>
  <si>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</si>
  <si>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</si>
  <si>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</si>
  <si>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</si>
  <si>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</si>
  <si>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</si>
  <si>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</si>
  <si>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</si>
  <si>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</si>
  <si>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</si>
  <si>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</si>
  <si>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</si>
  <si>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</si>
  <si>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</si>
  <si>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</si>
  <si>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</si>
  <si>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</si>
  <si>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</si>
  <si>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</si>
  <si>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</si>
  <si>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</si>
  <si>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</si>
  <si>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</si>
  <si>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</si>
  <si>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</si>
  <si>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</si>
  <si>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</si>
  <si>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</si>
  <si>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</si>
  <si>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</si>
  <si>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</si>
  <si>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</si>
  <si>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</si>
  <si>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</si>
  <si>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</si>
  <si>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</si>
  <si>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</si>
  <si>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</si>
  <si>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</si>
  <si>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</si>
  <si>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</si>
  <si>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</si>
  <si>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</si>
  <si>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</si>
  <si>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</si>
  <si>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</si>
  <si>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</si>
  <si>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</si>
  <si>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</si>
  <si>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</si>
  <si>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</si>
  <si>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</si>
  <si>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</si>
  <si>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</si>
  <si>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</si>
  <si>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</si>
  <si>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</si>
  <si>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</si>
  <si>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</si>
  <si>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</si>
  <si>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</si>
  <si>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</si>
  <si>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</si>
  <si>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</si>
  <si>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</si>
  <si>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</si>
  <si>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</si>
  <si>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</si>
  <si>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</si>
  <si>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</si>
  <si>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</si>
  <si>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</si>
  <si>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</si>
  <si>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</si>
  <si>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</si>
  <si>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</si>
  <si>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</si>
  <si>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</si>
  <si>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</si>
  <si>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</si>
  <si>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</si>
  <si>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</si>
  <si>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</si>
  <si>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</si>
  <si>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</si>
  <si>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</si>
  <si>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</si>
  <si>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</si>
  <si>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</si>
  <si>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</si>
  <si>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</si>
  <si>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</si>
  <si>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</si>
  <si>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</si>
  <si>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</si>
  <si>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</si>
  <si>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</si>
  <si>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</si>
  <si>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</si>
  <si>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</si>
  <si>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</si>
  <si>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</si>
  <si>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</si>
  <si>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</si>
  <si>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</si>
  <si>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</si>
  <si>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</si>
  <si>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</si>
  <si>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</si>
  <si>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</si>
  <si>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</si>
  <si>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</si>
  <si>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</si>
  <si>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</si>
  <si>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</si>
  <si>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</si>
  <si>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</si>
  <si>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</si>
  <si>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</si>
  <si>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</si>
  <si>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</si>
  <si>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</si>
  <si>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</si>
  <si>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</si>
  <si>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</si>
  <si>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</si>
  <si>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</si>
  <si>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</si>
  <si>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</si>
  <si>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</si>
  <si>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</si>
  <si>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</si>
  <si>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</si>
  <si>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</si>
  <si>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</si>
  <si>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</si>
  <si>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</si>
  <si>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</si>
  <si>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</si>
  <si>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</si>
  <si>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</si>
  <si>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</si>
  <si>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</si>
  <si>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</si>
  <si>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</si>
  <si>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</si>
  <si>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</si>
  <si>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</si>
  <si>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</si>
  <si>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</si>
  <si>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</si>
  <si>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</si>
  <si>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</si>
  <si>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</si>
  <si>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</si>
  <si>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</si>
  <si>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</si>
  <si>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</si>
  <si>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</si>
  <si>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</si>
  <si>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</si>
  <si>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</si>
  <si>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</si>
  <si>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</si>
  <si>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</si>
  <si>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</si>
  <si>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</si>
  <si>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</si>
  <si>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</si>
  <si>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</si>
  <si>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</si>
  <si>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</si>
  <si>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</si>
  <si>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</si>
  <si>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</si>
  <si>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</si>
  <si>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</si>
  <si>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</si>
  <si>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</si>
  <si>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</si>
  <si>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</si>
  <si>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</si>
  <si>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</si>
  <si>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</si>
  <si>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</si>
  <si>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</si>
  <si>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</si>
  <si>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</si>
  <si>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</si>
  <si>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</si>
  <si>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</si>
  <si>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</si>
  <si>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</si>
  <si>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</si>
  <si>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</si>
  <si>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</si>
  <si>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</si>
  <si>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</si>
  <si>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</si>
  <si>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</si>
  <si>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</si>
  <si>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</si>
  <si>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</si>
  <si>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</si>
  <si>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</si>
  <si>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</si>
  <si>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</si>
  <si>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</si>
  <si>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</si>
  <si>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</si>
  <si>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</si>
  <si>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</si>
  <si>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</si>
  <si>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</si>
  <si>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</si>
  <si>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</si>
  <si>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</si>
  <si>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</si>
  <si>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</si>
  <si>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</si>
  <si>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</si>
  <si>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</si>
  <si>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</si>
  <si>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</si>
  <si>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</si>
  <si>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</si>
  <si>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</si>
  <si>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</si>
  <si>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</si>
  <si>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</si>
  <si>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</si>
  <si>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</si>
  <si>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</si>
  <si>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</si>
  <si>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</si>
  <si>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</si>
  <si>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</si>
  <si>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</si>
  <si>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</si>
  <si>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</si>
  <si>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</si>
  <si>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</si>
  <si>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</si>
  <si>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</si>
  <si>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</si>
  <si>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</si>
  <si>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</si>
  <si>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</si>
  <si>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</si>
  <si>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</si>
  <si>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</si>
  <si>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</si>
  <si>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</si>
  <si>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</si>
  <si>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</si>
  <si>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</si>
  <si>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</si>
  <si>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</si>
  <si>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</si>
  <si>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</si>
  <si>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</si>
  <si>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</si>
  <si>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</si>
  <si>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</si>
  <si>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</si>
  <si>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</si>
  <si>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</si>
  <si>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</si>
  <si>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</si>
  <si>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</si>
  <si>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</si>
  <si>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</si>
  <si>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</si>
  <si>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</si>
  <si>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</si>
  <si>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</si>
  <si>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</si>
  <si>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</si>
  <si>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</si>
  <si>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</si>
  <si>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</si>
  <si>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</si>
  <si>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</si>
  <si>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</si>
  <si>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</si>
  <si>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</si>
  <si>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</si>
  <si>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</si>
  <si>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</si>
  <si>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</si>
  <si>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</si>
  <si>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</si>
  <si>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</si>
  <si>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</si>
  <si>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</si>
  <si>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</si>
  <si>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</si>
  <si>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</si>
  <si>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</si>
  <si>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</si>
  <si>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</si>
  <si>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</si>
  <si>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</si>
  <si>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</si>
  <si>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</si>
  <si>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</si>
  <si>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</si>
  <si>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</si>
  <si>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</si>
  <si>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</si>
  <si>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</si>
  <si>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</si>
  <si>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</si>
  <si>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</si>
  <si>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</si>
  <si>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</si>
  <si>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</si>
  <si>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</si>
  <si>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</si>
  <si>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</si>
  <si>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</si>
  <si>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</si>
  <si>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</si>
  <si>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</si>
  <si>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</si>
  <si>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</si>
  <si>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</si>
  <si>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</si>
  <si>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</si>
  <si>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</si>
  <si>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</si>
  <si>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</si>
  <si>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</si>
  <si>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</si>
  <si>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</si>
  <si>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</si>
  <si>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</si>
  <si>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</si>
  <si>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</si>
  <si>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</si>
  <si>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</si>
  <si>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</si>
  <si>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</si>
  <si>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</si>
  <si>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</si>
  <si>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</si>
  <si>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</si>
  <si>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</si>
  <si>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</si>
  <si>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</si>
  <si>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</si>
  <si>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</si>
  <si>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</si>
  <si>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</si>
  <si>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</si>
  <si>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</si>
  <si>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</si>
  <si>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</si>
  <si>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</si>
  <si>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</si>
  <si>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</si>
  <si>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</si>
  <si>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</si>
  <si>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</si>
  <si>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</si>
  <si>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</si>
  <si>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</si>
  <si>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</si>
  <si>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</si>
  <si>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</si>
  <si>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</si>
  <si>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</si>
  <si>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</si>
  <si>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</si>
  <si>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</si>
  <si>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</si>
  <si>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</si>
  <si>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</si>
  <si>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</si>
  <si>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</si>
  <si>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</si>
  <si>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</si>
  <si>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</si>
  <si>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</si>
  <si>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</si>
  <si>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</si>
  <si>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</si>
  <si>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</si>
  <si>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</si>
  <si>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</si>
  <si>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</si>
  <si>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</si>
  <si>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</si>
  <si>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</si>
  <si>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</si>
  <si>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</si>
  <si>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</si>
  <si>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</si>
  <si>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</si>
  <si>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</si>
  <si>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</si>
  <si>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</si>
  <si>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</si>
  <si>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</si>
  <si>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</si>
  <si>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</si>
  <si>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</si>
  <si>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</si>
  <si>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</si>
  <si>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</si>
  <si>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</si>
  <si>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</si>
  <si>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</si>
  <si>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</si>
  <si>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</si>
  <si>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</si>
  <si>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</si>
  <si>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</si>
  <si>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</si>
  <si>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</si>
  <si>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</si>
  <si>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</si>
  <si>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</si>
  <si>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</si>
  <si>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</si>
  <si>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</si>
  <si>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</si>
  <si>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</si>
  <si>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</si>
  <si>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</si>
  <si>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</si>
  <si>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</si>
  <si>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</si>
  <si>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</si>
  <si>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</si>
  <si>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</si>
  <si>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</si>
  <si>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</si>
  <si>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</si>
  <si>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</si>
  <si>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</si>
  <si>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</si>
  <si>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</si>
  <si>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</si>
  <si>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</si>
  <si>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</si>
  <si>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</si>
  <si>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</si>
  <si>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</si>
  <si>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</si>
  <si>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</si>
  <si>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</si>
  <si>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</si>
  <si>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</si>
  <si>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</si>
  <si>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</si>
  <si>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</si>
  <si>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</si>
  <si>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</si>
  <si>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</si>
  <si>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</si>
  <si>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</si>
  <si>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</si>
  <si>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</si>
  <si>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</si>
  <si>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</si>
  <si>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</si>
  <si>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</si>
  <si>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</si>
  <si>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</si>
  <si>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</si>
  <si>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</si>
  <si>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</si>
  <si>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</si>
  <si>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</si>
  <si>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</si>
  <si>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</si>
  <si>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</si>
  <si>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</si>
  <si>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</si>
  <si>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</si>
  <si>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</si>
  <si>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</si>
  <si>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</si>
  <si>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</si>
  <si>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</si>
  <si>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</si>
  <si>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</si>
  <si>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</si>
  <si>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</si>
  <si>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</si>
  <si>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</si>
  <si>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</si>
  <si>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</si>
  <si>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</si>
  <si>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</si>
  <si>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</si>
  <si>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</si>
  <si>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</si>
  <si>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</si>
  <si>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</si>
  <si>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</si>
  <si>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</si>
  <si>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</si>
  <si>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</si>
  <si>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</si>
  <si>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</si>
  <si>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</si>
  <si>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</si>
  <si>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</si>
  <si>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</si>
  <si>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</si>
  <si>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</si>
  <si>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</si>
  <si>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</si>
  <si>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</si>
  <si>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</si>
  <si>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</si>
  <si>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</si>
  <si>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</si>
  <si>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</si>
  <si>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</si>
  <si>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</si>
  <si>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</si>
  <si>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</si>
  <si>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</si>
  <si>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</si>
  <si>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</si>
  <si>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</si>
  <si>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</si>
  <si>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</si>
  <si>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</si>
  <si>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</si>
  <si>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</si>
  <si>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</si>
  <si>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</si>
  <si>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</si>
  <si>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</si>
  <si>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</si>
  <si>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</si>
  <si>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</si>
  <si>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</si>
  <si>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</si>
  <si>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</si>
  <si>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</si>
  <si>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</si>
  <si>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</si>
  <si>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</si>
  <si>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</si>
  <si>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</si>
  <si>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</si>
  <si>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</si>
  <si>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</si>
  <si>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</si>
  <si>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</si>
  <si>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</si>
  <si>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</si>
  <si>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</si>
  <si>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</si>
  <si>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</si>
  <si>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</si>
  <si>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</si>
  <si>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</si>
  <si>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</si>
  <si>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</si>
  <si>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</si>
  <si>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</si>
  <si>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</si>
  <si>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</si>
  <si>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</si>
  <si>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</si>
  <si>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</si>
  <si>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</si>
  <si>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</si>
  <si>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</si>
  <si>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</si>
  <si>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</si>
  <si>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</si>
  <si>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</si>
  <si>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</si>
  <si>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</si>
  <si>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</si>
  <si>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</si>
  <si>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</si>
  <si>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</si>
  <si>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</si>
  <si>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</si>
  <si>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</si>
  <si>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</si>
  <si>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</si>
  <si>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</si>
  <si>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</si>
  <si>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</si>
  <si>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</si>
  <si>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</si>
  <si>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</si>
  <si>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</si>
  <si>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</si>
  <si>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</si>
  <si>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</si>
  <si>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</si>
  <si>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</si>
  <si>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</si>
  <si>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</si>
  <si>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</si>
  <si>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</si>
  <si>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</si>
  <si>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</si>
  <si>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</si>
  <si>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</si>
  <si>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</si>
  <si>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</si>
  <si>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</si>
  <si>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</si>
  <si>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</si>
  <si>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</si>
  <si>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</si>
  <si>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</si>
  <si>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</si>
  <si>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</si>
  <si>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</si>
  <si>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</si>
  <si>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</si>
  <si>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</si>
  <si>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</si>
  <si>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</si>
  <si>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</si>
  <si>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</si>
  <si>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</si>
  <si>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</si>
  <si>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</si>
  <si>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</si>
  <si>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</si>
  <si>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</si>
  <si>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</si>
  <si>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</si>
  <si>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</si>
  <si>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</si>
  <si>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</si>
  <si>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</si>
  <si>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</si>
  <si>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</si>
  <si>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</si>
  <si>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</si>
  <si>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</si>
  <si>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</si>
  <si>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</si>
  <si>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</si>
  <si>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</si>
  <si>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</si>
  <si>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</si>
  <si>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</si>
  <si>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</si>
  <si>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</si>
  <si>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</si>
  <si>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</si>
  <si>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</si>
  <si>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</si>
  <si>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</si>
  <si>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</si>
  <si>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</si>
  <si>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</si>
  <si>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</si>
  <si>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</si>
  <si>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</si>
  <si>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</si>
  <si>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</si>
  <si>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</si>
  <si>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</si>
  <si>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</si>
  <si>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</si>
  <si>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</si>
  <si>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</si>
  <si>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</si>
  <si>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</si>
  <si>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</si>
  <si>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</si>
  <si>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</si>
  <si>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</si>
  <si>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</si>
  <si>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</si>
  <si>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</si>
  <si>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</si>
  <si>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</si>
  <si>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</si>
  <si>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</si>
  <si>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</si>
  <si>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</si>
  <si>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</si>
  <si>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</si>
  <si>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</si>
  <si>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</si>
  <si>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</si>
  <si>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</si>
  <si>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</si>
  <si>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</si>
  <si>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</si>
  <si>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</si>
  <si>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</si>
  <si>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</si>
  <si>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</si>
  <si>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</si>
  <si>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</si>
  <si>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</si>
  <si>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</si>
  <si>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</si>
  <si>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</si>
  <si>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</si>
  <si>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</si>
  <si>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</si>
  <si>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</si>
  <si>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</si>
  <si>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</si>
  <si>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</si>
  <si>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</si>
  <si>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</si>
  <si>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</si>
  <si>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</si>
  <si>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</si>
  <si>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</si>
  <si>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</si>
  <si>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</si>
  <si>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</si>
  <si>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</si>
  <si>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</si>
  <si>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</si>
  <si>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</si>
  <si>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</si>
  <si>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</si>
  <si>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</si>
  <si>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</si>
  <si>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</si>
  <si>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</si>
  <si>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</si>
  <si>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</si>
  <si>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</si>
  <si>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</si>
  <si>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</si>
  <si>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</si>
  <si>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</si>
  <si>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</si>
  <si>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</si>
  <si>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</si>
  <si>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</si>
  <si>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</si>
  <si>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</si>
  <si>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</si>
  <si>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</si>
  <si>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</si>
  <si>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</si>
  <si>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</si>
  <si>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</si>
  <si>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</si>
  <si>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</si>
  <si>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</si>
  <si>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</si>
  <si>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</si>
  <si>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</si>
  <si>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</si>
  <si>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</si>
  <si>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</si>
  <si>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</si>
  <si>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</si>
  <si>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</si>
  <si>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</si>
  <si>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</si>
  <si>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</si>
  <si>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</si>
  <si>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</si>
  <si>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</si>
  <si>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</si>
  <si>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</si>
  <si>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</si>
  <si>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</si>
  <si>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</si>
  <si>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</si>
  <si>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</si>
  <si>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</si>
  <si>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</si>
  <si>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</si>
  <si>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</si>
  <si>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</si>
  <si>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</si>
  <si>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</si>
  <si>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</si>
  <si>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</si>
  <si>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</si>
  <si>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</si>
  <si>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</si>
  <si>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</si>
  <si>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</si>
  <si>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</si>
  <si>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</si>
  <si>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</si>
  <si>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</si>
  <si>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</si>
  <si>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</si>
  <si>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</si>
  <si>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</si>
  <si>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</si>
  <si>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</si>
  <si>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</si>
  <si>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</si>
  <si>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</si>
  <si>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</si>
  <si>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</si>
  <si>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</si>
  <si>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</si>
  <si>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</si>
  <si>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</si>
  <si>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</si>
  <si>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</si>
  <si>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</si>
  <si>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</si>
  <si>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</si>
  <si>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</si>
  <si>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</si>
  <si>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</si>
  <si>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</si>
  <si>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</si>
  <si>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</si>
  <si>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</si>
  <si>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</si>
  <si>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</si>
  <si>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</si>
  <si>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</si>
  <si>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</si>
  <si>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</si>
  <si>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</si>
  <si>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</si>
  <si>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</si>
  <si>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</si>
  <si>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</si>
  <si>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</si>
  <si>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</si>
  <si>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</si>
  <si>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</si>
  <si>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</si>
  <si>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</si>
  <si>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</si>
  <si>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</si>
  <si>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</si>
  <si>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</si>
  <si>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</si>
  <si>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</si>
  <si>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</si>
  <si>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</si>
  <si>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</si>
  <si>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</si>
  <si>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</si>
  <si>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</si>
  <si>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</si>
  <si>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</si>
  <si>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</si>
  <si>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</si>
  <si>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</si>
  <si>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</si>
  <si>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</si>
  <si>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</si>
  <si>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</si>
  <si>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</si>
  <si>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</si>
  <si>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</si>
  <si>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</si>
  <si>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</si>
  <si>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</si>
  <si>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</si>
  <si>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</si>
  <si>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</si>
  <si>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</si>
  <si>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</si>
  <si>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</si>
  <si>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</si>
  <si>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</si>
  <si>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</si>
  <si>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</si>
  <si>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</si>
  <si>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</si>
  <si>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</si>
  <si>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</si>
  <si>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</si>
  <si>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</si>
  <si>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</si>
  <si>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</si>
  <si>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</si>
  <si>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</si>
  <si>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</si>
  <si>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</si>
  <si>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</si>
  <si>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</si>
  <si>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</si>
  <si>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</si>
  <si>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</si>
  <si>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</si>
  <si>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</si>
  <si>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</si>
  <si>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</si>
  <si>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</si>
  <si>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</si>
  <si>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</si>
  <si>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</si>
  <si>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</si>
  <si>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</si>
  <si>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</si>
  <si>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</si>
  <si>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</si>
  <si>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</si>
  <si>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</si>
  <si>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</si>
  <si>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</si>
  <si>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</si>
  <si>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</si>
  <si>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</si>
  <si>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</si>
  <si>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</si>
  <si>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</si>
  <si>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</si>
  <si>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</si>
  <si>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</si>
  <si>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</si>
  <si>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</si>
  <si>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</si>
  <si>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</si>
  <si>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</si>
  <si>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</si>
  <si>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</si>
  <si>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</si>
  <si>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</si>
  <si>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</si>
  <si>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</si>
  <si>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</si>
  <si>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</si>
  <si>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</si>
  <si>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</si>
  <si>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</si>
  <si>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</si>
  <si>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</si>
  <si>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</si>
  <si>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</si>
  <si>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</si>
  <si>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</si>
  <si>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</si>
  <si>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</si>
  <si>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</si>
  <si>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</si>
  <si>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</si>
  <si>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</si>
  <si>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</si>
  <si>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</si>
  <si>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</si>
  <si>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</si>
  <si>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</si>
  <si>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</si>
  <si>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</si>
  <si>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</si>
  <si>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</si>
  <si>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</si>
  <si>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</si>
  <si>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</si>
  <si>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</si>
  <si>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</si>
  <si>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</si>
  <si>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</si>
  <si>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</si>
  <si>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</si>
  <si>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</si>
  <si>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</si>
  <si>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</si>
  <si>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</si>
  <si>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</si>
  <si>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</si>
  <si>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</si>
  <si>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</si>
  <si>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</si>
  <si>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</si>
  <si>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</si>
  <si>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</si>
  <si>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</si>
  <si>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</si>
  <si>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</si>
  <si>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</si>
  <si>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</si>
  <si>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</si>
  <si>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</si>
  <si>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</si>
  <si>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</si>
  <si>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</si>
  <si>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</si>
  <si>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</si>
  <si>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</si>
  <si>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</si>
  <si>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</si>
  <si>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</si>
  <si>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</si>
  <si>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</si>
  <si>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</si>
  <si>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</si>
  <si>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</si>
  <si>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</si>
  <si>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</si>
  <si>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</si>
  <si>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</si>
  <si>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</si>
  <si>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</si>
  <si>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</si>
  <si>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</si>
  <si>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</si>
  <si>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</si>
  <si>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</si>
  <si>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</si>
  <si>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</si>
  <si>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</si>
  <si>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</si>
  <si>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</si>
  <si>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</si>
  <si>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</si>
  <si>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</si>
  <si>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</si>
  <si>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</si>
  <si>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</si>
  <si>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</si>
  <si>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</si>
  <si>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</si>
  <si>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</si>
  <si>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</si>
  <si>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</si>
  <si>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</si>
  <si>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</si>
  <si>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</si>
  <si>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</si>
  <si>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</si>
  <si>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</si>
  <si>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</si>
  <si>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</si>
  <si>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</si>
  <si>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</si>
  <si>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</si>
  <si>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</si>
  <si>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</si>
  <si>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</si>
  <si>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</si>
  <si>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</si>
  <si>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</si>
  <si>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</si>
  <si>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</si>
  <si>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</si>
  <si>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</si>
  <si>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</si>
  <si>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</si>
  <si>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</si>
  <si>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</si>
  <si>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</si>
  <si>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</si>
  <si>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</si>
  <si>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</si>
  <si>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</si>
  <si>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</si>
  <si>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</si>
  <si>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</si>
  <si>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</si>
  <si>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</si>
  <si>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</si>
  <si>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</si>
  <si>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</si>
  <si>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</si>
  <si>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</si>
  <si>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</si>
  <si>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</si>
  <si>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</si>
  <si>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</si>
  <si>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</si>
  <si>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</si>
  <si>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</si>
  <si>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</si>
  <si>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</si>
  <si>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</si>
  <si>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</si>
  <si>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</si>
  <si>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</si>
  <si>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</si>
  <si>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</si>
  <si>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</si>
  <si>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</si>
  <si>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</si>
  <si>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</si>
  <si>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</si>
  <si>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</si>
  <si>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</si>
  <si>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</si>
  <si>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</si>
  <si>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</si>
  <si>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</si>
  <si>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</si>
  <si>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</si>
  <si>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</si>
  <si>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</si>
  <si>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</si>
  <si>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</si>
  <si>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</si>
  <si>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</si>
  <si>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</si>
  <si>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</si>
  <si>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</si>
  <si>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</si>
  <si>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</si>
  <si>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</si>
  <si>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</si>
  <si>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</si>
  <si>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</si>
  <si>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</si>
  <si>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</si>
  <si>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</si>
  <si>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</si>
  <si>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</si>
  <si>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</si>
  <si>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</si>
  <si>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</si>
  <si>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</si>
  <si>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</si>
  <si>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</si>
  <si>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</si>
  <si>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</si>
  <si>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</si>
  <si>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</si>
  <si>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</si>
  <si>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</si>
  <si>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</si>
  <si>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</si>
  <si>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</si>
  <si>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</si>
  <si>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</si>
  <si>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</si>
  <si>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</si>
  <si>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</si>
  <si>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</si>
  <si>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</si>
  <si>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</si>
  <si>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</si>
  <si>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</si>
  <si>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</si>
  <si>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</si>
  <si>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</si>
  <si>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</si>
  <si>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</si>
  <si>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</si>
  <si>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</si>
  <si>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</si>
  <si>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</si>
  <si>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</si>
  <si>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</si>
  <si>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</si>
  <si>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</si>
  <si>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</si>
  <si>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</si>
  <si>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</si>
  <si>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</si>
  <si>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</si>
  <si>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</si>
  <si>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</si>
  <si>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</si>
  <si>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</si>
  <si>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</si>
  <si>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</si>
  <si>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</si>
  <si>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</si>
  <si>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</si>
  <si>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</si>
  <si>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</si>
  <si>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</si>
  <si>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</si>
  <si>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</si>
  <si>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</si>
  <si>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</si>
  <si>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</si>
  <si>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</si>
  <si>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</si>
  <si>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</si>
  <si>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</si>
  <si>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</si>
  <si>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</si>
  <si>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</si>
  <si>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</si>
  <si>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</si>
  <si>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</si>
  <si>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</si>
  <si>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</si>
  <si>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</si>
  <si>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</si>
  <si>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</si>
  <si>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</si>
  <si>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</si>
  <si>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</si>
  <si>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</si>
  <si>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</si>
  <si>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</si>
  <si>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</si>
  <si>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</si>
  <si>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</si>
  <si>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</si>
  <si>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</si>
  <si>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</si>
  <si>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</si>
  <si>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</si>
  <si>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</si>
  <si>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</si>
  <si>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</si>
  <si>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</si>
  <si>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</si>
  <si>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</si>
  <si>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</si>
  <si>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</si>
  <si>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</si>
  <si>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</si>
  <si>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</si>
  <si>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</si>
  <si>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</si>
  <si>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</si>
  <si>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</si>
  <si>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</si>
  <si>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</si>
  <si>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</si>
  <si>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</si>
  <si>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</si>
  <si>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</si>
  <si>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</si>
  <si>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</si>
  <si>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</si>
  <si>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</si>
  <si>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</si>
  <si>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</si>
  <si>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</si>
  <si>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</si>
  <si>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</si>
  <si>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</si>
  <si>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</si>
  <si>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</si>
  <si>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</si>
  <si>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</si>
  <si>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</si>
  <si>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</si>
  <si>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</si>
  <si>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</si>
  <si>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</si>
  <si>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</si>
  <si>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</si>
  <si>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</si>
  <si>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</si>
  <si>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</si>
  <si>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</si>
  <si>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</si>
  <si>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</si>
  <si>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</si>
  <si>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</si>
  <si>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</si>
  <si>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</si>
  <si>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</si>
  <si>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</si>
  <si>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</si>
  <si>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</si>
  <si>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</si>
  <si>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</si>
  <si>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</si>
  <si>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</si>
  <si>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</si>
  <si>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</si>
  <si>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</si>
  <si>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</si>
  <si>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</si>
  <si>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</si>
  <si>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</si>
  <si>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</si>
  <si>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</si>
  <si>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</si>
  <si>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</si>
  <si>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</si>
  <si>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</si>
  <si>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</si>
  <si>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</si>
  <si>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</si>
  <si>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</si>
  <si>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</si>
  <si>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</si>
  <si>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</si>
  <si>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</si>
  <si>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</si>
  <si>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</si>
  <si>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</si>
  <si>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</si>
  <si>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</si>
  <si>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</si>
  <si>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</si>
  <si>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</si>
  <si>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</si>
  <si>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</si>
  <si>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</si>
  <si>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</si>
  <si>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</si>
  <si>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</si>
  <si>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</si>
  <si>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</si>
  <si>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</si>
  <si>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</si>
  <si>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</si>
  <si>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</si>
  <si>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</si>
  <si>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</si>
  <si>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</si>
  <si>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</si>
  <si>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</si>
  <si>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</si>
  <si>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</si>
  <si>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</si>
  <si>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</si>
  <si>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</si>
  <si>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</si>
  <si>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</si>
  <si>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</si>
  <si>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</si>
  <si>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</si>
  <si>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</si>
  <si>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</si>
  <si>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</si>
  <si>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</si>
  <si>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</si>
  <si>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</si>
  <si>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</si>
  <si>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</si>
  <si>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</si>
  <si>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</si>
  <si>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</si>
  <si>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</si>
  <si>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</si>
  <si>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</si>
  <si>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</si>
  <si>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</si>
  <si>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</si>
  <si>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</si>
  <si>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</si>
  <si>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</si>
  <si>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</si>
  <si>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</si>
  <si>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</si>
  <si>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</si>
  <si>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</si>
  <si>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</si>
  <si>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</si>
  <si>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</si>
  <si>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</si>
  <si>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</si>
  <si>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</si>
  <si>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</si>
  <si>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</si>
  <si>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</si>
  <si>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</si>
  <si>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</si>
  <si>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</si>
  <si>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</si>
  <si>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</si>
  <si>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</si>
  <si>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</si>
  <si>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</si>
  <si>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</si>
  <si>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</si>
  <si>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</si>
  <si>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</si>
  <si>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</si>
  <si>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</si>
  <si>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</si>
  <si>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</si>
  <si>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</si>
  <si>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</si>
  <si>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</si>
  <si>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</si>
  <si>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</si>
  <si>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</si>
  <si>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</si>
  <si>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</si>
  <si>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</si>
  <si>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</si>
  <si>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</si>
  <si>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</si>
  <si>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</si>
  <si>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</si>
  <si>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</si>
  <si>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</si>
  <si>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</si>
  <si>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</si>
  <si>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</si>
  <si>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</si>
  <si>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</si>
  <si>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</si>
  <si>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</si>
  <si>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</si>
  <si>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</si>
  <si>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</si>
  <si>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</si>
  <si>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</si>
  <si>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</si>
  <si>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</si>
  <si>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</si>
  <si>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</si>
  <si>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</si>
  <si>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</si>
  <si>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</si>
  <si>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</si>
  <si>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</si>
  <si>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</si>
  <si>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</si>
  <si>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</si>
  <si>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</si>
  <si>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</si>
  <si>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</si>
  <si>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</si>
  <si>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</si>
  <si>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</si>
  <si>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</si>
  <si>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</si>
  <si>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</si>
  <si>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</si>
  <si>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</si>
  <si>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</si>
  <si>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</si>
  <si>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</si>
  <si>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</si>
  <si>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</si>
  <si>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</si>
  <si>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</si>
  <si>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</si>
  <si>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</si>
  <si>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</si>
  <si>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</si>
  <si>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</si>
  <si>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</si>
  <si>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</si>
  <si>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</si>
  <si>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</si>
  <si>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</si>
  <si>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</si>
  <si>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</si>
  <si>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</si>
  <si>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</si>
  <si>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</si>
  <si>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</si>
  <si>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</si>
  <si>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</si>
  <si>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</si>
  <si>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</si>
  <si>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</si>
  <si>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</si>
  <si>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</si>
  <si>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</si>
  <si>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</si>
  <si>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</si>
  <si>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</si>
  <si>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</si>
  <si>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</si>
  <si>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</si>
  <si>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</si>
  <si>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</si>
  <si>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</si>
  <si>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</si>
  <si>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</si>
  <si>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</si>
  <si>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</si>
  <si>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</si>
  <si>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</si>
  <si>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</si>
  <si>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</si>
  <si>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</si>
  <si>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</si>
  <si>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</si>
  <si>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</si>
  <si>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</si>
  <si>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</si>
  <si>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</si>
  <si>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</si>
  <si>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</si>
  <si>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</si>
  <si>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</si>
  <si>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</si>
  <si>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</si>
  <si>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</si>
  <si>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</si>
  <si>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</si>
  <si>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</si>
  <si>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</si>
  <si>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</si>
  <si>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</si>
  <si>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</si>
  <si>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</si>
  <si>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</si>
  <si>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</si>
  <si>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</si>
  <si>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</si>
  <si>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</si>
  <si>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</si>
  <si>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</si>
  <si>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</si>
  <si>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</si>
  <si>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</si>
  <si>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</si>
  <si>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</si>
  <si>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</si>
  <si>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</si>
  <si>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</si>
  <si>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</si>
  <si>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</si>
  <si>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</si>
  <si>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</si>
  <si>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</si>
  <si>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</si>
  <si>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</si>
  <si>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</si>
  <si>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</si>
  <si>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</si>
  <si>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</si>
  <si>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</si>
  <si>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</si>
  <si>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</si>
  <si>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</si>
  <si>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</si>
  <si>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</si>
  <si>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</si>
  <si>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</si>
  <si>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</si>
  <si>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</si>
  <si>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</si>
  <si>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</si>
  <si>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</si>
  <si>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</si>
  <si>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</si>
  <si>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</si>
  <si>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</si>
  <si>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</si>
  <si>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</si>
  <si>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</si>
  <si>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</si>
  <si>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</si>
  <si>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</si>
  <si>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</si>
  <si>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</si>
  <si>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</si>
  <si>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</si>
  <si>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</si>
  <si>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</si>
  <si>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</si>
  <si>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</si>
  <si>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</si>
  <si>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</si>
  <si>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</si>
  <si>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</si>
  <si>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</si>
  <si>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</si>
  <si>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</si>
  <si>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</si>
  <si>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</si>
  <si>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</si>
  <si>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</si>
  <si>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</si>
  <si>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</si>
  <si>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</si>
  <si>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</si>
  <si>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</si>
  <si>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</si>
  <si>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</si>
  <si>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</si>
  <si>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</si>
  <si>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</si>
  <si>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</si>
  <si>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</si>
  <si>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</si>
  <si>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</si>
  <si>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</si>
  <si>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</si>
  <si>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</si>
  <si>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</si>
  <si>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</si>
  <si>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</si>
  <si>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</si>
  <si>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</si>
  <si>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</si>
  <si>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</si>
  <si>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</si>
  <si>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</si>
  <si>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</si>
  <si>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</si>
  <si>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</si>
  <si>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</si>
  <si>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</si>
  <si>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</si>
  <si>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</si>
  <si>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</si>
  <si>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</si>
  <si>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</si>
  <si>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</si>
  <si>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</si>
  <si>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</si>
  <si>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</si>
  <si>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</si>
  <si>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</si>
  <si>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</si>
  <si>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</si>
  <si>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</si>
  <si>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</si>
  <si>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</si>
  <si>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</si>
  <si>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</si>
  <si>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</si>
  <si>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</si>
  <si>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</si>
  <si>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</si>
  <si>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</si>
  <si>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</si>
  <si>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</si>
  <si>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</si>
  <si>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</si>
  <si>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</si>
  <si>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</si>
  <si>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</si>
  <si>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</si>
  <si>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</si>
  <si>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</si>
  <si>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</si>
  <si>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</si>
  <si>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</si>
  <si>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</si>
  <si>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</si>
  <si>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</si>
  <si>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</si>
  <si>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</si>
  <si>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</si>
  <si>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</si>
  <si>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</si>
  <si>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</si>
  <si>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</si>
  <si>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</si>
  <si>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</si>
  <si>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</si>
  <si>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</si>
  <si>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</si>
  <si>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</si>
  <si>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</si>
  <si>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</si>
  <si>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</si>
  <si>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</si>
  <si>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</si>
  <si>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</si>
  <si>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</si>
  <si>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</si>
  <si>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</si>
  <si>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</si>
  <si>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</si>
  <si>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</si>
  <si>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</si>
  <si>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</si>
  <si>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</si>
  <si>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</si>
  <si>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</si>
  <si>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</si>
  <si>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</si>
  <si>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</si>
  <si>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</si>
  <si>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</si>
  <si>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</si>
  <si>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</si>
  <si>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</si>
  <si>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</si>
  <si>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</si>
  <si>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</si>
  <si>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</si>
  <si>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</si>
  <si>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</si>
  <si>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</si>
  <si>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</si>
  <si>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</si>
  <si>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</si>
  <si>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</si>
  <si>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</si>
  <si>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</si>
  <si>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</si>
  <si>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</si>
  <si>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</si>
  <si>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</si>
  <si>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</si>
  <si>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</si>
  <si>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</si>
  <si>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</si>
  <si>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</si>
  <si>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</si>
  <si>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</si>
  <si>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</si>
  <si>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</si>
  <si>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</si>
  <si>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</si>
  <si>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</si>
  <si>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</si>
  <si>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</si>
  <si>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</si>
  <si>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</si>
  <si>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</si>
  <si>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</si>
  <si>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</si>
  <si>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</si>
  <si>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</si>
  <si>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</si>
  <si>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</si>
  <si>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</si>
  <si>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</si>
  <si>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</si>
  <si>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</si>
  <si>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</si>
  <si>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</si>
  <si>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</si>
  <si>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</si>
  <si>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</si>
  <si>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</si>
  <si>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</si>
  <si>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</si>
  <si>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</si>
  <si>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</si>
  <si>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</si>
  <si>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</si>
  <si>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</si>
  <si>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</si>
  <si>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</si>
  <si>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</si>
  <si>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</si>
  <si>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</si>
  <si>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</si>
  <si>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</si>
  <si>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</si>
  <si>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</si>
  <si>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</si>
  <si>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</si>
  <si>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</si>
  <si>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</si>
  <si>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</si>
  <si>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</si>
  <si>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</si>
  <si>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</si>
  <si>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</si>
  <si>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</si>
  <si>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</si>
  <si>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</si>
  <si>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</si>
  <si>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</si>
  <si>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</si>
  <si>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</si>
  <si>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</si>
  <si>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</si>
  <si>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</si>
  <si>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</si>
  <si>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</si>
  <si>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</si>
  <si>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</si>
  <si>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</si>
  <si>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</si>
  <si>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</si>
  <si>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</si>
  <si>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</si>
  <si>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</si>
  <si>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</si>
  <si>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</si>
  <si>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</si>
  <si>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</si>
  <si>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</si>
  <si>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</si>
  <si>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</si>
  <si>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</si>
  <si>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</si>
  <si>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</si>
  <si>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</si>
  <si>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</si>
  <si>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</si>
  <si>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</si>
  <si>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</si>
  <si>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</si>
  <si>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</si>
  <si>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</si>
  <si>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</si>
  <si>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</si>
  <si>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</si>
  <si>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</si>
  <si>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</si>
  <si>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</si>
  <si>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</si>
  <si>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</si>
  <si>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</si>
  <si>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</si>
  <si>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</si>
  <si>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</si>
  <si>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</si>
  <si>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</si>
  <si>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</si>
  <si>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</si>
  <si>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</si>
  <si>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</si>
  <si>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</si>
  <si>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</si>
  <si>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</si>
  <si>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</si>
  <si>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</si>
  <si>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</si>
  <si>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</si>
  <si>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</si>
  <si>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</si>
  <si>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</si>
  <si>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</si>
  <si>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</si>
  <si>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</si>
  <si>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</si>
  <si>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</si>
  <si>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</si>
  <si>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</si>
  <si>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</si>
  <si>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</si>
  <si>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</si>
  <si>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</si>
  <si>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</si>
  <si>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</si>
  <si>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</si>
  <si>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</si>
  <si>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</si>
  <si>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</si>
  <si>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</si>
  <si>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</si>
  <si>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</si>
  <si>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</si>
  <si>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</si>
  <si>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</si>
  <si>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</si>
  <si>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</si>
  <si>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</si>
  <si>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</si>
  <si>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</si>
  <si>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</si>
  <si>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</si>
  <si>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</si>
  <si>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</si>
  <si>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</si>
  <si>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</si>
  <si>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</si>
  <si>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</si>
  <si>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</si>
  <si>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</si>
  <si>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</si>
  <si>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</si>
  <si>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</si>
  <si>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</si>
  <si>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</si>
  <si>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</si>
  <si>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</si>
  <si>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</si>
  <si>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</si>
  <si>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</si>
  <si>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</si>
  <si>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</si>
  <si>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</si>
  <si>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</si>
  <si>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</si>
  <si>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</si>
  <si>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</si>
  <si>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</si>
  <si>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</si>
  <si>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</si>
  <si>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</si>
  <si>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</si>
  <si>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</si>
  <si>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</si>
  <si>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</si>
  <si>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</si>
  <si>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</si>
  <si>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</si>
  <si>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</si>
  <si>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</si>
  <si>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</si>
  <si>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</si>
  <si>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</si>
  <si>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</si>
  <si>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</si>
  <si>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</si>
  <si>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</si>
  <si>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</si>
  <si>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</si>
  <si>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</si>
  <si>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</si>
  <si>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</si>
  <si>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</si>
  <si>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</si>
  <si>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</si>
  <si>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</si>
  <si>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</si>
  <si>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</si>
  <si>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</si>
  <si>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</si>
  <si>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</si>
  <si>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</si>
  <si>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</si>
  <si>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</si>
  <si>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</si>
  <si>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</si>
  <si>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</si>
  <si>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</si>
  <si>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</si>
  <si>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</si>
  <si>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</si>
  <si>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</si>
  <si>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</si>
  <si>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</si>
  <si>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</si>
  <si>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</si>
  <si>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</si>
  <si>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</si>
  <si>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</si>
  <si>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</si>
  <si>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</si>
  <si>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</si>
  <si>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</si>
  <si>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</si>
  <si>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</si>
  <si>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</si>
  <si>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</si>
  <si>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</si>
  <si>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</si>
  <si>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</si>
  <si>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</si>
  <si>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</si>
  <si>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</si>
  <si>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</si>
  <si>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</si>
  <si>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</si>
  <si>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</si>
  <si>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</si>
  <si>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</si>
  <si>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</si>
  <si>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</si>
  <si>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</si>
  <si>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</si>
  <si>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</si>
  <si>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</si>
  <si>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</si>
  <si>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</si>
  <si>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</si>
  <si>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</si>
  <si>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</si>
  <si>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</si>
  <si>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</si>
  <si>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</si>
  <si>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</si>
  <si>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</si>
  <si>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</si>
  <si>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</si>
  <si>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</si>
  <si>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</si>
  <si>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</si>
  <si>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</si>
  <si>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</si>
  <si>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</si>
  <si>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</si>
  <si>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</si>
  <si>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</si>
  <si>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</si>
  <si>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</si>
  <si>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</si>
  <si>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</si>
  <si>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</si>
  <si>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</si>
  <si>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</si>
  <si>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</si>
  <si>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</si>
  <si>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</si>
  <si>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</si>
  <si>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</si>
  <si>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</si>
  <si>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</si>
  <si>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</si>
  <si>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</si>
  <si>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</si>
  <si>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</si>
  <si>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</si>
  <si>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</si>
  <si>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</si>
  <si>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</si>
  <si>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</si>
  <si>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</si>
  <si>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</si>
  <si>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</si>
  <si>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</si>
  <si>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</si>
  <si>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</si>
  <si>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</si>
  <si>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</si>
  <si>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</si>
  <si>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</si>
  <si>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</si>
  <si>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</si>
  <si>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</si>
  <si>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</si>
  <si>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</si>
  <si>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</si>
  <si>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</si>
  <si>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</si>
  <si>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</si>
  <si>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</si>
  <si>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</si>
  <si>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</si>
  <si>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</si>
  <si>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</si>
  <si>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</si>
  <si>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</si>
  <si>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</si>
  <si>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</si>
  <si>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</si>
  <si>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</si>
  <si>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</si>
  <si>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</si>
  <si>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</si>
  <si>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</si>
  <si>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</si>
  <si>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</si>
  <si>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</si>
  <si>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</si>
  <si>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</si>
  <si>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</si>
  <si>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</si>
  <si>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</si>
  <si>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</si>
  <si>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</si>
  <si>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</si>
  <si>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</si>
  <si>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</si>
  <si>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</si>
  <si>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</si>
  <si>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</si>
  <si>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</si>
  <si>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</si>
  <si>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</si>
  <si>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</si>
  <si>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</si>
  <si>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</si>
  <si>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</si>
  <si>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</si>
  <si>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</si>
  <si>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</si>
  <si>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</si>
  <si>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</si>
  <si>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</si>
  <si>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</si>
  <si>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</si>
  <si>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</si>
  <si>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</si>
  <si>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</si>
  <si>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</si>
  <si>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</si>
  <si>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</si>
  <si>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</si>
  <si>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</si>
  <si>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</si>
  <si>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</si>
  <si>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</si>
  <si>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</si>
  <si>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</si>
  <si>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</si>
  <si>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</si>
  <si>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</si>
  <si>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</si>
  <si>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</si>
  <si>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</si>
  <si>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</si>
  <si>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</si>
  <si>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</si>
  <si>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</si>
  <si>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</si>
  <si>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</si>
  <si>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</si>
  <si>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</si>
  <si>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</si>
  <si>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</si>
  <si>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</si>
  <si>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</si>
  <si>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</si>
  <si>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</si>
  <si>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</si>
  <si>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</si>
  <si>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</si>
  <si>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</si>
  <si>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</si>
  <si>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</si>
  <si>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</si>
  <si>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</si>
  <si>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</si>
  <si>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</si>
  <si>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</si>
  <si>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</si>
  <si>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</si>
  <si>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</si>
  <si>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</si>
  <si>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</si>
  <si>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</si>
  <si>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</si>
  <si>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</si>
  <si>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</si>
  <si>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</si>
  <si>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</si>
  <si>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</si>
  <si>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</si>
  <si>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</si>
  <si>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</si>
  <si>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</si>
  <si>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</si>
  <si>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</si>
  <si>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</si>
  <si>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</si>
  <si>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</si>
  <si>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</si>
  <si>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</si>
  <si>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</si>
  <si>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</si>
  <si>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</si>
  <si>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</si>
  <si>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</si>
  <si>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</si>
  <si>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</si>
  <si>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</si>
  <si>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</si>
  <si>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</si>
  <si>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</si>
  <si>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</si>
  <si>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</si>
  <si>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</si>
  <si>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</si>
  <si>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</si>
  <si>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</si>
  <si>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</si>
  <si>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</si>
  <si>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</si>
  <si>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</si>
  <si>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</si>
  <si>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</si>
  <si>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</si>
  <si>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</si>
  <si>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</si>
  <si>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</si>
  <si>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</si>
  <si>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</si>
  <si>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</si>
  <si>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</si>
  <si>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</si>
  <si>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</si>
  <si>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</si>
  <si>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</si>
  <si>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</si>
  <si>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</si>
  <si>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</si>
  <si>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</si>
  <si>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</si>
  <si>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</si>
  <si>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</si>
  <si>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</si>
  <si>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</si>
  <si>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</si>
  <si>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</si>
  <si>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</si>
  <si>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</si>
  <si>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</si>
  <si>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</si>
  <si>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</si>
  <si>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</si>
  <si>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</si>
  <si>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</si>
  <si>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</si>
  <si>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</si>
  <si>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</si>
  <si>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</si>
  <si>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</si>
  <si>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</si>
  <si>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</si>
  <si>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</si>
  <si>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</si>
  <si>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</si>
  <si>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</si>
  <si>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</si>
  <si>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</si>
  <si>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</si>
  <si>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</si>
  <si>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</si>
  <si>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</si>
  <si>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</si>
  <si>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</si>
  <si>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</si>
  <si>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</si>
  <si>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</si>
  <si>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</si>
  <si>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</si>
  <si>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</si>
  <si>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</si>
  <si>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</si>
  <si>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</si>
  <si>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</si>
  <si>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</si>
  <si>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</si>
  <si>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</si>
  <si>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</si>
  <si>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</si>
  <si>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</si>
  <si>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</si>
  <si>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</si>
  <si>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</si>
  <si>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</si>
  <si>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</si>
  <si>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</si>
  <si>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</si>
  <si>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</si>
  <si>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</si>
  <si>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</si>
  <si>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</si>
  <si>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</si>
  <si>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</si>
  <si>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</si>
  <si>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</si>
  <si>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</si>
  <si>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</si>
  <si>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</si>
  <si>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</si>
  <si>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</si>
  <si>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</si>
  <si>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</si>
  <si>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</si>
  <si>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</si>
  <si>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</si>
  <si>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</si>
  <si>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</si>
  <si>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</si>
  <si>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</si>
  <si>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</si>
  <si>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</si>
  <si>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</si>
  <si>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</si>
  <si>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</si>
  <si>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</si>
  <si>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</si>
  <si>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</si>
  <si>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</si>
  <si>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</si>
  <si>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</si>
  <si>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</si>
  <si>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</si>
  <si>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</si>
  <si>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</si>
  <si>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</si>
  <si>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</si>
  <si>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</si>
  <si>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</si>
  <si>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</si>
  <si>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</si>
  <si>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</si>
  <si>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</si>
  <si>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</si>
  <si>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</si>
  <si>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</si>
  <si>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</si>
  <si>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</si>
  <si>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</si>
  <si>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</si>
  <si>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</si>
  <si>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</si>
  <si>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</si>
  <si>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</si>
  <si>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</si>
  <si>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</si>
  <si>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</si>
  <si>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</si>
  <si>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</si>
  <si>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</si>
  <si>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</si>
  <si>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</si>
  <si>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</si>
  <si>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</si>
  <si>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</si>
  <si>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</si>
  <si>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</si>
  <si>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</si>
  <si>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</si>
  <si>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</si>
  <si>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</si>
  <si>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</si>
  <si>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</si>
  <si>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</si>
  <si>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</si>
  <si>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</si>
  <si>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</si>
  <si>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</si>
  <si>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</si>
  <si>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</si>
  <si>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</si>
  <si>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</si>
  <si>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</si>
  <si>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</si>
  <si>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</si>
  <si>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</si>
  <si>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</si>
  <si>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</si>
  <si>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</si>
  <si>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</si>
  <si>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</si>
  <si>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</si>
  <si>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</si>
  <si>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</si>
  <si>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</si>
  <si>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</si>
  <si>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</si>
  <si>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</si>
  <si>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</si>
  <si>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</si>
  <si>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</si>
  <si>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</si>
  <si>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</si>
  <si>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</si>
  <si>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</si>
  <si>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</si>
  <si>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</si>
  <si>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</si>
  <si>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</si>
  <si>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</si>
  <si>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</si>
  <si>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</si>
  <si>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</si>
  <si>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</si>
  <si>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</si>
  <si>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</si>
  <si>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</si>
  <si>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</si>
  <si>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</si>
  <si>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</si>
  <si>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</si>
  <si>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</si>
  <si>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</si>
  <si>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</si>
  <si>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</si>
  <si>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</si>
  <si>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</si>
  <si>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</si>
  <si>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</si>
  <si>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</si>
  <si>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</si>
  <si>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</si>
  <si>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</si>
  <si>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</si>
  <si>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</si>
  <si>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</si>
  <si>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</si>
  <si>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</si>
  <si>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</si>
  <si>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</si>
  <si>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</si>
  <si>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</si>
  <si>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</si>
  <si>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</si>
  <si>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</si>
  <si>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</si>
  <si>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</si>
  <si>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</si>
  <si>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</si>
  <si>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</si>
  <si>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</si>
  <si>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</si>
  <si>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</si>
  <si>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</si>
  <si>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</si>
  <si>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</si>
  <si>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</si>
  <si>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</si>
  <si>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</si>
  <si>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</si>
  <si>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</si>
  <si>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</si>
  <si>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</si>
  <si>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</si>
  <si>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</si>
  <si>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</si>
  <si>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</si>
  <si>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</si>
  <si>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</si>
  <si>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</si>
  <si>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</si>
  <si>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</si>
  <si>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</si>
  <si>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</si>
  <si>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</si>
  <si>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</si>
  <si>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</si>
  <si>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</si>
  <si>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</si>
  <si>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</si>
  <si>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</si>
  <si>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</si>
  <si>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</si>
  <si>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</si>
  <si>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</si>
  <si>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</si>
  <si>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</si>
  <si>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</si>
  <si>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</si>
  <si>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</si>
  <si>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</si>
  <si>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</si>
  <si>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</si>
  <si>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</si>
  <si>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</si>
  <si>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</si>
  <si>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</si>
  <si>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</si>
  <si>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</si>
  <si>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</si>
  <si>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</si>
  <si>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</si>
  <si>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</si>
  <si>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</si>
  <si>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</si>
  <si>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</si>
  <si>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</si>
  <si>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</si>
  <si>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</si>
  <si>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</si>
  <si>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</si>
  <si>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</si>
  <si>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</si>
  <si>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</si>
  <si>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</si>
  <si>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</si>
  <si>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</si>
  <si>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</si>
  <si>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</si>
  <si>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</si>
  <si>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</si>
  <si>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</si>
  <si>
    <t>SMART.225349</t>
  </si>
  <si>
    <t>SMART.225350</t>
  </si>
  <si>
    <t>SMART.225351</t>
  </si>
  <si>
    <t>SMART.225352</t>
  </si>
  <si>
    <t>SMART.225353</t>
  </si>
  <si>
    <t>SMART.225354</t>
  </si>
  <si>
    <t>SMART.225355</t>
  </si>
  <si>
    <t>SMART.225356</t>
  </si>
  <si>
    <t>SMART.225357</t>
  </si>
  <si>
    <t>SMART.225358</t>
  </si>
  <si>
    <t>SMART.225359</t>
  </si>
  <si>
    <t>SMART.225360</t>
  </si>
  <si>
    <t>SMART.225361</t>
  </si>
  <si>
    <t>SMART.225362</t>
  </si>
  <si>
    <t>SMART.225363</t>
  </si>
  <si>
    <t>SMART.225364</t>
  </si>
  <si>
    <t>SMART.225365</t>
  </si>
  <si>
    <t>SMART.225366</t>
  </si>
  <si>
    <t>SMART.225367</t>
  </si>
  <si>
    <t>SMART.225368</t>
  </si>
  <si>
    <t>SMART.225369</t>
  </si>
  <si>
    <t>SMART.225370</t>
  </si>
  <si>
    <t>SMART.225371</t>
  </si>
  <si>
    <t>SMART.225373</t>
  </si>
  <si>
    <t>SMART.225374</t>
  </si>
  <si>
    <t>SMART.225375</t>
  </si>
  <si>
    <t>SMART.225376</t>
  </si>
  <si>
    <t>SMART.225377</t>
  </si>
  <si>
    <t>SMART.225378</t>
  </si>
  <si>
    <t>SMART.225379</t>
  </si>
  <si>
    <t>SMART.225380</t>
  </si>
  <si>
    <t>SMART.225381</t>
  </si>
  <si>
    <t>SMART.225382</t>
  </si>
  <si>
    <t>SMART.225383</t>
  </si>
  <si>
    <t>SMART.225384</t>
  </si>
  <si>
    <t>SMART.225385</t>
  </si>
  <si>
    <t>SMART.225386</t>
  </si>
  <si>
    <t>Extracción de videos FC020</t>
  </si>
  <si>
    <t>IT tips (mes de abril 26 semana 4)</t>
  </si>
  <si>
    <t>SSC - Acceso a curso</t>
  </si>
  <si>
    <t>SSC - Acceso a querys en SAP</t>
  </si>
  <si>
    <t>Pentest Puebla</t>
  </si>
  <si>
    <t>sin acceso a pagina HISTORICO DE TORQUES</t>
  </si>
  <si>
    <t>Scanner</t>
  </si>
  <si>
    <t>acceso a historico de torques</t>
  </si>
  <si>
    <t>acceso a hal nios</t>
  </si>
  <si>
    <t>acceso  a los atornilladores</t>
  </si>
  <si>
    <t>Revisión de teclado y mouse</t>
  </si>
  <si>
    <t>TICKET FALTA DE CONEXION EN ESCANER</t>
  </si>
  <si>
    <t>Garcia Mases, Felix</t>
  </si>
  <si>
    <t>Apoyo en pasar back up plc a pg 1 de mantto</t>
  </si>
  <si>
    <t>REVISION DE TONNER (27-04-26)</t>
  </si>
  <si>
    <t>Solicitud Acceso de computo Proveedor RACON</t>
  </si>
  <si>
    <t>Problema para actualizar mi correo</t>
  </si>
  <si>
    <t>ACCESO A SHARE POINT//</t>
  </si>
  <si>
    <t>JUANA ELIZABETH GARCIA CRUZ</t>
  </si>
  <si>
    <t>Acceso equipo MAST</t>
  </si>
  <si>
    <t>Correo electronico saturado</t>
  </si>
  <si>
    <t>Solicitud de consulta de acceso a copilot</t>
  </si>
  <si>
    <t>sin acceso a torque trace</t>
  </si>
  <si>
    <t>Ramirez de la Rosa, Mauro</t>
  </si>
  <si>
    <t>Acceso a Torque Trace</t>
  </si>
  <si>
    <t>Huerta Jiménez, Claudia Angélica</t>
  </si>
  <si>
    <t>Extracción de archivos PG</t>
  </si>
  <si>
    <t>EDD - algunos problemas con el portal</t>
  </si>
  <si>
    <t>invited you to collaborate with thyssenkrupp Automotive Technology</t>
  </si>
  <si>
    <t>Finanzas VimaSeguridad</t>
  </si>
  <si>
    <t>Actualización versión SAP / production System R21 - Xicotencatl Castillo, Maria de Jesus Paola</t>
  </si>
  <si>
    <t>Vargas Cacho, Abril shared the folder "OC - Finanzas" with you</t>
  </si>
  <si>
    <t>Extraccion de archivos CMK</t>
  </si>
  <si>
    <t>Romero Carillo, Jose Alfredo</t>
  </si>
  <si>
    <t>Acceso Lap Top</t>
  </si>
  <si>
    <t>Bloqueo del equipo de computo de Juana Elizabeth</t>
  </si>
  <si>
    <t xml:space="preserve">Configuracion de Candado </t>
  </si>
  <si>
    <t>Permiso para accesar a Olympus</t>
  </si>
  <si>
    <t>Solicitud acceso a Olympo</t>
  </si>
  <si>
    <t>JOB</t>
  </si>
  <si>
    <t>SMART.225387</t>
  </si>
  <si>
    <t>SMART.225388</t>
  </si>
  <si>
    <t>SMART.225389</t>
  </si>
  <si>
    <t>SMART.225390</t>
  </si>
  <si>
    <t>SMART.225391</t>
  </si>
  <si>
    <t>SMART.225392</t>
  </si>
  <si>
    <t>SMART.225393</t>
  </si>
  <si>
    <t>SMART.225394</t>
  </si>
  <si>
    <t>SMART.225395</t>
  </si>
  <si>
    <t>SMART.225396</t>
  </si>
  <si>
    <t>SMART.225397</t>
  </si>
  <si>
    <t>SMART.225398</t>
  </si>
  <si>
    <t>SMART.225399</t>
  </si>
  <si>
    <t>SMART.225400</t>
  </si>
  <si>
    <t>SMART.225401</t>
  </si>
  <si>
    <t>SMART.225402</t>
  </si>
  <si>
    <t>SMART.225403</t>
  </si>
  <si>
    <t>SMART.225404</t>
  </si>
  <si>
    <t>SMART.225405</t>
  </si>
  <si>
    <t>SMART.225406</t>
  </si>
  <si>
    <t>SMART.225407</t>
  </si>
  <si>
    <t>SMART.225408</t>
  </si>
  <si>
    <t>SMART.225409</t>
  </si>
  <si>
    <t>SMART.225410</t>
  </si>
  <si>
    <t>SMART.225411</t>
  </si>
  <si>
    <t>SMART.225412</t>
  </si>
  <si>
    <t>SMART.225413</t>
  </si>
  <si>
    <t>SMART.225414</t>
  </si>
  <si>
    <t>SMART.225415</t>
  </si>
  <si>
    <t>SMART.225416</t>
  </si>
  <si>
    <t>SMART.225417</t>
  </si>
  <si>
    <t>SMART.225418</t>
  </si>
  <si>
    <t>SMART.225419</t>
  </si>
  <si>
    <t>SMART.225420</t>
  </si>
  <si>
    <t>SMART.225421</t>
  </si>
  <si>
    <t>SMART.225422</t>
  </si>
  <si>
    <t>SMART.225423</t>
  </si>
  <si>
    <t>SMART.225424</t>
  </si>
  <si>
    <t>SMART.225425</t>
  </si>
  <si>
    <t>SMART.225426</t>
  </si>
  <si>
    <t>SMART.225427</t>
  </si>
  <si>
    <t>SMART.225428</t>
  </si>
  <si>
    <t>SMART.225429</t>
  </si>
  <si>
    <t>SMART.225430</t>
  </si>
  <si>
    <t>SMART.225431</t>
  </si>
  <si>
    <t>SMART.225432</t>
  </si>
  <si>
    <t>SMART.225433</t>
  </si>
  <si>
    <t>Telefono SSC</t>
  </si>
  <si>
    <t>exportación de información-Transacción XK03</t>
  </si>
  <si>
    <t>SIN Acceso a EDD</t>
  </si>
  <si>
    <t>Acceso a Directorios de Red | TCK64408 // 10787319</t>
  </si>
  <si>
    <t>Acceso a Directorios de Red | TCK64408</t>
  </si>
  <si>
    <t>Password.-Olympo</t>
  </si>
  <si>
    <t>EDD Calidad SJC 2026</t>
  </si>
  <si>
    <t>Evaluaciones de desempeño</t>
  </si>
  <si>
    <t>Acceso a Olympus-TR</t>
  </si>
  <si>
    <t>ticket olympo</t>
  </si>
  <si>
    <t>Cortes López, Miguel Ángel</t>
  </si>
  <si>
    <t>Solicitud de forma independiente</t>
  </si>
  <si>
    <t>Alvaro Lopez Ramiro</t>
  </si>
  <si>
    <t>Raul Muñoz Garcia</t>
  </si>
  <si>
    <t>sin acceso a evaluación Olympo</t>
  </si>
  <si>
    <t>FALLA REGISTRO OLIMPO</t>
  </si>
  <si>
    <t>Solicitud de forma independiente Gilberto Francisco Herrera Montes</t>
  </si>
  <si>
    <t>Liga olimpues evaluación de desempeño 2025-2026</t>
  </si>
  <si>
    <t>Acceso a Olimpo para EDD</t>
  </si>
  <si>
    <t>EDD FW: captura de evaluacion de Guillermo</t>
  </si>
  <si>
    <t>SMART.225434</t>
  </si>
  <si>
    <t>SMART.225435</t>
  </si>
  <si>
    <t>SMART.225436</t>
  </si>
  <si>
    <t>SMART.225437</t>
  </si>
  <si>
    <t>SMART.225438</t>
  </si>
  <si>
    <t>SMART.225439</t>
  </si>
  <si>
    <t>SMART.225440</t>
  </si>
  <si>
    <t>SMART.225441</t>
  </si>
  <si>
    <t>SMART.225442</t>
  </si>
  <si>
    <t>SMART.225443</t>
  </si>
  <si>
    <t>SMART.225444</t>
  </si>
  <si>
    <t>SMART.225445</t>
  </si>
  <si>
    <t>SMART.225446</t>
  </si>
  <si>
    <t>SMART.225447</t>
  </si>
  <si>
    <t>SMART.225448</t>
  </si>
  <si>
    <t>SMART.225449</t>
  </si>
  <si>
    <t>SMART.225450</t>
  </si>
  <si>
    <t>SMART.225451</t>
  </si>
  <si>
    <t>SMART.225452</t>
  </si>
  <si>
    <t>SMART.225453</t>
  </si>
  <si>
    <t>SMART.225454</t>
  </si>
  <si>
    <t>SMART.225455</t>
  </si>
  <si>
    <t>SMART.225458</t>
  </si>
  <si>
    <t>SMART.225459</t>
  </si>
  <si>
    <t>SMART.225460</t>
  </si>
  <si>
    <t>SMART.225461</t>
  </si>
  <si>
    <t>SMART.225462</t>
  </si>
  <si>
    <t>SMART.225463</t>
  </si>
  <si>
    <t>SMART.225464</t>
  </si>
  <si>
    <t>SMART.225465</t>
  </si>
  <si>
    <t>SMART.225466</t>
  </si>
  <si>
    <t>SMART.225467</t>
  </si>
  <si>
    <t>SMART.225468</t>
  </si>
  <si>
    <t>SMART.225469</t>
  </si>
  <si>
    <t>SMART.225470</t>
  </si>
  <si>
    <t>SMART.225471</t>
  </si>
  <si>
    <t>SMART.225472</t>
  </si>
  <si>
    <t>SMART.225473</t>
  </si>
  <si>
    <t>SMART.225474</t>
  </si>
  <si>
    <t>SMART.225475</t>
  </si>
  <si>
    <t>SMART.225476</t>
  </si>
  <si>
    <t>SMART.225477</t>
  </si>
  <si>
    <t>SMART.225478</t>
  </si>
  <si>
    <t>SMART.225479</t>
  </si>
  <si>
    <t>SMART.225480</t>
  </si>
  <si>
    <t>SMART.225481</t>
  </si>
  <si>
    <t>SMART.225482</t>
  </si>
  <si>
    <t>SMART.225483</t>
  </si>
  <si>
    <t>SMART.225484</t>
  </si>
  <si>
    <t>SMART.225485</t>
  </si>
  <si>
    <t>SMART.225486</t>
  </si>
  <si>
    <t>SMART.225487</t>
  </si>
  <si>
    <t>SMART.225488</t>
  </si>
  <si>
    <t>SMART.225489</t>
  </si>
  <si>
    <t>SMART.225490</t>
  </si>
  <si>
    <t>SMART.225491</t>
  </si>
  <si>
    <t>SMART.225492</t>
  </si>
  <si>
    <t>SMART.225493</t>
  </si>
  <si>
    <t>SMART.225494</t>
  </si>
  <si>
    <t>SMART.225496</t>
  </si>
  <si>
    <t>Tarjetas de proximidad Control de acceso</t>
  </si>
  <si>
    <t>Soporte para acceso al LINK a evaluación de desempeño</t>
  </si>
  <si>
    <t>IT tips (mes de mayo 26 semana 1)</t>
  </si>
  <si>
    <t>SMART.225497</t>
  </si>
  <si>
    <t>SMART.225498</t>
  </si>
  <si>
    <t>SMART.225499</t>
  </si>
  <si>
    <t>SMART.225500</t>
  </si>
  <si>
    <t>SMART.225501</t>
  </si>
  <si>
    <t>SMART.225502</t>
  </si>
  <si>
    <t>SMART.225503</t>
  </si>
  <si>
    <t>SMART.225504</t>
  </si>
  <si>
    <t>SMART.225505</t>
  </si>
  <si>
    <t>SMART.225506</t>
  </si>
  <si>
    <t>SMART.225507</t>
  </si>
  <si>
    <t>SMART.225509</t>
  </si>
  <si>
    <t>SMART.225510</t>
  </si>
  <si>
    <t>SMART.225511</t>
  </si>
  <si>
    <t>SMART.225512</t>
  </si>
  <si>
    <t>Apoyo con contraseña SAP</t>
  </si>
  <si>
    <t>Instalación de monitor Workstation</t>
  </si>
  <si>
    <t>Error al Conectar al servidor</t>
  </si>
  <si>
    <t>EDD - primer semestre ('25/'26) - su apoyo por favor</t>
  </si>
  <si>
    <t>EDD en Olympus</t>
  </si>
  <si>
    <t>Advertencia! Error en sequencia detectado!!!</t>
  </si>
  <si>
    <t>Apoyo con evaluación  no disponible</t>
  </si>
  <si>
    <t>ZSCALER NO ESTA ACTIVO</t>
  </si>
  <si>
    <t>Acceso a Olympo FR</t>
  </si>
  <si>
    <t>New Purchase Order Printout 4500032212</t>
  </si>
  <si>
    <t>Video RA010</t>
  </si>
  <si>
    <t>Revisión correo electrónico</t>
  </si>
  <si>
    <t>Visita AS</t>
  </si>
  <si>
    <t>AMD BAJA - SSC</t>
  </si>
  <si>
    <t>SOLICITUD DE ACCESO MARTES 12 DE MAYO 2026//KRESTON BSG//PPUE</t>
  </si>
  <si>
    <t>Acceso a autoCAD y Solidworks</t>
  </si>
  <si>
    <t>New password SAP</t>
  </si>
  <si>
    <t>Error para abrir la aplicación Google Chrome</t>
  </si>
  <si>
    <t>Acesso a correo AR Dynamics</t>
  </si>
  <si>
    <t>PAGOS</t>
  </si>
  <si>
    <t>PORTAL</t>
  </si>
  <si>
    <t xml:space="preserve">acceso  a los atornilladores </t>
  </si>
  <si>
    <t>Ticket Desbloqueo Equipo</t>
  </si>
  <si>
    <t>Díaz Violante, Irving Neptali</t>
  </si>
  <si>
    <t>Ticket de inicio  de sesión</t>
  </si>
  <si>
    <t>Equipo Bloqueado</t>
  </si>
  <si>
    <t>Soporte con laptop</t>
  </si>
  <si>
    <t>Acceso Netforge</t>
  </si>
  <si>
    <t>DAÑO EN EL CARGADOR LAPTOP</t>
  </si>
  <si>
    <t>Listado de personal con 8ID (05.05.2026) - Información confidencial</t>
  </si>
  <si>
    <t>Note from your Power Platform Admin: Your employees have stale Power Platform objects</t>
  </si>
  <si>
    <t>Solicitud de acceso equipo de cómputo</t>
  </si>
  <si>
    <t>sin impresion en la impresora  05</t>
  </si>
  <si>
    <t>ACCESO NEGADO AL APLICATIVO CELERE COMMERCE EN EQUIPO VIRTUAL</t>
  </si>
  <si>
    <t>Laptop bloqueada</t>
  </si>
  <si>
    <t>Bloqueo en PC</t>
  </si>
  <si>
    <t>Desbloquedo de PC - Servicio Médico</t>
  </si>
  <si>
    <t>Inicio de sesión elitedesk</t>
  </si>
  <si>
    <t>Instalacion de software</t>
  </si>
  <si>
    <t>Soporte en lineas de Golf (IPC)</t>
  </si>
  <si>
    <t>BITLOCKER COMPUTADORA ALEXANDRA</t>
  </si>
  <si>
    <t>equipo de computo mo funciona</t>
  </si>
  <si>
    <t>REVISION DE TONNER (08-05-26)</t>
  </si>
  <si>
    <t>Microfono laptop funcionamiento intermitente</t>
  </si>
  <si>
    <t>Auditoria  Finsa 19-20-21 Mayo</t>
  </si>
  <si>
    <t>Apoyo urgente para permiso de acceso de equipo computo KAUFEN</t>
  </si>
  <si>
    <t>Requisición cargador para celular</t>
  </si>
  <si>
    <t>BLOQUEO ELITEDESK</t>
  </si>
  <si>
    <t>no se imprimen los documentos que envio</t>
  </si>
  <si>
    <t>sin servicio en las computadoras de calidad</t>
  </si>
  <si>
    <t>CAMARA DE SEGURIDAD DE  CUARENTENA</t>
  </si>
  <si>
    <t>falla equipo de mantto</t>
  </si>
  <si>
    <t>Solicitud de usuario Programador</t>
  </si>
  <si>
    <t>Solicitud de acceso</t>
  </si>
  <si>
    <t>ESCANEO MENSUAL MAYO 26 INTERACT</t>
  </si>
  <si>
    <t>ESCANEO MENSUAL MAYO 26 RACON 1</t>
  </si>
  <si>
    <t>ESCANEO MENSUAL MAYO 26 RACON 3</t>
  </si>
  <si>
    <t>ESCANEO MENSUAL MAYO 26-TORAB</t>
  </si>
  <si>
    <t>SOLICITD DE ALTA EN PROXY MONETA-MARIA</t>
  </si>
  <si>
    <t>REGINA ZURITA</t>
  </si>
  <si>
    <t>IT tips (mes de mayo 26 semana 2)</t>
  </si>
  <si>
    <t>Mensaje Pc</t>
  </si>
  <si>
    <t>Proveedor PR011370 - OC 4500032492 no se puede cargar a Moneta</t>
  </si>
  <si>
    <t>Baja AMD de Alexa</t>
  </si>
  <si>
    <t>Refacturaciones 108299 y 108298 THYSSENKRUPP AUTOMOTIVE SYSTEMS DE MEXICO y solicitud de accesos de portal</t>
  </si>
  <si>
    <t>Candados SJC</t>
  </si>
  <si>
    <t>PRESTAMO LAPTOP</t>
  </si>
  <si>
    <t>Desbloqueo de equipo de computo</t>
  </si>
  <si>
    <t>RE: Solicitud de acceso de equipo de cómputo</t>
  </si>
  <si>
    <t>Movimiento de archivo a PG</t>
  </si>
  <si>
    <t>alejandra Franco</t>
  </si>
  <si>
    <t>Revisión Trimestral de batería Candados PPUE</t>
  </si>
  <si>
    <t>Restauracion desktop</t>
  </si>
  <si>
    <t>Solicitud de reestablecimiento de contraseña en equipo celular</t>
  </si>
  <si>
    <t>Bloqueo de PC Taller de Mantenimiento PSJC</t>
  </si>
  <si>
    <t>Martín Guerrero Minjares</t>
  </si>
  <si>
    <t>ERROR FUSOR IMPRESORA PSJC</t>
  </si>
  <si>
    <t>PO45000315504</t>
  </si>
  <si>
    <t>Acceso a Camara de Comedor</t>
  </si>
  <si>
    <t>PO 4500032492</t>
  </si>
  <si>
    <t>Thyssenkrupp Automotive Systems de México,- Factura_B73715</t>
  </si>
  <si>
    <t>Equipo para personal provisional</t>
  </si>
  <si>
    <t>REVISION DE TONNER (15-05-26)</t>
  </si>
  <si>
    <t>CAMBIO DE EQUIPO</t>
  </si>
  <si>
    <t>Contraseña del usuario atadmin</t>
  </si>
  <si>
    <t>SMART.225513</t>
  </si>
  <si>
    <t>AMD 10787074 - Abril Vargas Cacho</t>
  </si>
  <si>
    <t>SMART.225514</t>
  </si>
  <si>
    <t>AMD Claudia Angelica Candia Sanchez 10792037</t>
  </si>
  <si>
    <t>SMART.225515</t>
  </si>
  <si>
    <t>SMART.225516</t>
  </si>
  <si>
    <t>SMART.225517</t>
  </si>
  <si>
    <t>SMART.225518</t>
  </si>
  <si>
    <t>SMART.225519</t>
  </si>
  <si>
    <t>SMART.225520</t>
  </si>
  <si>
    <t>SMART.225521</t>
  </si>
  <si>
    <t>SMART.225522</t>
  </si>
  <si>
    <t>SMART.225523</t>
  </si>
  <si>
    <t>SMART.225524</t>
  </si>
  <si>
    <t>SMART.225525</t>
  </si>
  <si>
    <t>SMART.225526</t>
  </si>
  <si>
    <t>SMART.225527</t>
  </si>
  <si>
    <t>SMART.225528</t>
  </si>
  <si>
    <t>SMART.225529</t>
  </si>
  <si>
    <t>SMART.225530</t>
  </si>
  <si>
    <t>SMART.225531</t>
  </si>
  <si>
    <t>SMART.225532</t>
  </si>
  <si>
    <t>SMART.225533</t>
  </si>
  <si>
    <t>SMART.225534</t>
  </si>
  <si>
    <t>SMART.225535</t>
  </si>
  <si>
    <t>SMART.225536</t>
  </si>
  <si>
    <t>SMART.225537</t>
  </si>
  <si>
    <t>SMART.225538</t>
  </si>
  <si>
    <t>EQUIPO DE PRESTAMO PARA TRASLAPE DE NAYELI</t>
  </si>
  <si>
    <t>AMD ALTA KARLA GRISELDA CARRETO ARMENTA</t>
  </si>
  <si>
    <t>Bloqueo de equipo supervisores</t>
  </si>
  <si>
    <t>Soporte para enviar archivos pesados</t>
  </si>
  <si>
    <t>Bloqueo Bitlocker en PC del taller de mantenimiento PSJC</t>
  </si>
  <si>
    <t>RESETEO DE CONTRASEÑA    SAP    10381218</t>
  </si>
  <si>
    <t>IT tips (mes de mayo 26 semana 3)</t>
  </si>
  <si>
    <t>Fori Quote RE: RFP Assembly Q7 - Due Date Submission</t>
  </si>
  <si>
    <t>ERRORES TKLINK</t>
  </si>
  <si>
    <t>Accesos portal portal Proxy de MoNETA</t>
  </si>
  <si>
    <t>Soporte Impresora Oficinas Adminitrativas</t>
  </si>
  <si>
    <t>IMPRESORA LOGISTICA</t>
  </si>
  <si>
    <t>Ticket para movimiento de archivo a PGS de mantenimiento PSJC</t>
  </si>
  <si>
    <t>solicitud impresora</t>
  </si>
  <si>
    <t>Equipo celular Eduardo García</t>
  </si>
  <si>
    <t>Error 403</t>
  </si>
  <si>
    <t>New Purchase Order Printout 4500032611</t>
  </si>
  <si>
    <t>Sitio en mantenimiento</t>
  </si>
  <si>
    <t>Acceso a Google para acceso a portales clientes</t>
  </si>
  <si>
    <t>equipo bloquedado Svision</t>
  </si>
  <si>
    <t>Error en carga de factura de si vale (tarjetas reposicion) - mayo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</si>
</sst>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2192" totalsRowShown="0" headerRowDxfId="22" dataDxfId="20" headerRowBorderDxfId="21" tableBorderDxfId="19" totalsRowBorderDxfId="18">
  <autoFilter ref="A1:M2192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2" totalsRowShown="0" headerRowDxfId="4" dataDxfId="3">
  <autoFilter ref="A1:A12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2192"/>
  <sheetViews>
    <sheetView tabSelected="1" zoomScale="56" zoomScaleNormal="32" workbookViewId="0">
      <selection activeCell="C31" sqref="C31"/>
    </sheetView>
  </sheetViews>
  <sheetFormatPr defaultRowHeight="14.4" x14ac:dyDescent="0.3"/>
  <cols>
    <col min="1" max="1" width="13.5546875" style="24" bestFit="1" customWidth="1"/>
    <col min="2" max="2" width="16.21875" style="24" bestFit="1" customWidth="1"/>
    <col min="3" max="3" width="163.21875" style="24" customWidth="1"/>
    <col min="4" max="4" width="55.21875" style="24" customWidth="1"/>
    <col min="5" max="5" width="22.77734375" style="24" customWidth="1"/>
    <col min="6" max="6" width="20.21875" style="25" customWidth="1"/>
    <col min="7" max="7" width="11" style="24" customWidth="1"/>
    <col min="8" max="8" width="12.5546875" style="24" customWidth="1"/>
    <col min="9" max="9" width="8.77734375" style="24" customWidth="1"/>
    <col min="10" max="10" width="12.21875" style="24" customWidth="1"/>
    <col min="11" max="11" width="19.77734375" style="24" customWidth="1"/>
    <col min="12" max="12" width="21.77734375" style="25" customWidth="1"/>
    <col min="13" max="13" width="23" style="24" customWidth="1"/>
  </cols>
  <sheetData>
    <row r="1" spans="1:13" x14ac:dyDescent="0.3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">
      <c r="A2" s="11">
        <v>45655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Row],[CORREO]],1,Table2[Dias no laborales]),E2)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258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Mismo día</v>
      </c>
      <c r="L2" s="11">
        <v>46020</v>
      </c>
      <c r="M2" s="22">
        <f>MAX(1,NETWORKDAYS(A2,L2,Table2[Dias no laborales]))</f>
        <v>258</v>
      </c>
    </row>
    <row r="3" spans="1:13" x14ac:dyDescent="0.3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Row],[CORREO]],1,Table2[Dias no laborales]),E3)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Row],[CORREO]],1,Table2[Dias no laborales]),E4)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Row],[CORREO]],1,Table2[Dias no laborales]),E5)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Row],[CORREO]],1,Table2[Dias no laborales]),E6)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Row],[CORREO]],1,Table2[Dias no laborales]),E7)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Row],[CORREO]],1,Table2[Dias no laborales]),E8)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Row],[CORREO]],1,Table2[Dias no laborales]),E9)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Row],[CORREO]],1,Table2[Dias no laborales]),E10)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Row],[CORREO]],1,Table2[Dias no laborales]),E11)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Row],[CORREO]],1,Table2[Dias no laborales]),E12)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Row],[CORREO]],1,Table2[Dias no laborales]),E13)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Row],[CORREO]],1,Table2[Dias no laborales]),E14)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Row],[CORREO]],1,Table2[Dias no laborales]),E15)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Row],[CORREO]],1,Table2[Dias no laborales]),E16)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Row],[CORREO]],1,Table2[Dias no laborales]),E17)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Row],[CORREO]],1,Table2[Dias no laborales]),E18)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Row],[CORREO]],1,Table2[Dias no laborales]),E19)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Row],[CORREO]],1,Table2[Dias no laborales]),E20)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Row],[CORREO]],1,Table2[Dias no laborales]),E21)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Row],[CORREO]],1,Table2[Dias no laborales]),E22)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Row],[CORREO]],1,Table2[Dias no laborales]),E23)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Row],[CORREO]],1,Table2[Dias no laborales]),E24)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Row],[CORREO]],1,Table2[Dias no laborales]),E25)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Row],[CORREO]],1,Table2[Dias no laborales]),E26)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Row],[CORREO]],1,Table2[Dias no laborales]),E27)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Row],[CORREO]],1,Table2[Dias no laborales]),E28)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Row],[CORREO]],1,Table2[Dias no laborales]),E29)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Row],[CORREO]],1,Table2[Dias no laborales]),E30)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Row],[CORREO]],1,Table2[Dias no laborales]),E31)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Row],[CORREO]],1,Table2[Dias no laborales]),E32)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Row],[CORREO]],1,Table2[Dias no laborales]),E33)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Row],[CORREO]],1,Table2[Dias no laborales]),E34)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Row],[CORREO]],1,Table2[Dias no laborales]),E35)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Row],[CORREO]],1,Table2[Dias no laborales]),E36)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Row],[CORREO]],1,Table2[Dias no laborales]),E37)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Row],[CORREO]],1,Table2[Dias no laborales]),E38)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Row],[CORREO]],1,Table2[Dias no laborales]),E39)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Row],[CORREO]],1,Table2[Dias no laborales]),E40)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Row],[CORREO]],1,Table2[Dias no laborales]),E41)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Row],[CORREO]],1,Table2[Dias no laborales]),E42)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Row],[CORREO]],1,Table2[Dias no laborales]),E43)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Row],[CORREO]],1,Table2[Dias no laborales]),E44)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Row],[CORREO]],1,Table2[Dias no laborales]),E45)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Row],[CORREO]],1,Table2[Dias no laborales]),E46)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Row],[CORREO]],1,Table2[Dias no laborales]),E47)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Row],[CORREO]],1,Table2[Dias no laborales]),E48)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Row],[CORREO]],1,Table2[Dias no laborales]),E49)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Row],[CORREO]],1,Table2[Dias no laborales]),E50)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Row],[CORREO]],1,Table2[Dias no laborales]),E51)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Row],[CORREO]],1,Table2[Dias no laborales]),E52)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Row],[CORREO]],1,Table2[Dias no laborales]),E53)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Row],[CORREO]],1,Table2[Dias no laborales]),E54)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Row],[CORREO]],1,Table2[Dias no laborales]),E55)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Row],[CORREO]],1,Table2[Dias no laborales]),E56)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Row],[CORREO]],1,Table2[Dias no laborales]),E57)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Row],[CORREO]],1,Table2[Dias no laborales]),E58)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Row],[CORREO]],1,Table2[Dias no laborales]),E59)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Row],[CORREO]],1,Table2[Dias no laborales]),E60)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Row],[CORREO]],1,Table2[Dias no laborales]),E61)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Row],[CORREO]],1,Table2[Dias no laborales]),E62)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Row],[CORREO]],1,Table2[Dias no laborales]),E63)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Row],[CORREO]],1,Table2[Dias no laborales]),E64)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Row],[CORREO]],1,Table2[Dias no laborales]),E65)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Row],[CORREO]],1,Table2[Dias no laborales]),E66)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Row],[CORREO]],1,Table2[Dias no laborales]),E67)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Row],[CORREO]],1,Table2[Dias no laborales]),E68)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Row],[CORREO]],1,Table2[Dias no laborales]),E69)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Row],[CORREO]],1,Table2[Dias no laborales]),E70)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Row],[CORREO]],1,Table2[Dias no laborales]),E71)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Row],[CORREO]],1,Table2[Dias no laborales]),E72)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Row],[CORREO]],1,Table2[Dias no laborales]),E73)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Row],[CORREO]],1,Table2[Dias no laborales]),E74)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Row],[CORREO]],1,Table2[Dias no laborales]),E75)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Row],[CORREO]],1,Table2[Dias no laborales]),E76)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Row],[CORREO]],1,Table2[Dias no laborales]),E77)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Row],[CORREO]],1,Table2[Dias no laborales]),E78)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Row],[CORREO]],1,Table2[Dias no laborales]),E79)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Row],[CORREO]],1,Table2[Dias no laborales]),E80)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Row],[CORREO]],1,Table2[Dias no laborales]),E81)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Row],[CORREO]],1,Table2[Dias no laborales]),E82)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Row],[CORREO]],1,Table2[Dias no laborales]),E83)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Row],[CORREO]],1,Table2[Dias no laborales]),E84)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Row],[CORREO]],1,Table2[Dias no laborales]),E85)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Row],[CORREO]],1,Table2[Dias no laborales]),E86)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Row],[CORREO]],1,Table2[Dias no laborales]),E87)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Row],[CORREO]],1,Table2[Dias no laborales]),E88)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Row],[CORREO]],1,Table2[Dias no laborales]),E89)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Row],[CORREO]],1,Table2[Dias no laborales]),E90)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Row],[CORREO]],1,Table2[Dias no laborales]),E91)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Row],[CORREO]],1,Table2[Dias no laborales]),E92)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Row],[CORREO]],1,Table2[Dias no laborales]),E93)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Row],[CORREO]],1,Table2[Dias no laborales]),E94)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Row],[CORREO]],1,Table2[Dias no laborales]),E95)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Row],[CORREO]],1,Table2[Dias no laborales]),E96)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Row],[CORREO]],1,Table2[Dias no laborales]),E97)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Row],[CORREO]],1,Table2[Dias no laborales]),E98)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Row],[CORREO]],1,Table2[Dias no laborales]),E99)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Row],[CORREO]],1,Table2[Dias no laborales]),E100)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Row],[CORREO]],1,Table2[Dias no laborales]),E101)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Row],[CORREO]],1,Table2[Dias no laborales]),E102)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Row],[CORREO]],1,Table2[Dias no laborales]),E103)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Row],[CORREO]],1,Table2[Dias no laborales]),E104)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Row],[CORREO]],1,Table2[Dias no laborales]),E105)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Row],[CORREO]],1,Table2[Dias no laborales]),E106)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Row],[CORREO]],1,Table2[Dias no laborales]),E107)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Row],[CORREO]],1,Table2[Dias no laborales]),E108)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Row],[CORREO]],1,Table2[Dias no laborales]),E109)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Row],[CORREO]],1,Table2[Dias no laborales]),E110)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Row],[CORREO]],1,Table2[Dias no laborales]),E111)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Row],[CORREO]],1,Table2[Dias no laborales]),E112)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Row],[CORREO]],1,Table2[Dias no laborales]),E113)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Row],[CORREO]],1,Table2[Dias no laborales]),E114)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Row],[CORREO]],1,Table2[Dias no laborales]),E115)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Row],[CORREO]],1,Table2[Dias no laborales]),E116)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Row],[CORREO]],1,Table2[Dias no laborales]),E117)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Row],[CORREO]],1,Table2[Dias no laborales]),E118)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Row],[CORREO]],1,Table2[Dias no laborales]),E119)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Row],[CORREO]],1,Table2[Dias no laborales]),E120)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Row],[CORREO]],1,Table2[Dias no laborales]),E121)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Row],[CORREO]],1,Table2[Dias no laborales]),E122)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Row],[CORREO]],1,Table2[Dias no laborales]),E123)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Row],[CORREO]],1,Table2[Dias no laborales]),E124)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Row],[CORREO]],1,Table2[Dias no laborales]),E125)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Row],[CORREO]],1,Table2[Dias no laborales]),E126)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Row],[CORREO]],1,Table2[Dias no laborales]),E127)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Row],[CORREO]],1,Table2[Dias no laborales]),E128)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Row],[CORREO]],1,Table2[Dias no laborales]),E129)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Row],[CORREO]],1,Table2[Dias no laborales]),E130)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Row],[CORREO]],1,Table2[Dias no laborales]),E131)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Row],[CORREO]],1,Table2[Dias no laborales]),E132)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Row],[CORREO]],1,Table2[Dias no laborales]),E133)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Row],[CORREO]],1,Table2[Dias no laborales]),E134)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Row],[CORREO]],1,Table2[Dias no laborales]),E135)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Row],[CORREO]],1,Table2[Dias no laborales]),E136)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Row],[CORREO]],1,Table2[Dias no laborales]),E137)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Row],[CORREO]],1,Table2[Dias no laborales]),E138)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Row],[CORREO]],1,Table2[Dias no laborales]),E139)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Row],[CORREO]],1,Table2[Dias no laborales]),E140)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Row],[CORREO]],1,Table2[Dias no laborales]),E141)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Row],[CORREO]],1,Table2[Dias no laborales]),E142)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Row],[CORREO]],1,Table2[Dias no laborales]),E143)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Row],[CORREO]],1,Table2[Dias no laborales]),E144)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Row],[CORREO]],1,Table2[Dias no laborales]),E145)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Row],[CORREO]],1,Table2[Dias no laborales]),E146)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Row],[CORREO]],1,Table2[Dias no laborales]),E147)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Row],[CORREO]],1,Table2[Dias no laborales]),E148)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Row],[CORREO]],1,Table2[Dias no laborales]),E149)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Row],[CORREO]],1,Table2[Dias no laborales]),E150)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Row],[CORREO]],1,Table2[Dias no laborales]),E151)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Row],[CORREO]],1,Table2[Dias no laborales]),E152)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Row],[CORREO]],1,Table2[Dias no laborales]),E153)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Row],[CORREO]],1,Table2[Dias no laborales]),E154)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Row],[CORREO]],1,Table2[Dias no laborales]),E155)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Row],[CORREO]],1,Table2[Dias no laborales]),E156)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Row],[CORREO]],1,Table2[Dias no laborales]),E157)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Row],[CORREO]],1,Table2[Dias no laborales]),E158)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Row],[CORREO]],1,Table2[Dias no laborales]),E159)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Row],[CORREO]],1,Table2[Dias no laborales]),E160)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Row],[CORREO]],1,Table2[Dias no laborales]),E161)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Row],[CORREO]],1,Table2[Dias no laborales]),E162)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Row],[CORREO]],1,Table2[Dias no laborales]),E163)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Row],[CORREO]],1,Table2[Dias no laborales]),E164)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Row],[CORREO]],1,Table2[Dias no laborales]),E165)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Row],[CORREO]],1,Table2[Dias no laborales]),E166)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Row],[CORREO]],1,Table2[Dias no laborales]),E167)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Row],[CORREO]],1,Table2[Dias no laborales]),E168)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Row],[CORREO]],1,Table2[Dias no laborales]),E169)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Row],[CORREO]],1,Table2[Dias no laborales]),E170)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Row],[CORREO]],1,Table2[Dias no laborales]),E171)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Row],[CORREO]],1,Table2[Dias no laborales]),E172)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Row],[CORREO]],1,Table2[Dias no laborales]),E173)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Row],[CORREO]],1,Table2[Dias no laborales]),E174)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Row],[CORREO]],1,Table2[Dias no laborales]),E175)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Row],[CORREO]],1,Table2[Dias no laborales]),E176)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Row],[CORREO]],1,Table2[Dias no laborales]),E177)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Row],[CORREO]],1,Table2[Dias no laborales]),E178)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Row],[CORREO]],1,Table2[Dias no laborales]),E179)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Row],[CORREO]],1,Table2[Dias no laborales]),E180)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Row],[CORREO]],1,Table2[Dias no laborales]),E181)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Row],[CORREO]],1,Table2[Dias no laborales]),E182)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Row],[CORREO]],1,Table2[Dias no laborales]),E183)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Row],[CORREO]],1,Table2[Dias no laborales]),E184)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Row],[CORREO]],1,Table2[Dias no laborales]),E185)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Row],[CORREO]],1,Table2[Dias no laborales]),E186)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Row],[CORREO]],1,Table2[Dias no laborales]),E187)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Row],[CORREO]],1,Table2[Dias no laborales]),E188)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Row],[CORREO]],1,Table2[Dias no laborales]),E189)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Row],[CORREO]],1,Table2[Dias no laborales]),E190)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Row],[CORREO]],1,Table2[Dias no laborales]),E191)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Row],[CORREO]],1,Table2[Dias no laborales]),E192)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Row],[CORREO]],1,Table2[Dias no laborales]),E193)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Row],[CORREO]],1,Table2[Dias no laborales]),E194)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Row],[CORREO]],1,Table2[Dias no laborales]),E195)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Row],[CORREO]],1,Table2[Dias no laborales]),E196)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Row],[CORREO]],1,Table2[Dias no laborales]),E197)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Row],[CORREO]],1,Table2[Dias no laborales]),E198)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Row],[CORREO]],1,Table2[Dias no laborales]),E199)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Row],[CORREO]],1,Table2[Dias no laborales]),E200)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Row],[CORREO]],1,Table2[Dias no laborales]),E201)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Row],[CORREO]],1,Table2[Dias no laborales]),E202)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Row],[CORREO]],1,Table2[Dias no laborales]),E203)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Row],[CORREO]],1,Table2[Dias no laborales]),E204)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Row],[CORREO]],1,Table2[Dias no laborales]),E205)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Row],[CORREO]],1,Table2[Dias no laborales]),E206)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Row],[CORREO]],1,Table2[Dias no laborales]),E207)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Row],[CORREO]],1,Table2[Dias no laborales]),E208)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Row],[CORREO]],1,Table2[Dias no laborales]),E209)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Row],[CORREO]],1,Table2[Dias no laborales]),E210)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Row],[CORREO]],1,Table2[Dias no laborales]),E211)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Row],[CORREO]],1,Table2[Dias no laborales]),E212)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Row],[CORREO]],1,Table2[Dias no laborales]),E213)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Row],[CORREO]],1,Table2[Dias no laborales]),E214)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Row],[CORREO]],1,Table2[Dias no laborales]),E215)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Row],[CORREO]],1,Table2[Dias no laborales]),E216)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Row],[CORREO]],1,Table2[Dias no laborales]),E217)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Row],[CORREO]],1,Table2[Dias no laborales]),E218)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Row],[CORREO]],1,Table2[Dias no laborales]),E219)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Row],[CORREO]],1,Table2[Dias no laborales]),E220)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Row],[CORREO]],1,Table2[Dias no laborales]),E221)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Row],[CORREO]],1,Table2[Dias no laborales]),E222)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Row],[CORREO]],1,Table2[Dias no laborales]),E223)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Row],[CORREO]],1,Table2[Dias no laborales]),E224)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Row],[CORREO]],1,Table2[Dias no laborales]),E225)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Row],[CORREO]],1,Table2[Dias no laborales]),E226)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Row],[CORREO]],1,Table2[Dias no laborales]),E227)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Row],[CORREO]],1,Table2[Dias no laborales]),E228)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Row],[CORREO]],1,Table2[Dias no laborales]),E229)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Row],[CORREO]],1,Table2[Dias no laborales]),E230)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Row],[CORREO]],1,Table2[Dias no laborales]),E231)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Row],[CORREO]],1,Table2[Dias no laborales]),E232)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Row],[CORREO]],1,Table2[Dias no laborales]),E233)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Row],[CORREO]],1,Table2[Dias no laborales]),E234)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Row],[CORREO]],1,Table2[Dias no laborales]),E235)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Row],[CORREO]],1,Table2[Dias no laborales]),E236)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Row],[CORREO]],1,Table2[Dias no laborales]),E237)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Row],[CORREO]],1,Table2[Dias no laborales]),E238)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Row],[CORREO]],1,Table2[Dias no laborales]),E239)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Row],[CORREO]],1,Table2[Dias no laborales]),E240)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Row],[CORREO]],1,Table2[Dias no laborales]),E241)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Row],[CORREO]],1,Table2[Dias no laborales]),E242)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Row],[CORREO]],1,Table2[Dias no laborales]),E243)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Row],[CORREO]],1,Table2[Dias no laborales]),E244)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Row],[CORREO]],1,Table2[Dias no laborales]),E245)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Row],[CORREO]],1,Table2[Dias no laborales]),E246)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Row],[CORREO]],1,Table2[Dias no laborales]),E247)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Row],[CORREO]],1,Table2[Dias no laborales]),E248)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Row],[CORREO]],1,Table2[Dias no laborales]),E249)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Row],[CORREO]],1,Table2[Dias no laborales]),E250)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Row],[CORREO]],1,Table2[Dias no laborales]),E251)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Row],[CORREO]],1,Table2[Dias no laborales]),E252)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Row],[CORREO]],1,Table2[Dias no laborales]),E253)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Row],[CORREO]],1,Table2[Dias no laborales]),E254)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Row],[CORREO]],1,Table2[Dias no laborales]),E255)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Row],[CORREO]],1,Table2[Dias no laborales]),E256)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Row],[CORREO]],1,Table2[Dias no laborales]),E257)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Row],[CORREO]],1,Table2[Dias no laborales]),E258)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Row],[CORREO]],1,Table2[Dias no laborales]),E259)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Row],[CORREO]],1,Table2[Dias no laborales]),E260)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Row],[CORREO]],1,Table2[Dias no laborales]),E261)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Row],[CORREO]],1,Table2[Dias no laborales]),E262)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Row],[CORREO]],1,Table2[Dias no laborales]),E263)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Row],[CORREO]],1,Table2[Dias no laborales]),E264)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Row],[CORREO]],1,Table2[Dias no laborales]),E265)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Row],[CORREO]],1,Table2[Dias no laborales]),E266)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Row],[CORREO]],1,Table2[Dias no laborales]),E267)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Row],[CORREO]],1,Table2[Dias no laborales]),E268)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Row],[CORREO]],1,Table2[Dias no laborales]),E269)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Row],[CORREO]],1,Table2[Dias no laborales]),E270)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Row],[CORREO]],1,Table2[Dias no laborales]),E271)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Row],[CORREO]],1,Table2[Dias no laborales]),E272)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Row],[CORREO]],1,Table2[Dias no laborales]),E273)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Row],[CORREO]],1,Table2[Dias no laborales]),E274)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Row],[CORREO]],1,Table2[Dias no laborales]),E275)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Row],[CORREO]],1,Table2[Dias no laborales]),E276)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Row],[CORREO]],1,Table2[Dias no laborales]),E277)</f>
        <v>0</v>
      </c>
      <c r="G277" s="11">
        <v>46086</v>
      </c>
      <c r="H277" s="7">
        <f t="shared" si="8"/>
        <v>10</v>
      </c>
      <c r="I277" s="20">
        <f>MAX(1, NETWORKDAYS(A277, G277,Table2[Dias no laborales]))</f>
        <v>255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Row],[CORREO]],1,Table2[Dias no laborales]),E278)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Row],[CORREO]],1,Table2[Dias no laborales]),E279)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Row],[CORREO]],1,Table2[Dias no laborales]),E280)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Row],[CORREO]],1,Table2[Dias no laborales]),E281)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Row],[CORREO]],1,Table2[Dias no laborales]),E282)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Row],[CORREO]],1,Table2[Dias no laborales]),E283)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Row],[CORREO]],1,Table2[Dias no laborales]),E284)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Row],[CORREO]],1,Table2[Dias no laborales]),E285)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Row],[CORREO]],1,Table2[Dias no laborales]),E286)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Row],[CORREO]],1,Table2[Dias no laborales]),E287)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Row],[CORREO]],1,Table2[Dias no laborales]),E288)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Row],[CORREO]],1,Table2[Dias no laborales]),E289)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Row],[CORREO]],1,Table2[Dias no laborales]),E290)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Row],[CORREO]],1,Table2[Dias no laborales]),E291)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Row],[CORREO]],1,Table2[Dias no laborales]),E292)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Row],[CORREO]],1,Table2[Dias no laborales]),E293)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Row],[CORREO]],1,Table2[Dias no laborales]),E294)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Row],[CORREO]],1,Table2[Dias no laborales]),E295)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Row],[CORREO]],1,Table2[Dias no laborales]),E296)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Row],[CORREO]],1,Table2[Dias no laborales]),E297)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Row],[CORREO]],1,Table2[Dias no laborales]),E298)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Row],[CORREO]],1,Table2[Dias no laborales]),E299)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Row],[CORREO]],1,Table2[Dias no laborales]),E300)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Row],[CORREO]],1,Table2[Dias no laborales]),E301)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Row],[CORREO]],1,Table2[Dias no laborales]),E302)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Row],[CORREO]],1,Table2[Dias no laborales]),E303)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Row],[CORREO]],1,Table2[Dias no laborales]),E304)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Row],[CORREO]],1,Table2[Dias no laborales]),E305)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Row],[CORREO]],1,Table2[Dias no laborales]),E306)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Row],[CORREO]],1,Table2[Dias no laborales]),E307)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Row],[CORREO]],1,Table2[Dias no laborales]),E308)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Row],[CORREO]],1,Table2[Dias no laborales]),E309)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Row],[CORREO]],1,Table2[Dias no laborales]),E310)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Row],[CORREO]],1,Table2[Dias no laborales]),E311)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Row],[CORREO]],1,Table2[Dias no laborales]),E312)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Row],[CORREO]],1,Table2[Dias no laborales]),E313)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Row],[CORREO]],1,Table2[Dias no laborales]),E314)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Row],[CORREO]],1,Table2[Dias no laborales]),E315)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Row],[CORREO]],1,Table2[Dias no laborales]),E316)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Row],[CORREO]],1,Table2[Dias no laborales]),E317)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Row],[CORREO]],1,Table2[Dias no laborales]),E318)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Row],[CORREO]],1,Table2[Dias no laborales]),E319)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Row],[CORREO]],1,Table2[Dias no laborales]),E320)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Row],[CORREO]],1,Table2[Dias no laborales]),E321)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Row],[CORREO]],1,Table2[Dias no laborales]),E322)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Row],[CORREO]],1,Table2[Dias no laborales]),E323)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Row],[CORREO]],1,Table2[Dias no laborales]),E324)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Row],[CORREO]],1,Table2[Dias no laborales]),E325)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Row],[CORREO]],1,Table2[Dias no laborales]),E326)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Row],[CORREO]],1,Table2[Dias no laborales]),E327)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Row],[CORREO]],1,Table2[Dias no laborales]),E328)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Row],[CORREO]],1,Table2[Dias no laborales]),E329)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Row],[CORREO]],1,Table2[Dias no laborales]),E330)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Row],[CORREO]],1,Table2[Dias no laborales]),E331)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Row],[CORREO]],1,Table2[Dias no laborales]),E332)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Row],[CORREO]],1,Table2[Dias no laborales]),E333)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Row],[CORREO]],1,Table2[Dias no laborales]),E334)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Row],[CORREO]],1,Table2[Dias no laborales]),E335)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Row],[CORREO]],1,Table2[Dias no laborales]),E336)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Row],[CORREO]],1,Table2[Dias no laborales]),E337)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Row],[CORREO]],1,Table2[Dias no laborales]),E338)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Row],[CORREO]],1,Table2[Dias no laborales]),E339)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Row],[CORREO]],1,Table2[Dias no laborales]),E340)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Row],[CORREO]],1,Table2[Dias no laborales]),E341)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Row],[CORREO]],1,Table2[Dias no laborales]),E342)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Row],[CORREO]],1,Table2[Dias no laborales]),E343)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Row],[CORREO]],1,Table2[Dias no laborales]),E344)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Row],[CORREO]],1,Table2[Dias no laborales]),E345)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Row],[CORREO]],1,Table2[Dias no laborales]),E346)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Row],[CORREO]],1,Table2[Dias no laborales]),E347)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Row],[CORREO]],1,Table2[Dias no laborales]),E348)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Row],[CORREO]],1,Table2[Dias no laborales]),E349)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Row],[CORREO]],1,Table2[Dias no laborales]),E350)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Row],[CORREO]],1,Table2[Dias no laborales]),E351)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Row],[CORREO]],1,Table2[Dias no laborales]),E352)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Row],[CORREO]],1,Table2[Dias no laborales]),E353)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Row],[CORREO]],1,Table2[Dias no laborales]),E354)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Row],[CORREO]],1,Table2[Dias no laborales]),E355)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Row],[CORREO]],1,Table2[Dias no laborales]),E356)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Row],[CORREO]],1,Table2[Dias no laborales]),E357)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Row],[CORREO]],1,Table2[Dias no laborales]),E358)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Row],[CORREO]],1,Table2[Dias no laborales]),E359)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Row],[CORREO]],1,Table2[Dias no laborales]),E360)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Row],[CORREO]],1,Table2[Dias no laborales]),E361)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Row],[CORREO]],1,Table2[Dias no laborales]),E362)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Row],[CORREO]],1,Table2[Dias no laborales]),E363)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Row],[CORREO]],1,Table2[Dias no laborales]),E364)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Row],[CORREO]],1,Table2[Dias no laborales]),E365)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Row],[CORREO]],1,Table2[Dias no laborales]),E366)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Row],[CORREO]],1,Table2[Dias no laborales]),E367)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Row],[CORREO]],1,Table2[Dias no laborales]),E368)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Row],[CORREO]],1,Table2[Dias no laborales]),E369)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Row],[CORREO]],1,Table2[Dias no laborales]),E370)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Row],[CORREO]],1,Table2[Dias no laborales]),E371)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Row],[CORREO]],1,Table2[Dias no laborales]),E372)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Row],[CORREO]],1,Table2[Dias no laborales]),E373)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Row],[CORREO]],1,Table2[Dias no laborales]),E374)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Row],[CORREO]],1,Table2[Dias no laborales]),E375)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Row],[CORREO]],1,Table2[Dias no laborales]),E376)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Row],[CORREO]],1,Table2[Dias no laborales]),E377)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Row],[CORREO]],1,Table2[Dias no laborales]),E378)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Row],[CORREO]],1,Table2[Dias no laborales]),E379)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Row],[CORREO]],1,Table2[Dias no laborales]),E380)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Row],[CORREO]],1,Table2[Dias no laborales]),E381)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Row],[CORREO]],1,Table2[Dias no laborales]),E382)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Row],[CORREO]],1,Table2[Dias no laborales]),E383)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Row],[CORREO]],1,Table2[Dias no laborales]),E384)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Row],[CORREO]],1,Table2[Dias no laborales]),E385)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Row],[CORREO]],1,Table2[Dias no laborales]),E386)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Row],[CORREO]],1,Table2[Dias no laborales]),E387)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Row],[CORREO]],1,Table2[Dias no laborales]),E388)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Row],[CORREO]],1,Table2[Dias no laborales]),E389)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Row],[CORREO]],1,Table2[Dias no laborales]),E390)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Row],[CORREO]],1,Table2[Dias no laborales]),E391)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Row],[CORREO]],1,Table2[Dias no laborales]),E392)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Row],[CORREO]],1,Table2[Dias no laborales]),E393)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Row],[CORREO]],1,Table2[Dias no laborales]),E394)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Row],[CORREO]],1,Table2[Dias no laborales]),E395)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Row],[CORREO]],1,Table2[Dias no laborales]),E396)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Row],[CORREO]],1,Table2[Dias no laborales]),E397)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Row],[CORREO]],1,Table2[Dias no laborales]),E398)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Row],[CORREO]],1,Table2[Dias no laborales]),E399)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Row],[CORREO]],1,Table2[Dias no laborales]),E400)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Row],[CORREO]],1,Table2[Dias no laborales]),E401)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Row],[CORREO]],1,Table2[Dias no laborales]),E402)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Row],[CORREO]],1,Table2[Dias no laborales]),E403)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Row],[CORREO]],1,Table2[Dias no laborales]),E404)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Row],[CORREO]],1,Table2[Dias no laborales]),E405)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Row],[CORREO]],1,Table2[Dias no laborales]),E406)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Row],[CORREO]],1,Table2[Dias no laborales]),E407)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Row],[CORREO]],1,Table2[Dias no laborales]),E408)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Row],[CORREO]],1,Table2[Dias no laborales]),E409)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Row],[CORREO]],1,Table2[Dias no laborales]),E410)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Row],[CORREO]],1,Table2[Dias no laborales]),E411)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Row],[CORREO]],1,Table2[Dias no laborales]),E412)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Row],[CORREO]],1,Table2[Dias no laborales]),E413)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Row],[CORREO]],1,Table2[Dias no laborales]),E414)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Row],[CORREO]],1,Table2[Dias no laborales]),E415)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Row],[CORREO]],1,Table2[Dias no laborales]),E416)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Row],[CORREO]],1,Table2[Dias no laborales]),E417)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Row],[CORREO]],1,Table2[Dias no laborales]),E418)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Row],[CORREO]],1,Table2[Dias no laborales]),E419)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Row],[CORREO]],1,Table2[Dias no laborales]),E420)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Row],[CORREO]],1,Table2[Dias no laborales]),E421)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Row],[CORREO]],1,Table2[Dias no laborales]),E422)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Row],[CORREO]],1,Table2[Dias no laborales]),E423)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Row],[CORREO]],1,Table2[Dias no laborales]),E424)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Row],[CORREO]],1,Table2[Dias no laborales]),E425)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Row],[CORREO]],1,Table2[Dias no laborales]),E426)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Row],[CORREO]],1,Table2[Dias no laborales]),E427)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Row],[CORREO]],1,Table2[Dias no laborales]),E428)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Row],[CORREO]],1,Table2[Dias no laborales]),E429)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Row],[CORREO]],1,Table2[Dias no laborales]),E430)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Row],[CORREO]],1,Table2[Dias no laborales]),E431)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Row],[CORREO]],1,Table2[Dias no laborales]),E432)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Row],[CORREO]],1,Table2[Dias no laborales]),E433)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Row],[CORREO]],1,Table2[Dias no laborales]),E434)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Row],[CORREO]],1,Table2[Dias no laborales]),E435)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Row],[CORREO]],1,Table2[Dias no laborales]),E436)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Row],[CORREO]],1,Table2[Dias no laborales]),E437)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Row],[CORREO]],1,Table2[Dias no laborales]),E438)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Row],[CORREO]],1,Table2[Dias no laborales]),E439)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Row],[CORREO]],1,Table2[Dias no laborales]),E440)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Row],[CORREO]],1,Table2[Dias no laborales]),E441)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Row],[CORREO]],1,Table2[Dias no laborales]),E442)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Row],[CORREO]],1,Table2[Dias no laborales]),E443)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Row],[CORREO]],1,Table2[Dias no laborales]),E444)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Row],[CORREO]],1,Table2[Dias no laborales]),E445)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Row],[CORREO]],1,Table2[Dias no laborales]),E446)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Row],[CORREO]],1,Table2[Dias no laborales]),E447)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Row],[CORREO]],1,Table2[Dias no laborales]),E448)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Row],[CORREO]],1,Table2[Dias no laborales]),E449)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Row],[CORREO]],1,Table2[Dias no laborales]),E450)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Row],[CORREO]],1,Table2[Dias no laborales]),E451)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Row],[CORREO]],1,Table2[Dias no laborales]),E452)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Row],[CORREO]],1,Table2[Dias no laborales]),E453)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Row],[CORREO]],1,Table2[Dias no laborales]),E454)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Row],[CORREO]],1,Table2[Dias no laborales]),E455)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Row],[CORREO]],1,Table2[Dias no laborales]),E456)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Row],[CORREO]],1,Table2[Dias no laborales]),E457)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Row],[CORREO]],1,Table2[Dias no laborales]),E458)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Row],[CORREO]],1,Table2[Dias no laborales]),E459)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Row],[CORREO]],1,Table2[Dias no laborales]),E460)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Row],[CORREO]],1,Table2[Dias no laborales]),E461)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Row],[CORREO]],1,Table2[Dias no laborales]),E462)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Row],[CORREO]],1,Table2[Dias no laborales]),E463)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Row],[CORREO]],1,Table2[Dias no laborales]),E464)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Row],[CORREO]],1,Table2[Dias no laborales]),E465)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Row],[CORREO]],1,Table2[Dias no laborales]),E466)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Row],[CORREO]],1,Table2[Dias no laborales]),E467)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Row],[CORREO]],1,Table2[Dias no laborales]),E468)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Row],[CORREO]],1,Table2[Dias no laborales]),E469)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Row],[CORREO]],1,Table2[Dias no laborales]),E470)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Row],[CORREO]],1,Table2[Dias no laborales]),E471)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Row],[CORREO]],1,Table2[Dias no laborales]),E472)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Row],[CORREO]],1,Table2[Dias no laborales]),E473)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Row],[CORREO]],1,Table2[Dias no laborales]),E474)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Row],[CORREO]],1,Table2[Dias no laborales]),E475)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Row],[CORREO]],1,Table2[Dias no laborales]),E476)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Row],[CORREO]],1,Table2[Dias no laborales]),E477)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Row],[CORREO]],1,Table2[Dias no laborales]),E478)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Row],[CORREO]],1,Table2[Dias no laborales]),E479)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Row],[CORREO]],1,Table2[Dias no laborales]),E480)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Row],[CORREO]],1,Table2[Dias no laborales]),E481)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Row],[CORREO]],1,Table2[Dias no laborales]),E482)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Row],[CORREO]],1,Table2[Dias no laborales]),E483)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Row],[CORREO]],1,Table2[Dias no laborales]),E484)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Row],[CORREO]],1,Table2[Dias no laborales]),E485)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Row],[CORREO]],1,Table2[Dias no laborales]),E486)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Row],[CORREO]],1,Table2[Dias no laborales]),E487)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Row],[CORREO]],1,Table2[Dias no laborales]),E488)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Row],[CORREO]],1,Table2[Dias no laborales]),E489)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Row],[CORREO]],1,Table2[Dias no laborales]),E490)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Row],[CORREO]],1,Table2[Dias no laborales]),E491)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Row],[CORREO]],1,Table2[Dias no laborales]),E492)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Row],[CORREO]],1,Table2[Dias no laborales]),E493)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Row],[CORREO]],1,Table2[Dias no laborales]),E494)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Row],[CORREO]],1,Table2[Dias no laborales]),E495)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Row],[CORREO]],1,Table2[Dias no laborales]),E496)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Row],[CORREO]],1,Table2[Dias no laborales]),E497)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Row],[CORREO]],1,Table2[Dias no laborales]),E498)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Row],[CORREO]],1,Table2[Dias no laborales]),E499)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Row],[CORREO]],1,Table2[Dias no laborales]),E500)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Row],[CORREO]],1,Table2[Dias no laborales]),E501)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Row],[CORREO]],1,Table2[Dias no laborales]),E502)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Row],[CORREO]],1,Table2[Dias no laborales]),E503)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Row],[CORREO]],1,Table2[Dias no laborales]),E504)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Row],[CORREO]],1,Table2[Dias no laborales]),E505)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Row],[CORREO]],1,Table2[Dias no laborales]),E506)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Row],[CORREO]],1,Table2[Dias no laborales]),E507)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Row],[CORREO]],1,Table2[Dias no laborales]),E508)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Row],[CORREO]],1,Table2[Dias no laborales]),E509)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Row],[CORREO]],1,Table2[Dias no laborales]),E510)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Row],[CORREO]],1,Table2[Dias no laborales]),E511)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Row],[CORREO]],1,Table2[Dias no laborales]),E512)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Row],[CORREO]],1,Table2[Dias no laborales]),E513)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Row],[CORREO]],1,Table2[Dias no laborales]),E514)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Row],[CORREO]],1,Table2[Dias no laborales]),E515)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Row],[CORREO]],1,Table2[Dias no laborales]),E516)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Row],[CORREO]],1,Table2[Dias no laborales]),E517)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Row],[CORREO]],1,Table2[Dias no laborales]),E518)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Row],[CORREO]],1,Table2[Dias no laborales]),E519)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Row],[CORREO]],1,Table2[Dias no laborales]),E520)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Row],[CORREO]],1,Table2[Dias no laborales]),E521)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Row],[CORREO]],1,Table2[Dias no laborales]),E522)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Row],[CORREO]],1,Table2[Dias no laborales]),E523)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Row],[CORREO]],1,Table2[Dias no laborales]),E524)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Row],[CORREO]],1,Table2[Dias no laborales]),E525)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Row],[CORREO]],1,Table2[Dias no laborales]),E526)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Row],[CORREO]],1,Table2[Dias no laborales]),E527)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Row],[CORREO]],1,Table2[Dias no laborales]),E528)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Row],[CORREO]],1,Table2[Dias no laborales]),E529)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Row],[CORREO]],1,Table2[Dias no laborales]),E530)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Row],[CORREO]],1,Table2[Dias no laborales]),E531)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Row],[CORREO]],1,Table2[Dias no laborales]),E532)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Row],[CORREO]],1,Table2[Dias no laborales]),E533)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Row],[CORREO]],1,Table2[Dias no laborales]),E534)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Row],[CORREO]],1,Table2[Dias no laborales]),E535)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Row],[CORREO]],1,Table2[Dias no laborales]),E536)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Row],[CORREO]],1,Table2[Dias no laborales]),E537)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Row],[CORREO]],1,Table2[Dias no laborales]),E538)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Row],[CORREO]],1,Table2[Dias no laborales]),E539)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Row],[CORREO]],1,Table2[Dias no laborales]),E540)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Row],[CORREO]],1,Table2[Dias no laborales]),E541)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Row],[CORREO]],1,Table2[Dias no laborales]),E542)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Row],[CORREO]],1,Table2[Dias no laborales]),E543)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Row],[CORREO]],1,Table2[Dias no laborales]),E544)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Row],[CORREO]],1,Table2[Dias no laborales]),E545)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Row],[CORREO]],1,Table2[Dias no laborales]),E546)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Row],[CORREO]],1,Table2[Dias no laborales]),E547)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Row],[CORREO]],1,Table2[Dias no laborales]),E548)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Row],[CORREO]],1,Table2[Dias no laborales]),E549)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Row],[CORREO]],1,Table2[Dias no laborales]),E550)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Row],[CORREO]],1,Table2[Dias no laborales]),E551)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Row],[CORREO]],1,Table2[Dias no laborales]),E552)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Row],[CORREO]],1,Table2[Dias no laborales]),E553)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Row],[CORREO]],1,Table2[Dias no laborales]),E554)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Row],[CORREO]],1,Table2[Dias no laborales]),E555)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Row],[CORREO]],1,Table2[Dias no laborales]),E556)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Row],[CORREO]],1,Table2[Dias no laborales]),E557)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Row],[CORREO]],1,Table2[Dias no laborales]),E558)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Row],[CORREO]],1,Table2[Dias no laborales]),E559)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Row],[CORREO]],1,Table2[Dias no laborales]),E560)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Row],[CORREO]],1,Table2[Dias no laborales]),E561)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Row],[CORREO]],1,Table2[Dias no laborales]),E562)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Row],[CORREO]],1,Table2[Dias no laborales]),E563)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Row],[CORREO]],1,Table2[Dias no laborales]),E564)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Row],[CORREO]],1,Table2[Dias no laborales]),E565)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Row],[CORREO]],1,Table2[Dias no laborales]),E566)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Row],[CORREO]],1,Table2[Dias no laborales]),E567)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Row],[CORREO]],1,Table2[Dias no laborales]),E568)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Row],[CORREO]],1,Table2[Dias no laborales]),E569)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Row],[CORREO]],1,Table2[Dias no laborales]),E570)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Row],[CORREO]],1,Table2[Dias no laborales]),E571)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Row],[CORREO]],1,Table2[Dias no laborales]),E572)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Row],[CORREO]],1,Table2[Dias no laborales]),E573)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Row],[CORREO]],1,Table2[Dias no laborales]),E574)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Row],[CORREO]],1,Table2[Dias no laborales]),E575)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Row],[CORREO]],1,Table2[Dias no laborales]),E576)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Row],[CORREO]],1,Table2[Dias no laborales]),E577)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Row],[CORREO]],1,Table2[Dias no laborales]),E578)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Row],[CORREO]],1,Table2[Dias no laborales]),E579)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Row],[CORREO]],1,Table2[Dias no laborales]),E580)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Row],[CORREO]],1,Table2[Dias no laborales]),E581)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Row],[CORREO]],1,Table2[Dias no laborales]),E582)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Row],[CORREO]],1,Table2[Dias no laborales]),E583)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Row],[CORREO]],1,Table2[Dias no laborales]),E584)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Row],[CORREO]],1,Table2[Dias no laborales]),E585)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Row],[CORREO]],1,Table2[Dias no laborales]),E586)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Row],[CORREO]],1,Table2[Dias no laborales]),E587)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Row],[CORREO]],1,Table2[Dias no laborales]),E588)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Row],[CORREO]],1,Table2[Dias no laborales]),E589)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Row],[CORREO]],1,Table2[Dias no laborales]),E590)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Row],[CORREO]],1,Table2[Dias no laborales]),E591)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Row],[CORREO]],1,Table2[Dias no laborales]),E592)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Row],[CORREO]],1,Table2[Dias no laborales]),E593)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Row],[CORREO]],1,Table2[Dias no laborales]),E594)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Row],[CORREO]],1,Table2[Dias no laborales]),E595)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Row],[CORREO]],1,Table2[Dias no laborales]),E596)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Row],[CORREO]],1,Table2[Dias no laborales]),E597)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Row],[CORREO]],1,Table2[Dias no laborales]),E598)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Row],[CORREO]],1,Table2[Dias no laborales]),E599)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Row],[CORREO]],1,Table2[Dias no laborales]),E600)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Row],[CORREO]],1,Table2[Dias no laborales]),E601)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Row],[CORREO]],1,Table2[Dias no laborales]),E602)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Row],[CORREO]],1,Table2[Dias no laborales]),E603)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Row],[CORREO]],1,Table2[Dias no laborales]),E604)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Row],[CORREO]],1,Table2[Dias no laborales]),E605)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Row],[CORREO]],1,Table2[Dias no laborales]),E606)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Row],[CORREO]],1,Table2[Dias no laborales]),E607)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Row],[CORREO]],1,Table2[Dias no laborales]),E608)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Row],[CORREO]],1,Table2[Dias no laborales]),E609)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Row],[CORREO]],1,Table2[Dias no laborales]),E610)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Row],[CORREO]],1,Table2[Dias no laborales]),E611)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Row],[CORREO]],1,Table2[Dias no laborales]),E612)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Row],[CORREO]],1,Table2[Dias no laborales]),E613)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Row],[CORREO]],1,Table2[Dias no laborales]),E614)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Row],[CORREO]],1,Table2[Dias no laborales]),E615)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Row],[CORREO]],1,Table2[Dias no laborales]),E616)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Row],[CORREO]],1,Table2[Dias no laborales]),E617)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Row],[CORREO]],1,Table2[Dias no laborales]),E618)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Row],[CORREO]],1,Table2[Dias no laborales]),E619)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Row],[CORREO]],1,Table2[Dias no laborales]),E620)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Row],[CORREO]],1,Table2[Dias no laborales]),E621)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Row],[CORREO]],1,Table2[Dias no laborales]),E622)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Row],[CORREO]],1,Table2[Dias no laborales]),E623)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Row],[CORREO]],1,Table2[Dias no laborales]),E624)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Row],[CORREO]],1,Table2[Dias no laborales]),E625)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Row],[CORREO]],1,Table2[Dias no laborales]),E626)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Row],[CORREO]],1,Table2[Dias no laborales]),E627)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Row],[CORREO]],1,Table2[Dias no laborales]),E628)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Row],[CORREO]],1,Table2[Dias no laborales]),E629)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Row],[CORREO]],1,Table2[Dias no laborales]),E630)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Row],[CORREO]],1,Table2[Dias no laborales]),E631)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Row],[CORREO]],1,Table2[Dias no laborales]),E632)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Row],[CORREO]],1,Table2[Dias no laborales]),E633)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Row],[CORREO]],1,Table2[Dias no laborales]),E634)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Row],[CORREO]],1,Table2[Dias no laborales]),E635)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Row],[CORREO]],1,Table2[Dias no laborales]),E636)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Row],[CORREO]],1,Table2[Dias no laborales]),E637)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Row],[CORREO]],1,Table2[Dias no laborales]),E638)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Row],[CORREO]],1,Table2[Dias no laborales]),E639)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Row],[CORREO]],1,Table2[Dias no laborales]),E640)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Row],[CORREO]],1,Table2[Dias no laborales]),E641)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Row],[CORREO]],1,Table2[Dias no laborales]),E642)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Row],[CORREO]],1,Table2[Dias no laborales]),E643)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Row],[CORREO]],1,Table2[Dias no laborales]),E644)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Row],[CORREO]],1,Table2[Dias no laborales]),E645)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Row],[CORREO]],1,Table2[Dias no laborales]),E646)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Row],[CORREO]],1,Table2[Dias no laborales]),E647)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Row],[CORREO]],1,Table2[Dias no laborales]),E648)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Row],[CORREO]],1,Table2[Dias no laborales]),E649)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Row],[CORREO]],1,Table2[Dias no laborales]),E650)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Row],[CORREO]],1,Table2[Dias no laborales]),E651)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Row],[CORREO]],1,Table2[Dias no laborales]),E652)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Row],[CORREO]],1,Table2[Dias no laborales]),E653)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Row],[CORREO]],1,Table2[Dias no laborales]),E654)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Row],[CORREO]],1,Table2[Dias no laborales]),E655)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Row],[CORREO]],1,Table2[Dias no laborales]),E656)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Row],[CORREO]],1,Table2[Dias no laborales]),E657)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Row],[CORREO]],1,Table2[Dias no laborales]),E658)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Row],[CORREO]],1,Table2[Dias no laborales]),E659)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Row],[CORREO]],1,Table2[Dias no laborales]),E660)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Row],[CORREO]],1,Table2[Dias no laborales]),E661)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Row],[CORREO]],1,Table2[Dias no laborales]),E662)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Row],[CORREO]],1,Table2[Dias no laborales]),E663)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Row],[CORREO]],1,Table2[Dias no laborales]),E664)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Row],[CORREO]],1,Table2[Dias no laborales]),E665)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Row],[CORREO]],1,Table2[Dias no laborales]),E666)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Row],[CORREO]],1,Table2[Dias no laborales]),E667)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Row],[CORREO]],1,Table2[Dias no laborales]),E668)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Row],[CORREO]],1,Table2[Dias no laborales]),E669)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Row],[CORREO]],1,Table2[Dias no laborales]),E670)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Row],[CORREO]],1,Table2[Dias no laborales]),E671)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Row],[CORREO]],1,Table2[Dias no laborales]),E672)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Row],[CORREO]],1,Table2[Dias no laborales]),E673)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Row],[CORREO]],1,Table2[Dias no laborales]),E674)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Row],[CORREO]],1,Table2[Dias no laborales]),E675)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Row],[CORREO]],1,Table2[Dias no laborales]),E676)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Row],[CORREO]],1,Table2[Dias no laborales]),E677)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Row],[CORREO]],1,Table2[Dias no laborales]),E678)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Row],[CORREO]],1,Table2[Dias no laborales]),E679)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Row],[CORREO]],1,Table2[Dias no laborales]),E680)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Row],[CORREO]],1,Table2[Dias no laborales]),E681)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Row],[CORREO]],1,Table2[Dias no laborales]),E682)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Row],[CORREO]],1,Table2[Dias no laborales]),E683)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Row],[CORREO]],1,Table2[Dias no laborales]),E684)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Row],[CORREO]],1,Table2[Dias no laborales]),E685)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Row],[CORREO]],1,Table2[Dias no laborales]),E686)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Row],[CORREO]],1,Table2[Dias no laborales]),E687)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Row],[CORREO]],1,Table2[Dias no laborales]),E688)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Row],[CORREO]],1,Table2[Dias no laborales]),E689)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Row],[CORREO]],1,Table2[Dias no laborales]),E690)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Row],[CORREO]],1,Table2[Dias no laborales]),E691)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Row],[CORREO]],1,Table2[Dias no laborales]),E692)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Row],[CORREO]],1,Table2[Dias no laborales]),E693)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Row],[CORREO]],1,Table2[Dias no laborales]),E694)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Row],[CORREO]],1,Table2[Dias no laborales]),E695)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Row],[CORREO]],1,Table2[Dias no laborales]),E696)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Row],[CORREO]],1,Table2[Dias no laborales]),E697)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Row],[CORREO]],1,Table2[Dias no laborales]),E698)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Row],[CORREO]],1,Table2[Dias no laborales]),E699)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Row],[CORREO]],1,Table2[Dias no laborales]),E700)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Row],[CORREO]],1,Table2[Dias no laborales]),E701)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Row],[CORREO]],1,Table2[Dias no laborales]),E702)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Row],[CORREO]],1,Table2[Dias no laborales]),E703)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Row],[CORREO]],1,Table2[Dias no laborales]),E704)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Row],[CORREO]],1,Table2[Dias no laborales]),E705)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Row],[CORREO]],1,Table2[Dias no laborales]),E706)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Row],[CORREO]],1,Table2[Dias no laborales]),E707)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Row],[CORREO]],1,Table2[Dias no laborales]),E708)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Row],[CORREO]],1,Table2[Dias no laborales]),E709)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Row],[CORREO]],1,Table2[Dias no laborales]),E710)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Row],[CORREO]],1,Table2[Dias no laborales]),E711)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Row],[CORREO]],1,Table2[Dias no laborales]),E712)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Row],[CORREO]],1,Table2[Dias no laborales]),E713)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Row],[CORREO]],1,Table2[Dias no laborales]),E714)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Row],[CORREO]],1,Table2[Dias no laborales]),E715)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Row],[CORREO]],1,Table2[Dias no laborales]),E716)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Row],[CORREO]],1,Table2[Dias no laborales]),E717)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Row],[CORREO]],1,Table2[Dias no laborales]),E718)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Row],[CORREO]],1,Table2[Dias no laborales]),E719)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Row],[CORREO]],1,Table2[Dias no laborales]),E720)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Row],[CORREO]],1,Table2[Dias no laborales]),E721)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Row],[CORREO]],1,Table2[Dias no laborales]),E722)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Row],[CORREO]],1,Table2[Dias no laborales]),E723)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Row],[CORREO]],1,Table2[Dias no laborales]),E724)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Row],[CORREO]],1,Table2[Dias no laborales]),E725)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Row],[CORREO]],1,Table2[Dias no laborales]),E726)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Row],[CORREO]],1,Table2[Dias no laborales]),E727)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Row],[CORREO]],1,Table2[Dias no laborales]),E728)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Row],[CORREO]],1,Table2[Dias no laborales]),E729)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Row],[CORREO]],1,Table2[Dias no laborales]),E730)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Row],[CORREO]],1,Table2[Dias no laborales]),E731)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Row],[CORREO]],1,Table2[Dias no laborales]),E732)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Row],[CORREO]],1,Table2[Dias no laborales]),E733)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Row],[CORREO]],1,Table2[Dias no laborales]),E734)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Row],[CORREO]],1,Table2[Dias no laborales]),E735)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Row],[CORREO]],1,Table2[Dias no laborales]),E736)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Row],[CORREO]],1,Table2[Dias no laborales]),E737)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Row],[CORREO]],1,Table2[Dias no laborales]),E738)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Row],[CORREO]],1,Table2[Dias no laborales]),E739)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Row],[CORREO]],1,Table2[Dias no laborales]),E740)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Row],[CORREO]],1,Table2[Dias no laborales]),E741)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Row],[CORREO]],1,Table2[Dias no laborales]),E742)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Row],[CORREO]],1,Table2[Dias no laborales]),E743)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Row],[CORREO]],1,Table2[Dias no laborales]),E744)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Row],[CORREO]],1,Table2[Dias no laborales]),E745)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Row],[CORREO]],1,Table2[Dias no laborales]),E746)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Row],[CORREO]],1,Table2[Dias no laborales]),E747)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Row],[CORREO]],1,Table2[Dias no laborales]),E748)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Row],[CORREO]],1,Table2[Dias no laborales]),E749)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Row],[CORREO]],1,Table2[Dias no laborales]),E750)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Row],[CORREO]],1,Table2[Dias no laborales]),E751)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Row],[CORREO]],1,Table2[Dias no laborales]),E752)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Row],[CORREO]],1,Table2[Dias no laborales]),E753)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Row],[CORREO]],1,Table2[Dias no laborales]),E754)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Row],[CORREO]],1,Table2[Dias no laborales]),E755)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Row],[CORREO]],1,Table2[Dias no laborales]),E756)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Row],[CORREO]],1,Table2[Dias no laborales]),E757)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Row],[CORREO]],1,Table2[Dias no laborales]),E758)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Row],[CORREO]],1,Table2[Dias no laborales]),E759)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Row],[CORREO]],1,Table2[Dias no laborales]),E760)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Row],[CORREO]],1,Table2[Dias no laborales]),E761)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Row],[CORREO]],1,Table2[Dias no laborales]),E762)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Row],[CORREO]],1,Table2[Dias no laborales]),E763)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Row],[CORREO]],1,Table2[Dias no laborales]),E764)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Row],[CORREO]],1,Table2[Dias no laborales]),E765)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Row],[CORREO]],1,Table2[Dias no laborales]),E766)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Row],[CORREO]],1,Table2[Dias no laborales]),E767)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Row],[CORREO]],1,Table2[Dias no laborales]),E768)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Row],[CORREO]],1,Table2[Dias no laborales]),E769)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Row],[CORREO]],1,Table2[Dias no laborales]),E770)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Row],[CORREO]],1,Table2[Dias no laborales]),E771)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Row],[CORREO]],1,Table2[Dias no laborales]),E772)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Row],[CORREO]],1,Table2[Dias no laborales]),E773)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Row],[CORREO]],1,Table2[Dias no laborales]),E774)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Row],[CORREO]],1,Table2[Dias no laborales]),E775)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Row],[CORREO]],1,Table2[Dias no laborales]),E776)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Row],[CORREO]],1,Table2[Dias no laborales]),E777)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Row],[CORREO]],1,Table2[Dias no laborales]),E778)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Row],[CORREO]],1,Table2[Dias no laborales]),E779)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Row],[CORREO]],1,Table2[Dias no laborales]),E780)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Row],[CORREO]],1,Table2[Dias no laborales]),E781)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Row],[CORREO]],1,Table2[Dias no laborales]),E782)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Row],[CORREO]],1,Table2[Dias no laborales]),E783)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Row],[CORREO]],1,Table2[Dias no laborales]),E784)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Row],[CORREO]],1,Table2[Dias no laborales]),E785)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Row],[CORREO]],1,Table2[Dias no laborales]),E786)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Row],[CORREO]],1,Table2[Dias no laborales]),E787)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Row],[CORREO]],1,Table2[Dias no laborales]),E788)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Row],[CORREO]],1,Table2[Dias no laborales]),E789)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Row],[CORREO]],1,Table2[Dias no laborales]),E790)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Row],[CORREO]],1,Table2[Dias no laborales]),E791)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Row],[CORREO]],1,Table2[Dias no laborales]),E792)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Row],[CORREO]],1,Table2[Dias no laborales]),E793)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Row],[CORREO]],1,Table2[Dias no laborales]),E794)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Row],[CORREO]],1,Table2[Dias no laborales]),E795)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Row],[CORREO]],1,Table2[Dias no laborales]),E796)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Row],[CORREO]],1,Table2[Dias no laborales]),E797)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Row],[CORREO]],1,Table2[Dias no laborales]),E798)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Row],[CORREO]],1,Table2[Dias no laborales]),E799)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Row],[CORREO]],1,Table2[Dias no laborales]),E800)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Row],[CORREO]],1,Table2[Dias no laborales]),E801)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Row],[CORREO]],1,Table2[Dias no laborales]),E802)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Row],[CORREO]],1,Table2[Dias no laborales]),E803)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Row],[CORREO]],1,Table2[Dias no laborales]),E804)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Row],[CORREO]],1,Table2[Dias no laborales]),E805)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Row],[CORREO]],1,Table2[Dias no laborales]),E806)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Row],[CORREO]],1,Table2[Dias no laborales]),E807)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Row],[CORREO]],1,Table2[Dias no laborales]),E808)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Row],[CORREO]],1,Table2[Dias no laborales]),E809)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Row],[CORREO]],1,Table2[Dias no laborales]),E810)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Row],[CORREO]],1,Table2[Dias no laborales]),E811)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Row],[CORREO]],1,Table2[Dias no laborales]),E812)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Row],[CORREO]],1,Table2[Dias no laborales]),E813)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Row],[CORREO]],1,Table2[Dias no laborales]),E814)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Row],[CORREO]],1,Table2[Dias no laborales]),E815)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Row],[CORREO]],1,Table2[Dias no laborales]),E816)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Row],[CORREO]],1,Table2[Dias no laborales]),E817)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Row],[CORREO]],1,Table2[Dias no laborales]),E818)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Row],[CORREO]],1,Table2[Dias no laborales]),E819)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Row],[CORREO]],1,Table2[Dias no laborales]),E820)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Row],[CORREO]],1,Table2[Dias no laborales]),E821)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Row],[CORREO]],1,Table2[Dias no laborales]),E822)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Row],[CORREO]],1,Table2[Dias no laborales]),E823)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Row],[CORREO]],1,Table2[Dias no laborales]),E824)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Row],[CORREO]],1,Table2[Dias no laborales]),E825)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Row],[CORREO]],1,Table2[Dias no laborales]),E826)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Row],[CORREO]],1,Table2[Dias no laborales]),E827)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Row],[CORREO]],1,Table2[Dias no laborales]),E828)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Row],[CORREO]],1,Table2[Dias no laborales]),E829)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Row],[CORREO]],1,Table2[Dias no laborales]),E830)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Row],[CORREO]],1,Table2[Dias no laborales]),E831)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Row],[CORREO]],1,Table2[Dias no laborales]),E832)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Row],[CORREO]],1,Table2[Dias no laborales]),E833)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Row],[CORREO]],1,Table2[Dias no laborales]),E834)</f>
        <v>0</v>
      </c>
      <c r="G834" s="11">
        <v>46122</v>
      </c>
      <c r="H834" s="7">
        <f t="shared" ref="H834:H897" si="26">INT((A834-DATE(YEAR(A834),1,1))/7) + 1</f>
        <v>31</v>
      </c>
      <c r="I834" s="20">
        <f>MAX(1, NETWORKDAYS(A834, G834,Table2[Dias no laborales]))</f>
        <v>174</v>
      </c>
      <c r="J834" s="7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Row],[CORREO]],1,Table2[Dias no laborales]),E835)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Row],[CORREO]],1,Table2[Dias no laborales]),E836)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Row],[CORREO]],1,Table2[Dias no laborales]),E837)</f>
        <v>45868.374305555553</v>
      </c>
      <c r="G837" s="11">
        <v>46122</v>
      </c>
      <c r="H837" s="7">
        <f t="shared" si="26"/>
        <v>31</v>
      </c>
      <c r="I837" s="20">
        <f>MAX(1, NETWORKDAYS(A837, G837,Table2[Dias no laborales]))</f>
        <v>173</v>
      </c>
      <c r="J837" s="7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Row],[CORREO]],1,Table2[Dias no laborales]),E838)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Row],[CORREO]],1,Table2[Dias no laborales]),E839)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Row],[CORREO]],1,Table2[Dias no laborales]),E840)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Row],[CORREO]],1,Table2[Dias no laborales]),E841)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Row],[CORREO]],1,Table2[Dias no laborales]),E842)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Row],[CORREO]],1,Table2[Dias no laborales]),E843)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Row],[CORREO]],1,Table2[Dias no laborales]),E844)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Row],[CORREO]],1,Table2[Dias no laborales]),E845)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Row],[CORREO]],1,Table2[Dias no laborales]),E846)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Row],[CORREO]],1,Table2[Dias no laborales]),E847)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Row],[CORREO]],1,Table2[Dias no laborales]),E848)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Row],[CORREO]],1,Table2[Dias no laborales]),E849)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Row],[CORREO]],1,Table2[Dias no laborales]),E850)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Row],[CORREO]],1,Table2[Dias no laborales]),E851)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Row],[CORREO]],1,Table2[Dias no laborales]),E852)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Row],[CORREO]],1,Table2[Dias no laborales]),E853)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Row],[CORREO]],1,Table2[Dias no laborales]),E854)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Row],[CORREO]],1,Table2[Dias no laborales]),E855)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Row],[CORREO]],1,Table2[Dias no laborales]),E856)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Row],[CORREO]],1,Table2[Dias no laborales]),E857)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Row],[CORREO]],1,Table2[Dias no laborales]),E858)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Row],[CORREO]],1,Table2[Dias no laborales]),E859)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Row],[CORREO]],1,Table2[Dias no laborales]),E860)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Row],[CORREO]],1,Table2[Dias no laborales]),E861)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Row],[CORREO]],1,Table2[Dias no laborales]),E862)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Row],[CORREO]],1,Table2[Dias no laborales]),E863)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Row],[CORREO]],1,Table2[Dias no laborales]),E864)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Row],[CORREO]],1,Table2[Dias no laborales]),E865)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Row],[CORREO]],1,Table2[Dias no laborales]),E866)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Row],[CORREO]],1,Table2[Dias no laborales]),E867)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Row],[CORREO]],1,Table2[Dias no laborales]),E868)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Row],[CORREO]],1,Table2[Dias no laborales]),E869)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Row],[CORREO]],1,Table2[Dias no laborales]),E870)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Row],[CORREO]],1,Table2[Dias no laborales]),E871)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Row],[CORREO]],1,Table2[Dias no laborales]),E872)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Row],[CORREO]],1,Table2[Dias no laborales]),E873)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Row],[CORREO]],1,Table2[Dias no laborales]),E874)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Row],[CORREO]],1,Table2[Dias no laborales]),E875)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Row],[CORREO]],1,Table2[Dias no laborales]),E876)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Row],[CORREO]],1,Table2[Dias no laborales]),E877)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Row],[CORREO]],1,Table2[Dias no laborales]),E878)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Row],[CORREO]],1,Table2[Dias no laborales]),E879)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Row],[CORREO]],1,Table2[Dias no laborales]),E880)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Row],[CORREO]],1,Table2[Dias no laborales]),E881)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Row],[CORREO]],1,Table2[Dias no laborales]),E882)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Row],[CORREO]],1,Table2[Dias no laborales]),E883)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Row],[CORREO]],1,Table2[Dias no laborales]),E884)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Row],[CORREO]],1,Table2[Dias no laborales]),E885)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Row],[CORREO]],1,Table2[Dias no laborales]),E886)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Row],[CORREO]],1,Table2[Dias no laborales]),E887)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Row],[CORREO]],1,Table2[Dias no laborales]),E888)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Row],[CORREO]],1,Table2[Dias no laborales]),E889)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Row],[CORREO]],1,Table2[Dias no laborales]),E890)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Row],[CORREO]],1,Table2[Dias no laborales]),E891)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Row],[CORREO]],1,Table2[Dias no laborales]),E892)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Row],[CORREO]],1,Table2[Dias no laborales]),E893)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Row],[CORREO]],1,Table2[Dias no laborales]),E894)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Row],[CORREO]],1,Table2[Dias no laborales]),E895)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Row],[CORREO]],1,Table2[Dias no laborales]),E896)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Row],[CORREO]],1,Table2[Dias no laborales]),E897)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Row],[CORREO]],1,Table2[Dias no laborales]),E898)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Row],[CORREO]],1,Table2[Dias no laborales]),E899)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Row],[CORREO]],1,Table2[Dias no laborales]),E900)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Row],[CORREO]],1,Table2[Dias no laborales]),E901)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Row],[CORREO]],1,Table2[Dias no laborales]),E902)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Row],[CORREO]],1,Table2[Dias no laborales]),E903)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Row],[CORREO]],1,Table2[Dias no laborales]),E904)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Row],[CORREO]],1,Table2[Dias no laborales]),E905)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Row],[CORREO]],1,Table2[Dias no laborales]),E906)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Row],[CORREO]],1,Table2[Dias no laborales]),E907)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Row],[CORREO]],1,Table2[Dias no laborales]),E908)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Row],[CORREO]],1,Table2[Dias no laborales]),E909)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Row],[CORREO]],1,Table2[Dias no laborales]),E910)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Row],[CORREO]],1,Table2[Dias no laborales]),E911)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Row],[CORREO]],1,Table2[Dias no laborales]),E912)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Row],[CORREO]],1,Table2[Dias no laborales]),E913)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Row],[CORREO]],1,Table2[Dias no laborales]),E914)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Row],[CORREO]],1,Table2[Dias no laborales]),E915)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Row],[CORREO]],1,Table2[Dias no laborales]),E916)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Row],[CORREO]],1,Table2[Dias no laborales]),E917)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Row],[CORREO]],1,Table2[Dias no laborales]),E918)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Row],[CORREO]],1,Table2[Dias no laborales]),E919)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Row],[CORREO]],1,Table2[Dias no laborales]),E920)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Row],[CORREO]],1,Table2[Dias no laborales]),E921)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Row],[CORREO]],1,Table2[Dias no laborales]),E922)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Row],[CORREO]],1,Table2[Dias no laborales]),E923)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Row],[CORREO]],1,Table2[Dias no laborales]),E924)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Row],[CORREO]],1,Table2[Dias no laborales]),E925)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Row],[CORREO]],1,Table2[Dias no laborales]),E926)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Row],[CORREO]],1,Table2[Dias no laborales]),E927)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Row],[CORREO]],1,Table2[Dias no laborales]),E928)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Row],[CORREO]],1,Table2[Dias no laborales]),E929)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Row],[CORREO]],1,Table2[Dias no laborales]),E930)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Row],[CORREO]],1,Table2[Dias no laborales]),E931)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Row],[CORREO]],1,Table2[Dias no laborales]),E932)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Row],[CORREO]],1,Table2[Dias no laborales]),E933)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Row],[CORREO]],1,Table2[Dias no laborales]),E934)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Row],[CORREO]],1,Table2[Dias no laborales]),E935)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">
      <c r="A936" s="11">
        <v>45897</v>
      </c>
      <c r="B936" s="7" t="s">
        <v>1901</v>
      </c>
      <c r="C936" s="7" t="s">
        <v>1902</v>
      </c>
      <c r="D936" s="7" t="s">
        <v>61</v>
      </c>
      <c r="E936" s="12"/>
      <c r="F936" s="11">
        <f>IF(HOUR(Table1[[#This Row],[CORREO]])&gt;=11,WORKDAY(Table1[[#This Row],[CORREO]],1,Table2[Dias no laborales]),E936)</f>
        <v>0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7" t="str">
        <f t="shared" si="29"/>
        <v>Programados</v>
      </c>
      <c r="L936" s="13">
        <v>45897</v>
      </c>
      <c r="M936" s="22">
        <f>MAX(1,NETWORKDAYS(A936,L936,Table2[Dias no laborales]))</f>
        <v>1</v>
      </c>
    </row>
    <row r="937" spans="1:13" x14ac:dyDescent="0.3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Row],[CORREO]],1,Table2[Dias no laborales]),E937)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Row],[CORREO]],1,Table2[Dias no laborales]),E938)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Row],[CORREO]],1,Table2[Dias no laborales]),E939)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Row],[CORREO]],1,Table2[Dias no laborales]),E940)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Row],[CORREO]],1,Table2[Dias no laborales]),E941)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Row],[CORREO]],1,Table2[Dias no laborales]),E942)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Row],[CORREO]],1,Table2[Dias no laborales]),E943)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Row],[CORREO]],1,Table2[Dias no laborales]),E944)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Row],[CORREO]],1,Table2[Dias no laborales]),E945)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Row],[CORREO]],1,Table2[Dias no laborales]),E946)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Row],[CORREO]],1,Table2[Dias no laborales]),E947)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Row],[CORREO]],1,Table2[Dias no laborales]),E948)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Row],[CORREO]],1,Table2[Dias no laborales]),E949)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Row],[CORREO]],1,Table2[Dias no laborales]),E950)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Row],[CORREO]],1,Table2[Dias no laborales]),E951)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Row],[CORREO]],1,Table2[Dias no laborales]),E952)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Row],[CORREO]],1,Table2[Dias no laborales]),E953)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Row],[CORREO]],1,Table2[Dias no laborales]),E954)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Row],[CORREO]],1,Table2[Dias no laborales]),E955)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Row],[CORREO]],1,Table2[Dias no laborales]),E956)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Row],[CORREO]],1,Table2[Dias no laborales]),E957)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Row],[CORREO]],1,Table2[Dias no laborales]),E958)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Row],[CORREO]],1,Table2[Dias no laborales]),E959)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Row],[CORREO]],1,Table2[Dias no laborales]),E960)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Row],[CORREO]],1,Table2[Dias no laborales]),E961)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Row],[CORREO]],1,Table2[Dias no laborales]),E962)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Row],[CORREO]],1,Table2[Dias no laborales]),E963)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Row],[CORREO]],1,Table2[Dias no laborales]),E964)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Row],[CORREO]],1,Table2[Dias no laborales]),E965)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Row],[CORREO]],1,Table2[Dias no laborales]),E966)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Row],[CORREO]],1,Table2[Dias no laborales]),E967)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Row],[CORREO]],1,Table2[Dias no laborales]),E968)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Row],[CORREO]],1,Table2[Dias no laborales]),E969)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Row],[CORREO]],1,Table2[Dias no laborales]),E970)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Row],[CORREO]],1,Table2[Dias no laborales]),E971)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Row],[CORREO]],1,Table2[Dias no laborales]),E972)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Row],[CORREO]],1,Table2[Dias no laborales]),E973)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Row],[CORREO]],1,Table2[Dias no laborales]),E974)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Row],[CORREO]],1,Table2[Dias no laborales]),E975)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Row],[CORREO]],1,Table2[Dias no laborales]),E976)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Row],[CORREO]],1,Table2[Dias no laborales]),E977)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Row],[CORREO]],1,Table2[Dias no laborales]),E978)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Row],[CORREO]],1,Table2[Dias no laborales]),E979)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Row],[CORREO]],1,Table2[Dias no laborales]),E980)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Row],[CORREO]],1,Table2[Dias no laborales]),E981)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Row],[CORREO]],1,Table2[Dias no laborales]),E982)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Row],[CORREO]],1,Table2[Dias no laborales]),E983)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Row],[CORREO]],1,Table2[Dias no laborales]),E984)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Row],[CORREO]],1,Table2[Dias no laborales]),E985)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Row],[CORREO]],1,Table2[Dias no laborales]),E986)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Row],[CORREO]],1,Table2[Dias no laborales]),E987)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Row],[CORREO]],1,Table2[Dias no laborales]),E988)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Row],[CORREO]],1,Table2[Dias no laborales]),E989)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Row],[CORREO]],1,Table2[Dias no laborales]),E990)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Row],[CORREO]],1,Table2[Dias no laborales]),E991)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Row],[CORREO]],1,Table2[Dias no laborales]),E992)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Row],[CORREO]],1,Table2[Dias no laborales]),E993)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Row],[CORREO]],1,Table2[Dias no laborales]),E994)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Row],[CORREO]],1,Table2[Dias no laborales]),E995)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Row],[CORREO]],1,Table2[Dias no laborales]),E996)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Row],[CORREO]],1,Table2[Dias no laborales]),E997)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Row],[CORREO]],1,Table2[Dias no laborales]),E998)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Row],[CORREO]],1,Table2[Dias no laborales]),E999)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Row],[CORREO]],1,Table2[Dias no laborales]),E1000)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Row],[CORREO]],1,Table2[Dias no laborales]),E1001)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Row],[CORREO]],1,Table2[Dias no laborales]),E1002)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Row],[CORREO]],1,Table2[Dias no laborales]),E1003)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Row],[CORREO]],1,Table2[Dias no laborales]),E1004)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Row],[CORREO]],1,Table2[Dias no laborales]),E1005)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Row],[CORREO]],1,Table2[Dias no laborales]),E1006)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Row],[CORREO]],1,Table2[Dias no laborales]),E1007)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Row],[CORREO]],1,Table2[Dias no laborales]),E1008)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Row],[CORREO]],1,Table2[Dias no laborales]),E1009)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Row],[CORREO]],1,Table2[Dias no laborales]),E1010)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Row],[CORREO]],1,Table2[Dias no laborales]),E1011)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Row],[CORREO]],1,Table2[Dias no laborales]),E1012)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Row],[CORREO]],1,Table2[Dias no laborales]),E1013)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Row],[CORREO]],1,Table2[Dias no laborales]),E1014)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Row],[CORREO]],1,Table2[Dias no laborales]),E1015)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Row],[CORREO]],1,Table2[Dias no laborales]),E1016)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Row],[CORREO]],1,Table2[Dias no laborales]),E1017)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Row],[CORREO]],1,Table2[Dias no laborales]),E1018)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Row],[CORREO]],1,Table2[Dias no laborales]),E1019)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Row],[CORREO]],1,Table2[Dias no laborales]),E1020)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Row],[CORREO]],1,Table2[Dias no laborales]),E1021)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Row],[CORREO]],1,Table2[Dias no laborales]),E1022)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Row],[CORREO]],1,Table2[Dias no laborales]),E1023)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Row],[CORREO]],1,Table2[Dias no laborales]),E1024)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Row],[CORREO]],1,Table2[Dias no laborales]),E1025)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Row],[CORREO]],1,Table2[Dias no laborales]),E1026)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Row],[CORREO]],1,Table2[Dias no laborales]),E1027)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Row],[CORREO]],1,Table2[Dias no laborales]),E1028)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Row],[CORREO]],1,Table2[Dias no laborales]),E1029)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Row],[CORREO]],1,Table2[Dias no laborales]),E1030)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Row],[CORREO]],1,Table2[Dias no laborales]),E1031)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Row],[CORREO]],1,Table2[Dias no laborales]),E1032)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Row],[CORREO]],1,Table2[Dias no laborales]),E1033)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Row],[CORREO]],1,Table2[Dias no laborales]),E1034)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Row],[CORREO]],1,Table2[Dias no laborales]),E1035)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Row],[CORREO]],1,Table2[Dias no laborales]),E1036)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Row],[CORREO]],1,Table2[Dias no laborales]),E1037)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Row],[CORREO]],1,Table2[Dias no laborales]),E1038)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Row],[CORREO]],1,Table2[Dias no laborales]),E1039)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Row],[CORREO]],1,Table2[Dias no laborales]),E1040)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Row],[CORREO]],1,Table2[Dias no laborales]),E1041)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Row],[CORREO]],1,Table2[Dias no laborales]),E1042)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Row],[CORREO]],1,Table2[Dias no laborales]),E1043)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Row],[CORREO]],1,Table2[Dias no laborales]),E1044)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Row],[CORREO]],1,Table2[Dias no laborales]),E1045)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Row],[CORREO]],1,Table2[Dias no laborales]),E1046)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Row],[CORREO]],1,Table2[Dias no laborales]),E1047)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Row],[CORREO]],1,Table2[Dias no laborales]),E1048)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Row],[CORREO]],1,Table2[Dias no laborales]),E1049)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Row],[CORREO]],1,Table2[Dias no laborales]),E1050)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Row],[CORREO]],1,Table2[Dias no laborales]),E1051)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Row],[CORREO]],1,Table2[Dias no laborales]),E1052)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Row],[CORREO]],1,Table2[Dias no laborales]),E1053)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Row],[CORREO]],1,Table2[Dias no laborales]),E1054)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Row],[CORREO]],1,Table2[Dias no laborales]),E1055)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Row],[CORREO]],1,Table2[Dias no laborales]),E1056)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Row],[CORREO]],1,Table2[Dias no laborales]),E1057)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Row],[CORREO]],1,Table2[Dias no laborales]),E1058)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Row],[CORREO]],1,Table2[Dias no laborales]),E1059)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Row],[CORREO]],1,Table2[Dias no laborales]),E1060)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Row],[CORREO]],1,Table2[Dias no laborales]),E1061)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Row],[CORREO]],1,Table2[Dias no laborales]),E1062)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Row],[CORREO]],1,Table2[Dias no laborales]),E1063)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Row],[CORREO]],1,Table2[Dias no laborales]),E1064)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Row],[CORREO]],1,Table2[Dias no laborales]),E1065)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Row],[CORREO]],1,Table2[Dias no laborales]),E1066)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Row],[CORREO]],1,Table2[Dias no laborales]),E1067)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Row],[CORREO]],1,Table2[Dias no laborales]),E1068)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Row],[CORREO]],1,Table2[Dias no laborales]),E1069)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Row],[CORREO]],1,Table2[Dias no laborales]),E1070)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Row],[CORREO]],1,Table2[Dias no laborales]),E1071)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Row],[CORREO]],1,Table2[Dias no laborales]),E1072)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Row],[CORREO]],1,Table2[Dias no laborales]),E1073)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Row],[CORREO]],1,Table2[Dias no laborales]),E1074)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Row],[CORREO]],1,Table2[Dias no laborales]),E1075)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Row],[CORREO]],1,Table2[Dias no laborales]),E1076)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Row],[CORREO]],1,Table2[Dias no laborales]),E1077)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Row],[CORREO]],1,Table2[Dias no laborales]),E1078)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Row],[CORREO]],1,Table2[Dias no laborales]),E1079)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Row],[CORREO]],1,Table2[Dias no laborales]),E1080)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Row],[CORREO]],1,Table2[Dias no laborales]),E1081)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Row],[CORREO]],1,Table2[Dias no laborales]),E1082)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Row],[CORREO]],1,Table2[Dias no laborales]),E1083)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Row],[CORREO]],1,Table2[Dias no laborales]),E1084)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Row],[CORREO]],1,Table2[Dias no laborales]),E1085)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Row],[CORREO]],1,Table2[Dias no laborales]),E1086)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Row],[CORREO]],1,Table2[Dias no laborales]),E1087)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Row],[CORREO]],1,Table2[Dias no laborales]),E1088)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Row],[CORREO]],1,Table2[Dias no laborales]),E1089)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Row],[CORREO]],1,Table2[Dias no laborales]),E1090)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Row],[CORREO]],1,Table2[Dias no laborales]),E1091)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Row],[CORREO]],1,Table2[Dias no laborales]),E1092)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Row],[CORREO]],1,Table2[Dias no laborales]),E1093)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Row],[CORREO]],1,Table2[Dias no laborales]),E1094)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Row],[CORREO]],1,Table2[Dias no laborales]),E1095)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Row],[CORREO]],1,Table2[Dias no laborales]),E1096)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Row],[CORREO]],1,Table2[Dias no laborales]),E1097)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Row],[CORREO]],1,Table2[Dias no laborales]),E1098)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Row],[CORREO]],1,Table2[Dias no laborales]),E1099)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Row],[CORREO]],1,Table2[Dias no laborales]),E1100)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Row],[CORREO]],1,Table2[Dias no laborales]),E1101)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Row],[CORREO]],1,Table2[Dias no laborales]),E1102)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Row],[CORREO]],1,Table2[Dias no laborales]),E1103)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Row],[CORREO]],1,Table2[Dias no laborales]),E1104)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Row],[CORREO]],1,Table2[Dias no laborales]),E1105)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Row],[CORREO]],1,Table2[Dias no laborales]),E1106)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Row],[CORREO]],1,Table2[Dias no laborales]),E1107)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Row],[CORREO]],1,Table2[Dias no laborales]),E1108)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Row],[CORREO]],1,Table2[Dias no laborales]),E1109)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Row],[CORREO]],1,Table2[Dias no laborales]),E1110)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Row],[CORREO]],1,Table2[Dias no laborales]),E1111)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Row],[CORREO]],1,Table2[Dias no laborales]),E1112)</f>
        <v>0</v>
      </c>
      <c r="G1112" s="17">
        <v>46135</v>
      </c>
      <c r="H1112" s="7">
        <f t="shared" si="34"/>
        <v>42</v>
      </c>
      <c r="I1112" s="20">
        <f>MAX(1, NETWORKDAYS(A1112, G1112,Table2[Dias no laborales]))</f>
        <v>128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Row],[CORREO]],1,Table2[Dias no laborales]),E1113)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Row],[CORREO]],1,Table2[Dias no laborales]),E1114)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Row],[CORREO]],1,Table2[Dias no laborales]),E1115)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Row],[CORREO]],1,Table2[Dias no laborales]),E1116)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Row],[CORREO]],1,Table2[Dias no laborales]),E1117)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Row],[CORREO]],1,Table2[Dias no laborales]),E1118)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Row],[CORREO]],1,Table2[Dias no laborales]),E1119)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Row],[CORREO]],1,Table2[Dias no laborales]),E1120)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Row],[CORREO]],1,Table2[Dias no laborales]),E1121)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Row],[CORREO]],1,Table2[Dias no laborales]),E1122)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Row],[CORREO]],1,Table2[Dias no laborales]),E1123)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Row],[CORREO]],1,Table2[Dias no laborales]),E1124)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Row],[CORREO]],1,Table2[Dias no laborales]),E1125)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Row],[CORREO]],1,Table2[Dias no laborales]),E1126)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Row],[CORREO]],1,Table2[Dias no laborales]),E1127)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Row],[CORREO]],1,Table2[Dias no laborales]),E1128)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Row],[CORREO]],1,Table2[Dias no laborales]),E1129)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Row],[CORREO]],1,Table2[Dias no laborales]),E1130)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Row],[CORREO]],1,Table2[Dias no laborales]),E1131)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Row],[CORREO]],1,Table2[Dias no laborales]),E1132)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Row],[CORREO]],1,Table2[Dias no laborales]),E1133)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Row],[CORREO]],1,Table2[Dias no laborales]),E1134)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Row],[CORREO]],1,Table2[Dias no laborales]),E1135)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Row],[CORREO]],1,Table2[Dias no laborales]),E1136)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Row],[CORREO]],1,Table2[Dias no laborales]),E1137)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Row],[CORREO]],1,Table2[Dias no laborales]),E1138)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Row],[CORREO]],1,Table2[Dias no laborales]),E1139)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Row],[CORREO]],1,Table2[Dias no laborales]),E1140)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Row],[CORREO]],1,Table2[Dias no laborales]),E1141)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Row],[CORREO]],1,Table2[Dias no laborales]),E1142)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Row],[CORREO]],1,Table2[Dias no laborales]),E1143)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Row],[CORREO]],1,Table2[Dias no laborales]),E1144)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Row],[CORREO]],1,Table2[Dias no laborales]),E1145)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Row],[CORREO]],1,Table2[Dias no laborales]),E1146)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Row],[CORREO]],1,Table2[Dias no laborales]),E1147)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Row],[CORREO]],1,Table2[Dias no laborales]),E1148)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Row],[CORREO]],1,Table2[Dias no laborales]),E1149)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Row],[CORREO]],1,Table2[Dias no laborales]),E1150)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Row],[CORREO]],1,Table2[Dias no laborales]),E1151)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Row],[CORREO]],1,Table2[Dias no laborales]),E1152)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Row],[CORREO]],1,Table2[Dias no laborales]),E1153)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Row],[CORREO]],1,Table2[Dias no laborales]),E1154)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Row],[CORREO]],1,Table2[Dias no laborales]),E1155)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Row],[CORREO]],1,Table2[Dias no laborales]),E1156)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Row],[CORREO]],1,Table2[Dias no laborales]),E1157)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Row],[CORREO]],1,Table2[Dias no laborales]),E1158)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Row],[CORREO]],1,Table2[Dias no laborales]),E1159)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Row],[CORREO]],1,Table2[Dias no laborales]),E1160)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Row],[CORREO]],1,Table2[Dias no laborales]),E1161)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Row],[CORREO]],1,Table2[Dias no laborales]),E1162)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Row],[CORREO]],1,Table2[Dias no laborales]),E1163)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Row],[CORREO]],1,Table2[Dias no laborales]),E1164)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Row],[CORREO]],1,Table2[Dias no laborales]),E1165)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Row],[CORREO]],1,Table2[Dias no laborales]),E1166)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Row],[CORREO]],1,Table2[Dias no laborales]),E1167)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Row],[CORREO]],1,Table2[Dias no laborales]),E1168)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Row],[CORREO]],1,Table2[Dias no laborales]),E1169)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Row],[CORREO]],1,Table2[Dias no laborales]),E1170)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Row],[CORREO]],1,Table2[Dias no laborales]),E1171)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Row],[CORREO]],1,Table2[Dias no laborales]),E1172)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Row],[CORREO]],1,Table2[Dias no laborales]),E1173)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Row],[CORREO]],1,Table2[Dias no laborales]),E1174)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Row],[CORREO]],1,Table2[Dias no laborales]),E1175)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Row],[CORREO]],1,Table2[Dias no laborales]),E1176)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Row],[CORREO]],1,Table2[Dias no laborales]),E1177)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Row],[CORREO]],1,Table2[Dias no laborales]),E1178)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Row],[CORREO]],1,Table2[Dias no laborales]),E1179)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Row],[CORREO]],1,Table2[Dias no laborales]),E1180)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Row],[CORREO]],1,Table2[Dias no laborales]),E1181)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Row],[CORREO]],1,Table2[Dias no laborales]),E1182)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Row],[CORREO]],1,Table2[Dias no laborales]),E1183)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Row],[CORREO]],1,Table2[Dias no laborales]),E1184)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Row],[CORREO]],1,Table2[Dias no laborales]),E1185)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Row],[CORREO]],1,Table2[Dias no laborales]),E1186)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Row],[CORREO]],1,Table2[Dias no laborales]),E1187)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Row],[CORREO]],1,Table2[Dias no laborales]),E1188)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Row],[CORREO]],1,Table2[Dias no laborales]),E1189)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Row],[CORREO]],1,Table2[Dias no laborales]),E1190)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Row],[CORREO]],1,Table2[Dias no laborales]),E1191)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Row],[CORREO]],1,Table2[Dias no laborales]),E1192)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Row],[CORREO]],1,Table2[Dias no laborales]),E1193)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Row],[CORREO]],1,Table2[Dias no laborales]),E1194)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Row],[CORREO]],1,Table2[Dias no laborales]),E1195)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Row],[CORREO]],1,Table2[Dias no laborales]),E1196)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Row],[CORREO]],1,Table2[Dias no laborales]),E1197)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Row],[CORREO]],1,Table2[Dias no laborales]),E1198)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Row],[CORREO]],1,Table2[Dias no laborales]),E1199)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Row],[CORREO]],1,Table2[Dias no laborales]),E1200)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Row],[CORREO]],1,Table2[Dias no laborales]),E1201)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Row],[CORREO]],1,Table2[Dias no laborales]),E1202)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Row],[CORREO]],1,Table2[Dias no laborales]),E1203)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Row],[CORREO]],1,Table2[Dias no laborales]),E1204)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Row],[CORREO]],1,Table2[Dias no laborales]),E1205)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Row],[CORREO]],1,Table2[Dias no laborales]),E1206)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Row],[CORREO]],1,Table2[Dias no laborales]),E1207)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Row],[CORREO]],1,Table2[Dias no laborales]),E1208)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Row],[CORREO]],1,Table2[Dias no laborales]),E1209)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Row],[CORREO]],1,Table2[Dias no laborales]),E1210)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Row],[CORREO]],1,Table2[Dias no laborales]),E1211)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Row],[CORREO]],1,Table2[Dias no laborales]),E1212)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Row],[CORREO]],1,Table2[Dias no laborales]),E1213)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Row],[CORREO]],1,Table2[Dias no laborales]),E1214)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Row],[CORREO]],1,Table2[Dias no laborales]),E1215)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Row],[CORREO]],1,Table2[Dias no laborales]),E1216)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Row],[CORREO]],1,Table2[Dias no laborales]),E1217)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Row],[CORREO]],1,Table2[Dias no laborales]),E1218)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Row],[CORREO]],1,Table2[Dias no laborales]),E1219)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Row],[CORREO]],1,Table2[Dias no laborales]),E1220)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Row],[CORREO]],1,Table2[Dias no laborales]),E1221)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Row],[CORREO]],1,Table2[Dias no laborales]),E1222)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Row],[CORREO]],1,Table2[Dias no laborales]),E1223)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Row],[CORREO]],1,Table2[Dias no laborales]),E1224)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Row],[CORREO]],1,Table2[Dias no laborales]),E1225)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Row],[CORREO]],1,Table2[Dias no laborales]),E1226)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Row],[CORREO]],1,Table2[Dias no laborales]),E1227)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Row],[CORREO]],1,Table2[Dias no laborales]),E1228)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Row],[CORREO]],1,Table2[Dias no laborales]),E1229)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Row],[CORREO]],1,Table2[Dias no laborales]),E1230)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Row],[CORREO]],1,Table2[Dias no laborales]),E1231)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Row],[CORREO]],1,Table2[Dias no laborales]),E1232)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Row],[CORREO]],1,Table2[Dias no laborales]),E1233)</f>
        <v>0</v>
      </c>
      <c r="G1233" s="17">
        <v>46093</v>
      </c>
      <c r="H1233" s="7">
        <f t="shared" si="39"/>
        <v>46</v>
      </c>
      <c r="I1233" s="20">
        <f>MAX(1, NETWORKDAYS(A1233, G1233,Table2[Dias no laborales]))</f>
        <v>79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Row],[CORREO]],1,Table2[Dias no laborales]),E1234)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Row],[CORREO]],1,Table2[Dias no laborales]),E1235)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Row],[CORREO]],1,Table2[Dias no laborales]),E1236)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Row],[CORREO]],1,Table2[Dias no laborales]),E1237)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Row],[CORREO]],1,Table2[Dias no laborales]),E1238)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Row],[CORREO]],1,Table2[Dias no laborales]),E1239)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Row],[CORREO]],1,Table2[Dias no laborales]),E1240)</f>
        <v>45979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A tiempo</v>
      </c>
      <c r="L1240" s="13">
        <v>45979</v>
      </c>
      <c r="M1240" s="22">
        <f>MAX(1,NETWORKDAYS(A1240,L1240,Table2[Dias no laborales]))</f>
        <v>1</v>
      </c>
    </row>
    <row r="1241" spans="1:13" x14ac:dyDescent="0.3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Row],[CORREO]],1,Table2[Dias no laborales]),E1241)</f>
        <v>45979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A tiempo</v>
      </c>
      <c r="L1241" s="13">
        <v>45979</v>
      </c>
      <c r="M1241" s="22">
        <f>MAX(1,NETWORKDAYS(A1241,L1241,Table2[Dias no laborales]))</f>
        <v>1</v>
      </c>
    </row>
    <row r="1242" spans="1:13" x14ac:dyDescent="0.3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Row],[CORREO]],1,Table2[Dias no laborales]),E1242)</f>
        <v>45979.404861111114</v>
      </c>
      <c r="G1242" s="17">
        <v>46132</v>
      </c>
      <c r="H1242" s="7">
        <f t="shared" si="39"/>
        <v>46</v>
      </c>
      <c r="I1242" s="20">
        <f>MAX(1, NETWORKDAYS(A1242, G1242,Table2[Dias no laborales]))</f>
        <v>102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Row],[CORREO]],1,Table2[Dias no laborales]),E1243)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Row],[CORREO]],1,Table2[Dias no laborales]),E1244)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Row],[CORREO]],1,Table2[Dias no laborales]),E1245)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Row],[CORREO]],1,Table2[Dias no laborales]),E1246)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Row],[CORREO]],1,Table2[Dias no laborales]),E1247)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Row],[CORREO]],1,Table2[Dias no laborales]),E1248)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Row],[CORREO]],1,Table2[Dias no laborales]),E1249)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Row],[CORREO]],1,Table2[Dias no laborales]),E1250)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Row],[CORREO]],1,Table2[Dias no laborales]),E1251)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Row],[CORREO]],1,Table2[Dias no laborales]),E1252)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Row],[CORREO]],1,Table2[Dias no laborales]),E1253)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Row],[CORREO]],1,Table2[Dias no laborales]),E1254)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Row],[CORREO]],1,Table2[Dias no laborales]),E1255)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Row],[CORREO]],1,Table2[Dias no laborales]),E1256)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Row],[CORREO]],1,Table2[Dias no laborales]),E1257)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Row],[CORREO]],1,Table2[Dias no laborales]),E1258)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Row],[CORREO]],1,Table2[Dias no laborales]),E1259)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Row],[CORREO]],1,Table2[Dias no laborales]),E1260)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Row],[CORREO]],1,Table2[Dias no laborales]),E1261)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Row],[CORREO]],1,Table2[Dias no laborales]),E1262)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Row],[CORREO]],1,Table2[Dias no laborales]),E1263)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Row],[CORREO]],1,Table2[Dias no laborales]),E1264)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Row],[CORREO]],1,Table2[Dias no laborales]),E1265)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Row],[CORREO]],1,Table2[Dias no laborales]),E1266)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Row],[CORREO]],1,Table2[Dias no laborales]),E1267)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Row],[CORREO]],1,Table2[Dias no laborales]),E1268)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Row],[CORREO]],1,Table2[Dias no laborales]),E1269)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Row],[CORREO]],1,Table2[Dias no laborales]),E1270)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Row],[CORREO]],1,Table2[Dias no laborales]),E1271)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Row],[CORREO]],1,Table2[Dias no laborales]),E1272)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Row],[CORREO]],1,Table2[Dias no laborales]),E1273)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Row],[CORREO]],1,Table2[Dias no laborales]),E1274)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Row],[CORREO]],1,Table2[Dias no laborales]),E1275)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Row],[CORREO]],1,Table2[Dias no laborales]),E1276)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Row],[CORREO]],1,Table2[Dias no laborales]),E1277)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Row],[CORREO]],1,Table2[Dias no laborales]),E1278)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Row],[CORREO]],1,Table2[Dias no laborales]),E1279)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Row],[CORREO]],1,Table2[Dias no laborales]),E1280)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Row],[CORREO]],1,Table2[Dias no laborales]),E1281)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Row],[CORREO]],1,Table2[Dias no laborales]),E1282)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Row],[CORREO]],1,Table2[Dias no laborales]),E1283)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Row],[CORREO]],1,Table2[Dias no laborales]),E1284)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Row],[CORREO]],1,Table2[Dias no laborales]),E1285)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Row],[CORREO]],1,Table2[Dias no laborales]),E1286)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Row],[CORREO]],1,Table2[Dias no laborales]),E1287)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Row],[CORREO]],1,Table2[Dias no laborales]),E1288)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Row],[CORREO]],1,Table2[Dias no laborales]),E1289)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Row],[CORREO]],1,Table2[Dias no laborales]),E1290)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Row],[CORREO]],1,Table2[Dias no laborales]),E1291)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Row],[CORREO]],1,Table2[Dias no laborales]),E1292)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Row],[CORREO]],1,Table2[Dias no laborales]),E1293)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Row],[CORREO]],1,Table2[Dias no laborales]),E1294)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Row],[CORREO]],1,Table2[Dias no laborales]),E1295)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Row],[CORREO]],1,Table2[Dias no laborales]),E1296)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Row],[CORREO]],1,Table2[Dias no laborales]),E1297)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Row],[CORREO]],1,Table2[Dias no laborales]),E1298)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Row],[CORREO]],1,Table2[Dias no laborales]),E1299)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Row],[CORREO]],1,Table2[Dias no laborales]),E1300)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Row],[CORREO]],1,Table2[Dias no laborales]),E1301)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Row],[CORREO]],1,Table2[Dias no laborales]),E1302)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Row],[CORREO]],1,Table2[Dias no laborales]),E1303)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Row],[CORREO]],1,Table2[Dias no laborales]),E1304)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Row],[CORREO]],1,Table2[Dias no laborales]),E1305)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Row],[CORREO]],1,Table2[Dias no laborales]),E1306)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Row],[CORREO]],1,Table2[Dias no laborales]),E1307)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Row],[CORREO]],1,Table2[Dias no laborales]),E1308)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Row],[CORREO]],1,Table2[Dias no laborales]),E1309)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Row],[CORREO]],1,Table2[Dias no laborales]),E1310)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Row],[CORREO]],1,Table2[Dias no laborales]),E1311)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Row],[CORREO]],1,Table2[Dias no laborales]),E1312)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Row],[CORREO]],1,Table2[Dias no laborales]),E1313)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Row],[CORREO]],1,Table2[Dias no laborales]),E1314)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Row],[CORREO]],1,Table2[Dias no laborales]),E1315)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Row],[CORREO]],1,Table2[Dias no laborales]),E1316)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Row],[CORREO]],1,Table2[Dias no laborales]),E1317)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Row],[CORREO]],1,Table2[Dias no laborales]),E1318)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Row],[CORREO]],1,Table2[Dias no laborales]),E1319)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Row],[CORREO]],1,Table2[Dias no laborales]),E1320)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Row],[CORREO]],1,Table2[Dias no laborales]),E1321)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Row],[CORREO]],1,Table2[Dias no laborales]),E1322)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Row],[CORREO]],1,Table2[Dias no laborales]),E1323)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Row],[CORREO]],1,Table2[Dias no laborales]),E1324)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Row],[CORREO]],1,Table2[Dias no laborales]),E1325)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Row],[CORREO]],1,Table2[Dias no laborales]),E1326)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Row],[CORREO]],1,Table2[Dias no laborales]),E1327)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Row],[CORREO]],1,Table2[Dias no laborales]),E1328)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Row],[CORREO]],1,Table2[Dias no laborales]),E1329)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Row],[CORREO]],1,Table2[Dias no laborales]),E1330)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Row],[CORREO]],1,Table2[Dias no laborales]),E1331)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Row],[CORREO]],1,Table2[Dias no laborales]),E1332)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Row],[CORREO]],1,Table2[Dias no laborales]),E1333)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Row],[CORREO]],1,Table2[Dias no laborales]),E1334)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Row],[CORREO]],1,Table2[Dias no laborales]),E1335)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Row],[CORREO]],1,Table2[Dias no laborales]),E1336)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Row],[CORREO]],1,Table2[Dias no laborales]),E1337)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Row],[CORREO]],1,Table2[Dias no laborales]),E1338)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Row],[CORREO]],1,Table2[Dias no laborales]),E1339)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Row],[CORREO]],1,Table2[Dias no laborales]),E1340)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Row],[CORREO]],1,Table2[Dias no laborales]),E1341)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Row],[CORREO]],1,Table2[Dias no laborales]),E1342)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Row],[CORREO]],1,Table2[Dias no laborales]),E1343)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Row],[CORREO]],1,Table2[Dias no laborales]),E1344)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Row],[CORREO]],1,Table2[Dias no laborales]),E1345)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253</v>
      </c>
    </row>
    <row r="1346" spans="1:13" x14ac:dyDescent="0.3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Row],[CORREO]],1,Table2[Dias no laborales]),E1346)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Row],[CORREO]],1,Table2[Dias no laborales]),E1347)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Row],[CORREO]],1,Table2[Dias no laborales]),E1348)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Row],[CORREO]],1,Table2[Dias no laborales]),E1349)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Row],[CORREO]],1,Table2[Dias no laborales]),E1350)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Row],[CORREO]],1,Table2[Dias no laborales]),E1351)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Row],[CORREO]],1,Table2[Dias no laborales]),E1352)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Row],[CORREO]],1,Table2[Dias no laborales]),E1353)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Row],[CORREO]],1,Table2[Dias no laborales]),E1354)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Row],[CORREO]],1,Table2[Dias no laborales]),E1355)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Row],[CORREO]],1,Table2[Dias no laborales]),E1356)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Row],[CORREO]],1,Table2[Dias no laborales]),E1357)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Row],[CORREO]],1,Table2[Dias no laborales]),E1358)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252</v>
      </c>
    </row>
    <row r="1359" spans="1:13" x14ac:dyDescent="0.3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Row],[CORREO]],1,Table2[Dias no laborales]),E1359)</f>
        <v>0</v>
      </c>
      <c r="G1359" s="11">
        <v>46122</v>
      </c>
      <c r="H1359" s="7">
        <f t="shared" si="45"/>
        <v>50</v>
      </c>
      <c r="I1359" s="20">
        <f>MAX(1, NETWORKDAYS(A1359, G1359,Table2[Dias no laborales]))</f>
        <v>79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Row],[CORREO]],1,Table2[Dias no laborales]),E1360)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Row],[CORREO]],1,Table2[Dias no laborales]),E1361)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Row],[CORREO]],1,Table2[Dias no laborales]),E1362)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Row],[CORREO]],1,Table2[Dias no laborales]),E1363)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Row],[CORREO]],1,Table2[Dias no laborales]),E1364)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Row],[CORREO]],1,Table2[Dias no laborales]),E1365)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Row],[CORREO]],1,Table2[Dias no laborales]),E1366)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Row],[CORREO]],1,Table2[Dias no laborales]),E1367)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Row],[CORREO]],1,Table2[Dias no laborales]),E1368)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Row],[CORREO]],1,Table2[Dias no laborales]),E1369)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Row],[CORREO]],1,Table2[Dias no laborales]),E1370)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Row],[CORREO]],1,Table2[Dias no laborales]),E1371)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Row],[CORREO]],1,Table2[Dias no laborales]),E1372)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Row],[CORREO]],1,Table2[Dias no laborales]),E1373)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Row],[CORREO]],1,Table2[Dias no laborales]),E1374)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Row],[CORREO]],1,Table2[Dias no laborales]),E1375)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Row],[CORREO]],1,Table2[Dias no laborales]),E1376)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Row],[CORREO]],1,Table2[Dias no laborales]),E1377)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Row],[CORREO]],1,Table2[Dias no laborales]),E1378)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Row],[CORREO]],1,Table2[Dias no laborales]),E1379)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Row],[CORREO]],1,Table2[Dias no laborales]),E1380)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Row],[CORREO]],1,Table2[Dias no laborales]),E1381)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Row],[CORREO]],1,Table2[Dias no laborales]),E1382)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Row],[CORREO]],1,Table2[Dias no laborales]),E1383)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Row],[CORREO]],1,Table2[Dias no laborales]),E1384)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Row],[CORREO]],1,Table2[Dias no laborales]),E1385)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Row],[CORREO]],1,Table2[Dias no laborales]),E1386)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Row],[CORREO]],1,Table2[Dias no laborales]),E1387)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Row],[CORREO]],1,Table2[Dias no laborales]),E1388)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Row],[CORREO]],1,Table2[Dias no laborales]),E1389)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Row],[CORREO]],1,Table2[Dias no laborales]),E1390)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Row],[CORREO]],1,Table2[Dias no laborales]),E1391)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Row],[CORREO]],1,Table2[Dias no laborales]),E1392)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Row],[CORREO]],1,Table2[Dias no laborales]),E1393)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Row],[CORREO]],1,Table2[Dias no laborales]),E1394)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Row],[CORREO]],1,Table2[Dias no laborales]),E1395)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Row],[CORREO]],1,Table2[Dias no laborales]),E1396)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Row],[CORREO]],1,Table2[Dias no laborales]),E1397)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Row],[CORREO]],1,Table2[Dias no laborales]),E1398)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Row],[CORREO]],1,Table2[Dias no laborales]),E1399)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Row],[CORREO]],1,Table2[Dias no laborales]),E1400)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Row],[CORREO]],1,Table2[Dias no laborales]),E1401)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Row],[CORREO]],1,Table2[Dias no laborales]),E1402)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Row],[CORREO]],1,Table2[Dias no laborales]),E1403)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Row],[CORREO]],1,Table2[Dias no laborales]),E1404)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Row],[CORREO]],1,Table2[Dias no laborales]),E1405)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Row],[CORREO]],1,Table2[Dias no laborales]),E1406)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Row],[CORREO]],1,Table2[Dias no laborales]),E1407)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Row],[CORREO]],1,Table2[Dias no laborales]),E1408)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Row],[CORREO]],1,Table2[Dias no laborales]),E1409)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Row],[CORREO]],1,Table2[Dias no laborales]),E1410)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Row],[CORREO]],1,Table2[Dias no laborales]),E1411)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Row],[CORREO]],1,Table2[Dias no laborales]),E1412)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Row],[CORREO]],1,Table2[Dias no laborales]),E1413)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Row],[CORREO]],1,Table2[Dias no laborales]),E1414)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Row],[CORREO]],1,Table2[Dias no laborales]),E1415)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Row],[CORREO]],1,Table2[Dias no laborales]),E1416)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Row],[CORREO]],1,Table2[Dias no laborales]),E1417)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Row],[CORREO]],1,Table2[Dias no laborales]),E1418)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Row],[CORREO]],1,Table2[Dias no laborales]),E1419)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Row],[CORREO]],1,Table2[Dias no laborales]),E1420)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Row],[CORREO]],1,Table2[Dias no laborales]),E1421)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Row],[CORREO]],1,Table2[Dias no laborales]),E1422)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Row],[CORREO]],1,Table2[Dias no laborales]),E1423)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Row],[CORREO]],1,Table2[Dias no laborales]),E1424)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Row],[CORREO]],1,Table2[Dias no laborales]),E1425)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Row],[CORREO]],1,Table2[Dias no laborales]),E1426)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Row],[CORREO]],1,Table2[Dias no laborales]),E1427)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Row],[CORREO]],1,Table2[Dias no laborales]),E1428)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Row],[CORREO]],1,Table2[Dias no laborales]),E1429)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Row],[CORREO]],1,Table2[Dias no laborales]),E1430)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Row],[CORREO]],1,Table2[Dias no laborales]),E1431)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Row],[CORREO]],1,Table2[Dias no laborales]),E1432)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Row],[CORREO]],1,Table2[Dias no laborales]),E1433)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Row],[CORREO]],1,Table2[Dias no laborales]),E1434)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Row],[CORREO]],1,Table2[Dias no laborales]),E1435)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Row],[CORREO]],1,Table2[Dias no laborales]),E1436)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Row],[CORREO]],1,Table2[Dias no laborales]),E1437)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Row],[CORREO]],1,Table2[Dias no laborales]),E1438)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Row],[CORREO]],1,Table2[Dias no laborales]),E1439)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Row],[CORREO]],1,Table2[Dias no laborales]),E1440)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Row],[CORREO]],1,Table2[Dias no laborales]),E1441)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Row],[CORREO]],1,Table2[Dias no laborales]),E1442)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Row],[CORREO]],1,Table2[Dias no laborales]),E1443)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Row],[CORREO]],1,Table2[Dias no laborales]),E1444)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Row],[CORREO]],1,Table2[Dias no laborales]),E1445)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Row],[CORREO]],1,Table2[Dias no laborales]),E1446)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Row],[CORREO]],1,Table2[Dias no laborales]),E1447)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Row],[CORREO]],1,Table2[Dias no laborales]),E1448)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Row],[CORREO]],1,Table2[Dias no laborales]),E1449)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Row],[CORREO]],1,Table2[Dias no laborales]),E1450)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Row],[CORREO]],1,Table2[Dias no laborales]),E1451)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Row],[CORREO]],1,Table2[Dias no laborales]),E1452)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Row],[CORREO]],1,Table2[Dias no laborales]),E1453)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Row],[CORREO]],1,Table2[Dias no laborales]),E1454)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Row],[CORREO]],1,Table2[Dias no laborales]),E1455)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Row],[CORREO]],1,Table2[Dias no laborales]),E1456)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Row],[CORREO]],1,Table2[Dias no laborales]),E1457)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Row],[CORREO]],1,Table2[Dias no laborales]),E1458)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Row],[CORREO]],1,Table2[Dias no laborales]),E1459)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Row],[CORREO]],1,Table2[Dias no laborales]),E1460)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Row],[CORREO]],1,Table2[Dias no laborales]),E1461)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Row],[CORREO]],1,Table2[Dias no laborales]),E1462)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Row],[CORREO]],1,Table2[Dias no laborales]),E1463)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Row],[CORREO]],1,Table2[Dias no laborales]),E1464)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Row],[CORREO]],1,Table2[Dias no laborales]),E1465)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Row],[CORREO]],1,Table2[Dias no laborales]),E1466)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Row],[CORREO]],1,Table2[Dias no laborales]),E1467)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Row],[CORREO]],1,Table2[Dias no laborales]),E1468)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Row],[CORREO]],1,Table2[Dias no laborales]),E1469)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Row],[CORREO]],1,Table2[Dias no laborales]),E1470)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Row],[CORREO]],1,Table2[Dias no laborales]),E1471)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Row],[CORREO]],1,Table2[Dias no laborales]),E1472)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Row],[CORREO]],1,Table2[Dias no laborales]),E1473)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Row],[CORREO]],1,Table2[Dias no laborales]),E1474)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Row],[CORREO]],1,Table2[Dias no laborales]),E1475)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Row],[CORREO]],1,Table2[Dias no laborales]),E1476)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Row],[CORREO]],1,Table2[Dias no laborales]),E1477)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Row],[CORREO]],1,Table2[Dias no laborales]),E1478)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Row],[CORREO]],1,Table2[Dias no laborales]),E1479)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Row],[CORREO]],1,Table2[Dias no laborales]),E1480)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Row],[CORREO]],1,Table2[Dias no laborales]),E1481)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Row],[CORREO]],1,Table2[Dias no laborales]),E1482)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Row],[CORREO]],1,Table2[Dias no laborales]),E1483)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Row],[CORREO]],1,Table2[Dias no laborales]),E1484)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Row],[CORREO]],1,Table2[Dias no laborales]),E1485)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Row],[CORREO]],1,Table2[Dias no laborales]),E1486)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Row],[CORREO]],1,Table2[Dias no laborales]),E1487)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Row],[CORREO]],1,Table2[Dias no laborales]),E1488)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Row],[CORREO]],1,Table2[Dias no laborales]),E1489)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Row],[CORREO]],1,Table2[Dias no laborales]),E1490)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Row],[CORREO]],1,Table2[Dias no laborales]),E1491)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Row],[CORREO]],1,Table2[Dias no laborales]),E1492)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Row],[CORREO]],1,Table2[Dias no laborales]),E1493)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Row],[CORREO]],1,Table2[Dias no laborales]),E1494)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Row],[CORREO]],1,Table2[Dias no laborales]),E1495)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Row],[CORREO]],1,Table2[Dias no laborales]),E1496)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Row],[CORREO]],1,Table2[Dias no laborales]),E1497)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Row],[CORREO]],1,Table2[Dias no laborales]),E1498)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Row],[CORREO]],1,Table2[Dias no laborales]),E1499)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Row],[CORREO]],1,Table2[Dias no laborales]),E1500)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Row],[CORREO]],1,Table2[Dias no laborales]),E1501)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Row],[CORREO]],1,Table2[Dias no laborales]),E1502)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Row],[CORREO]],1,Table2[Dias no laborales]),E1503)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Row],[CORREO]],1,Table2[Dias no laborales]),E1504)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Row],[CORREO]],1,Table2[Dias no laborales]),E1505)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Row],[CORREO]],1,Table2[Dias no laborales]),E1506)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Row],[CORREO]],1,Table2[Dias no laborales]),E1507)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Row],[CORREO]],1,Table2[Dias no laborales]),E1508)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Row],[CORREO]],1,Table2[Dias no laborales]),E1509)</f>
        <v>0</v>
      </c>
      <c r="G1509" s="11">
        <v>46122</v>
      </c>
      <c r="H1509" s="7">
        <f t="shared" si="49"/>
        <v>4</v>
      </c>
      <c r="I1509" s="20">
        <f>MAX(1, NETWORKDAYS(A1509, G1509,Table2[Dias no laborales]))</f>
        <v>49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Row],[CORREO]],1,Table2[Dias no laborales]),E1510)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Row],[CORREO]],1,Table2[Dias no laborales]),E1511)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Row],[CORREO]],1,Table2[Dias no laborales]),E1512)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Row],[CORREO]],1,Table2[Dias no laborales]),E1513)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Row],[CORREO]],1,Table2[Dias no laborales]),E1514)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Row],[CORREO]],1,Table2[Dias no laborales]),E1515)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Row],[CORREO]],1,Table2[Dias no laborales]),E1516)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Row],[CORREO]],1,Table2[Dias no laborales]),E1517)</f>
        <v>46052</v>
      </c>
      <c r="G1517" s="11">
        <v>46099</v>
      </c>
      <c r="H1517" s="7">
        <f t="shared" si="49"/>
        <v>5</v>
      </c>
      <c r="I1517" s="20">
        <f>MAX(1, NETWORKDAYS(A1517, G1517,Table2[Dias no laborales]))</f>
        <v>32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Row],[CORREO]],1,Table2[Dias no laborales]),E1518)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Row],[CORREO]],1,Table2[Dias no laborales]),E1519)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Row],[CORREO]],1,Table2[Dias no laborales]),E1520)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Row],[CORREO]],1,Table2[Dias no laborales]),E1521)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Row],[CORREO]],1,Table2[Dias no laborales]),E1522)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Row],[CORREO]],1,Table2[Dias no laborales]),E1523)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Row],[CORREO]],1,Table2[Dias no laborales]),E1524)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Row],[CORREO]],1,Table2[Dias no laborales]),E1525)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Row],[CORREO]],1,Table2[Dias no laborales]),E1526)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Row],[CORREO]],1,Table2[Dias no laborales]),E1527)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Row],[CORREO]],1,Table2[Dias no laborales]),E1528)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Row],[CORREO]],1,Table2[Dias no laborales]),E1529)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Row],[CORREO]],1,Table2[Dias no laborales]),E1530)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Row],[CORREO]],1,Table2[Dias no laborales]),E1531)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Row],[CORREO]],1,Table2[Dias no laborales]),E1532)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Row],[CORREO]],1,Table2[Dias no laborales]),E1533)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Row],[CORREO]],1,Table2[Dias no laborales]),E1534)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Row],[CORREO]],1,Table2[Dias no laborales]),E1535)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Row],[CORREO]],1,Table2[Dias no laborales]),E1536)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Row],[CORREO]],1,Table2[Dias no laborales]),E1537)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Row],[CORREO]],1,Table2[Dias no laborales]),E1538)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Row],[CORREO]],1,Table2[Dias no laborales]),E1539)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Row],[CORREO]],1,Table2[Dias no laborales]),E1540)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Row],[CORREO]],1,Table2[Dias no laborales]),E1541)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Row],[CORREO]],1,Table2[Dias no laborales]),E1542)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Row],[CORREO]],1,Table2[Dias no laborales]),E1543)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Row],[CORREO]],1,Table2[Dias no laborales]),E1544)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Row],[CORREO]],1,Table2[Dias no laborales]),E1545)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Row],[CORREO]],1,Table2[Dias no laborales]),E1546)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Row],[CORREO]],1,Table2[Dias no laborales]),E1547)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Row],[CORREO]],1,Table2[Dias no laborales]),E1548)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Row],[CORREO]],1,Table2[Dias no laborales]),E1549)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Row],[CORREO]],1,Table2[Dias no laborales]),E1550)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Row],[CORREO]],1,Table2[Dias no laborales]),E1551)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Row],[CORREO]],1,Table2[Dias no laborales]),E1552)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Row],[CORREO]],1,Table2[Dias no laborales]),E1553)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Row],[CORREO]],1,Table2[Dias no laborales]),E1554)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Row],[CORREO]],1,Table2[Dias no laborales]),E1555)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Row],[CORREO]],1,Table2[Dias no laborales]),E1556)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Row],[CORREO]],1,Table2[Dias no laborales]),E1557)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Row],[CORREO]],1,Table2[Dias no laborales]),E1558)</f>
        <v>0</v>
      </c>
      <c r="G1558" s="11">
        <v>46093</v>
      </c>
      <c r="H1558" s="7">
        <f t="shared" si="53"/>
        <v>6</v>
      </c>
      <c r="I1558" s="20">
        <f>MAX(1, NETWORKDAYS(A1558, G1558,Table2[Dias no laborales]))</f>
        <v>25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Row],[CORREO]],1,Table2[Dias no laborales]),E1559)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Row],[CORREO]],1,Table2[Dias no laborales]),E1560)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Row],[CORREO]],1,Table2[Dias no laborales]),E1561)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Row],[CORREO]],1,Table2[Dias no laborales]),E1562)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Row],[CORREO]],1,Table2[Dias no laborales]),E1563)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Row],[CORREO]],1,Table2[Dias no laborales]),E1564)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Row],[CORREO]],1,Table2[Dias no laborales]),E1565)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Row],[CORREO]],1,Table2[Dias no laborales]),E1566)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Row],[CORREO]],1,Table2[Dias no laborales]),E1567)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Row],[CORREO]],1,Table2[Dias no laborales]),E1568)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Row],[CORREO]],1,Table2[Dias no laborales]),E1569)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Row],[CORREO]],1,Table2[Dias no laborales]),E1570)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Row],[CORREO]],1,Table2[Dias no laborales]),E1571)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Row],[CORREO]],1,Table2[Dias no laborales]),E1572)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Row],[CORREO]],1,Table2[Dias no laborales]),E1573)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Row],[CORREO]],1,Table2[Dias no laborales]),E1574)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Row],[CORREO]],1,Table2[Dias no laborales]),E1575)</f>
        <v>46063.361111111109</v>
      </c>
      <c r="G1575" s="11">
        <v>46084</v>
      </c>
      <c r="H1575" s="7">
        <f t="shared" si="55"/>
        <v>6</v>
      </c>
      <c r="I1575" s="20">
        <f>MAX(1, NETWORKDAYS(A1575, G1575,Table2[Dias no laborales]))</f>
        <v>16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Row],[CORREO]],1,Table2[Dias no laborales]),E1576)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Row],[CORREO]],1,Table2[Dias no laborales]),E1577)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Row],[CORREO]],1,Table2[Dias no laborales]),E1578)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Row],[CORREO]],1,Table2[Dias no laborales]),E1579)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Row],[CORREO]],1,Table2[Dias no laborales]),E1580)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Row],[CORREO]],1,Table2[Dias no laborales]),E1581)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Row],[CORREO]],1,Table2[Dias no laborales]),E1582)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Row],[CORREO]],1,Table2[Dias no laborales]),E1583)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Row],[CORREO]],1,Table2[Dias no laborales]),E1584)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Row],[CORREO]],1,Table2[Dias no laborales]),E1585)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Row],[CORREO]],1,Table2[Dias no laborales]),E1586)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Row],[CORREO]],1,Table2[Dias no laborales]),E1587)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Row],[CORREO]],1,Table2[Dias no laborales]),E1588)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Row],[CORREO]],1,Table2[Dias no laborales]),E1589)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Row],[CORREO]],1,Table2[Dias no laborales]),E1590)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Row],[CORREO]],1,Table2[Dias no laborales]),E1591)</f>
        <v>46064.456944444442</v>
      </c>
      <c r="G1591" s="11">
        <v>46139</v>
      </c>
      <c r="H1591" s="7">
        <f t="shared" si="55"/>
        <v>6</v>
      </c>
      <c r="I1591" s="20">
        <f>MAX(1, NETWORKDAYS(A1591, G1591,Table2[Dias no laborales]))</f>
        <v>51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Row],[CORREO]],1,Table2[Dias no laborales]),E1592)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Row],[CORREO]],1,Table2[Dias no laborales]),E1593)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Row],[CORREO]],1,Table2[Dias no laborales]),E1594)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Row],[CORREO]],1,Table2[Dias no laborales]),E1595)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Row],[CORREO]],1,Table2[Dias no laborales]),E1596)</f>
        <v>46065</v>
      </c>
      <c r="G1596" s="11">
        <v>46122</v>
      </c>
      <c r="H1596" s="7">
        <f t="shared" si="55"/>
        <v>7</v>
      </c>
      <c r="I1596" s="20">
        <f>MAX(1, NETWORKDAYS(A1596, G1596,Table2[Dias no laborales]))</f>
        <v>39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Row],[CORREO]],1,Table2[Dias no laborales]),E1597)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Row],[CORREO]],1,Table2[Dias no laborales]),E1598)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Row],[CORREO]],1,Table2[Dias no laborales]),E1599)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Row],[CORREO]],1,Table2[Dias no laborales]),E1600)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Row],[CORREO]],1,Table2[Dias no laborales]),E1601)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Row],[CORREO]],1,Table2[Dias no laborales]),E1602)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Row],[CORREO]],1,Table2[Dias no laborales]),E1603)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Row],[CORREO]],1,Table2[Dias no laborales]),E1604)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Row],[CORREO]],1,Table2[Dias no laborales]),E1605)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Row],[CORREO]],1,Table2[Dias no laborales]),E1606)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Row],[CORREO]],1,Table2[Dias no laborales]),E1607)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Row],[CORREO]],1,Table2[Dias no laborales]),E1608)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Row],[CORREO]],1,Table2[Dias no laborales]),E1609)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Row],[CORREO]],1,Table2[Dias no laborales]),E1610)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Row],[CORREO]],1,Table2[Dias no laborales]),E1611)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Row],[CORREO]],1,Table2[Dias no laborales]),E1612)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Row],[CORREO]],1,Table2[Dias no laborales]),E1613)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Row],[CORREO]],1,Table2[Dias no laborales]),E1614)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Row],[CORREO]],1,Table2[Dias no laborales]),E1615)</f>
        <v>0</v>
      </c>
      <c r="G1615" s="11">
        <v>46122</v>
      </c>
      <c r="H1615" s="7">
        <f t="shared" si="57"/>
        <v>7</v>
      </c>
      <c r="I1615" s="20">
        <f>MAX(1, NETWORKDAYS(A1615, G1615,Table2[Dias no laborales]))</f>
        <v>37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Row],[CORREO]],1,Table2[Dias no laborales]),E1616)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Row],[CORREO]],1,Table2[Dias no laborales]),E1617)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Row],[CORREO]],1,Table2[Dias no laborales]),E1618)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Row],[CORREO]],1,Table2[Dias no laborales]),E1619)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Row],[CORREO]],1,Table2[Dias no laborales]),E1620)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Row],[CORREO]],1,Table2[Dias no laborales]),E1621)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Row],[CORREO]],1,Table2[Dias no laborales]),E1622)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">
      <c r="A1623" s="11">
        <v>46070</v>
      </c>
      <c r="B1623" s="20" t="s">
        <v>3206</v>
      </c>
      <c r="C1623" s="7" t="s">
        <v>1178</v>
      </c>
      <c r="D1623" s="7" t="s">
        <v>85</v>
      </c>
      <c r="E1623" s="18"/>
      <c r="F1623" s="11">
        <f>IF(HOUR(Table1[[#This Row],[CORREO]])&gt;=11,WORKDAY(Table1[[#This Row],[CORREO]],1,Table2[Dias no laborales]),E1623)</f>
        <v>0</v>
      </c>
      <c r="G1623" s="11">
        <v>46106</v>
      </c>
      <c r="H1623" s="7">
        <f t="shared" si="57"/>
        <v>7</v>
      </c>
      <c r="I1623" s="20">
        <f>MAX(1, NETWORKDAYS(A1623, G1623,Table2[Dias no laborales]))</f>
        <v>26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7" t="str">
        <f t="shared" si="58"/>
        <v>Programados</v>
      </c>
      <c r="L1623" s="11">
        <v>46070</v>
      </c>
      <c r="M1623" s="22">
        <f>MAX(1,NETWORKDAYS(A1623,L1623,Table2[Dias no laborales]))</f>
        <v>1</v>
      </c>
    </row>
    <row r="1624" spans="1:13" x14ac:dyDescent="0.3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Row],[CORREO]],1,Table2[Dias no laborales]),E1624)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Row],[CORREO]],1,Table2[Dias no laborales]),E1625)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Row],[CORREO]],1,Table2[Dias no laborales]),E1626)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Row],[CORREO]],1,Table2[Dias no laborales]),E1627)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Row],[CORREO]],1,Table2[Dias no laborales]),E1628)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Row],[CORREO]],1,Table2[Dias no laborales]),E1629)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Row],[CORREO]],1,Table2[Dias no laborales]),E1630)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Row],[CORREO]],1,Table2[Dias no laborales]),E1631)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Row],[CORREO]],1,Table2[Dias no laborales]),E1632)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Row],[CORREO]],1,Table2[Dias no laborales]),E1633)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Row],[CORREO]],1,Table2[Dias no laborales]),E1634)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Row],[CORREO]],1,Table2[Dias no laborales]),E1635)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Row],[CORREO]],1,Table2[Dias no laborales]),E1636)</f>
        <v>46072</v>
      </c>
      <c r="G1636" s="11">
        <v>46083</v>
      </c>
      <c r="H1636" s="7">
        <f t="shared" si="59"/>
        <v>8</v>
      </c>
      <c r="I1636" s="20">
        <f>MAX(1, NETWORKDAYS(A1636, G1636,Table2[Dias no laborales]))</f>
        <v>8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Row],[CORREO]],1,Table2[Dias no laborales]),E1637)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Row],[CORREO]],1,Table2[Dias no laborales]),E1638)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Row],[CORREO]],1,Table2[Dias no laborales]),E1639)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Row],[CORREO]],1,Table2[Dias no laborales]),E1640)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Row],[CORREO]],1,Table2[Dias no laborales]),E1641)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Row],[CORREO]],1,Table2[Dias no laborales]),E1642)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Row],[CORREO]],1,Table2[Dias no laborales]),E1643)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Row],[CORREO]],1,Table2[Dias no laborales]),E1644)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Row],[CORREO]],1,Table2[Dias no laborales]),E1645)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Row],[CORREO]],1,Table2[Dias no laborales]),E1646)</f>
        <v>46073</v>
      </c>
      <c r="G1646" s="11">
        <v>46083</v>
      </c>
      <c r="H1646" s="7">
        <f t="shared" si="59"/>
        <v>8</v>
      </c>
      <c r="I1646" s="20">
        <f>MAX(1, NETWORKDAYS(A1646, G1646,Table2[Dias no laborales]))</f>
        <v>7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Row],[CORREO]],1,Table2[Dias no laborales]),E1647)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Row],[CORREO]],1,Table2[Dias no laborales]),E1648)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Row],[CORREO]],1,Table2[Dias no laborales]),E1649)</f>
        <v>0</v>
      </c>
      <c r="G1649" s="11">
        <v>46108</v>
      </c>
      <c r="H1649" s="7">
        <f t="shared" si="59"/>
        <v>8</v>
      </c>
      <c r="I1649" s="20">
        <f>MAX(1, NETWORKDAYS(A1649, G1649,Table2[Dias no laborales]))</f>
        <v>25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Row],[CORREO]],1,Table2[Dias no laborales]),E1650)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Row],[CORREO]],1,Table2[Dias no laborales]),E1651)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Row],[CORREO]],1,Table2[Dias no laborales]),E1652)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Row],[CORREO]],1,Table2[Dias no laborales]),E1653)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Row],[CORREO]],1,Table2[Dias no laborales]),E1654)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Row],[CORREO]],1,Table2[Dias no laborales]),E1655)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Row],[CORREO]],1,Table2[Dias no laborales]),E1656)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Row],[CORREO]],1,Table2[Dias no laborales]),E1657)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Row],[CORREO]],1,Table2[Dias no laborales]),E1658)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Row],[CORREO]],1,Table2[Dias no laborales]),E1659)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Row],[CORREO]],1,Table2[Dias no laborales]),E1660)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Row],[CORREO]],1,Table2[Dias no laborales]),E1661)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Row],[CORREO]],1,Table2[Dias no laborales]),E1662)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Row],[CORREO]],1,Table2[Dias no laborales]),E1663)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Row],[CORREO]],1,Table2[Dias no laborales]),E1664)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Row],[CORREO]],1,Table2[Dias no laborales]),E1665)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Row],[CORREO]],1,Table2[Dias no laborales]),E1666)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Row],[CORREO]],1,Table2[Dias no laborales]),E1667)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Row],[CORREO]],1,Table2[Dias no laborales]),E1668)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Row],[CORREO]],1,Table2[Dias no laborales]),E1669)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Row],[CORREO]],1,Table2[Dias no laborales]),E1670)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Row],[CORREO]],1,Table2[Dias no laborales]),E1671)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Row],[CORREO]],1,Table2[Dias no laborales]),E1672)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Row],[CORREO]],1,Table2[Dias no laborales]),E1673)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Row],[CORREO]],1,Table2[Dias no laborales]),E1674)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Row],[CORREO]],1,Table2[Dias no laborales]),E1675)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Row],[CORREO]],1,Table2[Dias no laborales]),E1676)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Row],[CORREO]],1,Table2[Dias no laborales]),E1677)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Row],[CORREO]],1,Table2[Dias no laborales]),E1678)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Row],[CORREO]],1,Table2[Dias no laborales]),E1679)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Row],[CORREO]],1,Table2[Dias no laborales]),E1680)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Row],[CORREO]],1,Table2[Dias no laborales]),E1681)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Row],[CORREO]],1,Table2[Dias no laborales]),E1682)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Row],[CORREO]],1,Table2[Dias no laborales]),E1683)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Row],[CORREO]],1,Table2[Dias no laborales]),E1684)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Row],[CORREO]],1,Table2[Dias no laborales]),E1685)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Row],[CORREO]],1,Table2[Dias no laborales]),E1686)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Row],[CORREO]],1,Table2[Dias no laborales]),E1687)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Row],[CORREO]],1,Table2[Dias no laborales]),E1688)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Row],[CORREO]],1,Table2[Dias no laborales]),E1689)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Row],[CORREO]],1,Table2[Dias no laborales]),E1690)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Row],[CORREO]],1,Table2[Dias no laborales]),E1691)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Row],[CORREO]],1,Table2[Dias no laborales]),E1692)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Row],[CORREO]],1,Table2[Dias no laborales]),E1693)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Row],[CORREO]],1,Table2[Dias no laborales]),E1694)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Row],[CORREO]],1,Table2[Dias no laborales]),E1695)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Row],[CORREO]],1,Table2[Dias no laborales]),E1696)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Row],[CORREO]],1,Table2[Dias no laborales]),E1697)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Row],[CORREO]],1,Table2[Dias no laborales]),E1698)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Row],[CORREO]],1,Table2[Dias no laborales]),E1699)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Row],[CORREO]],1,Table2[Dias no laborales]),E1700)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Row],[CORREO]],1,Table2[Dias no laborales]),E1701)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Row],[CORREO]],1,Table2[Dias no laborales]),E1702)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Row],[CORREO]],1,Table2[Dias no laborales]),E1703)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Row],[CORREO]],1,Table2[Dias no laborales]),E1704)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Row],[CORREO]],1,Table2[Dias no laborales]),E1705)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Row],[CORREO]],1,Table2[Dias no laborales]),E1706)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Row],[CORREO]],1,Table2[Dias no laborales]),E1707)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Row],[CORREO]],1,Table2[Dias no laborales]),E1708)</f>
        <v>46084</v>
      </c>
      <c r="G1708" s="11">
        <v>46147</v>
      </c>
      <c r="H1708" s="7">
        <f t="shared" si="63"/>
        <v>9</v>
      </c>
      <c r="I1708" s="7">
        <f>MAX(1, NETWORKDAYS(A1708, G1708,Table2[Dias no laborales]))</f>
        <v>41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Fuera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Row],[CORREO]],1,Table2[Dias no laborales]),E1709)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Row],[CORREO]],1,Table2[Dias no laborales]),E1710)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Row],[CORREO]],1,Table2[Dias no laborales]),E1711)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Row],[CORREO]],1,Table2[Dias no laborales]),E1712)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Row],[CORREO]],1,Table2[Dias no laborales]),E1713)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Row],[CORREO]],1,Table2[Dias no laborales]),E1714)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Row],[CORREO]],1,Table2[Dias no laborales]),E1715)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Row],[CORREO]],1,Table2[Dias no laborales]),E1716)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Row],[CORREO]],1,Table2[Dias no laborales]),E1717)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Row],[CORREO]],1,Table2[Dias no laborales]),E1718)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Row],[CORREO]],1,Table2[Dias no laborales]),E1719)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Row],[CORREO]],1,Table2[Dias no laborales]),E1720)</f>
        <v>46086.324999999997</v>
      </c>
      <c r="G1720" s="11">
        <v>46122</v>
      </c>
      <c r="H1720" s="7">
        <f t="shared" si="65"/>
        <v>10</v>
      </c>
      <c r="I1720" s="7">
        <f>MAX(1, NETWORKDAYS(A1720, G1720,Table2[Dias no laborales]))</f>
        <v>24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Row],[CORREO]],1,Table2[Dias no laborales]),E1721)</f>
        <v>46087</v>
      </c>
      <c r="G1721" s="11">
        <v>46098</v>
      </c>
      <c r="H1721" s="7">
        <f t="shared" si="65"/>
        <v>10</v>
      </c>
      <c r="I1721" s="7">
        <f>MAX(1, NETWORKDAYS(A1721, G1721,Table2[Dias no laborales]))</f>
        <v>8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Row],[CORREO]],1,Table2[Dias no laborales]),E1722)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Row],[CORREO]],1,Table2[Dias no laborales]),E1723)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Row],[CORREO]],1,Table2[Dias no laborales]),E1724)</f>
        <v>0</v>
      </c>
      <c r="G1724" s="11">
        <v>46122</v>
      </c>
      <c r="H1724" s="7">
        <f t="shared" si="65"/>
        <v>10</v>
      </c>
      <c r="I1724" s="7">
        <f>MAX(1, NETWORKDAYS(A1724, G1724,Table2[Dias no laborales]))</f>
        <v>24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Row],[CORREO]],1,Table2[Dias no laborales]),E1725)</f>
        <v>46087</v>
      </c>
      <c r="G1725" s="11">
        <v>46105</v>
      </c>
      <c r="H1725" s="7">
        <f t="shared" si="65"/>
        <v>10</v>
      </c>
      <c r="I1725" s="7">
        <f>MAX(1, NETWORKDAYS(A1725, G1725,Table2[Dias no laborales]))</f>
        <v>13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Row],[CORREO]],1,Table2[Dias no laborales]),E1726)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Row],[CORREO]],1,Table2[Dias no laborales]),E1727)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Row],[CORREO]],1,Table2[Dias no laborales]),E1728)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Row],[CORREO]],1,Table2[Dias no laborales]),E1729)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Row],[CORREO]],1,Table2[Dias no laborales]),E1730)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Row],[CORREO]],1,Table2[Dias no laborales]),E1731)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Row],[CORREO]],1,Table2[Dias no laborales]),E1732)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Row],[CORREO]],1,Table2[Dias no laborales]),E1733)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Row],[CORREO]],1,Table2[Dias no laborales]),E1734)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Row],[CORREO]],1,Table2[Dias no laborales]),E1735)</f>
        <v>0</v>
      </c>
      <c r="G1735" s="11">
        <v>46106</v>
      </c>
      <c r="H1735" s="7">
        <f t="shared" si="65"/>
        <v>10</v>
      </c>
      <c r="I1735" s="7">
        <f>MAX(1, NETWORKDAYS(A1735, G1735,Table2[Dias no laborales]))</f>
        <v>13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Row],[CORREO]],1,Table2[Dias no laborales]),E1736)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Row],[CORREO]],1,Table2[Dias no laborales]),E1737)</f>
        <v>46090</v>
      </c>
      <c r="G1737" s="11">
        <v>46105</v>
      </c>
      <c r="H1737" s="7">
        <f t="shared" si="65"/>
        <v>10</v>
      </c>
      <c r="I1737" s="7">
        <f>MAX(1, NETWORKDAYS(A1737, G1737,Table2[Dias no laborales]))</f>
        <v>12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Row],[CORREO]],1,Table2[Dias no laborales]),E1738)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Row],[CORREO]],1,Table2[Dias no laborales]),E1739)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Row],[CORREO]],1,Table2[Dias no laborales]),E1740)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Row],[CORREO]],1,Table2[Dias no laborales]),E1741)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Row],[CORREO]],1,Table2[Dias no laborales]),E1742)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Row],[CORREO]],1,Table2[Dias no laborales]),E1743)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Row],[CORREO]],1,Table2[Dias no laborales]),E1744)</f>
        <v>46091</v>
      </c>
      <c r="G1744" s="11">
        <v>46100</v>
      </c>
      <c r="H1744" s="7">
        <f t="shared" ref="H1744:H1757" si="67">INT((A1744-DATE(YEAR(A1744),1,1))/7) + 1</f>
        <v>10</v>
      </c>
      <c r="I1744" s="7">
        <f>MAX(1, NETWORKDAYS(A1744, G1744,Table2[Dias no laborales]))</f>
        <v>7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Row],[CORREO]],1,Table2[Dias no laborales]),E1745)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Row],[CORREO]],1,Table2[Dias no laborales]),E1746)</f>
        <v>46091</v>
      </c>
      <c r="G1746" s="11">
        <v>46100</v>
      </c>
      <c r="H1746" s="7">
        <f t="shared" si="67"/>
        <v>10</v>
      </c>
      <c r="I1746" s="7">
        <f>MAX(1, NETWORKDAYS(A1746, G1746,Table2[Dias no laborales]))</f>
        <v>7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Row],[CORREO]],1,Table2[Dias no laborales]),E1747)</f>
        <v>46091</v>
      </c>
      <c r="G1747" s="11">
        <v>46100</v>
      </c>
      <c r="H1747" s="7">
        <f t="shared" si="67"/>
        <v>10</v>
      </c>
      <c r="I1747" s="7">
        <f>MAX(1, NETWORKDAYS(A1747, G1747,Table2[Dias no laborales]))</f>
        <v>7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Row],[CORREO]],1,Table2[Dias no laborales]),E1748)</f>
        <v>46091.359027777777</v>
      </c>
      <c r="G1748" s="11">
        <v>46100</v>
      </c>
      <c r="H1748" s="7">
        <f t="shared" si="67"/>
        <v>10</v>
      </c>
      <c r="I1748" s="7">
        <f>MAX(1, NETWORKDAYS(A1748, G1748,Table2[Dias no laborales]))</f>
        <v>7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Row],[CORREO]],1,Table2[Dias no laborales]),E1749)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Row],[CORREO]],1,Table2[Dias no laborales]),E1750)</f>
        <v>46092</v>
      </c>
      <c r="G1750" s="11">
        <v>46104</v>
      </c>
      <c r="H1750" s="7">
        <f t="shared" si="67"/>
        <v>10</v>
      </c>
      <c r="I1750" s="7">
        <f>MAX(1, NETWORKDAYS(A1750, G1750,Table2[Dias no laborales]))</f>
        <v>9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Row],[CORREO]],1,Table2[Dias no laborales]),E1751)</f>
        <v>46092</v>
      </c>
      <c r="G1751" s="11">
        <v>46093</v>
      </c>
      <c r="H1751" s="7">
        <f t="shared" si="67"/>
        <v>10</v>
      </c>
      <c r="I1751" s="7">
        <f>MAX(1, NETWORKDAYS(A1751, G1751,Table2[Dias no laborales]))</f>
        <v>3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Row],[CORREO]],1,Table2[Dias no laborales]),E1752)</f>
        <v>46092</v>
      </c>
      <c r="G1752" s="11">
        <v>46100</v>
      </c>
      <c r="H1752" s="7">
        <f t="shared" si="67"/>
        <v>10</v>
      </c>
      <c r="I1752" s="7">
        <f>MAX(1, NETWORKDAYS(A1752, G1752,Table2[Dias no laborales]))</f>
        <v>6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Row],[CORREO]],1,Table2[Dias no laborales]),E1753)</f>
        <v>46092</v>
      </c>
      <c r="G1753" s="11">
        <v>46092</v>
      </c>
      <c r="H1753" s="7">
        <f t="shared" si="67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Row],[CORREO]],1,Table2[Dias no laborales]),E1754)</f>
        <v>46092</v>
      </c>
      <c r="G1754" s="11">
        <v>46106</v>
      </c>
      <c r="H1754" s="7">
        <f t="shared" si="67"/>
        <v>10</v>
      </c>
      <c r="I1754" s="7">
        <f>MAX(1, NETWORKDAYS(A1754, G1754,Table2[Dias no laborales]))</f>
        <v>10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Row],[CORREO]],1,Table2[Dias no laborales]),E1755)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Row],[CORREO]],1,Table2[Dias no laborales]),E1756)</f>
        <v>0</v>
      </c>
      <c r="G1756" s="11">
        <v>46093</v>
      </c>
      <c r="H1756" s="7">
        <f t="shared" si="67"/>
        <v>10</v>
      </c>
      <c r="I1756" s="7">
        <f>MAX(1, NETWORKDAYS(A1756, G1756,Table2[Dias no laborales]))</f>
        <v>2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Row],[CORREO]],1,Table2[Dias no laborales]),E1757)</f>
        <v>46093</v>
      </c>
      <c r="G1757" s="11">
        <v>46093</v>
      </c>
      <c r="H1757" s="7">
        <f t="shared" si="67"/>
        <v>10</v>
      </c>
      <c r="I1757" s="7">
        <f>MAX(1, NETWORKDAYS(A1757, G1757,Table2[Dias no laborales]))</f>
        <v>2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Row],[CORREO]],1,Table2[Dias no laborales]),E1758)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Row],[CORREO]],1,Table2[Dias no laborales]),E1759)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Row],[CORREO]],1,Table2[Dias no laborales]),E1760)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Row],[CORREO]],1,Table2[Dias no laborales]),E1761)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Row],[CORREO]],1,Table2[Dias no laborales]),E1762)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Row],[CORREO]],1,Table2[Dias no laborales]),E1763)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Row],[CORREO]],1,Table2[Dias no laborales]),E1764)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Row],[CORREO]],1,Table2[Dias no laborales]),E1765)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Row],[CORREO]],1,Table2[Dias no laborales]),E1766)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Row],[CORREO]],1,Table2[Dias no laborales]),E1767)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Row],[CORREO]],1,Table2[Dias no laborales]),E1768)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Row],[CORREO]],1,Table2[Dias no laborales]),E1769)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Row],[CORREO]],1,Table2[Dias no laborales]),E1770)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Row],[CORREO]],1,Table2[Dias no laborales]),E1771)</f>
        <v>46098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A tiempo</v>
      </c>
      <c r="L1771" s="11">
        <v>46099</v>
      </c>
      <c r="M1771" s="22">
        <f>MAX(1,NETWORKDAYS(A1771,L1771,Table2[Dias no laborales]))</f>
        <v>2</v>
      </c>
    </row>
    <row r="1772" spans="1:13" x14ac:dyDescent="0.3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Row],[CORREO]],1,Table2[Dias no laborales]),E1772)</f>
        <v>46098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A tiempo</v>
      </c>
      <c r="L1772" s="11">
        <v>46098</v>
      </c>
      <c r="M1772" s="22">
        <f>MAX(1,NETWORKDAYS(A1772,L1772,Table2[Dias no laborales]))</f>
        <v>1</v>
      </c>
    </row>
    <row r="1773" spans="1:13" x14ac:dyDescent="0.3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Row],[CORREO]],1,Table2[Dias no laborales]),E1773)</f>
        <v>46098</v>
      </c>
      <c r="G1773" s="11">
        <v>46105</v>
      </c>
      <c r="H1773" s="7">
        <f t="shared" si="69"/>
        <v>11</v>
      </c>
      <c r="I1773" s="7">
        <f>MAX(1, NETWORKDAYS(A1773, G1773,Table2[Dias no laborales]))</f>
        <v>6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7" t="str">
        <f t="shared" si="70"/>
        <v>A tiempo</v>
      </c>
      <c r="L1773" s="11">
        <v>46098</v>
      </c>
      <c r="M1773" s="22">
        <f>MAX(1,NETWORKDAYS(A1773,L1773,Table2[Dias no laborales]))</f>
        <v>1</v>
      </c>
    </row>
    <row r="1774" spans="1:13" x14ac:dyDescent="0.3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Row],[CORREO]],1,Table2[Dias no laborales]),E1774)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Row],[CORREO]],1,Table2[Dias no laborales]),E1775)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Row],[CORREO]],1,Table2[Dias no laborales]),E1776)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Row],[CORREO]],1,Table2[Dias no laborales]),E1777)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Row],[CORREO]],1,Table2[Dias no laborales]),E1778)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Row],[CORREO]],1,Table2[Dias no laborales]),E1779)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Row],[CORREO]],1,Table2[Dias no laborales]),E1780)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Row],[CORREO]],1,Table2[Dias no laborales]),E1781)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Row],[CORREO]],1,Table2[Dias no laborales]),E1782)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Row],[CORREO]],1,Table2[Dias no laborales]),E1783)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Row],[CORREO]],1,Table2[Dias no laborales]),E1784)</f>
        <v>46099.388194444444</v>
      </c>
      <c r="G1784" s="11">
        <v>46122</v>
      </c>
      <c r="H1784" s="7">
        <f t="shared" si="69"/>
        <v>11</v>
      </c>
      <c r="I1784" s="7">
        <f>MAX(1, NETWORKDAYS(A1784, G1784,Table2[Dias no laborales]))</f>
        <v>16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Row],[CORREO]],1,Table2[Dias no laborales]),E1785)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Row],[CORREO]],1,Table2[Dias no laborales]),E1786)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Row],[CORREO]],1,Table2[Dias no laborales]),E1787)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Row],[CORREO]],1,Table2[Dias no laborales]),E1788)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Row],[CORREO]],1,Table2[Dias no laborales]),E1789)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Row],[CORREO]],1,Table2[Dias no laborales]),E1790)</f>
        <v>0</v>
      </c>
      <c r="G1790" s="11">
        <v>46118</v>
      </c>
      <c r="H1790" s="7">
        <f t="shared" ref="H1790:H1821" si="71">INT((A1790-DATE(YEAR(A1790),1,1))/7) + 1</f>
        <v>12</v>
      </c>
      <c r="I1790" s="7">
        <f>MAX(1, NETWORKDAYS(A1790, G1790,Table2[Dias no laborales]))</f>
        <v>11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Row],[CORREO]],1,Table2[Dias no laborales]),E1791)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Row],[CORREO]],1,Table2[Dias no laborales]),E1792)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Row],[CORREO]],1,Table2[Dias no laborales]),E1793)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Row],[CORREO]],1,Table2[Dias no laborales]),E1794)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Row],[CORREO]],1,Table2[Dias no laborales]),E1795)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Row],[CORREO]],1,Table2[Dias no laborales]),E1796)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Row],[CORREO]],1,Table2[Dias no laborales]),E1797)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Row],[CORREO]],1,Table2[Dias no laborales]),E1798)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Row],[CORREO]],1,Table2[Dias no laborales]),E1799)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Row],[CORREO]],1,Table2[Dias no laborales]),E1800)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Row],[CORREO]],1,Table2[Dias no laborales]),E1801)</f>
        <v>0</v>
      </c>
      <c r="G1801" s="11">
        <v>46118</v>
      </c>
      <c r="H1801" s="7">
        <f t="shared" si="71"/>
        <v>12</v>
      </c>
      <c r="I1801" s="7">
        <f>MAX(1, NETWORKDAYS(A1801, G1801,Table2[Dias no laborales]))</f>
        <v>10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Row],[CORREO]],1,Table2[Dias no laborales]),E1802)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Row],[CORREO]],1,Table2[Dias no laborales]),E1803)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Row],[CORREO]],1,Table2[Dias no laborales]),E1804)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Row],[CORREO]],1,Table2[Dias no laborales]),E1805)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Row],[CORREO]],1,Table2[Dias no laborales]),E1806)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Row],[CORREO]],1,Table2[Dias no laborales]),E1807)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Row],[CORREO]],1,Table2[Dias no laborales]),E1808)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Row],[CORREO]],1,Table2[Dias no laborales]),E1809)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Row],[CORREO]],1,Table2[Dias no laborales]),E1810)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Row],[CORREO]],1,Table2[Dias no laborales]),E1811)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Row],[CORREO]],1,Table2[Dias no laborales]),E1812)</f>
        <v>46104.4375</v>
      </c>
      <c r="G1812" s="11">
        <v>46129</v>
      </c>
      <c r="H1812" s="7">
        <f t="shared" si="71"/>
        <v>12</v>
      </c>
      <c r="I1812" s="7">
        <f>MAX(1, NETWORKDAYS(A1812, G1812,Table2[Dias no laborales]))</f>
        <v>18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Row],[CORREO]],1,Table2[Dias no laborales]),E1813)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Row],[CORREO]],1,Table2[Dias no laborales]),E1814)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Row],[CORREO]],1,Table2[Dias no laborales]),E1815)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Row],[CORREO]],1,Table2[Dias no laborales]),E1816)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Row],[CORREO]],1,Table2[Dias no laborales]),E1817)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Row],[CORREO]],1,Table2[Dias no laborales]),E1818)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Row],[CORREO]],1,Table2[Dias no laborales]),E1819)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Row],[CORREO]],1,Table2[Dias no laborales]),E1820)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Row],[CORREO]],1,Table2[Dias no laborales]),E1821)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Row],[CORREO]],1,Table2[Dias no laborales]),E1822)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Row],[CORREO]],1,Table2[Dias no laborales]),E1823)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Row],[CORREO]],1,Table2[Dias no laborales]),E1824)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Row],[CORREO]],1,Table2[Dias no laborales]),E1825)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Row],[CORREO]],1,Table2[Dias no laborales]),E1826)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Row],[CORREO]],1,Table2[Dias no laborales]),E1827)</f>
        <v>46105.404166666667</v>
      </c>
      <c r="G1827" s="11">
        <v>46118</v>
      </c>
      <c r="H1827" s="7">
        <f t="shared" si="73"/>
        <v>12</v>
      </c>
      <c r="I1827" s="7">
        <f>MAX(1, NETWORKDAYS(A1827, G1827,Table2[Dias no laborales]))</f>
        <v>8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Row],[CORREO]],1,Table2[Dias no laborales]),E1828)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Row],[CORREO]],1,Table2[Dias no laborales]),E1829)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Row],[CORREO]],1,Table2[Dias no laborales]),E1830)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6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Row],[CORREO]],1,Table2[Dias no laborales]),E1831)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Row],[CORREO]],1,Table2[Dias no laborales]),E1832)</f>
        <v>46106</v>
      </c>
      <c r="G1832" s="11">
        <v>46113</v>
      </c>
      <c r="H1832" s="7">
        <f t="shared" si="73"/>
        <v>12</v>
      </c>
      <c r="I1832" s="7">
        <f>MAX(1, NETWORKDAYS(A1832, G1832,Table2[Dias no laborales]))</f>
        <v>6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Row],[CORREO]],1,Table2[Dias no laborales]),E1833)</f>
        <v>46106</v>
      </c>
      <c r="G1833" s="11">
        <v>46119</v>
      </c>
      <c r="H1833" s="7">
        <f t="shared" si="73"/>
        <v>12</v>
      </c>
      <c r="I1833" s="7">
        <f>MAX(1, NETWORKDAYS(A1833, G1833,Table2[Dias no laborales]))</f>
        <v>8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Row],[CORREO]],1,Table2[Dias no laborales]),E1834)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Row],[CORREO]],1,Table2[Dias no laborales]),E1835)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Row],[CORREO]],1,Table2[Dias no laborales]),E1836)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Row],[CORREO]],1,Table2[Dias no laborales]),E1837)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Row],[CORREO]],1,Table2[Dias no laborales]),E1838)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Row],[CORREO]],1,Table2[Dias no laborales]),E1839)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Row],[CORREO]],1,Table2[Dias no laborales]),E1840)</f>
        <v>46106.420138888891</v>
      </c>
      <c r="G1840" s="11">
        <v>46120</v>
      </c>
      <c r="H1840" s="7">
        <f t="shared" si="73"/>
        <v>12</v>
      </c>
      <c r="I1840" s="7">
        <f>MAX(1, NETWORKDAYS(A1840, G1840,Table2[Dias no laborales]))</f>
        <v>9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Row],[CORREO]],1,Table2[Dias no laborales]),E1841)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Row],[CORREO]],1,Table2[Dias no laborales]),E1842)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Row],[CORREO]],1,Table2[Dias no laborales]),E1843)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Row],[CORREO]],1,Table2[Dias no laborales]),E1844)</f>
        <v>46107</v>
      </c>
      <c r="G1844" s="11">
        <v>46127</v>
      </c>
      <c r="H1844" s="7">
        <f t="shared" si="73"/>
        <v>13</v>
      </c>
      <c r="I1844" s="7">
        <f>MAX(1, NETWORKDAYS(A1844, G1844,Table2[Dias no laborales]))</f>
        <v>13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Row],[CORREO]],1,Table2[Dias no laborales]),E1845)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Row],[CORREO]],1,Table2[Dias no laborales]),E1846)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Row],[CORREO]],1,Table2[Dias no laborales]),E1847)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Row],[CORREO]],1,Table2[Dias no laborales]),E1848)</f>
        <v>46107.376388888886</v>
      </c>
      <c r="G1848" s="11">
        <v>46113</v>
      </c>
      <c r="H1848" s="7">
        <f t="shared" si="73"/>
        <v>13</v>
      </c>
      <c r="I1848" s="7">
        <f>MAX(1, NETWORKDAYS(A1848, G1848,Table2[Dias no laborales]))</f>
        <v>5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Row],[CORREO]],1,Table2[Dias no laborales]),E1849)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Row],[CORREO]],1,Table2[Dias no laborales]),E1850)</f>
        <v>0</v>
      </c>
      <c r="G1850" s="11">
        <v>46121</v>
      </c>
      <c r="H1850" s="7">
        <f t="shared" si="73"/>
        <v>13</v>
      </c>
      <c r="I1850" s="7">
        <f>MAX(1, NETWORKDAYS(A1850, G1850,Table2[Dias no laborales]))</f>
        <v>9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Row],[CORREO]],1,Table2[Dias no laborales]),E1851)</f>
        <v>46108</v>
      </c>
      <c r="G1851" s="11">
        <v>46132</v>
      </c>
      <c r="H1851" s="7">
        <f t="shared" si="73"/>
        <v>13</v>
      </c>
      <c r="I1851" s="7">
        <f>MAX(1, NETWORKDAYS(A1851, G1851,Table2[Dias no laborales]))</f>
        <v>15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Row],[CORREO]],1,Table2[Dias no laborales]),E1852)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Row],[CORREO]],1,Table2[Dias no laborales]),E1853)</f>
        <v>46108.427083333336</v>
      </c>
      <c r="G1853" s="11">
        <v>46122</v>
      </c>
      <c r="H1853" s="7">
        <f t="shared" si="73"/>
        <v>13</v>
      </c>
      <c r="I1853" s="7">
        <f>MAX(1, NETWORKDAYS(A1853, G1853,Table2[Dias no laborales]))</f>
        <v>9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Row],[CORREO]],1,Table2[Dias no laborales]),E1854)</f>
        <v>0</v>
      </c>
      <c r="G1854" s="11">
        <v>46129</v>
      </c>
      <c r="H1854" s="7">
        <f t="shared" si="73"/>
        <v>13</v>
      </c>
      <c r="I1854" s="7">
        <f>MAX(1, NETWORKDAYS(A1854, G1854,Table2[Dias no laborales]))</f>
        <v>14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Row],[CORREO]],1,Table2[Dias no laborales]),E1855)</f>
        <v>0</v>
      </c>
      <c r="G1855" s="11">
        <v>46129</v>
      </c>
      <c r="H1855" s="7">
        <f t="shared" si="73"/>
        <v>13</v>
      </c>
      <c r="I1855" s="7">
        <f>MAX(1, NETWORKDAYS(A1855, G1855,Table2[Dias no laborales]))</f>
        <v>14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Row],[CORREO]],1,Table2[Dias no laborales]),E1856)</f>
        <v>0</v>
      </c>
      <c r="G1856" s="11">
        <v>46118</v>
      </c>
      <c r="H1856" s="7">
        <f t="shared" si="73"/>
        <v>13</v>
      </c>
      <c r="I1856" s="7">
        <f>MAX(1, NETWORKDAYS(A1856, G1856,Table2[Dias no laborales]))</f>
        <v>4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Row],[CORREO]],1,Table2[Dias no laborales]),E1857)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Row],[CORREO]],1,Table2[Dias no laborales]),E1858)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Row],[CORREO]],1,Table2[Dias no laborales]),E1859)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Row],[CORREO]],1,Table2[Dias no laborales]),E1860)</f>
        <v>46111</v>
      </c>
      <c r="G1860" s="11">
        <v>46121</v>
      </c>
      <c r="H1860" s="7">
        <f t="shared" si="75"/>
        <v>13</v>
      </c>
      <c r="I1860" s="7">
        <f>MAX(1, NETWORKDAYS(A1860, G1860,Table2[Dias no laborales]))</f>
        <v>7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Row],[CORREO]],1,Table2[Dias no laborales]),E1861)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Row],[CORREO]],1,Table2[Dias no laborales]),E1862)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Row],[CORREO]],1,Table2[Dias no laborales]),E1863)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Row],[CORREO]],1,Table2[Dias no laborales]),E1864)</f>
        <v>0</v>
      </c>
      <c r="G1864" s="11">
        <v>46120</v>
      </c>
      <c r="H1864" s="7">
        <f t="shared" si="75"/>
        <v>13</v>
      </c>
      <c r="I1864" s="7">
        <f>MAX(1, NETWORKDAYS(A1864, G1864,Table2[Dias no laborales]))</f>
        <v>6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Row],[CORREO]],1,Table2[Dias no laborales]),E1865)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Row],[CORREO]],1,Table2[Dias no laborales]),E1866)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Row],[CORREO]],1,Table2[Dias no laborales]),E1867)</f>
        <v>46112</v>
      </c>
      <c r="G1867" s="11">
        <v>46112</v>
      </c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Row],[CORREO]],1,Table2[Dias no laborales]),E1868)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Row],[CORREO]],1,Table2[Dias no laborales]),E1869)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Row],[CORREO]],1,Table2[Dias no laborales]),E1870)</f>
        <v>46112</v>
      </c>
      <c r="G1870" s="11">
        <v>46118</v>
      </c>
      <c r="H1870" s="7">
        <f t="shared" si="77"/>
        <v>13</v>
      </c>
      <c r="I1870" s="7">
        <f>MAX(1, NETWORKDAYS(A1870, G1870,Table2[Dias no laborales]))</f>
        <v>3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Row],[CORREO]],1,Table2[Dias no laborales]),E1871)</f>
        <v>46112.302777777775</v>
      </c>
      <c r="G1871" s="11">
        <v>46112</v>
      </c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Row],[CORREO]],1,Table2[Dias no laborales]),E1872)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Row],[CORREO]],1,Table2[Dias no laborales]),E1873)</f>
        <v>46112.370833333334</v>
      </c>
      <c r="G1873" s="11">
        <v>46112</v>
      </c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Row],[CORREO]],1,Table2[Dias no laborales]),E1874)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Row],[CORREO]],1,Table2[Dias no laborales]),E1875)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3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Row],[CORREO]],1,Table2[Dias no laborales]),E1876)</f>
        <v>46113</v>
      </c>
      <c r="G1876" s="11">
        <v>46134</v>
      </c>
      <c r="H1876" s="7">
        <f t="shared" ref="H1876:H1878" si="81">INT((A1876-DATE(YEAR(A1876),1,1))/7) + 1</f>
        <v>13</v>
      </c>
      <c r="I1876" s="7">
        <f>MAX(1, NETWORKDAYS(A1876, G1876,Table2[Dias no laborales]))</f>
        <v>14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3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Row],[CORREO]],1,Table2[Dias no laborales]),E1877)</f>
        <v>46113.352083333331</v>
      </c>
      <c r="G1877" s="11">
        <v>46118</v>
      </c>
      <c r="H1877" s="7">
        <f t="shared" si="81"/>
        <v>13</v>
      </c>
      <c r="I1877" s="7">
        <f>MAX(1, NETWORKDAYS(A1877, G1877,Table2[Dias no laborales]))</f>
        <v>2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3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Row],[CORREO]],1,Table2[Dias no laborales]),E1878)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x14ac:dyDescent="0.3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Row],[CORREO]],1,Table2[Dias no laborales]),E1879)</f>
        <v>46113.457638888889</v>
      </c>
      <c r="G1879" s="16">
        <v>46118</v>
      </c>
      <c r="H1879" s="20">
        <f>INT((A1879-DATE(YEAR(A1879),1,1))/7) + 1</f>
        <v>13</v>
      </c>
      <c r="I1879" s="20">
        <f>MAX(1, NETWORKDAYS(A1879, G1879,Table2[Dias no laborales]))</f>
        <v>2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  <row r="1880" spans="1:13" x14ac:dyDescent="0.3">
      <c r="A1880" s="16">
        <v>46118</v>
      </c>
      <c r="B1880" s="20" t="s">
        <v>3795</v>
      </c>
      <c r="C1880" s="20" t="s">
        <v>3796</v>
      </c>
      <c r="D1880" s="20" t="s">
        <v>24</v>
      </c>
      <c r="E1880" s="21"/>
      <c r="F1880" s="16">
        <f>IF(HOUR(Table1[[#This Row],[CORREO]])&gt;=11,WORKDAY(Table1[[#This Row],[CORREO]],1,Table2[Dias no laborales]),E1880)</f>
        <v>0</v>
      </c>
      <c r="G1880" s="16">
        <v>46122</v>
      </c>
      <c r="H1880" s="20">
        <f>INT((A1880-DATE(YEAR(A1880),1,1))/7) + 1</f>
        <v>14</v>
      </c>
      <c r="I1880" s="20">
        <f>MAX(1, NETWORKDAYS(A1880, G1880,Table2[Dias no laborales]))</f>
        <v>5</v>
      </c>
      <c r="J1880" s="20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20" t="str">
        <f>IF(INT(A1880)=INT(F1880),"A tiempo", IF(A1880&lt;F1880,"Mismo día","Programados"))</f>
        <v>Programados</v>
      </c>
      <c r="L1880" s="16">
        <v>46118</v>
      </c>
      <c r="M1880" s="23">
        <f>MAX(1,NETWORKDAYS(A1880,L1880,Table2[Dias no laborales]))</f>
        <v>1</v>
      </c>
    </row>
    <row r="1881" spans="1:13" x14ac:dyDescent="0.3">
      <c r="A1881" s="11">
        <v>46118</v>
      </c>
      <c r="B1881" s="20" t="s">
        <v>3797</v>
      </c>
      <c r="C1881" s="7" t="s">
        <v>3809</v>
      </c>
      <c r="D1881" s="7" t="s">
        <v>3163</v>
      </c>
      <c r="E1881" s="18">
        <v>46113.49722222222</v>
      </c>
      <c r="F1881" s="11">
        <f>IF(HOUR(Table1[[#This Row],[CORREO]])&gt;=11,WORKDAY(Table1[[#This Row],[CORREO]],1,Table2[Dias no laborales]),E1881)</f>
        <v>46118</v>
      </c>
      <c r="G1881" s="11">
        <v>46121</v>
      </c>
      <c r="H1881" s="7">
        <f t="shared" ref="H1881:H1892" si="83">INT((A1881-DATE(YEAR(A1881),1,1))/7) + 1</f>
        <v>14</v>
      </c>
      <c r="I1881" s="7">
        <f>MAX(1, NETWORKDAYS(A1881, G1881,Table2[Dias no laborales]))</f>
        <v>4</v>
      </c>
      <c r="J1881" s="7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7" t="str">
        <f t="shared" ref="K1881:K1892" si="84">IF(INT(A1881)=INT(F1881),"A tiempo", IF(A1881&lt;F1881,"Mismo día","Programados"))</f>
        <v>A tiempo</v>
      </c>
      <c r="L1881" s="11">
        <v>46118</v>
      </c>
      <c r="M1881" s="22">
        <f>MAX(1,NETWORKDAYS(A1881,L1881,Table2[Dias no laborales]))</f>
        <v>1</v>
      </c>
    </row>
    <row r="1882" spans="1:13" x14ac:dyDescent="0.3">
      <c r="A1882" s="16">
        <v>46118</v>
      </c>
      <c r="B1882" s="20" t="s">
        <v>3798</v>
      </c>
      <c r="C1882" s="7" t="s">
        <v>3008</v>
      </c>
      <c r="D1882" s="7" t="s">
        <v>3810</v>
      </c>
      <c r="E1882" s="18">
        <v>46113.732638888891</v>
      </c>
      <c r="F1882" s="11">
        <f>IF(HOUR(Table1[[#This Row],[CORREO]])&gt;=11,WORKDAY(Table1[[#This Row],[CORREO]],1,Table2[Dias no laborales]),E1882)</f>
        <v>46118</v>
      </c>
      <c r="G1882" s="11">
        <v>46121</v>
      </c>
      <c r="H1882" s="7">
        <f t="shared" si="83"/>
        <v>14</v>
      </c>
      <c r="I1882" s="7">
        <f>MAX(1, NETWORKDAYS(A1882, G1882,Table2[Dias no laborales]))</f>
        <v>4</v>
      </c>
      <c r="J1882" s="7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7" t="str">
        <f t="shared" si="84"/>
        <v>A tiempo</v>
      </c>
      <c r="L1882" s="11">
        <v>46118</v>
      </c>
      <c r="M1882" s="22">
        <f>MAX(1,NETWORKDAYS(A1882,L1882,Table2[Dias no laborales]))</f>
        <v>1</v>
      </c>
    </row>
    <row r="1883" spans="1:13" x14ac:dyDescent="0.3">
      <c r="A1883" s="11">
        <v>46118</v>
      </c>
      <c r="B1883" s="20" t="s">
        <v>3799</v>
      </c>
      <c r="C1883" s="7" t="s">
        <v>3008</v>
      </c>
      <c r="D1883" s="7" t="s">
        <v>3812</v>
      </c>
      <c r="E1883" s="18">
        <v>46113.865277777775</v>
      </c>
      <c r="F1883" s="11">
        <f>IF(HOUR(Table1[[#This Row],[CORREO]])&gt;=11,WORKDAY(Table1[[#This Row],[CORREO]],1,Table2[Dias no laborales]),E1883)</f>
        <v>46118</v>
      </c>
      <c r="G1883" s="11">
        <v>46122</v>
      </c>
      <c r="H1883" s="7">
        <f t="shared" si="83"/>
        <v>14</v>
      </c>
      <c r="I1883" s="7">
        <f>MAX(1, NETWORKDAYS(A1883, G1883,Table2[Dias no laborales]))</f>
        <v>5</v>
      </c>
      <c r="J1883" s="7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7" t="str">
        <f t="shared" si="84"/>
        <v>A tiempo</v>
      </c>
      <c r="L1883" s="11">
        <v>46118</v>
      </c>
      <c r="M1883" s="22">
        <f>MAX(1,NETWORKDAYS(A1883,L1883,Table2[Dias no laborales]))</f>
        <v>1</v>
      </c>
    </row>
    <row r="1884" spans="1:13" x14ac:dyDescent="0.3">
      <c r="A1884" s="16">
        <v>46118</v>
      </c>
      <c r="B1884" s="20" t="s">
        <v>3800</v>
      </c>
      <c r="C1884" s="7" t="s">
        <v>3813</v>
      </c>
      <c r="D1884" s="7" t="s">
        <v>3814</v>
      </c>
      <c r="E1884" s="18">
        <v>46113.884027777778</v>
      </c>
      <c r="F1884" s="11">
        <f>IF(HOUR(Table1[[#This Row],[CORREO]])&gt;=11,WORKDAY(Table1[[#This Row],[CORREO]],1,Table2[Dias no laborales]),E1884)</f>
        <v>46118</v>
      </c>
      <c r="G1884" s="11">
        <v>46122</v>
      </c>
      <c r="H1884" s="7">
        <f t="shared" si="83"/>
        <v>14</v>
      </c>
      <c r="I1884" s="7">
        <f>MAX(1, NETWORKDAYS(A1884, G1884,Table2[Dias no laborales]))</f>
        <v>5</v>
      </c>
      <c r="J1884" s="7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7" t="str">
        <f t="shared" si="84"/>
        <v>A tiempo</v>
      </c>
      <c r="L1884" s="11">
        <v>46118</v>
      </c>
      <c r="M1884" s="22">
        <f>MAX(1,NETWORKDAYS(A1884,L1884,Table2[Dias no laborales]))</f>
        <v>1</v>
      </c>
    </row>
    <row r="1885" spans="1:13" x14ac:dyDescent="0.3">
      <c r="A1885" s="11">
        <v>46118</v>
      </c>
      <c r="B1885" s="20" t="s">
        <v>3801</v>
      </c>
      <c r="C1885" s="7" t="s">
        <v>3008</v>
      </c>
      <c r="D1885" s="7" t="s">
        <v>3815</v>
      </c>
      <c r="E1885" s="18"/>
      <c r="F1885" s="11">
        <f>IF(HOUR(Table1[[#This Row],[CORREO]])&gt;=11,WORKDAY(Table1[[#This Row],[CORREO]],1,Table2[Dias no laborales]),E1885)</f>
        <v>0</v>
      </c>
      <c r="G1885" s="11">
        <v>46119</v>
      </c>
      <c r="H1885" s="7">
        <f t="shared" si="83"/>
        <v>14</v>
      </c>
      <c r="I1885" s="7">
        <f>MAX(1, NETWORKDAYS(A1885, G1885,Table2[Dias no laborales]))</f>
        <v>2</v>
      </c>
      <c r="J1885" s="7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7" t="str">
        <f t="shared" si="84"/>
        <v>Programados</v>
      </c>
      <c r="L1885" s="11">
        <v>46118</v>
      </c>
      <c r="M1885" s="22">
        <f>MAX(1,NETWORKDAYS(A1885,L1885,Table2[Dias no laborales]))</f>
        <v>1</v>
      </c>
    </row>
    <row r="1886" spans="1:13" x14ac:dyDescent="0.3">
      <c r="A1886" s="16">
        <v>46118</v>
      </c>
      <c r="B1886" s="20" t="s">
        <v>3802</v>
      </c>
      <c r="C1886" s="7" t="s">
        <v>3816</v>
      </c>
      <c r="D1886" s="7" t="s">
        <v>136</v>
      </c>
      <c r="E1886" s="18">
        <v>46118.341666666667</v>
      </c>
      <c r="F1886" s="11">
        <f>IF(HOUR(Table1[[#This Row],[CORREO]])&gt;=11,WORKDAY(Table1[[#This Row],[CORREO]],1,Table2[Dias no laborales]),E1886)</f>
        <v>46118.341666666667</v>
      </c>
      <c r="G1886" s="11">
        <v>46118</v>
      </c>
      <c r="H1886" s="7">
        <f t="shared" si="83"/>
        <v>14</v>
      </c>
      <c r="I1886" s="7">
        <f>MAX(1, NETWORKDAYS(A1886, G1886,Table2[Dias no laborales]))</f>
        <v>1</v>
      </c>
      <c r="J1886" s="7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7" t="str">
        <f t="shared" si="84"/>
        <v>A tiempo</v>
      </c>
      <c r="L1886" s="11">
        <v>46118</v>
      </c>
      <c r="M1886" s="22">
        <f>MAX(1,NETWORKDAYS(A1886,L1886,Table2[Dias no laborales]))</f>
        <v>1</v>
      </c>
    </row>
    <row r="1887" spans="1:13" x14ac:dyDescent="0.3">
      <c r="A1887" s="11">
        <v>46118</v>
      </c>
      <c r="B1887" s="20" t="s">
        <v>3803</v>
      </c>
      <c r="C1887" s="7" t="s">
        <v>3817</v>
      </c>
      <c r="D1887" s="7" t="s">
        <v>61</v>
      </c>
      <c r="E1887" s="18">
        <v>46118.378472222219</v>
      </c>
      <c r="F1887" s="11">
        <f>IF(HOUR(Table1[[#This Row],[CORREO]])&gt;=11,WORKDAY(Table1[[#This Row],[CORREO]],1,Table2[Dias no laborales]),E1887)</f>
        <v>46118.378472222219</v>
      </c>
      <c r="G1887" s="11">
        <v>46119</v>
      </c>
      <c r="H1887" s="7">
        <f t="shared" si="83"/>
        <v>14</v>
      </c>
      <c r="I1887" s="7">
        <f>MAX(1, NETWORKDAYS(A1887, G1887,Table2[Dias no laborales]))</f>
        <v>2</v>
      </c>
      <c r="J1887" s="7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7" t="str">
        <f t="shared" si="84"/>
        <v>A tiempo</v>
      </c>
      <c r="L1887" s="11">
        <v>46118</v>
      </c>
      <c r="M1887" s="22">
        <f>MAX(1,NETWORKDAYS(A1887,L1887,Table2[Dias no laborales]))</f>
        <v>1</v>
      </c>
    </row>
    <row r="1888" spans="1:13" x14ac:dyDescent="0.3">
      <c r="A1888" s="16">
        <v>46118</v>
      </c>
      <c r="B1888" s="20" t="s">
        <v>3804</v>
      </c>
      <c r="C1888" s="7" t="s">
        <v>3818</v>
      </c>
      <c r="D1888" s="7" t="s">
        <v>133</v>
      </c>
      <c r="E1888" s="18">
        <v>46118.436805555553</v>
      </c>
      <c r="F1888" s="11">
        <f>IF(HOUR(Table1[[#This Row],[CORREO]])&gt;=11,WORKDAY(Table1[[#This Row],[CORREO]],1,Table2[Dias no laborales]),E1888)</f>
        <v>46118.436805555553</v>
      </c>
      <c r="G1888" s="11">
        <v>46119</v>
      </c>
      <c r="H1888" s="7">
        <f t="shared" si="83"/>
        <v>14</v>
      </c>
      <c r="I1888" s="7">
        <f>MAX(1, NETWORKDAYS(A1888, G1888,Table2[Dias no laborales]))</f>
        <v>2</v>
      </c>
      <c r="J1888" s="7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7" t="str">
        <f t="shared" si="84"/>
        <v>A tiempo</v>
      </c>
      <c r="L1888" s="11">
        <v>46118</v>
      </c>
      <c r="M1888" s="22">
        <f>MAX(1,NETWORKDAYS(A1888,L1888,Table2[Dias no laborales]))</f>
        <v>1</v>
      </c>
    </row>
    <row r="1889" spans="1:13" x14ac:dyDescent="0.3">
      <c r="A1889" s="11">
        <v>46118</v>
      </c>
      <c r="B1889" s="20" t="s">
        <v>3805</v>
      </c>
      <c r="C1889" s="7" t="s">
        <v>3008</v>
      </c>
      <c r="D1889" s="7" t="s">
        <v>3819</v>
      </c>
      <c r="E1889" s="18">
        <v>46118.440972222219</v>
      </c>
      <c r="F1889" s="11">
        <f>IF(HOUR(Table1[[#This Row],[CORREO]])&gt;=11,WORKDAY(Table1[[#This Row],[CORREO]],1,Table2[Dias no laborales]),E1889)</f>
        <v>46118.440972222219</v>
      </c>
      <c r="G1889" s="11">
        <v>46127</v>
      </c>
      <c r="H1889" s="7">
        <f t="shared" si="83"/>
        <v>14</v>
      </c>
      <c r="I1889" s="7">
        <f>MAX(1, NETWORKDAYS(A1889, G1889,Table2[Dias no laborales]))</f>
        <v>8</v>
      </c>
      <c r="J1889" s="7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7" t="str">
        <f t="shared" si="84"/>
        <v>A tiempo</v>
      </c>
      <c r="L1889" s="11">
        <v>46118</v>
      </c>
      <c r="M1889" s="22">
        <f>MAX(1,NETWORKDAYS(A1889,L1889,Table2[Dias no laborales]))</f>
        <v>1</v>
      </c>
    </row>
    <row r="1890" spans="1:13" x14ac:dyDescent="0.3">
      <c r="A1890" s="16">
        <v>46118</v>
      </c>
      <c r="B1890" s="20" t="s">
        <v>3806</v>
      </c>
      <c r="C1890" s="7" t="s">
        <v>3820</v>
      </c>
      <c r="D1890" s="7" t="s">
        <v>2981</v>
      </c>
      <c r="E1890" s="18">
        <v>46118.447222222225</v>
      </c>
      <c r="F1890" s="11">
        <f>IF(HOUR(Table1[[#This Row],[CORREO]])&gt;=11,WORKDAY(Table1[[#This Row],[CORREO]],1,Table2[Dias no laborales]),E1890)</f>
        <v>46118.447222222225</v>
      </c>
      <c r="G1890" s="11">
        <v>46119</v>
      </c>
      <c r="H1890" s="7">
        <f t="shared" si="83"/>
        <v>14</v>
      </c>
      <c r="I1890" s="7">
        <f>MAX(1, NETWORKDAYS(A1890, G1890,Table2[Dias no laborales]))</f>
        <v>2</v>
      </c>
      <c r="J1890" s="7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7" t="str">
        <f t="shared" si="84"/>
        <v>A tiempo</v>
      </c>
      <c r="L1890" s="11">
        <v>46118</v>
      </c>
      <c r="M1890" s="22">
        <f>MAX(1,NETWORKDAYS(A1890,L1890,Table2[Dias no laborales]))</f>
        <v>1</v>
      </c>
    </row>
    <row r="1891" spans="1:13" x14ac:dyDescent="0.3">
      <c r="A1891" s="11">
        <v>46118</v>
      </c>
      <c r="B1891" s="20" t="s">
        <v>3807</v>
      </c>
      <c r="C1891" s="7" t="s">
        <v>3821</v>
      </c>
      <c r="D1891" s="7" t="s">
        <v>3822</v>
      </c>
      <c r="E1891" s="18">
        <v>46118.466666666667</v>
      </c>
      <c r="F1891" s="11">
        <f>IF(HOUR(Table1[[#This Row],[CORREO]])&gt;=11,WORKDAY(Table1[[#This Row],[CORREO]],1,Table2[Dias no laborales]),E1891)</f>
        <v>46119</v>
      </c>
      <c r="G1891" s="11">
        <v>46121</v>
      </c>
      <c r="H1891" s="7">
        <f t="shared" si="83"/>
        <v>14</v>
      </c>
      <c r="I1891" s="7">
        <f>MAX(1, NETWORKDAYS(A1891, G1891,Table2[Dias no laborales]))</f>
        <v>4</v>
      </c>
      <c r="J1891" s="7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7" t="str">
        <f t="shared" si="84"/>
        <v>Mismo día</v>
      </c>
      <c r="L1891" s="11">
        <v>46118</v>
      </c>
      <c r="M1891" s="22">
        <f>MAX(1,NETWORKDAYS(A1891,L1891,Table2[Dias no laborales]))</f>
        <v>1</v>
      </c>
    </row>
    <row r="1892" spans="1:13" x14ac:dyDescent="0.3">
      <c r="A1892" s="16">
        <v>46118</v>
      </c>
      <c r="B1892" s="20" t="s">
        <v>3808</v>
      </c>
      <c r="C1892" s="7" t="s">
        <v>3811</v>
      </c>
      <c r="D1892" s="7" t="s">
        <v>37</v>
      </c>
      <c r="E1892" s="18">
        <v>46118.47152777778</v>
      </c>
      <c r="F1892" s="11">
        <f>IF(HOUR(Table1[[#This Row],[CORREO]])&gt;=11,WORKDAY(Table1[[#This Row],[CORREO]],1,Table2[Dias no laborales]),E1892)</f>
        <v>46119</v>
      </c>
      <c r="G1892" s="11">
        <v>46118</v>
      </c>
      <c r="H1892" s="7">
        <f t="shared" si="83"/>
        <v>14</v>
      </c>
      <c r="I1892" s="7">
        <f>MAX(1, NETWORKDAYS(A1892, G1892,Table2[Dias no laborales]))</f>
        <v>1</v>
      </c>
      <c r="J1892" s="7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7" t="str">
        <f t="shared" si="84"/>
        <v>Mismo día</v>
      </c>
      <c r="L1892" s="11">
        <v>46118</v>
      </c>
      <c r="M1892" s="22">
        <f>MAX(1,NETWORKDAYS(A1892,L1892,Table2[Dias no laborales]))</f>
        <v>1</v>
      </c>
    </row>
    <row r="1893" spans="1:13" x14ac:dyDescent="0.3">
      <c r="A1893" s="11">
        <v>46118</v>
      </c>
      <c r="B1893" s="20" t="s">
        <v>3823</v>
      </c>
      <c r="C1893" s="7" t="s">
        <v>3833</v>
      </c>
      <c r="D1893" s="7" t="s">
        <v>3834</v>
      </c>
      <c r="E1893" s="18">
        <v>46118.498611111114</v>
      </c>
      <c r="F1893" s="11">
        <f>IF(HOUR(Table1[[#This Row],[CORREO]])&gt;=11,WORKDAY(Table1[[#This Row],[CORREO]],1,Table2[Dias no laborales]),E1893)</f>
        <v>46119</v>
      </c>
      <c r="G1893" s="11">
        <v>46118</v>
      </c>
      <c r="H1893" s="7">
        <f t="shared" ref="H1893:H1902" si="85">INT((A1893-DATE(YEAR(A1893),1,1))/7) + 1</f>
        <v>14</v>
      </c>
      <c r="I1893" s="7">
        <f>MAX(1, NETWORKDAYS(A1893, G1893,Table2[Dias no laborales]))</f>
        <v>1</v>
      </c>
      <c r="J1893" s="7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7" t="str">
        <f>IF(INT(A1893)=INT(F1893),"A tiempo", IF(A1893&lt;F1893,"Mismo día","Programados"))</f>
        <v>Mismo día</v>
      </c>
      <c r="L1893" s="11">
        <v>46118</v>
      </c>
      <c r="M1893" s="22">
        <f>MAX(1,NETWORKDAYS(A1893,L1893,Table2[Dias no laborales]))</f>
        <v>1</v>
      </c>
    </row>
    <row r="1894" spans="1:13" x14ac:dyDescent="0.3">
      <c r="A1894" s="11">
        <v>46119</v>
      </c>
      <c r="B1894" s="20" t="s">
        <v>3824</v>
      </c>
      <c r="C1894" s="7" t="s">
        <v>3835</v>
      </c>
      <c r="D1894" s="7" t="s">
        <v>3039</v>
      </c>
      <c r="E1894" s="18">
        <v>46118.573611111111</v>
      </c>
      <c r="F1894" s="11">
        <f>IF(HOUR(Table1[[#This Row],[CORREO]])&gt;=11,WORKDAY(Table1[[#This Row],[CORREO]],1,Table2[Dias no laborales]),E1894)</f>
        <v>46119</v>
      </c>
      <c r="G1894" s="11">
        <v>46119</v>
      </c>
      <c r="H1894" s="7">
        <f t="shared" si="85"/>
        <v>14</v>
      </c>
      <c r="I1894" s="7">
        <f>MAX(1, NETWORKDAYS(A1894, G1894,Table2[Dias no laborales]))</f>
        <v>1</v>
      </c>
      <c r="J1894" s="7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7" t="str">
        <f t="shared" ref="K1894:K1902" si="86">IF(INT(A1894)=INT(F1894),"A tiempo", IF(A1894&lt;F1894,"Mismo día","Programados"))</f>
        <v>A tiempo</v>
      </c>
      <c r="L1894" s="11">
        <v>46119</v>
      </c>
      <c r="M1894" s="22">
        <f>MAX(1,NETWORKDAYS(A1894,L1894,Table2[Dias no laborales]))</f>
        <v>1</v>
      </c>
    </row>
    <row r="1895" spans="1:13" x14ac:dyDescent="0.3">
      <c r="A1895" s="11">
        <v>46119</v>
      </c>
      <c r="B1895" s="20" t="s">
        <v>3825</v>
      </c>
      <c r="C1895" s="7" t="s">
        <v>3836</v>
      </c>
      <c r="D1895" s="7" t="s">
        <v>3837</v>
      </c>
      <c r="E1895" s="18">
        <v>46118.643750000003</v>
      </c>
      <c r="F1895" s="11">
        <f>IF(HOUR(Table1[[#This Row],[CORREO]])&gt;=11,WORKDAY(Table1[[#This Row],[CORREO]],1,Table2[Dias no laborales]),E1895)</f>
        <v>46119</v>
      </c>
      <c r="G1895" s="11">
        <v>46121</v>
      </c>
      <c r="H1895" s="7">
        <f t="shared" si="85"/>
        <v>14</v>
      </c>
      <c r="I1895" s="7">
        <f>MAX(1, NETWORKDAYS(A1895, G1895,Table2[Dias no laborales]))</f>
        <v>3</v>
      </c>
      <c r="J1895" s="7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7" t="str">
        <f t="shared" si="86"/>
        <v>A tiempo</v>
      </c>
      <c r="L1895" s="11">
        <v>46119</v>
      </c>
      <c r="M1895" s="22">
        <f>MAX(1,NETWORKDAYS(A1895,L1895,Table2[Dias no laborales]))</f>
        <v>1</v>
      </c>
    </row>
    <row r="1896" spans="1:13" x14ac:dyDescent="0.3">
      <c r="A1896" s="11">
        <v>46119</v>
      </c>
      <c r="B1896" s="20" t="s">
        <v>3826</v>
      </c>
      <c r="C1896" s="7" t="s">
        <v>3838</v>
      </c>
      <c r="D1896" s="7" t="s">
        <v>103</v>
      </c>
      <c r="E1896" s="18">
        <v>46118.681944444441</v>
      </c>
      <c r="F1896" s="11">
        <f>IF(HOUR(Table1[[#This Row],[CORREO]])&gt;=11,WORKDAY(Table1[[#This Row],[CORREO]],1,Table2[Dias no laborales]),E1896)</f>
        <v>46119</v>
      </c>
      <c r="G1896" s="11">
        <v>46120</v>
      </c>
      <c r="H1896" s="7">
        <f t="shared" si="85"/>
        <v>14</v>
      </c>
      <c r="I1896" s="7">
        <f>MAX(1, NETWORKDAYS(A1896, G1896,Table2[Dias no laborales]))</f>
        <v>2</v>
      </c>
      <c r="J1896" s="7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7" t="str">
        <f t="shared" si="86"/>
        <v>A tiempo</v>
      </c>
      <c r="L1896" s="11">
        <v>46119</v>
      </c>
      <c r="M1896" s="22">
        <f>MAX(1,NETWORKDAYS(A1896,L1896,Table2[Dias no laborales]))</f>
        <v>1</v>
      </c>
    </row>
    <row r="1897" spans="1:13" x14ac:dyDescent="0.3">
      <c r="A1897" s="11">
        <v>46119</v>
      </c>
      <c r="B1897" s="20" t="s">
        <v>3827</v>
      </c>
      <c r="C1897" s="7" t="s">
        <v>3839</v>
      </c>
      <c r="D1897" s="7" t="s">
        <v>24</v>
      </c>
      <c r="E1897" s="18">
        <v>46118.756249999999</v>
      </c>
      <c r="F1897" s="11">
        <f>IF(HOUR(Table1[[#This Row],[CORREO]])&gt;=11,WORKDAY(Table1[[#This Row],[CORREO]],1,Table2[Dias no laborales]),E1897)</f>
        <v>46119</v>
      </c>
      <c r="G1897" s="11">
        <v>46119</v>
      </c>
      <c r="H1897" s="7">
        <f t="shared" si="85"/>
        <v>14</v>
      </c>
      <c r="I1897" s="7">
        <f>MAX(1, NETWORKDAYS(A1897, G1897,Table2[Dias no laborales]))</f>
        <v>1</v>
      </c>
      <c r="J1897" s="7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7" t="str">
        <f t="shared" si="86"/>
        <v>A tiempo</v>
      </c>
      <c r="L1897" s="11">
        <v>46119</v>
      </c>
      <c r="M1897" s="22">
        <f>MAX(1,NETWORKDAYS(A1897,L1897,Table2[Dias no laborales]))</f>
        <v>1</v>
      </c>
    </row>
    <row r="1898" spans="1:13" x14ac:dyDescent="0.3">
      <c r="A1898" s="11">
        <v>46119</v>
      </c>
      <c r="B1898" s="20" t="s">
        <v>3828</v>
      </c>
      <c r="C1898" s="7" t="s">
        <v>3840</v>
      </c>
      <c r="D1898" s="7" t="s">
        <v>171</v>
      </c>
      <c r="E1898" s="18">
        <v>46119.339583333334</v>
      </c>
      <c r="F1898" s="11">
        <f>IF(HOUR(Table1[[#This Row],[CORREO]])&gt;=11,WORKDAY(Table1[[#This Row],[CORREO]],1,Table2[Dias no laborales]),E1898)</f>
        <v>46119.339583333334</v>
      </c>
      <c r="G1898" s="11">
        <v>46120</v>
      </c>
      <c r="H1898" s="7">
        <f t="shared" si="85"/>
        <v>14</v>
      </c>
      <c r="I1898" s="7">
        <f>MAX(1, NETWORKDAYS(A1898, G1898,Table2[Dias no laborales]))</f>
        <v>2</v>
      </c>
      <c r="J1898" s="7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7" t="str">
        <f t="shared" si="86"/>
        <v>A tiempo</v>
      </c>
      <c r="L1898" s="11">
        <v>46119</v>
      </c>
      <c r="M1898" s="22">
        <f>MAX(1,NETWORKDAYS(A1898,L1898,Table2[Dias no laborales]))</f>
        <v>1</v>
      </c>
    </row>
    <row r="1899" spans="1:13" x14ac:dyDescent="0.3">
      <c r="A1899" s="11">
        <v>46119</v>
      </c>
      <c r="B1899" s="20" t="s">
        <v>3829</v>
      </c>
      <c r="C1899" s="7" t="s">
        <v>3841</v>
      </c>
      <c r="D1899" s="7" t="s">
        <v>24</v>
      </c>
      <c r="E1899" s="18">
        <v>46119.392361111109</v>
      </c>
      <c r="F1899" s="11">
        <f>IF(HOUR(Table1[[#This Row],[CORREO]])&gt;=11,WORKDAY(Table1[[#This Row],[CORREO]],1,Table2[Dias no laborales]),E1899)</f>
        <v>46119.392361111109</v>
      </c>
      <c r="G1899" s="11">
        <v>46127</v>
      </c>
      <c r="H1899" s="7">
        <f t="shared" si="85"/>
        <v>14</v>
      </c>
      <c r="I1899" s="7">
        <f>MAX(1, NETWORKDAYS(A1899, G1899,Table2[Dias no laborales]))</f>
        <v>7</v>
      </c>
      <c r="J1899" s="7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7" t="str">
        <f t="shared" si="86"/>
        <v>A tiempo</v>
      </c>
      <c r="L1899" s="11">
        <v>46119</v>
      </c>
      <c r="M1899" s="22">
        <f>MAX(1,NETWORKDAYS(A1899,L1899,Table2[Dias no laborales]))</f>
        <v>1</v>
      </c>
    </row>
    <row r="1900" spans="1:13" x14ac:dyDescent="0.3">
      <c r="A1900" s="11">
        <v>46119</v>
      </c>
      <c r="B1900" s="20" t="s">
        <v>3830</v>
      </c>
      <c r="C1900" s="7" t="s">
        <v>3842</v>
      </c>
      <c r="D1900" s="7" t="s">
        <v>89</v>
      </c>
      <c r="E1900" s="18">
        <v>46119.395138888889</v>
      </c>
      <c r="F1900" s="11">
        <f>IF(HOUR(Table1[[#This Row],[CORREO]])&gt;=11,WORKDAY(Table1[[#This Row],[CORREO]],1,Table2[Dias no laborales]),E1900)</f>
        <v>46119.395138888889</v>
      </c>
      <c r="G1900" s="11">
        <v>46120</v>
      </c>
      <c r="H1900" s="7">
        <f t="shared" si="85"/>
        <v>14</v>
      </c>
      <c r="I1900" s="7">
        <f>MAX(1, NETWORKDAYS(A1900, G1900,Table2[Dias no laborales]))</f>
        <v>2</v>
      </c>
      <c r="J1900" s="7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7" t="str">
        <f t="shared" si="86"/>
        <v>A tiempo</v>
      </c>
      <c r="L1900" s="11">
        <v>46119</v>
      </c>
      <c r="M1900" s="22">
        <f>MAX(1,NETWORKDAYS(A1900,L1900,Table2[Dias no laborales]))</f>
        <v>1</v>
      </c>
    </row>
    <row r="1901" spans="1:13" x14ac:dyDescent="0.3">
      <c r="A1901" s="11">
        <v>46119</v>
      </c>
      <c r="B1901" s="20" t="s">
        <v>3831</v>
      </c>
      <c r="C1901" s="7" t="s">
        <v>3843</v>
      </c>
      <c r="D1901" s="7" t="s">
        <v>2963</v>
      </c>
      <c r="E1901" s="18">
        <v>46119.395833333336</v>
      </c>
      <c r="F1901" s="11">
        <f>IF(HOUR(Table1[[#This Row],[CORREO]])&gt;=11,WORKDAY(Table1[[#This Row],[CORREO]],1,Table2[Dias no laborales]),E1901)</f>
        <v>46119.395833333336</v>
      </c>
      <c r="G1901" s="11">
        <v>46119</v>
      </c>
      <c r="H1901" s="7">
        <f t="shared" si="85"/>
        <v>14</v>
      </c>
      <c r="I1901" s="7">
        <f>MAX(1, NETWORKDAYS(A1901, G1901,Table2[Dias no laborales]))</f>
        <v>1</v>
      </c>
      <c r="J1901" s="7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7" t="str">
        <f t="shared" si="86"/>
        <v>A tiempo</v>
      </c>
      <c r="L1901" s="11">
        <v>46119</v>
      </c>
      <c r="M1901" s="22">
        <f>MAX(1,NETWORKDAYS(A1901,L1901,Table2[Dias no laborales]))</f>
        <v>1</v>
      </c>
    </row>
    <row r="1902" spans="1:13" x14ac:dyDescent="0.3">
      <c r="A1902" s="11">
        <v>46119</v>
      </c>
      <c r="B1902" s="20" t="s">
        <v>3832</v>
      </c>
      <c r="C1902" s="7" t="s">
        <v>3844</v>
      </c>
      <c r="D1902" s="7" t="s">
        <v>3845</v>
      </c>
      <c r="E1902" s="18">
        <v>46118.571527777778</v>
      </c>
      <c r="F1902" s="11">
        <f>IF(HOUR(Table1[[#This Row],[CORREO]])&gt;=11,WORKDAY(Table1[[#This Row],[CORREO]],1,Table2[Dias no laborales]),E1902)</f>
        <v>46119</v>
      </c>
      <c r="G1902" s="11">
        <v>46120</v>
      </c>
      <c r="H1902" s="7">
        <f t="shared" si="85"/>
        <v>14</v>
      </c>
      <c r="I1902" s="7">
        <f>MAX(1, NETWORKDAYS(A1902, G1902,Table2[Dias no laborales]))</f>
        <v>2</v>
      </c>
      <c r="J1902" s="7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7" t="str">
        <f t="shared" si="86"/>
        <v>A tiempo</v>
      </c>
      <c r="L1902" s="11">
        <v>46119</v>
      </c>
      <c r="M1902" s="22">
        <f>MAX(1,NETWORKDAYS(A1902,L1902,Table2[Dias no laborales]))</f>
        <v>1</v>
      </c>
    </row>
    <row r="1903" spans="1:13" x14ac:dyDescent="0.3">
      <c r="A1903" s="11">
        <v>46119</v>
      </c>
      <c r="B1903" s="20" t="s">
        <v>3846</v>
      </c>
      <c r="C1903" s="7" t="s">
        <v>3855</v>
      </c>
      <c r="D1903" s="7" t="s">
        <v>269</v>
      </c>
      <c r="E1903" s="18">
        <v>46119.539583333331</v>
      </c>
      <c r="F1903" s="11">
        <f>IF(HOUR(Table1[[#This Row],[CORREO]])&gt;=11,WORKDAY(Table1[[#This Row],[CORREO]],1,Table2[Dias no laborales]),E1903)</f>
        <v>46120</v>
      </c>
      <c r="G1903" s="11">
        <v>46120</v>
      </c>
      <c r="H1903" s="7">
        <f t="shared" ref="H1903:H1909" si="87">INT((A1903-DATE(YEAR(A1903),1,1))/7) + 1</f>
        <v>14</v>
      </c>
      <c r="I1903" s="7">
        <f>MAX(1, NETWORKDAYS(A1903, G1903,Table2[Dias no laborales]))</f>
        <v>2</v>
      </c>
      <c r="J1903" s="7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7" t="str">
        <f t="shared" ref="K1903:K1909" si="88">IF(INT(A1903)=INT(F1903),"A tiempo", IF(A1903&lt;F1903,"Mismo día","Programados"))</f>
        <v>Mismo día</v>
      </c>
      <c r="L1903" s="11">
        <v>46119</v>
      </c>
      <c r="M1903" s="22">
        <f>MAX(1,NETWORKDAYS(A1903,L1903,Table2[Dias no laborales]))</f>
        <v>1</v>
      </c>
    </row>
    <row r="1904" spans="1:13" x14ac:dyDescent="0.3">
      <c r="A1904" s="11">
        <v>46119</v>
      </c>
      <c r="B1904" s="20" t="s">
        <v>3847</v>
      </c>
      <c r="C1904" s="7" t="s">
        <v>3856</v>
      </c>
      <c r="D1904" s="7" t="s">
        <v>194</v>
      </c>
      <c r="E1904" s="18">
        <v>46119.678472222222</v>
      </c>
      <c r="F1904" s="11">
        <f>IF(HOUR(Table1[[#This Row],[CORREO]])&gt;=11,WORKDAY(Table1[[#This Row],[CORREO]],1,Table2[Dias no laborales]),E1904)</f>
        <v>46120</v>
      </c>
      <c r="G1904" s="11">
        <v>46127</v>
      </c>
      <c r="H1904" s="7">
        <f t="shared" si="87"/>
        <v>14</v>
      </c>
      <c r="I1904" s="7">
        <f>MAX(1, NETWORKDAYS(A1904, G1904,Table2[Dias no laborales]))</f>
        <v>7</v>
      </c>
      <c r="J1904" s="7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7" t="str">
        <f t="shared" si="88"/>
        <v>Mismo día</v>
      </c>
      <c r="L1904" s="11">
        <v>46119</v>
      </c>
      <c r="M1904" s="22">
        <f>MAX(1,NETWORKDAYS(A1904,L1904,Table2[Dias no laborales]))</f>
        <v>1</v>
      </c>
    </row>
    <row r="1905" spans="1:13" x14ac:dyDescent="0.3">
      <c r="A1905" s="11">
        <v>46120</v>
      </c>
      <c r="B1905" s="20" t="s">
        <v>3848</v>
      </c>
      <c r="C1905" s="7" t="s">
        <v>3857</v>
      </c>
      <c r="D1905" s="7" t="s">
        <v>89</v>
      </c>
      <c r="E1905" s="18"/>
      <c r="F1905" s="11">
        <f>IF(HOUR(Table1[[#This Row],[CORREO]])&gt;=11,WORKDAY(Table1[[#This Row],[CORREO]],1,Table2[Dias no laborales]),E1905)</f>
        <v>0</v>
      </c>
      <c r="G1905" s="11">
        <v>46120</v>
      </c>
      <c r="H1905" s="7">
        <f t="shared" si="87"/>
        <v>14</v>
      </c>
      <c r="I1905" s="7">
        <f>MAX(1, NETWORKDAYS(A1905, G1905,Table2[Dias no laborales]))</f>
        <v>1</v>
      </c>
      <c r="J1905" s="7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7" t="str">
        <f t="shared" si="88"/>
        <v>Programados</v>
      </c>
      <c r="L1905" s="11">
        <v>46120</v>
      </c>
      <c r="M1905" s="22">
        <f>MAX(1,NETWORKDAYS(A1905,L1905,Table2[Dias no laborales]))</f>
        <v>1</v>
      </c>
    </row>
    <row r="1906" spans="1:13" x14ac:dyDescent="0.3">
      <c r="A1906" s="11">
        <v>46120</v>
      </c>
      <c r="B1906" s="20" t="s">
        <v>3849</v>
      </c>
      <c r="C1906" s="7" t="s">
        <v>3858</v>
      </c>
      <c r="D1906" s="7" t="s">
        <v>24</v>
      </c>
      <c r="E1906" s="18"/>
      <c r="F1906" s="11">
        <f>IF(HOUR(Table1[[#This Row],[CORREO]])&gt;=11,WORKDAY(Table1[[#This Row],[CORREO]],1,Table2[Dias no laborales]),E1906)</f>
        <v>0</v>
      </c>
      <c r="G1906" s="11">
        <v>46127</v>
      </c>
      <c r="H1906" s="7">
        <f t="shared" si="87"/>
        <v>14</v>
      </c>
      <c r="I1906" s="7">
        <f>MAX(1, NETWORKDAYS(A1906, G1906,Table2[Dias no laborales]))</f>
        <v>6</v>
      </c>
      <c r="J1906" s="7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7" t="str">
        <f t="shared" si="88"/>
        <v>Programados</v>
      </c>
      <c r="L1906" s="11">
        <v>46120</v>
      </c>
      <c r="M1906" s="22">
        <f>MAX(1,NETWORKDAYS(A1906,L1906,Table2[Dias no laborales]))</f>
        <v>1</v>
      </c>
    </row>
    <row r="1907" spans="1:13" x14ac:dyDescent="0.3">
      <c r="A1907" s="11">
        <v>46120</v>
      </c>
      <c r="B1907" s="20" t="s">
        <v>3850</v>
      </c>
      <c r="C1907" s="7" t="s">
        <v>3859</v>
      </c>
      <c r="D1907" s="7" t="s">
        <v>2963</v>
      </c>
      <c r="E1907" s="18"/>
      <c r="F1907" s="11">
        <f>IF(HOUR(Table1[[#This Row],[CORREO]])&gt;=11,WORKDAY(Table1[[#This Row],[CORREO]],1,Table2[Dias no laborales]),E1907)</f>
        <v>0</v>
      </c>
      <c r="G1907" s="11">
        <v>46120</v>
      </c>
      <c r="H1907" s="7">
        <f t="shared" si="87"/>
        <v>14</v>
      </c>
      <c r="I1907" s="7">
        <f>MAX(1, NETWORKDAYS(A1907, G1907,Table2[Dias no laborales]))</f>
        <v>1</v>
      </c>
      <c r="J1907" s="7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7" t="str">
        <f t="shared" si="88"/>
        <v>Programados</v>
      </c>
      <c r="L1907" s="11">
        <v>46120</v>
      </c>
      <c r="M1907" s="22">
        <f>MAX(1,NETWORKDAYS(A1907,L1907,Table2[Dias no laborales]))</f>
        <v>1</v>
      </c>
    </row>
    <row r="1908" spans="1:13" x14ac:dyDescent="0.3">
      <c r="A1908" s="11">
        <v>46120</v>
      </c>
      <c r="B1908" s="20" t="s">
        <v>3851</v>
      </c>
      <c r="C1908" s="7" t="s">
        <v>3860</v>
      </c>
      <c r="D1908" s="7" t="s">
        <v>27</v>
      </c>
      <c r="E1908" s="18"/>
      <c r="F1908" s="11">
        <f>IF(HOUR(Table1[[#This Row],[CORREO]])&gt;=11,WORKDAY(Table1[[#This Row],[CORREO]],1,Table2[Dias no laborales]),E1908)</f>
        <v>0</v>
      </c>
      <c r="G1908" s="11">
        <v>46129</v>
      </c>
      <c r="H1908" s="7">
        <f t="shared" si="87"/>
        <v>14</v>
      </c>
      <c r="I1908" s="7">
        <f>MAX(1, NETWORKDAYS(A1908, G1908,Table2[Dias no laborales]))</f>
        <v>8</v>
      </c>
      <c r="J1908" s="7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7" t="str">
        <f t="shared" si="88"/>
        <v>Programados</v>
      </c>
      <c r="L1908" s="11">
        <v>46120</v>
      </c>
      <c r="M1908" s="22">
        <f>MAX(1,NETWORKDAYS(A1908,L1908,Table2[Dias no laborales]))</f>
        <v>1</v>
      </c>
    </row>
    <row r="1909" spans="1:13" x14ac:dyDescent="0.3">
      <c r="A1909" s="11">
        <v>46120</v>
      </c>
      <c r="B1909" s="20" t="s">
        <v>3852</v>
      </c>
      <c r="C1909" s="7" t="s">
        <v>3861</v>
      </c>
      <c r="D1909" s="7" t="s">
        <v>27</v>
      </c>
      <c r="E1909" s="18"/>
      <c r="F1909" s="11">
        <f>IF(HOUR(Table1[[#This Row],[CORREO]])&gt;=11,WORKDAY(Table1[[#This Row],[CORREO]],1,Table2[Dias no laborales]),E1909)</f>
        <v>0</v>
      </c>
      <c r="G1909" s="11">
        <v>46127</v>
      </c>
      <c r="H1909" s="7">
        <f t="shared" si="87"/>
        <v>14</v>
      </c>
      <c r="I1909" s="7">
        <f>MAX(1, NETWORKDAYS(A1909, G1909,Table2[Dias no laborales]))</f>
        <v>6</v>
      </c>
      <c r="J1909" s="7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7" t="str">
        <f t="shared" si="88"/>
        <v>Programados</v>
      </c>
      <c r="L1909" s="11">
        <v>46120</v>
      </c>
      <c r="M1909" s="22">
        <f>MAX(1,NETWORKDAYS(A1909,L1909,Table2[Dias no laborales]))</f>
        <v>1</v>
      </c>
    </row>
    <row r="1910" spans="1:13" x14ac:dyDescent="0.3">
      <c r="A1910" s="11">
        <v>46120</v>
      </c>
      <c r="B1910" s="20" t="s">
        <v>3853</v>
      </c>
      <c r="C1910" s="7" t="s">
        <v>3862</v>
      </c>
      <c r="D1910" s="7" t="s">
        <v>27</v>
      </c>
      <c r="E1910" s="18"/>
      <c r="F1910" s="11">
        <f>IF(HOUR(Table1[[#This Row],[CORREO]])&gt;=11,WORKDAY(Table1[[#This Row],[CORREO]],1,Table2[Dias no laborales]),E1910)</f>
        <v>0</v>
      </c>
      <c r="G1910" s="11">
        <v>46127</v>
      </c>
      <c r="H1910" s="7">
        <f t="shared" ref="H1910:H1911" si="89">INT((A1910-DATE(YEAR(A1910),1,1))/7) + 1</f>
        <v>14</v>
      </c>
      <c r="I1910" s="7">
        <f>MAX(1, NETWORKDAYS(A1910, G1910,Table2[Dias no laborales]))</f>
        <v>6</v>
      </c>
      <c r="J1910" s="7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7" t="str">
        <f t="shared" ref="K1910:K1911" si="90">IF(INT(A1910)=INT(F1910),"A tiempo", IF(A1910&lt;F1910,"Mismo día","Programados"))</f>
        <v>Programados</v>
      </c>
      <c r="L1910" s="11">
        <v>46120</v>
      </c>
      <c r="M1910" s="22">
        <f>MAX(1,NETWORKDAYS(A1910,L1910,Table2[Dias no laborales]))</f>
        <v>1</v>
      </c>
    </row>
    <row r="1911" spans="1:13" x14ac:dyDescent="0.3">
      <c r="A1911" s="11">
        <v>46120</v>
      </c>
      <c r="B1911" s="20" t="s">
        <v>3854</v>
      </c>
      <c r="C1911" s="7" t="s">
        <v>3863</v>
      </c>
      <c r="D1911" s="7" t="s">
        <v>27</v>
      </c>
      <c r="E1911" s="18"/>
      <c r="F1911" s="11">
        <f>IF(HOUR(Table1[[#This Row],[CORREO]])&gt;=11,WORKDAY(Table1[[#This Row],[CORREO]],1,Table2[Dias no laborales]),E1911)</f>
        <v>0</v>
      </c>
      <c r="G1911" s="11">
        <v>46127</v>
      </c>
      <c r="H1911" s="7">
        <f t="shared" si="89"/>
        <v>14</v>
      </c>
      <c r="I1911" s="7">
        <f>MAX(1, NETWORKDAYS(A1911, G1911,Table2[Dias no laborales]))</f>
        <v>6</v>
      </c>
      <c r="J1911" s="7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7" t="str">
        <f t="shared" si="90"/>
        <v>Programados</v>
      </c>
      <c r="L1911" s="11">
        <v>46120</v>
      </c>
      <c r="M1911" s="22">
        <f>MAX(1,NETWORKDAYS(A1911,L1911,Table2[Dias no laborales]))</f>
        <v>1</v>
      </c>
    </row>
    <row r="1912" spans="1:13" x14ac:dyDescent="0.3">
      <c r="A1912" s="11">
        <v>46121</v>
      </c>
      <c r="B1912" s="20" t="s">
        <v>3864</v>
      </c>
      <c r="C1912" s="7" t="s">
        <v>3909</v>
      </c>
      <c r="D1912" s="7" t="s">
        <v>154</v>
      </c>
      <c r="E1912" s="18">
        <v>46120.613194444442</v>
      </c>
      <c r="F1912" s="11">
        <f>IF(HOUR(Table1[[#This Row],[CORREO]])&gt;=11,WORKDAY(Table1[[#This Row],[CORREO]],1,Table2[Dias no laborales]),E1912)</f>
        <v>46121</v>
      </c>
      <c r="G1912" s="11">
        <v>46127</v>
      </c>
      <c r="H1912" s="7">
        <f t="shared" ref="H1912:H1956" si="91">INT((A1912-DATE(YEAR(A1912),1,1))/7) + 1</f>
        <v>15</v>
      </c>
      <c r="I1912" s="7">
        <f>MAX(1, NETWORKDAYS(A1912, G1912,Table2[Dias no laborales]))</f>
        <v>5</v>
      </c>
      <c r="J1912" s="7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7" t="str">
        <f t="shared" ref="K1912:K1956" si="92">IF(INT(A1912)=INT(F1912),"A tiempo", IF(A1912&lt;F1912,"Mismo día","Programados"))</f>
        <v>A tiempo</v>
      </c>
      <c r="L1912" s="11">
        <v>46121</v>
      </c>
      <c r="M1912" s="22">
        <f>MAX(1,NETWORKDAYS(A1912,L1912,Table2[Dias no laborales]))</f>
        <v>1</v>
      </c>
    </row>
    <row r="1913" spans="1:13" x14ac:dyDescent="0.3">
      <c r="A1913" s="11">
        <v>46121</v>
      </c>
      <c r="B1913" s="20" t="s">
        <v>3865</v>
      </c>
      <c r="C1913" s="7" t="s">
        <v>3910</v>
      </c>
      <c r="D1913" s="7" t="s">
        <v>61</v>
      </c>
      <c r="E1913" s="18">
        <v>46120.545138888891</v>
      </c>
      <c r="F1913" s="11">
        <f>IF(HOUR(Table1[[#This Row],[CORREO]])&gt;=11,WORKDAY(Table1[[#This Row],[CORREO]],1,Table2[Dias no laborales]),E1913)</f>
        <v>46121</v>
      </c>
      <c r="G1913" s="11">
        <v>46121</v>
      </c>
      <c r="H1913" s="7">
        <f t="shared" si="91"/>
        <v>15</v>
      </c>
      <c r="I1913" s="7">
        <f>MAX(1, NETWORKDAYS(A1913, G1913,Table2[Dias no laborales]))</f>
        <v>1</v>
      </c>
      <c r="J1913" s="7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7" t="str">
        <f t="shared" si="92"/>
        <v>A tiempo</v>
      </c>
      <c r="L1913" s="11">
        <v>46121</v>
      </c>
      <c r="M1913" s="22">
        <f>MAX(1,NETWORKDAYS(A1913,L1913,Table2[Dias no laborales]))</f>
        <v>1</v>
      </c>
    </row>
    <row r="1914" spans="1:13" x14ac:dyDescent="0.3">
      <c r="A1914" s="11">
        <v>46121</v>
      </c>
      <c r="B1914" s="20" t="s">
        <v>3866</v>
      </c>
      <c r="C1914" s="7" t="s">
        <v>3911</v>
      </c>
      <c r="D1914" s="7" t="s">
        <v>372</v>
      </c>
      <c r="E1914" s="18">
        <v>46120.706250000003</v>
      </c>
      <c r="F1914" s="11">
        <f>IF(HOUR(Table1[[#This Row],[CORREO]])&gt;=11,WORKDAY(Table1[[#This Row],[CORREO]],1,Table2[Dias no laborales]),E1914)</f>
        <v>46121</v>
      </c>
      <c r="G1914" s="11">
        <v>46126</v>
      </c>
      <c r="H1914" s="7">
        <f t="shared" si="91"/>
        <v>15</v>
      </c>
      <c r="I1914" s="7">
        <f>MAX(1, NETWORKDAYS(A1914, G1914,Table2[Dias no laborales]))</f>
        <v>4</v>
      </c>
      <c r="J1914" s="7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7" t="str">
        <f t="shared" si="92"/>
        <v>A tiempo</v>
      </c>
      <c r="L1914" s="11">
        <v>46121</v>
      </c>
      <c r="M1914" s="22">
        <f>MAX(1,NETWORKDAYS(A1914,L1914,Table2[Dias no laborales]))</f>
        <v>1</v>
      </c>
    </row>
    <row r="1915" spans="1:13" x14ac:dyDescent="0.3">
      <c r="A1915" s="11">
        <v>46121</v>
      </c>
      <c r="B1915" s="20" t="s">
        <v>3867</v>
      </c>
      <c r="C1915" s="7" t="s">
        <v>3912</v>
      </c>
      <c r="D1915" s="7" t="s">
        <v>372</v>
      </c>
      <c r="E1915" s="18">
        <v>46120.709027777775</v>
      </c>
      <c r="F1915" s="11">
        <f>IF(HOUR(Table1[[#This Row],[CORREO]])&gt;=11,WORKDAY(Table1[[#This Row],[CORREO]],1,Table2[Dias no laborales]),E1915)</f>
        <v>46121</v>
      </c>
      <c r="G1915" s="11">
        <v>46126</v>
      </c>
      <c r="H1915" s="7">
        <f t="shared" si="91"/>
        <v>15</v>
      </c>
      <c r="I1915" s="7">
        <f>MAX(1, NETWORKDAYS(A1915, G1915,Table2[Dias no laborales]))</f>
        <v>4</v>
      </c>
      <c r="J1915" s="7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7" t="str">
        <f t="shared" si="92"/>
        <v>A tiempo</v>
      </c>
      <c r="L1915" s="11">
        <v>46121</v>
      </c>
      <c r="M1915" s="22">
        <f>MAX(1,NETWORKDAYS(A1915,L1915,Table2[Dias no laborales]))</f>
        <v>1</v>
      </c>
    </row>
    <row r="1916" spans="1:13" x14ac:dyDescent="0.3">
      <c r="A1916" s="11">
        <v>46121</v>
      </c>
      <c r="B1916" s="20" t="s">
        <v>3868</v>
      </c>
      <c r="C1916" s="7" t="s">
        <v>1262</v>
      </c>
      <c r="D1916" s="7" t="s">
        <v>623</v>
      </c>
      <c r="E1916" s="18">
        <v>46120.913194444445</v>
      </c>
      <c r="F1916" s="11">
        <f>IF(HOUR(Table1[[#This Row],[CORREO]])&gt;=11,WORKDAY(Table1[[#This Row],[CORREO]],1,Table2[Dias no laborales]),E1916)</f>
        <v>46121</v>
      </c>
      <c r="G1916" s="11">
        <v>46121</v>
      </c>
      <c r="H1916" s="7">
        <f t="shared" si="91"/>
        <v>15</v>
      </c>
      <c r="I1916" s="7">
        <f>MAX(1, NETWORKDAYS(A1916, G1916,Table2[Dias no laborales]))</f>
        <v>1</v>
      </c>
      <c r="J1916" s="7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7" t="str">
        <f t="shared" si="92"/>
        <v>A tiempo</v>
      </c>
      <c r="L1916" s="11">
        <v>46121</v>
      </c>
      <c r="M1916" s="22">
        <f>MAX(1,NETWORKDAYS(A1916,L1916,Table2[Dias no laborales]))</f>
        <v>1</v>
      </c>
    </row>
    <row r="1917" spans="1:13" x14ac:dyDescent="0.3">
      <c r="A1917" s="11">
        <v>46121</v>
      </c>
      <c r="B1917" s="20" t="s">
        <v>3869</v>
      </c>
      <c r="C1917" s="7" t="s">
        <v>3821</v>
      </c>
      <c r="D1917" s="7" t="s">
        <v>3822</v>
      </c>
      <c r="E1917" s="18">
        <v>46121.338888888888</v>
      </c>
      <c r="F1917" s="11">
        <f>IF(HOUR(Table1[[#This Row],[CORREO]])&gt;=11,WORKDAY(Table1[[#This Row],[CORREO]],1,Table2[Dias no laborales]),E1917)</f>
        <v>46121.338888888888</v>
      </c>
      <c r="G1917" s="11">
        <v>46121</v>
      </c>
      <c r="H1917" s="7">
        <f t="shared" si="91"/>
        <v>15</v>
      </c>
      <c r="I1917" s="7">
        <f>MAX(1, NETWORKDAYS(A1917, G1917,Table2[Dias no laborales]))</f>
        <v>1</v>
      </c>
      <c r="J1917" s="7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7" t="str">
        <f t="shared" si="92"/>
        <v>A tiempo</v>
      </c>
      <c r="L1917" s="11">
        <v>46121</v>
      </c>
      <c r="M1917" s="22">
        <f>MAX(1,NETWORKDAYS(A1917,L1917,Table2[Dias no laborales]))</f>
        <v>1</v>
      </c>
    </row>
    <row r="1918" spans="1:13" x14ac:dyDescent="0.3">
      <c r="A1918" s="11">
        <v>46121</v>
      </c>
      <c r="B1918" s="20" t="s">
        <v>3870</v>
      </c>
      <c r="C1918" s="7" t="s">
        <v>3913</v>
      </c>
      <c r="D1918" s="7" t="s">
        <v>538</v>
      </c>
      <c r="E1918" s="18">
        <v>46121.417361111111</v>
      </c>
      <c r="F1918" s="11">
        <f>IF(HOUR(Table1[[#This Row],[CORREO]])&gt;=11,WORKDAY(Table1[[#This Row],[CORREO]],1,Table2[Dias no laborales]),E1918)</f>
        <v>46121.417361111111</v>
      </c>
      <c r="G1918" s="11">
        <v>46139</v>
      </c>
      <c r="H1918" s="7">
        <f t="shared" si="91"/>
        <v>15</v>
      </c>
      <c r="I1918" s="7">
        <f>MAX(1, NETWORKDAYS(A1918, G1918,Table2[Dias no laborales]))</f>
        <v>13</v>
      </c>
      <c r="J1918" s="7" t="str">
        <f>IF(Table1[[#This Row],[FIN]]="","Acumulado",IF(ISNUMBER(SEARCH("ASAP",C1918)),"ASAP",IF(NETWORKDAYS.INTL(F1918,G1918,1,Table2[Dias no laborales]) &lt;= 7, "Dentro", IF(A1918&gt;F1918,"Programado","Fuera"))))</f>
        <v>Fuera</v>
      </c>
      <c r="K1918" s="7" t="str">
        <f t="shared" si="92"/>
        <v>A tiempo</v>
      </c>
      <c r="L1918" s="11">
        <v>46121</v>
      </c>
      <c r="M1918" s="22">
        <f>MAX(1,NETWORKDAYS(A1918,L1918,Table2[Dias no laborales]))</f>
        <v>1</v>
      </c>
    </row>
    <row r="1919" spans="1:13" x14ac:dyDescent="0.3">
      <c r="A1919" s="11">
        <v>46121</v>
      </c>
      <c r="B1919" s="20" t="s">
        <v>3871</v>
      </c>
      <c r="C1919" s="7" t="s">
        <v>3914</v>
      </c>
      <c r="D1919" s="7" t="s">
        <v>1333</v>
      </c>
      <c r="E1919" s="18">
        <v>46121.566666666666</v>
      </c>
      <c r="F1919" s="11">
        <f>IF(HOUR(Table1[[#This Row],[CORREO]])&gt;=11,WORKDAY(Table1[[#This Row],[CORREO]],1,Table2[Dias no laborales]),E1919)</f>
        <v>46122</v>
      </c>
      <c r="G1919" s="11">
        <v>46125</v>
      </c>
      <c r="H1919" s="7">
        <f t="shared" si="91"/>
        <v>15</v>
      </c>
      <c r="I1919" s="7">
        <f>MAX(1, NETWORKDAYS(A1919, G1919,Table2[Dias no laborales]))</f>
        <v>3</v>
      </c>
      <c r="J1919" s="7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7" t="str">
        <f t="shared" si="92"/>
        <v>Mismo día</v>
      </c>
      <c r="L1919" s="11">
        <v>46121</v>
      </c>
      <c r="M1919" s="22">
        <f>MAX(1,NETWORKDAYS(A1919,L1919,Table2[Dias no laborales]))</f>
        <v>1</v>
      </c>
    </row>
    <row r="1920" spans="1:13" x14ac:dyDescent="0.3">
      <c r="A1920" s="11">
        <v>46122</v>
      </c>
      <c r="B1920" s="20" t="s">
        <v>3872</v>
      </c>
      <c r="C1920" s="7" t="s">
        <v>3915</v>
      </c>
      <c r="D1920" s="7" t="s">
        <v>913</v>
      </c>
      <c r="E1920" s="18">
        <v>46121.57916666667</v>
      </c>
      <c r="F1920" s="11">
        <f>IF(HOUR(Table1[[#This Row],[CORREO]])&gt;=11,WORKDAY(Table1[[#This Row],[CORREO]],1,Table2[Dias no laborales]),E1920)</f>
        <v>46122</v>
      </c>
      <c r="G1920" s="11">
        <v>46126</v>
      </c>
      <c r="H1920" s="7">
        <f t="shared" si="91"/>
        <v>15</v>
      </c>
      <c r="I1920" s="7">
        <f>MAX(1, NETWORKDAYS(A1920, G1920,Table2[Dias no laborales]))</f>
        <v>3</v>
      </c>
      <c r="J1920" s="7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7" t="str">
        <f t="shared" si="92"/>
        <v>A tiempo</v>
      </c>
      <c r="L1920" s="11">
        <v>46122</v>
      </c>
      <c r="M1920" s="22">
        <f>MAX(1,NETWORKDAYS(A1920,L1920,Table2[Dias no laborales]))</f>
        <v>1</v>
      </c>
    </row>
    <row r="1921" spans="1:13" x14ac:dyDescent="0.3">
      <c r="A1921" s="11">
        <v>46122</v>
      </c>
      <c r="B1921" s="20" t="s">
        <v>3873</v>
      </c>
      <c r="C1921" s="7" t="s">
        <v>3916</v>
      </c>
      <c r="D1921" s="7" t="s">
        <v>3020</v>
      </c>
      <c r="E1921" s="18">
        <v>46122.331944444442</v>
      </c>
      <c r="F1921" s="11">
        <f>IF(HOUR(Table1[[#This Row],[CORREO]])&gt;=11,WORKDAY(Table1[[#This Row],[CORREO]],1,Table2[Dias no laborales]),E1921)</f>
        <v>46122.331944444442</v>
      </c>
      <c r="G1921" s="11">
        <v>46122</v>
      </c>
      <c r="H1921" s="7">
        <f t="shared" si="91"/>
        <v>15</v>
      </c>
      <c r="I1921" s="7">
        <f>MAX(1, NETWORKDAYS(A1921, G1921,Table2[Dias no laborales]))</f>
        <v>1</v>
      </c>
      <c r="J1921" s="7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7" t="str">
        <f t="shared" si="92"/>
        <v>A tiempo</v>
      </c>
      <c r="L1921" s="11">
        <v>46122</v>
      </c>
      <c r="M1921" s="22">
        <f>MAX(1,NETWORKDAYS(A1921,L1921,Table2[Dias no laborales]))</f>
        <v>1</v>
      </c>
    </row>
    <row r="1922" spans="1:13" x14ac:dyDescent="0.3">
      <c r="A1922" s="11">
        <v>46122</v>
      </c>
      <c r="B1922" s="20" t="s">
        <v>3874</v>
      </c>
      <c r="C1922" s="7" t="s">
        <v>3284</v>
      </c>
      <c r="D1922" s="7" t="s">
        <v>27</v>
      </c>
      <c r="E1922" s="18"/>
      <c r="F1922" s="11">
        <f>IF(HOUR(Table1[[#This Row],[CORREO]])&gt;=11,WORKDAY(Table1[[#This Row],[CORREO]],1,Table2[Dias no laborales]),E1922)</f>
        <v>0</v>
      </c>
      <c r="G1922" s="11">
        <v>46134</v>
      </c>
      <c r="H1922" s="7">
        <f t="shared" si="91"/>
        <v>15</v>
      </c>
      <c r="I1922" s="7">
        <f>MAX(1, NETWORKDAYS(A1922, G1922,Table2[Dias no laborales]))</f>
        <v>9</v>
      </c>
      <c r="J1922" s="7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7" t="str">
        <f t="shared" si="92"/>
        <v>Programados</v>
      </c>
      <c r="L1922" s="11">
        <v>46122</v>
      </c>
      <c r="M1922" s="22">
        <f>MAX(1,NETWORKDAYS(A1922,L1922,Table2[Dias no laborales]))</f>
        <v>1</v>
      </c>
    </row>
    <row r="1923" spans="1:13" x14ac:dyDescent="0.3">
      <c r="A1923" s="11">
        <v>46122</v>
      </c>
      <c r="B1923" s="20" t="s">
        <v>3875</v>
      </c>
      <c r="C1923" s="7" t="s">
        <v>170</v>
      </c>
      <c r="D1923" s="7" t="s">
        <v>171</v>
      </c>
      <c r="E1923" s="18">
        <v>46122.380555555559</v>
      </c>
      <c r="F1923" s="11">
        <f>IF(HOUR(Table1[[#This Row],[CORREO]])&gt;=11,WORKDAY(Table1[[#This Row],[CORREO]],1,Table2[Dias no laborales]),E1923)</f>
        <v>46122.380555555559</v>
      </c>
      <c r="G1923" s="11">
        <v>46122</v>
      </c>
      <c r="H1923" s="7">
        <f t="shared" si="91"/>
        <v>15</v>
      </c>
      <c r="I1923" s="7">
        <f>MAX(1, NETWORKDAYS(A1923, G1923,Table2[Dias no laborales]))</f>
        <v>1</v>
      </c>
      <c r="J1923" s="7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7" t="str">
        <f t="shared" si="92"/>
        <v>A tiempo</v>
      </c>
      <c r="L1923" s="11">
        <v>46122</v>
      </c>
      <c r="M1923" s="22">
        <f>MAX(1,NETWORKDAYS(A1923,L1923,Table2[Dias no laborales]))</f>
        <v>1</v>
      </c>
    </row>
    <row r="1924" spans="1:13" x14ac:dyDescent="0.3">
      <c r="A1924" s="11">
        <v>46122</v>
      </c>
      <c r="B1924" s="20" t="s">
        <v>3876</v>
      </c>
      <c r="C1924" s="7" t="s">
        <v>3917</v>
      </c>
      <c r="D1924" s="7" t="s">
        <v>623</v>
      </c>
      <c r="E1924" s="18">
        <v>46122.386111111111</v>
      </c>
      <c r="F1924" s="11">
        <f>IF(HOUR(Table1[[#This Row],[CORREO]])&gt;=11,WORKDAY(Table1[[#This Row],[CORREO]],1,Table2[Dias no laborales]),E1924)</f>
        <v>46122.386111111111</v>
      </c>
      <c r="G1924" s="11">
        <v>46125</v>
      </c>
      <c r="H1924" s="7">
        <f t="shared" si="91"/>
        <v>15</v>
      </c>
      <c r="I1924" s="7">
        <f>MAX(1, NETWORKDAYS(A1924, G1924,Table2[Dias no laborales]))</f>
        <v>2</v>
      </c>
      <c r="J1924" s="7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7" t="str">
        <f t="shared" si="92"/>
        <v>A tiempo</v>
      </c>
      <c r="L1924" s="11">
        <v>46122</v>
      </c>
      <c r="M1924" s="22">
        <f>MAX(1,NETWORKDAYS(A1924,L1924,Table2[Dias no laborales]))</f>
        <v>1</v>
      </c>
    </row>
    <row r="1925" spans="1:13" x14ac:dyDescent="0.3">
      <c r="A1925" s="11">
        <v>46122</v>
      </c>
      <c r="B1925" s="20" t="s">
        <v>3877</v>
      </c>
      <c r="C1925" s="7" t="s">
        <v>3918</v>
      </c>
      <c r="D1925" s="7" t="s">
        <v>1333</v>
      </c>
      <c r="E1925" s="18">
        <v>46122</v>
      </c>
      <c r="F1925" s="11">
        <f>IF(HOUR(Table1[[#This Row],[CORREO]])&gt;=11,WORKDAY(Table1[[#This Row],[CORREO]],1,Table2[Dias no laborales]),E1925)</f>
        <v>46122</v>
      </c>
      <c r="G1925" s="11">
        <v>46122</v>
      </c>
      <c r="H1925" s="7">
        <f t="shared" si="91"/>
        <v>15</v>
      </c>
      <c r="I1925" s="7">
        <f>MAX(1, NETWORKDAYS(A1925, G1925,Table2[Dias no laborales]))</f>
        <v>1</v>
      </c>
      <c r="J1925" s="7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7" t="str">
        <f t="shared" si="92"/>
        <v>A tiempo</v>
      </c>
      <c r="L1925" s="11">
        <v>46122</v>
      </c>
      <c r="M1925" s="22">
        <f>MAX(1,NETWORKDAYS(A1925,L1925,Table2[Dias no laborales]))</f>
        <v>1</v>
      </c>
    </row>
    <row r="1926" spans="1:13" x14ac:dyDescent="0.3">
      <c r="A1926" s="11">
        <v>46125</v>
      </c>
      <c r="B1926" s="20" t="s">
        <v>3878</v>
      </c>
      <c r="C1926" s="7" t="s">
        <v>3919</v>
      </c>
      <c r="D1926" s="7" t="s">
        <v>24</v>
      </c>
      <c r="E1926" s="18"/>
      <c r="F1926" s="11">
        <f>IF(HOUR(Table1[[#This Row],[CORREO]])&gt;=11,WORKDAY(Table1[[#This Row],[CORREO]],1,Table2[Dias no laborales]),E1926)</f>
        <v>0</v>
      </c>
      <c r="G1926" s="11">
        <v>46129</v>
      </c>
      <c r="H1926" s="7">
        <f t="shared" si="91"/>
        <v>15</v>
      </c>
      <c r="I1926" s="7">
        <f>MAX(1, NETWORKDAYS(A1926, G1926,Table2[Dias no laborales]))</f>
        <v>5</v>
      </c>
      <c r="J1926" s="7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7" t="str">
        <f t="shared" si="92"/>
        <v>Programados</v>
      </c>
      <c r="L1926" s="11">
        <v>46125</v>
      </c>
      <c r="M1926" s="22">
        <f>MAX(1,NETWORKDAYS(A1926,L1926,Table2[Dias no laborales]))</f>
        <v>1</v>
      </c>
    </row>
    <row r="1927" spans="1:13" x14ac:dyDescent="0.3">
      <c r="A1927" s="11">
        <v>46125</v>
      </c>
      <c r="B1927" s="20" t="s">
        <v>3879</v>
      </c>
      <c r="C1927" s="7" t="s">
        <v>3920</v>
      </c>
      <c r="D1927" s="7" t="s">
        <v>1644</v>
      </c>
      <c r="E1927" s="18">
        <v>46122.504861111112</v>
      </c>
      <c r="F1927" s="11">
        <f>IF(HOUR(Table1[[#This Row],[CORREO]])&gt;=11,WORKDAY(Table1[[#This Row],[CORREO]],1,Table2[Dias no laborales]),E1927)</f>
        <v>46125</v>
      </c>
      <c r="G1927" s="11">
        <v>46126</v>
      </c>
      <c r="H1927" s="7">
        <f t="shared" si="91"/>
        <v>15</v>
      </c>
      <c r="I1927" s="7">
        <f>MAX(1, NETWORKDAYS(A1927, G1927,Table2[Dias no laborales]))</f>
        <v>2</v>
      </c>
      <c r="J1927" s="7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7" t="str">
        <f t="shared" si="92"/>
        <v>A tiempo</v>
      </c>
      <c r="L1927" s="11">
        <v>46125</v>
      </c>
      <c r="M1927" s="22">
        <f>MAX(1,NETWORKDAYS(A1927,L1927,Table2[Dias no laborales]))</f>
        <v>1</v>
      </c>
    </row>
    <row r="1928" spans="1:13" x14ac:dyDescent="0.3">
      <c r="A1928" s="11">
        <v>46125</v>
      </c>
      <c r="B1928" s="20" t="s">
        <v>3880</v>
      </c>
      <c r="C1928" s="7" t="s">
        <v>3921</v>
      </c>
      <c r="D1928" s="7" t="s">
        <v>171</v>
      </c>
      <c r="E1928" s="18">
        <v>46122.539583333331</v>
      </c>
      <c r="F1928" s="11">
        <f>IF(HOUR(Table1[[#This Row],[CORREO]])&gt;=11,WORKDAY(Table1[[#This Row],[CORREO]],1,Table2[Dias no laborales]),E1928)</f>
        <v>46125</v>
      </c>
      <c r="G1928" s="11">
        <v>46125</v>
      </c>
      <c r="H1928" s="7">
        <f t="shared" si="91"/>
        <v>15</v>
      </c>
      <c r="I1928" s="7">
        <f>MAX(1, NETWORKDAYS(A1928, G1928,Table2[Dias no laborales]))</f>
        <v>1</v>
      </c>
      <c r="J1928" s="7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7" t="str">
        <f t="shared" si="92"/>
        <v>A tiempo</v>
      </c>
      <c r="L1928" s="11">
        <v>46125</v>
      </c>
      <c r="M1928" s="22">
        <f>MAX(1,NETWORKDAYS(A1928,L1928,Table2[Dias no laborales]))</f>
        <v>1</v>
      </c>
    </row>
    <row r="1929" spans="1:13" x14ac:dyDescent="0.3">
      <c r="A1929" s="11">
        <v>46125</v>
      </c>
      <c r="B1929" s="20" t="s">
        <v>3881</v>
      </c>
      <c r="C1929" s="7" t="s">
        <v>3922</v>
      </c>
      <c r="D1929" s="18" t="s">
        <v>2981</v>
      </c>
      <c r="E1929" s="18">
        <v>46122.654166666667</v>
      </c>
      <c r="F1929" s="11">
        <f>IF(HOUR(Table1[[#This Row],[CORREO]])&gt;=11,WORKDAY(Table1[[#This Row],[CORREO]],1,Table2[Dias no laborales]),E1929)</f>
        <v>46125</v>
      </c>
      <c r="G1929" s="11">
        <v>46125</v>
      </c>
      <c r="H1929" s="7">
        <f t="shared" si="91"/>
        <v>15</v>
      </c>
      <c r="I1929" s="7">
        <f>MAX(1, NETWORKDAYS(A1929, G1929,Table2[Dias no laborales]))</f>
        <v>1</v>
      </c>
      <c r="J1929" s="7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7" t="str">
        <f t="shared" si="92"/>
        <v>A tiempo</v>
      </c>
      <c r="L1929" s="11">
        <v>46125</v>
      </c>
      <c r="M1929" s="22">
        <f>MAX(1,NETWORKDAYS(A1929,L1929,Table2[Dias no laborales]))</f>
        <v>1</v>
      </c>
    </row>
    <row r="1930" spans="1:13" x14ac:dyDescent="0.3">
      <c r="A1930" s="11">
        <v>46125</v>
      </c>
      <c r="B1930" s="20" t="s">
        <v>3882</v>
      </c>
      <c r="C1930" s="7" t="s">
        <v>3923</v>
      </c>
      <c r="D1930" s="7" t="s">
        <v>3794</v>
      </c>
      <c r="E1930" s="18">
        <v>46125.318749999999</v>
      </c>
      <c r="F1930" s="11">
        <f>IF(HOUR(Table1[[#This Row],[CORREO]])&gt;=11,WORKDAY(Table1[[#This Row],[CORREO]],1,Table2[Dias no laborales]),E1930)</f>
        <v>46125.318749999999</v>
      </c>
      <c r="G1930" s="11">
        <v>46125</v>
      </c>
      <c r="H1930" s="7">
        <f t="shared" si="91"/>
        <v>15</v>
      </c>
      <c r="I1930" s="7">
        <f>MAX(1, NETWORKDAYS(A1930, G1930,Table2[Dias no laborales]))</f>
        <v>1</v>
      </c>
      <c r="J1930" s="7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7" t="str">
        <f t="shared" si="92"/>
        <v>A tiempo</v>
      </c>
      <c r="L1930" s="11">
        <v>46125</v>
      </c>
      <c r="M1930" s="22">
        <f>MAX(1,NETWORKDAYS(A1930,L1930,Table2[Dias no laborales]))</f>
        <v>1</v>
      </c>
    </row>
    <row r="1931" spans="1:13" x14ac:dyDescent="0.3">
      <c r="A1931" s="11">
        <v>46125</v>
      </c>
      <c r="B1931" s="20" t="s">
        <v>3883</v>
      </c>
      <c r="C1931" s="7" t="s">
        <v>3924</v>
      </c>
      <c r="D1931" s="7" t="s">
        <v>24</v>
      </c>
      <c r="E1931" s="18">
        <v>46125.32708333333</v>
      </c>
      <c r="F1931" s="11">
        <f>IF(HOUR(Table1[[#This Row],[CORREO]])&gt;=11,WORKDAY(Table1[[#This Row],[CORREO]],1,Table2[Dias no laborales]),E1931)</f>
        <v>46125.32708333333</v>
      </c>
      <c r="G1931" s="11">
        <v>46129</v>
      </c>
      <c r="H1931" s="7">
        <f t="shared" si="91"/>
        <v>15</v>
      </c>
      <c r="I1931" s="7">
        <f>MAX(1, NETWORKDAYS(A1931, G1931,Table2[Dias no laborales]))</f>
        <v>5</v>
      </c>
      <c r="J1931" s="7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7" t="str">
        <f t="shared" si="92"/>
        <v>A tiempo</v>
      </c>
      <c r="L1931" s="11">
        <v>46125</v>
      </c>
      <c r="M1931" s="22">
        <f>MAX(1,NETWORKDAYS(A1931,L1931,Table2[Dias no laborales]))</f>
        <v>1</v>
      </c>
    </row>
    <row r="1932" spans="1:13" x14ac:dyDescent="0.3">
      <c r="A1932" s="11">
        <v>46125</v>
      </c>
      <c r="B1932" s="20" t="s">
        <v>3884</v>
      </c>
      <c r="C1932" s="7" t="s">
        <v>3910</v>
      </c>
      <c r="D1932" s="7" t="s">
        <v>61</v>
      </c>
      <c r="E1932" s="18">
        <v>46125.331944444442</v>
      </c>
      <c r="F1932" s="11">
        <f>IF(HOUR(Table1[[#This Row],[CORREO]])&gt;=11,WORKDAY(Table1[[#This Row],[CORREO]],1,Table2[Dias no laborales]),E1932)</f>
        <v>46125.331944444442</v>
      </c>
      <c r="G1932" s="11">
        <v>46125</v>
      </c>
      <c r="H1932" s="7">
        <f t="shared" si="91"/>
        <v>15</v>
      </c>
      <c r="I1932" s="7">
        <f>MAX(1, NETWORKDAYS(A1932, G1932,Table2[Dias no laborales]))</f>
        <v>1</v>
      </c>
      <c r="J1932" s="7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7" t="str">
        <f t="shared" si="92"/>
        <v>A tiempo</v>
      </c>
      <c r="L1932" s="11">
        <v>46125</v>
      </c>
      <c r="M1932" s="22">
        <f>MAX(1,NETWORKDAYS(A1932,L1932,Table2[Dias no laborales]))</f>
        <v>1</v>
      </c>
    </row>
    <row r="1933" spans="1:13" x14ac:dyDescent="0.3">
      <c r="A1933" s="11">
        <v>46125</v>
      </c>
      <c r="B1933" s="20" t="s">
        <v>3885</v>
      </c>
      <c r="C1933" s="7" t="s">
        <v>3735</v>
      </c>
      <c r="D1933" s="7" t="s">
        <v>3706</v>
      </c>
      <c r="E1933" s="18">
        <v>46125.35833333333</v>
      </c>
      <c r="F1933" s="11">
        <f>IF(HOUR(Table1[[#This Row],[CORREO]])&gt;=11,WORKDAY(Table1[[#This Row],[CORREO]],1,Table2[Dias no laborales]),E1933)</f>
        <v>46125.35833333333</v>
      </c>
      <c r="G1933" s="11">
        <v>46126</v>
      </c>
      <c r="H1933" s="7">
        <f t="shared" si="91"/>
        <v>15</v>
      </c>
      <c r="I1933" s="7">
        <f>MAX(1, NETWORKDAYS(A1933, G1933,Table2[Dias no laborales]))</f>
        <v>2</v>
      </c>
      <c r="J1933" s="7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7" t="str">
        <f t="shared" si="92"/>
        <v>A tiempo</v>
      </c>
      <c r="L1933" s="11">
        <v>46125</v>
      </c>
      <c r="M1933" s="22">
        <f>MAX(1,NETWORKDAYS(A1933,L1933,Table2[Dias no laborales]))</f>
        <v>1</v>
      </c>
    </row>
    <row r="1934" spans="1:13" x14ac:dyDescent="0.3">
      <c r="A1934" s="11">
        <v>46125</v>
      </c>
      <c r="B1934" s="20" t="s">
        <v>3886</v>
      </c>
      <c r="C1934" s="7" t="s">
        <v>3925</v>
      </c>
      <c r="D1934" s="7" t="s">
        <v>3926</v>
      </c>
      <c r="E1934" s="18"/>
      <c r="F1934" s="11">
        <f>IF(HOUR(Table1[[#This Row],[CORREO]])&gt;=11,WORKDAY(Table1[[#This Row],[CORREO]],1,Table2[Dias no laborales]),E1934)</f>
        <v>0</v>
      </c>
      <c r="G1934" s="11">
        <v>46129</v>
      </c>
      <c r="H1934" s="7">
        <f t="shared" si="91"/>
        <v>15</v>
      </c>
      <c r="I1934" s="7">
        <f>MAX(1, NETWORKDAYS(A1934, G1934,Table2[Dias no laborales]))</f>
        <v>5</v>
      </c>
      <c r="J1934" s="7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7" t="str">
        <f t="shared" si="92"/>
        <v>Programados</v>
      </c>
      <c r="L1934" s="11">
        <v>46125</v>
      </c>
      <c r="M1934" s="22">
        <f>MAX(1,NETWORKDAYS(A1934,L1934,Table2[Dias no laborales]))</f>
        <v>1</v>
      </c>
    </row>
    <row r="1935" spans="1:13" x14ac:dyDescent="0.3">
      <c r="A1935" s="11">
        <v>46126</v>
      </c>
      <c r="B1935" s="20" t="s">
        <v>3887</v>
      </c>
      <c r="C1935" s="7" t="s">
        <v>3927</v>
      </c>
      <c r="D1935" s="7" t="s">
        <v>2994</v>
      </c>
      <c r="E1935" s="18">
        <v>46125.585416666669</v>
      </c>
      <c r="F1935" s="11">
        <f>IF(HOUR(Table1[[#This Row],[CORREO]])&gt;=11,WORKDAY(Table1[[#This Row],[CORREO]],1,Table2[Dias no laborales]),E1935)</f>
        <v>46126</v>
      </c>
      <c r="G1935" s="11">
        <v>46129</v>
      </c>
      <c r="H1935" s="7">
        <f t="shared" si="91"/>
        <v>15</v>
      </c>
      <c r="I1935" s="7">
        <f>MAX(1, NETWORKDAYS(A1935, G1935,Table2[Dias no laborales]))</f>
        <v>4</v>
      </c>
      <c r="J1935" s="7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7" t="str">
        <f t="shared" si="92"/>
        <v>A tiempo</v>
      </c>
      <c r="L1935" s="11">
        <v>46125</v>
      </c>
      <c r="M1935" s="22">
        <f>MAX(1,NETWORKDAYS(A1935,L1935,Table2[Dias no laborales]))</f>
        <v>1</v>
      </c>
    </row>
    <row r="1936" spans="1:13" x14ac:dyDescent="0.3">
      <c r="A1936" s="11">
        <v>46125</v>
      </c>
      <c r="B1936" s="20" t="s">
        <v>3888</v>
      </c>
      <c r="C1936" s="7" t="s">
        <v>3928</v>
      </c>
      <c r="D1936" s="7" t="s">
        <v>2994</v>
      </c>
      <c r="E1936" s="18">
        <v>46125.604861111111</v>
      </c>
      <c r="F1936" s="11">
        <f>IF(HOUR(Table1[[#This Row],[CORREO]])&gt;=11,WORKDAY(Table1[[#This Row],[CORREO]],1,Table2[Dias no laborales]),E1936)</f>
        <v>46126</v>
      </c>
      <c r="G1936" s="11">
        <v>46129</v>
      </c>
      <c r="H1936" s="7">
        <f t="shared" si="91"/>
        <v>15</v>
      </c>
      <c r="I1936" s="7">
        <f>MAX(1, NETWORKDAYS(A1936, G1936,Table2[Dias no laborales]))</f>
        <v>5</v>
      </c>
      <c r="J1936" s="7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7" t="str">
        <f t="shared" si="92"/>
        <v>Mismo día</v>
      </c>
      <c r="L1936" s="11">
        <v>46125</v>
      </c>
      <c r="M1936" s="22">
        <f>MAX(1,NETWORKDAYS(A1936,L1936,Table2[Dias no laborales]))</f>
        <v>1</v>
      </c>
    </row>
    <row r="1937" spans="1:13" x14ac:dyDescent="0.3">
      <c r="A1937" s="11">
        <v>46125</v>
      </c>
      <c r="B1937" s="20" t="s">
        <v>3889</v>
      </c>
      <c r="C1937" s="7" t="s">
        <v>3929</v>
      </c>
      <c r="D1937" s="7" t="s">
        <v>2994</v>
      </c>
      <c r="E1937" s="18">
        <v>46125.627083333333</v>
      </c>
      <c r="F1937" s="11">
        <f>IF(HOUR(Table1[[#This Row],[CORREO]])&gt;=11,WORKDAY(Table1[[#This Row],[CORREO]],1,Table2[Dias no laborales]),E1937)</f>
        <v>46126</v>
      </c>
      <c r="G1937" s="11">
        <v>46133</v>
      </c>
      <c r="H1937" s="7">
        <f t="shared" si="91"/>
        <v>15</v>
      </c>
      <c r="I1937" s="7">
        <f>MAX(1, NETWORKDAYS(A1937, G1937,Table2[Dias no laborales]))</f>
        <v>7</v>
      </c>
      <c r="J1937" s="7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7" t="str">
        <f t="shared" si="92"/>
        <v>Mismo día</v>
      </c>
      <c r="L1937" s="11">
        <v>46125</v>
      </c>
      <c r="M1937" s="22">
        <f>MAX(1,NETWORKDAYS(A1937,L1937,Table2[Dias no laborales]))</f>
        <v>1</v>
      </c>
    </row>
    <row r="1938" spans="1:13" x14ac:dyDescent="0.3">
      <c r="A1938" s="11">
        <v>46125</v>
      </c>
      <c r="B1938" s="20" t="s">
        <v>3890</v>
      </c>
      <c r="C1938" s="7" t="s">
        <v>3930</v>
      </c>
      <c r="D1938" s="7" t="s">
        <v>56</v>
      </c>
      <c r="E1938" s="18">
        <v>46125.704861111109</v>
      </c>
      <c r="F1938" s="11">
        <f>IF(HOUR(Table1[[#This Row],[CORREO]])&gt;=11,WORKDAY(Table1[[#This Row],[CORREO]],1,Table2[Dias no laborales]),E1938)</f>
        <v>46126</v>
      </c>
      <c r="G1938" s="11">
        <v>46129</v>
      </c>
      <c r="H1938" s="7">
        <f t="shared" si="91"/>
        <v>15</v>
      </c>
      <c r="I1938" s="7">
        <f>MAX(1, NETWORKDAYS(A1938, G1938,Table2[Dias no laborales]))</f>
        <v>5</v>
      </c>
      <c r="J1938" s="7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7" t="str">
        <f t="shared" si="92"/>
        <v>Mismo día</v>
      </c>
      <c r="L1938" s="11">
        <v>46125</v>
      </c>
      <c r="M1938" s="22">
        <f>MAX(1,NETWORKDAYS(A1938,L1938,Table2[Dias no laborales]))</f>
        <v>1</v>
      </c>
    </row>
    <row r="1939" spans="1:13" x14ac:dyDescent="0.3">
      <c r="A1939" s="11">
        <v>46126</v>
      </c>
      <c r="B1939" s="20" t="s">
        <v>3891</v>
      </c>
      <c r="C1939" s="7" t="s">
        <v>3931</v>
      </c>
      <c r="D1939" s="7" t="s">
        <v>2981</v>
      </c>
      <c r="E1939" s="18">
        <v>46125.574999999997</v>
      </c>
      <c r="F1939" s="11">
        <f>IF(HOUR(Table1[[#This Row],[CORREO]])&gt;=11,WORKDAY(Table1[[#This Row],[CORREO]],1,Table2[Dias no laborales]),E1939)</f>
        <v>46126</v>
      </c>
      <c r="G1939" s="11">
        <v>46127</v>
      </c>
      <c r="H1939" s="7">
        <f t="shared" si="91"/>
        <v>15</v>
      </c>
      <c r="I1939" s="7">
        <f>MAX(1, NETWORKDAYS(A1939, G1939,Table2[Dias no laborales]))</f>
        <v>2</v>
      </c>
      <c r="J1939" s="7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7" t="str">
        <f t="shared" si="92"/>
        <v>A tiempo</v>
      </c>
      <c r="L1939" s="11">
        <v>46126</v>
      </c>
      <c r="M1939" s="22">
        <f>MAX(1,NETWORKDAYS(A1939,L1939,Table2[Dias no laborales]))</f>
        <v>1</v>
      </c>
    </row>
    <row r="1940" spans="1:13" x14ac:dyDescent="0.3">
      <c r="A1940" s="11">
        <v>46126</v>
      </c>
      <c r="B1940" s="20" t="s">
        <v>3892</v>
      </c>
      <c r="C1940" s="7" t="s">
        <v>3932</v>
      </c>
      <c r="D1940" s="7" t="s">
        <v>24</v>
      </c>
      <c r="E1940" s="18">
        <v>46126.339583333334</v>
      </c>
      <c r="F1940" s="11">
        <f>IF(HOUR(Table1[[#This Row],[CORREO]])&gt;=11,WORKDAY(Table1[[#This Row],[CORREO]],1,Table2[Dias no laborales]),E1940)</f>
        <v>46126.339583333334</v>
      </c>
      <c r="G1940" s="11">
        <v>46126</v>
      </c>
      <c r="H1940" s="7">
        <f t="shared" si="91"/>
        <v>15</v>
      </c>
      <c r="I1940" s="7">
        <f>MAX(1, NETWORKDAYS(A1940, G1940,Table2[Dias no laborales]))</f>
        <v>1</v>
      </c>
      <c r="J1940" s="7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7" t="str">
        <f t="shared" si="92"/>
        <v>A tiempo</v>
      </c>
      <c r="L1940" s="11">
        <v>46126</v>
      </c>
      <c r="M1940" s="22">
        <f>MAX(1,NETWORKDAYS(A1940,L1940,Table2[Dias no laborales]))</f>
        <v>1</v>
      </c>
    </row>
    <row r="1941" spans="1:13" x14ac:dyDescent="0.3">
      <c r="A1941" s="11">
        <v>46126</v>
      </c>
      <c r="B1941" s="20" t="s">
        <v>3893</v>
      </c>
      <c r="C1941" s="7" t="s">
        <v>3933</v>
      </c>
      <c r="D1941" s="7" t="s">
        <v>139</v>
      </c>
      <c r="E1941" s="18">
        <v>46126.395833333336</v>
      </c>
      <c r="F1941" s="11">
        <f>IF(HOUR(Table1[[#This Row],[CORREO]])&gt;=11,WORKDAY(Table1[[#This Row],[CORREO]],1,Table2[Dias no laborales]),E1941)</f>
        <v>46126.395833333336</v>
      </c>
      <c r="G1941" s="11">
        <v>46135</v>
      </c>
      <c r="H1941" s="7">
        <f t="shared" si="91"/>
        <v>15</v>
      </c>
      <c r="I1941" s="7">
        <f>MAX(1, NETWORKDAYS(A1941, G1941,Table2[Dias no laborales]))</f>
        <v>8</v>
      </c>
      <c r="J1941" s="7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7" t="str">
        <f t="shared" si="92"/>
        <v>A tiempo</v>
      </c>
      <c r="L1941" s="11">
        <v>46126</v>
      </c>
      <c r="M1941" s="22">
        <f>MAX(1,NETWORKDAYS(A1941,L1941,Table2[Dias no laborales]))</f>
        <v>1</v>
      </c>
    </row>
    <row r="1942" spans="1:13" x14ac:dyDescent="0.3">
      <c r="A1942" s="11">
        <v>46126</v>
      </c>
      <c r="B1942" s="20" t="s">
        <v>3894</v>
      </c>
      <c r="C1942" s="7" t="s">
        <v>3934</v>
      </c>
      <c r="D1942" s="7" t="s">
        <v>269</v>
      </c>
      <c r="E1942" s="18">
        <v>46126.538194444445</v>
      </c>
      <c r="F1942" s="11">
        <f>IF(HOUR(Table1[[#This Row],[CORREO]])&gt;=11,WORKDAY(Table1[[#This Row],[CORREO]],1,Table2[Dias no laborales]),E1942)</f>
        <v>46127</v>
      </c>
      <c r="G1942" s="11">
        <v>46129</v>
      </c>
      <c r="H1942" s="7">
        <f t="shared" si="91"/>
        <v>15</v>
      </c>
      <c r="I1942" s="7">
        <f>MAX(1, NETWORKDAYS(A1942, G1942,Table2[Dias no laborales]))</f>
        <v>4</v>
      </c>
      <c r="J1942" s="7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7" t="str">
        <f t="shared" si="92"/>
        <v>Mismo día</v>
      </c>
      <c r="L1942" s="11">
        <v>46126</v>
      </c>
      <c r="M1942" s="22">
        <f>MAX(1,NETWORKDAYS(A1942,L1942,Table2[Dias no laborales]))</f>
        <v>1</v>
      </c>
    </row>
    <row r="1943" spans="1:13" x14ac:dyDescent="0.3">
      <c r="A1943" s="11">
        <v>46126</v>
      </c>
      <c r="B1943" s="20" t="s">
        <v>3895</v>
      </c>
      <c r="C1943" s="7" t="s">
        <v>3935</v>
      </c>
      <c r="D1943" s="7" t="s">
        <v>27</v>
      </c>
      <c r="E1943" s="18">
        <v>46126.714583333334</v>
      </c>
      <c r="F1943" s="11">
        <f>IF(HOUR(Table1[[#This Row],[CORREO]])&gt;=11,WORKDAY(Table1[[#This Row],[CORREO]],1,Table2[Dias no laborales]),E1943)</f>
        <v>46127</v>
      </c>
      <c r="G1943" s="11">
        <v>46129</v>
      </c>
      <c r="H1943" s="7">
        <f t="shared" si="91"/>
        <v>15</v>
      </c>
      <c r="I1943" s="7">
        <f>MAX(1, NETWORKDAYS(A1943, G1943,Table2[Dias no laborales]))</f>
        <v>4</v>
      </c>
      <c r="J1943" s="7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7" t="str">
        <f t="shared" si="92"/>
        <v>Mismo día</v>
      </c>
      <c r="L1943" s="11">
        <v>46126</v>
      </c>
      <c r="M1943" s="22">
        <f>MAX(1,NETWORKDAYS(A1943,L1943,Table2[Dias no laborales]))</f>
        <v>1</v>
      </c>
    </row>
    <row r="1944" spans="1:13" x14ac:dyDescent="0.3">
      <c r="A1944" s="11">
        <v>46127</v>
      </c>
      <c r="B1944" s="20" t="s">
        <v>3896</v>
      </c>
      <c r="C1944" s="7" t="s">
        <v>3936</v>
      </c>
      <c r="D1944" s="7" t="s">
        <v>423</v>
      </c>
      <c r="E1944" s="18">
        <v>46127.329861111109</v>
      </c>
      <c r="F1944" s="11">
        <f>IF(HOUR(Table1[[#This Row],[CORREO]])&gt;=11,WORKDAY(Table1[[#This Row],[CORREO]],1,Table2[Dias no laborales]),E1944)</f>
        <v>46127.329861111109</v>
      </c>
      <c r="G1944" s="11">
        <v>46129</v>
      </c>
      <c r="H1944" s="7">
        <f t="shared" si="91"/>
        <v>15</v>
      </c>
      <c r="I1944" s="7">
        <f>MAX(1, NETWORKDAYS(A1944, G1944,Table2[Dias no laborales]))</f>
        <v>3</v>
      </c>
      <c r="J1944" s="7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7" t="str">
        <f t="shared" si="92"/>
        <v>A tiempo</v>
      </c>
      <c r="L1944" s="11">
        <v>46127</v>
      </c>
      <c r="M1944" s="22">
        <f>MAX(1,NETWORKDAYS(A1944,L1944,Table2[Dias no laborales]))</f>
        <v>1</v>
      </c>
    </row>
    <row r="1945" spans="1:13" x14ac:dyDescent="0.3">
      <c r="A1945" s="11">
        <v>46127</v>
      </c>
      <c r="B1945" s="20" t="s">
        <v>3897</v>
      </c>
      <c r="C1945" s="7" t="s">
        <v>3937</v>
      </c>
      <c r="D1945" s="7" t="s">
        <v>538</v>
      </c>
      <c r="E1945" s="18">
        <v>46127.336805555555</v>
      </c>
      <c r="F1945" s="11">
        <f>IF(HOUR(Table1[[#This Row],[CORREO]])&gt;=11,WORKDAY(Table1[[#This Row],[CORREO]],1,Table2[Dias no laborales]),E1945)</f>
        <v>46127.336805555555</v>
      </c>
      <c r="G1945" s="11">
        <v>46135</v>
      </c>
      <c r="H1945" s="7">
        <f t="shared" si="91"/>
        <v>15</v>
      </c>
      <c r="I1945" s="7">
        <f>MAX(1, NETWORKDAYS(A1945, G1945,Table2[Dias no laborales]))</f>
        <v>7</v>
      </c>
      <c r="J1945" s="7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7" t="str">
        <f t="shared" si="92"/>
        <v>A tiempo</v>
      </c>
      <c r="L1945" s="11">
        <v>46127</v>
      </c>
      <c r="M1945" s="22">
        <f>MAX(1,NETWORKDAYS(A1945,L1945,Table2[Dias no laborales]))</f>
        <v>1</v>
      </c>
    </row>
    <row r="1946" spans="1:13" x14ac:dyDescent="0.3">
      <c r="A1946" s="11">
        <v>46127</v>
      </c>
      <c r="B1946" s="20" t="s">
        <v>3898</v>
      </c>
      <c r="C1946" s="7" t="s">
        <v>3008</v>
      </c>
      <c r="D1946" s="7" t="s">
        <v>3812</v>
      </c>
      <c r="E1946" s="18">
        <v>46126.474305555559</v>
      </c>
      <c r="F1946" s="11">
        <f>IF(HOUR(Table1[[#This Row],[CORREO]])&gt;=11,WORKDAY(Table1[[#This Row],[CORREO]],1,Table2[Dias no laborales]),E1946)</f>
        <v>46127</v>
      </c>
      <c r="G1946" s="11">
        <v>46129</v>
      </c>
      <c r="H1946" s="7">
        <f t="shared" si="91"/>
        <v>15</v>
      </c>
      <c r="I1946" s="7">
        <f>MAX(1, NETWORKDAYS(A1946, G1946,Table2[Dias no laborales]))</f>
        <v>3</v>
      </c>
      <c r="J1946" s="7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7" t="str">
        <f t="shared" si="92"/>
        <v>A tiempo</v>
      </c>
      <c r="L1946" s="11">
        <v>46127</v>
      </c>
      <c r="M1946" s="22">
        <f>MAX(1,NETWORKDAYS(A1946,L1946,Table2[Dias no laborales]))</f>
        <v>1</v>
      </c>
    </row>
    <row r="1947" spans="1:13" x14ac:dyDescent="0.3">
      <c r="A1947" s="11">
        <v>46127</v>
      </c>
      <c r="B1947" s="20" t="s">
        <v>3899</v>
      </c>
      <c r="C1947" s="7" t="s">
        <v>3938</v>
      </c>
      <c r="D1947" s="7" t="s">
        <v>3939</v>
      </c>
      <c r="E1947" s="18">
        <v>46126.477083333331</v>
      </c>
      <c r="F1947" s="11">
        <f>IF(HOUR(Table1[[#This Row],[CORREO]])&gt;=11,WORKDAY(Table1[[#This Row],[CORREO]],1,Table2[Dias no laborales]),E1947)</f>
        <v>46127</v>
      </c>
      <c r="G1947" s="11">
        <v>46127</v>
      </c>
      <c r="H1947" s="7">
        <f t="shared" si="91"/>
        <v>15</v>
      </c>
      <c r="I1947" s="7">
        <f>MAX(1, NETWORKDAYS(A1947, G1947,Table2[Dias no laborales]))</f>
        <v>1</v>
      </c>
      <c r="J1947" s="7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7" t="str">
        <f t="shared" si="92"/>
        <v>A tiempo</v>
      </c>
      <c r="L1947" s="11">
        <v>46127</v>
      </c>
      <c r="M1947" s="22">
        <f>MAX(1,NETWORKDAYS(A1947,L1947,Table2[Dias no laborales]))</f>
        <v>1</v>
      </c>
    </row>
    <row r="1948" spans="1:13" x14ac:dyDescent="0.3">
      <c r="A1948" s="11">
        <v>46127</v>
      </c>
      <c r="B1948" s="20" t="s">
        <v>3900</v>
      </c>
      <c r="C1948" s="7" t="s">
        <v>3940</v>
      </c>
      <c r="D1948" s="7" t="s">
        <v>3941</v>
      </c>
      <c r="E1948" s="18">
        <v>46126.74722222222</v>
      </c>
      <c r="F1948" s="11">
        <f>IF(HOUR(Table1[[#This Row],[CORREO]])&gt;=11,WORKDAY(Table1[[#This Row],[CORREO]],1,Table2[Dias no laborales]),E1948)</f>
        <v>46127</v>
      </c>
      <c r="G1948" s="11">
        <v>46129</v>
      </c>
      <c r="H1948" s="7">
        <f t="shared" si="91"/>
        <v>15</v>
      </c>
      <c r="I1948" s="7">
        <f>MAX(1, NETWORKDAYS(A1948, G1948,Table2[Dias no laborales]))</f>
        <v>3</v>
      </c>
      <c r="J1948" s="7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7" t="str">
        <f t="shared" si="92"/>
        <v>A tiempo</v>
      </c>
      <c r="L1948" s="11">
        <v>46127</v>
      </c>
      <c r="M1948" s="22">
        <f>MAX(1,NETWORKDAYS(A1948,L1948,Table2[Dias no laborales]))</f>
        <v>1</v>
      </c>
    </row>
    <row r="1949" spans="1:13" x14ac:dyDescent="0.3">
      <c r="A1949" s="11">
        <v>46127</v>
      </c>
      <c r="B1949" s="20" t="s">
        <v>3901</v>
      </c>
      <c r="C1949" s="7" t="s">
        <v>3008</v>
      </c>
      <c r="D1949" s="7" t="s">
        <v>3942</v>
      </c>
      <c r="E1949" s="18">
        <v>46127.269444444442</v>
      </c>
      <c r="F1949" s="11">
        <f>IF(HOUR(Table1[[#This Row],[CORREO]])&gt;=11,WORKDAY(Table1[[#This Row],[CORREO]],1,Table2[Dias no laborales]),E1949)</f>
        <v>46127.269444444442</v>
      </c>
      <c r="G1949" s="11">
        <v>46132</v>
      </c>
      <c r="H1949" s="7">
        <f t="shared" si="91"/>
        <v>15</v>
      </c>
      <c r="I1949" s="7">
        <f>MAX(1, NETWORKDAYS(A1949, G1949,Table2[Dias no laborales]))</f>
        <v>4</v>
      </c>
      <c r="J1949" s="7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7" t="str">
        <f t="shared" si="92"/>
        <v>A tiempo</v>
      </c>
      <c r="L1949" s="11">
        <v>46127</v>
      </c>
      <c r="M1949" s="22">
        <f>MAX(1,NETWORKDAYS(A1949,L1949,Table2[Dias no laborales]))</f>
        <v>1</v>
      </c>
    </row>
    <row r="1950" spans="1:13" x14ac:dyDescent="0.3">
      <c r="A1950" s="11">
        <v>46127</v>
      </c>
      <c r="B1950" s="20" t="s">
        <v>3902</v>
      </c>
      <c r="C1950" s="7" t="s">
        <v>3943</v>
      </c>
      <c r="D1950" s="7" t="s">
        <v>61</v>
      </c>
      <c r="E1950" s="18">
        <v>46127.428472222222</v>
      </c>
      <c r="F1950" s="11">
        <f>IF(HOUR(Table1[[#This Row],[CORREO]])&gt;=11,WORKDAY(Table1[[#This Row],[CORREO]],1,Table2[Dias no laborales]),E1950)</f>
        <v>46127.428472222222</v>
      </c>
      <c r="G1950" s="11">
        <v>46127</v>
      </c>
      <c r="H1950" s="7">
        <f t="shared" si="91"/>
        <v>15</v>
      </c>
      <c r="I1950" s="7">
        <f>MAX(1, NETWORKDAYS(A1950, G1950,Table2[Dias no laborales]))</f>
        <v>1</v>
      </c>
      <c r="J1950" s="7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7" t="str">
        <f t="shared" si="92"/>
        <v>A tiempo</v>
      </c>
      <c r="L1950" s="11">
        <v>46127</v>
      </c>
      <c r="M1950" s="22">
        <f>MAX(1,NETWORKDAYS(A1950,L1950,Table2[Dias no laborales]))</f>
        <v>1</v>
      </c>
    </row>
    <row r="1951" spans="1:13" x14ac:dyDescent="0.3">
      <c r="A1951" s="11">
        <v>46127</v>
      </c>
      <c r="B1951" s="20" t="s">
        <v>3903</v>
      </c>
      <c r="C1951" s="7" t="s">
        <v>3944</v>
      </c>
      <c r="D1951" s="7" t="s">
        <v>133</v>
      </c>
      <c r="E1951" s="18">
        <v>46127.434027777781</v>
      </c>
      <c r="F1951" s="11">
        <f>IF(HOUR(Table1[[#This Row],[CORREO]])&gt;=11,WORKDAY(Table1[[#This Row],[CORREO]],1,Table2[Dias no laborales]),E1951)</f>
        <v>46127.434027777781</v>
      </c>
      <c r="G1951" s="11">
        <v>46132</v>
      </c>
      <c r="H1951" s="7">
        <f t="shared" si="91"/>
        <v>15</v>
      </c>
      <c r="I1951" s="7">
        <f>MAX(1, NETWORKDAYS(A1951, G1951,Table2[Dias no laborales]))</f>
        <v>4</v>
      </c>
      <c r="J1951" s="7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7" t="str">
        <f t="shared" si="92"/>
        <v>A tiempo</v>
      </c>
      <c r="L1951" s="11">
        <v>46127</v>
      </c>
      <c r="M1951" s="22">
        <f>MAX(1,NETWORKDAYS(A1951,L1951,Table2[Dias no laborales]))</f>
        <v>1</v>
      </c>
    </row>
    <row r="1952" spans="1:13" x14ac:dyDescent="0.3">
      <c r="A1952" s="11">
        <v>46127</v>
      </c>
      <c r="B1952" s="20" t="s">
        <v>3904</v>
      </c>
      <c r="C1952" s="7" t="s">
        <v>3996</v>
      </c>
      <c r="D1952" s="7" t="s">
        <v>42</v>
      </c>
      <c r="E1952" s="18">
        <v>46127.47152777778</v>
      </c>
      <c r="F1952" s="11">
        <f>IF(HOUR(Table1[[#This Row],[CORREO]])&gt;=11,WORKDAY(Table1[[#This Row],[CORREO]],1,Table2[Dias no laborales]),E1952)</f>
        <v>46128</v>
      </c>
      <c r="G1952" s="11">
        <v>46129</v>
      </c>
      <c r="H1952" s="7">
        <f t="shared" si="91"/>
        <v>15</v>
      </c>
      <c r="I1952" s="7">
        <f>MAX(1, NETWORKDAYS(A1952, G1952,Table2[Dias no laborales]))</f>
        <v>3</v>
      </c>
      <c r="J1952" s="7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7" t="str">
        <f t="shared" si="92"/>
        <v>Mismo día</v>
      </c>
      <c r="L1952" s="11">
        <v>46127</v>
      </c>
      <c r="M1952" s="22">
        <f>MAX(1,NETWORKDAYS(A1952,L1952,Table2[Dias no laborales]))</f>
        <v>1</v>
      </c>
    </row>
    <row r="1953" spans="1:13" x14ac:dyDescent="0.3">
      <c r="A1953" s="11">
        <v>46127</v>
      </c>
      <c r="B1953" s="20" t="s">
        <v>3905</v>
      </c>
      <c r="C1953" s="7" t="s">
        <v>3008</v>
      </c>
      <c r="D1953" s="7" t="s">
        <v>3997</v>
      </c>
      <c r="E1953" s="18">
        <v>46127.482638888891</v>
      </c>
      <c r="F1953" s="11">
        <f>IF(HOUR(Table1[[#This Row],[CORREO]])&gt;=11,WORKDAY(Table1[[#This Row],[CORREO]],1,Table2[Dias no laborales]),E1953)</f>
        <v>46128</v>
      </c>
      <c r="G1953" s="11">
        <v>46128</v>
      </c>
      <c r="H1953" s="7">
        <f t="shared" si="91"/>
        <v>15</v>
      </c>
      <c r="I1953" s="7">
        <f>MAX(1, NETWORKDAYS(A1953, G1953,Table2[Dias no laborales]))</f>
        <v>2</v>
      </c>
      <c r="J1953" s="7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7" t="str">
        <f t="shared" si="92"/>
        <v>Mismo día</v>
      </c>
      <c r="L1953" s="11">
        <v>46127</v>
      </c>
      <c r="M1953" s="22">
        <f>MAX(1,NETWORKDAYS(A1953,L1953,Table2[Dias no laborales]))</f>
        <v>1</v>
      </c>
    </row>
    <row r="1954" spans="1:13" x14ac:dyDescent="0.3">
      <c r="A1954" s="11">
        <v>46128</v>
      </c>
      <c r="B1954" s="20" t="s">
        <v>3906</v>
      </c>
      <c r="C1954" s="7" t="s">
        <v>3998</v>
      </c>
      <c r="D1954" s="7" t="s">
        <v>3999</v>
      </c>
      <c r="E1954" s="18">
        <v>46127.477083333331</v>
      </c>
      <c r="F1954" s="11">
        <f>IF(HOUR(Table1[[#This Row],[CORREO]])&gt;=11,WORKDAY(Table1[[#This Row],[CORREO]],1,Table2[Dias no laborales]),E1954)</f>
        <v>46128</v>
      </c>
      <c r="G1954" s="11">
        <v>46129</v>
      </c>
      <c r="H1954" s="7">
        <f t="shared" si="91"/>
        <v>16</v>
      </c>
      <c r="I1954" s="7">
        <f>MAX(1, NETWORKDAYS(A1954, G1954,Table2[Dias no laborales]))</f>
        <v>2</v>
      </c>
      <c r="J1954" s="7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7" t="str">
        <f t="shared" si="92"/>
        <v>A tiempo</v>
      </c>
      <c r="L1954" s="11">
        <v>46128</v>
      </c>
      <c r="M1954" s="22">
        <f>MAX(1,NETWORKDAYS(A1954,L1954,Table2[Dias no laborales]))</f>
        <v>1</v>
      </c>
    </row>
    <row r="1955" spans="1:13" x14ac:dyDescent="0.3">
      <c r="A1955" s="11">
        <v>46128</v>
      </c>
      <c r="B1955" s="20" t="s">
        <v>3907</v>
      </c>
      <c r="C1955" s="7" t="s">
        <v>4000</v>
      </c>
      <c r="D1955" s="7" t="s">
        <v>3837</v>
      </c>
      <c r="E1955" s="18">
        <v>46127.518750000003</v>
      </c>
      <c r="F1955" s="11">
        <f>IF(HOUR(Table1[[#This Row],[CORREO]])&gt;=11,WORKDAY(Table1[[#This Row],[CORREO]],1,Table2[Dias no laborales]),E1955)</f>
        <v>46128</v>
      </c>
      <c r="G1955" s="11">
        <v>46129</v>
      </c>
      <c r="H1955" s="7">
        <f t="shared" si="91"/>
        <v>16</v>
      </c>
      <c r="I1955" s="7">
        <f>MAX(1, NETWORKDAYS(A1955, G1955,Table2[Dias no laborales]))</f>
        <v>2</v>
      </c>
      <c r="J1955" s="7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7" t="str">
        <f t="shared" si="92"/>
        <v>A tiempo</v>
      </c>
      <c r="L1955" s="11">
        <v>46128</v>
      </c>
      <c r="M1955" s="22">
        <f>MAX(1,NETWORKDAYS(A1955,L1955,Table2[Dias no laborales]))</f>
        <v>1</v>
      </c>
    </row>
    <row r="1956" spans="1:13" x14ac:dyDescent="0.3">
      <c r="A1956" s="11">
        <v>46128</v>
      </c>
      <c r="B1956" s="20" t="s">
        <v>3908</v>
      </c>
      <c r="C1956" s="7" t="s">
        <v>4001</v>
      </c>
      <c r="D1956" s="7" t="s">
        <v>4002</v>
      </c>
      <c r="E1956" s="18">
        <v>46127.565972222219</v>
      </c>
      <c r="F1956" s="11">
        <f>IF(HOUR(Table1[[#This Row],[CORREO]])&gt;=11,WORKDAY(Table1[[#This Row],[CORREO]],1,Table2[Dias no laborales]),E1956)</f>
        <v>46128</v>
      </c>
      <c r="G1956" s="11">
        <v>46128</v>
      </c>
      <c r="H1956" s="7">
        <f t="shared" si="91"/>
        <v>16</v>
      </c>
      <c r="I1956" s="7">
        <f>MAX(1, NETWORKDAYS(A1956, G1956,Table2[Dias no laborales]))</f>
        <v>1</v>
      </c>
      <c r="J1956" s="7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7" t="str">
        <f t="shared" si="92"/>
        <v>A tiempo</v>
      </c>
      <c r="L1956" s="11">
        <v>46128</v>
      </c>
      <c r="M1956" s="22">
        <f>MAX(1,NETWORKDAYS(A1956,L1956,Table2[Dias no laborales]))</f>
        <v>1</v>
      </c>
    </row>
    <row r="1957" spans="1:13" x14ac:dyDescent="0.3">
      <c r="A1957" s="11">
        <v>46128</v>
      </c>
      <c r="B1957" s="20" t="s">
        <v>3945</v>
      </c>
      <c r="C1957" s="7" t="s">
        <v>4003</v>
      </c>
      <c r="D1957" s="7" t="s">
        <v>623</v>
      </c>
      <c r="E1957" s="18">
        <v>46127.604861111111</v>
      </c>
      <c r="F1957" s="11">
        <f>IF(HOUR(Table1[[#This Row],[CORREO]])&gt;=11,WORKDAY(Table1[[#This Row],[CORREO]],1,Table2[Dias no laborales]),E1957)</f>
        <v>46128</v>
      </c>
      <c r="G1957" s="11">
        <v>46129</v>
      </c>
      <c r="H1957" s="7">
        <f t="shared" ref="H1957:H1988" si="93">INT((A1957-DATE(YEAR(A1957),1,1))/7) + 1</f>
        <v>16</v>
      </c>
      <c r="I1957" s="7">
        <f>MAX(1, NETWORKDAYS(A1957, G1957,Table2[Dias no laborales]))</f>
        <v>2</v>
      </c>
      <c r="J1957" s="7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7" t="str">
        <f t="shared" ref="K1957:K1988" si="94">IF(INT(A1957)=INT(F1957),"A tiempo", IF(A1957&lt;F1957,"Mismo día","Programados"))</f>
        <v>A tiempo</v>
      </c>
      <c r="L1957" s="11">
        <v>46128</v>
      </c>
      <c r="M1957" s="22">
        <f>MAX(1,NETWORKDAYS(A1957,L1957,Table2[Dias no laborales]))</f>
        <v>1</v>
      </c>
    </row>
    <row r="1958" spans="1:13" x14ac:dyDescent="0.3">
      <c r="A1958" s="11">
        <v>46128</v>
      </c>
      <c r="B1958" s="20" t="s">
        <v>3946</v>
      </c>
      <c r="C1958" s="7" t="s">
        <v>4004</v>
      </c>
      <c r="D1958" s="7" t="s">
        <v>136</v>
      </c>
      <c r="E1958" s="18">
        <v>46127.70208333333</v>
      </c>
      <c r="F1958" s="11">
        <f>IF(HOUR(Table1[[#This Row],[CORREO]])&gt;=11,WORKDAY(Table1[[#This Row],[CORREO]],1,Table2[Dias no laborales]),E1958)</f>
        <v>46128</v>
      </c>
      <c r="G1958" s="11">
        <v>46132</v>
      </c>
      <c r="H1958" s="7">
        <f t="shared" si="93"/>
        <v>16</v>
      </c>
      <c r="I1958" s="7">
        <f>MAX(1, NETWORKDAYS(A1958, G1958,Table2[Dias no laborales]))</f>
        <v>3</v>
      </c>
      <c r="J1958" s="7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7" t="str">
        <f t="shared" si="94"/>
        <v>A tiempo</v>
      </c>
      <c r="L1958" s="11">
        <v>46128</v>
      </c>
      <c r="M1958" s="22">
        <f>MAX(1,NETWORKDAYS(A1958,L1958,Table2[Dias no laborales]))</f>
        <v>1</v>
      </c>
    </row>
    <row r="1959" spans="1:13" x14ac:dyDescent="0.3">
      <c r="A1959" s="11">
        <v>46128</v>
      </c>
      <c r="B1959" s="20" t="s">
        <v>3947</v>
      </c>
      <c r="C1959" s="7" t="s">
        <v>4005</v>
      </c>
      <c r="D1959" s="7" t="s">
        <v>61</v>
      </c>
      <c r="E1959" s="18">
        <v>46127.715277777781</v>
      </c>
      <c r="F1959" s="11">
        <f>IF(HOUR(Table1[[#This Row],[CORREO]])&gt;=11,WORKDAY(Table1[[#This Row],[CORREO]],1,Table2[Dias no laborales]),E1959)</f>
        <v>46128</v>
      </c>
      <c r="G1959" s="11">
        <v>46129</v>
      </c>
      <c r="H1959" s="7">
        <f t="shared" si="93"/>
        <v>16</v>
      </c>
      <c r="I1959" s="7">
        <f>MAX(1, NETWORKDAYS(A1959, G1959,Table2[Dias no laborales]))</f>
        <v>2</v>
      </c>
      <c r="J1959" s="7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7" t="str">
        <f t="shared" si="94"/>
        <v>A tiempo</v>
      </c>
      <c r="L1959" s="11">
        <v>46128</v>
      </c>
      <c r="M1959" s="22">
        <f>MAX(1,NETWORKDAYS(A1959,L1959,Table2[Dias no laborales]))</f>
        <v>1</v>
      </c>
    </row>
    <row r="1960" spans="1:13" x14ac:dyDescent="0.3">
      <c r="A1960" s="11">
        <v>46128</v>
      </c>
      <c r="B1960" s="20" t="s">
        <v>3948</v>
      </c>
      <c r="C1960" s="7" t="s">
        <v>4006</v>
      </c>
      <c r="D1960" s="7" t="s">
        <v>27</v>
      </c>
      <c r="E1960" s="18">
        <v>46127.709027777775</v>
      </c>
      <c r="F1960" s="11">
        <f>IF(HOUR(Table1[[#This Row],[CORREO]])&gt;=11,WORKDAY(Table1[[#This Row],[CORREO]],1,Table2[Dias no laborales]),E1960)</f>
        <v>46128</v>
      </c>
      <c r="G1960" s="11">
        <v>46147</v>
      </c>
      <c r="H1960" s="7">
        <f t="shared" si="93"/>
        <v>16</v>
      </c>
      <c r="I1960" s="7">
        <f>MAX(1, NETWORKDAYS(A1960, G1960,Table2[Dias no laborales]))</f>
        <v>12</v>
      </c>
      <c r="J1960" s="7" t="str">
        <f>IF(Table1[[#This Row],[FIN]]="","Acumulado",IF(ISNUMBER(SEARCH("ASAP",C1960)),"ASAP",IF(NETWORKDAYS.INTL(F1960,G1960,1,Table2[Dias no laborales]) &lt;= 7, "Dentro", IF(A1960&gt;F1960,"Programado","Fuera"))))</f>
        <v>Fuera</v>
      </c>
      <c r="K1960" s="7" t="str">
        <f t="shared" si="94"/>
        <v>A tiempo</v>
      </c>
      <c r="L1960" s="11">
        <v>46129</v>
      </c>
      <c r="M1960" s="22">
        <f>MAX(1,NETWORKDAYS(A1960,L1960,Table2[Dias no laborales]))</f>
        <v>2</v>
      </c>
    </row>
    <row r="1961" spans="1:13" x14ac:dyDescent="0.3">
      <c r="A1961" s="11">
        <v>46128</v>
      </c>
      <c r="B1961" s="20" t="s">
        <v>3949</v>
      </c>
      <c r="C1961" s="7" t="s">
        <v>4007</v>
      </c>
      <c r="D1961" s="7" t="s">
        <v>61</v>
      </c>
      <c r="E1961" s="18">
        <v>46127.716666666667</v>
      </c>
      <c r="F1961" s="11">
        <f>IF(HOUR(Table1[[#This Row],[CORREO]])&gt;=11,WORKDAY(Table1[[#This Row],[CORREO]],1,Table2[Dias no laborales]),E1961)</f>
        <v>46128</v>
      </c>
      <c r="G1961" s="11">
        <v>46134</v>
      </c>
      <c r="H1961" s="7">
        <f t="shared" si="93"/>
        <v>16</v>
      </c>
      <c r="I1961" s="7">
        <f>MAX(1, NETWORKDAYS(A1961, G1961,Table2[Dias no laborales]))</f>
        <v>5</v>
      </c>
      <c r="J1961" s="7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7" t="str">
        <f t="shared" si="94"/>
        <v>A tiempo</v>
      </c>
      <c r="L1961" s="11">
        <v>46128</v>
      </c>
      <c r="M1961" s="22">
        <f>MAX(1,NETWORKDAYS(A1961,L1961,Table2[Dias no laborales]))</f>
        <v>1</v>
      </c>
    </row>
    <row r="1962" spans="1:13" x14ac:dyDescent="0.3">
      <c r="A1962" s="11">
        <v>46128</v>
      </c>
      <c r="B1962" s="20" t="s">
        <v>3950</v>
      </c>
      <c r="C1962" s="7" t="s">
        <v>4008</v>
      </c>
      <c r="D1962" s="7" t="s">
        <v>42</v>
      </c>
      <c r="E1962" s="18">
        <v>46128.382638888892</v>
      </c>
      <c r="F1962" s="11">
        <f>IF(HOUR(Table1[[#This Row],[CORREO]])&gt;=11,WORKDAY(Table1[[#This Row],[CORREO]],1,Table2[Dias no laborales]),E1962)</f>
        <v>46128.382638888892</v>
      </c>
      <c r="G1962" s="11">
        <v>46133</v>
      </c>
      <c r="H1962" s="7">
        <f t="shared" si="93"/>
        <v>16</v>
      </c>
      <c r="I1962" s="7">
        <f>MAX(1, NETWORKDAYS(A1962, G1962,Table2[Dias no laborales]))</f>
        <v>4</v>
      </c>
      <c r="J1962" s="7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7" t="str">
        <f t="shared" si="94"/>
        <v>A tiempo</v>
      </c>
      <c r="L1962" s="11">
        <v>46128</v>
      </c>
      <c r="M1962" s="22">
        <f>MAX(1,NETWORKDAYS(A1962,L1962,Table2[Dias no laborales]))</f>
        <v>1</v>
      </c>
    </row>
    <row r="1963" spans="1:13" x14ac:dyDescent="0.3">
      <c r="A1963" s="11">
        <v>46128</v>
      </c>
      <c r="B1963" s="20" t="s">
        <v>3951</v>
      </c>
      <c r="C1963" s="7" t="s">
        <v>4009</v>
      </c>
      <c r="D1963" s="7" t="s">
        <v>15</v>
      </c>
      <c r="E1963" s="18">
        <v>46128.393055555556</v>
      </c>
      <c r="F1963" s="11">
        <f>IF(HOUR(Table1[[#This Row],[CORREO]])&gt;=11,WORKDAY(Table1[[#This Row],[CORREO]],1,Table2[Dias no laborales]),E1963)</f>
        <v>46128.393055555556</v>
      </c>
      <c r="G1963" s="11">
        <v>46129</v>
      </c>
      <c r="H1963" s="7">
        <f t="shared" si="93"/>
        <v>16</v>
      </c>
      <c r="I1963" s="7">
        <f>MAX(1, NETWORKDAYS(A1963, G1963,Table2[Dias no laborales]))</f>
        <v>2</v>
      </c>
      <c r="J1963" s="7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7" t="str">
        <f t="shared" si="94"/>
        <v>A tiempo</v>
      </c>
      <c r="L1963" s="11">
        <v>46128</v>
      </c>
      <c r="M1963" s="22">
        <f>MAX(1,NETWORKDAYS(A1963,L1963,Table2[Dias no laborales]))</f>
        <v>1</v>
      </c>
    </row>
    <row r="1964" spans="1:13" x14ac:dyDescent="0.3">
      <c r="A1964" s="11">
        <v>46128</v>
      </c>
      <c r="B1964" s="20" t="s">
        <v>3952</v>
      </c>
      <c r="C1964" s="7" t="s">
        <v>4010</v>
      </c>
      <c r="D1964" s="7" t="s">
        <v>24</v>
      </c>
      <c r="E1964" s="18"/>
      <c r="F1964" s="11">
        <f>IF(HOUR(Table1[[#This Row],[CORREO]])&gt;=11,WORKDAY(Table1[[#This Row],[CORREO]],1,Table2[Dias no laborales]),E1964)</f>
        <v>0</v>
      </c>
      <c r="G1964" s="11">
        <v>46129</v>
      </c>
      <c r="H1964" s="7">
        <f t="shared" si="93"/>
        <v>16</v>
      </c>
      <c r="I1964" s="7">
        <f>MAX(1, NETWORKDAYS(A1964, G1964,Table2[Dias no laborales]))</f>
        <v>2</v>
      </c>
      <c r="J1964" s="7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7" t="str">
        <f t="shared" si="94"/>
        <v>Programados</v>
      </c>
      <c r="L1964" s="11">
        <v>46128</v>
      </c>
      <c r="M1964" s="22">
        <f>MAX(1,NETWORKDAYS(A1964,L1964,Table2[Dias no laborales]))</f>
        <v>1</v>
      </c>
    </row>
    <row r="1965" spans="1:13" x14ac:dyDescent="0.3">
      <c r="A1965" s="11">
        <v>46128</v>
      </c>
      <c r="B1965" s="20" t="s">
        <v>3953</v>
      </c>
      <c r="C1965" s="7" t="s">
        <v>4011</v>
      </c>
      <c r="D1965" s="7" t="s">
        <v>423</v>
      </c>
      <c r="E1965" s="18">
        <v>46128.54791666667</v>
      </c>
      <c r="F1965" s="11">
        <f>IF(HOUR(Table1[[#This Row],[CORREO]])&gt;=11,WORKDAY(Table1[[#This Row],[CORREO]],1,Table2[Dias no laborales]),E1965)</f>
        <v>46129</v>
      </c>
      <c r="G1965" s="11">
        <v>46129</v>
      </c>
      <c r="H1965" s="7">
        <f t="shared" si="93"/>
        <v>16</v>
      </c>
      <c r="I1965" s="7">
        <f>MAX(1, NETWORKDAYS(A1965, G1965,Table2[Dias no laborales]))</f>
        <v>2</v>
      </c>
      <c r="J1965" s="7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7" t="str">
        <f t="shared" si="94"/>
        <v>Mismo día</v>
      </c>
      <c r="L1965" s="11">
        <v>46128</v>
      </c>
      <c r="M1965" s="22">
        <f>MAX(1,NETWORKDAYS(A1965,L1965,Table2[Dias no laborales]))</f>
        <v>1</v>
      </c>
    </row>
    <row r="1966" spans="1:13" x14ac:dyDescent="0.3">
      <c r="A1966" s="11">
        <v>46129</v>
      </c>
      <c r="B1966" s="20" t="s">
        <v>3954</v>
      </c>
      <c r="C1966" s="7" t="s">
        <v>4012</v>
      </c>
      <c r="D1966" s="7" t="s">
        <v>89</v>
      </c>
      <c r="E1966" s="18">
        <v>46128.464583333334</v>
      </c>
      <c r="F1966" s="11">
        <f>IF(HOUR(Table1[[#This Row],[CORREO]])&gt;=11,WORKDAY(Table1[[#This Row],[CORREO]],1,Table2[Dias no laborales]),E1966)</f>
        <v>46129</v>
      </c>
      <c r="G1966" s="11">
        <v>46136</v>
      </c>
      <c r="H1966" s="7">
        <f t="shared" si="93"/>
        <v>16</v>
      </c>
      <c r="I1966" s="7">
        <f>MAX(1, NETWORKDAYS(A1966, G1966,Table2[Dias no laborales]))</f>
        <v>6</v>
      </c>
      <c r="J1966" s="7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7" t="str">
        <f t="shared" si="94"/>
        <v>A tiempo</v>
      </c>
      <c r="L1966" s="11">
        <v>46129</v>
      </c>
      <c r="M1966" s="22">
        <f>MAX(1,NETWORKDAYS(A1966,L1966,Table2[Dias no laborales]))</f>
        <v>1</v>
      </c>
    </row>
    <row r="1967" spans="1:13" x14ac:dyDescent="0.3">
      <c r="A1967" s="11">
        <v>46129</v>
      </c>
      <c r="B1967" s="20" t="s">
        <v>3955</v>
      </c>
      <c r="C1967" s="7" t="s">
        <v>4013</v>
      </c>
      <c r="D1967" s="7" t="s">
        <v>3837</v>
      </c>
      <c r="E1967" s="18">
        <v>46128.500694444447</v>
      </c>
      <c r="F1967" s="11">
        <f>IF(HOUR(Table1[[#This Row],[CORREO]])&gt;=11,WORKDAY(Table1[[#This Row],[CORREO]],1,Table2[Dias no laborales]),E1967)</f>
        <v>46129</v>
      </c>
      <c r="G1967" s="11">
        <v>46129</v>
      </c>
      <c r="H1967" s="7">
        <f t="shared" si="93"/>
        <v>16</v>
      </c>
      <c r="I1967" s="7">
        <f>MAX(1, NETWORKDAYS(A1967, G1967,Table2[Dias no laborales]))</f>
        <v>1</v>
      </c>
      <c r="J1967" s="7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7" t="str">
        <f t="shared" si="94"/>
        <v>A tiempo</v>
      </c>
      <c r="L1967" s="11">
        <v>46129</v>
      </c>
      <c r="M1967" s="22">
        <f>MAX(1,NETWORKDAYS(A1967,L1967,Table2[Dias no laborales]))</f>
        <v>1</v>
      </c>
    </row>
    <row r="1968" spans="1:13" x14ac:dyDescent="0.3">
      <c r="A1968" s="11">
        <v>46129</v>
      </c>
      <c r="B1968" s="20" t="s">
        <v>3956</v>
      </c>
      <c r="C1968" s="7" t="s">
        <v>4014</v>
      </c>
      <c r="D1968" s="7" t="s">
        <v>2994</v>
      </c>
      <c r="E1968" s="18">
        <v>46128.671527777777</v>
      </c>
      <c r="F1968" s="11">
        <f>IF(HOUR(Table1[[#This Row],[CORREO]])&gt;=11,WORKDAY(Table1[[#This Row],[CORREO]],1,Table2[Dias no laborales]),E1968)</f>
        <v>46129</v>
      </c>
      <c r="G1968" s="11">
        <v>46139</v>
      </c>
      <c r="H1968" s="7">
        <f t="shared" si="93"/>
        <v>16</v>
      </c>
      <c r="I1968" s="7">
        <f>MAX(1, NETWORKDAYS(A1968, G1968,Table2[Dias no laborales]))</f>
        <v>7</v>
      </c>
      <c r="J1968" s="7" t="str">
        <f>IF(Table1[[#This Row],[FIN]]="","Acumulado",IF(ISNUMBER(SEARCH("ASAP",C1968)),"ASAP",IF(NETWORKDAYS.INTL(F1968,G1968,1,Table2[Dias no laborales]) &lt;= 7, "Dentro", IF(A1968&gt;F1968,"Programado","Fuera"))))</f>
        <v>Dentro</v>
      </c>
      <c r="K1968" s="7" t="str">
        <f t="shared" si="94"/>
        <v>A tiempo</v>
      </c>
      <c r="L1968" s="11">
        <v>46129</v>
      </c>
      <c r="M1968" s="22">
        <f>MAX(1,NETWORKDAYS(A1968,L1968,Table2[Dias no laborales]))</f>
        <v>1</v>
      </c>
    </row>
    <row r="1969" spans="1:13" x14ac:dyDescent="0.3">
      <c r="A1969" s="11">
        <v>46129</v>
      </c>
      <c r="B1969" s="20" t="s">
        <v>3957</v>
      </c>
      <c r="C1969" s="7" t="s">
        <v>4015</v>
      </c>
      <c r="D1969" s="7" t="s">
        <v>423</v>
      </c>
      <c r="E1969" s="18">
        <v>46129.380555555559</v>
      </c>
      <c r="F1969" s="11">
        <f>IF(HOUR(Table1[[#This Row],[CORREO]])&gt;=11,WORKDAY(Table1[[#This Row],[CORREO]],1,Table2[Dias no laborales]),E1969)</f>
        <v>46129.380555555559</v>
      </c>
      <c r="G1969" s="11">
        <v>46133</v>
      </c>
      <c r="H1969" s="7">
        <f t="shared" si="93"/>
        <v>16</v>
      </c>
      <c r="I1969" s="7">
        <f>MAX(1, NETWORKDAYS(A1969, G1969,Table2[Dias no laborales]))</f>
        <v>3</v>
      </c>
      <c r="J1969" s="7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7" t="str">
        <f t="shared" si="94"/>
        <v>A tiempo</v>
      </c>
      <c r="L1969" s="11">
        <v>46129</v>
      </c>
      <c r="M1969" s="22">
        <f>MAX(1,NETWORKDAYS(A1969,L1969,Table2[Dias no laborales]))</f>
        <v>1</v>
      </c>
    </row>
    <row r="1970" spans="1:13" x14ac:dyDescent="0.3">
      <c r="A1970" s="11">
        <v>46129</v>
      </c>
      <c r="B1970" s="20" t="s">
        <v>3958</v>
      </c>
      <c r="C1970" s="7" t="s">
        <v>4005</v>
      </c>
      <c r="D1970" s="7" t="s">
        <v>4016</v>
      </c>
      <c r="E1970" s="18">
        <v>46190.5</v>
      </c>
      <c r="F1970" s="11">
        <f>IF(HOUR(Table1[[#This Row],[CORREO]])&gt;=11,WORKDAY(Table1[[#This Row],[CORREO]],1,Table2[Dias no laborales]),E1970)</f>
        <v>46191</v>
      </c>
      <c r="G1970" s="11">
        <v>46132</v>
      </c>
      <c r="H1970" s="7">
        <f t="shared" si="93"/>
        <v>16</v>
      </c>
      <c r="I1970" s="7">
        <f>MAX(1, NETWORKDAYS(A1970, G1970,Table2[Dias no laborales]))</f>
        <v>2</v>
      </c>
      <c r="J1970" s="7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7" t="str">
        <f t="shared" si="94"/>
        <v>Mismo día</v>
      </c>
      <c r="L1970" s="11">
        <v>46129</v>
      </c>
      <c r="M1970" s="22">
        <f>MAX(1,NETWORKDAYS(A1970,L1970,Table2[Dias no laborales]))</f>
        <v>1</v>
      </c>
    </row>
    <row r="1971" spans="1:13" x14ac:dyDescent="0.3">
      <c r="A1971" s="11">
        <v>46129</v>
      </c>
      <c r="B1971" s="20" t="s">
        <v>3959</v>
      </c>
      <c r="C1971" s="7" t="s">
        <v>188</v>
      </c>
      <c r="D1971" s="7" t="s">
        <v>27</v>
      </c>
      <c r="E1971" s="18"/>
      <c r="F1971" s="11">
        <f>IF(HOUR(Table1[[#This Row],[CORREO]])&gt;=11,WORKDAY(Table1[[#This Row],[CORREO]],1,Table2[Dias no laborales]),E1971)</f>
        <v>0</v>
      </c>
      <c r="G1971" s="11">
        <v>46132</v>
      </c>
      <c r="H1971" s="7">
        <f t="shared" si="93"/>
        <v>16</v>
      </c>
      <c r="I1971" s="7">
        <f>MAX(1, NETWORKDAYS(A1971, G1971,Table2[Dias no laborales]))</f>
        <v>2</v>
      </c>
      <c r="J1971" s="7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7" t="str">
        <f t="shared" si="94"/>
        <v>Programados</v>
      </c>
      <c r="L1971" s="11">
        <v>46129</v>
      </c>
      <c r="M1971" s="22">
        <f>MAX(1,NETWORKDAYS(A1971,L1971,Table2[Dias no laborales]))</f>
        <v>1</v>
      </c>
    </row>
    <row r="1972" spans="1:13" x14ac:dyDescent="0.3">
      <c r="A1972" s="11">
        <v>46129</v>
      </c>
      <c r="B1972" s="20" t="s">
        <v>3960</v>
      </c>
      <c r="C1972" s="7" t="s">
        <v>196</v>
      </c>
      <c r="D1972" s="7" t="s">
        <v>27</v>
      </c>
      <c r="E1972" s="18"/>
      <c r="F1972" s="11">
        <f>IF(HOUR(Table1[[#This Row],[CORREO]])&gt;=11,WORKDAY(Table1[[#This Row],[CORREO]],1,Table2[Dias no laborales]),E1972)</f>
        <v>0</v>
      </c>
      <c r="G1972" s="11">
        <v>46133</v>
      </c>
      <c r="H1972" s="7">
        <f t="shared" si="93"/>
        <v>16</v>
      </c>
      <c r="I1972" s="7">
        <f>MAX(1, NETWORKDAYS(A1972, G1972,Table2[Dias no laborales]))</f>
        <v>3</v>
      </c>
      <c r="J1972" s="7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7" t="str">
        <f t="shared" si="94"/>
        <v>Programados</v>
      </c>
      <c r="L1972" s="11">
        <v>46129</v>
      </c>
      <c r="M1972" s="22">
        <f>MAX(1,NETWORKDAYS(A1972,L1972,Table2[Dias no laborales]))</f>
        <v>1</v>
      </c>
    </row>
    <row r="1973" spans="1:13" x14ac:dyDescent="0.3">
      <c r="A1973" s="11">
        <v>46132</v>
      </c>
      <c r="B1973" s="20" t="s">
        <v>3961</v>
      </c>
      <c r="C1973" s="7" t="s">
        <v>4017</v>
      </c>
      <c r="D1973" s="7" t="s">
        <v>24</v>
      </c>
      <c r="E1973" s="18"/>
      <c r="F1973" s="11">
        <f>IF(HOUR(Table1[[#This Row],[CORREO]])&gt;=11,WORKDAY(Table1[[#This Row],[CORREO]],1,Table2[Dias no laborales]),E1973)</f>
        <v>0</v>
      </c>
      <c r="G1973" s="11">
        <v>46136</v>
      </c>
      <c r="H1973" s="7">
        <f t="shared" si="93"/>
        <v>16</v>
      </c>
      <c r="I1973" s="7">
        <f>MAX(1, NETWORKDAYS(A1973, G1973,Table2[Dias no laborales]))</f>
        <v>5</v>
      </c>
      <c r="J1973" s="7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7" t="str">
        <f t="shared" si="94"/>
        <v>Programados</v>
      </c>
      <c r="L1973" s="11">
        <v>46132</v>
      </c>
      <c r="M1973" s="22">
        <f>MAX(1,NETWORKDAYS(A1973,L1973,Table2[Dias no laborales]))</f>
        <v>1</v>
      </c>
    </row>
    <row r="1974" spans="1:13" x14ac:dyDescent="0.3">
      <c r="A1974" s="11">
        <v>46132</v>
      </c>
      <c r="B1974" s="20" t="s">
        <v>3962</v>
      </c>
      <c r="C1974" s="7" t="s">
        <v>4018</v>
      </c>
      <c r="D1974" s="7" t="s">
        <v>2963</v>
      </c>
      <c r="E1974" s="18">
        <v>46129.74722222222</v>
      </c>
      <c r="F1974" s="11">
        <f>IF(HOUR(Table1[[#This Row],[CORREO]])&gt;=11,WORKDAY(Table1[[#This Row],[CORREO]],1,Table2[Dias no laborales]),E1974)</f>
        <v>46132</v>
      </c>
      <c r="G1974" s="11">
        <v>46133</v>
      </c>
      <c r="H1974" s="7">
        <f t="shared" si="93"/>
        <v>16</v>
      </c>
      <c r="I1974" s="7">
        <f>MAX(1, NETWORKDAYS(A1974, G1974,Table2[Dias no laborales]))</f>
        <v>2</v>
      </c>
      <c r="J1974" s="7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7" t="str">
        <f t="shared" si="94"/>
        <v>A tiempo</v>
      </c>
      <c r="L1974" s="11">
        <v>46132</v>
      </c>
      <c r="M1974" s="22">
        <f>MAX(1,NETWORKDAYS(A1974,L1974,Table2[Dias no laborales]))</f>
        <v>1</v>
      </c>
    </row>
    <row r="1975" spans="1:13" x14ac:dyDescent="0.3">
      <c r="A1975" s="11">
        <v>46132</v>
      </c>
      <c r="B1975" s="20" t="s">
        <v>3963</v>
      </c>
      <c r="C1975" s="7" t="s">
        <v>4019</v>
      </c>
      <c r="D1975" s="7" t="s">
        <v>61</v>
      </c>
      <c r="E1975" s="18">
        <v>46132.45208333333</v>
      </c>
      <c r="F1975" s="11">
        <f>IF(HOUR(Table1[[#This Row],[CORREO]])&gt;=11,WORKDAY(Table1[[#This Row],[CORREO]],1,Table2[Dias no laborales]),E1975)</f>
        <v>46132.45208333333</v>
      </c>
      <c r="G1975" s="11">
        <v>46133</v>
      </c>
      <c r="H1975" s="7">
        <f t="shared" si="93"/>
        <v>16</v>
      </c>
      <c r="I1975" s="7">
        <f>MAX(1, NETWORKDAYS(A1975, G1975,Table2[Dias no laborales]))</f>
        <v>2</v>
      </c>
      <c r="J1975" s="7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7" t="str">
        <f t="shared" si="94"/>
        <v>A tiempo</v>
      </c>
      <c r="L1975" s="11">
        <v>46132</v>
      </c>
      <c r="M1975" s="22">
        <f>MAX(1,NETWORKDAYS(A1975,L1975,Table2[Dias no laborales]))</f>
        <v>1</v>
      </c>
    </row>
    <row r="1976" spans="1:13" x14ac:dyDescent="0.3">
      <c r="A1976" s="11">
        <v>46132</v>
      </c>
      <c r="B1976" s="20" t="s">
        <v>3964</v>
      </c>
      <c r="C1976" s="7" t="s">
        <v>4020</v>
      </c>
      <c r="D1976" s="7" t="s">
        <v>53</v>
      </c>
      <c r="E1976" s="18">
        <v>46132.470138888886</v>
      </c>
      <c r="F1976" s="11">
        <f>IF(HOUR(Table1[[#This Row],[CORREO]])&gt;=11,WORKDAY(Table1[[#This Row],[CORREO]],1,Table2[Dias no laborales]),E1976)</f>
        <v>46133</v>
      </c>
      <c r="G1976" s="11">
        <v>46132</v>
      </c>
      <c r="H1976" s="7">
        <f t="shared" si="93"/>
        <v>16</v>
      </c>
      <c r="I1976" s="7">
        <f>MAX(1, NETWORKDAYS(A1976, G1976,Table2[Dias no laborales]))</f>
        <v>1</v>
      </c>
      <c r="J1976" s="7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7" t="str">
        <f t="shared" si="94"/>
        <v>Mismo día</v>
      </c>
      <c r="L1976" s="11">
        <v>46132</v>
      </c>
      <c r="M1976" s="22">
        <f>MAX(1,NETWORKDAYS(A1976,L1976,Table2[Dias no laborales]))</f>
        <v>1</v>
      </c>
    </row>
    <row r="1977" spans="1:13" x14ac:dyDescent="0.3">
      <c r="A1977" s="11">
        <v>46133</v>
      </c>
      <c r="B1977" s="20" t="s">
        <v>3965</v>
      </c>
      <c r="C1977" s="7" t="s">
        <v>4022</v>
      </c>
      <c r="D1977" s="7" t="s">
        <v>154</v>
      </c>
      <c r="E1977" s="18">
        <v>46132.638888888891</v>
      </c>
      <c r="F1977" s="11">
        <f>IF(HOUR(Table1[[#This Row],[CORREO]])&gt;=11,WORKDAY(Table1[[#This Row],[CORREO]],1,Table2[Dias no laborales]),E1977)</f>
        <v>46133</v>
      </c>
      <c r="G1977" s="11">
        <v>46135</v>
      </c>
      <c r="H1977" s="7">
        <f t="shared" si="93"/>
        <v>16</v>
      </c>
      <c r="I1977" s="7">
        <f>MAX(1, NETWORKDAYS(A1977, G1977,Table2[Dias no laborales]))</f>
        <v>3</v>
      </c>
      <c r="J1977" s="7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7" t="str">
        <f t="shared" si="94"/>
        <v>A tiempo</v>
      </c>
      <c r="L1977" s="11">
        <v>46132</v>
      </c>
      <c r="M1977" s="22">
        <f>MAX(1,NETWORKDAYS(A1977,L1977,Table2[Dias no laborales]))</f>
        <v>1</v>
      </c>
    </row>
    <row r="1978" spans="1:13" x14ac:dyDescent="0.3">
      <c r="A1978" s="11">
        <v>46133</v>
      </c>
      <c r="B1978" s="20" t="s">
        <v>3966</v>
      </c>
      <c r="C1978" s="7" t="s">
        <v>4023</v>
      </c>
      <c r="D1978" s="7" t="s">
        <v>2981</v>
      </c>
      <c r="E1978" s="18">
        <v>46132.704861111109</v>
      </c>
      <c r="F1978" s="11">
        <f>IF(HOUR(Table1[[#This Row],[CORREO]])&gt;=11,WORKDAY(Table1[[#This Row],[CORREO]],1,Table2[Dias no laborales]),E1978)</f>
        <v>46133</v>
      </c>
      <c r="G1978" s="11">
        <v>46133</v>
      </c>
      <c r="H1978" s="7">
        <f t="shared" si="93"/>
        <v>16</v>
      </c>
      <c r="I1978" s="7">
        <f>MAX(1, NETWORKDAYS(A1978, G1978,Table2[Dias no laborales]))</f>
        <v>1</v>
      </c>
      <c r="J1978" s="7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7" t="str">
        <f t="shared" si="94"/>
        <v>A tiempo</v>
      </c>
      <c r="L1978" s="11">
        <v>46133</v>
      </c>
      <c r="M1978" s="22">
        <f>MAX(1,NETWORKDAYS(A1978,L1978,Table2[Dias no laborales]))</f>
        <v>1</v>
      </c>
    </row>
    <row r="1979" spans="1:13" x14ac:dyDescent="0.3">
      <c r="A1979" s="11">
        <v>46133</v>
      </c>
      <c r="B1979" s="20" t="s">
        <v>3967</v>
      </c>
      <c r="C1979" s="7" t="s">
        <v>4024</v>
      </c>
      <c r="D1979" s="7" t="s">
        <v>24</v>
      </c>
      <c r="E1979" s="18">
        <v>46133.457638888889</v>
      </c>
      <c r="F1979" s="11">
        <f>IF(HOUR(Table1[[#This Row],[CORREO]])&gt;=11,WORKDAY(Table1[[#This Row],[CORREO]],1,Table2[Dias no laborales]),E1979)</f>
        <v>46133.457638888889</v>
      </c>
      <c r="G1979" s="11">
        <v>46133</v>
      </c>
      <c r="H1979" s="7">
        <f t="shared" si="93"/>
        <v>16</v>
      </c>
      <c r="I1979" s="7">
        <f>MAX(1, NETWORKDAYS(A1979, G1979,Table2[Dias no laborales]))</f>
        <v>1</v>
      </c>
      <c r="J1979" s="7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7" t="str">
        <f t="shared" si="94"/>
        <v>A tiempo</v>
      </c>
      <c r="L1979" s="11">
        <v>46133</v>
      </c>
      <c r="M1979" s="22">
        <f>MAX(1,NETWORKDAYS(A1979,L1979,Table2[Dias no laborales]))</f>
        <v>1</v>
      </c>
    </row>
    <row r="1980" spans="1:13" x14ac:dyDescent="0.3">
      <c r="A1980" s="11">
        <v>46133</v>
      </c>
      <c r="B1980" s="20" t="s">
        <v>3968</v>
      </c>
      <c r="C1980" s="7" t="s">
        <v>4025</v>
      </c>
      <c r="D1980" s="7" t="s">
        <v>53</v>
      </c>
      <c r="E1980" s="18">
        <v>46133.459027777775</v>
      </c>
      <c r="F1980" s="11">
        <f>IF(HOUR(Table1[[#This Row],[CORREO]])&gt;=11,WORKDAY(Table1[[#This Row],[CORREO]],1,Table2[Dias no laborales]),E1980)</f>
        <v>46134</v>
      </c>
      <c r="G1980" s="11">
        <v>46133</v>
      </c>
      <c r="H1980" s="7">
        <f t="shared" si="93"/>
        <v>16</v>
      </c>
      <c r="I1980" s="7">
        <f>MAX(1, NETWORKDAYS(A1980, G1980,Table2[Dias no laborales]))</f>
        <v>1</v>
      </c>
      <c r="J1980" s="7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7" t="str">
        <f t="shared" si="94"/>
        <v>Mismo día</v>
      </c>
      <c r="L1980" s="11">
        <v>46133</v>
      </c>
      <c r="M1980" s="22">
        <f>MAX(1,NETWORKDAYS(A1980,L1980,Table2[Dias no laborales]))</f>
        <v>1</v>
      </c>
    </row>
    <row r="1981" spans="1:13" x14ac:dyDescent="0.3">
      <c r="A1981" s="11">
        <v>46133</v>
      </c>
      <c r="B1981" s="20" t="s">
        <v>3969</v>
      </c>
      <c r="C1981" s="7" t="s">
        <v>4026</v>
      </c>
      <c r="D1981" s="7" t="s">
        <v>24</v>
      </c>
      <c r="E1981" s="18">
        <v>46133.461805555555</v>
      </c>
      <c r="F1981" s="11">
        <f>IF(HOUR(Table1[[#This Row],[CORREO]])&gt;=11,WORKDAY(Table1[[#This Row],[CORREO]],1,Table2[Dias no laborales]),E1981)</f>
        <v>46134</v>
      </c>
      <c r="G1981" s="11">
        <v>46134</v>
      </c>
      <c r="H1981" s="7">
        <f t="shared" si="93"/>
        <v>16</v>
      </c>
      <c r="I1981" s="7">
        <f>MAX(1, NETWORKDAYS(A1981, G1981,Table2[Dias no laborales]))</f>
        <v>2</v>
      </c>
      <c r="J1981" s="7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7" t="str">
        <f t="shared" si="94"/>
        <v>Mismo día</v>
      </c>
      <c r="L1981" s="11">
        <v>46133</v>
      </c>
      <c r="M1981" s="22">
        <f>MAX(1,NETWORKDAYS(A1981,L1981,Table2[Dias no laborales]))</f>
        <v>1</v>
      </c>
    </row>
    <row r="1982" spans="1:13" x14ac:dyDescent="0.3">
      <c r="A1982" s="11">
        <v>46133</v>
      </c>
      <c r="B1982" s="20" t="s">
        <v>3970</v>
      </c>
      <c r="C1982" s="7" t="s">
        <v>4027</v>
      </c>
      <c r="D1982" s="7" t="s">
        <v>1136</v>
      </c>
      <c r="E1982" s="18">
        <v>46133.706250000003</v>
      </c>
      <c r="F1982" s="11">
        <f>IF(HOUR(Table1[[#This Row],[CORREO]])&gt;=11,WORKDAY(Table1[[#This Row],[CORREO]],1,Table2[Dias no laborales]),E1982)</f>
        <v>46134</v>
      </c>
      <c r="G1982" s="11">
        <v>46139</v>
      </c>
      <c r="H1982" s="7">
        <f t="shared" si="93"/>
        <v>16</v>
      </c>
      <c r="I1982" s="7">
        <f>MAX(1, NETWORKDAYS(A1982, G1982,Table2[Dias no laborales]))</f>
        <v>5</v>
      </c>
      <c r="J1982" s="7" t="str">
        <f>IF(Table1[[#This Row],[FIN]]="","Acumulado",IF(ISNUMBER(SEARCH("ASAP",C1982)),"ASAP",IF(NETWORKDAYS.INTL(F1982,G1982,1,Table2[Dias no laborales]) &lt;= 7, "Dentro", IF(A1982&gt;F1982,"Programado","Fuera"))))</f>
        <v>Dentro</v>
      </c>
      <c r="K1982" s="7" t="str">
        <f t="shared" si="94"/>
        <v>Mismo día</v>
      </c>
      <c r="L1982" s="11">
        <v>46133</v>
      </c>
      <c r="M1982" s="22">
        <f>MAX(1,NETWORKDAYS(A1982,L1982,Table2[Dias no laborales]))</f>
        <v>1</v>
      </c>
    </row>
    <row r="1983" spans="1:13" x14ac:dyDescent="0.3">
      <c r="A1983" s="11">
        <v>46134</v>
      </c>
      <c r="B1983" s="20" t="s">
        <v>3971</v>
      </c>
      <c r="C1983" s="7" t="s">
        <v>4028</v>
      </c>
      <c r="D1983" s="7" t="s">
        <v>4029</v>
      </c>
      <c r="E1983" s="18"/>
      <c r="F1983" s="11">
        <f>IF(HOUR(Table1[[#This Row],[CORREO]])&gt;=11,WORKDAY(Table1[[#This Row],[CORREO]],1,Table2[Dias no laborales]),E1983)</f>
        <v>0</v>
      </c>
      <c r="G1983" s="11">
        <v>46134</v>
      </c>
      <c r="H1983" s="7">
        <f t="shared" si="93"/>
        <v>16</v>
      </c>
      <c r="I1983" s="7">
        <f>MAX(1, NETWORKDAYS(A1983, G1983,Table2[Dias no laborales]))</f>
        <v>1</v>
      </c>
      <c r="J1983" s="7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7" t="str">
        <f t="shared" si="94"/>
        <v>Programados</v>
      </c>
      <c r="L1983" s="11">
        <v>46134</v>
      </c>
      <c r="M1983" s="22">
        <f>MAX(1,NETWORKDAYS(A1983,L1983,Table2[Dias no laborales]))</f>
        <v>1</v>
      </c>
    </row>
    <row r="1984" spans="1:13" x14ac:dyDescent="0.3">
      <c r="A1984" s="11">
        <v>46134</v>
      </c>
      <c r="B1984" s="20" t="s">
        <v>3972</v>
      </c>
      <c r="C1984" s="7" t="s">
        <v>4030</v>
      </c>
      <c r="D1984" s="7" t="s">
        <v>839</v>
      </c>
      <c r="E1984" s="18"/>
      <c r="F1984" s="11">
        <f>IF(HOUR(Table1[[#This Row],[CORREO]])&gt;=11,WORKDAY(Table1[[#This Row],[CORREO]],1,Table2[Dias no laborales]),E1984)</f>
        <v>0</v>
      </c>
      <c r="G1984" s="11">
        <v>46139</v>
      </c>
      <c r="H1984" s="7">
        <f t="shared" si="93"/>
        <v>16</v>
      </c>
      <c r="I1984" s="7">
        <f>MAX(1, NETWORKDAYS(A1984, G1984,Table2[Dias no laborales]))</f>
        <v>4</v>
      </c>
      <c r="J1984" s="7" t="str">
        <f>IF(Table1[[#This Row],[FIN]]="","Acumulado",IF(ISNUMBER(SEARCH("ASAP",C1984)),"ASAP",IF(NETWORKDAYS.INTL(F1984,G1984,1,Table2[Dias no laborales]) &lt;= 7, "Dentro", IF(A1984&gt;F1984,"Programado","Fuera"))))</f>
        <v>Programado</v>
      </c>
      <c r="K1984" s="7" t="str">
        <f t="shared" si="94"/>
        <v>Programados</v>
      </c>
      <c r="L1984" s="11">
        <v>46134</v>
      </c>
      <c r="M1984" s="22">
        <f>MAX(1,NETWORKDAYS(A1984,L1984,Table2[Dias no laborales]))</f>
        <v>1</v>
      </c>
    </row>
    <row r="1985" spans="1:13" x14ac:dyDescent="0.3">
      <c r="A1985" s="11">
        <v>46134</v>
      </c>
      <c r="B1985" s="20" t="s">
        <v>3973</v>
      </c>
      <c r="C1985" s="7" t="s">
        <v>4031</v>
      </c>
      <c r="D1985" s="7" t="s">
        <v>53</v>
      </c>
      <c r="E1985" s="18">
        <v>46133.765277777777</v>
      </c>
      <c r="F1985" s="11">
        <f>IF(HOUR(Table1[[#This Row],[CORREO]])&gt;=11,WORKDAY(Table1[[#This Row],[CORREO]],1,Table2[Dias no laborales]),E1985)</f>
        <v>46134</v>
      </c>
      <c r="G1985" s="11">
        <v>46142</v>
      </c>
      <c r="H1985" s="7">
        <f t="shared" si="93"/>
        <v>16</v>
      </c>
      <c r="I1985" s="7">
        <f>MAX(1, NETWORKDAYS(A1985, G1985,Table2[Dias no laborales]))</f>
        <v>7</v>
      </c>
      <c r="J1985" s="7" t="str">
        <f>IF(Table1[[#This Row],[FIN]]="","Acumulado",IF(ISNUMBER(SEARCH("ASAP",C1985)),"ASAP",IF(NETWORKDAYS.INTL(F1985,G1985,1,Table2[Dias no laborales]) &lt;= 7, "Dentro", IF(A1985&gt;F1985,"Programado","Fuera"))))</f>
        <v>Dentro</v>
      </c>
      <c r="K1985" s="7" t="str">
        <f t="shared" si="94"/>
        <v>A tiempo</v>
      </c>
      <c r="L1985" s="11">
        <v>46134</v>
      </c>
      <c r="M1985" s="22">
        <f>MAX(1,NETWORKDAYS(A1985,L1985,Table2[Dias no laborales]))</f>
        <v>1</v>
      </c>
    </row>
    <row r="1986" spans="1:13" x14ac:dyDescent="0.3">
      <c r="A1986" s="11">
        <v>46134</v>
      </c>
      <c r="B1986" s="20" t="s">
        <v>3974</v>
      </c>
      <c r="C1986" s="7" t="s">
        <v>4032</v>
      </c>
      <c r="D1986" s="7" t="s">
        <v>269</v>
      </c>
      <c r="E1986" s="18">
        <v>44673.348611111112</v>
      </c>
      <c r="F1986" s="11">
        <f>IF(HOUR(Table1[[#This Row],[CORREO]])&gt;=11,WORKDAY(Table1[[#This Row],[CORREO]],1,Table2[Dias no laborales]),E1986)</f>
        <v>44673.348611111112</v>
      </c>
      <c r="G1986" s="11">
        <v>46134</v>
      </c>
      <c r="H1986" s="7">
        <f t="shared" si="93"/>
        <v>16</v>
      </c>
      <c r="I1986" s="7">
        <f>MAX(1, NETWORKDAYS(A1986, G1986,Table2[Dias no laborales]))</f>
        <v>1</v>
      </c>
      <c r="J1986" s="7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7" t="str">
        <f t="shared" si="94"/>
        <v>Programados</v>
      </c>
      <c r="L1986" s="11">
        <v>46134</v>
      </c>
      <c r="M1986" s="22">
        <f>MAX(1,NETWORKDAYS(A1986,L1986,Table2[Dias no laborales]))</f>
        <v>1</v>
      </c>
    </row>
    <row r="1987" spans="1:13" x14ac:dyDescent="0.3">
      <c r="A1987" s="11">
        <v>46134</v>
      </c>
      <c r="B1987" s="20" t="s">
        <v>3975</v>
      </c>
      <c r="C1987" s="7" t="s">
        <v>4033</v>
      </c>
      <c r="D1987" s="7" t="s">
        <v>56</v>
      </c>
      <c r="E1987" s="18">
        <v>46134.45416666667</v>
      </c>
      <c r="F1987" s="11">
        <f>IF(HOUR(Table1[[#This Row],[CORREO]])&gt;=11,WORKDAY(Table1[[#This Row],[CORREO]],1,Table2[Dias no laborales]),E1987)</f>
        <v>46134.45416666667</v>
      </c>
      <c r="G1987" s="11">
        <v>46134</v>
      </c>
      <c r="H1987" s="7">
        <f t="shared" si="93"/>
        <v>16</v>
      </c>
      <c r="I1987" s="7">
        <f>MAX(1, NETWORKDAYS(A1987, G1987,Table2[Dias no laborales]))</f>
        <v>1</v>
      </c>
      <c r="J1987" s="7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7" t="str">
        <f t="shared" si="94"/>
        <v>A tiempo</v>
      </c>
      <c r="L1987" s="11">
        <v>46134</v>
      </c>
      <c r="M1987" s="22">
        <f>MAX(1,NETWORKDAYS(A1987,L1987,Table2[Dias no laborales]))</f>
        <v>1</v>
      </c>
    </row>
    <row r="1988" spans="1:13" x14ac:dyDescent="0.3">
      <c r="A1988" s="11">
        <v>46134</v>
      </c>
      <c r="B1988" s="20" t="s">
        <v>3976</v>
      </c>
      <c r="C1988" s="7" t="s">
        <v>4034</v>
      </c>
      <c r="D1988" s="7" t="s">
        <v>4035</v>
      </c>
      <c r="E1988" s="18">
        <v>46134.506249999999</v>
      </c>
      <c r="F1988" s="11">
        <f>IF(HOUR(Table1[[#This Row],[CORREO]])&gt;=11,WORKDAY(Table1[[#This Row],[CORREO]],1,Table2[Dias no laborales]),E1988)</f>
        <v>46135</v>
      </c>
      <c r="G1988" s="11">
        <v>46135</v>
      </c>
      <c r="H1988" s="7">
        <f t="shared" si="93"/>
        <v>16</v>
      </c>
      <c r="I1988" s="7">
        <f>MAX(1, NETWORKDAYS(A1988, G1988,Table2[Dias no laborales]))</f>
        <v>2</v>
      </c>
      <c r="J1988" s="7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7" t="str">
        <f t="shared" si="94"/>
        <v>Mismo día</v>
      </c>
      <c r="L1988" s="11">
        <v>46134</v>
      </c>
      <c r="M1988" s="22">
        <f>MAX(1,NETWORKDAYS(A1988,L1988,Table2[Dias no laborales]))</f>
        <v>1</v>
      </c>
    </row>
    <row r="1989" spans="1:13" x14ac:dyDescent="0.3">
      <c r="A1989" s="11">
        <v>46134</v>
      </c>
      <c r="B1989" s="20" t="s">
        <v>3977</v>
      </c>
      <c r="C1989" s="7" t="s">
        <v>4032</v>
      </c>
      <c r="D1989" s="7" t="s">
        <v>4036</v>
      </c>
      <c r="E1989" s="18">
        <v>46134.543749999997</v>
      </c>
      <c r="F1989" s="11">
        <f>IF(HOUR(Table1[[#This Row],[CORREO]])&gt;=11,WORKDAY(Table1[[#This Row],[CORREO]],1,Table2[Dias no laborales]),E1989)</f>
        <v>46135</v>
      </c>
      <c r="G1989" s="11">
        <v>46135</v>
      </c>
      <c r="H1989" s="7">
        <f t="shared" ref="H1989:H2007" si="95">INT((A1989-DATE(YEAR(A1989),1,1))/7) + 1</f>
        <v>16</v>
      </c>
      <c r="I1989" s="7">
        <f>MAX(1, NETWORKDAYS(A1989, G1989,Table2[Dias no laborales]))</f>
        <v>2</v>
      </c>
      <c r="J1989" s="7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7" t="str">
        <f t="shared" ref="K1989:K2007" si="96">IF(INT(A1989)=INT(F1989),"A tiempo", IF(A1989&lt;F1989,"Mismo día","Programados"))</f>
        <v>Mismo día</v>
      </c>
      <c r="L1989" s="11">
        <v>46134</v>
      </c>
      <c r="M1989" s="22">
        <f>MAX(1,NETWORKDAYS(A1989,L1989,Table2[Dias no laborales]))</f>
        <v>1</v>
      </c>
    </row>
    <row r="1990" spans="1:13" x14ac:dyDescent="0.3">
      <c r="A1990" s="11">
        <v>46135</v>
      </c>
      <c r="B1990" s="20" t="s">
        <v>3978</v>
      </c>
      <c r="C1990" s="7" t="s">
        <v>4037</v>
      </c>
      <c r="D1990" s="7" t="s">
        <v>2963</v>
      </c>
      <c r="E1990" s="18"/>
      <c r="F1990" s="11">
        <f>IF(HOUR(Table1[[#This Row],[CORREO]])&gt;=11,WORKDAY(Table1[[#This Row],[CORREO]],1,Table2[Dias no laborales]),E1990)</f>
        <v>0</v>
      </c>
      <c r="G1990" s="11">
        <v>46136</v>
      </c>
      <c r="H1990" s="7">
        <f t="shared" si="95"/>
        <v>17</v>
      </c>
      <c r="I1990" s="7">
        <f>MAX(1, NETWORKDAYS(A1990, G1990,Table2[Dias no laborales]))</f>
        <v>2</v>
      </c>
      <c r="J1990" s="7" t="str">
        <f>IF(Table1[[#This Row],[FIN]]="","Acumulado",IF(ISNUMBER(SEARCH("ASAP",C1990)),"ASAP",IF(NETWORKDAYS.INTL(F1990,G1990,1,Table2[Dias no laborales]) &lt;= 7, "Dentro", IF(A1990&gt;F1990,"Programado","Fuera"))))</f>
        <v>Programado</v>
      </c>
      <c r="K1990" s="7" t="str">
        <f t="shared" si="96"/>
        <v>Programados</v>
      </c>
      <c r="L1990" s="11">
        <v>46135</v>
      </c>
      <c r="M1990" s="22">
        <f>MAX(1,NETWORKDAYS(A1990,L1990,Table2[Dias no laborales]))</f>
        <v>1</v>
      </c>
    </row>
    <row r="1991" spans="1:13" x14ac:dyDescent="0.3">
      <c r="A1991" s="11">
        <v>46135</v>
      </c>
      <c r="B1991" s="20" t="s">
        <v>3979</v>
      </c>
      <c r="C1991" s="7" t="s">
        <v>4038</v>
      </c>
      <c r="D1991" s="7" t="s">
        <v>75</v>
      </c>
      <c r="E1991" s="18"/>
      <c r="F1991" s="11">
        <f>IF(HOUR(Table1[[#This Row],[CORREO]])&gt;=11,WORKDAY(Table1[[#This Row],[CORREO]],1,Table2[Dias no laborales]),E1991)</f>
        <v>0</v>
      </c>
      <c r="G1991" s="11">
        <v>46136</v>
      </c>
      <c r="H1991" s="7">
        <f t="shared" si="95"/>
        <v>17</v>
      </c>
      <c r="I1991" s="7">
        <f>MAX(1, NETWORKDAYS(A1991, G1991,Table2[Dias no laborales]))</f>
        <v>2</v>
      </c>
      <c r="J1991" s="7" t="str">
        <f>IF(Table1[[#This Row],[FIN]]="","Acumulado",IF(ISNUMBER(SEARCH("ASAP",C1991)),"ASAP",IF(NETWORKDAYS.INTL(F1991,G1991,1,Table2[Dias no laborales]) &lt;= 7, "Dentro", IF(A1991&gt;F1991,"Programado","Fuera"))))</f>
        <v>Programado</v>
      </c>
      <c r="K1991" s="7" t="str">
        <f t="shared" si="96"/>
        <v>Programados</v>
      </c>
      <c r="L1991" s="11">
        <v>46135</v>
      </c>
      <c r="M1991" s="22">
        <f>MAX(1,NETWORKDAYS(A1991,L1991,Table2[Dias no laborales]))</f>
        <v>1</v>
      </c>
    </row>
    <row r="1992" spans="1:13" x14ac:dyDescent="0.3">
      <c r="A1992" s="11">
        <v>46135</v>
      </c>
      <c r="B1992" s="20" t="s">
        <v>3980</v>
      </c>
      <c r="C1992" s="7" t="s">
        <v>4039</v>
      </c>
      <c r="D1992" s="7" t="s">
        <v>2994</v>
      </c>
      <c r="E1992" s="18"/>
      <c r="F1992" s="11">
        <f>IF(HOUR(Table1[[#This Row],[CORREO]])&gt;=11,WORKDAY(Table1[[#This Row],[CORREO]],1,Table2[Dias no laborales]),E1992)</f>
        <v>0</v>
      </c>
      <c r="G1992" s="11">
        <v>46139</v>
      </c>
      <c r="H1992" s="7">
        <f t="shared" si="95"/>
        <v>17</v>
      </c>
      <c r="I1992" s="7">
        <f>MAX(1, NETWORKDAYS(A1992, G1992,Table2[Dias no laborales]))</f>
        <v>3</v>
      </c>
      <c r="J1992" s="7" t="str">
        <f>IF(Table1[[#This Row],[FIN]]="","Acumulado",IF(ISNUMBER(SEARCH("ASAP",C1992)),"ASAP",IF(NETWORKDAYS.INTL(F1992,G1992,1,Table2[Dias no laborales]) &lt;= 7, "Dentro", IF(A1992&gt;F1992,"Programado","Fuera"))))</f>
        <v>Programado</v>
      </c>
      <c r="K1992" s="7" t="str">
        <f t="shared" si="96"/>
        <v>Programados</v>
      </c>
      <c r="L1992" s="11">
        <v>46135</v>
      </c>
      <c r="M1992" s="22">
        <f>MAX(1,NETWORKDAYS(A1992,L1992,Table2[Dias no laborales]))</f>
        <v>1</v>
      </c>
    </row>
    <row r="1993" spans="1:13" x14ac:dyDescent="0.3">
      <c r="A1993" s="11">
        <v>46135</v>
      </c>
      <c r="B1993" s="20" t="s">
        <v>3981</v>
      </c>
      <c r="C1993" s="7" t="s">
        <v>4040</v>
      </c>
      <c r="D1993" s="7" t="s">
        <v>562</v>
      </c>
      <c r="E1993" s="18"/>
      <c r="F1993" s="11">
        <f>IF(HOUR(Table1[[#This Row],[CORREO]])&gt;=11,WORKDAY(Table1[[#This Row],[CORREO]],1,Table2[Dias no laborales]),E1993)</f>
        <v>0</v>
      </c>
      <c r="G1993" s="11">
        <v>46142</v>
      </c>
      <c r="H1993" s="7">
        <f t="shared" si="95"/>
        <v>17</v>
      </c>
      <c r="I1993" s="7">
        <f>MAX(1, NETWORKDAYS(A1993, G1993,Table2[Dias no laborales]))</f>
        <v>6</v>
      </c>
      <c r="J1993" s="7" t="str">
        <f>IF(Table1[[#This Row],[FIN]]="","Acumulado",IF(ISNUMBER(SEARCH("ASAP",C1993)),"ASAP",IF(NETWORKDAYS.INTL(F1993,G1993,1,Table2[Dias no laborales]) &lt;= 7, "Dentro", IF(A1993&gt;F1993,"Programado","Fuera"))))</f>
        <v>Programado</v>
      </c>
      <c r="K1993" s="7" t="str">
        <f t="shared" si="96"/>
        <v>Programados</v>
      </c>
      <c r="L1993" s="11">
        <v>46135</v>
      </c>
      <c r="M1993" s="22">
        <f>MAX(1,NETWORKDAYS(A1993,L1993,Table2[Dias no laborales]))</f>
        <v>1</v>
      </c>
    </row>
    <row r="1994" spans="1:13" x14ac:dyDescent="0.3">
      <c r="A1994" s="11">
        <v>46135</v>
      </c>
      <c r="B1994" s="20" t="s">
        <v>3982</v>
      </c>
      <c r="C1994" s="7" t="s">
        <v>4041</v>
      </c>
      <c r="D1994" s="7" t="s">
        <v>3794</v>
      </c>
      <c r="E1994" s="18">
        <v>46135.424305555556</v>
      </c>
      <c r="F1994" s="11">
        <f>IF(HOUR(Table1[[#This Row],[CORREO]])&gt;=11,WORKDAY(Table1[[#This Row],[CORREO]],1,Table2[Dias no laborales]),E1994)</f>
        <v>46135.424305555556</v>
      </c>
      <c r="G1994" s="11">
        <v>46135</v>
      </c>
      <c r="H1994" s="7">
        <f t="shared" si="95"/>
        <v>17</v>
      </c>
      <c r="I1994" s="7">
        <f>MAX(1, NETWORKDAYS(A1994, G1994,Table2[Dias no laborales]))</f>
        <v>1</v>
      </c>
      <c r="J1994" s="7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7" t="str">
        <f t="shared" si="96"/>
        <v>A tiempo</v>
      </c>
      <c r="L1994" s="11">
        <v>46135</v>
      </c>
      <c r="M1994" s="22">
        <f>MAX(1,NETWORKDAYS(A1994,L1994,Table2[Dias no laborales]))</f>
        <v>1</v>
      </c>
    </row>
    <row r="1995" spans="1:13" x14ac:dyDescent="0.3">
      <c r="A1995" s="11">
        <v>46135</v>
      </c>
      <c r="B1995" s="20" t="s">
        <v>3983</v>
      </c>
      <c r="C1995" s="7" t="s">
        <v>4042</v>
      </c>
      <c r="D1995" s="7" t="s">
        <v>191</v>
      </c>
      <c r="E1995" s="18">
        <v>46135.436805555553</v>
      </c>
      <c r="F1995" s="11">
        <f>IF(HOUR(Table1[[#This Row],[CORREO]])&gt;=11,WORKDAY(Table1[[#This Row],[CORREO]],1,Table2[Dias no laborales]),E1995)</f>
        <v>46135.436805555553</v>
      </c>
      <c r="G1995" s="11">
        <v>46139</v>
      </c>
      <c r="H1995" s="7">
        <f t="shared" si="95"/>
        <v>17</v>
      </c>
      <c r="I1995" s="7">
        <f>MAX(1, NETWORKDAYS(A1995, G1995,Table2[Dias no laborales]))</f>
        <v>3</v>
      </c>
      <c r="J1995" s="7" t="str">
        <f>IF(Table1[[#This Row],[FIN]]="","Acumulado",IF(ISNUMBER(SEARCH("ASAP",C1995)),"ASAP",IF(NETWORKDAYS.INTL(F1995,G1995,1,Table2[Dias no laborales]) &lt;= 7, "Dentro", IF(A1995&gt;F1995,"Programado","Fuera"))))</f>
        <v>Dentro</v>
      </c>
      <c r="K1995" s="7" t="str">
        <f t="shared" si="96"/>
        <v>A tiempo</v>
      </c>
      <c r="L1995" s="11">
        <v>46135</v>
      </c>
      <c r="M1995" s="22">
        <f>MAX(1,NETWORKDAYS(A1995,L1995,Table2[Dias no laborales]))</f>
        <v>1</v>
      </c>
    </row>
    <row r="1996" spans="1:13" x14ac:dyDescent="0.3">
      <c r="A1996" s="11">
        <v>46135</v>
      </c>
      <c r="B1996" s="20" t="s">
        <v>3984</v>
      </c>
      <c r="C1996" s="7" t="s">
        <v>4043</v>
      </c>
      <c r="D1996" s="7" t="s">
        <v>53</v>
      </c>
      <c r="E1996" s="18">
        <v>46135.456944444442</v>
      </c>
      <c r="F1996" s="11">
        <f>IF(HOUR(Table1[[#This Row],[CORREO]])&gt;=11,WORKDAY(Table1[[#This Row],[CORREO]],1,Table2[Dias no laborales]),E1996)</f>
        <v>46135.456944444442</v>
      </c>
      <c r="G1996" s="11">
        <v>46147</v>
      </c>
      <c r="H1996" s="7">
        <f t="shared" si="95"/>
        <v>17</v>
      </c>
      <c r="I1996" s="7">
        <f>MAX(1, NETWORKDAYS(A1996, G1996,Table2[Dias no laborales]))</f>
        <v>7</v>
      </c>
      <c r="J1996" s="7" t="str">
        <f>IF(Table1[[#This Row],[FIN]]="","Acumulado",IF(ISNUMBER(SEARCH("ASAP",C1996)),"ASAP",IF(NETWORKDAYS.INTL(F1996,G1996,1,Table2[Dias no laborales]) &lt;= 7, "Dentro", IF(A1996&gt;F1996,"Programado","Fuera"))))</f>
        <v>Dentro</v>
      </c>
      <c r="K1996" s="7" t="str">
        <f t="shared" si="96"/>
        <v>A tiempo</v>
      </c>
      <c r="L1996" s="11">
        <v>46135</v>
      </c>
      <c r="M1996" s="22">
        <f>MAX(1,NETWORKDAYS(A1996,L1996,Table2[Dias no laborales]))</f>
        <v>1</v>
      </c>
    </row>
    <row r="1997" spans="1:13" x14ac:dyDescent="0.3">
      <c r="A1997" s="11">
        <v>46135</v>
      </c>
      <c r="B1997" s="20" t="s">
        <v>3985</v>
      </c>
      <c r="C1997" s="7" t="s">
        <v>4044</v>
      </c>
      <c r="D1997" s="7" t="s">
        <v>2586</v>
      </c>
      <c r="E1997" s="18">
        <v>46132.402083333334</v>
      </c>
      <c r="F1997" s="11">
        <f>IF(HOUR(Table1[[#This Row],[CORREO]])&gt;=11,WORKDAY(Table1[[#This Row],[CORREO]],1,Table2[Dias no laborales]),E1997)</f>
        <v>46132.402083333334</v>
      </c>
      <c r="G1997" s="11">
        <v>46136</v>
      </c>
      <c r="H1997" s="7">
        <f t="shared" si="95"/>
        <v>17</v>
      </c>
      <c r="I1997" s="7">
        <f>MAX(1, NETWORKDAYS(A1997, G1997,Table2[Dias no laborales]))</f>
        <v>2</v>
      </c>
      <c r="J1997" s="7" t="str">
        <f>IF(Table1[[#This Row],[FIN]]="","Acumulado",IF(ISNUMBER(SEARCH("ASAP",C1997)),"ASAP",IF(NETWORKDAYS.INTL(F1997,G1997,1,Table2[Dias no laborales]) &lt;= 7, "Dentro", IF(A1997&gt;F1997,"Programado","Fuera"))))</f>
        <v>Dentro</v>
      </c>
      <c r="K1997" s="7" t="str">
        <f t="shared" si="96"/>
        <v>Programados</v>
      </c>
      <c r="L1997" s="11">
        <v>46135</v>
      </c>
      <c r="M1997" s="22">
        <f>MAX(1,NETWORKDAYS(A1997,L1997,Table2[Dias no laborales]))</f>
        <v>1</v>
      </c>
    </row>
    <row r="1998" spans="1:13" x14ac:dyDescent="0.3">
      <c r="A1998" s="11">
        <v>46135</v>
      </c>
      <c r="B1998" s="20" t="s">
        <v>3986</v>
      </c>
      <c r="C1998" s="7" t="s">
        <v>4045</v>
      </c>
      <c r="D1998" s="7" t="s">
        <v>1360</v>
      </c>
      <c r="E1998" s="18"/>
      <c r="F1998" s="11">
        <f>IF(HOUR(Table1[[#This Row],[CORREO]])&gt;=11,WORKDAY(Table1[[#This Row],[CORREO]],1,Table2[Dias no laborales]),E1998)</f>
        <v>0</v>
      </c>
      <c r="G1998" s="11">
        <v>46136</v>
      </c>
      <c r="H1998" s="7">
        <f t="shared" si="95"/>
        <v>17</v>
      </c>
      <c r="I1998" s="7">
        <f>MAX(1, NETWORKDAYS(A1998, G1998,Table2[Dias no laborales]))</f>
        <v>2</v>
      </c>
      <c r="J1998" s="7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7" t="str">
        <f t="shared" si="96"/>
        <v>Programados</v>
      </c>
      <c r="L1998" s="11">
        <v>46135</v>
      </c>
      <c r="M1998" s="22">
        <f>MAX(1,NETWORKDAYS(A1998,L1998,Table2[Dias no laborales]))</f>
        <v>1</v>
      </c>
    </row>
    <row r="1999" spans="1:13" x14ac:dyDescent="0.3">
      <c r="A1999" s="11">
        <v>46135</v>
      </c>
      <c r="B1999" s="20" t="s">
        <v>3987</v>
      </c>
      <c r="C1999" s="7" t="s">
        <v>4046</v>
      </c>
      <c r="D1999" s="7" t="s">
        <v>4047</v>
      </c>
      <c r="E1999" s="18">
        <v>46135.611111111109</v>
      </c>
      <c r="F1999" s="11">
        <f>IF(HOUR(Table1[[#This Row],[CORREO]])&gt;=11,WORKDAY(Table1[[#This Row],[CORREO]],1,Table2[Dias no laborales]),E1999)</f>
        <v>46136</v>
      </c>
      <c r="G1999" s="11">
        <v>46140</v>
      </c>
      <c r="H1999" s="7">
        <f t="shared" si="95"/>
        <v>17</v>
      </c>
      <c r="I1999" s="7">
        <f>MAX(1, NETWORKDAYS(A1999, G1999,Table2[Dias no laborales]))</f>
        <v>4</v>
      </c>
      <c r="J1999" s="7" t="str">
        <f>IF(Table1[[#This Row],[FIN]]="","Acumulado",IF(ISNUMBER(SEARCH("ASAP",C1999)),"ASAP",IF(NETWORKDAYS.INTL(F1999,G1999,1,Table2[Dias no laborales]) &lt;= 7, "Dentro", IF(A1999&gt;F1999,"Programado","Fuera"))))</f>
        <v>Dentro</v>
      </c>
      <c r="K1999" s="7" t="str">
        <f t="shared" si="96"/>
        <v>Mismo día</v>
      </c>
      <c r="L1999" s="11">
        <v>46135</v>
      </c>
      <c r="M1999" s="22">
        <f>MAX(1,NETWORKDAYS(A1999,L1999,Table2[Dias no laborales]))</f>
        <v>1</v>
      </c>
    </row>
    <row r="2000" spans="1:13" x14ac:dyDescent="0.3">
      <c r="A2000" s="11">
        <v>46135</v>
      </c>
      <c r="B2000" s="20" t="s">
        <v>3988</v>
      </c>
      <c r="C2000" s="7" t="s">
        <v>4048</v>
      </c>
      <c r="D2000" s="7" t="s">
        <v>3039</v>
      </c>
      <c r="E2000" s="18">
        <v>46135.574999999997</v>
      </c>
      <c r="F2000" s="11">
        <f>IF(HOUR(Table1[[#This Row],[CORREO]])&gt;=11,WORKDAY(Table1[[#This Row],[CORREO]],1,Table2[Dias no laborales]),E2000)</f>
        <v>46136</v>
      </c>
      <c r="G2000" s="11">
        <v>46147</v>
      </c>
      <c r="H2000" s="7">
        <f t="shared" si="95"/>
        <v>17</v>
      </c>
      <c r="I2000" s="7">
        <f>MAX(1, NETWORKDAYS(A2000, G2000,Table2[Dias no laborales]))</f>
        <v>7</v>
      </c>
      <c r="J2000" s="7" t="str">
        <f>IF(Table1[[#This Row],[FIN]]="","Acumulado",IF(ISNUMBER(SEARCH("ASAP",C2000)),"ASAP",IF(NETWORKDAYS.INTL(F2000,G2000,1,Table2[Dias no laborales]) &lt;= 7, "Dentro", IF(A2000&gt;F2000,"Programado","Fuera"))))</f>
        <v>Dentro</v>
      </c>
      <c r="K2000" s="7" t="str">
        <f t="shared" si="96"/>
        <v>Mismo día</v>
      </c>
      <c r="L2000" s="11">
        <v>46135</v>
      </c>
      <c r="M2000" s="22">
        <f>MAX(1,NETWORKDAYS(A2000,L2000,Table2[Dias no laborales]))</f>
        <v>1</v>
      </c>
    </row>
    <row r="2001" spans="1:13" x14ac:dyDescent="0.3">
      <c r="A2001" s="11">
        <v>46136</v>
      </c>
      <c r="B2001" s="20" t="s">
        <v>3989</v>
      </c>
      <c r="C2001" s="7" t="s">
        <v>4049</v>
      </c>
      <c r="D2001" s="7" t="s">
        <v>372</v>
      </c>
      <c r="E2001" s="18">
        <v>46136.486805555556</v>
      </c>
      <c r="F2001" s="11">
        <f>IF(HOUR(Table1[[#This Row],[CORREO]])&gt;=11,WORKDAY(Table1[[#This Row],[CORREO]],1,Table2[Dias no laborales]),E2001)</f>
        <v>46139</v>
      </c>
      <c r="G2001" s="11">
        <v>46136</v>
      </c>
      <c r="H2001" s="7">
        <f t="shared" si="95"/>
        <v>17</v>
      </c>
      <c r="I2001" s="7">
        <f>MAX(1, NETWORKDAYS(A2001, G2001,Table2[Dias no laborales]))</f>
        <v>1</v>
      </c>
      <c r="J2001" s="7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7" t="str">
        <f t="shared" si="96"/>
        <v>Mismo día</v>
      </c>
      <c r="L2001" s="11">
        <v>46136</v>
      </c>
      <c r="M2001" s="22">
        <f>MAX(1,NETWORKDAYS(A2001,L2001,Table2[Dias no laborales]))</f>
        <v>1</v>
      </c>
    </row>
    <row r="2002" spans="1:13" x14ac:dyDescent="0.3">
      <c r="A2002" s="11">
        <v>46136</v>
      </c>
      <c r="B2002" s="20" t="s">
        <v>3990</v>
      </c>
      <c r="C2002" s="7" t="s">
        <v>4051</v>
      </c>
      <c r="D2002" s="7" t="s">
        <v>3794</v>
      </c>
      <c r="E2002" s="18">
        <v>46135.613194444442</v>
      </c>
      <c r="F2002" s="11">
        <f>IF(HOUR(Table1[[#This Row],[CORREO]])&gt;=11,WORKDAY(Table1[[#This Row],[CORREO]],1,Table2[Dias no laborales]),E2002)</f>
        <v>46136</v>
      </c>
      <c r="G2002" s="11">
        <v>46139</v>
      </c>
      <c r="H2002" s="7">
        <f t="shared" si="95"/>
        <v>17</v>
      </c>
      <c r="I2002" s="7">
        <f>MAX(1, NETWORKDAYS(A2002, G2002,Table2[Dias no laborales]))</f>
        <v>2</v>
      </c>
      <c r="J2002" s="7" t="str">
        <f>IF(Table1[[#This Row],[FIN]]="","Acumulado",IF(ISNUMBER(SEARCH("ASAP",C2002)),"ASAP",IF(NETWORKDAYS.INTL(F2002,G2002,1,Table2[Dias no laborales]) &lt;= 7, "Dentro", IF(A2002&gt;F2002,"Programado","Fuera"))))</f>
        <v>Dentro</v>
      </c>
      <c r="K2002" s="7" t="str">
        <f t="shared" si="96"/>
        <v>A tiempo</v>
      </c>
      <c r="L2002" s="11">
        <v>46136</v>
      </c>
      <c r="M2002" s="22">
        <f>MAX(1,NETWORKDAYS(A2002,L2002,Table2[Dias no laborales]))</f>
        <v>1</v>
      </c>
    </row>
    <row r="2003" spans="1:13" x14ac:dyDescent="0.3">
      <c r="A2003" s="11">
        <v>46136</v>
      </c>
      <c r="B2003" s="20" t="s">
        <v>3991</v>
      </c>
      <c r="C2003" s="7" t="s">
        <v>4050</v>
      </c>
      <c r="D2003" s="7" t="s">
        <v>916</v>
      </c>
      <c r="E2003" s="18">
        <v>46135.708333333336</v>
      </c>
      <c r="F2003" s="11">
        <f>IF(HOUR(Table1[[#This Row],[CORREO]])&gt;=11,WORKDAY(Table1[[#This Row],[CORREO]],1,Table2[Dias no laborales]),E2003)</f>
        <v>46136</v>
      </c>
      <c r="G2003" s="11">
        <v>46139</v>
      </c>
      <c r="H2003" s="7">
        <f t="shared" si="95"/>
        <v>17</v>
      </c>
      <c r="I2003" s="7">
        <f>MAX(1, NETWORKDAYS(A2003, G2003,Table2[Dias no laborales]))</f>
        <v>2</v>
      </c>
      <c r="J2003" s="7" t="str">
        <f>IF(Table1[[#This Row],[FIN]]="","Acumulado",IF(ISNUMBER(SEARCH("ASAP",C2003)),"ASAP",IF(NETWORKDAYS.INTL(F2003,G2003,1,Table2[Dias no laborales]) &lt;= 7, "Dentro", IF(A2003&gt;F2003,"Programado","Fuera"))))</f>
        <v>Dentro</v>
      </c>
      <c r="K2003" s="7" t="str">
        <f t="shared" si="96"/>
        <v>A tiempo</v>
      </c>
      <c r="L2003" s="11">
        <v>46136</v>
      </c>
      <c r="M2003" s="22">
        <f>MAX(1,NETWORKDAYS(A2003,L2003,Table2[Dias no laborales]))</f>
        <v>1</v>
      </c>
    </row>
    <row r="2004" spans="1:13" x14ac:dyDescent="0.3">
      <c r="A2004" s="11">
        <v>46136</v>
      </c>
      <c r="B2004" s="20" t="s">
        <v>3992</v>
      </c>
      <c r="C2004" s="7" t="s">
        <v>4052</v>
      </c>
      <c r="D2004" s="7" t="s">
        <v>108</v>
      </c>
      <c r="E2004" s="18">
        <v>46135.390972222223</v>
      </c>
      <c r="F2004" s="11">
        <f>IF(HOUR(Table1[[#This Row],[CORREO]])&gt;=11,WORKDAY(Table1[[#This Row],[CORREO]],1,Table2[Dias no laborales]),E2004)</f>
        <v>46135.390972222223</v>
      </c>
      <c r="G2004" s="11">
        <v>46139</v>
      </c>
      <c r="H2004" s="7">
        <f t="shared" si="95"/>
        <v>17</v>
      </c>
      <c r="I2004" s="7">
        <f>MAX(1, NETWORKDAYS(A2004, G2004,Table2[Dias no laborales]))</f>
        <v>2</v>
      </c>
      <c r="J2004" s="7" t="str">
        <f>IF(Table1[[#This Row],[FIN]]="","Acumulado",IF(ISNUMBER(SEARCH("ASAP",C2004)),"ASAP",IF(NETWORKDAYS.INTL(F2004,G2004,1,Table2[Dias no laborales]) &lt;= 7, "Dentro", IF(A2004&gt;F2004,"Programado","Fuera"))))</f>
        <v>Dentro</v>
      </c>
      <c r="K2004" s="7" t="str">
        <f t="shared" si="96"/>
        <v>Programados</v>
      </c>
      <c r="L2004" s="11">
        <v>46136</v>
      </c>
      <c r="M2004" s="22">
        <f>MAX(1,NETWORKDAYS(A2004,L2004,Table2[Dias no laborales]))</f>
        <v>1</v>
      </c>
    </row>
    <row r="2005" spans="1:13" x14ac:dyDescent="0.3">
      <c r="A2005" s="11">
        <v>46136</v>
      </c>
      <c r="B2005" s="20" t="s">
        <v>3993</v>
      </c>
      <c r="C2005" s="7" t="s">
        <v>4053</v>
      </c>
      <c r="D2005" s="7" t="s">
        <v>61</v>
      </c>
      <c r="E2005" s="18">
        <v>46064.456944444442</v>
      </c>
      <c r="F2005" s="11">
        <f>IF(HOUR(Table1[[#This Row],[CORREO]])&gt;=11,WORKDAY(Table1[[#This Row],[CORREO]],1,Table2[Dias no laborales]),E2005)</f>
        <v>46064.456944444442</v>
      </c>
      <c r="G2005" s="11">
        <v>46140</v>
      </c>
      <c r="H2005" s="7">
        <f t="shared" si="95"/>
        <v>17</v>
      </c>
      <c r="I2005" s="7">
        <f>MAX(1, NETWORKDAYS(A2005, G2005,Table2[Dias no laborales]))</f>
        <v>3</v>
      </c>
      <c r="J2005" s="7" t="str">
        <f>IF(Table1[[#This Row],[FIN]]="","Acumulado",IF(ISNUMBER(SEARCH("ASAP",C2005)),"ASAP",IF(NETWORKDAYS.INTL(F2005,G2005,1,Table2[Dias no laborales]) &lt;= 7, "Dentro", IF(A2005&gt;F2005,"Programado","Fuera"))))</f>
        <v>Programado</v>
      </c>
      <c r="K2005" s="7" t="str">
        <f t="shared" si="96"/>
        <v>Programados</v>
      </c>
      <c r="L2005" s="11">
        <v>46136</v>
      </c>
      <c r="M2005" s="22">
        <f>MAX(1,NETWORKDAYS(A2005,L2005,Table2[Dias no laborales]))</f>
        <v>1</v>
      </c>
    </row>
    <row r="2006" spans="1:13" x14ac:dyDescent="0.3">
      <c r="A2006" s="11">
        <v>46136</v>
      </c>
      <c r="B2006" s="20" t="s">
        <v>3994</v>
      </c>
      <c r="C2006" s="7" t="s">
        <v>3927</v>
      </c>
      <c r="D2006" s="7" t="s">
        <v>2994</v>
      </c>
      <c r="E2006" s="18">
        <v>46135.711805555555</v>
      </c>
      <c r="F2006" s="11">
        <f>IF(HOUR(Table1[[#This Row],[CORREO]])&gt;=11,WORKDAY(Table1[[#This Row],[CORREO]],1,Table2[Dias no laborales]),E2006)</f>
        <v>46136</v>
      </c>
      <c r="G2006" s="11">
        <v>46136</v>
      </c>
      <c r="H2006" s="7">
        <f t="shared" si="95"/>
        <v>17</v>
      </c>
      <c r="I2006" s="7">
        <f>MAX(1, NETWORKDAYS(A2006, G2006,Table2[Dias no laborales]))</f>
        <v>1</v>
      </c>
      <c r="J2006" s="7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7" t="str">
        <f t="shared" si="96"/>
        <v>A tiempo</v>
      </c>
      <c r="L2006" s="11">
        <v>46136</v>
      </c>
      <c r="M2006" s="22">
        <f>MAX(1,NETWORKDAYS(A2006,L2006,Table2[Dias no laborales]))</f>
        <v>1</v>
      </c>
    </row>
    <row r="2007" spans="1:13" x14ac:dyDescent="0.3">
      <c r="A2007" s="11">
        <v>46136</v>
      </c>
      <c r="B2007" s="20" t="s">
        <v>3995</v>
      </c>
      <c r="C2007" s="7" t="s">
        <v>4021</v>
      </c>
      <c r="D2007" s="7" t="s">
        <v>3999</v>
      </c>
      <c r="E2007" s="18">
        <v>46136.369444444441</v>
      </c>
      <c r="F2007" s="11">
        <f>IF(HOUR(Table1[[#This Row],[CORREO]])&gt;=11,WORKDAY(Table1[[#This Row],[CORREO]],1,Table2[Dias no laborales]),E2007)</f>
        <v>46136.369444444441</v>
      </c>
      <c r="G2007" s="11">
        <v>46136</v>
      </c>
      <c r="H2007" s="7">
        <f t="shared" si="95"/>
        <v>17</v>
      </c>
      <c r="I2007" s="7">
        <f>MAX(1, NETWORKDAYS(A2007, G2007,Table2[Dias no laborales]))</f>
        <v>1</v>
      </c>
      <c r="J2007" s="7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7" t="str">
        <f t="shared" si="96"/>
        <v>A tiempo</v>
      </c>
      <c r="L2007" s="11">
        <v>46136</v>
      </c>
      <c r="M2007" s="22">
        <f>MAX(1,NETWORKDAYS(A2007,L2007,Table2[Dias no laborales]))</f>
        <v>1</v>
      </c>
    </row>
    <row r="2008" spans="1:13" x14ac:dyDescent="0.3">
      <c r="A2008" s="11">
        <v>46139</v>
      </c>
      <c r="B2008" s="20" t="s">
        <v>4054</v>
      </c>
      <c r="C2008" s="7" t="s">
        <v>4091</v>
      </c>
      <c r="D2008" s="7" t="s">
        <v>133</v>
      </c>
      <c r="E2008" s="18"/>
      <c r="F2008" s="11">
        <f>IF(HOUR(Table1[[#This Row],[CORREO]])&gt;=11,WORKDAY(Table1[[#This Row],[CORREO]],1,Table2[Dias no laborales]),E2008)</f>
        <v>0</v>
      </c>
      <c r="G2008" s="11">
        <v>46139</v>
      </c>
      <c r="H2008" s="7">
        <f t="shared" ref="H2008:H2044" si="97">INT((A2008-DATE(YEAR(A2008),1,1))/7) + 1</f>
        <v>17</v>
      </c>
      <c r="I2008" s="7">
        <f>MAX(1, NETWORKDAYS(A2008, G2008,Table2[Dias no laborales]))</f>
        <v>1</v>
      </c>
      <c r="J2008" s="7" t="str">
        <f>IF(Table1[[#This Row],[FIN]]="","Acumulado",IF(ISNUMBER(SEARCH("ASAP",C2008)),"ASAP",IF(NETWORKDAYS.INTL(F2008,G2008,1,Table2[Dias no laborales]) &lt;= 7, "Dentro", IF(A2008&gt;F2008,"Programado","Fuera"))))</f>
        <v>Programado</v>
      </c>
      <c r="K2008" s="7" t="str">
        <f t="shared" ref="K2008:K2044" si="98">IF(INT(A2008)=INT(F2008),"A tiempo", IF(A2008&lt;F2008,"Mismo día","Programados"))</f>
        <v>Programados</v>
      </c>
      <c r="L2008" s="11">
        <v>46139</v>
      </c>
      <c r="M2008" s="22">
        <f>MAX(1,NETWORKDAYS(A2008,L2008,Table2[Dias no laborales]))</f>
        <v>1</v>
      </c>
    </row>
    <row r="2009" spans="1:13" x14ac:dyDescent="0.3">
      <c r="A2009" s="11">
        <v>46139</v>
      </c>
      <c r="B2009" s="20" t="s">
        <v>4055</v>
      </c>
      <c r="C2009" s="7" t="s">
        <v>4092</v>
      </c>
      <c r="D2009" s="7" t="s">
        <v>24</v>
      </c>
      <c r="E2009" s="18"/>
      <c r="F2009" s="11">
        <f>IF(HOUR(Table1[[#This Row],[CORREO]])&gt;=11,WORKDAY(Table1[[#This Row],[CORREO]],1,Table2[Dias no laborales]),E2009)</f>
        <v>0</v>
      </c>
      <c r="G2009" s="11">
        <v>46142</v>
      </c>
      <c r="H2009" s="7">
        <f t="shared" si="97"/>
        <v>17</v>
      </c>
      <c r="I2009" s="7">
        <f>MAX(1, NETWORKDAYS(A2009, G2009,Table2[Dias no laborales]))</f>
        <v>4</v>
      </c>
      <c r="J2009" s="7" t="str">
        <f>IF(Table1[[#This Row],[FIN]]="","Acumulado",IF(ISNUMBER(SEARCH("ASAP",C2009)),"ASAP",IF(NETWORKDAYS.INTL(F2009,G2009,1,Table2[Dias no laborales]) &lt;= 7, "Dentro", IF(A2009&gt;F2009,"Programado","Fuera"))))</f>
        <v>Programado</v>
      </c>
      <c r="K2009" s="7" t="str">
        <f t="shared" si="98"/>
        <v>Programados</v>
      </c>
      <c r="L2009" s="11">
        <v>46139</v>
      </c>
      <c r="M2009" s="22">
        <f>MAX(1,NETWORKDAYS(A2009,L2009,Table2[Dias no laborales]))</f>
        <v>1</v>
      </c>
    </row>
    <row r="2010" spans="1:13" x14ac:dyDescent="0.3">
      <c r="A2010" s="11">
        <v>46139</v>
      </c>
      <c r="B2010" s="20" t="s">
        <v>4056</v>
      </c>
      <c r="C2010" s="7" t="s">
        <v>4093</v>
      </c>
      <c r="D2010" s="7" t="s">
        <v>3845</v>
      </c>
      <c r="E2010" s="18"/>
      <c r="F2010" s="11">
        <f>IF(HOUR(Table1[[#This Row],[CORREO]])&gt;=11,WORKDAY(Table1[[#This Row],[CORREO]],1,Table2[Dias no laborales]),E2010)</f>
        <v>0</v>
      </c>
      <c r="G2010" s="11">
        <v>46140</v>
      </c>
      <c r="H2010" s="7">
        <f t="shared" si="97"/>
        <v>17</v>
      </c>
      <c r="I2010" s="7">
        <f>MAX(1, NETWORKDAYS(A2010, G2010,Table2[Dias no laborales]))</f>
        <v>2</v>
      </c>
      <c r="J2010" s="7" t="str">
        <f>IF(Table1[[#This Row],[FIN]]="","Acumulado",IF(ISNUMBER(SEARCH("ASAP",C2010)),"ASAP",IF(NETWORKDAYS.INTL(F2010,G2010,1,Table2[Dias no laborales]) &lt;= 7, "Dentro", IF(A2010&gt;F2010,"Programado","Fuera"))))</f>
        <v>Programado</v>
      </c>
      <c r="K2010" s="7" t="str">
        <f t="shared" si="98"/>
        <v>Programados</v>
      </c>
      <c r="L2010" s="11">
        <v>46139</v>
      </c>
      <c r="M2010" s="22">
        <f>MAX(1,NETWORKDAYS(A2010,L2010,Table2[Dias no laborales]))</f>
        <v>1</v>
      </c>
    </row>
    <row r="2011" spans="1:13" x14ac:dyDescent="0.3">
      <c r="A2011" s="11">
        <v>46139</v>
      </c>
      <c r="B2011" s="20" t="s">
        <v>4057</v>
      </c>
      <c r="C2011" s="7" t="s">
        <v>4094</v>
      </c>
      <c r="D2011" s="7" t="s">
        <v>3845</v>
      </c>
      <c r="E2011" s="18"/>
      <c r="F2011" s="11">
        <f>IF(HOUR(Table1[[#This Row],[CORREO]])&gt;=11,WORKDAY(Table1[[#This Row],[CORREO]],1,Table2[Dias no laborales]),E2011)</f>
        <v>0</v>
      </c>
      <c r="G2011" s="11">
        <v>46139</v>
      </c>
      <c r="H2011" s="7">
        <f t="shared" si="97"/>
        <v>17</v>
      </c>
      <c r="I2011" s="7">
        <f>MAX(1, NETWORKDAYS(A2011, G2011,Table2[Dias no laborales]))</f>
        <v>1</v>
      </c>
      <c r="J2011" s="7" t="str">
        <f>IF(Table1[[#This Row],[FIN]]="","Acumulado",IF(ISNUMBER(SEARCH("ASAP",C2011)),"ASAP",IF(NETWORKDAYS.INTL(F2011,G2011,1,Table2[Dias no laborales]) &lt;= 7, "Dentro", IF(A2011&gt;F2011,"Programado","Fuera"))))</f>
        <v>Programado</v>
      </c>
      <c r="K2011" s="7" t="str">
        <f t="shared" si="98"/>
        <v>Programados</v>
      </c>
      <c r="L2011" s="11">
        <v>46139</v>
      </c>
      <c r="M2011" s="22">
        <f>MAX(1,NETWORKDAYS(A2011,L2011,Table2[Dias no laborales]))</f>
        <v>1</v>
      </c>
    </row>
    <row r="2012" spans="1:13" x14ac:dyDescent="0.3">
      <c r="A2012" s="11">
        <v>46139</v>
      </c>
      <c r="B2012" s="20" t="s">
        <v>4058</v>
      </c>
      <c r="C2012" s="7" t="s">
        <v>4095</v>
      </c>
      <c r="D2012" s="7" t="s">
        <v>24</v>
      </c>
      <c r="E2012" s="18"/>
      <c r="F2012" s="11">
        <f>IF(HOUR(Table1[[#This Row],[CORREO]])&gt;=11,WORKDAY(Table1[[#This Row],[CORREO]],1,Table2[Dias no laborales]),E2012)</f>
        <v>0</v>
      </c>
      <c r="G2012" s="11">
        <v>46141</v>
      </c>
      <c r="H2012" s="7">
        <f t="shared" si="97"/>
        <v>17</v>
      </c>
      <c r="I2012" s="7">
        <f>MAX(1, NETWORKDAYS(A2012, G2012,Table2[Dias no laborales]))</f>
        <v>3</v>
      </c>
      <c r="J2012" s="7" t="str">
        <f>IF(Table1[[#This Row],[FIN]]="","Acumulado",IF(ISNUMBER(SEARCH("ASAP",C2012)),"ASAP",IF(NETWORKDAYS.INTL(F2012,G2012,1,Table2[Dias no laborales]) &lt;= 7, "Dentro", IF(A2012&gt;F2012,"Programado","Fuera"))))</f>
        <v>Programado</v>
      </c>
      <c r="K2012" s="7" t="str">
        <f t="shared" si="98"/>
        <v>Programados</v>
      </c>
      <c r="L2012" s="11">
        <v>46139</v>
      </c>
      <c r="M2012" s="22">
        <f>MAX(1,NETWORKDAYS(A2012,L2012,Table2[Dias no laborales]))</f>
        <v>1</v>
      </c>
    </row>
    <row r="2013" spans="1:13" x14ac:dyDescent="0.3">
      <c r="A2013" s="11">
        <v>46139</v>
      </c>
      <c r="B2013" s="20" t="s">
        <v>4059</v>
      </c>
      <c r="C2013" s="7" t="s">
        <v>4096</v>
      </c>
      <c r="D2013" s="7" t="s">
        <v>2520</v>
      </c>
      <c r="E2013" s="18"/>
      <c r="F2013" s="11">
        <f>IF(HOUR(Table1[[#This Row],[CORREO]])&gt;=11,WORKDAY(Table1[[#This Row],[CORREO]],1,Table2[Dias no laborales]),E2013)</f>
        <v>0</v>
      </c>
      <c r="G2013" s="11">
        <v>46146</v>
      </c>
      <c r="H2013" s="7">
        <f t="shared" si="97"/>
        <v>17</v>
      </c>
      <c r="I2013" s="7">
        <f>MAX(1, NETWORKDAYS(A2013, G2013,Table2[Dias no laborales]))</f>
        <v>5</v>
      </c>
      <c r="J2013" s="7" t="str">
        <f>IF(Table1[[#This Row],[FIN]]="","Acumulado",IF(ISNUMBER(SEARCH("ASAP",C2013)),"ASAP",IF(NETWORKDAYS.INTL(F2013,G2013,1,Table2[Dias no laborales]) &lt;= 7, "Dentro", IF(A2013&gt;F2013,"Programado","Fuera"))))</f>
        <v>Programado</v>
      </c>
      <c r="K2013" s="7" t="str">
        <f t="shared" si="98"/>
        <v>Programados</v>
      </c>
      <c r="L2013" s="11">
        <v>46139</v>
      </c>
      <c r="M2013" s="22">
        <f>MAX(1,NETWORKDAYS(A2013,L2013,Table2[Dias no laborales]))</f>
        <v>1</v>
      </c>
    </row>
    <row r="2014" spans="1:13" x14ac:dyDescent="0.3">
      <c r="A2014" s="11">
        <v>46139</v>
      </c>
      <c r="B2014" s="20" t="s">
        <v>4060</v>
      </c>
      <c r="C2014" s="7" t="s">
        <v>4097</v>
      </c>
      <c r="D2014" s="7" t="s">
        <v>191</v>
      </c>
      <c r="E2014" s="18"/>
      <c r="F2014" s="11">
        <f>IF(HOUR(Table1[[#This Row],[CORREO]])&gt;=11,WORKDAY(Table1[[#This Row],[CORREO]],1,Table2[Dias no laborales]),E2014)</f>
        <v>0</v>
      </c>
      <c r="G2014" s="11">
        <v>46139</v>
      </c>
      <c r="H2014" s="7">
        <f t="shared" si="97"/>
        <v>17</v>
      </c>
      <c r="I2014" s="7">
        <f>MAX(1, NETWORKDAYS(A2014, G2014,Table2[Dias no laborales]))</f>
        <v>1</v>
      </c>
      <c r="J2014" s="7" t="str">
        <f>IF(Table1[[#This Row],[FIN]]="","Acumulado",IF(ISNUMBER(SEARCH("ASAP",C2014)),"ASAP",IF(NETWORKDAYS.INTL(F2014,G2014,1,Table2[Dias no laborales]) &lt;= 7, "Dentro", IF(A2014&gt;F2014,"Programado","Fuera"))))</f>
        <v>Programado</v>
      </c>
      <c r="K2014" s="7" t="str">
        <f t="shared" si="98"/>
        <v>Programados</v>
      </c>
      <c r="L2014" s="11">
        <v>46139</v>
      </c>
      <c r="M2014" s="22">
        <f>MAX(1,NETWORKDAYS(A2014,L2014,Table2[Dias no laborales]))</f>
        <v>1</v>
      </c>
    </row>
    <row r="2015" spans="1:13" x14ac:dyDescent="0.3">
      <c r="A2015" s="11">
        <v>46139</v>
      </c>
      <c r="B2015" s="20" t="s">
        <v>4061</v>
      </c>
      <c r="C2015" s="7" t="s">
        <v>4098</v>
      </c>
      <c r="D2015" s="7" t="s">
        <v>89</v>
      </c>
      <c r="E2015" s="18"/>
      <c r="F2015" s="11">
        <f>IF(HOUR(Table1[[#This Row],[CORREO]])&gt;=11,WORKDAY(Table1[[#This Row],[CORREO]],1,Table2[Dias no laborales]),E2015)</f>
        <v>0</v>
      </c>
      <c r="G2015" s="11">
        <v>46141</v>
      </c>
      <c r="H2015" s="7">
        <f t="shared" si="97"/>
        <v>17</v>
      </c>
      <c r="I2015" s="7">
        <f>MAX(1, NETWORKDAYS(A2015, G2015,Table2[Dias no laborales]))</f>
        <v>3</v>
      </c>
      <c r="J2015" s="7" t="str">
        <f>IF(Table1[[#This Row],[FIN]]="","Acumulado",IF(ISNUMBER(SEARCH("ASAP",C2015)),"ASAP",IF(NETWORKDAYS.INTL(F2015,G2015,1,Table2[Dias no laborales]) &lt;= 7, "Dentro", IF(A2015&gt;F2015,"Programado","Fuera"))))</f>
        <v>Programado</v>
      </c>
      <c r="K2015" s="7" t="str">
        <f t="shared" si="98"/>
        <v>Programados</v>
      </c>
      <c r="L2015" s="11">
        <v>46139</v>
      </c>
      <c r="M2015" s="22">
        <f>MAX(1,NETWORKDAYS(A2015,L2015,Table2[Dias no laborales]))</f>
        <v>1</v>
      </c>
    </row>
    <row r="2016" spans="1:13" x14ac:dyDescent="0.3">
      <c r="A2016" s="11">
        <v>46139</v>
      </c>
      <c r="B2016" s="20" t="s">
        <v>4062</v>
      </c>
      <c r="C2016" s="7" t="s">
        <v>4099</v>
      </c>
      <c r="D2016" s="7" t="s">
        <v>89</v>
      </c>
      <c r="E2016" s="18"/>
      <c r="F2016" s="11">
        <f>IF(HOUR(Table1[[#This Row],[CORREO]])&gt;=11,WORKDAY(Table1[[#This Row],[CORREO]],1,Table2[Dias no laborales]),E2016)</f>
        <v>0</v>
      </c>
      <c r="G2016" s="11">
        <v>46141</v>
      </c>
      <c r="H2016" s="7">
        <f t="shared" si="97"/>
        <v>17</v>
      </c>
      <c r="I2016" s="7">
        <f>MAX(1, NETWORKDAYS(A2016, G2016,Table2[Dias no laborales]))</f>
        <v>3</v>
      </c>
      <c r="J2016" s="7" t="str">
        <f>IF(Table1[[#This Row],[FIN]]="","Acumulado",IF(ISNUMBER(SEARCH("ASAP",C2016)),"ASAP",IF(NETWORKDAYS.INTL(F2016,G2016,1,Table2[Dias no laborales]) &lt;= 7, "Dentro", IF(A2016&gt;F2016,"Programado","Fuera"))))</f>
        <v>Programado</v>
      </c>
      <c r="K2016" s="7" t="str">
        <f t="shared" si="98"/>
        <v>Programados</v>
      </c>
      <c r="L2016" s="11">
        <v>46139</v>
      </c>
      <c r="M2016" s="22">
        <f>MAX(1,NETWORKDAYS(A2016,L2016,Table2[Dias no laborales]))</f>
        <v>1</v>
      </c>
    </row>
    <row r="2017" spans="1:13" x14ac:dyDescent="0.3">
      <c r="A2017" s="11">
        <v>46139</v>
      </c>
      <c r="B2017" s="20" t="s">
        <v>4063</v>
      </c>
      <c r="C2017" s="7" t="s">
        <v>4100</v>
      </c>
      <c r="D2017" s="7" t="s">
        <v>89</v>
      </c>
      <c r="E2017" s="18"/>
      <c r="F2017" s="11">
        <f>IF(HOUR(Table1[[#This Row],[CORREO]])&gt;=11,WORKDAY(Table1[[#This Row],[CORREO]],1,Table2[Dias no laborales]),E2017)</f>
        <v>0</v>
      </c>
      <c r="G2017" s="11">
        <v>46142</v>
      </c>
      <c r="H2017" s="7">
        <f t="shared" si="97"/>
        <v>17</v>
      </c>
      <c r="I2017" s="7">
        <f>MAX(1, NETWORKDAYS(A2017, G2017,Table2[Dias no laborales]))</f>
        <v>4</v>
      </c>
      <c r="J2017" s="7" t="str">
        <f>IF(Table1[[#This Row],[FIN]]="","Acumulado",IF(ISNUMBER(SEARCH("ASAP",C2017)),"ASAP",IF(NETWORKDAYS.INTL(F2017,G2017,1,Table2[Dias no laborales]) &lt;= 7, "Dentro", IF(A2017&gt;F2017,"Programado","Fuera"))))</f>
        <v>Programado</v>
      </c>
      <c r="K2017" s="7" t="str">
        <f t="shared" si="98"/>
        <v>Programados</v>
      </c>
      <c r="L2017" s="11">
        <v>46139</v>
      </c>
      <c r="M2017" s="22">
        <f>MAX(1,NETWORKDAYS(A2017,L2017,Table2[Dias no laborales]))</f>
        <v>1</v>
      </c>
    </row>
    <row r="2018" spans="1:13" x14ac:dyDescent="0.3">
      <c r="A2018" s="11">
        <v>46139</v>
      </c>
      <c r="B2018" s="20" t="s">
        <v>4064</v>
      </c>
      <c r="C2018" s="7" t="s">
        <v>4101</v>
      </c>
      <c r="D2018" s="7" t="s">
        <v>238</v>
      </c>
      <c r="E2018" s="18"/>
      <c r="F2018" s="11">
        <f>IF(HOUR(Table1[[#This Row],[CORREO]])&gt;=11,WORKDAY(Table1[[#This Row],[CORREO]],1,Table2[Dias no laborales]),E2018)</f>
        <v>0</v>
      </c>
      <c r="G2018" s="11">
        <v>46142</v>
      </c>
      <c r="H2018" s="7">
        <f t="shared" si="97"/>
        <v>17</v>
      </c>
      <c r="I2018" s="7">
        <f>MAX(1, NETWORKDAYS(A2018, G2018,Table2[Dias no laborales]))</f>
        <v>4</v>
      </c>
      <c r="J2018" s="7" t="str">
        <f>IF(Table1[[#This Row],[FIN]]="","Acumulado",IF(ISNUMBER(SEARCH("ASAP",C2018)),"ASAP",IF(NETWORKDAYS.INTL(F2018,G2018,1,Table2[Dias no laborales]) &lt;= 7, "Dentro", IF(A2018&gt;F2018,"Programado","Fuera"))))</f>
        <v>Programado</v>
      </c>
      <c r="K2018" s="7" t="str">
        <f t="shared" si="98"/>
        <v>Programados</v>
      </c>
      <c r="L2018" s="11">
        <v>46139</v>
      </c>
      <c r="M2018" s="22">
        <f>MAX(1,NETWORKDAYS(A2018,L2018,Table2[Dias no laborales]))</f>
        <v>1</v>
      </c>
    </row>
    <row r="2019" spans="1:13" x14ac:dyDescent="0.3">
      <c r="A2019" s="11">
        <v>46139</v>
      </c>
      <c r="B2019" s="20" t="s">
        <v>4065</v>
      </c>
      <c r="C2019" s="7" t="s">
        <v>4102</v>
      </c>
      <c r="D2019" s="7" t="s">
        <v>4103</v>
      </c>
      <c r="E2019" s="18"/>
      <c r="F2019" s="11">
        <f>IF(HOUR(Table1[[#This Row],[CORREO]])&gt;=11,WORKDAY(Table1[[#This Row],[CORREO]],1,Table2[Dias no laborales]),E2019)</f>
        <v>0</v>
      </c>
      <c r="G2019" s="11">
        <v>46139</v>
      </c>
      <c r="H2019" s="7">
        <f t="shared" si="97"/>
        <v>17</v>
      </c>
      <c r="I2019" s="7">
        <f>MAX(1, NETWORKDAYS(A2019, G2019,Table2[Dias no laborales]))</f>
        <v>1</v>
      </c>
      <c r="J2019" s="7" t="str">
        <f>IF(Table1[[#This Row],[FIN]]="","Acumulado",IF(ISNUMBER(SEARCH("ASAP",C2019)),"ASAP",IF(NETWORKDAYS.INTL(F2019,G2019,1,Table2[Dias no laborales]) &lt;= 7, "Dentro", IF(A2019&gt;F2019,"Programado","Fuera"))))</f>
        <v>Programado</v>
      </c>
      <c r="K2019" s="7" t="str">
        <f t="shared" si="98"/>
        <v>Programados</v>
      </c>
      <c r="L2019" s="11">
        <v>46139</v>
      </c>
      <c r="M2019" s="22">
        <f>MAX(1,NETWORKDAYS(A2019,L2019,Table2[Dias no laborales]))</f>
        <v>1</v>
      </c>
    </row>
    <row r="2020" spans="1:13" x14ac:dyDescent="0.3">
      <c r="A2020" s="11">
        <v>46139</v>
      </c>
      <c r="B2020" s="20" t="s">
        <v>4066</v>
      </c>
      <c r="C2020" s="7" t="s">
        <v>4104</v>
      </c>
      <c r="D2020" s="7" t="s">
        <v>139</v>
      </c>
      <c r="E2020" s="18"/>
      <c r="F2020" s="11">
        <f>IF(HOUR(Table1[[#This Row],[CORREO]])&gt;=11,WORKDAY(Table1[[#This Row],[CORREO]],1,Table2[Dias no laborales]),E2020)</f>
        <v>0</v>
      </c>
      <c r="G2020" s="11">
        <v>46139</v>
      </c>
      <c r="H2020" s="7">
        <f t="shared" si="97"/>
        <v>17</v>
      </c>
      <c r="I2020" s="7">
        <f>MAX(1, NETWORKDAYS(A2020, G2020,Table2[Dias no laborales]))</f>
        <v>1</v>
      </c>
      <c r="J2020" s="7" t="str">
        <f>IF(Table1[[#This Row],[FIN]]="","Acumulado",IF(ISNUMBER(SEARCH("ASAP",C2020)),"ASAP",IF(NETWORKDAYS.INTL(F2020,G2020,1,Table2[Dias no laborales]) &lt;= 7, "Dentro", IF(A2020&gt;F2020,"Programado","Fuera"))))</f>
        <v>Programado</v>
      </c>
      <c r="K2020" s="7" t="str">
        <f t="shared" si="98"/>
        <v>Programados</v>
      </c>
      <c r="L2020" s="11">
        <v>46139</v>
      </c>
      <c r="M2020" s="22">
        <f>MAX(1,NETWORKDAYS(A2020,L2020,Table2[Dias no laborales]))</f>
        <v>1</v>
      </c>
    </row>
    <row r="2021" spans="1:13" x14ac:dyDescent="0.3">
      <c r="A2021" s="11">
        <v>46139</v>
      </c>
      <c r="B2021" s="20" t="s">
        <v>4067</v>
      </c>
      <c r="C2021" s="7" t="s">
        <v>4105</v>
      </c>
      <c r="D2021" s="7" t="s">
        <v>1333</v>
      </c>
      <c r="E2021" s="18"/>
      <c r="F2021" s="11">
        <f>IF(HOUR(Table1[[#This Row],[CORREO]])&gt;=11,WORKDAY(Table1[[#This Row],[CORREO]],1,Table2[Dias no laborales]),E2021)</f>
        <v>0</v>
      </c>
      <c r="G2021" s="11">
        <v>46149</v>
      </c>
      <c r="H2021" s="7">
        <f t="shared" si="97"/>
        <v>17</v>
      </c>
      <c r="I2021" s="7">
        <f>MAX(1, NETWORKDAYS(A2021, G2021,Table2[Dias no laborales]))</f>
        <v>7</v>
      </c>
      <c r="J2021" s="7" t="str">
        <f>IF(Table1[[#This Row],[FIN]]="","Acumulado",IF(ISNUMBER(SEARCH("ASAP",C2021)),"ASAP",IF(NETWORKDAYS.INTL(F2021,G2021,1,Table2[Dias no laborales]) &lt;= 7, "Dentro", IF(A2021&gt;F2021,"Programado","Fuera"))))</f>
        <v>Programado</v>
      </c>
      <c r="K2021" s="7" t="str">
        <f t="shared" si="98"/>
        <v>Programados</v>
      </c>
      <c r="L2021" s="11">
        <v>46139</v>
      </c>
      <c r="M2021" s="22">
        <f>MAX(1,NETWORKDAYS(A2021,L2021,Table2[Dias no laborales]))</f>
        <v>1</v>
      </c>
    </row>
    <row r="2022" spans="1:13" x14ac:dyDescent="0.3">
      <c r="A2022" s="11">
        <v>46139</v>
      </c>
      <c r="B2022" s="20" t="s">
        <v>4068</v>
      </c>
      <c r="C2022" s="7" t="s">
        <v>3008</v>
      </c>
      <c r="D2022" s="7" t="s">
        <v>4047</v>
      </c>
      <c r="E2022" s="18">
        <v>46139.513888888891</v>
      </c>
      <c r="F2022" s="11">
        <f>IF(HOUR(Table1[[#This Row],[CORREO]])&gt;=11,WORKDAY(Table1[[#This Row],[CORREO]],1,Table2[Dias no laborales]),E2022)</f>
        <v>46140</v>
      </c>
      <c r="G2022" s="11">
        <v>46140</v>
      </c>
      <c r="H2022" s="7">
        <f t="shared" si="97"/>
        <v>17</v>
      </c>
      <c r="I2022" s="7">
        <f>MAX(1, NETWORKDAYS(A2022, G2022,Table2[Dias no laborales]))</f>
        <v>2</v>
      </c>
      <c r="J2022" s="7" t="str">
        <f>IF(Table1[[#This Row],[FIN]]="","Acumulado",IF(ISNUMBER(SEARCH("ASAP",C2022)),"ASAP",IF(NETWORKDAYS.INTL(F2022,G2022,1,Table2[Dias no laborales]) &lt;= 7, "Dentro", IF(A2022&gt;F2022,"Programado","Fuera"))))</f>
        <v>Dentro</v>
      </c>
      <c r="K2022" s="7" t="str">
        <f t="shared" si="98"/>
        <v>Mismo día</v>
      </c>
      <c r="L2022" s="11">
        <v>46139</v>
      </c>
      <c r="M2022" s="22">
        <f>MAX(1,NETWORKDAYS(A2022,L2022,Table2[Dias no laborales]))</f>
        <v>1</v>
      </c>
    </row>
    <row r="2023" spans="1:13" x14ac:dyDescent="0.3">
      <c r="A2023" s="11">
        <v>46140</v>
      </c>
      <c r="B2023" s="20" t="s">
        <v>4069</v>
      </c>
      <c r="C2023" s="7" t="s">
        <v>4106</v>
      </c>
      <c r="D2023" s="7" t="s">
        <v>2981</v>
      </c>
      <c r="E2023" s="18">
        <v>46139.51666666667</v>
      </c>
      <c r="F2023" s="11">
        <f>IF(HOUR(Table1[[#This Row],[CORREO]])&gt;=11,WORKDAY(Table1[[#This Row],[CORREO]],1,Table2[Dias no laborales]),E2023)</f>
        <v>46140</v>
      </c>
      <c r="G2023" s="11">
        <v>46140</v>
      </c>
      <c r="H2023" s="7">
        <f t="shared" si="97"/>
        <v>17</v>
      </c>
      <c r="I2023" s="7">
        <f>MAX(1, NETWORKDAYS(A2023, G2023,Table2[Dias no laborales]))</f>
        <v>1</v>
      </c>
      <c r="J2023" s="7" t="str">
        <f>IF(Table1[[#This Row],[FIN]]="","Acumulado",IF(ISNUMBER(SEARCH("ASAP",C2023)),"ASAP",IF(NETWORKDAYS.INTL(F2023,G2023,1,Table2[Dias no laborales]) &lt;= 7, "Dentro", IF(A2023&gt;F2023,"Programado","Fuera"))))</f>
        <v>Dentro</v>
      </c>
      <c r="K2023" s="7" t="str">
        <f t="shared" si="98"/>
        <v>A tiempo</v>
      </c>
      <c r="L2023" s="11">
        <v>46140</v>
      </c>
      <c r="M2023" s="22">
        <f>MAX(1,NETWORKDAYS(A2023,L2023,Table2[Dias no laborales]))</f>
        <v>1</v>
      </c>
    </row>
    <row r="2024" spans="1:13" x14ac:dyDescent="0.3">
      <c r="A2024" s="11">
        <v>46140</v>
      </c>
      <c r="B2024" s="20" t="s">
        <v>4070</v>
      </c>
      <c r="C2024" s="7" t="s">
        <v>4107</v>
      </c>
      <c r="D2024" s="7" t="s">
        <v>1360</v>
      </c>
      <c r="E2024" s="18">
        <v>46139.560416666667</v>
      </c>
      <c r="F2024" s="11">
        <f>IF(HOUR(Table1[[#This Row],[CORREO]])&gt;=11,WORKDAY(Table1[[#This Row],[CORREO]],1,Table2[Dias no laborales]),E2024)</f>
        <v>46140</v>
      </c>
      <c r="G2024" s="11">
        <v>46149</v>
      </c>
      <c r="H2024" s="7">
        <f t="shared" si="97"/>
        <v>17</v>
      </c>
      <c r="I2024" s="7">
        <f>MAX(1, NETWORKDAYS(A2024, G2024,Table2[Dias no laborales]))</f>
        <v>6</v>
      </c>
      <c r="J2024" s="7" t="str">
        <f>IF(Table1[[#This Row],[FIN]]="","Acumulado",IF(ISNUMBER(SEARCH("ASAP",C2024)),"ASAP",IF(NETWORKDAYS.INTL(F2024,G2024,1,Table2[Dias no laborales]) &lt;= 7, "Dentro", IF(A2024&gt;F2024,"Programado","Fuera"))))</f>
        <v>Dentro</v>
      </c>
      <c r="K2024" s="7" t="str">
        <f t="shared" si="98"/>
        <v>A tiempo</v>
      </c>
      <c r="L2024" s="11">
        <v>46140</v>
      </c>
      <c r="M2024" s="22">
        <f>MAX(1,NETWORKDAYS(A2024,L2024,Table2[Dias no laborales]))</f>
        <v>1</v>
      </c>
    </row>
    <row r="2025" spans="1:13" x14ac:dyDescent="0.3">
      <c r="A2025" s="11">
        <v>46140</v>
      </c>
      <c r="B2025" s="20" t="s">
        <v>4071</v>
      </c>
      <c r="C2025" s="7" t="s">
        <v>4108</v>
      </c>
      <c r="D2025" s="7" t="s">
        <v>4109</v>
      </c>
      <c r="E2025" s="18">
        <v>46139.561111111114</v>
      </c>
      <c r="F2025" s="11">
        <f>IF(HOUR(Table1[[#This Row],[CORREO]])&gt;=11,WORKDAY(Table1[[#This Row],[CORREO]],1,Table2[Dias no laborales]),E2025)</f>
        <v>46140</v>
      </c>
      <c r="G2025" s="11">
        <v>46142</v>
      </c>
      <c r="H2025" s="7">
        <f t="shared" si="97"/>
        <v>17</v>
      </c>
      <c r="I2025" s="7">
        <f>MAX(1, NETWORKDAYS(A2025, G2025,Table2[Dias no laborales]))</f>
        <v>3</v>
      </c>
      <c r="J2025" s="7" t="str">
        <f>IF(Table1[[#This Row],[FIN]]="","Acumulado",IF(ISNUMBER(SEARCH("ASAP",C2025)),"ASAP",IF(NETWORKDAYS.INTL(F2025,G2025,1,Table2[Dias no laborales]) &lt;= 7, "Dentro", IF(A2025&gt;F2025,"Programado","Fuera"))))</f>
        <v>Dentro</v>
      </c>
      <c r="K2025" s="7" t="str">
        <f t="shared" si="98"/>
        <v>A tiempo</v>
      </c>
      <c r="L2025" s="11">
        <v>46140</v>
      </c>
      <c r="M2025" s="22">
        <f>MAX(1,NETWORKDAYS(A2025,L2025,Table2[Dias no laborales]))</f>
        <v>1</v>
      </c>
    </row>
    <row r="2026" spans="1:13" x14ac:dyDescent="0.3">
      <c r="A2026" s="11">
        <v>46140</v>
      </c>
      <c r="B2026" s="20" t="s">
        <v>4072</v>
      </c>
      <c r="C2026" s="7" t="s">
        <v>4110</v>
      </c>
      <c r="D2026" s="7" t="s">
        <v>139</v>
      </c>
      <c r="E2026" s="18">
        <v>46139.682638888888</v>
      </c>
      <c r="F2026" s="11">
        <f>IF(HOUR(Table1[[#This Row],[CORREO]])&gt;=11,WORKDAY(Table1[[#This Row],[CORREO]],1,Table2[Dias no laborales]),E2026)</f>
        <v>46140</v>
      </c>
      <c r="G2026" s="11">
        <v>46140</v>
      </c>
      <c r="H2026" s="7">
        <f t="shared" si="97"/>
        <v>17</v>
      </c>
      <c r="I2026" s="7">
        <f>MAX(1, NETWORKDAYS(A2026, G2026,Table2[Dias no laborales]))</f>
        <v>1</v>
      </c>
      <c r="J2026" s="7" t="str">
        <f>IF(Table1[[#This Row],[FIN]]="","Acumulado",IF(ISNUMBER(SEARCH("ASAP",C2026)),"ASAP",IF(NETWORKDAYS.INTL(F2026,G2026,1,Table2[Dias no laborales]) &lt;= 7, "Dentro", IF(A2026&gt;F2026,"Programado","Fuera"))))</f>
        <v>Dentro</v>
      </c>
      <c r="K2026" s="7" t="str">
        <f t="shared" si="98"/>
        <v>A tiempo</v>
      </c>
      <c r="L2026" s="11">
        <v>46140</v>
      </c>
      <c r="M2026" s="22">
        <f>MAX(1,NETWORKDAYS(A2026,L2026,Table2[Dias no laborales]))</f>
        <v>1</v>
      </c>
    </row>
    <row r="2027" spans="1:13" x14ac:dyDescent="0.3">
      <c r="A2027" s="11">
        <v>46140</v>
      </c>
      <c r="B2027" s="20" t="s">
        <v>4073</v>
      </c>
      <c r="C2027" s="7" t="s">
        <v>4111</v>
      </c>
      <c r="D2027" s="7" t="s">
        <v>3041</v>
      </c>
      <c r="E2027" s="18">
        <v>46139.704861111109</v>
      </c>
      <c r="F2027" s="11">
        <f>IF(HOUR(Table1[[#This Row],[CORREO]])&gt;=11,WORKDAY(Table1[[#This Row],[CORREO]],1,Table2[Dias no laborales]),E2027)</f>
        <v>46140</v>
      </c>
      <c r="G2027" s="11">
        <v>46150</v>
      </c>
      <c r="H2027" s="7">
        <f t="shared" si="97"/>
        <v>17</v>
      </c>
      <c r="I2027" s="7">
        <f>MAX(1, NETWORKDAYS(A2027, G2027,Table2[Dias no laborales]))</f>
        <v>7</v>
      </c>
      <c r="J2027" s="7" t="str">
        <f>IF(Table1[[#This Row],[FIN]]="","Acumulado",IF(ISNUMBER(SEARCH("ASAP",C2027)),"ASAP",IF(NETWORKDAYS.INTL(F2027,G2027,1,Table2[Dias no laborales]) &lt;= 7, "Dentro", IF(A2027&gt;F2027,"Programado","Fuera"))))</f>
        <v>Dentro</v>
      </c>
      <c r="K2027" s="7" t="str">
        <f t="shared" si="98"/>
        <v>A tiempo</v>
      </c>
      <c r="L2027" s="11">
        <v>46140</v>
      </c>
      <c r="M2027" s="22">
        <f>MAX(1,NETWORKDAYS(A2027,L2027,Table2[Dias no laborales]))</f>
        <v>1</v>
      </c>
    </row>
    <row r="2028" spans="1:13" x14ac:dyDescent="0.3">
      <c r="A2028" s="11">
        <v>46140</v>
      </c>
      <c r="B2028" s="20" t="s">
        <v>4074</v>
      </c>
      <c r="C2028" s="7" t="s">
        <v>4112</v>
      </c>
      <c r="D2028" s="7" t="s">
        <v>3039</v>
      </c>
      <c r="E2028" s="18">
        <v>46139.753472222219</v>
      </c>
      <c r="F2028" s="11">
        <f>IF(HOUR(Table1[[#This Row],[CORREO]])&gt;=11,WORKDAY(Table1[[#This Row],[CORREO]],1,Table2[Dias no laborales]),E2028)</f>
        <v>46140</v>
      </c>
      <c r="G2028" s="11">
        <v>46140</v>
      </c>
      <c r="H2028" s="7">
        <f t="shared" si="97"/>
        <v>17</v>
      </c>
      <c r="I2028" s="7">
        <f>MAX(1, NETWORKDAYS(A2028, G2028,Table2[Dias no laborales]))</f>
        <v>1</v>
      </c>
      <c r="J2028" s="7" t="str">
        <f>IF(Table1[[#This Row],[FIN]]="","Acumulado",IF(ISNUMBER(SEARCH("ASAP",C2028)),"ASAP",IF(NETWORKDAYS.INTL(F2028,G2028,1,Table2[Dias no laborales]) &lt;= 7, "Dentro", IF(A2028&gt;F2028,"Programado","Fuera"))))</f>
        <v>Dentro</v>
      </c>
      <c r="K2028" s="7" t="str">
        <f t="shared" si="98"/>
        <v>A tiempo</v>
      </c>
      <c r="L2028" s="11">
        <v>46140</v>
      </c>
      <c r="M2028" s="22">
        <f>MAX(1,NETWORKDAYS(A2028,L2028,Table2[Dias no laborales]))</f>
        <v>1</v>
      </c>
    </row>
    <row r="2029" spans="1:13" x14ac:dyDescent="0.3">
      <c r="A2029" s="11">
        <v>46140</v>
      </c>
      <c r="B2029" s="20" t="s">
        <v>4075</v>
      </c>
      <c r="C2029" s="7" t="s">
        <v>4113</v>
      </c>
      <c r="D2029" s="7" t="s">
        <v>4114</v>
      </c>
      <c r="E2029" s="18">
        <v>46139.90625</v>
      </c>
      <c r="F2029" s="11">
        <f>IF(HOUR(Table1[[#This Row],[CORREO]])&gt;=11,WORKDAY(Table1[[#This Row],[CORREO]],1,Table2[Dias no laborales]),E2029)</f>
        <v>46140</v>
      </c>
      <c r="G2029" s="11">
        <v>46141</v>
      </c>
      <c r="H2029" s="7">
        <f t="shared" si="97"/>
        <v>17</v>
      </c>
      <c r="I2029" s="7">
        <f>MAX(1, NETWORKDAYS(A2029, G2029,Table2[Dias no laborales]))</f>
        <v>2</v>
      </c>
      <c r="J2029" s="7" t="str">
        <f>IF(Table1[[#This Row],[FIN]]="","Acumulado",IF(ISNUMBER(SEARCH("ASAP",C2029)),"ASAP",IF(NETWORKDAYS.INTL(F2029,G2029,1,Table2[Dias no laborales]) &lt;= 7, "Dentro", IF(A2029&gt;F2029,"Programado","Fuera"))))</f>
        <v>Dentro</v>
      </c>
      <c r="K2029" s="7" t="str">
        <f t="shared" si="98"/>
        <v>A tiempo</v>
      </c>
      <c r="L2029" s="11">
        <v>46140</v>
      </c>
      <c r="M2029" s="22">
        <f>MAX(1,NETWORKDAYS(A2029,L2029,Table2[Dias no laborales]))</f>
        <v>1</v>
      </c>
    </row>
    <row r="2030" spans="1:13" x14ac:dyDescent="0.3">
      <c r="A2030" s="11">
        <v>46140</v>
      </c>
      <c r="B2030" s="20" t="s">
        <v>4076</v>
      </c>
      <c r="C2030" s="7" t="s">
        <v>4115</v>
      </c>
      <c r="D2030" s="7" t="s">
        <v>4116</v>
      </c>
      <c r="E2030" s="18">
        <v>46139.90625</v>
      </c>
      <c r="F2030" s="11">
        <f>IF(HOUR(Table1[[#This Row],[CORREO]])&gt;=11,WORKDAY(Table1[[#This Row],[CORREO]],1,Table2[Dias no laborales]),E2030)</f>
        <v>46140</v>
      </c>
      <c r="G2030" s="11">
        <v>46141</v>
      </c>
      <c r="H2030" s="7">
        <f t="shared" si="97"/>
        <v>17</v>
      </c>
      <c r="I2030" s="7">
        <f>MAX(1, NETWORKDAYS(A2030, G2030,Table2[Dias no laborales]))</f>
        <v>2</v>
      </c>
      <c r="J2030" s="7" t="str">
        <f>IF(Table1[[#This Row],[FIN]]="","Acumulado",IF(ISNUMBER(SEARCH("ASAP",C2030)),"ASAP",IF(NETWORKDAYS.INTL(F2030,G2030,1,Table2[Dias no laborales]) &lt;= 7, "Dentro", IF(A2030&gt;F2030,"Programado","Fuera"))))</f>
        <v>Dentro</v>
      </c>
      <c r="K2030" s="7" t="str">
        <f t="shared" si="98"/>
        <v>A tiempo</v>
      </c>
      <c r="L2030" s="11">
        <v>46140</v>
      </c>
      <c r="M2030" s="22">
        <f>MAX(1,NETWORKDAYS(A2030,L2030,Table2[Dias no laborales]))</f>
        <v>1</v>
      </c>
    </row>
    <row r="2031" spans="1:13" x14ac:dyDescent="0.3">
      <c r="A2031" s="11">
        <v>46140</v>
      </c>
      <c r="B2031" s="20" t="s">
        <v>4077</v>
      </c>
      <c r="C2031" s="7" t="s">
        <v>4117</v>
      </c>
      <c r="D2031" s="7" t="s">
        <v>133</v>
      </c>
      <c r="E2031" s="18">
        <v>46140.35</v>
      </c>
      <c r="F2031" s="11">
        <f>IF(HOUR(Table1[[#This Row],[CORREO]])&gt;=11,WORKDAY(Table1[[#This Row],[CORREO]],1,Table2[Dias no laborales]),E2031)</f>
        <v>46140.35</v>
      </c>
      <c r="G2031" s="11">
        <v>46141</v>
      </c>
      <c r="H2031" s="7">
        <f t="shared" si="97"/>
        <v>17</v>
      </c>
      <c r="I2031" s="7">
        <f>MAX(1, NETWORKDAYS(A2031, G2031,Table2[Dias no laborales]))</f>
        <v>2</v>
      </c>
      <c r="J2031" s="7" t="str">
        <f>IF(Table1[[#This Row],[FIN]]="","Acumulado",IF(ISNUMBER(SEARCH("ASAP",C2031)),"ASAP",IF(NETWORKDAYS.INTL(F2031,G2031,1,Table2[Dias no laborales]) &lt;= 7, "Dentro", IF(A2031&gt;F2031,"Programado","Fuera"))))</f>
        <v>Dentro</v>
      </c>
      <c r="K2031" s="7" t="str">
        <f t="shared" si="98"/>
        <v>A tiempo</v>
      </c>
      <c r="L2031" s="11">
        <v>46140</v>
      </c>
      <c r="M2031" s="22">
        <f>MAX(1,NETWORKDAYS(A2031,L2031,Table2[Dias no laborales]))</f>
        <v>1</v>
      </c>
    </row>
    <row r="2032" spans="1:13" x14ac:dyDescent="0.3">
      <c r="A2032" s="11">
        <v>46140</v>
      </c>
      <c r="B2032" s="20" t="s">
        <v>4078</v>
      </c>
      <c r="C2032" s="7" t="s">
        <v>4118</v>
      </c>
      <c r="D2032" s="7" t="s">
        <v>24</v>
      </c>
      <c r="E2032" s="18">
        <v>46140.379861111112</v>
      </c>
      <c r="F2032" s="11">
        <f>IF(HOUR(Table1[[#This Row],[CORREO]])&gt;=11,WORKDAY(Table1[[#This Row],[CORREO]],1,Table2[Dias no laborales]),E2032)</f>
        <v>46140.379861111112</v>
      </c>
      <c r="G2032" s="11">
        <v>46141</v>
      </c>
      <c r="H2032" s="7">
        <f t="shared" si="97"/>
        <v>17</v>
      </c>
      <c r="I2032" s="7">
        <f>MAX(1, NETWORKDAYS(A2032, G2032,Table2[Dias no laborales]))</f>
        <v>2</v>
      </c>
      <c r="J2032" s="7" t="str">
        <f>IF(Table1[[#This Row],[FIN]]="","Acumulado",IF(ISNUMBER(SEARCH("ASAP",C2032)),"ASAP",IF(NETWORKDAYS.INTL(F2032,G2032,1,Table2[Dias no laborales]) &lt;= 7, "Dentro", IF(A2032&gt;F2032,"Programado","Fuera"))))</f>
        <v>Dentro</v>
      </c>
      <c r="K2032" s="7" t="str">
        <f t="shared" si="98"/>
        <v>A tiempo</v>
      </c>
      <c r="L2032" s="11">
        <v>46140</v>
      </c>
      <c r="M2032" s="22">
        <f>MAX(1,NETWORKDAYS(A2032,L2032,Table2[Dias no laborales]))</f>
        <v>1</v>
      </c>
    </row>
    <row r="2033" spans="1:13" x14ac:dyDescent="0.3">
      <c r="A2033" s="11">
        <v>46140</v>
      </c>
      <c r="B2033" s="20" t="s">
        <v>4079</v>
      </c>
      <c r="C2033" s="7" t="s">
        <v>4119</v>
      </c>
      <c r="D2033" s="7" t="s">
        <v>4120</v>
      </c>
      <c r="E2033" s="18">
        <v>46139.603472222225</v>
      </c>
      <c r="F2033" s="11">
        <f>IF(HOUR(Table1[[#This Row],[CORREO]])&gt;=11,WORKDAY(Table1[[#This Row],[CORREO]],1,Table2[Dias no laborales]),E2033)</f>
        <v>46140</v>
      </c>
      <c r="G2033" s="11">
        <v>46140</v>
      </c>
      <c r="H2033" s="7">
        <f t="shared" si="97"/>
        <v>17</v>
      </c>
      <c r="I2033" s="7">
        <f>MAX(1, NETWORKDAYS(A2033, G2033,Table2[Dias no laborales]))</f>
        <v>1</v>
      </c>
      <c r="J2033" s="7" t="str">
        <f>IF(Table1[[#This Row],[FIN]]="","Acumulado",IF(ISNUMBER(SEARCH("ASAP",C2033)),"ASAP",IF(NETWORKDAYS.INTL(F2033,G2033,1,Table2[Dias no laborales]) &lt;= 7, "Dentro", IF(A2033&gt;F2033,"Programado","Fuera"))))</f>
        <v>Dentro</v>
      </c>
      <c r="K2033" s="7" t="str">
        <f t="shared" si="98"/>
        <v>A tiempo</v>
      </c>
      <c r="L2033" s="11">
        <v>46140</v>
      </c>
      <c r="M2033" s="22">
        <f>MAX(1,NETWORKDAYS(A2033,L2033,Table2[Dias no laborales]))</f>
        <v>1</v>
      </c>
    </row>
    <row r="2034" spans="1:13" x14ac:dyDescent="0.3">
      <c r="A2034" s="11">
        <v>46141</v>
      </c>
      <c r="B2034" s="20" t="s">
        <v>4080</v>
      </c>
      <c r="C2034" s="7" t="s">
        <v>4121</v>
      </c>
      <c r="D2034" s="7" t="s">
        <v>24</v>
      </c>
      <c r="E2034" s="18">
        <v>46140.527777777781</v>
      </c>
      <c r="F2034" s="11">
        <f>IF(HOUR(Table1[[#This Row],[CORREO]])&gt;=11,WORKDAY(Table1[[#This Row],[CORREO]],1,Table2[Dias no laborales]),E2034)</f>
        <v>46141</v>
      </c>
      <c r="G2034" s="11">
        <v>46142</v>
      </c>
      <c r="H2034" s="7">
        <f t="shared" si="97"/>
        <v>17</v>
      </c>
      <c r="I2034" s="7">
        <f>MAX(1, NETWORKDAYS(A2034, G2034,Table2[Dias no laborales]))</f>
        <v>2</v>
      </c>
      <c r="J2034" s="7" t="str">
        <f>IF(Table1[[#This Row],[FIN]]="","Acumulado",IF(ISNUMBER(SEARCH("ASAP",C2034)),"ASAP",IF(NETWORKDAYS.INTL(F2034,G2034,1,Table2[Dias no laborales]) &lt;= 7, "Dentro", IF(A2034&gt;F2034,"Programado","Fuera"))))</f>
        <v>Dentro</v>
      </c>
      <c r="K2034" s="7" t="str">
        <f t="shared" si="98"/>
        <v>A tiempo</v>
      </c>
      <c r="L2034" s="11">
        <v>46141</v>
      </c>
      <c r="M2034" s="22">
        <f>MAX(1,NETWORKDAYS(A2034,L2034,Table2[Dias no laborales]))</f>
        <v>1</v>
      </c>
    </row>
    <row r="2035" spans="1:13" x14ac:dyDescent="0.3">
      <c r="A2035" s="11">
        <v>46141</v>
      </c>
      <c r="B2035" s="20" t="s">
        <v>4081</v>
      </c>
      <c r="C2035" s="7" t="s">
        <v>1532</v>
      </c>
      <c r="D2035" s="7" t="s">
        <v>571</v>
      </c>
      <c r="E2035" s="18">
        <v>46140.681250000001</v>
      </c>
      <c r="F2035" s="11">
        <f>IF(HOUR(Table1[[#This Row],[CORREO]])&gt;=11,WORKDAY(Table1[[#This Row],[CORREO]],1,Table2[Dias no laborales]),E2035)</f>
        <v>46141</v>
      </c>
      <c r="G2035" s="11">
        <v>46142</v>
      </c>
      <c r="H2035" s="7">
        <f t="shared" si="97"/>
        <v>17</v>
      </c>
      <c r="I2035" s="7">
        <f>MAX(1, NETWORKDAYS(A2035, G2035,Table2[Dias no laborales]))</f>
        <v>2</v>
      </c>
      <c r="J2035" s="7" t="str">
        <f>IF(Table1[[#This Row],[FIN]]="","Acumulado",IF(ISNUMBER(SEARCH("ASAP",C2035)),"ASAP",IF(NETWORKDAYS.INTL(F2035,G2035,1,Table2[Dias no laborales]) &lt;= 7, "Dentro", IF(A2035&gt;F2035,"Programado","Fuera"))))</f>
        <v>Dentro</v>
      </c>
      <c r="K2035" s="7" t="str">
        <f t="shared" si="98"/>
        <v>A tiempo</v>
      </c>
      <c r="L2035" s="11">
        <v>46141</v>
      </c>
      <c r="M2035" s="22">
        <f>MAX(1,NETWORKDAYS(A2035,L2035,Table2[Dias no laborales]))</f>
        <v>1</v>
      </c>
    </row>
    <row r="2036" spans="1:13" x14ac:dyDescent="0.3">
      <c r="A2036" s="11">
        <v>46141</v>
      </c>
      <c r="B2036" s="20" t="s">
        <v>4082</v>
      </c>
      <c r="C2036" s="7" t="s">
        <v>4122</v>
      </c>
      <c r="D2036" s="7" t="s">
        <v>1333</v>
      </c>
      <c r="E2036" s="18">
        <v>46140.710416666669</v>
      </c>
      <c r="F2036" s="11">
        <f>IF(HOUR(Table1[[#This Row],[CORREO]])&gt;=11,WORKDAY(Table1[[#This Row],[CORREO]],1,Table2[Dias no laborales]),E2036)</f>
        <v>46141</v>
      </c>
      <c r="G2036" s="11">
        <v>46150</v>
      </c>
      <c r="H2036" s="7">
        <f t="shared" si="97"/>
        <v>17</v>
      </c>
      <c r="I2036" s="7">
        <f>MAX(1, NETWORKDAYS(A2036, G2036,Table2[Dias no laborales]))</f>
        <v>6</v>
      </c>
      <c r="J2036" s="7" t="str">
        <f>IF(Table1[[#This Row],[FIN]]="","Acumulado",IF(ISNUMBER(SEARCH("ASAP",C2036)),"ASAP",IF(NETWORKDAYS.INTL(F2036,G2036,1,Table2[Dias no laborales]) &lt;= 7, "Dentro", IF(A2036&gt;F2036,"Programado","Fuera"))))</f>
        <v>Dentro</v>
      </c>
      <c r="K2036" s="7" t="str">
        <f t="shared" si="98"/>
        <v>A tiempo</v>
      </c>
      <c r="L2036" s="11">
        <v>46141</v>
      </c>
      <c r="M2036" s="22">
        <f>MAX(1,NETWORKDAYS(A2036,L2036,Table2[Dias no laborales]))</f>
        <v>1</v>
      </c>
    </row>
    <row r="2037" spans="1:13" x14ac:dyDescent="0.3">
      <c r="A2037" s="11">
        <v>46141</v>
      </c>
      <c r="B2037" s="20" t="s">
        <v>4083</v>
      </c>
      <c r="C2037" s="7" t="s">
        <v>4123</v>
      </c>
      <c r="D2037" s="7" t="s">
        <v>4124</v>
      </c>
      <c r="E2037" s="18">
        <v>46140.870833333334</v>
      </c>
      <c r="F2037" s="11">
        <f>IF(HOUR(Table1[[#This Row],[CORREO]])&gt;=11,WORKDAY(Table1[[#This Row],[CORREO]],1,Table2[Dias no laborales]),E2037)</f>
        <v>46141</v>
      </c>
      <c r="G2037" s="11">
        <v>46146</v>
      </c>
      <c r="H2037" s="7">
        <f t="shared" si="97"/>
        <v>17</v>
      </c>
      <c r="I2037" s="7">
        <f>MAX(1, NETWORKDAYS(A2037, G2037,Table2[Dias no laborales]))</f>
        <v>3</v>
      </c>
      <c r="J2037" s="7" t="str">
        <f>IF(Table1[[#This Row],[FIN]]="","Acumulado",IF(ISNUMBER(SEARCH("ASAP",C2037)),"ASAP",IF(NETWORKDAYS.INTL(F2037,G2037,1,Table2[Dias no laborales]) &lt;= 7, "Dentro", IF(A2037&gt;F2037,"Programado","Fuera"))))</f>
        <v>Dentro</v>
      </c>
      <c r="K2037" s="7" t="str">
        <f t="shared" si="98"/>
        <v>A tiempo</v>
      </c>
      <c r="L2037" s="11">
        <v>46142</v>
      </c>
      <c r="M2037" s="22">
        <f>MAX(1,NETWORKDAYS(A2037,L2037,Table2[Dias no laborales]))</f>
        <v>2</v>
      </c>
    </row>
    <row r="2038" spans="1:13" x14ac:dyDescent="0.3">
      <c r="A2038" s="11">
        <v>46141</v>
      </c>
      <c r="B2038" s="20" t="s">
        <v>4084</v>
      </c>
      <c r="C2038" s="7" t="s">
        <v>4125</v>
      </c>
      <c r="D2038" s="7" t="s">
        <v>171</v>
      </c>
      <c r="E2038" s="18">
        <v>46141.29791666667</v>
      </c>
      <c r="F2038" s="11">
        <f>IF(HOUR(Table1[[#This Row],[CORREO]])&gt;=11,WORKDAY(Table1[[#This Row],[CORREO]],1,Table2[Dias no laborales]),E2038)</f>
        <v>46141.29791666667</v>
      </c>
      <c r="G2038" s="11">
        <v>46141</v>
      </c>
      <c r="H2038" s="7">
        <f t="shared" si="97"/>
        <v>17</v>
      </c>
      <c r="I2038" s="7">
        <f>MAX(1, NETWORKDAYS(A2038, G2038,Table2[Dias no laborales]))</f>
        <v>1</v>
      </c>
      <c r="J2038" s="7" t="str">
        <f>IF(Table1[[#This Row],[FIN]]="","Acumulado",IF(ISNUMBER(SEARCH("ASAP",C2038)),"ASAP",IF(NETWORKDAYS.INTL(F2038,G2038,1,Table2[Dias no laborales]) &lt;= 7, "Dentro", IF(A2038&gt;F2038,"Programado","Fuera"))))</f>
        <v>Dentro</v>
      </c>
      <c r="K2038" s="7" t="str">
        <f t="shared" si="98"/>
        <v>A tiempo</v>
      </c>
      <c r="L2038" s="11">
        <v>46141</v>
      </c>
      <c r="M2038" s="22">
        <f>MAX(1,NETWORKDAYS(A2038,L2038,Table2[Dias no laborales]))</f>
        <v>1</v>
      </c>
    </row>
    <row r="2039" spans="1:13" x14ac:dyDescent="0.3">
      <c r="A2039" s="11">
        <v>46141</v>
      </c>
      <c r="B2039" s="20" t="s">
        <v>4085</v>
      </c>
      <c r="C2039" s="7" t="s">
        <v>4126</v>
      </c>
      <c r="D2039" s="7" t="s">
        <v>61</v>
      </c>
      <c r="E2039" s="18">
        <v>49794.32708333333</v>
      </c>
      <c r="F2039" s="11">
        <f>IF(HOUR(Table1[[#This Row],[CORREO]])&gt;=11,WORKDAY(Table1[[#This Row],[CORREO]],1,Table2[Dias no laborales]),E2039)</f>
        <v>49794.32708333333</v>
      </c>
      <c r="G2039" s="11">
        <v>46141</v>
      </c>
      <c r="H2039" s="7">
        <f t="shared" si="97"/>
        <v>17</v>
      </c>
      <c r="I2039" s="7">
        <f>MAX(1, NETWORKDAYS(A2039, G2039,Table2[Dias no laborales]))</f>
        <v>1</v>
      </c>
      <c r="J2039" s="7" t="str">
        <f>IF(Table1[[#This Row],[FIN]]="","Acumulado",IF(ISNUMBER(SEARCH("ASAP",C2039)),"ASAP",IF(NETWORKDAYS.INTL(F2039,G2039,1,Table2[Dias no laborales]) &lt;= 7, "Dentro", IF(A2039&gt;F2039,"Programado","Fuera"))))</f>
        <v>Dentro</v>
      </c>
      <c r="K2039" s="7" t="str">
        <f t="shared" si="98"/>
        <v>Mismo día</v>
      </c>
      <c r="L2039" s="11">
        <v>46141</v>
      </c>
      <c r="M2039" s="22">
        <f>MAX(1,NETWORKDAYS(A2039,L2039,Table2[Dias no laborales]))</f>
        <v>1</v>
      </c>
    </row>
    <row r="2040" spans="1:13" x14ac:dyDescent="0.3">
      <c r="A2040" s="11">
        <v>46141</v>
      </c>
      <c r="B2040" s="20" t="s">
        <v>4086</v>
      </c>
      <c r="C2040" s="7" t="s">
        <v>4127</v>
      </c>
      <c r="D2040" s="7" t="s">
        <v>24</v>
      </c>
      <c r="E2040" s="18"/>
      <c r="F2040" s="11">
        <f>IF(HOUR(Table1[[#This Row],[CORREO]])&gt;=11,WORKDAY(Table1[[#This Row],[CORREO]],1,Table2[Dias no laborales]),E2040)</f>
        <v>0</v>
      </c>
      <c r="G2040" s="11">
        <v>46149</v>
      </c>
      <c r="H2040" s="7">
        <f t="shared" si="97"/>
        <v>17</v>
      </c>
      <c r="I2040" s="7">
        <f>MAX(1, NETWORKDAYS(A2040, G2040,Table2[Dias no laborales]))</f>
        <v>5</v>
      </c>
      <c r="J2040" s="7" t="str">
        <f>IF(Table1[[#This Row],[FIN]]="","Acumulado",IF(ISNUMBER(SEARCH("ASAP",C2040)),"ASAP",IF(NETWORKDAYS.INTL(F2040,G2040,1,Table2[Dias no laborales]) &lt;= 7, "Dentro", IF(A2040&gt;F2040,"Programado","Fuera"))))</f>
        <v>Programado</v>
      </c>
      <c r="K2040" s="7" t="str">
        <f t="shared" si="98"/>
        <v>Programados</v>
      </c>
      <c r="L2040" s="11">
        <v>46141</v>
      </c>
      <c r="M2040" s="22">
        <f>MAX(1,NETWORKDAYS(A2040,L2040,Table2[Dias no laborales]))</f>
        <v>1</v>
      </c>
    </row>
    <row r="2041" spans="1:13" x14ac:dyDescent="0.3">
      <c r="A2041" s="11">
        <v>46141</v>
      </c>
      <c r="B2041" s="20" t="s">
        <v>4087</v>
      </c>
      <c r="C2041" s="7" t="s">
        <v>4128</v>
      </c>
      <c r="D2041" s="7" t="s">
        <v>1099</v>
      </c>
      <c r="E2041" s="18">
        <v>46141.432638888888</v>
      </c>
      <c r="F2041" s="11">
        <f>IF(HOUR(Table1[[#This Row],[CORREO]])&gt;=11,WORKDAY(Table1[[#This Row],[CORREO]],1,Table2[Dias no laborales]),E2041)</f>
        <v>46141.432638888888</v>
      </c>
      <c r="G2041" s="11">
        <v>46146</v>
      </c>
      <c r="H2041" s="7">
        <f t="shared" si="97"/>
        <v>17</v>
      </c>
      <c r="I2041" s="7">
        <f>MAX(1, NETWORKDAYS(A2041, G2041,Table2[Dias no laborales]))</f>
        <v>3</v>
      </c>
      <c r="J2041" s="7" t="str">
        <f>IF(Table1[[#This Row],[FIN]]="","Acumulado",IF(ISNUMBER(SEARCH("ASAP",C2041)),"ASAP",IF(NETWORKDAYS.INTL(F2041,G2041,1,Table2[Dias no laborales]) &lt;= 7, "Dentro", IF(A2041&gt;F2041,"Programado","Fuera"))))</f>
        <v>Dentro</v>
      </c>
      <c r="K2041" s="7" t="str">
        <f t="shared" si="98"/>
        <v>A tiempo</v>
      </c>
      <c r="L2041" s="11">
        <v>46141</v>
      </c>
      <c r="M2041" s="22">
        <f>MAX(1,NETWORKDAYS(A2041,L2041,Table2[Dias no laborales]))</f>
        <v>1</v>
      </c>
    </row>
    <row r="2042" spans="1:13" x14ac:dyDescent="0.3">
      <c r="A2042" s="11">
        <v>46141</v>
      </c>
      <c r="B2042" s="20" t="s">
        <v>4088</v>
      </c>
      <c r="C2042" s="7" t="s">
        <v>4129</v>
      </c>
      <c r="D2042" s="7" t="s">
        <v>1735</v>
      </c>
      <c r="E2042" s="18">
        <v>46141.456944444442</v>
      </c>
      <c r="F2042" s="11">
        <f>IF(HOUR(Table1[[#This Row],[CORREO]])&gt;=11,WORKDAY(Table1[[#This Row],[CORREO]],1,Table2[Dias no laborales]),E2042)</f>
        <v>46141.456944444442</v>
      </c>
      <c r="G2042" s="11">
        <v>46141</v>
      </c>
      <c r="H2042" s="7">
        <f t="shared" si="97"/>
        <v>17</v>
      </c>
      <c r="I2042" s="7">
        <f>MAX(1, NETWORKDAYS(A2042, G2042,Table2[Dias no laborales]))</f>
        <v>1</v>
      </c>
      <c r="J2042" s="7" t="str">
        <f>IF(Table1[[#This Row],[FIN]]="","Acumulado",IF(ISNUMBER(SEARCH("ASAP",C2042)),"ASAP",IF(NETWORKDAYS.INTL(F2042,G2042,1,Table2[Dias no laborales]) &lt;= 7, "Dentro", IF(A2042&gt;F2042,"Programado","Fuera"))))</f>
        <v>Dentro</v>
      </c>
      <c r="K2042" s="7" t="str">
        <f t="shared" si="98"/>
        <v>A tiempo</v>
      </c>
      <c r="L2042" s="11">
        <v>46141</v>
      </c>
      <c r="M2042" s="22">
        <f>MAX(1,NETWORKDAYS(A2042,L2042,Table2[Dias no laborales]))</f>
        <v>1</v>
      </c>
    </row>
    <row r="2043" spans="1:13" x14ac:dyDescent="0.3">
      <c r="A2043" s="11">
        <v>46141</v>
      </c>
      <c r="B2043" s="20" t="s">
        <v>4089</v>
      </c>
      <c r="C2043" s="7" t="s">
        <v>4094</v>
      </c>
      <c r="D2043" s="7" t="s">
        <v>3845</v>
      </c>
      <c r="E2043" s="18">
        <v>46141.419444444444</v>
      </c>
      <c r="F2043" s="11">
        <f>IF(HOUR(Table1[[#This Row],[CORREO]])&gt;=11,WORKDAY(Table1[[#This Row],[CORREO]],1,Table2[Dias no laborales]),E2043)</f>
        <v>46141.419444444444</v>
      </c>
      <c r="G2043" s="11">
        <v>46150</v>
      </c>
      <c r="H2043" s="7">
        <f t="shared" si="97"/>
        <v>17</v>
      </c>
      <c r="I2043" s="7">
        <f>MAX(1, NETWORKDAYS(A2043, G2043,Table2[Dias no laborales]))</f>
        <v>6</v>
      </c>
      <c r="J2043" s="7" t="str">
        <f>IF(Table1[[#This Row],[FIN]]="","Acumulado",IF(ISNUMBER(SEARCH("ASAP",C2043)),"ASAP",IF(NETWORKDAYS.INTL(F2043,G2043,1,Table2[Dias no laborales]) &lt;= 7, "Dentro", IF(A2043&gt;F2043,"Programado","Fuera"))))</f>
        <v>Dentro</v>
      </c>
      <c r="K2043" s="7" t="str">
        <f t="shared" si="98"/>
        <v>A tiempo</v>
      </c>
      <c r="L2043" s="11">
        <v>46142</v>
      </c>
      <c r="M2043" s="22">
        <f>MAX(1,NETWORKDAYS(A2043,L2043,Table2[Dias no laborales]))</f>
        <v>2</v>
      </c>
    </row>
    <row r="2044" spans="1:13" x14ac:dyDescent="0.3">
      <c r="A2044" s="11">
        <v>46141</v>
      </c>
      <c r="B2044" s="20" t="s">
        <v>4090</v>
      </c>
      <c r="C2044" s="7" t="s">
        <v>4130</v>
      </c>
      <c r="D2044" s="7" t="s">
        <v>538</v>
      </c>
      <c r="E2044" s="18">
        <v>46141.449305555558</v>
      </c>
      <c r="F2044" s="11">
        <f>IF(HOUR(Table1[[#This Row],[CORREO]])&gt;=11,WORKDAY(Table1[[#This Row],[CORREO]],1,Table2[Dias no laborales]),E2044)</f>
        <v>46141.449305555558</v>
      </c>
      <c r="G2044" s="11">
        <v>46149</v>
      </c>
      <c r="H2044" s="7">
        <f t="shared" si="97"/>
        <v>17</v>
      </c>
      <c r="I2044" s="7">
        <f>MAX(1, NETWORKDAYS(A2044, G2044,Table2[Dias no laborales]))</f>
        <v>5</v>
      </c>
      <c r="J2044" s="7" t="str">
        <f>IF(Table1[[#This Row],[FIN]]="","Acumulado",IF(ISNUMBER(SEARCH("ASAP",C2044)),"ASAP",IF(NETWORKDAYS.INTL(F2044,G2044,1,Table2[Dias no laborales]) &lt;= 7, "Dentro", IF(A2044&gt;F2044,"Programado","Fuera"))))</f>
        <v>Dentro</v>
      </c>
      <c r="K2044" s="7" t="str">
        <f t="shared" si="98"/>
        <v>A tiempo</v>
      </c>
      <c r="L2044" s="11">
        <v>46141</v>
      </c>
      <c r="M2044" s="22">
        <f>MAX(1,NETWORKDAYS(A2044,L2044,Table2[Dias no laborales]))</f>
        <v>1</v>
      </c>
    </row>
    <row r="2045" spans="1:13" x14ac:dyDescent="0.3">
      <c r="A2045" s="11">
        <v>46142</v>
      </c>
      <c r="B2045" s="20" t="s">
        <v>4131</v>
      </c>
      <c r="C2045" s="7" t="s">
        <v>4178</v>
      </c>
      <c r="D2045" s="7" t="s">
        <v>24</v>
      </c>
      <c r="E2045" s="18">
        <v>46141.583333333336</v>
      </c>
      <c r="F2045" s="11">
        <f>IF(HOUR(Table1[[#This Row],[CORREO]])&gt;=11,WORKDAY(Table1[[#This Row],[CORREO]],1,Table2[Dias no laborales]),E2045)</f>
        <v>46142</v>
      </c>
      <c r="G2045" s="11">
        <v>46150</v>
      </c>
      <c r="H2045" s="7">
        <f t="shared" ref="H2045:H2049" si="99">INT((A2045-DATE(YEAR(A2045),1,1))/7) + 1</f>
        <v>18</v>
      </c>
      <c r="I2045" s="7">
        <f>MAX(1, NETWORKDAYS(A2045, G2045,Table2[Dias no laborales]))</f>
        <v>5</v>
      </c>
      <c r="J2045" s="7" t="str">
        <f>IF(Table1[[#This Row],[FIN]]="","Acumulado",IF(ISNUMBER(SEARCH("ASAP",C2045)),"ASAP",IF(NETWORKDAYS.INTL(F2045,G2045,1,Table2[Dias no laborales]) &lt;= 7, "Dentro", IF(A2045&gt;F2045,"Programado","Fuera"))))</f>
        <v>Dentro</v>
      </c>
      <c r="K2045" s="7" t="str">
        <f t="shared" ref="K2045:K2049" si="100">IF(INT(A2045)=INT(F2045),"A tiempo", IF(A2045&lt;F2045,"Mismo día","Programados"))</f>
        <v>A tiempo</v>
      </c>
      <c r="L2045" s="11">
        <v>46142</v>
      </c>
      <c r="M2045" s="22">
        <f>MAX(1,NETWORKDAYS(A2045,L2045,Table2[Dias no laborales]))</f>
        <v>1</v>
      </c>
    </row>
    <row r="2046" spans="1:13" x14ac:dyDescent="0.3">
      <c r="A2046" s="11">
        <v>46142</v>
      </c>
      <c r="B2046" s="20" t="s">
        <v>4132</v>
      </c>
      <c r="C2046" s="7" t="s">
        <v>4179</v>
      </c>
      <c r="D2046" s="7" t="s">
        <v>1333</v>
      </c>
      <c r="E2046" s="18">
        <v>46141.511805555558</v>
      </c>
      <c r="F2046" s="11">
        <f>IF(HOUR(Table1[[#This Row],[CORREO]])&gt;=11,WORKDAY(Table1[[#This Row],[CORREO]],1,Table2[Dias no laborales]),E2046)</f>
        <v>46142</v>
      </c>
      <c r="G2046" s="11">
        <v>46150</v>
      </c>
      <c r="H2046" s="7">
        <f t="shared" si="99"/>
        <v>18</v>
      </c>
      <c r="I2046" s="7">
        <f>MAX(1, NETWORKDAYS(A2046, G2046,Table2[Dias no laborales]))</f>
        <v>5</v>
      </c>
      <c r="J2046" s="7" t="str">
        <f>IF(Table1[[#This Row],[FIN]]="","Acumulado",IF(ISNUMBER(SEARCH("ASAP",C2046)),"ASAP",IF(NETWORKDAYS.INTL(F2046,G2046,1,Table2[Dias no laborales]) &lt;= 7, "Dentro", IF(A2046&gt;F2046,"Programado","Fuera"))))</f>
        <v>Dentro</v>
      </c>
      <c r="K2046" s="7" t="str">
        <f t="shared" si="100"/>
        <v>A tiempo</v>
      </c>
      <c r="L2046" s="11">
        <v>46142</v>
      </c>
      <c r="M2046" s="22">
        <f>MAX(1,NETWORKDAYS(A2046,L2046,Table2[Dias no laborales]))</f>
        <v>1</v>
      </c>
    </row>
    <row r="2047" spans="1:13" x14ac:dyDescent="0.3">
      <c r="A2047" s="11">
        <v>46142</v>
      </c>
      <c r="B2047" s="20" t="s">
        <v>4133</v>
      </c>
      <c r="C2047" s="7" t="s">
        <v>4180</v>
      </c>
      <c r="D2047" s="7" t="s">
        <v>3039</v>
      </c>
      <c r="E2047" s="18">
        <v>46141.590277777781</v>
      </c>
      <c r="F2047" s="11">
        <f>IF(HOUR(Table1[[#This Row],[CORREO]])&gt;=11,WORKDAY(Table1[[#This Row],[CORREO]],1,Table2[Dias no laborales]),E2047)</f>
        <v>46142</v>
      </c>
      <c r="G2047" s="11">
        <v>46149</v>
      </c>
      <c r="H2047" s="7">
        <f t="shared" si="99"/>
        <v>18</v>
      </c>
      <c r="I2047" s="7">
        <f>MAX(1, NETWORKDAYS(A2047, G2047,Table2[Dias no laborales]))</f>
        <v>4</v>
      </c>
      <c r="J2047" s="7" t="str">
        <f>IF(Table1[[#This Row],[FIN]]="","Acumulado",IF(ISNUMBER(SEARCH("ASAP",C2047)),"ASAP",IF(NETWORKDAYS.INTL(F2047,G2047,1,Table2[Dias no laborales]) &lt;= 7, "Dentro", IF(A2047&gt;F2047,"Programado","Fuera"))))</f>
        <v>Dentro</v>
      </c>
      <c r="K2047" s="7" t="str">
        <f t="shared" si="100"/>
        <v>A tiempo</v>
      </c>
      <c r="L2047" s="11">
        <v>46142</v>
      </c>
      <c r="M2047" s="22">
        <f>MAX(1,NETWORKDAYS(A2047,L2047,Table2[Dias no laborales]))</f>
        <v>1</v>
      </c>
    </row>
    <row r="2048" spans="1:13" x14ac:dyDescent="0.3">
      <c r="A2048" s="11">
        <v>46142</v>
      </c>
      <c r="B2048" s="20" t="s">
        <v>4134</v>
      </c>
      <c r="C2048" s="7" t="s">
        <v>4181</v>
      </c>
      <c r="D2048" s="7" t="s">
        <v>2994</v>
      </c>
      <c r="E2048" s="18">
        <v>45776.697916666664</v>
      </c>
      <c r="F2048" s="11">
        <f>IF(HOUR(Table1[[#This Row],[CORREO]])&gt;=11,WORKDAY(Table1[[#This Row],[CORREO]],1,Table2[Dias no laborales]),E2048)</f>
        <v>45777</v>
      </c>
      <c r="G2048" s="11">
        <v>46142</v>
      </c>
      <c r="H2048" s="7">
        <f t="shared" si="99"/>
        <v>18</v>
      </c>
      <c r="I2048" s="7">
        <f>MAX(1, NETWORKDAYS(A2048, G2048,Table2[Dias no laborales]))</f>
        <v>1</v>
      </c>
      <c r="J2048" s="7" t="str">
        <f>IF(Table1[[#This Row],[FIN]]="","Acumulado",IF(ISNUMBER(SEARCH("ASAP",C2048)),"ASAP",IF(NETWORKDAYS.INTL(F2048,G2048,1,Table2[Dias no laborales]) &lt;= 7, "Dentro", IF(A2048&gt;F2048,"Programado","Fuera"))))</f>
        <v>Programado</v>
      </c>
      <c r="K2048" s="7" t="str">
        <f t="shared" si="100"/>
        <v>Programados</v>
      </c>
      <c r="L2048" s="11">
        <v>46142</v>
      </c>
      <c r="M2048" s="22">
        <f>MAX(1,NETWORKDAYS(A2048,L2048,Table2[Dias no laborales]))</f>
        <v>1</v>
      </c>
    </row>
    <row r="2049" spans="1:13" x14ac:dyDescent="0.3">
      <c r="A2049" s="11">
        <v>46142</v>
      </c>
      <c r="B2049" s="20" t="s">
        <v>4135</v>
      </c>
      <c r="C2049" s="7" t="s">
        <v>4182</v>
      </c>
      <c r="D2049" s="7" t="s">
        <v>1644</v>
      </c>
      <c r="E2049" s="18">
        <v>46141.695138888892</v>
      </c>
      <c r="F2049" s="11">
        <f>IF(HOUR(Table1[[#This Row],[CORREO]])&gt;=11,WORKDAY(Table1[[#This Row],[CORREO]],1,Table2[Dias no laborales]),E2049)</f>
        <v>46142</v>
      </c>
      <c r="G2049" s="11">
        <v>46142</v>
      </c>
      <c r="H2049" s="7">
        <f t="shared" si="99"/>
        <v>18</v>
      </c>
      <c r="I2049" s="7">
        <f>MAX(1, NETWORKDAYS(A2049, G2049,Table2[Dias no laborales]))</f>
        <v>1</v>
      </c>
      <c r="J2049" s="7" t="str">
        <f>IF(Table1[[#This Row],[FIN]]="","Acumulado",IF(ISNUMBER(SEARCH("ASAP",C2049)),"ASAP",IF(NETWORKDAYS.INTL(F2049,G2049,1,Table2[Dias no laborales]) &lt;= 7, "Dentro", IF(A2049&gt;F2049,"Programado","Fuera"))))</f>
        <v>Dentro</v>
      </c>
      <c r="K2049" s="7" t="str">
        <f t="shared" si="100"/>
        <v>A tiempo</v>
      </c>
      <c r="L2049" s="11">
        <v>46142</v>
      </c>
      <c r="M2049" s="22">
        <f>MAX(1,NETWORKDAYS(A2049,L2049,Table2[Dias no laborales]))</f>
        <v>1</v>
      </c>
    </row>
    <row r="2050" spans="1:13" x14ac:dyDescent="0.3">
      <c r="A2050" s="11">
        <v>46142</v>
      </c>
      <c r="B2050" s="20" t="s">
        <v>4136</v>
      </c>
      <c r="C2050" s="7" t="s">
        <v>4183</v>
      </c>
      <c r="D2050" s="7" t="s">
        <v>30</v>
      </c>
      <c r="E2050" s="18">
        <v>46142.324999999997</v>
      </c>
      <c r="F2050" s="11">
        <f>IF(HOUR(Table1[[#This Row],[CORREO]])&gt;=11,WORKDAY(Table1[[#This Row],[CORREO]],1,Table2[Dias no laborales]),E2050)</f>
        <v>46142.324999999997</v>
      </c>
      <c r="G2050" s="11">
        <v>46146</v>
      </c>
      <c r="H2050" s="7">
        <f t="shared" ref="H2050:H2091" si="101">INT((A2050-DATE(YEAR(A2050),1,1))/7) + 1</f>
        <v>18</v>
      </c>
      <c r="I2050" s="7">
        <f>MAX(1, NETWORKDAYS(A2050, G2050,Table2[Dias no laborales]))</f>
        <v>2</v>
      </c>
      <c r="J2050" s="7" t="str">
        <f>IF(Table1[[#This Row],[FIN]]="","Acumulado",IF(ISNUMBER(SEARCH("ASAP",C2050)),"ASAP",IF(NETWORKDAYS.INTL(F2050,G2050,1,Table2[Dias no laborales]) &lt;= 7, "Dentro", IF(A2050&gt;F2050,"Programado","Fuera"))))</f>
        <v>Dentro</v>
      </c>
      <c r="K2050" s="7" t="str">
        <f t="shared" ref="K2050:K2091" si="102">IF(INT(A2050)=INT(F2050),"A tiempo", IF(A2050&lt;F2050,"Mismo día","Programados"))</f>
        <v>A tiempo</v>
      </c>
      <c r="L2050" s="11">
        <v>46142</v>
      </c>
      <c r="M2050" s="22">
        <f>MAX(1,NETWORKDAYS(A2050,L2050,Table2[Dias no laborales]))</f>
        <v>1</v>
      </c>
    </row>
    <row r="2051" spans="1:13" x14ac:dyDescent="0.3">
      <c r="A2051" s="11">
        <v>46142</v>
      </c>
      <c r="B2051" s="20" t="s">
        <v>4137</v>
      </c>
      <c r="C2051" s="7" t="s">
        <v>4184</v>
      </c>
      <c r="D2051" s="7" t="s">
        <v>586</v>
      </c>
      <c r="E2051" s="18">
        <v>46142.375694444447</v>
      </c>
      <c r="F2051" s="11">
        <f>IF(HOUR(Table1[[#This Row],[CORREO]])&gt;=11,WORKDAY(Table1[[#This Row],[CORREO]],1,Table2[Dias no laborales]),E2051)</f>
        <v>46142.375694444447</v>
      </c>
      <c r="G2051" s="11">
        <v>46142</v>
      </c>
      <c r="H2051" s="7">
        <f t="shared" si="101"/>
        <v>18</v>
      </c>
      <c r="I2051" s="7">
        <f>MAX(1, NETWORKDAYS(A2051, G2051,Table2[Dias no laborales]))</f>
        <v>1</v>
      </c>
      <c r="J2051" s="7" t="str">
        <f>IF(Table1[[#This Row],[FIN]]="","Acumulado",IF(ISNUMBER(SEARCH("ASAP",C2051)),"ASAP",IF(NETWORKDAYS.INTL(F2051,G2051,1,Table2[Dias no laborales]) &lt;= 7, "Dentro", IF(A2051&gt;F2051,"Programado","Fuera"))))</f>
        <v>Dentro</v>
      </c>
      <c r="K2051" s="7" t="str">
        <f t="shared" si="102"/>
        <v>A tiempo</v>
      </c>
      <c r="L2051" s="11">
        <v>46142</v>
      </c>
      <c r="M2051" s="22">
        <f>MAX(1,NETWORKDAYS(A2051,L2051,Table2[Dias no laborales]))</f>
        <v>1</v>
      </c>
    </row>
    <row r="2052" spans="1:13" x14ac:dyDescent="0.3">
      <c r="A2052" s="11">
        <v>46142</v>
      </c>
      <c r="B2052" s="20" t="s">
        <v>4138</v>
      </c>
      <c r="C2052" s="7" t="s">
        <v>4185</v>
      </c>
      <c r="D2052" s="7" t="s">
        <v>308</v>
      </c>
      <c r="E2052" s="18">
        <v>46142.400000000001</v>
      </c>
      <c r="F2052" s="11">
        <f>IF(HOUR(Table1[[#This Row],[CORREO]])&gt;=11,WORKDAY(Table1[[#This Row],[CORREO]],1,Table2[Dias no laborales]),E2052)</f>
        <v>46142.400000000001</v>
      </c>
      <c r="G2052" s="11">
        <v>46147</v>
      </c>
      <c r="H2052" s="7">
        <f t="shared" si="101"/>
        <v>18</v>
      </c>
      <c r="I2052" s="7">
        <f>MAX(1, NETWORKDAYS(A2052, G2052,Table2[Dias no laborales]))</f>
        <v>2</v>
      </c>
      <c r="J2052" s="7" t="str">
        <f>IF(Table1[[#This Row],[FIN]]="","Acumulado",IF(ISNUMBER(SEARCH("ASAP",C2052)),"ASAP",IF(NETWORKDAYS.INTL(F2052,G2052,1,Table2[Dias no laborales]) &lt;= 7, "Dentro", IF(A2052&gt;F2052,"Programado","Fuera"))))</f>
        <v>Dentro</v>
      </c>
      <c r="K2052" s="7" t="str">
        <f t="shared" si="102"/>
        <v>A tiempo</v>
      </c>
      <c r="L2052" s="11">
        <v>46142</v>
      </c>
      <c r="M2052" s="22">
        <f>MAX(1,NETWORKDAYS(A2052,L2052,Table2[Dias no laborales]))</f>
        <v>1</v>
      </c>
    </row>
    <row r="2053" spans="1:13" x14ac:dyDescent="0.3">
      <c r="A2053" s="11">
        <v>46142</v>
      </c>
      <c r="B2053" s="20" t="s">
        <v>4139</v>
      </c>
      <c r="C2053" s="7" t="s">
        <v>4186</v>
      </c>
      <c r="D2053" s="7" t="s">
        <v>449</v>
      </c>
      <c r="E2053" s="18">
        <v>46142.396527777775</v>
      </c>
      <c r="F2053" s="11">
        <f>IF(HOUR(Table1[[#This Row],[CORREO]])&gt;=11,WORKDAY(Table1[[#This Row],[CORREO]],1,Table2[Dias no laborales]),E2053)</f>
        <v>46142.396527777775</v>
      </c>
      <c r="G2053" s="11">
        <v>46142</v>
      </c>
      <c r="H2053" s="7">
        <f t="shared" si="101"/>
        <v>18</v>
      </c>
      <c r="I2053" s="7">
        <f>MAX(1, NETWORKDAYS(A2053, G2053,Table2[Dias no laborales]))</f>
        <v>1</v>
      </c>
      <c r="J2053" s="7" t="str">
        <f>IF(Table1[[#This Row],[FIN]]="","Acumulado",IF(ISNUMBER(SEARCH("ASAP",C2053)),"ASAP",IF(NETWORKDAYS.INTL(F2053,G2053,1,Table2[Dias no laborales]) &lt;= 7, "Dentro", IF(A2053&gt;F2053,"Programado","Fuera"))))</f>
        <v>Dentro</v>
      </c>
      <c r="K2053" s="7" t="str">
        <f t="shared" si="102"/>
        <v>A tiempo</v>
      </c>
      <c r="L2053" s="11">
        <v>46142</v>
      </c>
      <c r="M2053" s="22">
        <f>MAX(1,NETWORKDAYS(A2053,L2053,Table2[Dias no laborales]))</f>
        <v>1</v>
      </c>
    </row>
    <row r="2054" spans="1:13" x14ac:dyDescent="0.3">
      <c r="A2054" s="11">
        <v>46142</v>
      </c>
      <c r="B2054" s="20" t="s">
        <v>4140</v>
      </c>
      <c r="C2054" s="7" t="s">
        <v>4187</v>
      </c>
      <c r="D2054" s="7" t="s">
        <v>4188</v>
      </c>
      <c r="E2054" s="18">
        <v>46142.416666666664</v>
      </c>
      <c r="F2054" s="11">
        <f>IF(HOUR(Table1[[#This Row],[CORREO]])&gt;=11,WORKDAY(Table1[[#This Row],[CORREO]],1,Table2[Dias no laborales]),E2054)</f>
        <v>46142.416666666664</v>
      </c>
      <c r="G2054" s="11">
        <v>46150</v>
      </c>
      <c r="H2054" s="7">
        <f t="shared" si="101"/>
        <v>18</v>
      </c>
      <c r="I2054" s="7">
        <f>MAX(1, NETWORKDAYS(A2054, G2054,Table2[Dias no laborales]))</f>
        <v>5</v>
      </c>
      <c r="J2054" s="7" t="str">
        <f>IF(Table1[[#This Row],[FIN]]="","Acumulado",IF(ISNUMBER(SEARCH("ASAP",C2054)),"ASAP",IF(NETWORKDAYS.INTL(F2054,G2054,1,Table2[Dias no laborales]) &lt;= 7, "Dentro", IF(A2054&gt;F2054,"Programado","Fuera"))))</f>
        <v>Dentro</v>
      </c>
      <c r="K2054" s="7" t="str">
        <f t="shared" si="102"/>
        <v>A tiempo</v>
      </c>
      <c r="L2054" s="11">
        <v>46142</v>
      </c>
      <c r="M2054" s="22">
        <f>MAX(1,NETWORKDAYS(A2054,L2054,Table2[Dias no laborales]))</f>
        <v>1</v>
      </c>
    </row>
    <row r="2055" spans="1:13" x14ac:dyDescent="0.3">
      <c r="A2055" s="11">
        <v>46142</v>
      </c>
      <c r="B2055" s="20" t="s">
        <v>4141</v>
      </c>
      <c r="C2055" s="7" t="s">
        <v>4189</v>
      </c>
      <c r="D2055" s="7" t="s">
        <v>4190</v>
      </c>
      <c r="E2055" s="18">
        <v>46142.477777777778</v>
      </c>
      <c r="F2055" s="11">
        <f>IF(HOUR(Table1[[#This Row],[CORREO]])&gt;=11,WORKDAY(Table1[[#This Row],[CORREO]],1,Table2[Dias no laborales]),E2055)</f>
        <v>46146</v>
      </c>
      <c r="G2055" s="11">
        <v>46149</v>
      </c>
      <c r="H2055" s="7">
        <f t="shared" si="101"/>
        <v>18</v>
      </c>
      <c r="I2055" s="7">
        <f>MAX(1, NETWORKDAYS(A2055, G2055,Table2[Dias no laborales]))</f>
        <v>4</v>
      </c>
      <c r="J2055" s="7" t="str">
        <f>IF(Table1[[#This Row],[FIN]]="","Acumulado",IF(ISNUMBER(SEARCH("ASAP",C2055)),"ASAP",IF(NETWORKDAYS.INTL(F2055,G2055,1,Table2[Dias no laborales]) &lt;= 7, "Dentro", IF(A2055&gt;F2055,"Programado","Fuera"))))</f>
        <v>Dentro</v>
      </c>
      <c r="K2055" s="7" t="str">
        <f t="shared" si="102"/>
        <v>Mismo día</v>
      </c>
      <c r="L2055" s="11">
        <v>46142</v>
      </c>
      <c r="M2055" s="22">
        <f>MAX(1,NETWORKDAYS(A2055,L2055,Table2[Dias no laborales]))</f>
        <v>1</v>
      </c>
    </row>
    <row r="2056" spans="1:13" x14ac:dyDescent="0.3">
      <c r="A2056" s="11">
        <v>46142</v>
      </c>
      <c r="B2056" s="20" t="s">
        <v>4142</v>
      </c>
      <c r="C2056" s="7" t="s">
        <v>4189</v>
      </c>
      <c r="D2056" s="7" t="s">
        <v>4191</v>
      </c>
      <c r="E2056" s="18">
        <v>49795.479166666664</v>
      </c>
      <c r="F2056" s="11">
        <f>IF(HOUR(Table1[[#This Row],[CORREO]])&gt;=11,WORKDAY(Table1[[#This Row],[CORREO]],1,Table2[Dias no laborales]),E2056)</f>
        <v>49796</v>
      </c>
      <c r="G2056" s="11">
        <v>46149</v>
      </c>
      <c r="H2056" s="7">
        <f t="shared" si="101"/>
        <v>18</v>
      </c>
      <c r="I2056" s="7">
        <f>MAX(1, NETWORKDAYS(A2056, G2056,Table2[Dias no laborales]))</f>
        <v>4</v>
      </c>
      <c r="J2056" s="7" t="str">
        <f>IF(Table1[[#This Row],[FIN]]="","Acumulado",IF(ISNUMBER(SEARCH("ASAP",C2056)),"ASAP",IF(NETWORKDAYS.INTL(F2056,G2056,1,Table2[Dias no laborales]) &lt;= 7, "Dentro", IF(A2056&gt;F2056,"Programado","Fuera"))))</f>
        <v>Dentro</v>
      </c>
      <c r="K2056" s="7" t="str">
        <f t="shared" si="102"/>
        <v>Mismo día</v>
      </c>
      <c r="L2056" s="11">
        <v>46142</v>
      </c>
      <c r="M2056" s="22">
        <f>MAX(1,NETWORKDAYS(A2056,L2056,Table2[Dias no laborales]))</f>
        <v>1</v>
      </c>
    </row>
    <row r="2057" spans="1:13" x14ac:dyDescent="0.3">
      <c r="A2057" s="11">
        <v>46142</v>
      </c>
      <c r="B2057" s="20" t="s">
        <v>4143</v>
      </c>
      <c r="C2057" s="7" t="s">
        <v>4192</v>
      </c>
      <c r="D2057" s="7" t="s">
        <v>1136</v>
      </c>
      <c r="E2057" s="18">
        <v>46142.51458333333</v>
      </c>
      <c r="F2057" s="11">
        <f>IF(HOUR(Table1[[#This Row],[CORREO]])&gt;=11,WORKDAY(Table1[[#This Row],[CORREO]],1,Table2[Dias no laborales]),E2057)</f>
        <v>46146</v>
      </c>
      <c r="G2057" s="11">
        <v>46142</v>
      </c>
      <c r="H2057" s="7">
        <f t="shared" si="101"/>
        <v>18</v>
      </c>
      <c r="I2057" s="7">
        <f>MAX(1, NETWORKDAYS(A2057, G2057,Table2[Dias no laborales]))</f>
        <v>1</v>
      </c>
      <c r="J2057" s="7" t="str">
        <f>IF(Table1[[#This Row],[FIN]]="","Acumulado",IF(ISNUMBER(SEARCH("ASAP",C2057)),"ASAP",IF(NETWORKDAYS.INTL(F2057,G2057,1,Table2[Dias no laborales]) &lt;= 7, "Dentro", IF(A2057&gt;F2057,"Programado","Fuera"))))</f>
        <v>Dentro</v>
      </c>
      <c r="K2057" s="7" t="str">
        <f t="shared" si="102"/>
        <v>Mismo día</v>
      </c>
      <c r="L2057" s="11">
        <v>46142</v>
      </c>
      <c r="M2057" s="22">
        <f>MAX(1,NETWORKDAYS(A2057,L2057,Table2[Dias no laborales]))</f>
        <v>1</v>
      </c>
    </row>
    <row r="2058" spans="1:13" x14ac:dyDescent="0.3">
      <c r="A2058" s="11">
        <v>46142</v>
      </c>
      <c r="B2058" s="20" t="s">
        <v>4144</v>
      </c>
      <c r="C2058" s="7" t="s">
        <v>4193</v>
      </c>
      <c r="D2058" s="7" t="s">
        <v>18</v>
      </c>
      <c r="E2058" s="18"/>
      <c r="F2058" s="11">
        <f>IF(HOUR(Table1[[#This Row],[CORREO]])&gt;=11,WORKDAY(Table1[[#This Row],[CORREO]],1,Table2[Dias no laborales]),E2058)</f>
        <v>0</v>
      </c>
      <c r="G2058" s="11">
        <v>46149</v>
      </c>
      <c r="H2058" s="7">
        <f t="shared" si="101"/>
        <v>18</v>
      </c>
      <c r="I2058" s="7">
        <f>MAX(1, NETWORKDAYS(A2058, G2058,Table2[Dias no laborales]))</f>
        <v>4</v>
      </c>
      <c r="J2058" s="7" t="str">
        <f>IF(Table1[[#This Row],[FIN]]="","Acumulado",IF(ISNUMBER(SEARCH("ASAP",C2058)),"ASAP",IF(NETWORKDAYS.INTL(F2058,G2058,1,Table2[Dias no laborales]) &lt;= 7, "Dentro", IF(A2058&gt;F2058,"Programado","Fuera"))))</f>
        <v>Programado</v>
      </c>
      <c r="K2058" s="7" t="str">
        <f t="shared" si="102"/>
        <v>Programados</v>
      </c>
      <c r="L2058" s="11">
        <v>46142</v>
      </c>
      <c r="M2058" s="22">
        <f>MAX(1,NETWORKDAYS(A2058,L2058,Table2[Dias no laborales]))</f>
        <v>1</v>
      </c>
    </row>
    <row r="2059" spans="1:13" x14ac:dyDescent="0.3">
      <c r="A2059" s="11">
        <v>46142</v>
      </c>
      <c r="B2059" s="20" t="s">
        <v>4145</v>
      </c>
      <c r="C2059" s="7" t="s">
        <v>4194</v>
      </c>
      <c r="D2059" s="7" t="s">
        <v>3039</v>
      </c>
      <c r="E2059" s="18">
        <v>46142.476388888892</v>
      </c>
      <c r="F2059" s="11">
        <f>IF(HOUR(Table1[[#This Row],[CORREO]])&gt;=11,WORKDAY(Table1[[#This Row],[CORREO]],1,Table2[Dias no laborales]),E2059)</f>
        <v>46146</v>
      </c>
      <c r="G2059" s="11">
        <v>46149</v>
      </c>
      <c r="H2059" s="7">
        <f t="shared" si="101"/>
        <v>18</v>
      </c>
      <c r="I2059" s="7">
        <f>MAX(1, NETWORKDAYS(A2059, G2059,Table2[Dias no laborales]))</f>
        <v>4</v>
      </c>
      <c r="J2059" s="7" t="str">
        <f>IF(Table1[[#This Row],[FIN]]="","Acumulado",IF(ISNUMBER(SEARCH("ASAP",C2059)),"ASAP",IF(NETWORKDAYS.INTL(F2059,G2059,1,Table2[Dias no laborales]) &lt;= 7, "Dentro", IF(A2059&gt;F2059,"Programado","Fuera"))))</f>
        <v>Dentro</v>
      </c>
      <c r="K2059" s="7" t="str">
        <f t="shared" si="102"/>
        <v>Mismo día</v>
      </c>
      <c r="L2059" s="11">
        <v>46142</v>
      </c>
      <c r="M2059" s="22">
        <f>MAX(1,NETWORKDAYS(A2059,L2059,Table2[Dias no laborales]))</f>
        <v>1</v>
      </c>
    </row>
    <row r="2060" spans="1:13" x14ac:dyDescent="0.3">
      <c r="A2060" s="11">
        <v>46146</v>
      </c>
      <c r="B2060" s="20" t="s">
        <v>4146</v>
      </c>
      <c r="C2060" s="7" t="s">
        <v>4195</v>
      </c>
      <c r="D2060" s="7" t="s">
        <v>24</v>
      </c>
      <c r="E2060" s="18">
        <v>46172.477083333331</v>
      </c>
      <c r="F2060" s="11">
        <f>IF(HOUR(Table1[[#This Row],[CORREO]])&gt;=11,WORKDAY(Table1[[#This Row],[CORREO]],1,Table2[Dias no laborales]),E2060)</f>
        <v>46174</v>
      </c>
      <c r="G2060" s="11">
        <v>46149</v>
      </c>
      <c r="H2060" s="7">
        <f t="shared" si="101"/>
        <v>18</v>
      </c>
      <c r="I2060" s="7">
        <f>MAX(1, NETWORKDAYS(A2060, G2060,Table2[Dias no laborales]))</f>
        <v>3</v>
      </c>
      <c r="J2060" s="7" t="str">
        <f>IF(Table1[[#This Row],[FIN]]="","Acumulado",IF(ISNUMBER(SEARCH("ASAP",C2060)),"ASAP",IF(NETWORKDAYS.INTL(F2060,G2060,1,Table2[Dias no laborales]) &lt;= 7, "Dentro", IF(A2060&gt;F2060,"Programado","Fuera"))))</f>
        <v>Dentro</v>
      </c>
      <c r="K2060" s="7" t="str">
        <f t="shared" si="102"/>
        <v>Mismo día</v>
      </c>
      <c r="L2060" s="11">
        <v>46146</v>
      </c>
      <c r="M2060" s="22">
        <f>MAX(1,NETWORKDAYS(A2060,L2060,Table2[Dias no laborales]))</f>
        <v>1</v>
      </c>
    </row>
    <row r="2061" spans="1:13" x14ac:dyDescent="0.3">
      <c r="A2061" s="11">
        <v>46142</v>
      </c>
      <c r="B2061" s="20" t="s">
        <v>4147</v>
      </c>
      <c r="C2061" s="7" t="s">
        <v>4196</v>
      </c>
      <c r="D2061" s="7" t="s">
        <v>148</v>
      </c>
      <c r="E2061" s="18">
        <v>46142.558333333334</v>
      </c>
      <c r="F2061" s="11">
        <f>IF(HOUR(Table1[[#This Row],[CORREO]])&gt;=11,WORKDAY(Table1[[#This Row],[CORREO]],1,Table2[Dias no laborales]),E2061)</f>
        <v>46146</v>
      </c>
      <c r="G2061" s="11">
        <v>46142</v>
      </c>
      <c r="H2061" s="7">
        <f t="shared" si="101"/>
        <v>18</v>
      </c>
      <c r="I2061" s="7">
        <f>MAX(1, NETWORKDAYS(A2061, G2061,Table2[Dias no laborales]))</f>
        <v>1</v>
      </c>
      <c r="J2061" s="7" t="str">
        <f>IF(Table1[[#This Row],[FIN]]="","Acumulado",IF(ISNUMBER(SEARCH("ASAP",C2061)),"ASAP",IF(NETWORKDAYS.INTL(F2061,G2061,1,Table2[Dias no laborales]) &lt;= 7, "Dentro", IF(A2061&gt;F2061,"Programado","Fuera"))))</f>
        <v>Dentro</v>
      </c>
      <c r="K2061" s="7" t="str">
        <f t="shared" si="102"/>
        <v>Mismo día</v>
      </c>
      <c r="L2061" s="11">
        <v>46142</v>
      </c>
      <c r="M2061" s="22">
        <f>MAX(1,NETWORKDAYS(A2061,L2061,Table2[Dias no laborales]))</f>
        <v>1</v>
      </c>
    </row>
    <row r="2062" spans="1:13" x14ac:dyDescent="0.3">
      <c r="A2062" s="11">
        <v>46142</v>
      </c>
      <c r="B2062" s="20" t="s">
        <v>4148</v>
      </c>
      <c r="C2062" s="7" t="s">
        <v>4197</v>
      </c>
      <c r="D2062" s="7" t="s">
        <v>2537</v>
      </c>
      <c r="E2062" s="18">
        <v>46142.597916666666</v>
      </c>
      <c r="F2062" s="11">
        <f>IF(HOUR(Table1[[#This Row],[CORREO]])&gt;=11,WORKDAY(Table1[[#This Row],[CORREO]],1,Table2[Dias no laborales]),E2062)</f>
        <v>46146</v>
      </c>
      <c r="G2062" s="11">
        <v>46149</v>
      </c>
      <c r="H2062" s="7">
        <f t="shared" si="101"/>
        <v>18</v>
      </c>
      <c r="I2062" s="7">
        <f>MAX(1, NETWORKDAYS(A2062, G2062,Table2[Dias no laborales]))</f>
        <v>4</v>
      </c>
      <c r="J2062" s="7" t="str">
        <f>IF(Table1[[#This Row],[FIN]]="","Acumulado",IF(ISNUMBER(SEARCH("ASAP",C2062)),"ASAP",IF(NETWORKDAYS.INTL(F2062,G2062,1,Table2[Dias no laborales]) &lt;= 7, "Dentro", IF(A2062&gt;F2062,"Programado","Fuera"))))</f>
        <v>Dentro</v>
      </c>
      <c r="K2062" s="7" t="str">
        <f t="shared" si="102"/>
        <v>Mismo día</v>
      </c>
      <c r="L2062" s="11">
        <v>46146</v>
      </c>
      <c r="M2062" s="22">
        <f>MAX(1,NETWORKDAYS(A2062,L2062,Table2[Dias no laborales]))</f>
        <v>2</v>
      </c>
    </row>
    <row r="2063" spans="1:13" x14ac:dyDescent="0.3">
      <c r="A2063" s="11">
        <v>46142</v>
      </c>
      <c r="B2063" s="20" t="s">
        <v>4149</v>
      </c>
      <c r="C2063" s="7" t="s">
        <v>4258</v>
      </c>
      <c r="D2063" s="7" t="s">
        <v>24</v>
      </c>
      <c r="E2063" s="18">
        <v>46142.613194444442</v>
      </c>
      <c r="F2063" s="11">
        <f>IF(HOUR(Table1[[#This Row],[CORREO]])&gt;=11,WORKDAY(Table1[[#This Row],[CORREO]],1,Table2[Dias no laborales]),E2063)</f>
        <v>46146</v>
      </c>
      <c r="G2063" s="11">
        <v>46147</v>
      </c>
      <c r="H2063" s="7">
        <f t="shared" si="101"/>
        <v>18</v>
      </c>
      <c r="I2063" s="7">
        <f>MAX(1, NETWORKDAYS(A2063, G2063,Table2[Dias no laborales]))</f>
        <v>2</v>
      </c>
      <c r="J2063" s="7" t="str">
        <f>IF(Table1[[#This Row],[FIN]]="","Acumulado",IF(ISNUMBER(SEARCH("ASAP",C2063)),"ASAP",IF(NETWORKDAYS.INTL(F2063,G2063,1,Table2[Dias no laborales]) &lt;= 7, "Dentro", IF(A2063&gt;F2063,"Programado","Fuera"))))</f>
        <v>Dentro</v>
      </c>
      <c r="K2063" s="7" t="str">
        <f t="shared" si="102"/>
        <v>Mismo día</v>
      </c>
      <c r="L2063" s="11">
        <v>46142</v>
      </c>
      <c r="M2063" s="22">
        <f>MAX(1,NETWORKDAYS(A2063,L2063,Table2[Dias no laborales]))</f>
        <v>1</v>
      </c>
    </row>
    <row r="2064" spans="1:13" x14ac:dyDescent="0.3">
      <c r="A2064" s="11">
        <v>46142</v>
      </c>
      <c r="B2064" s="20" t="s">
        <v>4150</v>
      </c>
      <c r="C2064" s="7" t="s">
        <v>4195</v>
      </c>
      <c r="D2064" s="7" t="s">
        <v>482</v>
      </c>
      <c r="E2064" s="18">
        <v>46142.620833333334</v>
      </c>
      <c r="F2064" s="11">
        <f>IF(HOUR(Table1[[#This Row],[CORREO]])&gt;=11,WORKDAY(Table1[[#This Row],[CORREO]],1,Table2[Dias no laborales]),E2064)</f>
        <v>46146</v>
      </c>
      <c r="G2064" s="11">
        <v>46149</v>
      </c>
      <c r="H2064" s="7">
        <f t="shared" si="101"/>
        <v>18</v>
      </c>
      <c r="I2064" s="7">
        <f>MAX(1, NETWORKDAYS(A2064, G2064,Table2[Dias no laborales]))</f>
        <v>4</v>
      </c>
      <c r="J2064" s="7" t="str">
        <f>IF(Table1[[#This Row],[FIN]]="","Acumulado",IF(ISNUMBER(SEARCH("ASAP",C2064)),"ASAP",IF(NETWORKDAYS.INTL(F2064,G2064,1,Table2[Dias no laborales]) &lt;= 7, "Dentro", IF(A2064&gt;F2064,"Programado","Fuera"))))</f>
        <v>Dentro</v>
      </c>
      <c r="K2064" s="7" t="str">
        <f t="shared" si="102"/>
        <v>Mismo día</v>
      </c>
      <c r="L2064" s="11">
        <v>46142</v>
      </c>
      <c r="M2064" s="22">
        <f>MAX(1,NETWORKDAYS(A2064,L2064,Table2[Dias no laborales]))</f>
        <v>1</v>
      </c>
    </row>
    <row r="2065" spans="1:13" x14ac:dyDescent="0.3">
      <c r="A2065" s="11">
        <v>46142</v>
      </c>
      <c r="B2065" s="20" t="s">
        <v>4151</v>
      </c>
      <c r="C2065" s="7" t="s">
        <v>4259</v>
      </c>
      <c r="D2065" s="7" t="s">
        <v>2981</v>
      </c>
      <c r="E2065" s="18">
        <v>46142.730555555558</v>
      </c>
      <c r="F2065" s="11">
        <f>IF(HOUR(Table1[[#This Row],[CORREO]])&gt;=11,WORKDAY(Table1[[#This Row],[CORREO]],1,Table2[Dias no laborales]),E2065)</f>
        <v>46146</v>
      </c>
      <c r="G2065" s="11">
        <v>46146</v>
      </c>
      <c r="H2065" s="7">
        <f t="shared" si="101"/>
        <v>18</v>
      </c>
      <c r="I2065" s="7">
        <f>MAX(1, NETWORKDAYS(A2065, G2065,Table2[Dias no laborales]))</f>
        <v>2</v>
      </c>
      <c r="J2065" s="7" t="str">
        <f>IF(Table1[[#This Row],[FIN]]="","Acumulado",IF(ISNUMBER(SEARCH("ASAP",C2065)),"ASAP",IF(NETWORKDAYS.INTL(F2065,G2065,1,Table2[Dias no laborales]) &lt;= 7, "Dentro", IF(A2065&gt;F2065,"Programado","Fuera"))))</f>
        <v>Dentro</v>
      </c>
      <c r="K2065" s="7" t="str">
        <f t="shared" si="102"/>
        <v>Mismo día</v>
      </c>
      <c r="L2065" s="11">
        <v>46142</v>
      </c>
      <c r="M2065" s="22">
        <f>MAX(1,NETWORKDAYS(A2065,L2065,Table2[Dias no laborales]))</f>
        <v>1</v>
      </c>
    </row>
    <row r="2066" spans="1:13" x14ac:dyDescent="0.3">
      <c r="A2066" s="11">
        <v>46146</v>
      </c>
      <c r="B2066" s="20" t="s">
        <v>4152</v>
      </c>
      <c r="C2066" s="7" t="s">
        <v>4260</v>
      </c>
      <c r="D2066" s="7" t="s">
        <v>24</v>
      </c>
      <c r="E2066" s="18"/>
      <c r="F2066" s="11">
        <f>IF(HOUR(Table1[[#This Row],[CORREO]])&gt;=11,WORKDAY(Table1[[#This Row],[CORREO]],1,Table2[Dias no laborales]),E2066)</f>
        <v>0</v>
      </c>
      <c r="G2066" s="11">
        <v>46150</v>
      </c>
      <c r="H2066" s="7">
        <f t="shared" si="101"/>
        <v>18</v>
      </c>
      <c r="I2066" s="7">
        <f>MAX(1, NETWORKDAYS(A2066, G2066,Table2[Dias no laborales]))</f>
        <v>4</v>
      </c>
      <c r="J2066" s="7" t="str">
        <f>IF(Table1[[#This Row],[FIN]]="","Acumulado",IF(ISNUMBER(SEARCH("ASAP",C2066)),"ASAP",IF(NETWORKDAYS.INTL(F2066,G2066,1,Table2[Dias no laborales]) &lt;= 7, "Dentro", IF(A2066&gt;F2066,"Programado","Fuera"))))</f>
        <v>Programado</v>
      </c>
      <c r="K2066" s="7" t="str">
        <f t="shared" si="102"/>
        <v>Programados</v>
      </c>
      <c r="L2066" s="11">
        <v>46146</v>
      </c>
      <c r="M2066" s="22">
        <f>MAX(1,NETWORKDAYS(A2066,L2066,Table2[Dias no laborales]))</f>
        <v>1</v>
      </c>
    </row>
    <row r="2067" spans="1:13" x14ac:dyDescent="0.3">
      <c r="A2067" s="11">
        <v>46146</v>
      </c>
      <c r="B2067" s="20" t="s">
        <v>4153</v>
      </c>
      <c r="C2067" s="7" t="s">
        <v>4276</v>
      </c>
      <c r="D2067" s="7" t="s">
        <v>238</v>
      </c>
      <c r="E2067" s="18">
        <v>46142.492361111108</v>
      </c>
      <c r="F2067" s="11">
        <f>IF(HOUR(Table1[[#This Row],[CORREO]])&gt;=11,WORKDAY(Table1[[#This Row],[CORREO]],1,Table2[Dias no laborales]),E2067)</f>
        <v>46146</v>
      </c>
      <c r="G2067" s="11">
        <v>46150</v>
      </c>
      <c r="H2067" s="7">
        <f t="shared" si="101"/>
        <v>18</v>
      </c>
      <c r="I2067" s="7">
        <f>MAX(1, NETWORKDAYS(A2067, G2067,Table2[Dias no laborales]))</f>
        <v>4</v>
      </c>
      <c r="J2067" s="7" t="str">
        <f>IF(Table1[[#This Row],[FIN]]="","Acumulado",IF(ISNUMBER(SEARCH("ASAP",C2067)),"ASAP",IF(NETWORKDAYS.INTL(F2067,G2067,1,Table2[Dias no laborales]) &lt;= 7, "Dentro", IF(A2067&gt;F2067,"Programado","Fuera"))))</f>
        <v>Dentro</v>
      </c>
      <c r="K2067" s="7" t="str">
        <f t="shared" si="102"/>
        <v>A tiempo</v>
      </c>
      <c r="L2067" s="11">
        <v>46146</v>
      </c>
      <c r="M2067" s="22">
        <f>MAX(1,NETWORKDAYS(A2067,L2067,Table2[Dias no laborales]))</f>
        <v>1</v>
      </c>
    </row>
    <row r="2068" spans="1:13" x14ac:dyDescent="0.3">
      <c r="A2068" s="11">
        <v>46146</v>
      </c>
      <c r="B2068" s="20" t="s">
        <v>4154</v>
      </c>
      <c r="C2068" s="7" t="s">
        <v>4277</v>
      </c>
      <c r="D2068" s="7" t="s">
        <v>449</v>
      </c>
      <c r="E2068" s="18">
        <v>46142.547222222223</v>
      </c>
      <c r="F2068" s="11">
        <f>IF(HOUR(Table1[[#This Row],[CORREO]])&gt;=11,WORKDAY(Table1[[#This Row],[CORREO]],1,Table2[Dias no laborales]),E2068)</f>
        <v>46146</v>
      </c>
      <c r="G2068" s="11">
        <v>46149</v>
      </c>
      <c r="H2068" s="7">
        <f t="shared" si="101"/>
        <v>18</v>
      </c>
      <c r="I2068" s="7">
        <f>MAX(1, NETWORKDAYS(A2068, G2068,Table2[Dias no laborales]))</f>
        <v>3</v>
      </c>
      <c r="J2068" s="7" t="str">
        <f>IF(Table1[[#This Row],[FIN]]="","Acumulado",IF(ISNUMBER(SEARCH("ASAP",C2068)),"ASAP",IF(NETWORKDAYS.INTL(F2068,G2068,1,Table2[Dias no laborales]) &lt;= 7, "Dentro", IF(A2068&gt;F2068,"Programado","Fuera"))))</f>
        <v>Dentro</v>
      </c>
      <c r="K2068" s="7" t="str">
        <f t="shared" si="102"/>
        <v>A tiempo</v>
      </c>
      <c r="L2068" s="11">
        <v>46146</v>
      </c>
      <c r="M2068" s="22">
        <f>MAX(1,NETWORKDAYS(A2068,L2068,Table2[Dias no laborales]))</f>
        <v>1</v>
      </c>
    </row>
    <row r="2069" spans="1:13" x14ac:dyDescent="0.3">
      <c r="A2069" s="11">
        <v>46146</v>
      </c>
      <c r="B2069" s="20" t="s">
        <v>4155</v>
      </c>
      <c r="C2069" s="7" t="s">
        <v>4278</v>
      </c>
      <c r="D2069" s="7" t="s">
        <v>89</v>
      </c>
      <c r="E2069" s="18">
        <v>46172.694444444445</v>
      </c>
      <c r="F2069" s="11">
        <f>IF(HOUR(Table1[[#This Row],[CORREO]])&gt;=11,WORKDAY(Table1[[#This Row],[CORREO]],1,Table2[Dias no laborales]),E2069)</f>
        <v>46174</v>
      </c>
      <c r="G2069" s="11">
        <v>46160</v>
      </c>
      <c r="H2069" s="7">
        <f t="shared" si="101"/>
        <v>18</v>
      </c>
      <c r="I2069" s="7">
        <f>MAX(1, NETWORKDAYS(A2069, G2069,Table2[Dias no laborales]))</f>
        <v>10</v>
      </c>
      <c r="J2069" s="7" t="str">
        <f>IF(Table1[[#This Row],[FIN]]="","Acumulado",IF(ISNUMBER(SEARCH("ASAP",C2069)),"ASAP",IF(NETWORKDAYS.INTL(F2069,G2069,1,Table2[Dias no laborales]) &lt;= 7, "Dentro", IF(A2069&gt;F2069,"Programado","Fuera"))))</f>
        <v>Dentro</v>
      </c>
      <c r="K2069" s="7" t="str">
        <f t="shared" si="102"/>
        <v>Mismo día</v>
      </c>
      <c r="L2069" s="11">
        <v>46146</v>
      </c>
      <c r="M2069" s="22">
        <f>MAX(1,NETWORKDAYS(A2069,L2069,Table2[Dias no laborales]))</f>
        <v>1</v>
      </c>
    </row>
    <row r="2070" spans="1:13" x14ac:dyDescent="0.3">
      <c r="A2070" s="11">
        <v>46146</v>
      </c>
      <c r="B2070" s="20" t="s">
        <v>4156</v>
      </c>
      <c r="C2070" s="7" t="s">
        <v>4279</v>
      </c>
      <c r="D2070" s="7" t="s">
        <v>1726</v>
      </c>
      <c r="E2070" s="18">
        <v>46142.761805555558</v>
      </c>
      <c r="F2070" s="11">
        <f>IF(HOUR(Table1[[#This Row],[CORREO]])&gt;=11,WORKDAY(Table1[[#This Row],[CORREO]],1,Table2[Dias no laborales]),E2070)</f>
        <v>46146</v>
      </c>
      <c r="G2070" s="11">
        <v>46149</v>
      </c>
      <c r="H2070" s="7">
        <f t="shared" si="101"/>
        <v>18</v>
      </c>
      <c r="I2070" s="7">
        <f>MAX(1, NETWORKDAYS(A2070, G2070,Table2[Dias no laborales]))</f>
        <v>3</v>
      </c>
      <c r="J2070" s="7" t="str">
        <f>IF(Table1[[#This Row],[FIN]]="","Acumulado",IF(ISNUMBER(SEARCH("ASAP",C2070)),"ASAP",IF(NETWORKDAYS.INTL(F2070,G2070,1,Table2[Dias no laborales]) &lt;= 7, "Dentro", IF(A2070&gt;F2070,"Programado","Fuera"))))</f>
        <v>Dentro</v>
      </c>
      <c r="K2070" s="7" t="str">
        <f t="shared" si="102"/>
        <v>A tiempo</v>
      </c>
      <c r="L2070" s="11">
        <v>46146</v>
      </c>
      <c r="M2070" s="22">
        <f>MAX(1,NETWORKDAYS(A2070,L2070,Table2[Dias no laborales]))</f>
        <v>1</v>
      </c>
    </row>
    <row r="2071" spans="1:13" x14ac:dyDescent="0.3">
      <c r="A2071" s="11">
        <v>46146</v>
      </c>
      <c r="B2071" s="20" t="s">
        <v>4157</v>
      </c>
      <c r="C2071" s="7" t="s">
        <v>4280</v>
      </c>
      <c r="D2071" s="7" t="s">
        <v>392</v>
      </c>
      <c r="E2071" s="18">
        <v>46142.935416666667</v>
      </c>
      <c r="F2071" s="11">
        <f>IF(HOUR(Table1[[#This Row],[CORREO]])&gt;=11,WORKDAY(Table1[[#This Row],[CORREO]],1,Table2[Dias no laborales]),E2071)</f>
        <v>46146</v>
      </c>
      <c r="G2071" s="11">
        <v>46153</v>
      </c>
      <c r="H2071" s="7">
        <f t="shared" si="101"/>
        <v>18</v>
      </c>
      <c r="I2071" s="7">
        <f>MAX(1, NETWORKDAYS(A2071, G2071,Table2[Dias no laborales]))</f>
        <v>5</v>
      </c>
      <c r="J2071" s="7" t="str">
        <f>IF(Table1[[#This Row],[FIN]]="","Acumulado",IF(ISNUMBER(SEARCH("ASAP",C2071)),"ASAP",IF(NETWORKDAYS.INTL(F2071,G2071,1,Table2[Dias no laborales]) &lt;= 7, "Dentro", IF(A2071&gt;F2071,"Programado","Fuera"))))</f>
        <v>Dentro</v>
      </c>
      <c r="K2071" s="7" t="str">
        <f t="shared" si="102"/>
        <v>A tiempo</v>
      </c>
      <c r="L2071" s="11">
        <v>46146</v>
      </c>
      <c r="M2071" s="22">
        <f>MAX(1,NETWORKDAYS(A2071,L2071,Table2[Dias no laborales]))</f>
        <v>1</v>
      </c>
    </row>
    <row r="2072" spans="1:13" x14ac:dyDescent="0.3">
      <c r="A2072" s="11">
        <v>46146</v>
      </c>
      <c r="B2072" s="20" t="s">
        <v>4158</v>
      </c>
      <c r="C2072" s="7" t="s">
        <v>4281</v>
      </c>
      <c r="D2072" s="7" t="s">
        <v>1726</v>
      </c>
      <c r="E2072" s="18">
        <v>46145.418749999997</v>
      </c>
      <c r="F2072" s="11">
        <f>IF(HOUR(Table1[[#This Row],[CORREO]])&gt;=11,WORKDAY(Table1[[#This Row],[CORREO]],1,Table2[Dias no laborales]),E2072)</f>
        <v>46145.418749999997</v>
      </c>
      <c r="G2072" s="11">
        <v>46149</v>
      </c>
      <c r="H2072" s="7">
        <f t="shared" si="101"/>
        <v>18</v>
      </c>
      <c r="I2072" s="7">
        <f>MAX(1, NETWORKDAYS(A2072, G2072,Table2[Dias no laborales]))</f>
        <v>3</v>
      </c>
      <c r="J2072" s="7" t="str">
        <f>IF(Table1[[#This Row],[FIN]]="","Acumulado",IF(ISNUMBER(SEARCH("ASAP",C2072)),"ASAP",IF(NETWORKDAYS.INTL(F2072,G2072,1,Table2[Dias no laborales]) &lt;= 7, "Dentro", IF(A2072&gt;F2072,"Programado","Fuera"))))</f>
        <v>Dentro</v>
      </c>
      <c r="K2072" s="7" t="str">
        <f t="shared" si="102"/>
        <v>Programados</v>
      </c>
      <c r="L2072" s="11">
        <v>46146</v>
      </c>
      <c r="M2072" s="22">
        <f>MAX(1,NETWORKDAYS(A2072,L2072,Table2[Dias no laborales]))</f>
        <v>1</v>
      </c>
    </row>
    <row r="2073" spans="1:13" x14ac:dyDescent="0.3">
      <c r="A2073" s="11">
        <v>46146</v>
      </c>
      <c r="B2073" s="20" t="s">
        <v>4159</v>
      </c>
      <c r="C2073" s="7" t="s">
        <v>4282</v>
      </c>
      <c r="D2073" s="7" t="s">
        <v>1726</v>
      </c>
      <c r="E2073" s="18">
        <v>46145.418749999997</v>
      </c>
      <c r="F2073" s="11">
        <f>IF(HOUR(Table1[[#This Row],[CORREO]])&gt;=11,WORKDAY(Table1[[#This Row],[CORREO]],1,Table2[Dias no laborales]),E2073)</f>
        <v>46145.418749999997</v>
      </c>
      <c r="G2073" s="11">
        <v>46150</v>
      </c>
      <c r="H2073" s="7">
        <f t="shared" si="101"/>
        <v>18</v>
      </c>
      <c r="I2073" s="7">
        <f>MAX(1, NETWORKDAYS(A2073, G2073,Table2[Dias no laborales]))</f>
        <v>4</v>
      </c>
      <c r="J2073" s="7" t="str">
        <f>IF(Table1[[#This Row],[FIN]]="","Acumulado",IF(ISNUMBER(SEARCH("ASAP",C2073)),"ASAP",IF(NETWORKDAYS.INTL(F2073,G2073,1,Table2[Dias no laborales]) &lt;= 7, "Dentro", IF(A2073&gt;F2073,"Programado","Fuera"))))</f>
        <v>Dentro</v>
      </c>
      <c r="K2073" s="7" t="str">
        <f t="shared" si="102"/>
        <v>Programados</v>
      </c>
      <c r="L2073" s="11">
        <v>46146</v>
      </c>
      <c r="M2073" s="22">
        <f>MAX(1,NETWORKDAYS(A2073,L2073,Table2[Dias no laborales]))</f>
        <v>1</v>
      </c>
    </row>
    <row r="2074" spans="1:13" x14ac:dyDescent="0.3">
      <c r="A2074" s="11">
        <v>46146</v>
      </c>
      <c r="B2074" s="20" t="s">
        <v>4160</v>
      </c>
      <c r="C2074" s="7" t="s">
        <v>2481</v>
      </c>
      <c r="D2074" s="7" t="s">
        <v>89</v>
      </c>
      <c r="E2074" s="18">
        <v>46146.353472222225</v>
      </c>
      <c r="F2074" s="11">
        <f>IF(HOUR(Table1[[#This Row],[CORREO]])&gt;=11,WORKDAY(Table1[[#This Row],[CORREO]],1,Table2[Dias no laborales]),E2074)</f>
        <v>46146.353472222225</v>
      </c>
      <c r="G2074" s="11">
        <v>46150</v>
      </c>
      <c r="H2074" s="7">
        <f t="shared" si="101"/>
        <v>18</v>
      </c>
      <c r="I2074" s="7">
        <f>MAX(1, NETWORKDAYS(A2074, G2074,Table2[Dias no laborales]))</f>
        <v>4</v>
      </c>
      <c r="J2074" s="7" t="str">
        <f>IF(Table1[[#This Row],[FIN]]="","Acumulado",IF(ISNUMBER(SEARCH("ASAP",C2074)),"ASAP",IF(NETWORKDAYS.INTL(F2074,G2074,1,Table2[Dias no laborales]) &lt;= 7, "Dentro", IF(A2074&gt;F2074,"Programado","Fuera"))))</f>
        <v>Dentro</v>
      </c>
      <c r="K2074" s="7" t="str">
        <f t="shared" si="102"/>
        <v>A tiempo</v>
      </c>
      <c r="L2074" s="11">
        <v>46146</v>
      </c>
      <c r="M2074" s="22">
        <f>MAX(1,NETWORKDAYS(A2074,L2074,Table2[Dias no laborales]))</f>
        <v>1</v>
      </c>
    </row>
    <row r="2075" spans="1:13" x14ac:dyDescent="0.3">
      <c r="A2075" s="11">
        <v>46146</v>
      </c>
      <c r="B2075" s="20" t="s">
        <v>4161</v>
      </c>
      <c r="C2075" s="7" t="s">
        <v>4283</v>
      </c>
      <c r="D2075" s="7" t="s">
        <v>4016</v>
      </c>
      <c r="E2075" s="18">
        <v>46146.382638888892</v>
      </c>
      <c r="F2075" s="11">
        <f>IF(HOUR(Table1[[#This Row],[CORREO]])&gt;=11,WORKDAY(Table1[[#This Row],[CORREO]],1,Table2[Dias no laborales]),E2075)</f>
        <v>46146.382638888892</v>
      </c>
      <c r="G2075" s="11">
        <v>46147</v>
      </c>
      <c r="H2075" s="7">
        <f t="shared" si="101"/>
        <v>18</v>
      </c>
      <c r="I2075" s="7">
        <f>MAX(1, NETWORKDAYS(A2075, G2075,Table2[Dias no laborales]))</f>
        <v>1</v>
      </c>
      <c r="J2075" s="7" t="str">
        <f>IF(Table1[[#This Row],[FIN]]="","Acumulado",IF(ISNUMBER(SEARCH("ASAP",C2075)),"ASAP",IF(NETWORKDAYS.INTL(F2075,G2075,1,Table2[Dias no laborales]) &lt;= 7, "Dentro", IF(A2075&gt;F2075,"Programado","Fuera"))))</f>
        <v>Dentro</v>
      </c>
      <c r="K2075" s="7" t="str">
        <f t="shared" si="102"/>
        <v>A tiempo</v>
      </c>
      <c r="L2075" s="11">
        <v>46146</v>
      </c>
      <c r="M2075" s="22">
        <f>MAX(1,NETWORKDAYS(A2075,L2075,Table2[Dias no laborales]))</f>
        <v>1</v>
      </c>
    </row>
    <row r="2076" spans="1:13" x14ac:dyDescent="0.3">
      <c r="A2076" s="11">
        <v>46146</v>
      </c>
      <c r="B2076" s="20" t="s">
        <v>4162</v>
      </c>
      <c r="C2076" s="7" t="s">
        <v>4284</v>
      </c>
      <c r="D2076" s="7" t="s">
        <v>406</v>
      </c>
      <c r="E2076" s="18">
        <v>46146.431250000001</v>
      </c>
      <c r="F2076" s="11">
        <f>IF(HOUR(Table1[[#This Row],[CORREO]])&gt;=11,WORKDAY(Table1[[#This Row],[CORREO]],1,Table2[Dias no laborales]),E2076)</f>
        <v>46146.431250000001</v>
      </c>
      <c r="G2076" s="11">
        <v>46153</v>
      </c>
      <c r="H2076" s="7">
        <f t="shared" si="101"/>
        <v>18</v>
      </c>
      <c r="I2076" s="7">
        <f>MAX(1, NETWORKDAYS(A2076, G2076,Table2[Dias no laborales]))</f>
        <v>5</v>
      </c>
      <c r="J2076" s="7" t="str">
        <f>IF(Table1[[#This Row],[FIN]]="","Acumulado",IF(ISNUMBER(SEARCH("ASAP",C2076)),"ASAP",IF(NETWORKDAYS.INTL(F2076,G2076,1,Table2[Dias no laborales]) &lt;= 7, "Dentro", IF(A2076&gt;F2076,"Programado","Fuera"))))</f>
        <v>Dentro</v>
      </c>
      <c r="K2076" s="7" t="str">
        <f t="shared" si="102"/>
        <v>A tiempo</v>
      </c>
      <c r="L2076" s="11">
        <v>46146</v>
      </c>
      <c r="M2076" s="22">
        <f>MAX(1,NETWORKDAYS(A2076,L2076,Table2[Dias no laborales]))</f>
        <v>1</v>
      </c>
    </row>
    <row r="2077" spans="1:13" x14ac:dyDescent="0.3">
      <c r="A2077" s="11">
        <v>46146</v>
      </c>
      <c r="B2077" s="20" t="s">
        <v>4163</v>
      </c>
      <c r="C2077" s="7" t="s">
        <v>4285</v>
      </c>
      <c r="D2077" s="7" t="s">
        <v>24</v>
      </c>
      <c r="E2077" s="18">
        <v>46142.493055555555</v>
      </c>
      <c r="F2077" s="11">
        <f>IF(HOUR(Table1[[#This Row],[CORREO]])&gt;=11,WORKDAY(Table1[[#This Row],[CORREO]],1,Table2[Dias no laborales]),E2077)</f>
        <v>46146</v>
      </c>
      <c r="G2077" s="11">
        <v>46154</v>
      </c>
      <c r="H2077" s="7">
        <f t="shared" si="101"/>
        <v>18</v>
      </c>
      <c r="I2077" s="7">
        <f>MAX(1, NETWORKDAYS(A2077, G2077,Table2[Dias no laborales]))</f>
        <v>6</v>
      </c>
      <c r="J2077" s="7" t="str">
        <f>IF(Table1[[#This Row],[FIN]]="","Acumulado",IF(ISNUMBER(SEARCH("ASAP",C2077)),"ASAP",IF(NETWORKDAYS.INTL(F2077,G2077,1,Table2[Dias no laborales]) &lt;= 7, "Dentro", IF(A2077&gt;F2077,"Programado","Fuera"))))</f>
        <v>Dentro</v>
      </c>
      <c r="K2077" s="7" t="str">
        <f t="shared" si="102"/>
        <v>A tiempo</v>
      </c>
      <c r="L2077" s="11">
        <v>46146</v>
      </c>
      <c r="M2077" s="22">
        <f>MAX(1,NETWORKDAYS(A2077,L2077,Table2[Dias no laborales]))</f>
        <v>1</v>
      </c>
    </row>
    <row r="2078" spans="1:13" x14ac:dyDescent="0.3">
      <c r="A2078" s="11">
        <v>46147</v>
      </c>
      <c r="B2078" s="20" t="s">
        <v>4164</v>
      </c>
      <c r="C2078" s="7" t="s">
        <v>4003</v>
      </c>
      <c r="D2078" s="7" t="s">
        <v>623</v>
      </c>
      <c r="E2078" s="18">
        <v>46146.543749999997</v>
      </c>
      <c r="F2078" s="11">
        <f>IF(HOUR(Table1[[#This Row],[CORREO]])&gt;=11,WORKDAY(Table1[[#This Row],[CORREO]],1,Table2[Dias no laborales]),E2078)</f>
        <v>46148</v>
      </c>
      <c r="G2078" s="11">
        <v>46149</v>
      </c>
      <c r="H2078" s="7">
        <f t="shared" si="101"/>
        <v>18</v>
      </c>
      <c r="I2078" s="7">
        <f>MAX(1, NETWORKDAYS(A2078, G2078,Table2[Dias no laborales]))</f>
        <v>2</v>
      </c>
      <c r="J2078" s="7" t="str">
        <f>IF(Table1[[#This Row],[FIN]]="","Acumulado",IF(ISNUMBER(SEARCH("ASAP",C2078)),"ASAP",IF(NETWORKDAYS.INTL(F2078,G2078,1,Table2[Dias no laborales]) &lt;= 7, "Dentro", IF(A2078&gt;F2078,"Programado","Fuera"))))</f>
        <v>Dentro</v>
      </c>
      <c r="K2078" s="7" t="str">
        <f t="shared" si="102"/>
        <v>Mismo día</v>
      </c>
      <c r="L2078" s="11">
        <v>46147</v>
      </c>
      <c r="M2078" s="22">
        <f>MAX(1,NETWORKDAYS(A2078,L2078,Table2[Dias no laborales]))</f>
        <v>1</v>
      </c>
    </row>
    <row r="2079" spans="1:13" x14ac:dyDescent="0.3">
      <c r="A2079" s="11">
        <v>46147</v>
      </c>
      <c r="B2079" s="20" t="s">
        <v>4165</v>
      </c>
      <c r="C2079" s="7" t="s">
        <v>4286</v>
      </c>
      <c r="D2079" s="7" t="s">
        <v>133</v>
      </c>
      <c r="E2079" s="18">
        <v>46146.712500000001</v>
      </c>
      <c r="F2079" s="11">
        <f>IF(HOUR(Table1[[#This Row],[CORREO]])&gt;=11,WORKDAY(Table1[[#This Row],[CORREO]],1,Table2[Dias no laborales]),E2079)</f>
        <v>46148</v>
      </c>
      <c r="G2079" s="11">
        <v>46149</v>
      </c>
      <c r="H2079" s="7">
        <f t="shared" si="101"/>
        <v>18</v>
      </c>
      <c r="I2079" s="7">
        <f>MAX(1, NETWORKDAYS(A2079, G2079,Table2[Dias no laborales]))</f>
        <v>2</v>
      </c>
      <c r="J2079" s="7" t="str">
        <f>IF(Table1[[#This Row],[FIN]]="","Acumulado",IF(ISNUMBER(SEARCH("ASAP",C2079)),"ASAP",IF(NETWORKDAYS.INTL(F2079,G2079,1,Table2[Dias no laborales]) &lt;= 7, "Dentro", IF(A2079&gt;F2079,"Programado","Fuera"))))</f>
        <v>Dentro</v>
      </c>
      <c r="K2079" s="7" t="str">
        <f t="shared" si="102"/>
        <v>Mismo día</v>
      </c>
      <c r="L2079" s="11">
        <v>46147</v>
      </c>
      <c r="M2079" s="22">
        <f>MAX(1,NETWORKDAYS(A2079,L2079,Table2[Dias no laborales]))</f>
        <v>1</v>
      </c>
    </row>
    <row r="2080" spans="1:13" x14ac:dyDescent="0.3">
      <c r="A2080" s="11">
        <v>46147</v>
      </c>
      <c r="B2080" s="20" t="s">
        <v>4166</v>
      </c>
      <c r="C2080" s="7" t="s">
        <v>4287</v>
      </c>
      <c r="D2080" s="7" t="s">
        <v>2994</v>
      </c>
      <c r="E2080" s="18">
        <v>46147.349305555559</v>
      </c>
      <c r="F2080" s="11">
        <f>IF(HOUR(Table1[[#This Row],[CORREO]])&gt;=11,WORKDAY(Table1[[#This Row],[CORREO]],1,Table2[Dias no laborales]),E2080)</f>
        <v>46147.349305555559</v>
      </c>
      <c r="G2080" s="11">
        <v>46150</v>
      </c>
      <c r="H2080" s="7">
        <f t="shared" si="101"/>
        <v>18</v>
      </c>
      <c r="I2080" s="7">
        <f>MAX(1, NETWORKDAYS(A2080, G2080,Table2[Dias no laborales]))</f>
        <v>3</v>
      </c>
      <c r="J2080" s="7" t="str">
        <f>IF(Table1[[#This Row],[FIN]]="","Acumulado",IF(ISNUMBER(SEARCH("ASAP",C2080)),"ASAP",IF(NETWORKDAYS.INTL(F2080,G2080,1,Table2[Dias no laborales]) &lt;= 7, "Dentro", IF(A2080&gt;F2080,"Programado","Fuera"))))</f>
        <v>Dentro</v>
      </c>
      <c r="K2080" s="7" t="str">
        <f t="shared" si="102"/>
        <v>A tiempo</v>
      </c>
      <c r="L2080" s="11">
        <v>46147</v>
      </c>
      <c r="M2080" s="22">
        <f>MAX(1,NETWORKDAYS(A2080,L2080,Table2[Dias no laborales]))</f>
        <v>1</v>
      </c>
    </row>
    <row r="2081" spans="1:13" x14ac:dyDescent="0.3">
      <c r="A2081" s="11">
        <v>46147</v>
      </c>
      <c r="B2081" s="20" t="s">
        <v>4167</v>
      </c>
      <c r="C2081" s="7" t="s">
        <v>4288</v>
      </c>
      <c r="D2081" s="7" t="s">
        <v>171</v>
      </c>
      <c r="E2081" s="18">
        <v>46147.402777777781</v>
      </c>
      <c r="F2081" s="11">
        <f>IF(HOUR(Table1[[#This Row],[CORREO]])&gt;=11,WORKDAY(Table1[[#This Row],[CORREO]],1,Table2[Dias no laborales]),E2081)</f>
        <v>46147.402777777781</v>
      </c>
      <c r="G2081" s="11">
        <v>46150</v>
      </c>
      <c r="H2081" s="7">
        <f t="shared" si="101"/>
        <v>18</v>
      </c>
      <c r="I2081" s="7">
        <f>MAX(1, NETWORKDAYS(A2081, G2081,Table2[Dias no laborales]))</f>
        <v>3</v>
      </c>
      <c r="J2081" s="7" t="str">
        <f>IF(Table1[[#This Row],[FIN]]="","Acumulado",IF(ISNUMBER(SEARCH("ASAP",C2081)),"ASAP",IF(NETWORKDAYS.INTL(F2081,G2081,1,Table2[Dias no laborales]) &lt;= 7, "Dentro", IF(A2081&gt;F2081,"Programado","Fuera"))))</f>
        <v>Dentro</v>
      </c>
      <c r="K2081" s="7" t="str">
        <f t="shared" si="102"/>
        <v>A tiempo</v>
      </c>
      <c r="L2081" s="11">
        <v>46147</v>
      </c>
      <c r="M2081" s="22">
        <f>MAX(1,NETWORKDAYS(A2081,L2081,Table2[Dias no laborales]))</f>
        <v>1</v>
      </c>
    </row>
    <row r="2082" spans="1:13" x14ac:dyDescent="0.3">
      <c r="A2082" s="11">
        <v>46148</v>
      </c>
      <c r="B2082" s="20" t="s">
        <v>4168</v>
      </c>
      <c r="C2082" s="7" t="s">
        <v>4289</v>
      </c>
      <c r="D2082" s="7" t="s">
        <v>1360</v>
      </c>
      <c r="E2082" s="18"/>
      <c r="F2082" s="11">
        <f>IF(HOUR(Table1[[#This Row],[CORREO]])&gt;=11,WORKDAY(Table1[[#This Row],[CORREO]],1,Table2[Dias no laborales]),E2082)</f>
        <v>0</v>
      </c>
      <c r="G2082" s="11">
        <v>46155</v>
      </c>
      <c r="H2082" s="7">
        <f t="shared" si="101"/>
        <v>18</v>
      </c>
      <c r="I2082" s="7">
        <f>MAX(1, NETWORKDAYS(A2082, G2082,Table2[Dias no laborales]))</f>
        <v>6</v>
      </c>
      <c r="J2082" s="7" t="str">
        <f>IF(Table1[[#This Row],[FIN]]="","Acumulado",IF(ISNUMBER(SEARCH("ASAP",C2082)),"ASAP",IF(NETWORKDAYS.INTL(F2082,G2082,1,Table2[Dias no laborales]) &lt;= 7, "Dentro", IF(A2082&gt;F2082,"Programado","Fuera"))))</f>
        <v>Programado</v>
      </c>
      <c r="K2082" s="7" t="str">
        <f t="shared" si="102"/>
        <v>Programados</v>
      </c>
      <c r="L2082" s="11">
        <v>46148</v>
      </c>
      <c r="M2082" s="22">
        <f>MAX(1,NETWORKDAYS(A2082,L2082,Table2[Dias no laborales]))</f>
        <v>1</v>
      </c>
    </row>
    <row r="2083" spans="1:13" x14ac:dyDescent="0.3">
      <c r="A2083" s="11">
        <v>46148</v>
      </c>
      <c r="B2083" s="20" t="s">
        <v>4169</v>
      </c>
      <c r="C2083" s="7" t="s">
        <v>4290</v>
      </c>
      <c r="D2083" s="7" t="s">
        <v>61</v>
      </c>
      <c r="E2083" s="18"/>
      <c r="F2083" s="11">
        <f>IF(HOUR(Table1[[#This Row],[CORREO]])&gt;=11,WORKDAY(Table1[[#This Row],[CORREO]],1,Table2[Dias no laborales]),E2083)</f>
        <v>0</v>
      </c>
      <c r="G2083" s="11">
        <v>46153</v>
      </c>
      <c r="H2083" s="7">
        <f t="shared" si="101"/>
        <v>18</v>
      </c>
      <c r="I2083" s="7">
        <f>MAX(1, NETWORKDAYS(A2083, G2083,Table2[Dias no laborales]))</f>
        <v>4</v>
      </c>
      <c r="J2083" s="7" t="str">
        <f>IF(Table1[[#This Row],[FIN]]="","Acumulado",IF(ISNUMBER(SEARCH("ASAP",C2083)),"ASAP",IF(NETWORKDAYS.INTL(F2083,G2083,1,Table2[Dias no laborales]) &lt;= 7, "Dentro", IF(A2083&gt;F2083,"Programado","Fuera"))))</f>
        <v>Programado</v>
      </c>
      <c r="K2083" s="7" t="str">
        <f t="shared" si="102"/>
        <v>Programados</v>
      </c>
      <c r="L2083" s="11">
        <v>46148</v>
      </c>
      <c r="M2083" s="22">
        <f>MAX(1,NETWORKDAYS(A2083,L2083,Table2[Dias no laborales]))</f>
        <v>1</v>
      </c>
    </row>
    <row r="2084" spans="1:13" x14ac:dyDescent="0.3">
      <c r="A2084" s="11">
        <v>46148</v>
      </c>
      <c r="B2084" s="20" t="s">
        <v>4170</v>
      </c>
      <c r="C2084" s="7" t="s">
        <v>4291</v>
      </c>
      <c r="D2084" s="7" t="s">
        <v>3999</v>
      </c>
      <c r="E2084" s="18"/>
      <c r="F2084" s="11">
        <f>IF(HOUR(Table1[[#This Row],[CORREO]])&gt;=11,WORKDAY(Table1[[#This Row],[CORREO]],1,Table2[Dias no laborales]),E2084)</f>
        <v>0</v>
      </c>
      <c r="G2084" s="11">
        <v>46150</v>
      </c>
      <c r="H2084" s="7">
        <f t="shared" si="101"/>
        <v>18</v>
      </c>
      <c r="I2084" s="7">
        <f>MAX(1, NETWORKDAYS(A2084, G2084,Table2[Dias no laborales]))</f>
        <v>3</v>
      </c>
      <c r="J2084" s="7" t="str">
        <f>IF(Table1[[#This Row],[FIN]]="","Acumulado",IF(ISNUMBER(SEARCH("ASAP",C2084)),"ASAP",IF(NETWORKDAYS.INTL(F2084,G2084,1,Table2[Dias no laborales]) &lt;= 7, "Dentro", IF(A2084&gt;F2084,"Programado","Fuera"))))</f>
        <v>Programado</v>
      </c>
      <c r="K2084" s="7" t="str">
        <f t="shared" si="102"/>
        <v>Programados</v>
      </c>
      <c r="L2084" s="11">
        <v>46148</v>
      </c>
      <c r="M2084" s="22">
        <f>MAX(1,NETWORKDAYS(A2084,L2084,Table2[Dias no laborales]))</f>
        <v>1</v>
      </c>
    </row>
    <row r="2085" spans="1:13" x14ac:dyDescent="0.3">
      <c r="A2085" s="11">
        <v>46148</v>
      </c>
      <c r="B2085" s="20" t="s">
        <v>4171</v>
      </c>
      <c r="C2085" s="7" t="s">
        <v>4182</v>
      </c>
      <c r="D2085" s="7" t="s">
        <v>3041</v>
      </c>
      <c r="E2085" s="18"/>
      <c r="F2085" s="11">
        <f>IF(HOUR(Table1[[#This Row],[CORREO]])&gt;=11,WORKDAY(Table1[[#This Row],[CORREO]],1,Table2[Dias no laborales]),E2085)</f>
        <v>0</v>
      </c>
      <c r="G2085" s="11">
        <v>46148</v>
      </c>
      <c r="H2085" s="7">
        <f t="shared" si="101"/>
        <v>18</v>
      </c>
      <c r="I2085" s="7">
        <f>MAX(1, NETWORKDAYS(A2085, G2085,Table2[Dias no laborales]))</f>
        <v>1</v>
      </c>
      <c r="J2085" s="7" t="str">
        <f>IF(Table1[[#This Row],[FIN]]="","Acumulado",IF(ISNUMBER(SEARCH("ASAP",C2085)),"ASAP",IF(NETWORKDAYS.INTL(F2085,G2085,1,Table2[Dias no laborales]) &lt;= 7, "Dentro", IF(A2085&gt;F2085,"Programado","Fuera"))))</f>
        <v>Programado</v>
      </c>
      <c r="K2085" s="7" t="str">
        <f t="shared" si="102"/>
        <v>Programados</v>
      </c>
      <c r="L2085" s="11">
        <v>46148</v>
      </c>
      <c r="M2085" s="22">
        <f>MAX(1,NETWORKDAYS(A2085,L2085,Table2[Dias no laborales]))</f>
        <v>1</v>
      </c>
    </row>
    <row r="2086" spans="1:13" x14ac:dyDescent="0.3">
      <c r="A2086" s="11">
        <v>46148</v>
      </c>
      <c r="B2086" s="20" t="s">
        <v>4172</v>
      </c>
      <c r="C2086" s="7" t="s">
        <v>4048</v>
      </c>
      <c r="D2086" s="7" t="s">
        <v>53</v>
      </c>
      <c r="E2086" s="18">
        <v>46147.586111111108</v>
      </c>
      <c r="F2086" s="11">
        <f>IF(HOUR(Table1[[#This Row],[CORREO]])&gt;=11,WORKDAY(Table1[[#This Row],[CORREO]],1,Table2[Dias no laborales]),E2086)</f>
        <v>46148</v>
      </c>
      <c r="G2086" s="11">
        <v>46150</v>
      </c>
      <c r="H2086" s="7">
        <f t="shared" si="101"/>
        <v>18</v>
      </c>
      <c r="I2086" s="7">
        <f>MAX(1, NETWORKDAYS(A2086, G2086,Table2[Dias no laborales]))</f>
        <v>3</v>
      </c>
      <c r="J2086" s="7" t="str">
        <f>IF(Table1[[#This Row],[FIN]]="","Acumulado",IF(ISNUMBER(SEARCH("ASAP",C2086)),"ASAP",IF(NETWORKDAYS.INTL(F2086,G2086,1,Table2[Dias no laborales]) &lt;= 7, "Dentro", IF(A2086&gt;F2086,"Programado","Fuera"))))</f>
        <v>Dentro</v>
      </c>
      <c r="K2086" s="7" t="str">
        <f t="shared" si="102"/>
        <v>A tiempo</v>
      </c>
      <c r="L2086" s="11">
        <v>46148</v>
      </c>
      <c r="M2086" s="22">
        <f>MAX(1,NETWORKDAYS(A2086,L2086,Table2[Dias no laborales]))</f>
        <v>1</v>
      </c>
    </row>
    <row r="2087" spans="1:13" x14ac:dyDescent="0.3">
      <c r="A2087" s="11">
        <v>46148</v>
      </c>
      <c r="B2087" s="20" t="s">
        <v>4173</v>
      </c>
      <c r="C2087" s="7" t="s">
        <v>4048</v>
      </c>
      <c r="D2087" s="18" t="s">
        <v>61</v>
      </c>
      <c r="E2087" s="18">
        <v>46147.588888888888</v>
      </c>
      <c r="F2087" s="11">
        <f>IF(HOUR(Table1[[#This Row],[CORREO]])&gt;=11,WORKDAY(Table1[[#This Row],[CORREO]],1,Table2[Dias no laborales]),E2087)</f>
        <v>46148</v>
      </c>
      <c r="G2087" s="11">
        <v>46148</v>
      </c>
      <c r="H2087" s="7">
        <f t="shared" si="101"/>
        <v>18</v>
      </c>
      <c r="I2087" s="7">
        <f>MAX(1, NETWORKDAYS(A2087, G2087,Table2[Dias no laborales]))</f>
        <v>1</v>
      </c>
      <c r="J2087" s="7" t="str">
        <f>IF(Table1[[#This Row],[FIN]]="","Acumulado",IF(ISNUMBER(SEARCH("ASAP",C2087)),"ASAP",IF(NETWORKDAYS.INTL(F2087,G2087,1,Table2[Dias no laborales]) &lt;= 7, "Dentro", IF(A2087&gt;F2087,"Programado","Fuera"))))</f>
        <v>Dentro</v>
      </c>
      <c r="K2087" s="7" t="str">
        <f t="shared" si="102"/>
        <v>A tiempo</v>
      </c>
      <c r="L2087" s="11">
        <v>46148</v>
      </c>
      <c r="M2087" s="22">
        <f>MAX(1,NETWORKDAYS(A2087,L2087,Table2[Dias no laborales]))</f>
        <v>1</v>
      </c>
    </row>
    <row r="2088" spans="1:13" x14ac:dyDescent="0.3">
      <c r="A2088" s="11">
        <v>46148</v>
      </c>
      <c r="B2088" s="20" t="s">
        <v>4174</v>
      </c>
      <c r="C2088" s="7" t="s">
        <v>4292</v>
      </c>
      <c r="D2088" s="7" t="s">
        <v>449</v>
      </c>
      <c r="E2088" s="18">
        <v>46148.359722222223</v>
      </c>
      <c r="F2088" s="11">
        <f>IF(HOUR(Table1[[#This Row],[CORREO]])&gt;=11,WORKDAY(Table1[[#This Row],[CORREO]],1,Table2[Dias no laborales]),E2088)</f>
        <v>46148.359722222223</v>
      </c>
      <c r="G2088" s="11">
        <v>46149</v>
      </c>
      <c r="H2088" s="7">
        <f t="shared" si="101"/>
        <v>18</v>
      </c>
      <c r="I2088" s="7">
        <f>MAX(1, NETWORKDAYS(A2088, G2088,Table2[Dias no laborales]))</f>
        <v>2</v>
      </c>
      <c r="J2088" s="7" t="str">
        <f>IF(Table1[[#This Row],[FIN]]="","Acumulado",IF(ISNUMBER(SEARCH("ASAP",C2088)),"ASAP",IF(NETWORKDAYS.INTL(F2088,G2088,1,Table2[Dias no laborales]) &lt;= 7, "Dentro", IF(A2088&gt;F2088,"Programado","Fuera"))))</f>
        <v>Dentro</v>
      </c>
      <c r="K2088" s="7" t="str">
        <f t="shared" si="102"/>
        <v>A tiempo</v>
      </c>
      <c r="L2088" s="11">
        <v>46148</v>
      </c>
      <c r="M2088" s="22">
        <f>MAX(1,NETWORKDAYS(A2088,L2088,Table2[Dias no laborales]))</f>
        <v>1</v>
      </c>
    </row>
    <row r="2089" spans="1:13" x14ac:dyDescent="0.3">
      <c r="A2089" s="11">
        <v>46148</v>
      </c>
      <c r="B2089" s="20" t="s">
        <v>4175</v>
      </c>
      <c r="C2089" s="7" t="s">
        <v>3665</v>
      </c>
      <c r="D2089" s="7" t="s">
        <v>372</v>
      </c>
      <c r="E2089" s="18">
        <v>46148.381249999999</v>
      </c>
      <c r="F2089" s="11">
        <f>IF(HOUR(Table1[[#This Row],[CORREO]])&gt;=11,WORKDAY(Table1[[#This Row],[CORREO]],1,Table2[Dias no laborales]),E2089)</f>
        <v>46148.381249999999</v>
      </c>
      <c r="G2089" s="11">
        <v>46150</v>
      </c>
      <c r="H2089" s="7">
        <f t="shared" si="101"/>
        <v>18</v>
      </c>
      <c r="I2089" s="7">
        <f>MAX(1, NETWORKDAYS(A2089, G2089,Table2[Dias no laborales]))</f>
        <v>3</v>
      </c>
      <c r="J2089" s="7" t="str">
        <f>IF(Table1[[#This Row],[FIN]]="","Acumulado",IF(ISNUMBER(SEARCH("ASAP",C2089)),"ASAP",IF(NETWORKDAYS.INTL(F2089,G2089,1,Table2[Dias no laborales]) &lt;= 7, "Dentro", IF(A2089&gt;F2089,"Programado","Fuera"))))</f>
        <v>Dentro</v>
      </c>
      <c r="K2089" s="7" t="str">
        <f t="shared" si="102"/>
        <v>A tiempo</v>
      </c>
      <c r="L2089" s="11">
        <v>46148</v>
      </c>
      <c r="M2089" s="22">
        <f>MAX(1,NETWORKDAYS(A2089,L2089,Table2[Dias no laborales]))</f>
        <v>1</v>
      </c>
    </row>
    <row r="2090" spans="1:13" x14ac:dyDescent="0.3">
      <c r="A2090" s="11">
        <v>46148</v>
      </c>
      <c r="B2090" s="20" t="s">
        <v>4176</v>
      </c>
      <c r="C2090" s="7" t="s">
        <v>4293</v>
      </c>
      <c r="D2090" s="7" t="s">
        <v>1675</v>
      </c>
      <c r="E2090" s="18">
        <v>46148.363194444442</v>
      </c>
      <c r="F2090" s="11">
        <f>IF(HOUR(Table1[[#This Row],[CORREO]])&gt;=11,WORKDAY(Table1[[#This Row],[CORREO]],1,Table2[Dias no laborales]),E2090)</f>
        <v>46148.363194444442</v>
      </c>
      <c r="G2090" s="11"/>
      <c r="H2090" s="7">
        <f t="shared" si="101"/>
        <v>18</v>
      </c>
      <c r="I2090" s="7">
        <f>MAX(1, NETWORKDAYS(A2090, G2090,Table2[Dias no laborales]))</f>
        <v>1</v>
      </c>
      <c r="J2090" s="7" t="str">
        <f>IF(Table1[[#This Row],[FIN]]="","Acumulado",IF(ISNUMBER(SEARCH("ASAP",C2090)),"ASAP",IF(NETWORKDAYS.INTL(F2090,G2090,1,Table2[Dias no laborales]) &lt;= 7, "Dentro", IF(A2090&gt;F2090,"Programado","Fuera"))))</f>
        <v>Acumulado</v>
      </c>
      <c r="K2090" s="7" t="str">
        <f t="shared" si="102"/>
        <v>A tiempo</v>
      </c>
      <c r="L2090" s="11">
        <v>46148</v>
      </c>
      <c r="M2090" s="22">
        <f>MAX(1,NETWORKDAYS(A2090,L2090,Table2[Dias no laborales]))</f>
        <v>1</v>
      </c>
    </row>
    <row r="2091" spans="1:13" x14ac:dyDescent="0.3">
      <c r="A2091" s="11">
        <v>46148</v>
      </c>
      <c r="B2091" s="20" t="s">
        <v>4177</v>
      </c>
      <c r="C2091" s="7" t="s">
        <v>4294</v>
      </c>
      <c r="D2091" s="7" t="s">
        <v>3794</v>
      </c>
      <c r="E2091" s="18">
        <v>46148.383333333331</v>
      </c>
      <c r="F2091" s="11">
        <f>IF(HOUR(Table1[[#This Row],[CORREO]])&gt;=11,WORKDAY(Table1[[#This Row],[CORREO]],1,Table2[Dias no laborales]),E2091)</f>
        <v>46148.383333333331</v>
      </c>
      <c r="G2091" s="11">
        <v>46149</v>
      </c>
      <c r="H2091" s="7">
        <f t="shared" si="101"/>
        <v>18</v>
      </c>
      <c r="I2091" s="7">
        <f>MAX(1, NETWORKDAYS(A2091, G2091,Table2[Dias no laborales]))</f>
        <v>2</v>
      </c>
      <c r="J2091" s="7" t="str">
        <f>IF(Table1[[#This Row],[FIN]]="","Acumulado",IF(ISNUMBER(SEARCH("ASAP",C2091)),"ASAP",IF(NETWORKDAYS.INTL(F2091,G2091,1,Table2[Dias no laborales]) &lt;= 7, "Dentro", IF(A2091&gt;F2091,"Programado","Fuera"))))</f>
        <v>Dentro</v>
      </c>
      <c r="K2091" s="7" t="str">
        <f t="shared" si="102"/>
        <v>A tiempo</v>
      </c>
      <c r="L2091" s="11">
        <v>46148</v>
      </c>
      <c r="M2091" s="22">
        <f>MAX(1,NETWORKDAYS(A2091,L2091,Table2[Dias no laborales]))</f>
        <v>1</v>
      </c>
    </row>
    <row r="2092" spans="1:13" x14ac:dyDescent="0.3">
      <c r="A2092" s="11">
        <v>46148</v>
      </c>
      <c r="B2092" s="20" t="s">
        <v>4198</v>
      </c>
      <c r="C2092" s="7" t="s">
        <v>4119</v>
      </c>
      <c r="D2092" s="7" t="s">
        <v>4120</v>
      </c>
      <c r="E2092" s="18">
        <v>46148.334027777775</v>
      </c>
      <c r="F2092" s="11">
        <f>IF(HOUR(Table1[[#This Row],[CORREO]])&gt;=11,WORKDAY(Table1[[#This Row],[CORREO]],1,Table2[Dias no laborales]),E2092)</f>
        <v>46148.334027777775</v>
      </c>
      <c r="G2092" s="11">
        <v>46150</v>
      </c>
      <c r="H2092" s="7">
        <f t="shared" ref="H2092:H2121" si="103">INT((A2092-DATE(YEAR(A2092),1,1))/7) + 1</f>
        <v>18</v>
      </c>
      <c r="I2092" s="7">
        <f>MAX(1, NETWORKDAYS(A2092, G2092,Table2[Dias no laborales]))</f>
        <v>3</v>
      </c>
      <c r="J2092" s="7" t="str">
        <f>IF(Table1[[#This Row],[FIN]]="","Acumulado",IF(ISNUMBER(SEARCH("ASAP",C2092)),"ASAP",IF(NETWORKDAYS.INTL(F2092,G2092,1,Table2[Dias no laborales]) &lt;= 7, "Dentro", IF(A2092&gt;F2092,"Programado","Fuera"))))</f>
        <v>Dentro</v>
      </c>
      <c r="K2092" s="7" t="str">
        <f t="shared" ref="K2092:K2121" si="104">IF(INT(A2092)=INT(F2092),"A tiempo", IF(A2092&lt;F2092,"Mismo día","Programados"))</f>
        <v>A tiempo</v>
      </c>
      <c r="L2092" s="11">
        <v>46148</v>
      </c>
      <c r="M2092" s="22">
        <f>MAX(1,NETWORKDAYS(A2092,L2092,Table2[Dias no laborales]))</f>
        <v>1</v>
      </c>
    </row>
    <row r="2093" spans="1:13" x14ac:dyDescent="0.3">
      <c r="A2093" s="11">
        <v>46148</v>
      </c>
      <c r="B2093" s="20" t="s">
        <v>4199</v>
      </c>
      <c r="C2093" s="7" t="s">
        <v>4295</v>
      </c>
      <c r="D2093" s="7" t="s">
        <v>1333</v>
      </c>
      <c r="E2093" s="18">
        <v>46148.40902777778</v>
      </c>
      <c r="F2093" s="11">
        <f>IF(HOUR(Table1[[#This Row],[CORREO]])&gt;=11,WORKDAY(Table1[[#This Row],[CORREO]],1,Table2[Dias no laborales]),E2093)</f>
        <v>46148.40902777778</v>
      </c>
      <c r="G2093" s="11">
        <v>46150</v>
      </c>
      <c r="H2093" s="7">
        <f t="shared" si="103"/>
        <v>18</v>
      </c>
      <c r="I2093" s="7">
        <f>MAX(1, NETWORKDAYS(A2093, G2093,Table2[Dias no laborales]))</f>
        <v>3</v>
      </c>
      <c r="J2093" s="7" t="str">
        <f>IF(Table1[[#This Row],[FIN]]="","Acumulado",IF(ISNUMBER(SEARCH("ASAP",C2093)),"ASAP",IF(NETWORKDAYS.INTL(F2093,G2093,1,Table2[Dias no laborales]) &lt;= 7, "Dentro", IF(A2093&gt;F2093,"Programado","Fuera"))))</f>
        <v>Dentro</v>
      </c>
      <c r="K2093" s="7" t="str">
        <f t="shared" si="104"/>
        <v>A tiempo</v>
      </c>
      <c r="L2093" s="11">
        <v>46148</v>
      </c>
      <c r="M2093" s="22">
        <f>MAX(1,NETWORKDAYS(A2093,L2093,Table2[Dias no laborales]))</f>
        <v>1</v>
      </c>
    </row>
    <row r="2094" spans="1:13" x14ac:dyDescent="0.3">
      <c r="A2094" s="11">
        <v>46148</v>
      </c>
      <c r="B2094" s="20" t="s">
        <v>4200</v>
      </c>
      <c r="C2094" s="7" t="s">
        <v>4296</v>
      </c>
      <c r="D2094" s="7" t="s">
        <v>269</v>
      </c>
      <c r="E2094" s="18">
        <v>46148.555555555555</v>
      </c>
      <c r="F2094" s="11">
        <f>IF(HOUR(Table1[[#This Row],[CORREO]])&gt;=11,WORKDAY(Table1[[#This Row],[CORREO]],1,Table2[Dias no laborales]),E2094)</f>
        <v>46149</v>
      </c>
      <c r="G2094" s="11">
        <v>46150</v>
      </c>
      <c r="H2094" s="7">
        <f t="shared" si="103"/>
        <v>18</v>
      </c>
      <c r="I2094" s="7">
        <f>MAX(1, NETWORKDAYS(A2094, G2094,Table2[Dias no laborales]))</f>
        <v>3</v>
      </c>
      <c r="J2094" s="7" t="str">
        <f>IF(Table1[[#This Row],[FIN]]="","Acumulado",IF(ISNUMBER(SEARCH("ASAP",C2094)),"ASAP",IF(NETWORKDAYS.INTL(F2094,G2094,1,Table2[Dias no laborales]) &lt;= 7, "Dentro", IF(A2094&gt;F2094,"Programado","Fuera"))))</f>
        <v>Dentro</v>
      </c>
      <c r="K2094" s="7" t="str">
        <f t="shared" si="104"/>
        <v>Mismo día</v>
      </c>
      <c r="L2094" s="11">
        <v>46148</v>
      </c>
      <c r="M2094" s="22">
        <f>MAX(1,NETWORKDAYS(A2094,L2094,Table2[Dias no laborales]))</f>
        <v>1</v>
      </c>
    </row>
    <row r="2095" spans="1:13" x14ac:dyDescent="0.3">
      <c r="A2095" s="11">
        <v>46148</v>
      </c>
      <c r="B2095" s="20" t="s">
        <v>4201</v>
      </c>
      <c r="C2095" s="7" t="s">
        <v>4297</v>
      </c>
      <c r="D2095" s="7" t="s">
        <v>89</v>
      </c>
      <c r="E2095" s="18"/>
      <c r="F2095" s="11">
        <f>IF(HOUR(Table1[[#This Row],[CORREO]])&gt;=11,WORKDAY(Table1[[#This Row],[CORREO]],1,Table2[Dias no laborales]),E2095)</f>
        <v>0</v>
      </c>
      <c r="G2095" s="11">
        <v>46153</v>
      </c>
      <c r="H2095" s="7">
        <f t="shared" si="103"/>
        <v>18</v>
      </c>
      <c r="I2095" s="7">
        <f>MAX(1, NETWORKDAYS(A2095, G2095,Table2[Dias no laborales]))</f>
        <v>4</v>
      </c>
      <c r="J2095" s="7" t="str">
        <f>IF(Table1[[#This Row],[FIN]]="","Acumulado",IF(ISNUMBER(SEARCH("ASAP",C2095)),"ASAP",IF(NETWORKDAYS.INTL(F2095,G2095,1,Table2[Dias no laborales]) &lt;= 7, "Dentro", IF(A2095&gt;F2095,"Programado","Fuera"))))</f>
        <v>Programado</v>
      </c>
      <c r="K2095" s="7" t="str">
        <f t="shared" si="104"/>
        <v>Programados</v>
      </c>
      <c r="L2095" s="11">
        <v>46149</v>
      </c>
      <c r="M2095" s="22">
        <f>MAX(1,NETWORKDAYS(A2095,L2095,Table2[Dias no laborales]))</f>
        <v>2</v>
      </c>
    </row>
    <row r="2096" spans="1:13" x14ac:dyDescent="0.3">
      <c r="A2096" s="11">
        <v>46149</v>
      </c>
      <c r="B2096" s="20" t="s">
        <v>4202</v>
      </c>
      <c r="C2096" s="7" t="s">
        <v>4298</v>
      </c>
      <c r="D2096" s="7" t="s">
        <v>4299</v>
      </c>
      <c r="E2096" s="18"/>
      <c r="F2096" s="11">
        <f>IF(HOUR(Table1[[#This Row],[CORREO]])&gt;=11,WORKDAY(Table1[[#This Row],[CORREO]],1,Table2[Dias no laborales]),E2096)</f>
        <v>0</v>
      </c>
      <c r="G2096" s="11">
        <v>46149</v>
      </c>
      <c r="H2096" s="7">
        <f t="shared" si="103"/>
        <v>19</v>
      </c>
      <c r="I2096" s="7">
        <f>MAX(1, NETWORKDAYS(A2096, G2096,Table2[Dias no laborales]))</f>
        <v>1</v>
      </c>
      <c r="J2096" s="7" t="str">
        <f>IF(Table1[[#This Row],[FIN]]="","Acumulado",IF(ISNUMBER(SEARCH("ASAP",C2096)),"ASAP",IF(NETWORKDAYS.INTL(F2096,G2096,1,Table2[Dias no laborales]) &lt;= 7, "Dentro", IF(A2096&gt;F2096,"Programado","Fuera"))))</f>
        <v>Programado</v>
      </c>
      <c r="K2096" s="7" t="str">
        <f t="shared" si="104"/>
        <v>Programados</v>
      </c>
      <c r="L2096" s="11">
        <v>46149</v>
      </c>
      <c r="M2096" s="22">
        <f>MAX(1,NETWORKDAYS(A2096,L2096,Table2[Dias no laborales]))</f>
        <v>1</v>
      </c>
    </row>
    <row r="2097" spans="1:13" x14ac:dyDescent="0.3">
      <c r="A2097" s="11">
        <v>46149</v>
      </c>
      <c r="B2097" s="20" t="s">
        <v>4203</v>
      </c>
      <c r="C2097" s="7" t="s">
        <v>4300</v>
      </c>
      <c r="D2097" s="7" t="s">
        <v>18</v>
      </c>
      <c r="E2097" s="18"/>
      <c r="F2097" s="11">
        <f>IF(HOUR(Table1[[#This Row],[CORREO]])&gt;=11,WORKDAY(Table1[[#This Row],[CORREO]],1,Table2[Dias no laborales]),E2097)</f>
        <v>0</v>
      </c>
      <c r="G2097" s="11">
        <v>46149</v>
      </c>
      <c r="H2097" s="7">
        <f t="shared" si="103"/>
        <v>19</v>
      </c>
      <c r="I2097" s="7">
        <f>MAX(1, NETWORKDAYS(A2097, G2097,Table2[Dias no laborales]))</f>
        <v>1</v>
      </c>
      <c r="J2097" s="7" t="str">
        <f>IF(Table1[[#This Row],[FIN]]="","Acumulado",IF(ISNUMBER(SEARCH("ASAP",C2097)),"ASAP",IF(NETWORKDAYS.INTL(F2097,G2097,1,Table2[Dias no laborales]) &lt;= 7, "Dentro", IF(A2097&gt;F2097,"Programado","Fuera"))))</f>
        <v>Programado</v>
      </c>
      <c r="K2097" s="7" t="str">
        <f t="shared" si="104"/>
        <v>Programados</v>
      </c>
      <c r="L2097" s="11">
        <v>46149</v>
      </c>
      <c r="M2097" s="22">
        <f>MAX(1,NETWORKDAYS(A2097,L2097,Table2[Dias no laborales]))</f>
        <v>1</v>
      </c>
    </row>
    <row r="2098" spans="1:13" x14ac:dyDescent="0.3">
      <c r="A2098" s="11">
        <v>46149</v>
      </c>
      <c r="B2098" s="20" t="s">
        <v>4204</v>
      </c>
      <c r="C2098" s="7" t="s">
        <v>4301</v>
      </c>
      <c r="D2098" s="7" t="s">
        <v>423</v>
      </c>
      <c r="E2098" s="18"/>
      <c r="F2098" s="11">
        <f>IF(HOUR(Table1[[#This Row],[CORREO]])&gt;=11,WORKDAY(Table1[[#This Row],[CORREO]],1,Table2[Dias no laborales]),E2098)</f>
        <v>0</v>
      </c>
      <c r="G2098" s="11">
        <v>46149</v>
      </c>
      <c r="H2098" s="7">
        <f t="shared" si="103"/>
        <v>19</v>
      </c>
      <c r="I2098" s="7">
        <f>MAX(1, NETWORKDAYS(A2098, G2098,Table2[Dias no laborales]))</f>
        <v>1</v>
      </c>
      <c r="J2098" s="7" t="str">
        <f>IF(Table1[[#This Row],[FIN]]="","Acumulado",IF(ISNUMBER(SEARCH("ASAP",C2098)),"ASAP",IF(NETWORKDAYS.INTL(F2098,G2098,1,Table2[Dias no laborales]) &lt;= 7, "Dentro", IF(A2098&gt;F2098,"Programado","Fuera"))))</f>
        <v>Programado</v>
      </c>
      <c r="K2098" s="7" t="str">
        <f t="shared" si="104"/>
        <v>Programados</v>
      </c>
      <c r="L2098" s="11">
        <v>46149</v>
      </c>
      <c r="M2098" s="22">
        <f>MAX(1,NETWORKDAYS(A2098,L2098,Table2[Dias no laborales]))</f>
        <v>1</v>
      </c>
    </row>
    <row r="2099" spans="1:13" x14ac:dyDescent="0.3">
      <c r="A2099" s="11">
        <v>46149</v>
      </c>
      <c r="B2099" s="20" t="s">
        <v>4205</v>
      </c>
      <c r="C2099" s="7" t="s">
        <v>4302</v>
      </c>
      <c r="D2099" s="7" t="s">
        <v>238</v>
      </c>
      <c r="E2099" s="18">
        <v>46149.361111111109</v>
      </c>
      <c r="F2099" s="11">
        <f>IF(HOUR(Table1[[#This Row],[CORREO]])&gt;=11,WORKDAY(Table1[[#This Row],[CORREO]],1,Table2[Dias no laborales]),E2099)</f>
        <v>46149.361111111109</v>
      </c>
      <c r="G2099" s="11">
        <v>46149</v>
      </c>
      <c r="H2099" s="7">
        <f t="shared" si="103"/>
        <v>19</v>
      </c>
      <c r="I2099" s="7">
        <f>MAX(1, NETWORKDAYS(A2099, G2099,Table2[Dias no laborales]))</f>
        <v>1</v>
      </c>
      <c r="J2099" s="7" t="str">
        <f>IF(Table1[[#This Row],[FIN]]="","Acumulado",IF(ISNUMBER(SEARCH("ASAP",C2099)),"ASAP",IF(NETWORKDAYS.INTL(F2099,G2099,1,Table2[Dias no laborales]) &lt;= 7, "Dentro", IF(A2099&gt;F2099,"Programado","Fuera"))))</f>
        <v>Dentro</v>
      </c>
      <c r="K2099" s="7" t="str">
        <f t="shared" si="104"/>
        <v>A tiempo</v>
      </c>
      <c r="L2099" s="11">
        <v>46149</v>
      </c>
      <c r="M2099" s="22">
        <f>MAX(1,NETWORKDAYS(A2099,L2099,Table2[Dias no laborales]))</f>
        <v>1</v>
      </c>
    </row>
    <row r="2100" spans="1:13" x14ac:dyDescent="0.3">
      <c r="A2100" s="11">
        <v>46149</v>
      </c>
      <c r="B2100" s="20" t="s">
        <v>4206</v>
      </c>
      <c r="C2100" s="7" t="s">
        <v>4303</v>
      </c>
      <c r="D2100" s="7" t="s">
        <v>24</v>
      </c>
      <c r="E2100" s="18">
        <v>46148.581944444442</v>
      </c>
      <c r="F2100" s="11">
        <f>IF(HOUR(Table1[[#This Row],[CORREO]])&gt;=11,WORKDAY(Table1[[#This Row],[CORREO]],1,Table2[Dias no laborales]),E2100)</f>
        <v>46149</v>
      </c>
      <c r="G2100" s="11">
        <v>46153</v>
      </c>
      <c r="H2100" s="7">
        <f t="shared" si="103"/>
        <v>19</v>
      </c>
      <c r="I2100" s="7">
        <f>MAX(1, NETWORKDAYS(A2100, G2100,Table2[Dias no laborales]))</f>
        <v>3</v>
      </c>
      <c r="J2100" s="7" t="str">
        <f>IF(Table1[[#This Row],[FIN]]="","Acumulado",IF(ISNUMBER(SEARCH("ASAP",C2100)),"ASAP",IF(NETWORKDAYS.INTL(F2100,G2100,1,Table2[Dias no laborales]) &lt;= 7, "Dentro", IF(A2100&gt;F2100,"Programado","Fuera"))))</f>
        <v>Dentro</v>
      </c>
      <c r="K2100" s="7" t="str">
        <f t="shared" si="104"/>
        <v>A tiempo</v>
      </c>
      <c r="L2100" s="11">
        <v>46149</v>
      </c>
      <c r="M2100" s="22">
        <f>MAX(1,NETWORKDAYS(A2100,L2100,Table2[Dias no laborales]))</f>
        <v>1</v>
      </c>
    </row>
    <row r="2101" spans="1:13" x14ac:dyDescent="0.3">
      <c r="A2101" s="11">
        <v>46149</v>
      </c>
      <c r="B2101" s="20" t="s">
        <v>4207</v>
      </c>
      <c r="C2101" s="7" t="s">
        <v>4304</v>
      </c>
      <c r="D2101" s="7" t="s">
        <v>504</v>
      </c>
      <c r="E2101" s="18"/>
      <c r="F2101" s="11">
        <f>IF(HOUR(Table1[[#This Row],[CORREO]])&gt;=11,WORKDAY(Table1[[#This Row],[CORREO]],1,Table2[Dias no laborales]),E2101)</f>
        <v>0</v>
      </c>
      <c r="G2101" s="11">
        <v>46149</v>
      </c>
      <c r="H2101" s="7">
        <f t="shared" si="103"/>
        <v>19</v>
      </c>
      <c r="I2101" s="7">
        <f>MAX(1, NETWORKDAYS(A2101, G2101,Table2[Dias no laborales]))</f>
        <v>1</v>
      </c>
      <c r="J2101" s="7" t="str">
        <f>IF(Table1[[#This Row],[FIN]]="","Acumulado",IF(ISNUMBER(SEARCH("ASAP",C2101)),"ASAP",IF(NETWORKDAYS.INTL(F2101,G2101,1,Table2[Dias no laborales]) &lt;= 7, "Dentro", IF(A2101&gt;F2101,"Programado","Fuera"))))</f>
        <v>Programado</v>
      </c>
      <c r="K2101" s="7" t="str">
        <f t="shared" si="104"/>
        <v>Programados</v>
      </c>
      <c r="L2101" s="11">
        <v>46149</v>
      </c>
      <c r="M2101" s="22">
        <f>MAX(1,NETWORKDAYS(A2101,L2101,Table2[Dias no laborales]))</f>
        <v>1</v>
      </c>
    </row>
    <row r="2102" spans="1:13" x14ac:dyDescent="0.3">
      <c r="A2102" s="11">
        <v>46149</v>
      </c>
      <c r="B2102" s="20" t="s">
        <v>4208</v>
      </c>
      <c r="C2102" s="7" t="s">
        <v>4305</v>
      </c>
      <c r="D2102" s="7" t="s">
        <v>24</v>
      </c>
      <c r="E2102" s="18">
        <v>46148.708333333336</v>
      </c>
      <c r="F2102" s="11">
        <f>IF(HOUR(Table1[[#This Row],[CORREO]])&gt;=11,WORKDAY(Table1[[#This Row],[CORREO]],1,Table2[Dias no laborales]),E2102)</f>
        <v>46149</v>
      </c>
      <c r="G2102" s="11">
        <v>46157</v>
      </c>
      <c r="H2102" s="7">
        <f t="shared" si="103"/>
        <v>19</v>
      </c>
      <c r="I2102" s="7">
        <f>MAX(1, NETWORKDAYS(A2102, G2102,Table2[Dias no laborales]))</f>
        <v>7</v>
      </c>
      <c r="J2102" s="7" t="str">
        <f>IF(Table1[[#This Row],[FIN]]="","Acumulado",IF(ISNUMBER(SEARCH("ASAP",C2102)),"ASAP",IF(NETWORKDAYS.INTL(F2102,G2102,1,Table2[Dias no laborales]) &lt;= 7, "Dentro", IF(A2102&gt;F2102,"Programado","Fuera"))))</f>
        <v>Dentro</v>
      </c>
      <c r="K2102" s="7" t="str">
        <f t="shared" si="104"/>
        <v>A tiempo</v>
      </c>
      <c r="L2102" s="11">
        <v>46149</v>
      </c>
      <c r="M2102" s="22">
        <f>MAX(1,NETWORKDAYS(A2102,L2102,Table2[Dias no laborales]))</f>
        <v>1</v>
      </c>
    </row>
    <row r="2103" spans="1:13" x14ac:dyDescent="0.3">
      <c r="A2103" s="11">
        <v>46149</v>
      </c>
      <c r="B2103" s="20" t="s">
        <v>4209</v>
      </c>
      <c r="C2103" s="7" t="s">
        <v>4306</v>
      </c>
      <c r="D2103" s="7" t="s">
        <v>139</v>
      </c>
      <c r="E2103" s="18">
        <v>46149.322222222225</v>
      </c>
      <c r="F2103" s="11">
        <f>IF(HOUR(Table1[[#This Row],[CORREO]])&gt;=11,WORKDAY(Table1[[#This Row],[CORREO]],1,Table2[Dias no laborales]),E2103)</f>
        <v>46149.322222222225</v>
      </c>
      <c r="G2103" s="11">
        <v>46154</v>
      </c>
      <c r="H2103" s="7">
        <f t="shared" si="103"/>
        <v>19</v>
      </c>
      <c r="I2103" s="7">
        <f>MAX(1, NETWORKDAYS(A2103, G2103,Table2[Dias no laborales]))</f>
        <v>4</v>
      </c>
      <c r="J2103" s="7" t="str">
        <f>IF(Table1[[#This Row],[FIN]]="","Acumulado",IF(ISNUMBER(SEARCH("ASAP",C2103)),"ASAP",IF(NETWORKDAYS.INTL(F2103,G2103,1,Table2[Dias no laborales]) &lt;= 7, "Dentro", IF(A2103&gt;F2103,"Programado","Fuera"))))</f>
        <v>Dentro</v>
      </c>
      <c r="K2103" s="7" t="str">
        <f t="shared" si="104"/>
        <v>A tiempo</v>
      </c>
      <c r="L2103" s="11">
        <v>46149</v>
      </c>
      <c r="M2103" s="22">
        <f>MAX(1,NETWORKDAYS(A2103,L2103,Table2[Dias no laborales]))</f>
        <v>1</v>
      </c>
    </row>
    <row r="2104" spans="1:13" x14ac:dyDescent="0.3">
      <c r="A2104" s="11">
        <v>46149</v>
      </c>
      <c r="B2104" s="20" t="s">
        <v>4210</v>
      </c>
      <c r="C2104" s="7" t="s">
        <v>4307</v>
      </c>
      <c r="D2104" s="7" t="s">
        <v>571</v>
      </c>
      <c r="E2104" s="18">
        <v>46149.345833333333</v>
      </c>
      <c r="F2104" s="11">
        <f>IF(HOUR(Table1[[#This Row],[CORREO]])&gt;=11,WORKDAY(Table1[[#This Row],[CORREO]],1,Table2[Dias no laborales]),E2104)</f>
        <v>46149.345833333333</v>
      </c>
      <c r="G2104" s="11">
        <v>46150</v>
      </c>
      <c r="H2104" s="7">
        <f t="shared" si="103"/>
        <v>19</v>
      </c>
      <c r="I2104" s="7">
        <f>MAX(1, NETWORKDAYS(A2104, G2104,Table2[Dias no laborales]))</f>
        <v>2</v>
      </c>
      <c r="J2104" s="7" t="str">
        <f>IF(Table1[[#This Row],[FIN]]="","Acumulado",IF(ISNUMBER(SEARCH("ASAP",C2104)),"ASAP",IF(NETWORKDAYS.INTL(F2104,G2104,1,Table2[Dias no laborales]) &lt;= 7, "Dentro", IF(A2104&gt;F2104,"Programado","Fuera"))))</f>
        <v>Dentro</v>
      </c>
      <c r="K2104" s="7" t="str">
        <f t="shared" si="104"/>
        <v>A tiempo</v>
      </c>
      <c r="L2104" s="11">
        <v>46149</v>
      </c>
      <c r="M2104" s="22">
        <f>MAX(1,NETWORKDAYS(A2104,L2104,Table2[Dias no laborales]))</f>
        <v>1</v>
      </c>
    </row>
    <row r="2105" spans="1:13" x14ac:dyDescent="0.3">
      <c r="A2105" s="11">
        <v>46149</v>
      </c>
      <c r="B2105" s="20" t="s">
        <v>4211</v>
      </c>
      <c r="C2105" s="7" t="s">
        <v>4308</v>
      </c>
      <c r="D2105" s="7" t="s">
        <v>989</v>
      </c>
      <c r="E2105" s="18">
        <v>46149.35833333333</v>
      </c>
      <c r="F2105" s="11">
        <f>IF(HOUR(Table1[[#This Row],[CORREO]])&gt;=11,WORKDAY(Table1[[#This Row],[CORREO]],1,Table2[Dias no laborales]),E2105)</f>
        <v>46149.35833333333</v>
      </c>
      <c r="G2105" s="11">
        <v>46149</v>
      </c>
      <c r="H2105" s="7">
        <f t="shared" si="103"/>
        <v>19</v>
      </c>
      <c r="I2105" s="7">
        <f>MAX(1, NETWORKDAYS(A2105, G2105,Table2[Dias no laborales]))</f>
        <v>1</v>
      </c>
      <c r="J2105" s="7" t="str">
        <f>IF(Table1[[#This Row],[FIN]]="","Acumulado",IF(ISNUMBER(SEARCH("ASAP",C2105)),"ASAP",IF(NETWORKDAYS.INTL(F2105,G2105,1,Table2[Dias no laborales]) &lt;= 7, "Dentro", IF(A2105&gt;F2105,"Programado","Fuera"))))</f>
        <v>Dentro</v>
      </c>
      <c r="K2105" s="7" t="str">
        <f t="shared" si="104"/>
        <v>A tiempo</v>
      </c>
      <c r="L2105" s="11">
        <v>46149</v>
      </c>
      <c r="M2105" s="22">
        <f>MAX(1,NETWORKDAYS(A2105,L2105,Table2[Dias no laborales]))</f>
        <v>1</v>
      </c>
    </row>
    <row r="2106" spans="1:13" x14ac:dyDescent="0.3">
      <c r="A2106" s="11">
        <v>46149</v>
      </c>
      <c r="B2106" s="20" t="s">
        <v>4212</v>
      </c>
      <c r="C2106" s="7" t="s">
        <v>4309</v>
      </c>
      <c r="D2106" s="7" t="s">
        <v>61</v>
      </c>
      <c r="E2106" s="18">
        <v>46149.362500000003</v>
      </c>
      <c r="F2106" s="11">
        <f>IF(HOUR(Table1[[#This Row],[CORREO]])&gt;=11,WORKDAY(Table1[[#This Row],[CORREO]],1,Table2[Dias no laborales]),E2106)</f>
        <v>46149.362500000003</v>
      </c>
      <c r="G2106" s="11">
        <v>46154</v>
      </c>
      <c r="H2106" s="7">
        <f t="shared" si="103"/>
        <v>19</v>
      </c>
      <c r="I2106" s="7">
        <f>MAX(1, NETWORKDAYS(A2106, G2106,Table2[Dias no laborales]))</f>
        <v>4</v>
      </c>
      <c r="J2106" s="7" t="str">
        <f>IF(Table1[[#This Row],[FIN]]="","Acumulado",IF(ISNUMBER(SEARCH("ASAP",C2106)),"ASAP",IF(NETWORKDAYS.INTL(F2106,G2106,1,Table2[Dias no laborales]) &lt;= 7, "Dentro", IF(A2106&gt;F2106,"Programado","Fuera"))))</f>
        <v>Dentro</v>
      </c>
      <c r="K2106" s="7" t="str">
        <f t="shared" si="104"/>
        <v>A tiempo</v>
      </c>
      <c r="L2106" s="11">
        <v>46149</v>
      </c>
      <c r="M2106" s="22">
        <f>MAX(1,NETWORKDAYS(A2106,L2106,Table2[Dias no laborales]))</f>
        <v>1</v>
      </c>
    </row>
    <row r="2107" spans="1:13" x14ac:dyDescent="0.3">
      <c r="A2107" s="11">
        <v>46149</v>
      </c>
      <c r="B2107" s="20" t="s">
        <v>4213</v>
      </c>
      <c r="C2107" s="7" t="s">
        <v>4310</v>
      </c>
      <c r="D2107" s="7" t="s">
        <v>1360</v>
      </c>
      <c r="E2107" s="18"/>
      <c r="F2107" s="11">
        <f>IF(HOUR(Table1[[#This Row],[CORREO]])&gt;=11,WORKDAY(Table1[[#This Row],[CORREO]],1,Table2[Dias no laborales]),E2107)</f>
        <v>0</v>
      </c>
      <c r="G2107" s="11">
        <v>46149</v>
      </c>
      <c r="H2107" s="7">
        <f t="shared" si="103"/>
        <v>19</v>
      </c>
      <c r="I2107" s="7">
        <f>MAX(1, NETWORKDAYS(A2107, G2107,Table2[Dias no laborales]))</f>
        <v>1</v>
      </c>
      <c r="J2107" s="7" t="str">
        <f>IF(Table1[[#This Row],[FIN]]="","Acumulado",IF(ISNUMBER(SEARCH("ASAP",C2107)),"ASAP",IF(NETWORKDAYS.INTL(F2107,G2107,1,Table2[Dias no laborales]) &lt;= 7, "Dentro", IF(A2107&gt;F2107,"Programado","Fuera"))))</f>
        <v>Programado</v>
      </c>
      <c r="K2107" s="7" t="str">
        <f t="shared" si="104"/>
        <v>Programados</v>
      </c>
      <c r="L2107" s="11">
        <v>46149</v>
      </c>
      <c r="M2107" s="22">
        <f>MAX(1,NETWORKDAYS(A2107,L2107,Table2[Dias no laborales]))</f>
        <v>1</v>
      </c>
    </row>
    <row r="2108" spans="1:13" x14ac:dyDescent="0.3">
      <c r="A2108" s="11">
        <v>46149</v>
      </c>
      <c r="B2108" s="20" t="s">
        <v>4214</v>
      </c>
      <c r="C2108" s="7" t="s">
        <v>4311</v>
      </c>
      <c r="D2108" s="7" t="s">
        <v>2623</v>
      </c>
      <c r="E2108" s="18"/>
      <c r="F2108" s="11">
        <f>IF(HOUR(Table1[[#This Row],[CORREO]])&gt;=11,WORKDAY(Table1[[#This Row],[CORREO]],1,Table2[Dias no laborales]),E2108)</f>
        <v>0</v>
      </c>
      <c r="G2108" s="11">
        <v>46149</v>
      </c>
      <c r="H2108" s="7">
        <f t="shared" si="103"/>
        <v>19</v>
      </c>
      <c r="I2108" s="7">
        <f>MAX(1, NETWORKDAYS(A2108, G2108,Table2[Dias no laborales]))</f>
        <v>1</v>
      </c>
      <c r="J2108" s="7" t="str">
        <f>IF(Table1[[#This Row],[FIN]]="","Acumulado",IF(ISNUMBER(SEARCH("ASAP",C2108)),"ASAP",IF(NETWORKDAYS.INTL(F2108,G2108,1,Table2[Dias no laborales]) &lt;= 7, "Dentro", IF(A2108&gt;F2108,"Programado","Fuera"))))</f>
        <v>Programado</v>
      </c>
      <c r="K2108" s="7" t="str">
        <f t="shared" si="104"/>
        <v>Programados</v>
      </c>
      <c r="L2108" s="11">
        <v>46149</v>
      </c>
      <c r="M2108" s="22">
        <f>MAX(1,NETWORKDAYS(A2108,L2108,Table2[Dias no laborales]))</f>
        <v>1</v>
      </c>
    </row>
    <row r="2109" spans="1:13" x14ac:dyDescent="0.3">
      <c r="A2109" s="11">
        <v>46149</v>
      </c>
      <c r="B2109" s="20" t="s">
        <v>4215</v>
      </c>
      <c r="C2109" s="7" t="s">
        <v>4312</v>
      </c>
      <c r="D2109" s="7" t="s">
        <v>238</v>
      </c>
      <c r="E2109" s="18"/>
      <c r="F2109" s="11">
        <f>IF(HOUR(Table1[[#This Row],[CORREO]])&gt;=11,WORKDAY(Table1[[#This Row],[CORREO]],1,Table2[Dias no laborales]),E2109)</f>
        <v>0</v>
      </c>
      <c r="G2109" s="11">
        <v>46149</v>
      </c>
      <c r="H2109" s="7">
        <f t="shared" si="103"/>
        <v>19</v>
      </c>
      <c r="I2109" s="7">
        <f>MAX(1, NETWORKDAYS(A2109, G2109,Table2[Dias no laborales]))</f>
        <v>1</v>
      </c>
      <c r="J2109" s="7" t="str">
        <f>IF(Table1[[#This Row],[FIN]]="","Acumulado",IF(ISNUMBER(SEARCH("ASAP",C2109)),"ASAP",IF(NETWORKDAYS.INTL(F2109,G2109,1,Table2[Dias no laborales]) &lt;= 7, "Dentro", IF(A2109&gt;F2109,"Programado","Fuera"))))</f>
        <v>Programado</v>
      </c>
      <c r="K2109" s="7" t="str">
        <f t="shared" si="104"/>
        <v>Programados</v>
      </c>
      <c r="L2109" s="11">
        <v>46149</v>
      </c>
      <c r="M2109" s="22">
        <f>MAX(1,NETWORKDAYS(A2109,L2109,Table2[Dias no laborales]))</f>
        <v>1</v>
      </c>
    </row>
    <row r="2110" spans="1:13" x14ac:dyDescent="0.3">
      <c r="A2110" s="11">
        <v>46150</v>
      </c>
      <c r="B2110" s="20" t="s">
        <v>4216</v>
      </c>
      <c r="C2110" s="7" t="s">
        <v>4293</v>
      </c>
      <c r="D2110" s="7" t="s">
        <v>2561</v>
      </c>
      <c r="E2110" s="18">
        <v>46149.5625</v>
      </c>
      <c r="F2110" s="11">
        <f>IF(HOUR(Table1[[#This Row],[CORREO]])&gt;=11,WORKDAY(Table1[[#This Row],[CORREO]],1,Table2[Dias no laborales]),E2110)</f>
        <v>46150</v>
      </c>
      <c r="G2110" s="11"/>
      <c r="H2110" s="7">
        <f t="shared" si="103"/>
        <v>19</v>
      </c>
      <c r="I2110" s="7">
        <f>MAX(1, NETWORKDAYS(A2110, G2110,Table2[Dias no laborales]))</f>
        <v>1</v>
      </c>
      <c r="J2110" s="7" t="str">
        <f>IF(Table1[[#This Row],[FIN]]="","Acumulado",IF(ISNUMBER(SEARCH("ASAP",C2110)),"ASAP",IF(NETWORKDAYS.INTL(F2110,G2110,1,Table2[Dias no laborales]) &lt;= 7, "Dentro", IF(A2110&gt;F2110,"Programado","Fuera"))))</f>
        <v>Acumulado</v>
      </c>
      <c r="K2110" s="7" t="str">
        <f t="shared" si="104"/>
        <v>A tiempo</v>
      </c>
      <c r="L2110" s="11">
        <v>46150</v>
      </c>
      <c r="M2110" s="22">
        <f>MAX(1,NETWORKDAYS(A2110,L2110,Table2[Dias no laborales]))</f>
        <v>1</v>
      </c>
    </row>
    <row r="2111" spans="1:13" x14ac:dyDescent="0.3">
      <c r="A2111" s="11">
        <v>46150</v>
      </c>
      <c r="B2111" s="20" t="s">
        <v>4217</v>
      </c>
      <c r="C2111" s="7" t="s">
        <v>4313</v>
      </c>
      <c r="D2111" s="7" t="s">
        <v>18</v>
      </c>
      <c r="E2111" s="18">
        <v>46149.740972222222</v>
      </c>
      <c r="F2111" s="11">
        <f>IF(HOUR(Table1[[#This Row],[CORREO]])&gt;=11,WORKDAY(Table1[[#This Row],[CORREO]],1,Table2[Dias no laborales]),E2111)</f>
        <v>46150</v>
      </c>
      <c r="G2111" s="11">
        <v>46150</v>
      </c>
      <c r="H2111" s="7">
        <f t="shared" si="103"/>
        <v>19</v>
      </c>
      <c r="I2111" s="7">
        <f>MAX(1, NETWORKDAYS(A2111, G2111,Table2[Dias no laborales]))</f>
        <v>1</v>
      </c>
      <c r="J2111" s="7" t="str">
        <f>IF(Table1[[#This Row],[FIN]]="","Acumulado",IF(ISNUMBER(SEARCH("ASAP",C2111)),"ASAP",IF(NETWORKDAYS.INTL(F2111,G2111,1,Table2[Dias no laborales]) &lt;= 7, "Dentro", IF(A2111&gt;F2111,"Programado","Fuera"))))</f>
        <v>Dentro</v>
      </c>
      <c r="K2111" s="7" t="str">
        <f t="shared" si="104"/>
        <v>A tiempo</v>
      </c>
      <c r="L2111" s="11">
        <v>46150</v>
      </c>
      <c r="M2111" s="22">
        <f>MAX(1,NETWORKDAYS(A2111,L2111,Table2[Dias no laborales]))</f>
        <v>1</v>
      </c>
    </row>
    <row r="2112" spans="1:13" x14ac:dyDescent="0.3">
      <c r="A2112" s="11">
        <v>46150</v>
      </c>
      <c r="B2112" s="20" t="s">
        <v>4218</v>
      </c>
      <c r="C2112" s="7" t="s">
        <v>4314</v>
      </c>
      <c r="D2112" s="7" t="s">
        <v>139</v>
      </c>
      <c r="E2112" s="18">
        <v>46149.67291666667</v>
      </c>
      <c r="F2112" s="11">
        <f>IF(HOUR(Table1[[#This Row],[CORREO]])&gt;=11,WORKDAY(Table1[[#This Row],[CORREO]],1,Table2[Dias no laborales]),E2112)</f>
        <v>46150</v>
      </c>
      <c r="G2112" s="11">
        <v>46155</v>
      </c>
      <c r="H2112" s="7">
        <f t="shared" si="103"/>
        <v>19</v>
      </c>
      <c r="I2112" s="7">
        <f>MAX(1, NETWORKDAYS(A2112, G2112,Table2[Dias no laborales]))</f>
        <v>4</v>
      </c>
      <c r="J2112" s="7" t="str">
        <f>IF(Table1[[#This Row],[FIN]]="","Acumulado",IF(ISNUMBER(SEARCH("ASAP",C2112)),"ASAP",IF(NETWORKDAYS.INTL(F2112,G2112,1,Table2[Dias no laborales]) &lt;= 7, "Dentro", IF(A2112&gt;F2112,"Programado","Fuera"))))</f>
        <v>Dentro</v>
      </c>
      <c r="K2112" s="7" t="str">
        <f t="shared" si="104"/>
        <v>A tiempo</v>
      </c>
      <c r="L2112" s="11">
        <v>46150</v>
      </c>
      <c r="M2112" s="22">
        <f>MAX(1,NETWORKDAYS(A2112,L2112,Table2[Dias no laborales]))</f>
        <v>1</v>
      </c>
    </row>
    <row r="2113" spans="1:13" x14ac:dyDescent="0.3">
      <c r="A2113" s="11">
        <v>46150</v>
      </c>
      <c r="B2113" s="20" t="s">
        <v>4219</v>
      </c>
      <c r="C2113" s="7" t="s">
        <v>4315</v>
      </c>
      <c r="D2113" s="7" t="s">
        <v>3999</v>
      </c>
      <c r="E2113" s="18">
        <v>46149.719444444447</v>
      </c>
      <c r="F2113" s="11">
        <f>IF(HOUR(Table1[[#This Row],[CORREO]])&gt;=11,WORKDAY(Table1[[#This Row],[CORREO]],1,Table2[Dias no laborales]),E2113)</f>
        <v>46150</v>
      </c>
      <c r="G2113" s="11">
        <v>46154</v>
      </c>
      <c r="H2113" s="7">
        <f t="shared" si="103"/>
        <v>19</v>
      </c>
      <c r="I2113" s="7">
        <f>MAX(1, NETWORKDAYS(A2113, G2113,Table2[Dias no laborales]))</f>
        <v>3</v>
      </c>
      <c r="J2113" s="7" t="str">
        <f>IF(Table1[[#This Row],[FIN]]="","Acumulado",IF(ISNUMBER(SEARCH("ASAP",C2113)),"ASAP",IF(NETWORKDAYS.INTL(F2113,G2113,1,Table2[Dias no laborales]) &lt;= 7, "Dentro", IF(A2113&gt;F2113,"Programado","Fuera"))))</f>
        <v>Dentro</v>
      </c>
      <c r="K2113" s="7" t="str">
        <f t="shared" si="104"/>
        <v>A tiempo</v>
      </c>
      <c r="L2113" s="11">
        <v>46150</v>
      </c>
      <c r="M2113" s="22">
        <f>MAX(1,NETWORKDAYS(A2113,L2113,Table2[Dias no laborales]))</f>
        <v>1</v>
      </c>
    </row>
    <row r="2114" spans="1:13" x14ac:dyDescent="0.3">
      <c r="A2114" s="11">
        <v>46150</v>
      </c>
      <c r="B2114" s="20" t="s">
        <v>4220</v>
      </c>
      <c r="C2114" s="7" t="s">
        <v>4316</v>
      </c>
      <c r="D2114" s="7" t="s">
        <v>3999</v>
      </c>
      <c r="E2114" s="18">
        <v>46150.328472222223</v>
      </c>
      <c r="F2114" s="11">
        <f>IF(HOUR(Table1[[#This Row],[CORREO]])&gt;=11,WORKDAY(Table1[[#This Row],[CORREO]],1,Table2[Dias no laborales]),E2114)</f>
        <v>46150.328472222223</v>
      </c>
      <c r="G2114" s="11">
        <v>46150</v>
      </c>
      <c r="H2114" s="7">
        <f t="shared" si="103"/>
        <v>19</v>
      </c>
      <c r="I2114" s="7">
        <f>MAX(1, NETWORKDAYS(A2114, G2114,Table2[Dias no laborales]))</f>
        <v>1</v>
      </c>
      <c r="J2114" s="7" t="str">
        <f>IF(Table1[[#This Row],[FIN]]="","Acumulado",IF(ISNUMBER(SEARCH("ASAP",C2114)),"ASAP",IF(NETWORKDAYS.INTL(F2114,G2114,1,Table2[Dias no laborales]) &lt;= 7, "Dentro", IF(A2114&gt;F2114,"Programado","Fuera"))))</f>
        <v>Dentro</v>
      </c>
      <c r="K2114" s="7" t="str">
        <f t="shared" si="104"/>
        <v>A tiempo</v>
      </c>
      <c r="L2114" s="11">
        <v>46150</v>
      </c>
      <c r="M2114" s="22">
        <f>MAX(1,NETWORKDAYS(A2114,L2114,Table2[Dias no laborales]))</f>
        <v>1</v>
      </c>
    </row>
    <row r="2115" spans="1:13" x14ac:dyDescent="0.3">
      <c r="A2115" s="11">
        <v>46150</v>
      </c>
      <c r="B2115" s="20" t="s">
        <v>4221</v>
      </c>
      <c r="C2115" s="7" t="s">
        <v>4317</v>
      </c>
      <c r="D2115" s="7" t="s">
        <v>2520</v>
      </c>
      <c r="E2115" s="18">
        <v>46150.381249999999</v>
      </c>
      <c r="F2115" s="11">
        <f>IF(HOUR(Table1[[#This Row],[CORREO]])&gt;=11,WORKDAY(Table1[[#This Row],[CORREO]],1,Table2[Dias no laborales]),E2115)</f>
        <v>46150.381249999999</v>
      </c>
      <c r="G2115" s="11">
        <v>46153</v>
      </c>
      <c r="H2115" s="7">
        <f t="shared" si="103"/>
        <v>19</v>
      </c>
      <c r="I2115" s="7">
        <f>MAX(1, NETWORKDAYS(A2115, G2115,Table2[Dias no laborales]))</f>
        <v>2</v>
      </c>
      <c r="J2115" s="7" t="str">
        <f>IF(Table1[[#This Row],[FIN]]="","Acumulado",IF(ISNUMBER(SEARCH("ASAP",C2115)),"ASAP",IF(NETWORKDAYS.INTL(F2115,G2115,1,Table2[Dias no laborales]) &lt;= 7, "Dentro", IF(A2115&gt;F2115,"Programado","Fuera"))))</f>
        <v>Dentro</v>
      </c>
      <c r="K2115" s="7" t="str">
        <f t="shared" si="104"/>
        <v>A tiempo</v>
      </c>
      <c r="L2115" s="11">
        <v>46150</v>
      </c>
      <c r="M2115" s="22">
        <f>MAX(1,NETWORKDAYS(A2115,L2115,Table2[Dias no laborales]))</f>
        <v>1</v>
      </c>
    </row>
    <row r="2116" spans="1:13" x14ac:dyDescent="0.3">
      <c r="A2116" s="11">
        <v>46150</v>
      </c>
      <c r="B2116" s="20" t="s">
        <v>4222</v>
      </c>
      <c r="C2116" s="7" t="s">
        <v>4318</v>
      </c>
      <c r="D2116" s="7" t="s">
        <v>1333</v>
      </c>
      <c r="E2116" s="18"/>
      <c r="F2116" s="11">
        <f>IF(HOUR(Table1[[#This Row],[CORREO]])&gt;=11,WORKDAY(Table1[[#This Row],[CORREO]],1,Table2[Dias no laborales]),E2116)</f>
        <v>0</v>
      </c>
      <c r="G2116" s="11">
        <v>46156</v>
      </c>
      <c r="H2116" s="7">
        <f t="shared" si="103"/>
        <v>19</v>
      </c>
      <c r="I2116" s="7">
        <f>MAX(1, NETWORKDAYS(A2116, G2116,Table2[Dias no laborales]))</f>
        <v>5</v>
      </c>
      <c r="J2116" s="7" t="str">
        <f>IF(Table1[[#This Row],[FIN]]="","Acumulado",IF(ISNUMBER(SEARCH("ASAP",C2116)),"ASAP",IF(NETWORKDAYS.INTL(F2116,G2116,1,Table2[Dias no laborales]) &lt;= 7, "Dentro", IF(A2116&gt;F2116,"Programado","Fuera"))))</f>
        <v>Programado</v>
      </c>
      <c r="K2116" s="7" t="str">
        <f t="shared" si="104"/>
        <v>Programados</v>
      </c>
      <c r="L2116" s="11">
        <v>46150</v>
      </c>
      <c r="M2116" s="22">
        <f>MAX(1,NETWORKDAYS(A2116,L2116,Table2[Dias no laborales]))</f>
        <v>1</v>
      </c>
    </row>
    <row r="2117" spans="1:13" x14ac:dyDescent="0.3">
      <c r="A2117" s="11">
        <v>46150</v>
      </c>
      <c r="B2117" s="20" t="s">
        <v>4223</v>
      </c>
      <c r="C2117" s="7" t="s">
        <v>4319</v>
      </c>
      <c r="D2117" s="7" t="s">
        <v>2537</v>
      </c>
      <c r="E2117" s="18">
        <v>46150.396527777775</v>
      </c>
      <c r="F2117" s="11">
        <f>IF(HOUR(Table1[[#This Row],[CORREO]])&gt;=11,WORKDAY(Table1[[#This Row],[CORREO]],1,Table2[Dias no laborales]),E2117)</f>
        <v>46150.396527777775</v>
      </c>
      <c r="G2117" s="11">
        <v>46153</v>
      </c>
      <c r="H2117" s="7">
        <f t="shared" si="103"/>
        <v>19</v>
      </c>
      <c r="I2117" s="7">
        <f>MAX(1, NETWORKDAYS(A2117, G2117,Table2[Dias no laborales]))</f>
        <v>2</v>
      </c>
      <c r="J2117" s="7" t="str">
        <f>IF(Table1[[#This Row],[FIN]]="","Acumulado",IF(ISNUMBER(SEARCH("ASAP",C2117)),"ASAP",IF(NETWORKDAYS.INTL(F2117,G2117,1,Table2[Dias no laborales]) &lt;= 7, "Dentro", IF(A2117&gt;F2117,"Programado","Fuera"))))</f>
        <v>Dentro</v>
      </c>
      <c r="K2117" s="7" t="str">
        <f t="shared" si="104"/>
        <v>A tiempo</v>
      </c>
      <c r="L2117" s="11">
        <v>46150</v>
      </c>
      <c r="M2117" s="22">
        <f>MAX(1,NETWORKDAYS(A2117,L2117,Table2[Dias no laborales]))</f>
        <v>1</v>
      </c>
    </row>
    <row r="2118" spans="1:13" x14ac:dyDescent="0.3">
      <c r="A2118" s="11">
        <v>46150</v>
      </c>
      <c r="B2118" s="20" t="s">
        <v>4224</v>
      </c>
      <c r="C2118" s="7" t="s">
        <v>4320</v>
      </c>
      <c r="D2118" s="7" t="s">
        <v>538</v>
      </c>
      <c r="E2118" s="18"/>
      <c r="F2118" s="11">
        <f>IF(HOUR(Table1[[#This Row],[CORREO]])&gt;=11,WORKDAY(Table1[[#This Row],[CORREO]],1,Table2[Dias no laborales]),E2118)</f>
        <v>0</v>
      </c>
      <c r="G2118" s="11">
        <v>46156</v>
      </c>
      <c r="H2118" s="7">
        <f t="shared" si="103"/>
        <v>19</v>
      </c>
      <c r="I2118" s="7">
        <f>MAX(1, NETWORKDAYS(A2118, G2118,Table2[Dias no laborales]))</f>
        <v>5</v>
      </c>
      <c r="J2118" s="7" t="str">
        <f>IF(Table1[[#This Row],[FIN]]="","Acumulado",IF(ISNUMBER(SEARCH("ASAP",C2118)),"ASAP",IF(NETWORKDAYS.INTL(F2118,G2118,1,Table2[Dias no laborales]) &lt;= 7, "Dentro", IF(A2118&gt;F2118,"Programado","Fuera"))))</f>
        <v>Programado</v>
      </c>
      <c r="K2118" s="7" t="str">
        <f t="shared" si="104"/>
        <v>Programados</v>
      </c>
      <c r="L2118" s="11">
        <v>46150</v>
      </c>
      <c r="M2118" s="22">
        <f>MAX(1,NETWORKDAYS(A2118,L2118,Table2[Dias no laborales]))</f>
        <v>1</v>
      </c>
    </row>
    <row r="2119" spans="1:13" x14ac:dyDescent="0.3">
      <c r="A2119" s="11">
        <v>46150</v>
      </c>
      <c r="B2119" s="20" t="s">
        <v>4225</v>
      </c>
      <c r="C2119" s="7" t="s">
        <v>4321</v>
      </c>
      <c r="D2119" s="7" t="s">
        <v>27</v>
      </c>
      <c r="E2119" s="18">
        <v>46150.51458333333</v>
      </c>
      <c r="F2119" s="11">
        <f>IF(HOUR(Table1[[#This Row],[CORREO]])&gt;=11,WORKDAY(Table1[[#This Row],[CORREO]],1,Table2[Dias no laborales]),E2119)</f>
        <v>46153</v>
      </c>
      <c r="G2119" s="11">
        <v>46150</v>
      </c>
      <c r="H2119" s="7">
        <f t="shared" si="103"/>
        <v>19</v>
      </c>
      <c r="I2119" s="7">
        <f>MAX(1, NETWORKDAYS(A2119, G2119,Table2[Dias no laborales]))</f>
        <v>1</v>
      </c>
      <c r="J2119" s="7" t="str">
        <f>IF(Table1[[#This Row],[FIN]]="","Acumulado",IF(ISNUMBER(SEARCH("ASAP",C2119)),"ASAP",IF(NETWORKDAYS.INTL(F2119,G2119,1,Table2[Dias no laborales]) &lt;= 7, "Dentro", IF(A2119&gt;F2119,"Programado","Fuera"))))</f>
        <v>Dentro</v>
      </c>
      <c r="K2119" s="7" t="str">
        <f t="shared" si="104"/>
        <v>Mismo día</v>
      </c>
      <c r="L2119" s="11">
        <v>46150</v>
      </c>
      <c r="M2119" s="22">
        <f>MAX(1,NETWORKDAYS(A2119,L2119,Table2[Dias no laborales]))</f>
        <v>1</v>
      </c>
    </row>
    <row r="2120" spans="1:13" x14ac:dyDescent="0.3">
      <c r="A2120" s="11">
        <v>46150</v>
      </c>
      <c r="B2120" s="20" t="s">
        <v>4226</v>
      </c>
      <c r="C2120" s="7" t="s">
        <v>4322</v>
      </c>
      <c r="D2120" s="7" t="s">
        <v>24</v>
      </c>
      <c r="E2120" s="18">
        <v>46150.336805555555</v>
      </c>
      <c r="F2120" s="11">
        <f>IF(HOUR(Table1[[#This Row],[CORREO]])&gt;=11,WORKDAY(Table1[[#This Row],[CORREO]],1,Table2[Dias no laborales]),E2120)</f>
        <v>46150.336805555555</v>
      </c>
      <c r="G2120" s="11">
        <v>46157</v>
      </c>
      <c r="H2120" s="7">
        <f t="shared" si="103"/>
        <v>19</v>
      </c>
      <c r="I2120" s="7">
        <f>MAX(1, NETWORKDAYS(A2120, G2120,Table2[Dias no laborales]))</f>
        <v>6</v>
      </c>
      <c r="J2120" s="7" t="str">
        <f>IF(Table1[[#This Row],[FIN]]="","Acumulado",IF(ISNUMBER(SEARCH("ASAP",C2120)),"ASAP",IF(NETWORKDAYS.INTL(F2120,G2120,1,Table2[Dias no laborales]) &lt;= 7, "Dentro", IF(A2120&gt;F2120,"Programado","Fuera"))))</f>
        <v>Dentro</v>
      </c>
      <c r="K2120" s="7" t="str">
        <f t="shared" si="104"/>
        <v>A tiempo</v>
      </c>
      <c r="L2120" s="11">
        <v>46150</v>
      </c>
      <c r="M2120" s="22">
        <f>MAX(1,NETWORKDAYS(A2120,L2120,Table2[Dias no laborales]))</f>
        <v>1</v>
      </c>
    </row>
    <row r="2121" spans="1:13" x14ac:dyDescent="0.3">
      <c r="A2121" s="11">
        <v>46153</v>
      </c>
      <c r="B2121" s="20" t="s">
        <v>4227</v>
      </c>
      <c r="C2121" s="7" t="s">
        <v>4323</v>
      </c>
      <c r="D2121" s="7" t="s">
        <v>18</v>
      </c>
      <c r="E2121" s="18"/>
      <c r="F2121" s="11">
        <f>IF(HOUR(Table1[[#This Row],[CORREO]])&gt;=11,WORKDAY(Table1[[#This Row],[CORREO]],1,Table2[Dias no laborales]),E2121)</f>
        <v>0</v>
      </c>
      <c r="G2121" s="11">
        <v>46153</v>
      </c>
      <c r="H2121" s="7">
        <f t="shared" si="103"/>
        <v>19</v>
      </c>
      <c r="I2121" s="7">
        <f>MAX(1, NETWORKDAYS(A2121, G2121,Table2[Dias no laborales]))</f>
        <v>1</v>
      </c>
      <c r="J2121" s="7" t="str">
        <f>IF(Table1[[#This Row],[FIN]]="","Acumulado",IF(ISNUMBER(SEARCH("ASAP",C2121)),"ASAP",IF(NETWORKDAYS.INTL(F2121,G2121,1,Table2[Dias no laborales]) &lt;= 7, "Dentro", IF(A2121&gt;F2121,"Programado","Fuera"))))</f>
        <v>Programado</v>
      </c>
      <c r="K2121" s="7" t="str">
        <f t="shared" si="104"/>
        <v>Programados</v>
      </c>
      <c r="L2121" s="11">
        <v>46153</v>
      </c>
      <c r="M2121" s="22">
        <f>MAX(1,NETWORKDAYS(A2121,L2121,Table2[Dias no laborales]))</f>
        <v>1</v>
      </c>
    </row>
    <row r="2122" spans="1:13" x14ac:dyDescent="0.3">
      <c r="A2122" s="11">
        <v>46153</v>
      </c>
      <c r="B2122" s="20" t="s">
        <v>4228</v>
      </c>
      <c r="C2122" s="7" t="s">
        <v>4311</v>
      </c>
      <c r="D2122" s="7" t="s">
        <v>2623</v>
      </c>
      <c r="E2122" s="18"/>
      <c r="F2122" s="11">
        <f>IF(HOUR(Table1[[#This Row],[CORREO]])&gt;=11,WORKDAY(Table1[[#This Row],[CORREO]],1,Table2[Dias no laborales]),E2122)</f>
        <v>0</v>
      </c>
      <c r="G2122" s="11">
        <v>46153</v>
      </c>
      <c r="H2122" s="7">
        <f t="shared" ref="H2122:H2151" si="105">INT((A2122-DATE(YEAR(A2122),1,1))/7) + 1</f>
        <v>19</v>
      </c>
      <c r="I2122" s="7">
        <f>MAX(1, NETWORKDAYS(A2122, G2122,Table2[Dias no laborales]))</f>
        <v>1</v>
      </c>
      <c r="J2122" s="7" t="str">
        <f>IF(Table1[[#This Row],[FIN]]="","Acumulado",IF(ISNUMBER(SEARCH("ASAP",C2122)),"ASAP",IF(NETWORKDAYS.INTL(F2122,G2122,1,Table2[Dias no laborales]) &lt;= 7, "Dentro", IF(A2122&gt;F2122,"Programado","Fuera"))))</f>
        <v>Programado</v>
      </c>
      <c r="K2122" s="7" t="str">
        <f t="shared" ref="K2122:K2151" si="106">IF(INT(A2122)=INT(F2122),"A tiempo", IF(A2122&lt;F2122,"Mismo día","Programados"))</f>
        <v>Programados</v>
      </c>
      <c r="L2122" s="11">
        <v>46153</v>
      </c>
      <c r="M2122" s="22">
        <f>MAX(1,NETWORKDAYS(A2122,L2122,Table2[Dias no laborales]))</f>
        <v>1</v>
      </c>
    </row>
    <row r="2123" spans="1:13" x14ac:dyDescent="0.3">
      <c r="A2123" s="11">
        <v>46153</v>
      </c>
      <c r="B2123" s="20" t="s">
        <v>4229</v>
      </c>
      <c r="C2123" s="7" t="s">
        <v>4324</v>
      </c>
      <c r="D2123" s="7" t="s">
        <v>482</v>
      </c>
      <c r="E2123" s="18"/>
      <c r="F2123" s="11">
        <f>IF(HOUR(Table1[[#This Row],[CORREO]])&gt;=11,WORKDAY(Table1[[#This Row],[CORREO]],1,Table2[Dias no laborales]),E2123)</f>
        <v>0</v>
      </c>
      <c r="G2123" s="11">
        <v>46156</v>
      </c>
      <c r="H2123" s="7">
        <f t="shared" si="105"/>
        <v>19</v>
      </c>
      <c r="I2123" s="7">
        <f>MAX(1, NETWORKDAYS(A2123, G2123,Table2[Dias no laborales]))</f>
        <v>4</v>
      </c>
      <c r="J2123" s="7" t="str">
        <f>IF(Table1[[#This Row],[FIN]]="","Acumulado",IF(ISNUMBER(SEARCH("ASAP",C2123)),"ASAP",IF(NETWORKDAYS.INTL(F2123,G2123,1,Table2[Dias no laborales]) &lt;= 7, "Dentro", IF(A2123&gt;F2123,"Programado","Fuera"))))</f>
        <v>Programado</v>
      </c>
      <c r="K2123" s="7" t="str">
        <f t="shared" si="106"/>
        <v>Programados</v>
      </c>
      <c r="L2123" s="11">
        <v>46153</v>
      </c>
      <c r="M2123" s="22">
        <f>MAX(1,NETWORKDAYS(A2123,L2123,Table2[Dias no laborales]))</f>
        <v>1</v>
      </c>
    </row>
    <row r="2124" spans="1:13" x14ac:dyDescent="0.3">
      <c r="A2124" s="11">
        <v>46153</v>
      </c>
      <c r="B2124" s="20" t="s">
        <v>4230</v>
      </c>
      <c r="C2124" s="7" t="s">
        <v>4325</v>
      </c>
      <c r="D2124" s="7" t="s">
        <v>89</v>
      </c>
      <c r="E2124" s="18"/>
      <c r="F2124" s="11">
        <f>IF(HOUR(Table1[[#This Row],[CORREO]])&gt;=11,WORKDAY(Table1[[#This Row],[CORREO]],1,Table2[Dias no laborales]),E2124)</f>
        <v>0</v>
      </c>
      <c r="G2124" s="11">
        <v>46153</v>
      </c>
      <c r="H2124" s="7">
        <f t="shared" si="105"/>
        <v>19</v>
      </c>
      <c r="I2124" s="7">
        <f>MAX(1, NETWORKDAYS(A2124, G2124,Table2[Dias no laborales]))</f>
        <v>1</v>
      </c>
      <c r="J2124" s="7" t="str">
        <f>IF(Table1[[#This Row],[FIN]]="","Acumulado",IF(ISNUMBER(SEARCH("ASAP",C2124)),"ASAP",IF(NETWORKDAYS.INTL(F2124,G2124,1,Table2[Dias no laborales]) &lt;= 7, "Dentro", IF(A2124&gt;F2124,"Programado","Fuera"))))</f>
        <v>Programado</v>
      </c>
      <c r="K2124" s="7" t="str">
        <f t="shared" si="106"/>
        <v>Programados</v>
      </c>
      <c r="L2124" s="11">
        <v>46153</v>
      </c>
      <c r="M2124" s="22">
        <f>MAX(1,NETWORKDAYS(A2124,L2124,Table2[Dias no laborales]))</f>
        <v>1</v>
      </c>
    </row>
    <row r="2125" spans="1:13" x14ac:dyDescent="0.3">
      <c r="A2125" s="11">
        <v>46153</v>
      </c>
      <c r="B2125" s="20" t="s">
        <v>4231</v>
      </c>
      <c r="C2125" s="7" t="s">
        <v>4326</v>
      </c>
      <c r="D2125" s="7" t="s">
        <v>191</v>
      </c>
      <c r="E2125" s="18"/>
      <c r="F2125" s="11">
        <f>IF(HOUR(Table1[[#This Row],[CORREO]])&gt;=11,WORKDAY(Table1[[#This Row],[CORREO]],1,Table2[Dias no laborales]),E2125)</f>
        <v>0</v>
      </c>
      <c r="G2125" s="11">
        <v>46154</v>
      </c>
      <c r="H2125" s="7">
        <f t="shared" si="105"/>
        <v>19</v>
      </c>
      <c r="I2125" s="7">
        <f>MAX(1, NETWORKDAYS(A2125, G2125,Table2[Dias no laborales]))</f>
        <v>2</v>
      </c>
      <c r="J2125" s="7" t="str">
        <f>IF(Table1[[#This Row],[FIN]]="","Acumulado",IF(ISNUMBER(SEARCH("ASAP",C2125)),"ASAP",IF(NETWORKDAYS.INTL(F2125,G2125,1,Table2[Dias no laborales]) &lt;= 7, "Dentro", IF(A2125&gt;F2125,"Programado","Fuera"))))</f>
        <v>Programado</v>
      </c>
      <c r="K2125" s="7" t="str">
        <f t="shared" si="106"/>
        <v>Programados</v>
      </c>
      <c r="L2125" s="11">
        <v>46153</v>
      </c>
      <c r="M2125" s="22">
        <f>MAX(1,NETWORKDAYS(A2125,L2125,Table2[Dias no laborales]))</f>
        <v>1</v>
      </c>
    </row>
    <row r="2126" spans="1:13" x14ac:dyDescent="0.3">
      <c r="A2126" s="11">
        <v>46153</v>
      </c>
      <c r="B2126" s="20" t="s">
        <v>4232</v>
      </c>
      <c r="C2126" s="7" t="s">
        <v>1107</v>
      </c>
      <c r="D2126" s="7" t="s">
        <v>37</v>
      </c>
      <c r="E2126" s="18">
        <v>46150.488194444442</v>
      </c>
      <c r="F2126" s="11">
        <f>IF(HOUR(Table1[[#This Row],[CORREO]])&gt;=11,WORKDAY(Table1[[#This Row],[CORREO]],1,Table2[Dias no laborales]),E2126)</f>
        <v>46153</v>
      </c>
      <c r="G2126" s="11">
        <v>46154</v>
      </c>
      <c r="H2126" s="7">
        <f t="shared" si="105"/>
        <v>19</v>
      </c>
      <c r="I2126" s="7">
        <f>MAX(1, NETWORKDAYS(A2126, G2126,Table2[Dias no laborales]))</f>
        <v>2</v>
      </c>
      <c r="J2126" s="7" t="str">
        <f>IF(Table1[[#This Row],[FIN]]="","Acumulado",IF(ISNUMBER(SEARCH("ASAP",C2126)),"ASAP",IF(NETWORKDAYS.INTL(F2126,G2126,1,Table2[Dias no laborales]) &lt;= 7, "Dentro", IF(A2126&gt;F2126,"Programado","Fuera"))))</f>
        <v>Dentro</v>
      </c>
      <c r="K2126" s="7" t="str">
        <f t="shared" si="106"/>
        <v>A tiempo</v>
      </c>
      <c r="L2126" s="11">
        <v>46153</v>
      </c>
      <c r="M2126" s="22">
        <f>MAX(1,NETWORKDAYS(A2126,L2126,Table2[Dias no laborales]))</f>
        <v>1</v>
      </c>
    </row>
    <row r="2127" spans="1:13" x14ac:dyDescent="0.3">
      <c r="A2127" s="11">
        <v>46153</v>
      </c>
      <c r="B2127" s="20" t="s">
        <v>4233</v>
      </c>
      <c r="C2127" s="7" t="s">
        <v>4327</v>
      </c>
      <c r="D2127" s="7" t="s">
        <v>351</v>
      </c>
      <c r="E2127" s="18">
        <v>46153.384722222225</v>
      </c>
      <c r="F2127" s="11">
        <f>IF(HOUR(Table1[[#This Row],[CORREO]])&gt;=11,WORKDAY(Table1[[#This Row],[CORREO]],1,Table2[Dias no laborales]),E2127)</f>
        <v>46153.384722222225</v>
      </c>
      <c r="G2127" s="11">
        <v>46153</v>
      </c>
      <c r="H2127" s="7">
        <f t="shared" si="105"/>
        <v>19</v>
      </c>
      <c r="I2127" s="7">
        <f>MAX(1, NETWORKDAYS(A2127, G2127,Table2[Dias no laborales]))</f>
        <v>1</v>
      </c>
      <c r="J2127" s="7" t="str">
        <f>IF(Table1[[#This Row],[FIN]]="","Acumulado",IF(ISNUMBER(SEARCH("ASAP",C2127)),"ASAP",IF(NETWORKDAYS.INTL(F2127,G2127,1,Table2[Dias no laborales]) &lt;= 7, "Dentro", IF(A2127&gt;F2127,"Programado","Fuera"))))</f>
        <v>Dentro</v>
      </c>
      <c r="K2127" s="7" t="str">
        <f t="shared" si="106"/>
        <v>A tiempo</v>
      </c>
      <c r="L2127" s="11">
        <v>46153</v>
      </c>
      <c r="M2127" s="22">
        <f>MAX(1,NETWORKDAYS(A2127,L2127,Table2[Dias no laborales]))</f>
        <v>1</v>
      </c>
    </row>
    <row r="2128" spans="1:13" x14ac:dyDescent="0.3">
      <c r="A2128" s="11">
        <v>46153</v>
      </c>
      <c r="B2128" s="20" t="s">
        <v>4234</v>
      </c>
      <c r="C2128" s="7" t="s">
        <v>4328</v>
      </c>
      <c r="D2128" s="7" t="s">
        <v>414</v>
      </c>
      <c r="E2128" s="18">
        <v>46153.388888888891</v>
      </c>
      <c r="F2128" s="11">
        <f>IF(HOUR(Table1[[#This Row],[CORREO]])&gt;=11,WORKDAY(Table1[[#This Row],[CORREO]],1,Table2[Dias no laborales]),E2128)</f>
        <v>46153.388888888891</v>
      </c>
      <c r="G2128" s="11">
        <v>46157</v>
      </c>
      <c r="H2128" s="7">
        <f t="shared" si="105"/>
        <v>19</v>
      </c>
      <c r="I2128" s="7">
        <f>MAX(1, NETWORKDAYS(A2128, G2128,Table2[Dias no laborales]))</f>
        <v>5</v>
      </c>
      <c r="J2128" s="7" t="str">
        <f>IF(Table1[[#This Row],[FIN]]="","Acumulado",IF(ISNUMBER(SEARCH("ASAP",C2128)),"ASAP",IF(NETWORKDAYS.INTL(F2128,G2128,1,Table2[Dias no laborales]) &lt;= 7, "Dentro", IF(A2128&gt;F2128,"Programado","Fuera"))))</f>
        <v>Dentro</v>
      </c>
      <c r="K2128" s="7" t="str">
        <f t="shared" si="106"/>
        <v>A tiempo</v>
      </c>
      <c r="L2128" s="11">
        <v>46153</v>
      </c>
      <c r="M2128" s="22">
        <f>MAX(1,NETWORKDAYS(A2128,L2128,Table2[Dias no laborales]))</f>
        <v>1</v>
      </c>
    </row>
    <row r="2129" spans="1:13" x14ac:dyDescent="0.3">
      <c r="A2129" s="11">
        <v>46153</v>
      </c>
      <c r="B2129" s="20" t="s">
        <v>4235</v>
      </c>
      <c r="C2129" s="7" t="s">
        <v>4329</v>
      </c>
      <c r="D2129" s="7" t="s">
        <v>414</v>
      </c>
      <c r="E2129" s="18">
        <v>46153.412499999999</v>
      </c>
      <c r="F2129" s="11">
        <f>IF(HOUR(Table1[[#This Row],[CORREO]])&gt;=11,WORKDAY(Table1[[#This Row],[CORREO]],1,Table2[Dias no laborales]),E2129)</f>
        <v>46153.412499999999</v>
      </c>
      <c r="G2129" s="11">
        <v>46157</v>
      </c>
      <c r="H2129" s="7">
        <f t="shared" si="105"/>
        <v>19</v>
      </c>
      <c r="I2129" s="7">
        <f>MAX(1, NETWORKDAYS(A2129, G2129,Table2[Dias no laborales]))</f>
        <v>5</v>
      </c>
      <c r="J2129" s="7" t="str">
        <f>IF(Table1[[#This Row],[FIN]]="","Acumulado",IF(ISNUMBER(SEARCH("ASAP",C2129)),"ASAP",IF(NETWORKDAYS.INTL(F2129,G2129,1,Table2[Dias no laborales]) &lt;= 7, "Dentro", IF(A2129&gt;F2129,"Programado","Fuera"))))</f>
        <v>Dentro</v>
      </c>
      <c r="K2129" s="7" t="str">
        <f t="shared" si="106"/>
        <v>A tiempo</v>
      </c>
      <c r="L2129" s="11">
        <v>46153</v>
      </c>
      <c r="M2129" s="22">
        <f>MAX(1,NETWORKDAYS(A2129,L2129,Table2[Dias no laborales]))</f>
        <v>1</v>
      </c>
    </row>
    <row r="2130" spans="1:13" x14ac:dyDescent="0.3">
      <c r="A2130" s="11">
        <v>46153</v>
      </c>
      <c r="B2130" s="20" t="s">
        <v>4236</v>
      </c>
      <c r="C2130" s="7" t="s">
        <v>4330</v>
      </c>
      <c r="D2130" s="7" t="s">
        <v>27</v>
      </c>
      <c r="E2130" s="18"/>
      <c r="F2130" s="11">
        <f>IF(HOUR(Table1[[#This Row],[CORREO]])&gt;=11,WORKDAY(Table1[[#This Row],[CORREO]],1,Table2[Dias no laborales]),E2130)</f>
        <v>0</v>
      </c>
      <c r="G2130" s="11">
        <v>46157</v>
      </c>
      <c r="H2130" s="7">
        <f t="shared" si="105"/>
        <v>19</v>
      </c>
      <c r="I2130" s="7">
        <f>MAX(1, NETWORKDAYS(A2130, G2130,Table2[Dias no laborales]))</f>
        <v>5</v>
      </c>
      <c r="J2130" s="7" t="str">
        <f>IF(Table1[[#This Row],[FIN]]="","Acumulado",IF(ISNUMBER(SEARCH("ASAP",C2130)),"ASAP",IF(NETWORKDAYS.INTL(F2130,G2130,1,Table2[Dias no laborales]) &lt;= 7, "Dentro", IF(A2130&gt;F2130,"Programado","Fuera"))))</f>
        <v>Programado</v>
      </c>
      <c r="K2130" s="7" t="str">
        <f t="shared" si="106"/>
        <v>Programados</v>
      </c>
      <c r="L2130" s="11">
        <v>46153</v>
      </c>
      <c r="M2130" s="22">
        <f>MAX(1,NETWORKDAYS(A2130,L2130,Table2[Dias no laborales]))</f>
        <v>1</v>
      </c>
    </row>
    <row r="2131" spans="1:13" x14ac:dyDescent="0.3">
      <c r="A2131" s="11">
        <v>46153</v>
      </c>
      <c r="B2131" s="20" t="s">
        <v>4237</v>
      </c>
      <c r="C2131" s="7" t="s">
        <v>4331</v>
      </c>
      <c r="D2131" s="7" t="s">
        <v>27</v>
      </c>
      <c r="E2131" s="18"/>
      <c r="F2131" s="11">
        <f>IF(HOUR(Table1[[#This Row],[CORREO]])&gt;=11,WORKDAY(Table1[[#This Row],[CORREO]],1,Table2[Dias no laborales]),E2131)</f>
        <v>0</v>
      </c>
      <c r="G2131" s="11">
        <v>46157</v>
      </c>
      <c r="H2131" s="7">
        <f t="shared" si="105"/>
        <v>19</v>
      </c>
      <c r="I2131" s="7">
        <f>MAX(1, NETWORKDAYS(A2131, G2131,Table2[Dias no laborales]))</f>
        <v>5</v>
      </c>
      <c r="J2131" s="7" t="str">
        <f>IF(Table1[[#This Row],[FIN]]="","Acumulado",IF(ISNUMBER(SEARCH("ASAP",C2131)),"ASAP",IF(NETWORKDAYS.INTL(F2131,G2131,1,Table2[Dias no laborales]) &lt;= 7, "Dentro", IF(A2131&gt;F2131,"Programado","Fuera"))))</f>
        <v>Programado</v>
      </c>
      <c r="K2131" s="7" t="str">
        <f t="shared" si="106"/>
        <v>Programados</v>
      </c>
      <c r="L2131" s="11">
        <v>46153</v>
      </c>
      <c r="M2131" s="22">
        <f>MAX(1,NETWORKDAYS(A2131,L2131,Table2[Dias no laborales]))</f>
        <v>1</v>
      </c>
    </row>
    <row r="2132" spans="1:13" x14ac:dyDescent="0.3">
      <c r="A2132" s="11">
        <v>46153</v>
      </c>
      <c r="B2132" s="20" t="s">
        <v>4238</v>
      </c>
      <c r="C2132" s="7" t="s">
        <v>4332</v>
      </c>
      <c r="D2132" s="7" t="s">
        <v>27</v>
      </c>
      <c r="E2132" s="18"/>
      <c r="F2132" s="11">
        <f>IF(HOUR(Table1[[#This Row],[CORREO]])&gt;=11,WORKDAY(Table1[[#This Row],[CORREO]],1,Table2[Dias no laborales]),E2132)</f>
        <v>0</v>
      </c>
      <c r="G2132" s="11">
        <v>46157</v>
      </c>
      <c r="H2132" s="7">
        <f t="shared" si="105"/>
        <v>19</v>
      </c>
      <c r="I2132" s="7">
        <f>MAX(1, NETWORKDAYS(A2132, G2132,Table2[Dias no laborales]))</f>
        <v>5</v>
      </c>
      <c r="J2132" s="7" t="str">
        <f>IF(Table1[[#This Row],[FIN]]="","Acumulado",IF(ISNUMBER(SEARCH("ASAP",C2132)),"ASAP",IF(NETWORKDAYS.INTL(F2132,G2132,1,Table2[Dias no laborales]) &lt;= 7, "Dentro", IF(A2132&gt;F2132,"Programado","Fuera"))))</f>
        <v>Programado</v>
      </c>
      <c r="K2132" s="7" t="str">
        <f t="shared" si="106"/>
        <v>Programados</v>
      </c>
      <c r="L2132" s="11">
        <v>46153</v>
      </c>
      <c r="M2132" s="22">
        <f>MAX(1,NETWORKDAYS(A2132,L2132,Table2[Dias no laborales]))</f>
        <v>1</v>
      </c>
    </row>
    <row r="2133" spans="1:13" x14ac:dyDescent="0.3">
      <c r="A2133" s="11">
        <v>46153</v>
      </c>
      <c r="B2133" s="20" t="s">
        <v>4239</v>
      </c>
      <c r="C2133" s="7" t="s">
        <v>4333</v>
      </c>
      <c r="D2133" s="7" t="s">
        <v>27</v>
      </c>
      <c r="E2133" s="18"/>
      <c r="F2133" s="11">
        <f>IF(HOUR(Table1[[#This Row],[CORREO]])&gt;=11,WORKDAY(Table1[[#This Row],[CORREO]],1,Table2[Dias no laborales]),E2133)</f>
        <v>0</v>
      </c>
      <c r="G2133" s="11">
        <v>46157</v>
      </c>
      <c r="H2133" s="7">
        <f t="shared" si="105"/>
        <v>19</v>
      </c>
      <c r="I2133" s="7">
        <f>MAX(1, NETWORKDAYS(A2133, G2133,Table2[Dias no laborales]))</f>
        <v>5</v>
      </c>
      <c r="J2133" s="7" t="str">
        <f>IF(Table1[[#This Row],[FIN]]="","Acumulado",IF(ISNUMBER(SEARCH("ASAP",C2133)),"ASAP",IF(NETWORKDAYS.INTL(F2133,G2133,1,Table2[Dias no laborales]) &lt;= 7, "Dentro", IF(A2133&gt;F2133,"Programado","Fuera"))))</f>
        <v>Programado</v>
      </c>
      <c r="K2133" s="7" t="str">
        <f t="shared" si="106"/>
        <v>Programados</v>
      </c>
      <c r="L2133" s="11">
        <v>46153</v>
      </c>
      <c r="M2133" s="22">
        <f>MAX(1,NETWORKDAYS(A2133,L2133,Table2[Dias no laborales]))</f>
        <v>1</v>
      </c>
    </row>
    <row r="2134" spans="1:13" x14ac:dyDescent="0.3">
      <c r="A2134" s="11">
        <v>46153</v>
      </c>
      <c r="B2134" s="20" t="s">
        <v>4240</v>
      </c>
      <c r="C2134" s="7" t="s">
        <v>4334</v>
      </c>
      <c r="D2134" s="7" t="s">
        <v>4335</v>
      </c>
      <c r="E2134" s="18">
        <v>46153.425694444442</v>
      </c>
      <c r="F2134" s="11">
        <f>IF(HOUR(Table1[[#This Row],[CORREO]])&gt;=11,WORKDAY(Table1[[#This Row],[CORREO]],1,Table2[Dias no laborales]),E2134)</f>
        <v>46153.425694444442</v>
      </c>
      <c r="G2134" s="11">
        <v>46155</v>
      </c>
      <c r="H2134" s="7">
        <f t="shared" si="105"/>
        <v>19</v>
      </c>
      <c r="I2134" s="7">
        <f>MAX(1, NETWORKDAYS(A2134, G2134,Table2[Dias no laborales]))</f>
        <v>3</v>
      </c>
      <c r="J2134" s="7" t="str">
        <f>IF(Table1[[#This Row],[FIN]]="","Acumulado",IF(ISNUMBER(SEARCH("ASAP",C2134)),"ASAP",IF(NETWORKDAYS.INTL(F2134,G2134,1,Table2[Dias no laborales]) &lt;= 7, "Dentro", IF(A2134&gt;F2134,"Programado","Fuera"))))</f>
        <v>Dentro</v>
      </c>
      <c r="K2134" s="7" t="str">
        <f t="shared" si="106"/>
        <v>A tiempo</v>
      </c>
      <c r="L2134" s="11">
        <v>46154</v>
      </c>
      <c r="M2134" s="22">
        <f>MAX(1,NETWORKDAYS(A2134,L2134,Table2[Dias no laborales]))</f>
        <v>2</v>
      </c>
    </row>
    <row r="2135" spans="1:13" x14ac:dyDescent="0.3">
      <c r="A2135" s="11">
        <v>46153</v>
      </c>
      <c r="B2135" s="20" t="s">
        <v>4241</v>
      </c>
      <c r="C2135" s="7" t="s">
        <v>4336</v>
      </c>
      <c r="D2135" s="7" t="s">
        <v>24</v>
      </c>
      <c r="E2135" s="18"/>
      <c r="F2135" s="11">
        <f>IF(HOUR(Table1[[#This Row],[CORREO]])&gt;=11,WORKDAY(Table1[[#This Row],[CORREO]],1,Table2[Dias no laborales]),E2135)</f>
        <v>0</v>
      </c>
      <c r="G2135" s="11">
        <v>46157</v>
      </c>
      <c r="H2135" s="7">
        <f t="shared" si="105"/>
        <v>19</v>
      </c>
      <c r="I2135" s="7">
        <f>MAX(1, NETWORKDAYS(A2135, G2135,Table2[Dias no laborales]))</f>
        <v>5</v>
      </c>
      <c r="J2135" s="7" t="str">
        <f>IF(Table1[[#This Row],[FIN]]="","Acumulado",IF(ISNUMBER(SEARCH("ASAP",C2135)),"ASAP",IF(NETWORKDAYS.INTL(F2135,G2135,1,Table2[Dias no laborales]) &lt;= 7, "Dentro", IF(A2135&gt;F2135,"Programado","Fuera"))))</f>
        <v>Programado</v>
      </c>
      <c r="K2135" s="7" t="str">
        <f t="shared" si="106"/>
        <v>Programados</v>
      </c>
      <c r="L2135" s="11">
        <v>46153</v>
      </c>
      <c r="M2135" s="22">
        <f>MAX(1,NETWORKDAYS(A2135,L2135,Table2[Dias no laborales]))</f>
        <v>1</v>
      </c>
    </row>
    <row r="2136" spans="1:13" x14ac:dyDescent="0.3">
      <c r="A2136" s="11">
        <v>46154</v>
      </c>
      <c r="B2136" s="20" t="s">
        <v>4242</v>
      </c>
      <c r="C2136" s="7" t="s">
        <v>4323</v>
      </c>
      <c r="D2136" s="7" t="s">
        <v>18</v>
      </c>
      <c r="E2136" s="18"/>
      <c r="F2136" s="11">
        <f>IF(HOUR(Table1[[#This Row],[CORREO]])&gt;=11,WORKDAY(Table1[[#This Row],[CORREO]],1,Table2[Dias no laborales]),E2136)</f>
        <v>0</v>
      </c>
      <c r="G2136" s="11">
        <v>46154</v>
      </c>
      <c r="H2136" s="7">
        <f t="shared" si="105"/>
        <v>19</v>
      </c>
      <c r="I2136" s="7">
        <f>MAX(1, NETWORKDAYS(A2136, G2136,Table2[Dias no laborales]))</f>
        <v>1</v>
      </c>
      <c r="J2136" s="7" t="str">
        <f>IF(Table1[[#This Row],[FIN]]="","Acumulado",IF(ISNUMBER(SEARCH("ASAP",C2136)),"ASAP",IF(NETWORKDAYS.INTL(F2136,G2136,1,Table2[Dias no laborales]) &lt;= 7, "Dentro", IF(A2136&gt;F2136,"Programado","Fuera"))))</f>
        <v>Programado</v>
      </c>
      <c r="K2136" s="7" t="str">
        <f t="shared" si="106"/>
        <v>Programados</v>
      </c>
      <c r="L2136" s="11">
        <v>46154</v>
      </c>
      <c r="M2136" s="22">
        <f>MAX(1,NETWORKDAYS(A2136,L2136,Table2[Dias no laborales]))</f>
        <v>1</v>
      </c>
    </row>
    <row r="2137" spans="1:13" x14ac:dyDescent="0.3">
      <c r="A2137" s="11">
        <v>46154</v>
      </c>
      <c r="B2137" s="20" t="s">
        <v>4243</v>
      </c>
      <c r="C2137" s="7" t="s">
        <v>4337</v>
      </c>
      <c r="D2137" s="7" t="s">
        <v>269</v>
      </c>
      <c r="E2137" s="18">
        <v>46154.333333333336</v>
      </c>
      <c r="F2137" s="11">
        <f>IF(HOUR(Table1[[#This Row],[CORREO]])&gt;=11,WORKDAY(Table1[[#This Row],[CORREO]],1,Table2[Dias no laborales]),E2137)</f>
        <v>46154.333333333336</v>
      </c>
      <c r="G2137" s="11">
        <v>46154</v>
      </c>
      <c r="H2137" s="7">
        <f t="shared" si="105"/>
        <v>19</v>
      </c>
      <c r="I2137" s="7">
        <f>MAX(1, NETWORKDAYS(A2137, G2137,Table2[Dias no laborales]))</f>
        <v>1</v>
      </c>
      <c r="J2137" s="7" t="str">
        <f>IF(Table1[[#This Row],[FIN]]="","Acumulado",IF(ISNUMBER(SEARCH("ASAP",C2137)),"ASAP",IF(NETWORKDAYS.INTL(F2137,G2137,1,Table2[Dias no laborales]) &lt;= 7, "Dentro", IF(A2137&gt;F2137,"Programado","Fuera"))))</f>
        <v>Dentro</v>
      </c>
      <c r="K2137" s="7" t="str">
        <f t="shared" si="106"/>
        <v>A tiempo</v>
      </c>
      <c r="L2137" s="11">
        <v>46154</v>
      </c>
      <c r="M2137" s="22">
        <f>MAX(1,NETWORKDAYS(A2137,L2137,Table2[Dias no laborales]))</f>
        <v>1</v>
      </c>
    </row>
    <row r="2138" spans="1:13" x14ac:dyDescent="0.3">
      <c r="A2138" s="11">
        <v>46154</v>
      </c>
      <c r="B2138" s="20" t="s">
        <v>4244</v>
      </c>
      <c r="C2138" s="7" t="s">
        <v>4338</v>
      </c>
      <c r="D2138" s="7" t="s">
        <v>1136</v>
      </c>
      <c r="E2138" s="18">
        <v>46154.342361111114</v>
      </c>
      <c r="F2138" s="11">
        <f>IF(HOUR(Table1[[#This Row],[CORREO]])&gt;=11,WORKDAY(Table1[[#This Row],[CORREO]],1,Table2[Dias no laborales]),E2138)</f>
        <v>46154.342361111114</v>
      </c>
      <c r="G2138" s="11">
        <v>46154</v>
      </c>
      <c r="H2138" s="7">
        <f t="shared" si="105"/>
        <v>19</v>
      </c>
      <c r="I2138" s="7">
        <f>MAX(1, NETWORKDAYS(A2138, G2138,Table2[Dias no laborales]))</f>
        <v>1</v>
      </c>
      <c r="J2138" s="7" t="str">
        <f>IF(Table1[[#This Row],[FIN]]="","Acumulado",IF(ISNUMBER(SEARCH("ASAP",C2138)),"ASAP",IF(NETWORKDAYS.INTL(F2138,G2138,1,Table2[Dias no laborales]) &lt;= 7, "Dentro", IF(A2138&gt;F2138,"Programado","Fuera"))))</f>
        <v>Dentro</v>
      </c>
      <c r="K2138" s="7" t="str">
        <f t="shared" si="106"/>
        <v>A tiempo</v>
      </c>
      <c r="L2138" s="11">
        <v>46154</v>
      </c>
      <c r="M2138" s="22">
        <f>MAX(1,NETWORKDAYS(A2138,L2138,Table2[Dias no laborales]))</f>
        <v>1</v>
      </c>
    </row>
    <row r="2139" spans="1:13" x14ac:dyDescent="0.3">
      <c r="A2139" s="11">
        <v>46154</v>
      </c>
      <c r="B2139" s="20" t="s">
        <v>4245</v>
      </c>
      <c r="C2139" s="7" t="s">
        <v>4311</v>
      </c>
      <c r="D2139" s="7" t="s">
        <v>2623</v>
      </c>
      <c r="E2139" s="18">
        <v>46154.352777777778</v>
      </c>
      <c r="F2139" s="11">
        <f>IF(HOUR(Table1[[#This Row],[CORREO]])&gt;=11,WORKDAY(Table1[[#This Row],[CORREO]],1,Table2[Dias no laborales]),E2139)</f>
        <v>46154.352777777778</v>
      </c>
      <c r="G2139" s="11">
        <v>46154</v>
      </c>
      <c r="H2139" s="7">
        <f t="shared" si="105"/>
        <v>19</v>
      </c>
      <c r="I2139" s="7">
        <f>MAX(1, NETWORKDAYS(A2139, G2139,Table2[Dias no laborales]))</f>
        <v>1</v>
      </c>
      <c r="J2139" s="7" t="str">
        <f>IF(Table1[[#This Row],[FIN]]="","Acumulado",IF(ISNUMBER(SEARCH("ASAP",C2139)),"ASAP",IF(NETWORKDAYS.INTL(F2139,G2139,1,Table2[Dias no laborales]) &lt;= 7, "Dentro", IF(A2139&gt;F2139,"Programado","Fuera"))))</f>
        <v>Dentro</v>
      </c>
      <c r="K2139" s="7" t="str">
        <f t="shared" si="106"/>
        <v>A tiempo</v>
      </c>
      <c r="L2139" s="11">
        <v>46154</v>
      </c>
      <c r="M2139" s="22">
        <f>MAX(1,NETWORKDAYS(A2139,L2139,Table2[Dias no laborales]))</f>
        <v>1</v>
      </c>
    </row>
    <row r="2140" spans="1:13" x14ac:dyDescent="0.3">
      <c r="A2140" s="11">
        <v>46154</v>
      </c>
      <c r="B2140" s="20" t="s">
        <v>4246</v>
      </c>
      <c r="C2140" s="7" t="s">
        <v>4339</v>
      </c>
      <c r="D2140" s="7" t="s">
        <v>139</v>
      </c>
      <c r="E2140" s="18">
        <v>46154.413888888892</v>
      </c>
      <c r="F2140" s="11">
        <f>IF(HOUR(Table1[[#This Row],[CORREO]])&gt;=11,WORKDAY(Table1[[#This Row],[CORREO]],1,Table2[Dias no laborales]),E2140)</f>
        <v>46154.413888888892</v>
      </c>
      <c r="G2140" s="11"/>
      <c r="H2140" s="7">
        <f t="shared" si="105"/>
        <v>19</v>
      </c>
      <c r="I2140" s="7">
        <f>MAX(1, NETWORKDAYS(A2140, G2140,Table2[Dias no laborales]))</f>
        <v>1</v>
      </c>
      <c r="J2140" s="7" t="str">
        <f>IF(Table1[[#This Row],[FIN]]="","Acumulado",IF(ISNUMBER(SEARCH("ASAP",C2140)),"ASAP",IF(NETWORKDAYS.INTL(F2140,G2140,1,Table2[Dias no laborales]) &lt;= 7, "Dentro", IF(A2140&gt;F2140,"Programado","Fuera"))))</f>
        <v>Acumulado</v>
      </c>
      <c r="K2140" s="7" t="str">
        <f t="shared" si="106"/>
        <v>A tiempo</v>
      </c>
      <c r="L2140" s="11">
        <v>46154</v>
      </c>
      <c r="M2140" s="22">
        <f>MAX(1,NETWORKDAYS(A2140,L2140,Table2[Dias no laborales]))</f>
        <v>1</v>
      </c>
    </row>
    <row r="2141" spans="1:13" x14ac:dyDescent="0.3">
      <c r="A2141" s="11">
        <v>46154</v>
      </c>
      <c r="B2141" s="20" t="s">
        <v>4247</v>
      </c>
      <c r="C2141" s="7" t="s">
        <v>3913</v>
      </c>
      <c r="D2141" s="7" t="s">
        <v>538</v>
      </c>
      <c r="E2141" s="18">
        <v>46153.738194444442</v>
      </c>
      <c r="F2141" s="11">
        <f>IF(HOUR(Table1[[#This Row],[CORREO]])&gt;=11,WORKDAY(Table1[[#This Row],[CORREO]],1,Table2[Dias no laborales]),E2141)</f>
        <v>46154</v>
      </c>
      <c r="G2141" s="11">
        <v>46160</v>
      </c>
      <c r="H2141" s="7">
        <f t="shared" si="105"/>
        <v>19</v>
      </c>
      <c r="I2141" s="7">
        <f>MAX(1, NETWORKDAYS(A2141, G2141,Table2[Dias no laborales]))</f>
        <v>5</v>
      </c>
      <c r="J2141" s="7" t="str">
        <f>IF(Table1[[#This Row],[FIN]]="","Acumulado",IF(ISNUMBER(SEARCH("ASAP",C2141)),"ASAP",IF(NETWORKDAYS.INTL(F2141,G2141,1,Table2[Dias no laborales]) &lt;= 7, "Dentro", IF(A2141&gt;F2141,"Programado","Fuera"))))</f>
        <v>Dentro</v>
      </c>
      <c r="K2141" s="7" t="str">
        <f t="shared" si="106"/>
        <v>A tiempo</v>
      </c>
      <c r="L2141" s="11">
        <v>46154</v>
      </c>
      <c r="M2141" s="22">
        <f>MAX(1,NETWORKDAYS(A2141,L2141,Table2[Dias no laborales]))</f>
        <v>1</v>
      </c>
    </row>
    <row r="2142" spans="1:13" x14ac:dyDescent="0.3">
      <c r="A2142" s="11">
        <v>46154</v>
      </c>
      <c r="B2142" s="20" t="s">
        <v>4248</v>
      </c>
      <c r="C2142" s="7" t="s">
        <v>4119</v>
      </c>
      <c r="D2142" s="7" t="s">
        <v>4120</v>
      </c>
      <c r="E2142" s="18">
        <v>46153.701388888891</v>
      </c>
      <c r="F2142" s="11">
        <f>IF(HOUR(Table1[[#This Row],[CORREO]])&gt;=11,WORKDAY(Table1[[#This Row],[CORREO]],1,Table2[Dias no laborales]),E2142)</f>
        <v>46154</v>
      </c>
      <c r="G2142" s="11">
        <v>46155</v>
      </c>
      <c r="H2142" s="7">
        <f t="shared" si="105"/>
        <v>19</v>
      </c>
      <c r="I2142" s="7">
        <f>MAX(1, NETWORKDAYS(A2142, G2142,Table2[Dias no laborales]))</f>
        <v>2</v>
      </c>
      <c r="J2142" s="7" t="str">
        <f>IF(Table1[[#This Row],[FIN]]="","Acumulado",IF(ISNUMBER(SEARCH("ASAP",C2142)),"ASAP",IF(NETWORKDAYS.INTL(F2142,G2142,1,Table2[Dias no laborales]) &lt;= 7, "Dentro", IF(A2142&gt;F2142,"Programado","Fuera"))))</f>
        <v>Dentro</v>
      </c>
      <c r="K2142" s="7" t="str">
        <f t="shared" si="106"/>
        <v>A tiempo</v>
      </c>
      <c r="L2142" s="11">
        <v>46154</v>
      </c>
      <c r="M2142" s="22">
        <f>MAX(1,NETWORKDAYS(A2142,L2142,Table2[Dias no laborales]))</f>
        <v>1</v>
      </c>
    </row>
    <row r="2143" spans="1:13" x14ac:dyDescent="0.3">
      <c r="A2143" s="11">
        <v>46154</v>
      </c>
      <c r="B2143" s="20" t="s">
        <v>4249</v>
      </c>
      <c r="C2143" s="7" t="s">
        <v>4340</v>
      </c>
      <c r="D2143" s="7" t="s">
        <v>1136</v>
      </c>
      <c r="E2143" s="18">
        <v>46154.606249999997</v>
      </c>
      <c r="F2143" s="11">
        <f>IF(HOUR(Table1[[#This Row],[CORREO]])&gt;=11,WORKDAY(Table1[[#This Row],[CORREO]],1,Table2[Dias no laborales]),E2143)</f>
        <v>46155</v>
      </c>
      <c r="G2143" s="11">
        <v>46155</v>
      </c>
      <c r="H2143" s="7">
        <f t="shared" si="105"/>
        <v>19</v>
      </c>
      <c r="I2143" s="7">
        <f>MAX(1, NETWORKDAYS(A2143, G2143,Table2[Dias no laborales]))</f>
        <v>2</v>
      </c>
      <c r="J2143" s="7" t="str">
        <f>IF(Table1[[#This Row],[FIN]]="","Acumulado",IF(ISNUMBER(SEARCH("ASAP",C2143)),"ASAP",IF(NETWORKDAYS.INTL(F2143,G2143,1,Table2[Dias no laborales]) &lt;= 7, "Dentro", IF(A2143&gt;F2143,"Programado","Fuera"))))</f>
        <v>Dentro</v>
      </c>
      <c r="K2143" s="7" t="str">
        <f t="shared" si="106"/>
        <v>Mismo día</v>
      </c>
      <c r="L2143" s="11">
        <v>46154</v>
      </c>
      <c r="M2143" s="22">
        <f>MAX(1,NETWORKDAYS(A2143,L2143,Table2[Dias no laborales]))</f>
        <v>1</v>
      </c>
    </row>
    <row r="2144" spans="1:13" x14ac:dyDescent="0.3">
      <c r="A2144" s="11">
        <v>46155</v>
      </c>
      <c r="B2144" s="20" t="s">
        <v>4250</v>
      </c>
      <c r="C2144" s="7" t="s">
        <v>4341</v>
      </c>
      <c r="D2144" s="7" t="s">
        <v>27</v>
      </c>
      <c r="E2144" s="18"/>
      <c r="F2144" s="11">
        <f>IF(HOUR(Table1[[#This Row],[CORREO]])&gt;=11,WORKDAY(Table1[[#This Row],[CORREO]],1,Table2[Dias no laborales]),E2144)</f>
        <v>0</v>
      </c>
      <c r="G2144" s="11">
        <v>46162</v>
      </c>
      <c r="H2144" s="7">
        <f t="shared" si="105"/>
        <v>19</v>
      </c>
      <c r="I2144" s="7">
        <f>MAX(1, NETWORKDAYS(A2144, G2144,Table2[Dias no laborales]))</f>
        <v>6</v>
      </c>
      <c r="J2144" s="7" t="str">
        <f>IF(Table1[[#This Row],[FIN]]="","Acumulado",IF(ISNUMBER(SEARCH("ASAP",C2144)),"ASAP",IF(NETWORKDAYS.INTL(F2144,G2144,1,Table2[Dias no laborales]) &lt;= 7, "Dentro", IF(A2144&gt;F2144,"Programado","Fuera"))))</f>
        <v>Programado</v>
      </c>
      <c r="K2144" s="7" t="str">
        <f t="shared" si="106"/>
        <v>Programados</v>
      </c>
      <c r="L2144" s="11">
        <v>46155</v>
      </c>
      <c r="M2144" s="22">
        <f>MAX(1,NETWORKDAYS(A2144,L2144,Table2[Dias no laborales]))</f>
        <v>1</v>
      </c>
    </row>
    <row r="2145" spans="1:13" x14ac:dyDescent="0.3">
      <c r="A2145" s="11">
        <v>46155</v>
      </c>
      <c r="B2145" s="20" t="s">
        <v>4251</v>
      </c>
      <c r="C2145" s="7" t="s">
        <v>4342</v>
      </c>
      <c r="D2145" s="7" t="s">
        <v>18</v>
      </c>
      <c r="E2145" s="18"/>
      <c r="F2145" s="11">
        <f>IF(HOUR(Table1[[#This Row],[CORREO]])&gt;=11,WORKDAY(Table1[[#This Row],[CORREO]],1,Table2[Dias no laborales]),E2145)</f>
        <v>0</v>
      </c>
      <c r="G2145" s="11">
        <v>46155</v>
      </c>
      <c r="H2145" s="7">
        <f t="shared" si="105"/>
        <v>19</v>
      </c>
      <c r="I2145" s="7">
        <f>MAX(1, NETWORKDAYS(A2145, G2145,Table2[Dias no laborales]))</f>
        <v>1</v>
      </c>
      <c r="J2145" s="7" t="str">
        <f>IF(Table1[[#This Row],[FIN]]="","Acumulado",IF(ISNUMBER(SEARCH("ASAP",C2145)),"ASAP",IF(NETWORKDAYS.INTL(F2145,G2145,1,Table2[Dias no laborales]) &lt;= 7, "Dentro", IF(A2145&gt;F2145,"Programado","Fuera"))))</f>
        <v>Programado</v>
      </c>
      <c r="K2145" s="7" t="str">
        <f t="shared" si="106"/>
        <v>Programados</v>
      </c>
      <c r="L2145" s="11">
        <v>46155</v>
      </c>
      <c r="M2145" s="22">
        <f>MAX(1,NETWORKDAYS(A2145,L2145,Table2[Dias no laborales]))</f>
        <v>1</v>
      </c>
    </row>
    <row r="2146" spans="1:13" x14ac:dyDescent="0.3">
      <c r="A2146" s="11">
        <v>46155</v>
      </c>
      <c r="B2146" s="20" t="s">
        <v>4252</v>
      </c>
      <c r="C2146" s="7" t="s">
        <v>4323</v>
      </c>
      <c r="D2146" s="7" t="s">
        <v>18</v>
      </c>
      <c r="E2146" s="18"/>
      <c r="F2146" s="11">
        <f>IF(HOUR(Table1[[#This Row],[CORREO]])&gt;=11,WORKDAY(Table1[[#This Row],[CORREO]],1,Table2[Dias no laborales]),E2146)</f>
        <v>0</v>
      </c>
      <c r="G2146" s="11">
        <v>46155</v>
      </c>
      <c r="H2146" s="7">
        <f t="shared" si="105"/>
        <v>19</v>
      </c>
      <c r="I2146" s="7">
        <f>MAX(1, NETWORKDAYS(A2146, G2146,Table2[Dias no laborales]))</f>
        <v>1</v>
      </c>
      <c r="J2146" s="7" t="str">
        <f>IF(Table1[[#This Row],[FIN]]="","Acumulado",IF(ISNUMBER(SEARCH("ASAP",C2146)),"ASAP",IF(NETWORKDAYS.INTL(F2146,G2146,1,Table2[Dias no laborales]) &lt;= 7, "Dentro", IF(A2146&gt;F2146,"Programado","Fuera"))))</f>
        <v>Programado</v>
      </c>
      <c r="K2146" s="7" t="str">
        <f t="shared" si="106"/>
        <v>Programados</v>
      </c>
      <c r="L2146" s="11">
        <v>46155</v>
      </c>
      <c r="M2146" s="22">
        <f>MAX(1,NETWORKDAYS(A2146,L2146,Table2[Dias no laborales]))</f>
        <v>1</v>
      </c>
    </row>
    <row r="2147" spans="1:13" x14ac:dyDescent="0.3">
      <c r="A2147" s="11">
        <v>46155</v>
      </c>
      <c r="B2147" s="20" t="s">
        <v>4253</v>
      </c>
      <c r="C2147" s="7" t="s">
        <v>4343</v>
      </c>
      <c r="D2147" s="7" t="s">
        <v>423</v>
      </c>
      <c r="E2147" s="18"/>
      <c r="F2147" s="11">
        <f>IF(HOUR(Table1[[#This Row],[CORREO]])&gt;=11,WORKDAY(Table1[[#This Row],[CORREO]],1,Table2[Dias no laborales]),E2147)</f>
        <v>0</v>
      </c>
      <c r="G2147" s="11">
        <v>46155</v>
      </c>
      <c r="H2147" s="7">
        <f t="shared" si="105"/>
        <v>19</v>
      </c>
      <c r="I2147" s="7">
        <f>MAX(1, NETWORKDAYS(A2147, G2147,Table2[Dias no laborales]))</f>
        <v>1</v>
      </c>
      <c r="J2147" s="7" t="str">
        <f>IF(Table1[[#This Row],[FIN]]="","Acumulado",IF(ISNUMBER(SEARCH("ASAP",C2147)),"ASAP",IF(NETWORKDAYS.INTL(F2147,G2147,1,Table2[Dias no laborales]) &lt;= 7, "Dentro", IF(A2147&gt;F2147,"Programado","Fuera"))))</f>
        <v>Programado</v>
      </c>
      <c r="K2147" s="7" t="str">
        <f t="shared" si="106"/>
        <v>Programados</v>
      </c>
      <c r="L2147" s="11">
        <v>46155</v>
      </c>
      <c r="M2147" s="22">
        <f>MAX(1,NETWORKDAYS(A2147,L2147,Table2[Dias no laborales]))</f>
        <v>1</v>
      </c>
    </row>
    <row r="2148" spans="1:13" x14ac:dyDescent="0.3">
      <c r="A2148" s="11">
        <v>46155</v>
      </c>
      <c r="B2148" s="20" t="s">
        <v>4254</v>
      </c>
      <c r="C2148" s="7" t="s">
        <v>4344</v>
      </c>
      <c r="D2148" s="7" t="s">
        <v>571</v>
      </c>
      <c r="E2148" s="18"/>
      <c r="F2148" s="11">
        <f>IF(HOUR(Table1[[#This Row],[CORREO]])&gt;=11,WORKDAY(Table1[[#This Row],[CORREO]],1,Table2[Dias no laborales]),E2148)</f>
        <v>0</v>
      </c>
      <c r="G2148" s="11">
        <v>46155</v>
      </c>
      <c r="H2148" s="7">
        <f t="shared" si="105"/>
        <v>19</v>
      </c>
      <c r="I2148" s="7">
        <f>MAX(1, NETWORKDAYS(A2148, G2148,Table2[Dias no laborales]))</f>
        <v>1</v>
      </c>
      <c r="J2148" s="7" t="str">
        <f>IF(Table1[[#This Row],[FIN]]="","Acumulado",IF(ISNUMBER(SEARCH("ASAP",C2148)),"ASAP",IF(NETWORKDAYS.INTL(F2148,G2148,1,Table2[Dias no laborales]) &lt;= 7, "Dentro", IF(A2148&gt;F2148,"Programado","Fuera"))))</f>
        <v>Programado</v>
      </c>
      <c r="K2148" s="7" t="str">
        <f t="shared" si="106"/>
        <v>Programados</v>
      </c>
      <c r="L2148" s="11">
        <v>46155</v>
      </c>
      <c r="M2148" s="22">
        <f>MAX(1,NETWORKDAYS(A2148,L2148,Table2[Dias no laborales]))</f>
        <v>1</v>
      </c>
    </row>
    <row r="2149" spans="1:13" x14ac:dyDescent="0.3">
      <c r="A2149" s="11">
        <v>46155</v>
      </c>
      <c r="B2149" s="20" t="s">
        <v>4255</v>
      </c>
      <c r="C2149" s="7" t="s">
        <v>4345</v>
      </c>
      <c r="D2149" s="7" t="s">
        <v>133</v>
      </c>
      <c r="E2149" s="18">
        <v>46155.419444444444</v>
      </c>
      <c r="F2149" s="11">
        <f>IF(HOUR(Table1[[#This Row],[CORREO]])&gt;=11,WORKDAY(Table1[[#This Row],[CORREO]],1,Table2[Dias no laborales]),E2149)</f>
        <v>46155.419444444444</v>
      </c>
      <c r="G2149" s="11">
        <v>46160</v>
      </c>
      <c r="H2149" s="7">
        <f t="shared" si="105"/>
        <v>19</v>
      </c>
      <c r="I2149" s="7">
        <f>MAX(1, NETWORKDAYS(A2149, G2149,Table2[Dias no laborales]))</f>
        <v>4</v>
      </c>
      <c r="J2149" s="7" t="str">
        <f>IF(Table1[[#This Row],[FIN]]="","Acumulado",IF(ISNUMBER(SEARCH("ASAP",C2149)),"ASAP",IF(NETWORKDAYS.INTL(F2149,G2149,1,Table2[Dias no laborales]) &lt;= 7, "Dentro", IF(A2149&gt;F2149,"Programado","Fuera"))))</f>
        <v>Dentro</v>
      </c>
      <c r="K2149" s="7" t="str">
        <f t="shared" si="106"/>
        <v>A tiempo</v>
      </c>
      <c r="L2149" s="11">
        <v>46155</v>
      </c>
      <c r="M2149" s="22">
        <f>MAX(1,NETWORKDAYS(A2149,L2149,Table2[Dias no laborales]))</f>
        <v>1</v>
      </c>
    </row>
    <row r="2150" spans="1:13" x14ac:dyDescent="0.3">
      <c r="A2150" s="11">
        <v>46155</v>
      </c>
      <c r="B2150" s="20" t="s">
        <v>4256</v>
      </c>
      <c r="C2150" s="7" t="s">
        <v>3008</v>
      </c>
      <c r="D2150" s="7" t="s">
        <v>4346</v>
      </c>
      <c r="E2150" s="18">
        <v>46155.488888888889</v>
      </c>
      <c r="F2150" s="11">
        <f>IF(HOUR(Table1[[#This Row],[CORREO]])&gt;=11,WORKDAY(Table1[[#This Row],[CORREO]],1,Table2[Dias no laborales]),E2150)</f>
        <v>46156</v>
      </c>
      <c r="G2150" s="11">
        <v>46157</v>
      </c>
      <c r="H2150" s="7">
        <f t="shared" si="105"/>
        <v>19</v>
      </c>
      <c r="I2150" s="7">
        <f>MAX(1, NETWORKDAYS(A2150, G2150,Table2[Dias no laborales]))</f>
        <v>3</v>
      </c>
      <c r="J2150" s="7" t="str">
        <f>IF(Table1[[#This Row],[FIN]]="","Acumulado",IF(ISNUMBER(SEARCH("ASAP",C2150)),"ASAP",IF(NETWORKDAYS.INTL(F2150,G2150,1,Table2[Dias no laborales]) &lt;= 7, "Dentro", IF(A2150&gt;F2150,"Programado","Fuera"))))</f>
        <v>Dentro</v>
      </c>
      <c r="K2150" s="7" t="str">
        <f t="shared" si="106"/>
        <v>Mismo día</v>
      </c>
      <c r="L2150" s="11">
        <v>46155</v>
      </c>
      <c r="M2150" s="22">
        <f>MAX(1,NETWORKDAYS(A2150,L2150,Table2[Dias no laborales]))</f>
        <v>1</v>
      </c>
    </row>
    <row r="2151" spans="1:13" x14ac:dyDescent="0.3">
      <c r="A2151" s="11">
        <v>46156</v>
      </c>
      <c r="B2151" s="20" t="s">
        <v>4257</v>
      </c>
      <c r="C2151" s="7" t="s">
        <v>4347</v>
      </c>
      <c r="D2151" s="7" t="s">
        <v>27</v>
      </c>
      <c r="E2151" s="18"/>
      <c r="F2151" s="11">
        <f>IF(HOUR(Table1[[#This Row],[CORREO]])&gt;=11,WORKDAY(Table1[[#This Row],[CORREO]],1,Table2[Dias no laborales]),E2151)</f>
        <v>0</v>
      </c>
      <c r="G2151" s="11">
        <v>46160</v>
      </c>
      <c r="H2151" s="7">
        <f t="shared" si="105"/>
        <v>20</v>
      </c>
      <c r="I2151" s="7">
        <f>MAX(1, NETWORKDAYS(A2151, G2151,Table2[Dias no laborales]))</f>
        <v>3</v>
      </c>
      <c r="J2151" s="7" t="str">
        <f>IF(Table1[[#This Row],[FIN]]="","Acumulado",IF(ISNUMBER(SEARCH("ASAP",C2151)),"ASAP",IF(NETWORKDAYS.INTL(F2151,G2151,1,Table2[Dias no laborales]) &lt;= 7, "Dentro", IF(A2151&gt;F2151,"Programado","Fuera"))))</f>
        <v>Programado</v>
      </c>
      <c r="K2151" s="7" t="str">
        <f t="shared" si="106"/>
        <v>Programados</v>
      </c>
      <c r="L2151" s="11">
        <v>46156</v>
      </c>
      <c r="M2151" s="22">
        <f>MAX(1,NETWORKDAYS(A2151,L2151,Table2[Dias no laborales]))</f>
        <v>1</v>
      </c>
    </row>
    <row r="2152" spans="1:13" x14ac:dyDescent="0.3">
      <c r="A2152" s="11">
        <v>46155</v>
      </c>
      <c r="B2152" s="20" t="s">
        <v>4261</v>
      </c>
      <c r="C2152" s="7" t="s">
        <v>4348</v>
      </c>
      <c r="D2152" s="7" t="s">
        <v>18</v>
      </c>
      <c r="E2152" s="18"/>
      <c r="F2152" s="11">
        <f>IF(HOUR(Table1[[#This Row],[CORREO]])&gt;=11,WORKDAY(Table1[[#This Row],[CORREO]],1,Table2[Dias no laborales]),E2152)</f>
        <v>0</v>
      </c>
      <c r="G2152" s="11"/>
      <c r="H2152" s="7">
        <f t="shared" ref="H2152:H2166" si="107">INT((A2152-DATE(YEAR(A2152),1,1))/7) + 1</f>
        <v>19</v>
      </c>
      <c r="I2152" s="7">
        <f>MAX(1, NETWORKDAYS(A2152, G2152,Table2[Dias no laborales]))</f>
        <v>1</v>
      </c>
      <c r="J2152" s="7" t="str">
        <f>IF(Table1[[#This Row],[FIN]]="","Acumulado",IF(ISNUMBER(SEARCH("ASAP",C2152)),"ASAP",IF(NETWORKDAYS.INTL(F2152,G2152,1,Table2[Dias no laborales]) &lt;= 7, "Dentro", IF(A2152&gt;F2152,"Programado","Fuera"))))</f>
        <v>Acumulado</v>
      </c>
      <c r="K2152" s="7" t="str">
        <f t="shared" ref="K2152:K2166" si="108">IF(INT(A2152)=INT(F2152),"A tiempo", IF(A2152&lt;F2152,"Mismo día","Programados"))</f>
        <v>Programados</v>
      </c>
      <c r="L2152" s="11">
        <v>46155</v>
      </c>
      <c r="M2152" s="22">
        <f>MAX(1,NETWORKDAYS(A2152,L2152,Table2[Dias no laborales]))</f>
        <v>1</v>
      </c>
    </row>
    <row r="2153" spans="1:13" x14ac:dyDescent="0.3">
      <c r="A2153" s="11">
        <v>46156</v>
      </c>
      <c r="B2153" s="20" t="s">
        <v>4262</v>
      </c>
      <c r="C2153" s="7" t="s">
        <v>4327</v>
      </c>
      <c r="D2153" s="7" t="s">
        <v>351</v>
      </c>
      <c r="E2153" s="18"/>
      <c r="F2153" s="11">
        <f>IF(HOUR(Table1[[#This Row],[CORREO]])&gt;=11,WORKDAY(Table1[[#This Row],[CORREO]],1,Table2[Dias no laborales]),E2153)</f>
        <v>0</v>
      </c>
      <c r="G2153" s="11">
        <v>46157</v>
      </c>
      <c r="H2153" s="7">
        <f t="shared" si="107"/>
        <v>20</v>
      </c>
      <c r="I2153" s="7">
        <f>MAX(1, NETWORKDAYS(A2153, G2153,Table2[Dias no laborales]))</f>
        <v>2</v>
      </c>
      <c r="J2153" s="7" t="str">
        <f>IF(Table1[[#This Row],[FIN]]="","Acumulado",IF(ISNUMBER(SEARCH("ASAP",C2153)),"ASAP",IF(NETWORKDAYS.INTL(F2153,G2153,1,Table2[Dias no laborales]) &lt;= 7, "Dentro", IF(A2153&gt;F2153,"Programado","Fuera"))))</f>
        <v>Programado</v>
      </c>
      <c r="K2153" s="7" t="str">
        <f t="shared" si="108"/>
        <v>Programados</v>
      </c>
      <c r="L2153" s="11">
        <v>46156</v>
      </c>
      <c r="M2153" s="22">
        <f>MAX(1,NETWORKDAYS(A2153,L2153,Table2[Dias no laborales]))</f>
        <v>1</v>
      </c>
    </row>
    <row r="2154" spans="1:13" x14ac:dyDescent="0.3">
      <c r="A2154" s="11">
        <v>46156</v>
      </c>
      <c r="B2154" s="20" t="s">
        <v>4263</v>
      </c>
      <c r="C2154" s="7" t="s">
        <v>4349</v>
      </c>
      <c r="D2154" s="7" t="s">
        <v>3039</v>
      </c>
      <c r="E2154" s="18">
        <v>46156.388194444444</v>
      </c>
      <c r="F2154" s="11">
        <f>IF(HOUR(Table1[[#This Row],[CORREO]])&gt;=11,WORKDAY(Table1[[#This Row],[CORREO]],1,Table2[Dias no laborales]),E2154)</f>
        <v>46156.388194444444</v>
      </c>
      <c r="G2154" s="11">
        <v>46157</v>
      </c>
      <c r="H2154" s="7">
        <f t="shared" si="107"/>
        <v>20</v>
      </c>
      <c r="I2154" s="7">
        <f>MAX(1, NETWORKDAYS(A2154, G2154,Table2[Dias no laborales]))</f>
        <v>2</v>
      </c>
      <c r="J2154" s="7" t="str">
        <f>IF(Table1[[#This Row],[FIN]]="","Acumulado",IF(ISNUMBER(SEARCH("ASAP",C2154)),"ASAP",IF(NETWORKDAYS.INTL(F2154,G2154,1,Table2[Dias no laborales]) &lt;= 7, "Dentro", IF(A2154&gt;F2154,"Programado","Fuera"))))</f>
        <v>Dentro</v>
      </c>
      <c r="K2154" s="7" t="str">
        <f t="shared" si="108"/>
        <v>A tiempo</v>
      </c>
      <c r="L2154" s="11">
        <v>46156</v>
      </c>
      <c r="M2154" s="22">
        <f>MAX(1,NETWORKDAYS(A2154,L2154,Table2[Dias no laborales]))</f>
        <v>1</v>
      </c>
    </row>
    <row r="2155" spans="1:13" x14ac:dyDescent="0.3">
      <c r="A2155" s="11">
        <v>46156</v>
      </c>
      <c r="B2155" s="20" t="s">
        <v>4264</v>
      </c>
      <c r="C2155" s="7" t="s">
        <v>2633</v>
      </c>
      <c r="D2155" s="7" t="s">
        <v>2623</v>
      </c>
      <c r="E2155" s="18">
        <v>46156.447916666664</v>
      </c>
      <c r="F2155" s="11">
        <f>IF(HOUR(Table1[[#This Row],[CORREO]])&gt;=11,WORKDAY(Table1[[#This Row],[CORREO]],1,Table2[Dias no laborales]),E2155)</f>
        <v>46156.447916666664</v>
      </c>
      <c r="G2155" s="11">
        <v>46157</v>
      </c>
      <c r="H2155" s="7">
        <f t="shared" si="107"/>
        <v>20</v>
      </c>
      <c r="I2155" s="7">
        <f>MAX(1, NETWORKDAYS(A2155, G2155,Table2[Dias no laborales]))</f>
        <v>2</v>
      </c>
      <c r="J2155" s="7" t="str">
        <f>IF(Table1[[#This Row],[FIN]]="","Acumulado",IF(ISNUMBER(SEARCH("ASAP",C2155)),"ASAP",IF(NETWORKDAYS.INTL(F2155,G2155,1,Table2[Dias no laborales]) &lt;= 7, "Dentro", IF(A2155&gt;F2155,"Programado","Fuera"))))</f>
        <v>Dentro</v>
      </c>
      <c r="K2155" s="7" t="str">
        <f t="shared" si="108"/>
        <v>A tiempo</v>
      </c>
      <c r="L2155" s="11">
        <v>46156</v>
      </c>
      <c r="M2155" s="22">
        <f>MAX(1,NETWORKDAYS(A2155,L2155,Table2[Dias no laborales]))</f>
        <v>1</v>
      </c>
    </row>
    <row r="2156" spans="1:13" x14ac:dyDescent="0.3">
      <c r="A2156" s="11">
        <v>46156</v>
      </c>
      <c r="B2156" s="20" t="s">
        <v>4265</v>
      </c>
      <c r="C2156" s="7" t="s">
        <v>4350</v>
      </c>
      <c r="D2156" s="7" t="s">
        <v>133</v>
      </c>
      <c r="E2156" s="18">
        <v>46156.487500000003</v>
      </c>
      <c r="F2156" s="11">
        <f>IF(HOUR(Table1[[#This Row],[CORREO]])&gt;=11,WORKDAY(Table1[[#This Row],[CORREO]],1,Table2[Dias no laborales]),E2156)</f>
        <v>46157</v>
      </c>
      <c r="G2156" s="11">
        <v>46157</v>
      </c>
      <c r="H2156" s="7">
        <f t="shared" si="107"/>
        <v>20</v>
      </c>
      <c r="I2156" s="7">
        <f>MAX(1, NETWORKDAYS(A2156, G2156,Table2[Dias no laborales]))</f>
        <v>2</v>
      </c>
      <c r="J2156" s="7" t="str">
        <f>IF(Table1[[#This Row],[FIN]]="","Acumulado",IF(ISNUMBER(SEARCH("ASAP",C2156)),"ASAP",IF(NETWORKDAYS.INTL(F2156,G2156,1,Table2[Dias no laborales]) &lt;= 7, "Dentro", IF(A2156&gt;F2156,"Programado","Fuera"))))</f>
        <v>Dentro</v>
      </c>
      <c r="K2156" s="7" t="str">
        <f t="shared" si="108"/>
        <v>Mismo día</v>
      </c>
      <c r="L2156" s="11">
        <v>46156</v>
      </c>
      <c r="M2156" s="22">
        <f>MAX(1,NETWORKDAYS(A2156,L2156,Table2[Dias no laborales]))</f>
        <v>1</v>
      </c>
    </row>
    <row r="2157" spans="1:13" x14ac:dyDescent="0.3">
      <c r="A2157" s="11">
        <v>46156</v>
      </c>
      <c r="B2157" s="20" t="s">
        <v>4266</v>
      </c>
      <c r="C2157" s="7" t="s">
        <v>3008</v>
      </c>
      <c r="D2157" s="7" t="s">
        <v>4351</v>
      </c>
      <c r="E2157" s="18">
        <v>46156.515972222223</v>
      </c>
      <c r="F2157" s="11">
        <f>IF(HOUR(Table1[[#This Row],[CORREO]])&gt;=11,WORKDAY(Table1[[#This Row],[CORREO]],1,Table2[Dias no laborales]),E2157)</f>
        <v>46157</v>
      </c>
      <c r="G2157" s="11">
        <v>46161</v>
      </c>
      <c r="H2157" s="7">
        <f t="shared" si="107"/>
        <v>20</v>
      </c>
      <c r="I2157" s="7">
        <f>MAX(1, NETWORKDAYS(A2157, G2157,Table2[Dias no laborales]))</f>
        <v>4</v>
      </c>
      <c r="J2157" s="7" t="str">
        <f>IF(Table1[[#This Row],[FIN]]="","Acumulado",IF(ISNUMBER(SEARCH("ASAP",C2157)),"ASAP",IF(NETWORKDAYS.INTL(F2157,G2157,1,Table2[Dias no laborales]) &lt;= 7, "Dentro", IF(A2157&gt;F2157,"Programado","Fuera"))))</f>
        <v>Dentro</v>
      </c>
      <c r="K2157" s="7" t="str">
        <f t="shared" si="108"/>
        <v>Mismo día</v>
      </c>
      <c r="L2157" s="11">
        <v>46156</v>
      </c>
      <c r="M2157" s="22">
        <f>MAX(1,NETWORKDAYS(A2157,L2157,Table2[Dias no laborales]))</f>
        <v>1</v>
      </c>
    </row>
    <row r="2158" spans="1:13" x14ac:dyDescent="0.3">
      <c r="A2158" s="11">
        <v>46156</v>
      </c>
      <c r="B2158" s="20" t="s">
        <v>4267</v>
      </c>
      <c r="C2158" s="7" t="s">
        <v>4352</v>
      </c>
      <c r="D2158" s="7" t="s">
        <v>27</v>
      </c>
      <c r="E2158" s="18"/>
      <c r="F2158" s="11">
        <f>IF(HOUR(Table1[[#This Row],[CORREO]])&gt;=11,WORKDAY(Table1[[#This Row],[CORREO]],1,Table2[Dias no laborales]),E2158)</f>
        <v>0</v>
      </c>
      <c r="G2158" s="11">
        <v>46156</v>
      </c>
      <c r="H2158" s="7">
        <f t="shared" si="107"/>
        <v>20</v>
      </c>
      <c r="I2158" s="7">
        <f>MAX(1, NETWORKDAYS(A2158, G2158,Table2[Dias no laborales]))</f>
        <v>1</v>
      </c>
      <c r="J2158" s="7" t="str">
        <f>IF(Table1[[#This Row],[FIN]]="","Acumulado",IF(ISNUMBER(SEARCH("ASAP",C2158)),"ASAP",IF(NETWORKDAYS.INTL(F2158,G2158,1,Table2[Dias no laborales]) &lt;= 7, "Dentro", IF(A2158&gt;F2158,"Programado","Fuera"))))</f>
        <v>Programado</v>
      </c>
      <c r="K2158" s="7" t="str">
        <f t="shared" si="108"/>
        <v>Programados</v>
      </c>
      <c r="L2158" s="11">
        <v>46156</v>
      </c>
      <c r="M2158" s="22">
        <f>MAX(1,NETWORKDAYS(A2158,L2158,Table2[Dias no laborales]))</f>
        <v>1</v>
      </c>
    </row>
    <row r="2159" spans="1:13" x14ac:dyDescent="0.3">
      <c r="A2159" s="11">
        <v>46156</v>
      </c>
      <c r="B2159" s="20" t="s">
        <v>4268</v>
      </c>
      <c r="C2159" s="7" t="s">
        <v>4353</v>
      </c>
      <c r="D2159" s="7" t="s">
        <v>3020</v>
      </c>
      <c r="E2159" s="18">
        <v>46156.680555555555</v>
      </c>
      <c r="F2159" s="11">
        <f>IF(HOUR(Table1[[#This Row],[CORREO]])&gt;=11,WORKDAY(Table1[[#This Row],[CORREO]],1,Table2[Dias no laborales]),E2159)</f>
        <v>46157</v>
      </c>
      <c r="G2159" s="11"/>
      <c r="H2159" s="7">
        <f t="shared" si="107"/>
        <v>20</v>
      </c>
      <c r="I2159" s="7">
        <f>MAX(1, NETWORKDAYS(A2159, G2159,Table2[Dias no laborales]))</f>
        <v>1</v>
      </c>
      <c r="J2159" s="7" t="str">
        <f>IF(Table1[[#This Row],[FIN]]="","Acumulado",IF(ISNUMBER(SEARCH("ASAP",C2159)),"ASAP",IF(NETWORKDAYS.INTL(F2159,G2159,1,Table2[Dias no laborales]) &lt;= 7, "Dentro", IF(A2159&gt;F2159,"Programado","Fuera"))))</f>
        <v>Acumulado</v>
      </c>
      <c r="K2159" s="7" t="str">
        <f t="shared" si="108"/>
        <v>Mismo día</v>
      </c>
      <c r="L2159" s="11">
        <v>46156</v>
      </c>
      <c r="M2159" s="22">
        <f>MAX(1,NETWORKDAYS(A2159,L2159,Table2[Dias no laborales]))</f>
        <v>1</v>
      </c>
    </row>
    <row r="2160" spans="1:13" x14ac:dyDescent="0.3">
      <c r="A2160" s="11">
        <v>46156</v>
      </c>
      <c r="B2160" s="20" t="s">
        <v>4269</v>
      </c>
      <c r="C2160" s="7" t="s">
        <v>4354</v>
      </c>
      <c r="D2160" s="7" t="s">
        <v>171</v>
      </c>
      <c r="E2160" s="18">
        <v>46155.501388888886</v>
      </c>
      <c r="F2160" s="11">
        <f>IF(HOUR(Table1[[#This Row],[CORREO]])&gt;=11,WORKDAY(Table1[[#This Row],[CORREO]],1,Table2[Dias no laborales]),E2160)</f>
        <v>46156</v>
      </c>
      <c r="G2160" s="11"/>
      <c r="H2160" s="7">
        <f t="shared" si="107"/>
        <v>20</v>
      </c>
      <c r="I2160" s="7">
        <f>MAX(1, NETWORKDAYS(A2160, G2160,Table2[Dias no laborales]))</f>
        <v>1</v>
      </c>
      <c r="J2160" s="7" t="str">
        <f>IF(Table1[[#This Row],[FIN]]="","Acumulado",IF(ISNUMBER(SEARCH("ASAP",C2160)),"ASAP",IF(NETWORKDAYS.INTL(F2160,G2160,1,Table2[Dias no laborales]) &lt;= 7, "Dentro", IF(A2160&gt;F2160,"Programado","Fuera"))))</f>
        <v>Acumulado</v>
      </c>
      <c r="K2160" s="7" t="str">
        <f t="shared" si="108"/>
        <v>A tiempo</v>
      </c>
      <c r="L2160" s="11">
        <v>46156</v>
      </c>
      <c r="M2160" s="22">
        <f>MAX(1,NETWORKDAYS(A2160,L2160,Table2[Dias no laborales]))</f>
        <v>1</v>
      </c>
    </row>
    <row r="2161" spans="1:13" x14ac:dyDescent="0.3">
      <c r="A2161" s="11">
        <v>46156</v>
      </c>
      <c r="B2161" s="20" t="s">
        <v>4270</v>
      </c>
      <c r="C2161" s="7" t="s">
        <v>4355</v>
      </c>
      <c r="D2161" s="7" t="s">
        <v>3020</v>
      </c>
      <c r="E2161" s="18">
        <v>46156.68472222222</v>
      </c>
      <c r="F2161" s="11">
        <f>IF(HOUR(Table1[[#This Row],[CORREO]])&gt;=11,WORKDAY(Table1[[#This Row],[CORREO]],1,Table2[Dias no laborales]),E2161)</f>
        <v>46157</v>
      </c>
      <c r="G2161" s="11"/>
      <c r="H2161" s="7">
        <f t="shared" si="107"/>
        <v>20</v>
      </c>
      <c r="I2161" s="7">
        <f>MAX(1, NETWORKDAYS(A2161, G2161,Table2[Dias no laborales]))</f>
        <v>1</v>
      </c>
      <c r="J2161" s="7" t="str">
        <f>IF(Table1[[#This Row],[FIN]]="","Acumulado",IF(ISNUMBER(SEARCH("ASAP",C2161)),"ASAP",IF(NETWORKDAYS.INTL(F2161,G2161,1,Table2[Dias no laborales]) &lt;= 7, "Dentro", IF(A2161&gt;F2161,"Programado","Fuera"))))</f>
        <v>Acumulado</v>
      </c>
      <c r="K2161" s="7" t="str">
        <f t="shared" si="108"/>
        <v>Mismo día</v>
      </c>
      <c r="L2161" s="11">
        <v>46156</v>
      </c>
      <c r="M2161" s="22">
        <f>MAX(1,NETWORKDAYS(A2161,L2161,Table2[Dias no laborales]))</f>
        <v>1</v>
      </c>
    </row>
    <row r="2162" spans="1:13" x14ac:dyDescent="0.3">
      <c r="A2162" s="11">
        <v>46156</v>
      </c>
      <c r="B2162" s="20" t="s">
        <v>4271</v>
      </c>
      <c r="C2162" s="7" t="s">
        <v>4356</v>
      </c>
      <c r="D2162" s="7" t="s">
        <v>3939</v>
      </c>
      <c r="E2162" s="18">
        <v>46156.65347222222</v>
      </c>
      <c r="F2162" s="11">
        <f>IF(HOUR(Table1[[#This Row],[CORREO]])&gt;=11,WORKDAY(Table1[[#This Row],[CORREO]],1,Table2[Dias no laborales]),E2162)</f>
        <v>46157</v>
      </c>
      <c r="G2162" s="11"/>
      <c r="H2162" s="7">
        <f t="shared" si="107"/>
        <v>20</v>
      </c>
      <c r="I2162" s="7">
        <f>MAX(1, NETWORKDAYS(A2162, G2162,Table2[Dias no laborales]))</f>
        <v>1</v>
      </c>
      <c r="J2162" s="7" t="str">
        <f>IF(Table1[[#This Row],[FIN]]="","Acumulado",IF(ISNUMBER(SEARCH("ASAP",C2162)),"ASAP",IF(NETWORKDAYS.INTL(F2162,G2162,1,Table2[Dias no laborales]) &lt;= 7, "Dentro", IF(A2162&gt;F2162,"Programado","Fuera"))))</f>
        <v>Acumulado</v>
      </c>
      <c r="K2162" s="7" t="str">
        <f t="shared" si="108"/>
        <v>Mismo día</v>
      </c>
      <c r="L2162" s="11">
        <v>46156</v>
      </c>
      <c r="M2162" s="22">
        <f>MAX(1,NETWORKDAYS(A2162,L2162,Table2[Dias no laborales]))</f>
        <v>1</v>
      </c>
    </row>
    <row r="2163" spans="1:13" x14ac:dyDescent="0.3">
      <c r="A2163" s="11">
        <v>46157</v>
      </c>
      <c r="B2163" s="20" t="s">
        <v>4272</v>
      </c>
      <c r="C2163" s="7" t="s">
        <v>4357</v>
      </c>
      <c r="D2163" s="7" t="s">
        <v>85</v>
      </c>
      <c r="E2163" s="18">
        <v>46156.691666666666</v>
      </c>
      <c r="F2163" s="11">
        <f>IF(HOUR(Table1[[#This Row],[CORREO]])&gt;=11,WORKDAY(Table1[[#This Row],[CORREO]],1,Table2[Dias no laborales]),E2163)</f>
        <v>46157</v>
      </c>
      <c r="G2163" s="11">
        <v>46157</v>
      </c>
      <c r="H2163" s="7">
        <f t="shared" si="107"/>
        <v>20</v>
      </c>
      <c r="I2163" s="7">
        <f>MAX(1, NETWORKDAYS(A2163, G2163,Table2[Dias no laborales]))</f>
        <v>1</v>
      </c>
      <c r="J2163" s="7" t="str">
        <f>IF(Table1[[#This Row],[FIN]]="","Acumulado",IF(ISNUMBER(SEARCH("ASAP",C2163)),"ASAP",IF(NETWORKDAYS.INTL(F2163,G2163,1,Table2[Dias no laborales]) &lt;= 7, "Dentro", IF(A2163&gt;F2163,"Programado","Fuera"))))</f>
        <v>Dentro</v>
      </c>
      <c r="K2163" s="7" t="str">
        <f t="shared" si="108"/>
        <v>A tiempo</v>
      </c>
      <c r="L2163" s="11">
        <v>46157</v>
      </c>
      <c r="M2163" s="22">
        <f>MAX(1,NETWORKDAYS(A2163,L2163,Table2[Dias no laborales]))</f>
        <v>1</v>
      </c>
    </row>
    <row r="2164" spans="1:13" x14ac:dyDescent="0.3">
      <c r="A2164" s="11">
        <v>46157</v>
      </c>
      <c r="B2164" s="20" t="s">
        <v>4273</v>
      </c>
      <c r="C2164" s="7" t="s">
        <v>4358</v>
      </c>
      <c r="D2164" s="7" t="s">
        <v>1333</v>
      </c>
      <c r="E2164" s="18"/>
      <c r="F2164" s="11">
        <f>IF(HOUR(Table1[[#This Row],[CORREO]])&gt;=11,WORKDAY(Table1[[#This Row],[CORREO]],1,Table2[Dias no laborales]),E2164)</f>
        <v>0</v>
      </c>
      <c r="G2164" s="11"/>
      <c r="H2164" s="7">
        <f t="shared" si="107"/>
        <v>20</v>
      </c>
      <c r="I2164" s="7">
        <f>MAX(1, NETWORKDAYS(A2164, G2164,Table2[Dias no laborales]))</f>
        <v>1</v>
      </c>
      <c r="J2164" s="7" t="str">
        <f>IF(Table1[[#This Row],[FIN]]="","Acumulado",IF(ISNUMBER(SEARCH("ASAP",C2164)),"ASAP",IF(NETWORKDAYS.INTL(F2164,G2164,1,Table2[Dias no laborales]) &lt;= 7, "Dentro", IF(A2164&gt;F2164,"Programado","Fuera"))))</f>
        <v>Acumulado</v>
      </c>
      <c r="K2164" s="7" t="str">
        <f t="shared" si="108"/>
        <v>Programados</v>
      </c>
      <c r="L2164" s="11">
        <v>46157</v>
      </c>
      <c r="M2164" s="22">
        <f>MAX(1,NETWORKDAYS(A2164,L2164,Table2[Dias no laborales]))</f>
        <v>1</v>
      </c>
    </row>
    <row r="2165" spans="1:13" x14ac:dyDescent="0.3">
      <c r="A2165" s="11">
        <v>46157</v>
      </c>
      <c r="B2165" s="20" t="s">
        <v>4274</v>
      </c>
      <c r="C2165" s="7" t="s">
        <v>4359</v>
      </c>
      <c r="D2165" s="7" t="s">
        <v>3183</v>
      </c>
      <c r="E2165" s="18">
        <v>46157.374305555553</v>
      </c>
      <c r="F2165" s="11">
        <f>IF(HOUR(Table1[[#This Row],[CORREO]])&gt;=11,WORKDAY(Table1[[#This Row],[CORREO]],1,Table2[Dias no laborales]),E2165)</f>
        <v>46157.374305555553</v>
      </c>
      <c r="G2165" s="11"/>
      <c r="H2165" s="7">
        <f t="shared" si="107"/>
        <v>20</v>
      </c>
      <c r="I2165" s="7">
        <f>MAX(1, NETWORKDAYS(A2165, G2165,Table2[Dias no laborales]))</f>
        <v>1</v>
      </c>
      <c r="J2165" s="7" t="str">
        <f>IF(Table1[[#This Row],[FIN]]="","Acumulado",IF(ISNUMBER(SEARCH("ASAP",C2165)),"ASAP",IF(NETWORKDAYS.INTL(F2165,G2165,1,Table2[Dias no laborales]) &lt;= 7, "Dentro", IF(A2165&gt;F2165,"Programado","Fuera"))))</f>
        <v>Acumulado</v>
      </c>
      <c r="K2165" s="7" t="str">
        <f t="shared" si="108"/>
        <v>A tiempo</v>
      </c>
      <c r="L2165" s="11">
        <v>46157</v>
      </c>
      <c r="M2165" s="22">
        <f>MAX(1,NETWORKDAYS(A2165,L2165,Table2[Dias no laborales]))</f>
        <v>1</v>
      </c>
    </row>
    <row r="2166" spans="1:13" x14ac:dyDescent="0.3">
      <c r="A2166" s="11">
        <v>46157</v>
      </c>
      <c r="B2166" s="20" t="s">
        <v>4275</v>
      </c>
      <c r="C2166" s="7" t="s">
        <v>4360</v>
      </c>
      <c r="D2166" s="7" t="s">
        <v>171</v>
      </c>
      <c r="E2166" s="18">
        <v>46157.434027777781</v>
      </c>
      <c r="F2166" s="11">
        <f>IF(HOUR(Table1[[#This Row],[CORREO]])&gt;=11,WORKDAY(Table1[[#This Row],[CORREO]],1,Table2[Dias no laborales]),E2166)</f>
        <v>46157.434027777781</v>
      </c>
      <c r="G2166" s="11">
        <v>46160</v>
      </c>
      <c r="H2166" s="7">
        <f t="shared" si="107"/>
        <v>20</v>
      </c>
      <c r="I2166" s="7">
        <f>MAX(1, NETWORKDAYS(A2166, G2166,Table2[Dias no laborales]))</f>
        <v>2</v>
      </c>
      <c r="J2166" s="7" t="str">
        <f>IF(Table1[[#This Row],[FIN]]="","Acumulado",IF(ISNUMBER(SEARCH("ASAP",C2166)),"ASAP",IF(NETWORKDAYS.INTL(F2166,G2166,1,Table2[Dias no laborales]) &lt;= 7, "Dentro", IF(A2166&gt;F2166,"Programado","Fuera"))))</f>
        <v>Dentro</v>
      </c>
      <c r="K2166" s="7" t="str">
        <f t="shared" si="108"/>
        <v>A tiempo</v>
      </c>
      <c r="L2166" s="11">
        <v>46157</v>
      </c>
      <c r="M2166" s="22">
        <f>MAX(1,NETWORKDAYS(A2166,L2166,Table2[Dias no laborales]))</f>
        <v>1</v>
      </c>
    </row>
    <row r="2167" spans="1:13" x14ac:dyDescent="0.3">
      <c r="A2167" s="11">
        <v>46157</v>
      </c>
      <c r="B2167" s="20" t="s">
        <v>4361</v>
      </c>
      <c r="C2167" s="7" t="s">
        <v>4362</v>
      </c>
      <c r="D2167" s="7" t="s">
        <v>24</v>
      </c>
      <c r="E2167" s="18">
        <v>46157.746527777781</v>
      </c>
      <c r="F2167" s="11">
        <f>IF(HOUR(Table1[[#This Row],[CORREO]])&gt;=11,WORKDAY(Table1[[#This Row],[CORREO]],1,Table2[Dias no laborales]),E2167)</f>
        <v>46160</v>
      </c>
      <c r="G2167" s="11"/>
      <c r="H2167" s="7">
        <f>INT((A2167-DATE(YEAR(A2167),1,1))/7) + 1</f>
        <v>20</v>
      </c>
      <c r="I2167" s="7">
        <f>MAX(1, NETWORKDAYS(A2167, G2167,Table2[Dias no laborales]))</f>
        <v>1</v>
      </c>
      <c r="J2167" s="7" t="str">
        <f>IF(Table1[[#This Row],[FIN]]="","Acumulado",IF(ISNUMBER(SEARCH("ASAP",C2167)),"ASAP",IF(NETWORKDAYS.INTL(F2167,G2167,1,Table2[Dias no laborales]) &lt;= 7, "Dentro", IF(A2167&gt;F2167,"Programado","Fuera"))))</f>
        <v>Acumulado</v>
      </c>
      <c r="K2167" s="7" t="str">
        <f>IF(INT(A2167)=INT(F2167),"A tiempo", IF(A2167&lt;F2167,"Mismo día","Programados"))</f>
        <v>Mismo día</v>
      </c>
      <c r="L2167" s="11">
        <v>46157</v>
      </c>
      <c r="M2167" s="22">
        <f>MAX(1,NETWORKDAYS(A2167,L2167,Table2[Dias no laborales]))</f>
        <v>1</v>
      </c>
    </row>
    <row r="2168" spans="1:13" x14ac:dyDescent="0.3">
      <c r="A2168" s="11">
        <v>46157</v>
      </c>
      <c r="B2168" s="20" t="s">
        <v>4363</v>
      </c>
      <c r="C2168" s="7" t="s">
        <v>4364</v>
      </c>
      <c r="D2168" s="7" t="s">
        <v>24</v>
      </c>
      <c r="E2168" s="18">
        <v>46157.677777777775</v>
      </c>
      <c r="F2168" s="11">
        <f>IF(HOUR(Table1[[#This Row],[CORREO]])&gt;=11,WORKDAY(Table1[[#This Row],[CORREO]],1,Table2[Dias no laborales]),E2168)</f>
        <v>46160</v>
      </c>
      <c r="G2168" s="11"/>
      <c r="H2168" s="7">
        <f>INT((A2168-DATE(YEAR(A2168),1,1))/7) + 1</f>
        <v>20</v>
      </c>
      <c r="I2168" s="7">
        <f>MAX(1, NETWORKDAYS(A2168, G2168,Table2[Dias no laborales]))</f>
        <v>1</v>
      </c>
      <c r="J2168" s="7" t="str">
        <f>IF(Table1[[#This Row],[FIN]]="","Acumulado",IF(ISNUMBER(SEARCH("ASAP",C2168)),"ASAP",IF(NETWORKDAYS.INTL(F2168,G2168,1,Table2[Dias no laborales]) &lt;= 7, "Dentro", IF(A2168&gt;F2168,"Programado","Fuera"))))</f>
        <v>Acumulado</v>
      </c>
      <c r="K2168" s="7" t="str">
        <f>IF(INT(A2168)=INT(F2168),"A tiempo", IF(A2168&lt;F2168,"Mismo día","Programados"))</f>
        <v>Mismo día</v>
      </c>
      <c r="L2168" s="11">
        <v>46157</v>
      </c>
      <c r="M2168" s="22">
        <f>MAX(1,NETWORKDAYS(A2168,L2168,Table2[Dias no laborales]))</f>
        <v>1</v>
      </c>
    </row>
    <row r="2169" spans="1:13" x14ac:dyDescent="0.3">
      <c r="A2169" s="11">
        <v>46160</v>
      </c>
      <c r="B2169" s="20" t="s">
        <v>4365</v>
      </c>
      <c r="C2169" s="7" t="s">
        <v>4389</v>
      </c>
      <c r="D2169" s="7" t="s">
        <v>186</v>
      </c>
      <c r="E2169" s="18"/>
      <c r="F2169" s="11">
        <f>IF(HOUR(Table1[[#This Row],[CORREO]])&gt;=11,WORKDAY(Table1[[#This Row],[CORREO]],1,Table2[Dias no laborales]),E2169)</f>
        <v>0</v>
      </c>
      <c r="G2169" s="11"/>
      <c r="H2169" s="30">
        <f t="shared" ref="H2169:H2192" si="109">INT((A2169-DATE(YEAR(A2169),1,1))/7) + 1</f>
        <v>20</v>
      </c>
      <c r="I2169" s="30">
        <f>MAX(1, NETWORKDAYS(A2169, G2169,Table2[Dias no laborales]))</f>
        <v>1</v>
      </c>
      <c r="J2169" s="30" t="str">
        <f>IF(Table1[[#This Row],[FIN]]="","Acumulado",IF(ISNUMBER(SEARCH("ASAP",C2169)),"ASAP",IF(NETWORKDAYS.INTL(F2169,G2169,1,Table2[Dias no laborales]) &lt;= 7, "Dentro", IF(A2169&gt;F2169,"Programado","Fuera"))))</f>
        <v>Acumulado</v>
      </c>
      <c r="K2169" s="30" t="str">
        <f t="shared" ref="K2169:K2192" si="110">IF(INT(A2169)=INT(F2169),"A tiempo", IF(A2169&lt;F2169,"Mismo día","Programados"))</f>
        <v>Programados</v>
      </c>
      <c r="L2169" s="11">
        <v>46160</v>
      </c>
      <c r="M2169" s="31">
        <f>MAX(1,NETWORKDAYS(A2169,L2169,Table2[Dias no laborales]))</f>
        <v>1</v>
      </c>
    </row>
    <row r="2170" spans="1:13" x14ac:dyDescent="0.3">
      <c r="A2170" s="11">
        <v>46160</v>
      </c>
      <c r="B2170" s="20" t="s">
        <v>4366</v>
      </c>
      <c r="C2170" s="7" t="s">
        <v>4390</v>
      </c>
      <c r="D2170" s="7" t="s">
        <v>186</v>
      </c>
      <c r="E2170" s="18"/>
      <c r="F2170" s="11">
        <f>IF(HOUR(Table1[[#This Row],[CORREO]])&gt;=11,WORKDAY(Table1[[#This Row],[CORREO]],1,Table2[Dias no laborales]),E2170)</f>
        <v>0</v>
      </c>
      <c r="G2170" s="11"/>
      <c r="H2170" s="30">
        <f t="shared" si="109"/>
        <v>20</v>
      </c>
      <c r="I2170" s="30">
        <f>MAX(1, NETWORKDAYS(A2170, G2170,Table2[Dias no laborales]))</f>
        <v>1</v>
      </c>
      <c r="J2170" s="30" t="str">
        <f>IF(Table1[[#This Row],[FIN]]="","Acumulado",IF(ISNUMBER(SEARCH("ASAP",C2170)),"ASAP",IF(NETWORKDAYS.INTL(F2170,G2170,1,Table2[Dias no laborales]) &lt;= 7, "Dentro", IF(A2170&gt;F2170,"Programado","Fuera"))))</f>
        <v>Acumulado</v>
      </c>
      <c r="K2170" s="30" t="str">
        <f t="shared" si="110"/>
        <v>Programados</v>
      </c>
      <c r="L2170" s="11">
        <v>46160</v>
      </c>
      <c r="M2170" s="31">
        <f>MAX(1,NETWORKDAYS(A2170,L2170,Table2[Dias no laborales]))</f>
        <v>1</v>
      </c>
    </row>
    <row r="2171" spans="1:13" x14ac:dyDescent="0.3">
      <c r="A2171" s="11">
        <v>46160</v>
      </c>
      <c r="B2171" s="20" t="s">
        <v>4367</v>
      </c>
      <c r="C2171" s="7" t="s">
        <v>4391</v>
      </c>
      <c r="D2171" s="7" t="s">
        <v>103</v>
      </c>
      <c r="E2171" s="18"/>
      <c r="F2171" s="11">
        <f>IF(HOUR(Table1[[#This Row],[CORREO]])&gt;=11,WORKDAY(Table1[[#This Row],[CORREO]],1,Table2[Dias no laborales]),E2171)</f>
        <v>0</v>
      </c>
      <c r="G2171" s="11">
        <v>46160</v>
      </c>
      <c r="H2171" s="30">
        <f t="shared" si="109"/>
        <v>20</v>
      </c>
      <c r="I2171" s="30">
        <f>MAX(1, NETWORKDAYS(A2171, G2171,Table2[Dias no laborales]))</f>
        <v>1</v>
      </c>
      <c r="J2171" s="30" t="str">
        <f>IF(Table1[[#This Row],[FIN]]="","Acumulado",IF(ISNUMBER(SEARCH("ASAP",C2171)),"ASAP",IF(NETWORKDAYS.INTL(F2171,G2171,1,Table2[Dias no laborales]) &lt;= 7, "Dentro", IF(A2171&gt;F2171,"Programado","Fuera"))))</f>
        <v>Programado</v>
      </c>
      <c r="K2171" s="30" t="str">
        <f t="shared" si="110"/>
        <v>Programados</v>
      </c>
      <c r="L2171" s="11">
        <v>46160</v>
      </c>
      <c r="M2171" s="31">
        <f>MAX(1,NETWORKDAYS(A2171,L2171,Table2[Dias no laborales]))</f>
        <v>1</v>
      </c>
    </row>
    <row r="2172" spans="1:13" x14ac:dyDescent="0.3">
      <c r="A2172" s="11">
        <v>46160</v>
      </c>
      <c r="B2172" s="20" t="s">
        <v>4368</v>
      </c>
      <c r="C2172" s="7" t="s">
        <v>4392</v>
      </c>
      <c r="D2172" s="7" t="s">
        <v>449</v>
      </c>
      <c r="E2172" s="18"/>
      <c r="F2172" s="11">
        <f>IF(HOUR(Table1[[#This Row],[CORREO]])&gt;=11,WORKDAY(Table1[[#This Row],[CORREO]],1,Table2[Dias no laborales]),E2172)</f>
        <v>0</v>
      </c>
      <c r="G2172" s="11">
        <v>46160</v>
      </c>
      <c r="H2172" s="30">
        <f t="shared" si="109"/>
        <v>20</v>
      </c>
      <c r="I2172" s="30">
        <f>MAX(1, NETWORKDAYS(A2172, G2172,Table2[Dias no laborales]))</f>
        <v>1</v>
      </c>
      <c r="J2172" s="30" t="str">
        <f>IF(Table1[[#This Row],[FIN]]="","Acumulado",IF(ISNUMBER(SEARCH("ASAP",C2172)),"ASAP",IF(NETWORKDAYS.INTL(F2172,G2172,1,Table2[Dias no laborales]) &lt;= 7, "Dentro", IF(A2172&gt;F2172,"Programado","Fuera"))))</f>
        <v>Programado</v>
      </c>
      <c r="K2172" s="30" t="str">
        <f t="shared" si="110"/>
        <v>Programados</v>
      </c>
      <c r="L2172" s="11">
        <v>46160</v>
      </c>
      <c r="M2172" s="31">
        <f>MAX(1,NETWORKDAYS(A2172,L2172,Table2[Dias no laborales]))</f>
        <v>1</v>
      </c>
    </row>
    <row r="2173" spans="1:13" x14ac:dyDescent="0.3">
      <c r="A2173" s="11">
        <v>46160</v>
      </c>
      <c r="B2173" s="20" t="s">
        <v>4369</v>
      </c>
      <c r="C2173" s="7" t="s">
        <v>4393</v>
      </c>
      <c r="D2173" s="7" t="s">
        <v>3048</v>
      </c>
      <c r="E2173" s="18"/>
      <c r="F2173" s="11">
        <f>IF(HOUR(Table1[[#This Row],[CORREO]])&gt;=11,WORKDAY(Table1[[#This Row],[CORREO]],1,Table2[Dias no laborales]),E2173)</f>
        <v>0</v>
      </c>
      <c r="G2173" s="11">
        <v>46160</v>
      </c>
      <c r="H2173" s="30">
        <f t="shared" si="109"/>
        <v>20</v>
      </c>
      <c r="I2173" s="30">
        <f>MAX(1, NETWORKDAYS(A2173, G2173,Table2[Dias no laborales]))</f>
        <v>1</v>
      </c>
      <c r="J2173" s="30" t="str">
        <f>IF(Table1[[#This Row],[FIN]]="","Acumulado",IF(ISNUMBER(SEARCH("ASAP",C2173)),"ASAP",IF(NETWORKDAYS.INTL(F2173,G2173,1,Table2[Dias no laborales]) &lt;= 7, "Dentro", IF(A2173&gt;F2173,"Programado","Fuera"))))</f>
        <v>Programado</v>
      </c>
      <c r="K2173" s="30" t="str">
        <f t="shared" si="110"/>
        <v>Programados</v>
      </c>
      <c r="L2173" s="11">
        <v>46160</v>
      </c>
      <c r="M2173" s="31">
        <f>MAX(1,NETWORKDAYS(A2173,L2173,Table2[Dias no laborales]))</f>
        <v>1</v>
      </c>
    </row>
    <row r="2174" spans="1:13" x14ac:dyDescent="0.3">
      <c r="A2174" s="11">
        <v>46160</v>
      </c>
      <c r="B2174" s="20" t="s">
        <v>4370</v>
      </c>
      <c r="C2174" s="7" t="s">
        <v>4394</v>
      </c>
      <c r="D2174" s="7" t="s">
        <v>1333</v>
      </c>
      <c r="E2174" s="18"/>
      <c r="F2174" s="11">
        <f>IF(HOUR(Table1[[#This Row],[CORREO]])&gt;=11,WORKDAY(Table1[[#This Row],[CORREO]],1,Table2[Dias no laborales]),E2174)</f>
        <v>0</v>
      </c>
      <c r="G2174" s="11">
        <v>46161</v>
      </c>
      <c r="H2174" s="30">
        <f t="shared" si="109"/>
        <v>20</v>
      </c>
      <c r="I2174" s="30">
        <f>MAX(1, NETWORKDAYS(A2174, G2174,Table2[Dias no laborales]))</f>
        <v>2</v>
      </c>
      <c r="J2174" s="30" t="str">
        <f>IF(Table1[[#This Row],[FIN]]="","Acumulado",IF(ISNUMBER(SEARCH("ASAP",C2174)),"ASAP",IF(NETWORKDAYS.INTL(F2174,G2174,1,Table2[Dias no laborales]) &lt;= 7, "Dentro", IF(A2174&gt;F2174,"Programado","Fuera"))))</f>
        <v>Programado</v>
      </c>
      <c r="K2174" s="30" t="str">
        <f t="shared" si="110"/>
        <v>Programados</v>
      </c>
      <c r="L2174" s="11">
        <v>46170</v>
      </c>
      <c r="M2174" s="31">
        <f>MAX(1,NETWORKDAYS(A2174,L2174,Table2[Dias no laborales]))</f>
        <v>9</v>
      </c>
    </row>
    <row r="2175" spans="1:13" x14ac:dyDescent="0.3">
      <c r="A2175" s="11">
        <v>46160</v>
      </c>
      <c r="B2175" s="20" t="s">
        <v>4371</v>
      </c>
      <c r="C2175" s="7" t="s">
        <v>4337</v>
      </c>
      <c r="D2175" s="7" t="s">
        <v>269</v>
      </c>
      <c r="E2175" s="18"/>
      <c r="F2175" s="11">
        <f>IF(HOUR(Table1[[#This Row],[CORREO]])&gt;=11,WORKDAY(Table1[[#This Row],[CORREO]],1,Table2[Dias no laborales]),E2175)</f>
        <v>0</v>
      </c>
      <c r="G2175" s="11">
        <v>46160</v>
      </c>
      <c r="H2175" s="30">
        <f t="shared" si="109"/>
        <v>20</v>
      </c>
      <c r="I2175" s="30">
        <f>MAX(1, NETWORKDAYS(A2175, G2175,Table2[Dias no laborales]))</f>
        <v>1</v>
      </c>
      <c r="J2175" s="30" t="str">
        <f>IF(Table1[[#This Row],[FIN]]="","Acumulado",IF(ISNUMBER(SEARCH("ASAP",C2175)),"ASAP",IF(NETWORKDAYS.INTL(F2175,G2175,1,Table2[Dias no laborales]) &lt;= 7, "Dentro", IF(A2175&gt;F2175,"Programado","Fuera"))))</f>
        <v>Programado</v>
      </c>
      <c r="K2175" s="30" t="str">
        <f t="shared" si="110"/>
        <v>Programados</v>
      </c>
      <c r="L2175" s="11">
        <v>46160</v>
      </c>
      <c r="M2175" s="31">
        <f>MAX(1,NETWORKDAYS(A2175,L2175,Table2[Dias no laborales]))</f>
        <v>1</v>
      </c>
    </row>
    <row r="2176" spans="1:13" x14ac:dyDescent="0.3">
      <c r="A2176" s="11">
        <v>46160</v>
      </c>
      <c r="B2176" s="20" t="s">
        <v>4372</v>
      </c>
      <c r="C2176" s="7" t="s">
        <v>4395</v>
      </c>
      <c r="D2176" s="7" t="s">
        <v>24</v>
      </c>
      <c r="E2176" s="18"/>
      <c r="F2176" s="11">
        <f>IF(HOUR(Table1[[#This Row],[CORREO]])&gt;=11,WORKDAY(Table1[[#This Row],[CORREO]],1,Table2[Dias no laborales]),E2176)</f>
        <v>0</v>
      </c>
      <c r="G2176" s="11"/>
      <c r="H2176" s="30">
        <f t="shared" si="109"/>
        <v>20</v>
      </c>
      <c r="I2176" s="30">
        <f>MAX(1, NETWORKDAYS(A2176, G2176,Table2[Dias no laborales]))</f>
        <v>1</v>
      </c>
      <c r="J2176" s="30" t="str">
        <f>IF(Table1[[#This Row],[FIN]]="","Acumulado",IF(ISNUMBER(SEARCH("ASAP",C2176)),"ASAP",IF(NETWORKDAYS.INTL(F2176,G2176,1,Table2[Dias no laborales]) &lt;= 7, "Dentro", IF(A2176&gt;F2176,"Programado","Fuera"))))</f>
        <v>Acumulado</v>
      </c>
      <c r="K2176" s="30" t="str">
        <f t="shared" si="110"/>
        <v>Programados</v>
      </c>
      <c r="L2176" s="11">
        <v>46160</v>
      </c>
      <c r="M2176" s="31">
        <f>MAX(1,NETWORKDAYS(A2176,L2176,Table2[Dias no laborales]))</f>
        <v>1</v>
      </c>
    </row>
    <row r="2177" spans="1:13" x14ac:dyDescent="0.3">
      <c r="A2177" s="11">
        <v>46160</v>
      </c>
      <c r="B2177" s="20" t="s">
        <v>4373</v>
      </c>
      <c r="C2177" s="7" t="s">
        <v>4396</v>
      </c>
      <c r="D2177" s="7" t="s">
        <v>186</v>
      </c>
      <c r="E2177" s="18">
        <v>46159.710416666669</v>
      </c>
      <c r="F2177" s="11">
        <f>IF(HOUR(Table1[[#This Row],[CORREO]])&gt;=11,WORKDAY(Table1[[#This Row],[CORREO]],1,Table2[Dias no laborales]),E2177)</f>
        <v>46160</v>
      </c>
      <c r="G2177" s="11">
        <v>46160</v>
      </c>
      <c r="H2177" s="30">
        <f t="shared" si="109"/>
        <v>20</v>
      </c>
      <c r="I2177" s="30">
        <f>MAX(1, NETWORKDAYS(A2177, G2177,Table2[Dias no laborales]))</f>
        <v>1</v>
      </c>
      <c r="J2177" s="30" t="str">
        <f>IF(Table1[[#This Row],[FIN]]="","Acumulado",IF(ISNUMBER(SEARCH("ASAP",C2177)),"ASAP",IF(NETWORKDAYS.INTL(F2177,G2177,1,Table2[Dias no laborales]) &lt;= 7, "Dentro", IF(A2177&gt;F2177,"Programado","Fuera"))))</f>
        <v>Dentro</v>
      </c>
      <c r="K2177" s="30" t="str">
        <f t="shared" si="110"/>
        <v>A tiempo</v>
      </c>
      <c r="L2177" s="11">
        <v>46160</v>
      </c>
      <c r="M2177" s="31">
        <f>MAX(1,NETWORKDAYS(A2177,L2177,Table2[Dias no laborales]))</f>
        <v>1</v>
      </c>
    </row>
    <row r="2178" spans="1:13" x14ac:dyDescent="0.3">
      <c r="A2178" s="11">
        <v>46160</v>
      </c>
      <c r="B2178" s="20" t="s">
        <v>4374</v>
      </c>
      <c r="C2178" s="7" t="s">
        <v>4397</v>
      </c>
      <c r="D2178" s="7" t="s">
        <v>593</v>
      </c>
      <c r="E2178" s="18">
        <v>46157.513194444444</v>
      </c>
      <c r="F2178" s="11">
        <f>IF(HOUR(Table1[[#This Row],[CORREO]])&gt;=11,WORKDAY(Table1[[#This Row],[CORREO]],1,Table2[Dias no laborales]),E2178)</f>
        <v>46160</v>
      </c>
      <c r="G2178" s="11"/>
      <c r="H2178" s="30">
        <f t="shared" si="109"/>
        <v>20</v>
      </c>
      <c r="I2178" s="30">
        <f>MAX(1, NETWORKDAYS(A2178, G2178,Table2[Dias no laborales]))</f>
        <v>1</v>
      </c>
      <c r="J2178" s="30" t="str">
        <f>IF(Table1[[#This Row],[FIN]]="","Acumulado",IF(ISNUMBER(SEARCH("ASAP",C2178)),"ASAP",IF(NETWORKDAYS.INTL(F2178,G2178,1,Table2[Dias no laborales]) &lt;= 7, "Dentro", IF(A2178&gt;F2178,"Programado","Fuera"))))</f>
        <v>Acumulado</v>
      </c>
      <c r="K2178" s="30" t="str">
        <f t="shared" si="110"/>
        <v>A tiempo</v>
      </c>
      <c r="L2178" s="11">
        <v>46160</v>
      </c>
      <c r="M2178" s="31">
        <f>MAX(1,NETWORKDAYS(A2178,L2178,Table2[Dias no laborales]))</f>
        <v>1</v>
      </c>
    </row>
    <row r="2179" spans="1:13" x14ac:dyDescent="0.3">
      <c r="A2179" s="11">
        <v>46160</v>
      </c>
      <c r="B2179" s="20" t="s">
        <v>4375</v>
      </c>
      <c r="C2179" s="7" t="s">
        <v>4293</v>
      </c>
      <c r="D2179" s="7" t="s">
        <v>1840</v>
      </c>
      <c r="E2179" s="18">
        <v>46157.527777777781</v>
      </c>
      <c r="F2179" s="11">
        <f>IF(HOUR(Table1[[#This Row],[CORREO]])&gt;=11,WORKDAY(Table1[[#This Row],[CORREO]],1,Table2[Dias no laborales]),E2179)</f>
        <v>46160</v>
      </c>
      <c r="G2179" s="11"/>
      <c r="H2179" s="30">
        <f t="shared" si="109"/>
        <v>20</v>
      </c>
      <c r="I2179" s="30">
        <f>MAX(1, NETWORKDAYS(A2179, G2179,Table2[Dias no laborales]))</f>
        <v>1</v>
      </c>
      <c r="J2179" s="30" t="str">
        <f>IF(Table1[[#This Row],[FIN]]="","Acumulado",IF(ISNUMBER(SEARCH("ASAP",C2179)),"ASAP",IF(NETWORKDAYS.INTL(F2179,G2179,1,Table2[Dias no laborales]) &lt;= 7, "Dentro", IF(A2179&gt;F2179,"Programado","Fuera"))))</f>
        <v>Acumulado</v>
      </c>
      <c r="K2179" s="30" t="str">
        <f t="shared" si="110"/>
        <v>A tiempo</v>
      </c>
      <c r="L2179" s="11">
        <v>46160</v>
      </c>
      <c r="M2179" s="31">
        <f>MAX(1,NETWORKDAYS(A2179,L2179,Table2[Dias no laborales]))</f>
        <v>1</v>
      </c>
    </row>
    <row r="2180" spans="1:13" x14ac:dyDescent="0.3">
      <c r="A2180" s="11">
        <v>46160</v>
      </c>
      <c r="B2180" s="20" t="s">
        <v>4376</v>
      </c>
      <c r="C2180" s="7" t="s">
        <v>4398</v>
      </c>
      <c r="D2180" s="7" t="s">
        <v>4346</v>
      </c>
      <c r="E2180" s="18">
        <v>46157.474305555559</v>
      </c>
      <c r="F2180" s="11">
        <f>IF(HOUR(Table1[[#This Row],[CORREO]])&gt;=11,WORKDAY(Table1[[#This Row],[CORREO]],1,Table2[Dias no laborales]),E2180)</f>
        <v>46160</v>
      </c>
      <c r="G2180" s="11">
        <v>46160</v>
      </c>
      <c r="H2180" s="30">
        <f t="shared" si="109"/>
        <v>20</v>
      </c>
      <c r="I2180" s="30">
        <f>MAX(1, NETWORKDAYS(A2180, G2180,Table2[Dias no laborales]))</f>
        <v>1</v>
      </c>
      <c r="J2180" s="30" t="str">
        <f>IF(Table1[[#This Row],[FIN]]="","Acumulado",IF(ISNUMBER(SEARCH("ASAP",C2180)),"ASAP",IF(NETWORKDAYS.INTL(F2180,G2180,1,Table2[Dias no laborales]) &lt;= 7, "Dentro", IF(A2180&gt;F2180,"Programado","Fuera"))))</f>
        <v>Dentro</v>
      </c>
      <c r="K2180" s="30" t="str">
        <f t="shared" si="110"/>
        <v>A tiempo</v>
      </c>
      <c r="L2180" s="11">
        <v>46160</v>
      </c>
      <c r="M2180" s="31">
        <f>MAX(1,NETWORKDAYS(A2180,L2180,Table2[Dias no laborales]))</f>
        <v>1</v>
      </c>
    </row>
    <row r="2181" spans="1:13" x14ac:dyDescent="0.3">
      <c r="A2181" s="11">
        <v>46160</v>
      </c>
      <c r="B2181" s="20" t="s">
        <v>4377</v>
      </c>
      <c r="C2181" s="7" t="s">
        <v>4399</v>
      </c>
      <c r="D2181" s="7" t="s">
        <v>2981</v>
      </c>
      <c r="E2181" s="18">
        <v>46160.383333333331</v>
      </c>
      <c r="F2181" s="11">
        <f>IF(HOUR(Table1[[#This Row],[CORREO]])&gt;=11,WORKDAY(Table1[[#This Row],[CORREO]],1,Table2[Dias no laborales]),E2181)</f>
        <v>46160.383333333331</v>
      </c>
      <c r="G2181" s="11">
        <v>46162</v>
      </c>
      <c r="H2181" s="30">
        <f t="shared" si="109"/>
        <v>20</v>
      </c>
      <c r="I2181" s="30">
        <f>MAX(1, NETWORKDAYS(A2181, G2181,Table2[Dias no laborales]))</f>
        <v>3</v>
      </c>
      <c r="J2181" s="30" t="str">
        <f>IF(Table1[[#This Row],[FIN]]="","Acumulado",IF(ISNUMBER(SEARCH("ASAP",C2181)),"ASAP",IF(NETWORKDAYS.INTL(F2181,G2181,1,Table2[Dias no laborales]) &lt;= 7, "Dentro", IF(A2181&gt;F2181,"Programado","Fuera"))))</f>
        <v>Dentro</v>
      </c>
      <c r="K2181" s="30" t="str">
        <f t="shared" si="110"/>
        <v>A tiempo</v>
      </c>
      <c r="L2181" s="11">
        <v>46160</v>
      </c>
      <c r="M2181" s="31">
        <f>MAX(1,NETWORKDAYS(A2181,L2181,Table2[Dias no laborales]))</f>
        <v>1</v>
      </c>
    </row>
    <row r="2182" spans="1:13" x14ac:dyDescent="0.3">
      <c r="A2182" s="11">
        <v>46160</v>
      </c>
      <c r="B2182" s="20" t="s">
        <v>4378</v>
      </c>
      <c r="C2182" s="7" t="s">
        <v>4400</v>
      </c>
      <c r="D2182" s="7" t="s">
        <v>18</v>
      </c>
      <c r="E2182" s="18">
        <v>46160.431250000001</v>
      </c>
      <c r="F2182" s="11">
        <f>IF(HOUR(Table1[[#This Row],[CORREO]])&gt;=11,WORKDAY(Table1[[#This Row],[CORREO]],1,Table2[Dias no laborales]),E2182)</f>
        <v>46160.431250000001</v>
      </c>
      <c r="G2182" s="11"/>
      <c r="H2182" s="30">
        <f t="shared" si="109"/>
        <v>20</v>
      </c>
      <c r="I2182" s="30">
        <f>MAX(1, NETWORKDAYS(A2182, G2182,Table2[Dias no laborales]))</f>
        <v>1</v>
      </c>
      <c r="J2182" s="30" t="str">
        <f>IF(Table1[[#This Row],[FIN]]="","Acumulado",IF(ISNUMBER(SEARCH("ASAP",C2182)),"ASAP",IF(NETWORKDAYS.INTL(F2182,G2182,1,Table2[Dias no laborales]) &lt;= 7, "Dentro", IF(A2182&gt;F2182,"Programado","Fuera"))))</f>
        <v>Acumulado</v>
      </c>
      <c r="K2182" s="30" t="str">
        <f t="shared" si="110"/>
        <v>A tiempo</v>
      </c>
      <c r="L2182" s="11">
        <v>46160</v>
      </c>
      <c r="M2182" s="31">
        <f>MAX(1,NETWORKDAYS(A2182,L2182,Table2[Dias no laborales]))</f>
        <v>1</v>
      </c>
    </row>
    <row r="2183" spans="1:13" x14ac:dyDescent="0.3">
      <c r="A2183" s="11">
        <v>46160</v>
      </c>
      <c r="B2183" s="20" t="s">
        <v>4379</v>
      </c>
      <c r="C2183" s="7" t="s">
        <v>4401</v>
      </c>
      <c r="D2183" s="7" t="s">
        <v>133</v>
      </c>
      <c r="E2183" s="18">
        <v>46160.46597222222</v>
      </c>
      <c r="F2183" s="11">
        <f>IF(HOUR(Table1[[#This Row],[CORREO]])&gt;=11,WORKDAY(Table1[[#This Row],[CORREO]],1,Table2[Dias no laborales]),E2183)</f>
        <v>46161</v>
      </c>
      <c r="G2183" s="11">
        <v>46162</v>
      </c>
      <c r="H2183" s="30">
        <f t="shared" si="109"/>
        <v>20</v>
      </c>
      <c r="I2183" s="30">
        <f>MAX(1, NETWORKDAYS(A2183, G2183,Table2[Dias no laborales]))</f>
        <v>3</v>
      </c>
      <c r="J2183" s="30" t="str">
        <f>IF(Table1[[#This Row],[FIN]]="","Acumulado",IF(ISNUMBER(SEARCH("ASAP",C2183)),"ASAP",IF(NETWORKDAYS.INTL(F2183,G2183,1,Table2[Dias no laborales]) &lt;= 7, "Dentro", IF(A2183&gt;F2183,"Programado","Fuera"))))</f>
        <v>Dentro</v>
      </c>
      <c r="K2183" s="30" t="str">
        <f t="shared" si="110"/>
        <v>Mismo día</v>
      </c>
      <c r="L2183" s="11">
        <v>46160</v>
      </c>
      <c r="M2183" s="31">
        <f>MAX(1,NETWORKDAYS(A2183,L2183,Table2[Dias no laborales]))</f>
        <v>1</v>
      </c>
    </row>
    <row r="2184" spans="1:13" x14ac:dyDescent="0.3">
      <c r="A2184" s="11">
        <v>46160</v>
      </c>
      <c r="B2184" s="20" t="s">
        <v>4380</v>
      </c>
      <c r="C2184" s="7" t="s">
        <v>4322</v>
      </c>
      <c r="D2184" s="7" t="s">
        <v>24</v>
      </c>
      <c r="E2184" s="18"/>
      <c r="F2184" s="11">
        <f>IF(HOUR(Table1[[#This Row],[CORREO]])&gt;=11,WORKDAY(Table1[[#This Row],[CORREO]],1,Table2[Dias no laborales]),E2184)</f>
        <v>0</v>
      </c>
      <c r="G2184" s="11"/>
      <c r="H2184" s="30">
        <f t="shared" si="109"/>
        <v>20</v>
      </c>
      <c r="I2184" s="30">
        <f>MAX(1, NETWORKDAYS(A2184, G2184,Table2[Dias no laborales]))</f>
        <v>1</v>
      </c>
      <c r="J2184" s="30" t="str">
        <f>IF(Table1[[#This Row],[FIN]]="","Acumulado",IF(ISNUMBER(SEARCH("ASAP",C2184)),"ASAP",IF(NETWORKDAYS.INTL(F2184,G2184,1,Table2[Dias no laborales]) &lt;= 7, "Dentro", IF(A2184&gt;F2184,"Programado","Fuera"))))</f>
        <v>Acumulado</v>
      </c>
      <c r="K2184" s="30" t="str">
        <f t="shared" si="110"/>
        <v>Programados</v>
      </c>
      <c r="L2184" s="11">
        <v>46160</v>
      </c>
      <c r="M2184" s="31">
        <f>MAX(1,NETWORKDAYS(A2184,L2184,Table2[Dias no laborales]))</f>
        <v>1</v>
      </c>
    </row>
    <row r="2185" spans="1:13" x14ac:dyDescent="0.3">
      <c r="A2185" s="11">
        <v>46161</v>
      </c>
      <c r="B2185" s="20" t="s">
        <v>4381</v>
      </c>
      <c r="C2185" s="7" t="s">
        <v>4402</v>
      </c>
      <c r="D2185" s="7" t="s">
        <v>3814</v>
      </c>
      <c r="E2185" s="18">
        <v>46161.316666666666</v>
      </c>
      <c r="F2185" s="11">
        <f>IF(HOUR(Table1[[#This Row],[CORREO]])&gt;=11,WORKDAY(Table1[[#This Row],[CORREO]],1,Table2[Dias no laborales]),E2185)</f>
        <v>46161.316666666666</v>
      </c>
      <c r="G2185" s="11">
        <v>46162</v>
      </c>
      <c r="H2185" s="30">
        <f t="shared" si="109"/>
        <v>20</v>
      </c>
      <c r="I2185" s="30">
        <f>MAX(1, NETWORKDAYS(A2185, G2185,Table2[Dias no laborales]))</f>
        <v>2</v>
      </c>
      <c r="J2185" s="30" t="str">
        <f>IF(Table1[[#This Row],[FIN]]="","Acumulado",IF(ISNUMBER(SEARCH("ASAP",C2185)),"ASAP",IF(NETWORKDAYS.INTL(F2185,G2185,1,Table2[Dias no laborales]) &lt;= 7, "Dentro", IF(A2185&gt;F2185,"Programado","Fuera"))))</f>
        <v>Dentro</v>
      </c>
      <c r="K2185" s="30" t="str">
        <f t="shared" si="110"/>
        <v>A tiempo</v>
      </c>
      <c r="L2185" s="11">
        <v>46161</v>
      </c>
      <c r="M2185" s="31">
        <f>MAX(1,NETWORKDAYS(A2185,L2185,Table2[Dias no laborales]))</f>
        <v>1</v>
      </c>
    </row>
    <row r="2186" spans="1:13" x14ac:dyDescent="0.3">
      <c r="A2186" s="11">
        <v>46161</v>
      </c>
      <c r="B2186" s="20" t="s">
        <v>4382</v>
      </c>
      <c r="C2186" s="7" t="s">
        <v>4403</v>
      </c>
      <c r="D2186" s="7" t="s">
        <v>194</v>
      </c>
      <c r="E2186" s="18">
        <v>46161.361805555556</v>
      </c>
      <c r="F2186" s="11">
        <f>IF(HOUR(Table1[[#This Row],[CORREO]])&gt;=11,WORKDAY(Table1[[#This Row],[CORREO]],1,Table2[Dias no laborales]),E2186)</f>
        <v>46161.361805555556</v>
      </c>
      <c r="G2186" s="11"/>
      <c r="H2186" s="30">
        <f t="shared" si="109"/>
        <v>20</v>
      </c>
      <c r="I2186" s="30">
        <f>MAX(1, NETWORKDAYS(A2186, G2186,Table2[Dias no laborales]))</f>
        <v>1</v>
      </c>
      <c r="J2186" s="30" t="str">
        <f>IF(Table1[[#This Row],[FIN]]="","Acumulado",IF(ISNUMBER(SEARCH("ASAP",C2186)),"ASAP",IF(NETWORKDAYS.INTL(F2186,G2186,1,Table2[Dias no laborales]) &lt;= 7, "Dentro", IF(A2186&gt;F2186,"Programado","Fuera"))))</f>
        <v>Acumulado</v>
      </c>
      <c r="K2186" s="30" t="str">
        <f t="shared" si="110"/>
        <v>A tiempo</v>
      </c>
      <c r="L2186" s="11">
        <v>46162</v>
      </c>
      <c r="M2186" s="31">
        <f>MAX(1,NETWORKDAYS(A2186,L2186,Table2[Dias no laborales]))</f>
        <v>2</v>
      </c>
    </row>
    <row r="2187" spans="1:13" x14ac:dyDescent="0.3">
      <c r="A2187" s="11">
        <v>46161</v>
      </c>
      <c r="B2187" s="20" t="s">
        <v>4383</v>
      </c>
      <c r="C2187" s="7" t="s">
        <v>4404</v>
      </c>
      <c r="D2187" s="7" t="s">
        <v>1360</v>
      </c>
      <c r="E2187" s="18">
        <v>46161.441666666666</v>
      </c>
      <c r="F2187" s="11">
        <f>IF(HOUR(Table1[[#This Row],[CORREO]])&gt;=11,WORKDAY(Table1[[#This Row],[CORREO]],1,Table2[Dias no laborales]),E2187)</f>
        <v>46161.441666666666</v>
      </c>
      <c r="G2187" s="11"/>
      <c r="H2187" s="30">
        <f t="shared" si="109"/>
        <v>20</v>
      </c>
      <c r="I2187" s="30">
        <f>MAX(1, NETWORKDAYS(A2187, G2187,Table2[Dias no laborales]))</f>
        <v>1</v>
      </c>
      <c r="J2187" s="30" t="str">
        <f>IF(Table1[[#This Row],[FIN]]="","Acumulado",IF(ISNUMBER(SEARCH("ASAP",C2187)),"ASAP",IF(NETWORKDAYS.INTL(F2187,G2187,1,Table2[Dias no laborales]) &lt;= 7, "Dentro", IF(A2187&gt;F2187,"Programado","Fuera"))))</f>
        <v>Acumulado</v>
      </c>
      <c r="K2187" s="30" t="str">
        <f t="shared" si="110"/>
        <v>A tiempo</v>
      </c>
      <c r="L2187" s="11">
        <v>46162</v>
      </c>
      <c r="M2187" s="31">
        <f>MAX(1,NETWORKDAYS(A2187,L2187,Table2[Dias no laborales]))</f>
        <v>2</v>
      </c>
    </row>
    <row r="2188" spans="1:13" x14ac:dyDescent="0.3">
      <c r="A2188" s="11">
        <v>46161</v>
      </c>
      <c r="B2188" s="20" t="s">
        <v>4384</v>
      </c>
      <c r="C2188" s="7" t="s">
        <v>4405</v>
      </c>
      <c r="D2188" s="18" t="s">
        <v>1333</v>
      </c>
      <c r="E2188" s="18">
        <v>46161.567361111112</v>
      </c>
      <c r="F2188" s="11">
        <f>IF(HOUR(Table1[[#This Row],[CORREO]])&gt;=11,WORKDAY(Table1[[#This Row],[CORREO]],1,Table2[Dias no laborales]),E2188)</f>
        <v>46162</v>
      </c>
      <c r="G2188" s="11"/>
      <c r="H2188" s="30">
        <f t="shared" si="109"/>
        <v>20</v>
      </c>
      <c r="I2188" s="30">
        <f>MAX(1, NETWORKDAYS(A2188, G2188,Table2[Dias no laborales]))</f>
        <v>1</v>
      </c>
      <c r="J2188" s="30" t="str">
        <f>IF(Table1[[#This Row],[FIN]]="","Acumulado",IF(ISNUMBER(SEARCH("ASAP",C2188)),"ASAP",IF(NETWORKDAYS.INTL(F2188,G2188,1,Table2[Dias no laborales]) &lt;= 7, "Dentro", IF(A2188&gt;F2188,"Programado","Fuera"))))</f>
        <v>Acumulado</v>
      </c>
      <c r="K2188" s="30" t="str">
        <f t="shared" si="110"/>
        <v>Mismo día</v>
      </c>
      <c r="L2188" s="11">
        <v>46161</v>
      </c>
      <c r="M2188" s="31">
        <f>MAX(1,NETWORKDAYS(A2188,L2188,Table2[Dias no laborales]))</f>
        <v>1</v>
      </c>
    </row>
    <row r="2189" spans="1:13" x14ac:dyDescent="0.3">
      <c r="A2189" s="11">
        <v>46161</v>
      </c>
      <c r="B2189" s="20" t="s">
        <v>4385</v>
      </c>
      <c r="C2189" s="7" t="s">
        <v>4406</v>
      </c>
      <c r="D2189" s="7" t="s">
        <v>230</v>
      </c>
      <c r="E2189" s="18">
        <v>46161.681250000001</v>
      </c>
      <c r="F2189" s="11">
        <f>IF(HOUR(Table1[[#This Row],[CORREO]])&gt;=11,WORKDAY(Table1[[#This Row],[CORREO]],1,Table2[Dias no laborales]),E2189)</f>
        <v>46162</v>
      </c>
      <c r="G2189" s="11"/>
      <c r="H2189" s="30">
        <f t="shared" si="109"/>
        <v>20</v>
      </c>
      <c r="I2189" s="30">
        <f>MAX(1, NETWORKDAYS(A2189, G2189,Table2[Dias no laborales]))</f>
        <v>1</v>
      </c>
      <c r="J2189" s="30" t="str">
        <f>IF(Table1[[#This Row],[FIN]]="","Acumulado",IF(ISNUMBER(SEARCH("ASAP",C2189)),"ASAP",IF(NETWORKDAYS.INTL(F2189,G2189,1,Table2[Dias no laborales]) &lt;= 7, "Dentro", IF(A2189&gt;F2189,"Programado","Fuera"))))</f>
        <v>Acumulado</v>
      </c>
      <c r="K2189" s="30" t="str">
        <f t="shared" si="110"/>
        <v>Mismo día</v>
      </c>
      <c r="L2189" s="11">
        <v>46161</v>
      </c>
      <c r="M2189" s="31">
        <f>MAX(1,NETWORKDAYS(A2189,L2189,Table2[Dias no laborales]))</f>
        <v>1</v>
      </c>
    </row>
    <row r="2190" spans="1:13" x14ac:dyDescent="0.3">
      <c r="A2190" s="11">
        <v>46162</v>
      </c>
      <c r="B2190" s="20" t="s">
        <v>4386</v>
      </c>
      <c r="C2190" s="7" t="s">
        <v>4407</v>
      </c>
      <c r="D2190" s="7" t="s">
        <v>3794</v>
      </c>
      <c r="E2190" s="18">
        <v>46161.575694444444</v>
      </c>
      <c r="F2190" s="11">
        <f>IF(HOUR(Table1[[#This Row],[CORREO]])&gt;=11,WORKDAY(Table1[[#This Row],[CORREO]],1,Table2[Dias no laborales]),E2190)</f>
        <v>46162</v>
      </c>
      <c r="G2190" s="11"/>
      <c r="H2190" s="30">
        <f t="shared" si="109"/>
        <v>20</v>
      </c>
      <c r="I2190" s="30">
        <f>MAX(1, NETWORKDAYS(A2190, G2190,Table2[Dias no laborales]))</f>
        <v>1</v>
      </c>
      <c r="J2190" s="30" t="str">
        <f>IF(Table1[[#This Row],[FIN]]="","Acumulado",IF(ISNUMBER(SEARCH("ASAP",C2190)),"ASAP",IF(NETWORKDAYS.INTL(F2190,G2190,1,Table2[Dias no laborales]) &lt;= 7, "Dentro", IF(A2190&gt;F2190,"Programado","Fuera"))))</f>
        <v>Acumulado</v>
      </c>
      <c r="K2190" s="30" t="str">
        <f t="shared" si="110"/>
        <v>A tiempo</v>
      </c>
      <c r="L2190" s="11">
        <v>46162</v>
      </c>
      <c r="M2190" s="31">
        <f>MAX(1,NETWORKDAYS(A2190,L2190,Table2[Dias no laborales]))</f>
        <v>1</v>
      </c>
    </row>
    <row r="2191" spans="1:13" x14ac:dyDescent="0.3">
      <c r="A2191" s="11">
        <v>46162</v>
      </c>
      <c r="B2191" s="20" t="s">
        <v>4387</v>
      </c>
      <c r="C2191" s="7" t="s">
        <v>4408</v>
      </c>
      <c r="D2191" s="18" t="s">
        <v>351</v>
      </c>
      <c r="E2191" s="18">
        <v>46161.652083333334</v>
      </c>
      <c r="F2191" s="11">
        <f>IF(HOUR(Table1[[#This Row],[CORREO]])&gt;=11,WORKDAY(Table1[[#This Row],[CORREO]],1,Table2[Dias no laborales]),E2191)</f>
        <v>46162</v>
      </c>
      <c r="G2191" s="11">
        <v>46162</v>
      </c>
      <c r="H2191" s="30">
        <f t="shared" si="109"/>
        <v>20</v>
      </c>
      <c r="I2191" s="30">
        <f>MAX(1, NETWORKDAYS(A2191, G2191,Table2[Dias no laborales]))</f>
        <v>1</v>
      </c>
      <c r="J2191" s="30" t="str">
        <f>IF(Table1[[#This Row],[FIN]]="","Acumulado",IF(ISNUMBER(SEARCH("ASAP",C2191)),"ASAP",IF(NETWORKDAYS.INTL(F2191,G2191,1,Table2[Dias no laborales]) &lt;= 7, "Dentro", IF(A2191&gt;F2191,"Programado","Fuera"))))</f>
        <v>Dentro</v>
      </c>
      <c r="K2191" s="30" t="str">
        <f t="shared" si="110"/>
        <v>A tiempo</v>
      </c>
      <c r="L2191" s="11">
        <v>46162</v>
      </c>
      <c r="M2191" s="31">
        <f>MAX(1,NETWORKDAYS(A2191,L2191,Table2[Dias no laborales]))</f>
        <v>1</v>
      </c>
    </row>
    <row r="2192" spans="1:13" x14ac:dyDescent="0.3">
      <c r="A2192" s="11">
        <v>46162</v>
      </c>
      <c r="B2192" s="20" t="s">
        <v>4388</v>
      </c>
      <c r="C2192" s="7" t="s">
        <v>4409</v>
      </c>
      <c r="D2192" s="7" t="s">
        <v>194</v>
      </c>
      <c r="E2192" s="18">
        <v>46162.4375</v>
      </c>
      <c r="F2192" s="11">
        <f>IF(HOUR(Table1[[#This Row],[CORREO]])&gt;=11,WORKDAY(Table1[[#This Row],[CORREO]],1,Table2[Dias no laborales]),E2192)</f>
        <v>46162.4375</v>
      </c>
      <c r="G2192" s="11"/>
      <c r="H2192" s="30">
        <f t="shared" si="109"/>
        <v>20</v>
      </c>
      <c r="I2192" s="30">
        <f>MAX(1, NETWORKDAYS(A2192, G2192,Table2[Dias no laborales]))</f>
        <v>1</v>
      </c>
      <c r="J2192" s="30" t="str">
        <f>IF(Table1[[#This Row],[FIN]]="","Acumulado",IF(ISNUMBER(SEARCH("ASAP",C2192)),"ASAP",IF(NETWORKDAYS.INTL(F2192,G2192,1,Table2[Dias no laborales]) &lt;= 7, "Dentro", IF(A2192&gt;F2192,"Programado","Fuera"))))</f>
        <v>Acumulado</v>
      </c>
      <c r="K2192" s="30" t="str">
        <f t="shared" si="110"/>
        <v>A tiempo</v>
      </c>
      <c r="L2192" s="11">
        <v>46162</v>
      </c>
      <c r="M2192" s="31">
        <f>MAX(1,NETWORKDAYS(A2192,L2192,Table2[Dias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2"/>
  <sheetViews>
    <sheetView workbookViewId="0">
      <selection activeCell="A11" sqref="A11"/>
    </sheetView>
  </sheetViews>
  <sheetFormatPr defaultRowHeight="14.4" x14ac:dyDescent="0.3"/>
  <cols>
    <col min="1" max="1" width="16.6640625" style="28" customWidth="1"/>
  </cols>
  <sheetData>
    <row r="1" spans="1:1" x14ac:dyDescent="0.3">
      <c r="A1" s="28" t="s">
        <v>3340</v>
      </c>
    </row>
    <row r="2" spans="1:1" x14ac:dyDescent="0.3">
      <c r="A2" s="28">
        <v>45978</v>
      </c>
    </row>
    <row r="3" spans="1:1" x14ac:dyDescent="0.3">
      <c r="A3" s="28">
        <v>46015</v>
      </c>
    </row>
    <row r="4" spans="1:1" x14ac:dyDescent="0.3">
      <c r="A4" s="28">
        <v>46016</v>
      </c>
    </row>
    <row r="5" spans="1:1" x14ac:dyDescent="0.3">
      <c r="A5" s="28">
        <v>46022</v>
      </c>
    </row>
    <row r="6" spans="1:1" x14ac:dyDescent="0.3">
      <c r="A6" s="28">
        <v>46023</v>
      </c>
    </row>
    <row r="7" spans="1:1" x14ac:dyDescent="0.3">
      <c r="A7" s="28">
        <v>46055</v>
      </c>
    </row>
    <row r="8" spans="1:1" x14ac:dyDescent="0.3">
      <c r="A8" s="28">
        <v>46097</v>
      </c>
    </row>
    <row r="9" spans="1:1" x14ac:dyDescent="0.3">
      <c r="A9" s="28">
        <v>46114</v>
      </c>
    </row>
    <row r="10" spans="1:1" x14ac:dyDescent="0.3">
      <c r="A10" s="28">
        <v>46115</v>
      </c>
    </row>
    <row r="11" spans="1:1" x14ac:dyDescent="0.3">
      <c r="A11" s="28">
        <v>46143</v>
      </c>
    </row>
    <row r="12" spans="1:1" x14ac:dyDescent="0.3">
      <c r="A12" s="28">
        <v>46147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2026-05-20T21:28:45Z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