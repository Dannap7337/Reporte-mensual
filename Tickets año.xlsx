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459224D2-C8BF-4DBE-9EEB-DDA61EA23DA4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K1657" i="1" s="1"/>
  <c r="F1658" i="1"/>
  <c r="F1659" i="1"/>
  <c r="F1660" i="1"/>
  <c r="F1661" i="1"/>
  <c r="F1662" i="1"/>
  <c r="F1663" i="1"/>
  <c r="J1663" i="1" s="1"/>
  <c r="F1664" i="1"/>
  <c r="F1665" i="1"/>
  <c r="J1665" i="1" s="1"/>
  <c r="F1666" i="1"/>
  <c r="F1667" i="1"/>
  <c r="F1668" i="1"/>
  <c r="F1669" i="1"/>
  <c r="F1670" i="1"/>
  <c r="F1671" i="1"/>
  <c r="F1672" i="1"/>
  <c r="F1673" i="1"/>
  <c r="K1673" i="1" s="1"/>
  <c r="F1674" i="1"/>
  <c r="F1675" i="1"/>
  <c r="F1676" i="1"/>
  <c r="F1677" i="1"/>
  <c r="F1678" i="1"/>
  <c r="F1679" i="1"/>
  <c r="K1679" i="1" s="1"/>
  <c r="F1680" i="1"/>
  <c r="F1681" i="1"/>
  <c r="K1681" i="1" s="1"/>
  <c r="F1682" i="1"/>
  <c r="F1683" i="1"/>
  <c r="F1684" i="1"/>
  <c r="F1685" i="1"/>
  <c r="F1686" i="1"/>
  <c r="F1687" i="1"/>
  <c r="K1687" i="1" s="1"/>
  <c r="F1688" i="1"/>
  <c r="F1689" i="1"/>
  <c r="J1689" i="1" s="1"/>
  <c r="F1690" i="1"/>
  <c r="F1691" i="1"/>
  <c r="F1692" i="1"/>
  <c r="F1693" i="1"/>
  <c r="F1694" i="1"/>
  <c r="F1695" i="1"/>
  <c r="K1695" i="1" s="1"/>
  <c r="F1696" i="1"/>
  <c r="F1697" i="1"/>
  <c r="K1697" i="1" s="1"/>
  <c r="F1698" i="1"/>
  <c r="F1699" i="1"/>
  <c r="F1700" i="1"/>
  <c r="F1701" i="1"/>
  <c r="F1702" i="1"/>
  <c r="F1703" i="1"/>
  <c r="F1704" i="1"/>
  <c r="F1705" i="1"/>
  <c r="K1705" i="1" s="1"/>
  <c r="F1706" i="1"/>
  <c r="F1707" i="1"/>
  <c r="F1708" i="1"/>
  <c r="F1709" i="1"/>
  <c r="F1710" i="1"/>
  <c r="F1711" i="1"/>
  <c r="K1711" i="1" s="1"/>
  <c r="F1712" i="1"/>
  <c r="F1713" i="1"/>
  <c r="K1713" i="1" s="1"/>
  <c r="F1714" i="1"/>
  <c r="F1715" i="1"/>
  <c r="F1716" i="1"/>
  <c r="F1717" i="1"/>
  <c r="F1718" i="1"/>
  <c r="F1719" i="1"/>
  <c r="K1719" i="1" s="1"/>
  <c r="F1720" i="1"/>
  <c r="F1721" i="1"/>
  <c r="K1721" i="1" s="1"/>
  <c r="F1722" i="1"/>
  <c r="F1723" i="1"/>
  <c r="F1724" i="1"/>
  <c r="F1725" i="1"/>
  <c r="F1726" i="1"/>
  <c r="F1727" i="1"/>
  <c r="K1727" i="1" s="1"/>
  <c r="F1728" i="1"/>
  <c r="F1729" i="1"/>
  <c r="K1729" i="1" s="1"/>
  <c r="F1730" i="1"/>
  <c r="F1731" i="1"/>
  <c r="F1732" i="1"/>
  <c r="F1733" i="1"/>
  <c r="F1734" i="1"/>
  <c r="F1735" i="1"/>
  <c r="K1735" i="1" s="1"/>
  <c r="F1736" i="1"/>
  <c r="F1737" i="1"/>
  <c r="J1737" i="1" s="1"/>
  <c r="F1738" i="1"/>
  <c r="F1739" i="1"/>
  <c r="F1740" i="1"/>
  <c r="F1741" i="1"/>
  <c r="F1742" i="1"/>
  <c r="F1743" i="1"/>
  <c r="K1743" i="1" s="1"/>
  <c r="F1744" i="1"/>
  <c r="F1745" i="1"/>
  <c r="K1745" i="1" s="1"/>
  <c r="F1746" i="1"/>
  <c r="F1747" i="1"/>
  <c r="F1748" i="1"/>
  <c r="F1749" i="1"/>
  <c r="F1750" i="1"/>
  <c r="F1751" i="1"/>
  <c r="K1751" i="1" s="1"/>
  <c r="F1752" i="1"/>
  <c r="F1753" i="1"/>
  <c r="K1753" i="1" s="1"/>
  <c r="F1754" i="1"/>
  <c r="F1755" i="1"/>
  <c r="F1756" i="1"/>
  <c r="F1757" i="1"/>
  <c r="F1758" i="1"/>
  <c r="F1759" i="1"/>
  <c r="J1759" i="1" s="1"/>
  <c r="F1760" i="1"/>
  <c r="F1761" i="1"/>
  <c r="K1761" i="1" s="1"/>
  <c r="F1762" i="1"/>
  <c r="F1763" i="1"/>
  <c r="F1764" i="1"/>
  <c r="F1765" i="1"/>
  <c r="F1766" i="1"/>
  <c r="F1767" i="1"/>
  <c r="F1768" i="1"/>
  <c r="F1769" i="1"/>
  <c r="K1769" i="1" s="1"/>
  <c r="F1770" i="1"/>
  <c r="F1771" i="1"/>
  <c r="F1772" i="1"/>
  <c r="F1773" i="1"/>
  <c r="F1774" i="1"/>
  <c r="F1775" i="1"/>
  <c r="K1775" i="1" s="1"/>
  <c r="F1776" i="1"/>
  <c r="F1777" i="1"/>
  <c r="K1777" i="1" s="1"/>
  <c r="F1778" i="1"/>
  <c r="F1779" i="1"/>
  <c r="F1780" i="1"/>
  <c r="F1781" i="1"/>
  <c r="F1782" i="1"/>
  <c r="F1783" i="1"/>
  <c r="F1784" i="1"/>
  <c r="F1785" i="1"/>
  <c r="K1785" i="1" s="1"/>
  <c r="F1786" i="1"/>
  <c r="F1787" i="1"/>
  <c r="F1788" i="1"/>
  <c r="F1789" i="1"/>
  <c r="F1790" i="1"/>
  <c r="F1791" i="1"/>
  <c r="K1791" i="1" s="1"/>
  <c r="F1792" i="1"/>
  <c r="F1793" i="1"/>
  <c r="K1793" i="1" s="1"/>
  <c r="F1794" i="1"/>
  <c r="F1795" i="1"/>
  <c r="F1796" i="1"/>
  <c r="F1797" i="1"/>
  <c r="F1798" i="1"/>
  <c r="F1799" i="1"/>
  <c r="K1799" i="1" s="1"/>
  <c r="F1800" i="1"/>
  <c r="F1801" i="1"/>
  <c r="K1801" i="1" s="1"/>
  <c r="F1802" i="1"/>
  <c r="F1803" i="1"/>
  <c r="F1804" i="1"/>
  <c r="F1805" i="1"/>
  <c r="F1806" i="1"/>
  <c r="F1807" i="1"/>
  <c r="K1807" i="1" s="1"/>
  <c r="F1808" i="1"/>
  <c r="F1809" i="1"/>
  <c r="K1809" i="1" s="1"/>
  <c r="F1810" i="1"/>
  <c r="F1811" i="1"/>
  <c r="F1812" i="1"/>
  <c r="F1813" i="1"/>
  <c r="F1814" i="1"/>
  <c r="F1815" i="1"/>
  <c r="K1815" i="1" s="1"/>
  <c r="F1816" i="1"/>
  <c r="F1817" i="1"/>
  <c r="K1817" i="1" s="1"/>
  <c r="F1818" i="1"/>
  <c r="F1819" i="1"/>
  <c r="F1820" i="1"/>
  <c r="F1821" i="1"/>
  <c r="F1822" i="1"/>
  <c r="F1823" i="1"/>
  <c r="K1823" i="1" s="1"/>
  <c r="F1824" i="1"/>
  <c r="F1825" i="1"/>
  <c r="K1825" i="1" s="1"/>
  <c r="F1826" i="1"/>
  <c r="F1827" i="1"/>
  <c r="F1828" i="1"/>
  <c r="F1829" i="1"/>
  <c r="F1830" i="1"/>
  <c r="F1831" i="1"/>
  <c r="F1832" i="1"/>
  <c r="F1833" i="1"/>
  <c r="K1833" i="1" s="1"/>
  <c r="F1834" i="1"/>
  <c r="F1835" i="1"/>
  <c r="F1836" i="1"/>
  <c r="F1837" i="1"/>
  <c r="F1838" i="1"/>
  <c r="F1839" i="1"/>
  <c r="K1839" i="1" s="1"/>
  <c r="F1840" i="1"/>
  <c r="F1841" i="1"/>
  <c r="K1841" i="1" s="1"/>
  <c r="F1842" i="1"/>
  <c r="F1843" i="1"/>
  <c r="F1844" i="1"/>
  <c r="F1845" i="1"/>
  <c r="F1846" i="1"/>
  <c r="F1847" i="1"/>
  <c r="F1848" i="1"/>
  <c r="F1849" i="1"/>
  <c r="K1849" i="1" s="1"/>
  <c r="F1850" i="1"/>
  <c r="F1851" i="1"/>
  <c r="F1852" i="1"/>
  <c r="F1853" i="1"/>
  <c r="F1854" i="1"/>
  <c r="F1855" i="1"/>
  <c r="K1855" i="1" s="1"/>
  <c r="F1856" i="1"/>
  <c r="F1857" i="1"/>
  <c r="K1857" i="1" s="1"/>
  <c r="F1858" i="1"/>
  <c r="F1859" i="1"/>
  <c r="F1860" i="1"/>
  <c r="F1861" i="1"/>
  <c r="F1862" i="1"/>
  <c r="F1863" i="1"/>
  <c r="J1863" i="1" s="1"/>
  <c r="F1864" i="1"/>
  <c r="F1865" i="1"/>
  <c r="K1865" i="1" s="1"/>
  <c r="F1866" i="1"/>
  <c r="K1866" i="1" s="1"/>
  <c r="F1867" i="1"/>
  <c r="F1868" i="1"/>
  <c r="F1869" i="1"/>
  <c r="F1870" i="1"/>
  <c r="K1870" i="1" s="1"/>
  <c r="F1871" i="1"/>
  <c r="K1871" i="1" s="1"/>
  <c r="F1872" i="1"/>
  <c r="F1873" i="1"/>
  <c r="K1873" i="1" s="1"/>
  <c r="F1874" i="1"/>
  <c r="K1874" i="1" s="1"/>
  <c r="F1875" i="1"/>
  <c r="F1876" i="1"/>
  <c r="F1877" i="1"/>
  <c r="F1878" i="1"/>
  <c r="J1878" i="1" s="1"/>
  <c r="F1879" i="1"/>
  <c r="K1879" i="1" s="1"/>
  <c r="F1880" i="1"/>
  <c r="F1881" i="1"/>
  <c r="K1881" i="1" s="1"/>
  <c r="F1882" i="1"/>
  <c r="K1882" i="1" s="1"/>
  <c r="F1883" i="1"/>
  <c r="F1884" i="1"/>
  <c r="F1885" i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K1883" i="1"/>
  <c r="K1884" i="1"/>
  <c r="K1885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K1880" i="1"/>
  <c r="H1880" i="1"/>
  <c r="I1880" i="1"/>
  <c r="J1880" i="1"/>
  <c r="M1880" i="1"/>
  <c r="H1879" i="1"/>
  <c r="I1879" i="1"/>
  <c r="M1879" i="1"/>
  <c r="K1876" i="1"/>
  <c r="K1877" i="1"/>
  <c r="H1876" i="1"/>
  <c r="H1877" i="1"/>
  <c r="H1878" i="1"/>
  <c r="I1876" i="1"/>
  <c r="I1877" i="1"/>
  <c r="I1878" i="1"/>
  <c r="J1876" i="1"/>
  <c r="M1876" i="1"/>
  <c r="M1877" i="1"/>
  <c r="M1878" i="1"/>
  <c r="K1875" i="1"/>
  <c r="H1873" i="1"/>
  <c r="H1874" i="1"/>
  <c r="H1875" i="1"/>
  <c r="I1873" i="1"/>
  <c r="I1874" i="1"/>
  <c r="I1875" i="1"/>
  <c r="M1873" i="1"/>
  <c r="M1874" i="1"/>
  <c r="M1875" i="1"/>
  <c r="K1867" i="1"/>
  <c r="K1868" i="1"/>
  <c r="K1869" i="1"/>
  <c r="K1872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J1867" i="1"/>
  <c r="M1866" i="1"/>
  <c r="M1867" i="1"/>
  <c r="M1868" i="1"/>
  <c r="M1869" i="1"/>
  <c r="M1870" i="1"/>
  <c r="M1871" i="1"/>
  <c r="M1872" i="1"/>
  <c r="K1858" i="1"/>
  <c r="K1859" i="1"/>
  <c r="K1860" i="1"/>
  <c r="K1861" i="1"/>
  <c r="K1862" i="1"/>
  <c r="K1863" i="1"/>
  <c r="K1864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J1858" i="1"/>
  <c r="J1859" i="1"/>
  <c r="J1860" i="1"/>
  <c r="J1861" i="1"/>
  <c r="J1862" i="1"/>
  <c r="J1864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J1758" i="1"/>
  <c r="K1760" i="1"/>
  <c r="K1762" i="1"/>
  <c r="K1763" i="1"/>
  <c r="K1764" i="1"/>
  <c r="J1765" i="1"/>
  <c r="K1766" i="1"/>
  <c r="K1767" i="1"/>
  <c r="K1768" i="1"/>
  <c r="J1770" i="1"/>
  <c r="K1771" i="1"/>
  <c r="K1772" i="1"/>
  <c r="K1773" i="1"/>
  <c r="J1774" i="1"/>
  <c r="J1776" i="1"/>
  <c r="K1778" i="1"/>
  <c r="K1779" i="1"/>
  <c r="K1780" i="1"/>
  <c r="K1781" i="1"/>
  <c r="K1782" i="1"/>
  <c r="K1783" i="1"/>
  <c r="K1784" i="1"/>
  <c r="K1786" i="1"/>
  <c r="K1787" i="1"/>
  <c r="K1788" i="1"/>
  <c r="K1789" i="1"/>
  <c r="K1790" i="1"/>
  <c r="K1792" i="1"/>
  <c r="K1794" i="1"/>
  <c r="K1795" i="1"/>
  <c r="K1796" i="1"/>
  <c r="K1797" i="1"/>
  <c r="K1798" i="1"/>
  <c r="K1800" i="1"/>
  <c r="K1802" i="1"/>
  <c r="K1803" i="1"/>
  <c r="K1804" i="1"/>
  <c r="K1805" i="1"/>
  <c r="K1806" i="1"/>
  <c r="K1808" i="1"/>
  <c r="J1810" i="1"/>
  <c r="K1811" i="1"/>
  <c r="K1812" i="1"/>
  <c r="K1813" i="1"/>
  <c r="K1814" i="1"/>
  <c r="K1816" i="1"/>
  <c r="K1818" i="1"/>
  <c r="K1819" i="1"/>
  <c r="K1820" i="1"/>
  <c r="K1821" i="1"/>
  <c r="K1822" i="1"/>
  <c r="K1824" i="1"/>
  <c r="K1826" i="1"/>
  <c r="K1827" i="1"/>
  <c r="K1828" i="1"/>
  <c r="K1829" i="1"/>
  <c r="K1830" i="1"/>
  <c r="K1831" i="1"/>
  <c r="K1832" i="1"/>
  <c r="K1834" i="1"/>
  <c r="K1835" i="1"/>
  <c r="K1836" i="1"/>
  <c r="K1837" i="1"/>
  <c r="K1838" i="1"/>
  <c r="K1840" i="1"/>
  <c r="K1842" i="1"/>
  <c r="K1843" i="1"/>
  <c r="K1844" i="1"/>
  <c r="K1845" i="1"/>
  <c r="K1846" i="1"/>
  <c r="K1847" i="1"/>
  <c r="K1848" i="1"/>
  <c r="K1850" i="1"/>
  <c r="K1851" i="1"/>
  <c r="K1852" i="1"/>
  <c r="K1853" i="1"/>
  <c r="K1854" i="1"/>
  <c r="K1856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J1784" i="1"/>
  <c r="J1790" i="1"/>
  <c r="J1801" i="1"/>
  <c r="J1812" i="1"/>
  <c r="J1827" i="1"/>
  <c r="J1832" i="1"/>
  <c r="J1833" i="1"/>
  <c r="J1840" i="1"/>
  <c r="J1844" i="1"/>
  <c r="J1848" i="1"/>
  <c r="J1850" i="1"/>
  <c r="J1851" i="1"/>
  <c r="J1853" i="1"/>
  <c r="J1854" i="1"/>
  <c r="J1855" i="1"/>
  <c r="J1744" i="1"/>
  <c r="J1746" i="1"/>
  <c r="K1747" i="1"/>
  <c r="K1748" i="1"/>
  <c r="K1749" i="1"/>
  <c r="K1750" i="1"/>
  <c r="J1752" i="1"/>
  <c r="J1754" i="1"/>
  <c r="K1755" i="1"/>
  <c r="J1756" i="1"/>
  <c r="K17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K1714" i="1"/>
  <c r="K1715" i="1"/>
  <c r="K1716" i="1"/>
  <c r="K1717" i="1"/>
  <c r="K1718" i="1"/>
  <c r="K1720" i="1"/>
  <c r="K1722" i="1"/>
  <c r="K1723" i="1"/>
  <c r="K1724" i="1"/>
  <c r="K1725" i="1"/>
  <c r="K1726" i="1"/>
  <c r="K1728" i="1"/>
  <c r="K1730" i="1"/>
  <c r="K1731" i="1"/>
  <c r="K1732" i="1"/>
  <c r="K1733" i="1"/>
  <c r="K1734" i="1"/>
  <c r="K1736" i="1"/>
  <c r="K1738" i="1"/>
  <c r="K1739" i="1"/>
  <c r="K1740" i="1"/>
  <c r="K1741" i="1"/>
  <c r="K174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0" i="1"/>
  <c r="J1721" i="1"/>
  <c r="J1722" i="1"/>
  <c r="J1724" i="1"/>
  <c r="K1690" i="1"/>
  <c r="K1691" i="1"/>
  <c r="K1692" i="1"/>
  <c r="K1693" i="1"/>
  <c r="K1694" i="1"/>
  <c r="K1696" i="1"/>
  <c r="K1698" i="1"/>
  <c r="K1699" i="1"/>
  <c r="K1700" i="1"/>
  <c r="K1701" i="1"/>
  <c r="K1702" i="1"/>
  <c r="J1703" i="1"/>
  <c r="K1704" i="1"/>
  <c r="K1706" i="1"/>
  <c r="J1707" i="1"/>
  <c r="K1708" i="1"/>
  <c r="K1709" i="1"/>
  <c r="K1710" i="1"/>
  <c r="K171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K1655" i="1"/>
  <c r="K1656" i="1"/>
  <c r="K1658" i="1"/>
  <c r="K1659" i="1"/>
  <c r="K1660" i="1"/>
  <c r="K1661" i="1"/>
  <c r="K1662" i="1"/>
  <c r="J1664" i="1"/>
  <c r="K1666" i="1"/>
  <c r="K1667" i="1"/>
  <c r="K1668" i="1"/>
  <c r="J1669" i="1"/>
  <c r="K1670" i="1"/>
  <c r="K1671" i="1"/>
  <c r="J1672" i="1"/>
  <c r="K1674" i="1"/>
  <c r="K1675" i="1"/>
  <c r="K1676" i="1"/>
  <c r="K1677" i="1"/>
  <c r="K1678" i="1"/>
  <c r="J1680" i="1"/>
  <c r="J1682" i="1"/>
  <c r="K1683" i="1"/>
  <c r="K1684" i="1"/>
  <c r="K1685" i="1"/>
  <c r="K1686" i="1"/>
  <c r="K1688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46" i="1"/>
  <c r="J1167" i="1"/>
  <c r="J1168" i="1"/>
  <c r="J1199" i="1"/>
  <c r="J1211" i="1"/>
  <c r="J1213" i="1"/>
  <c r="J1221" i="1"/>
  <c r="J1222" i="1"/>
  <c r="J1242" i="1"/>
  <c r="J1245" i="1"/>
  <c r="J1246" i="1"/>
  <c r="J1272" i="1"/>
  <c r="J1284" i="1"/>
  <c r="J1306" i="1"/>
  <c r="J1330" i="1"/>
  <c r="J1331" i="1"/>
  <c r="J1342" i="1"/>
  <c r="J1343" i="1"/>
  <c r="J1347" i="1"/>
  <c r="J1348" i="1"/>
  <c r="J1359" i="1"/>
  <c r="J1364" i="1"/>
  <c r="J1372" i="1"/>
  <c r="J1373" i="1"/>
  <c r="J1374" i="1"/>
  <c r="J1433" i="1"/>
  <c r="J1493" i="1"/>
  <c r="J1509" i="1"/>
  <c r="J1578" i="1"/>
  <c r="J1592" i="1"/>
  <c r="J1596" i="1"/>
  <c r="J1615" i="1"/>
  <c r="J1635" i="1"/>
  <c r="K1599" i="1"/>
  <c r="H1599" i="1"/>
  <c r="J1873" i="1" l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<sst xmlns="http://schemas.openxmlformats.org/spreadsheetml/2006/main" count="5688" uniqueCount="3823">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</sst>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892" totalsRowShown="0" headerRowDxfId="22" dataDxfId="20" headerRowBorderDxfId="21" tableBorderDxfId="19" totalsRowBorderDxfId="18">
  <autoFilter ref="A1:M1892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0" totalsRowShown="0" headerRowDxfId="4" dataDxfId="3">
  <autoFilter ref="A1:A10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892"/>
  <sheetViews>
    <sheetView tabSelected="1" zoomScale="47" zoomScaleNormal="32" workbookViewId="0">
      <selection activeCell="C25" sqref="C25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/>
      <c r="H834" s="7">
        <f t="shared" ref="H834:H897" si="26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/>
      <c r="H837" s="7">
        <f t="shared" si="26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/>
      <c r="H1112" s="7">
        <f t="shared" si="34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/>
      <c r="H1242" s="7">
        <f t="shared" si="39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255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254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/>
      <c r="H1359" s="7">
        <f t="shared" si="45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/>
      <c r="H1509" s="7">
        <f t="shared" si="49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/>
      <c r="H1591" s="7">
        <f t="shared" si="55"/>
        <v>6</v>
      </c>
      <c r="I1591" s="20">
        <f>MAX(1, NETWORKDAYS(A1591, G1591,Table2[Dias no laborales]))</f>
        <v>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Acumulado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/>
      <c r="H1596" s="7">
        <f t="shared" si="55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/>
      <c r="H1615" s="7">
        <f t="shared" si="57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/>
      <c r="H1720" s="7">
        <f t="shared" si="65"/>
        <v>10</v>
      </c>
      <c r="I1720" s="7">
        <f>MAX(1, NETWORKDAYS(A1720, G1720,Table2[Dias no laborales]))</f>
        <v>1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/>
      <c r="H1724" s="7">
        <f t="shared" si="65"/>
        <v>10</v>
      </c>
      <c r="I1724" s="7">
        <f>MAX(1, NETWORKDAYS(A1724, G1724,Table2[Dias no laborales]))</f>
        <v>1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/>
      <c r="H1784" s="7">
        <f t="shared" si="69"/>
        <v>11</v>
      </c>
      <c r="I1784" s="7">
        <f>MAX(1, NETWORKDAYS(A1784, G1784,Table2[Dias no laborales]))</f>
        <v>1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Acumulado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/>
      <c r="H1790" s="7">
        <f t="shared" ref="H1790:H1821" si="71">INT((A1790-DATE(YEAR(A1790),1,1))/7) + 1</f>
        <v>12</v>
      </c>
      <c r="I1790" s="7">
        <f>MAX(1, NETWORKDAYS(A1790, G1790,Table2[Dias no laborales]))</f>
        <v>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Acumulado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/>
      <c r="H1801" s="7">
        <f t="shared" si="71"/>
        <v>12</v>
      </c>
      <c r="I1801" s="7">
        <f>MAX(1, NETWORKDAYS(A1801, G1801,Table2[Dias no laborales]))</f>
        <v>1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Acumulado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/>
      <c r="H1812" s="7">
        <f t="shared" si="71"/>
        <v>12</v>
      </c>
      <c r="I1812" s="7">
        <f>MAX(1, NETWORKDAYS(A1812, G1812,Table2[Dias no laborales]))</f>
        <v>1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Acumulado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/>
      <c r="H1827" s="7">
        <f t="shared" si="73"/>
        <v>12</v>
      </c>
      <c r="I1827" s="7">
        <f>MAX(1, NETWORKDAYS(A1827, G1827,Table2[Dias no laborales]))</f>
        <v>1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Acumulado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/>
      <c r="H1833" s="7">
        <f t="shared" si="73"/>
        <v>12</v>
      </c>
      <c r="I1833" s="7">
        <f>MAX(1, NETWORKDAYS(A1833, G1833,Table2[Dias no laborales]))</f>
        <v>1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Acumulado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/>
      <c r="H1840" s="7">
        <f t="shared" si="73"/>
        <v>12</v>
      </c>
      <c r="I1840" s="7">
        <f>MAX(1, NETWORKDAYS(A1840, G1840,Table2[Dias no laborales]))</f>
        <v>1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Acumulado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/>
      <c r="H1844" s="7">
        <f t="shared" si="73"/>
        <v>13</v>
      </c>
      <c r="I1844" s="7">
        <f>MAX(1, NETWORKDAYS(A1844, G1844,Table2[Dias no laborales]))</f>
        <v>1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Acumulado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/>
      <c r="H1850" s="7">
        <f t="shared" si="73"/>
        <v>13</v>
      </c>
      <c r="I1850" s="7">
        <f>MAX(1, NETWORKDAYS(A1850, G1850,Table2[Dias no laborales]))</f>
        <v>1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Acumulado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/>
      <c r="H1851" s="7">
        <f t="shared" si="73"/>
        <v>13</v>
      </c>
      <c r="I1851" s="7">
        <f>MAX(1, NETWORKDAYS(A1851, G1851,Table2[Dias no laborales]))</f>
        <v>1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Acumulado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/>
      <c r="H1853" s="7">
        <f t="shared" si="73"/>
        <v>13</v>
      </c>
      <c r="I1853" s="7">
        <f>MAX(1, NETWORKDAYS(A1853, G1853,Table2[Dias no laborales]))</f>
        <v>1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Acumulado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/>
      <c r="H1854" s="7">
        <f t="shared" si="73"/>
        <v>13</v>
      </c>
      <c r="I1854" s="7">
        <f>MAX(1, NETWORKDAYS(A1854, G1854,Table2[Dias no laborales]))</f>
        <v>1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Acumulado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/>
      <c r="H1855" s="7">
        <f t="shared" si="73"/>
        <v>13</v>
      </c>
      <c r="I1855" s="7">
        <f>MAX(1, NETWORKDAYS(A1855, G1855,Table2[Dias no laborales]))</f>
        <v>1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Acumulado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/>
      <c r="H1860" s="7">
        <f t="shared" si="75"/>
        <v>13</v>
      </c>
      <c r="I1860" s="7">
        <f>MAX(1, NETWORKDAYS(A1860, G1860,Table2[Dias no laborales]))</f>
        <v>1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Acumulado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/>
      <c r="H1864" s="7">
        <f t="shared" si="75"/>
        <v>13</v>
      </c>
      <c r="I1864" s="7">
        <f>MAX(1, NETWORKDAYS(A1864, G1864,Table2[Dias no laborales]))</f>
        <v>1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Acumulado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5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/>
      <c r="H1876" s="7">
        <f t="shared" ref="H1876:H1878" si="81">INT((A1876-DATE(YEAR(A1876),1,1))/7) + 1</f>
        <v>13</v>
      </c>
      <c r="I1876" s="7">
        <f>MAX(1, NETWORKDAYS(A1876, G1876,Table2[Dias no laborales]))</f>
        <v>1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Acumulado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5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5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5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x14ac:dyDescent="0.35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/>
      <c r="H1880" s="20">
        <f>INT((A1880-DATE(YEAR(A1880),1,1))/7) + 1</f>
        <v>14</v>
      </c>
      <c r="I1880" s="20">
        <f>MAX(1, NETWORKDAYS(A1880, G1880,Table2[Dias no laborales]))</f>
        <v>1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Acumulado</v>
      </c>
      <c r="K1880" s="20" t="str">
        <f>IF(INT(A1880)=INT(F1880),"A tiempo", IF(A1880&lt;F1880,"Mismo día","Programados"))</f>
        <v>Programados</v>
      </c>
      <c r="L1880" s="16"/>
      <c r="M1880" s="23">
        <f>MAX(1,NETWORKDAYS(A1880,L1880,Table2[Dias no laborales]))</f>
        <v>1</v>
      </c>
    </row>
    <row r="1881" spans="1:13" x14ac:dyDescent="0.35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/>
      <c r="H1881" s="7">
        <f t="shared" ref="H1881:H1892" si="83">INT((A1881-DATE(YEAR(A1881),1,1))/7) + 1</f>
        <v>14</v>
      </c>
      <c r="I1881" s="7">
        <f>MAX(1, NETWORKDAYS(A1881, G1881,Table2[Dias no laborales]))</f>
        <v>1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Acumulado</v>
      </c>
      <c r="K1881" s="7" t="str">
        <f t="shared" ref="K1881:K1892" si="84">IF(INT(A1881)=INT(F1881),"A tiempo", IF(A1881&lt;F1881,"Mismo día","Programados"))</f>
        <v>A tiempo</v>
      </c>
      <c r="L1881" s="11"/>
      <c r="M1881" s="22">
        <f>MAX(1,NETWORKDAYS(A1881,L1881,Table2[Dias no laborales]))</f>
        <v>1</v>
      </c>
    </row>
    <row r="1882" spans="1:13" x14ac:dyDescent="0.35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/>
      <c r="H1882" s="7">
        <f t="shared" si="83"/>
        <v>14</v>
      </c>
      <c r="I1882" s="7">
        <f>MAX(1, NETWORKDAYS(A1882, G1882,Table2[Dias no laborales]))</f>
        <v>1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Acumulado</v>
      </c>
      <c r="K1882" s="7" t="str">
        <f t="shared" si="84"/>
        <v>A tiempo</v>
      </c>
      <c r="L1882" s="11"/>
      <c r="M1882" s="22">
        <f>MAX(1,NETWORKDAYS(A1882,L1882,Table2[Dias no laborales]))</f>
        <v>1</v>
      </c>
    </row>
    <row r="1883" spans="1:13" x14ac:dyDescent="0.35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/>
      <c r="H1883" s="7">
        <f t="shared" si="83"/>
        <v>14</v>
      </c>
      <c r="I1883" s="7">
        <f>MAX(1, NETWORKDAYS(A1883, G1883,Table2[Dias no laborales]))</f>
        <v>1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Acumulado</v>
      </c>
      <c r="K1883" s="7" t="str">
        <f t="shared" si="84"/>
        <v>A tiempo</v>
      </c>
      <c r="L1883" s="11"/>
      <c r="M1883" s="22">
        <f>MAX(1,NETWORKDAYS(A1883,L1883,Table2[Dias no laborales]))</f>
        <v>1</v>
      </c>
    </row>
    <row r="1884" spans="1:13" x14ac:dyDescent="0.35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/>
      <c r="H1884" s="7">
        <f t="shared" si="83"/>
        <v>14</v>
      </c>
      <c r="I1884" s="7">
        <f>MAX(1, NETWORKDAYS(A1884, G1884,Table2[Dias no laborales]))</f>
        <v>1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Acumulado</v>
      </c>
      <c r="K1884" s="7" t="str">
        <f t="shared" si="84"/>
        <v>A tiempo</v>
      </c>
      <c r="L1884" s="11"/>
      <c r="M1884" s="22">
        <f>MAX(1,NETWORKDAYS(A1884,L1884,Table2[Dias no laborales]))</f>
        <v>1</v>
      </c>
    </row>
    <row r="1885" spans="1:13" x14ac:dyDescent="0.35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/>
      <c r="H1885" s="7">
        <f t="shared" si="83"/>
        <v>14</v>
      </c>
      <c r="I1885" s="7">
        <f>MAX(1, NETWORKDAYS(A1885, G1885,Table2[Dias no laborales]))</f>
        <v>1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Acumulado</v>
      </c>
      <c r="K1885" s="7" t="str">
        <f t="shared" si="84"/>
        <v>Programados</v>
      </c>
      <c r="L1885" s="11"/>
      <c r="M1885" s="22">
        <f>MAX(1,NETWORKDAYS(A1885,L1885,Table2[Dias no laborales]))</f>
        <v>1</v>
      </c>
    </row>
    <row r="1886" spans="1:13" x14ac:dyDescent="0.35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/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Acumulado</v>
      </c>
      <c r="K1886" s="7" t="str">
        <f t="shared" si="84"/>
        <v>A tiempo</v>
      </c>
      <c r="L1886" s="11"/>
      <c r="M1886" s="22">
        <f>MAX(1,NETWORKDAYS(A1886,L1886,Table2[Dias no laborales]))</f>
        <v>1</v>
      </c>
    </row>
    <row r="1887" spans="1:13" x14ac:dyDescent="0.35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/>
      <c r="H1887" s="7">
        <f t="shared" si="83"/>
        <v>14</v>
      </c>
      <c r="I1887" s="7">
        <f>MAX(1, NETWORKDAYS(A1887, G1887,Table2[Dias no laborales]))</f>
        <v>1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Acumulado</v>
      </c>
      <c r="K1887" s="7" t="str">
        <f t="shared" si="84"/>
        <v>A tiempo</v>
      </c>
      <c r="L1887" s="11"/>
      <c r="M1887" s="22">
        <f>MAX(1,NETWORKDAYS(A1887,L1887,Table2[Dias no laborales]))</f>
        <v>1</v>
      </c>
    </row>
    <row r="1888" spans="1:13" x14ac:dyDescent="0.35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/>
      <c r="H1888" s="7">
        <f t="shared" si="83"/>
        <v>14</v>
      </c>
      <c r="I1888" s="7">
        <f>MAX(1, NETWORKDAYS(A1888, G1888,Table2[Dias no laborales]))</f>
        <v>1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Acumulado</v>
      </c>
      <c r="K1888" s="7" t="str">
        <f t="shared" si="84"/>
        <v>A tiempo</v>
      </c>
      <c r="L1888" s="11"/>
      <c r="M1888" s="22">
        <f>MAX(1,NETWORKDAYS(A1888,L1888,Table2[Dias no laborales]))</f>
        <v>1</v>
      </c>
    </row>
    <row r="1889" spans="1:13" x14ac:dyDescent="0.35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/>
      <c r="H1889" s="7">
        <f t="shared" si="83"/>
        <v>14</v>
      </c>
      <c r="I1889" s="7">
        <f>MAX(1, NETWORKDAYS(A1889, G1889,Table2[Dias no laborales]))</f>
        <v>1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Acumulado</v>
      </c>
      <c r="K1889" s="7" t="str">
        <f t="shared" si="84"/>
        <v>A tiempo</v>
      </c>
      <c r="L1889" s="11"/>
      <c r="M1889" s="22">
        <f>MAX(1,NETWORKDAYS(A1889,L1889,Table2[Dias no laborales]))</f>
        <v>1</v>
      </c>
    </row>
    <row r="1890" spans="1:13" x14ac:dyDescent="0.35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/>
      <c r="H1890" s="7">
        <f t="shared" si="83"/>
        <v>14</v>
      </c>
      <c r="I1890" s="7">
        <f>MAX(1, NETWORKDAYS(A1890, G1890,Table2[Dias no laborales]))</f>
        <v>1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Acumulado</v>
      </c>
      <c r="K1890" s="7" t="str">
        <f t="shared" si="84"/>
        <v>A tiempo</v>
      </c>
      <c r="L1890" s="11"/>
      <c r="M1890" s="22">
        <f>MAX(1,NETWORKDAYS(A1890,L1890,Table2[Dias no laborales]))</f>
        <v>1</v>
      </c>
    </row>
    <row r="1891" spans="1:13" x14ac:dyDescent="0.35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/>
      <c r="H1891" s="7">
        <f t="shared" si="83"/>
        <v>14</v>
      </c>
      <c r="I1891" s="7">
        <f>MAX(1, NETWORKDAYS(A1891, G1891,Table2[Dias no laborales]))</f>
        <v>1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Acumulado</v>
      </c>
      <c r="K1891" s="7" t="str">
        <f t="shared" si="84"/>
        <v>Mismo día</v>
      </c>
      <c r="L1891" s="11"/>
      <c r="M1891" s="22">
        <f>MAX(1,NETWORKDAYS(A1891,L1891,Table2[Dias no laborales]))</f>
        <v>1</v>
      </c>
    </row>
    <row r="1892" spans="1:13" x14ac:dyDescent="0.35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/>
      <c r="M1892" s="22">
        <f>MAX(1,NETWORKDAYS(A1892,L1892,Table2[Dias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0"/>
  <sheetViews>
    <sheetView workbookViewId="0">
      <selection activeCell="A11" sqref="A11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  <row r="9" spans="1:1" x14ac:dyDescent="0.35">
      <c r="A9" s="28">
        <v>46114</v>
      </c>
    </row>
    <row r="10" spans="1:1" x14ac:dyDescent="0.35">
      <c r="A10" s="28">
        <v>46115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2026-04-06T18:47:56Z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