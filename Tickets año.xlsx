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3920" documentId="13_ncr:1_{66DC8E2D-CE0C-4D27-8E33-136B8AB8B3E7}" xr6:coauthVersionLast="47" xr6:coauthVersionMax="47" xr10:uidLastSave="{B99BCC27-1FBF-4A05-A97B-C605414B3014}"/>
  <bookViews>
    <workbookView xWindow="-96" yWindow="0" windowWidth="11712" windowHeight="1233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67" i="1" l="1"/>
  <c r="K2567" i="1" s="1"/>
  <c r="F2568" i="1"/>
  <c r="F2569" i="1"/>
  <c r="F2570" i="1"/>
  <c r="F2571" i="1"/>
  <c r="F2572" i="1"/>
  <c r="K2572" i="1" s="1"/>
  <c r="F2573" i="1"/>
  <c r="K2573" i="1" s="1"/>
  <c r="H2567" i="1"/>
  <c r="H2568" i="1"/>
  <c r="H2569" i="1"/>
  <c r="H2570" i="1"/>
  <c r="H2571" i="1"/>
  <c r="H2572" i="1"/>
  <c r="H2573" i="1"/>
  <c r="I2567" i="1"/>
  <c r="I2568" i="1"/>
  <c r="I2569" i="1"/>
  <c r="I2570" i="1"/>
  <c r="I2571" i="1"/>
  <c r="I2572" i="1"/>
  <c r="I2573" i="1"/>
  <c r="J2567" i="1"/>
  <c r="J2568" i="1"/>
  <c r="J2569" i="1"/>
  <c r="J2570" i="1"/>
  <c r="J2571" i="1"/>
  <c r="J2572" i="1"/>
  <c r="J2573" i="1"/>
  <c r="K2568" i="1"/>
  <c r="K2569" i="1"/>
  <c r="K2570" i="1"/>
  <c r="K2571" i="1"/>
  <c r="M2567" i="1"/>
  <c r="M2568" i="1"/>
  <c r="M2569" i="1"/>
  <c r="M2570" i="1"/>
  <c r="M2571" i="1"/>
  <c r="M2572" i="1"/>
  <c r="M2573" i="1"/>
  <c r="F2554" i="1"/>
  <c r="K2554" i="1" s="1"/>
  <c r="F2555" i="1"/>
  <c r="F2556" i="1"/>
  <c r="F2557" i="1"/>
  <c r="F2558" i="1"/>
  <c r="K2558" i="1" s="1"/>
  <c r="F2559" i="1"/>
  <c r="K2559" i="1" s="1"/>
  <c r="F2560" i="1"/>
  <c r="K2560" i="1" s="1"/>
  <c r="F2561" i="1"/>
  <c r="K2561" i="1" s="1"/>
  <c r="F2562" i="1"/>
  <c r="K2562" i="1" s="1"/>
  <c r="F2563" i="1"/>
  <c r="K2563" i="1" s="1"/>
  <c r="F2564" i="1"/>
  <c r="K2564" i="1" s="1"/>
  <c r="F2565" i="1"/>
  <c r="K2565" i="1" s="1"/>
  <c r="F2566" i="1"/>
  <c r="K2566" i="1" s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J2554" i="1"/>
  <c r="J2555" i="1"/>
  <c r="J2556" i="1"/>
  <c r="J2557" i="1"/>
  <c r="J2559" i="1"/>
  <c r="J2560" i="1"/>
  <c r="J2561" i="1"/>
  <c r="J2562" i="1"/>
  <c r="J2563" i="1"/>
  <c r="J2564" i="1"/>
  <c r="J2565" i="1"/>
  <c r="J2566" i="1"/>
  <c r="K2555" i="1"/>
  <c r="K2556" i="1"/>
  <c r="K2557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F2515" i="1"/>
  <c r="K2515" i="1" s="1"/>
  <c r="F2516" i="1"/>
  <c r="J2516" i="1" s="1"/>
  <c r="F2517" i="1"/>
  <c r="J2517" i="1" s="1"/>
  <c r="F2518" i="1"/>
  <c r="J2518" i="1" s="1"/>
  <c r="F2519" i="1"/>
  <c r="K2519" i="1" s="1"/>
  <c r="F2520" i="1"/>
  <c r="K2520" i="1" s="1"/>
  <c r="F2521" i="1"/>
  <c r="K2521" i="1" s="1"/>
  <c r="F2522" i="1"/>
  <c r="F2523" i="1"/>
  <c r="K2523" i="1" s="1"/>
  <c r="F2524" i="1"/>
  <c r="K2524" i="1" s="1"/>
  <c r="F2525" i="1"/>
  <c r="J2525" i="1" s="1"/>
  <c r="F2526" i="1"/>
  <c r="K2526" i="1" s="1"/>
  <c r="F2527" i="1"/>
  <c r="K2527" i="1" s="1"/>
  <c r="F2528" i="1"/>
  <c r="K2528" i="1" s="1"/>
  <c r="F2529" i="1"/>
  <c r="K2529" i="1" s="1"/>
  <c r="F2530" i="1"/>
  <c r="F2531" i="1"/>
  <c r="K2531" i="1" s="1"/>
  <c r="F2532" i="1"/>
  <c r="K2532" i="1" s="1"/>
  <c r="F2533" i="1"/>
  <c r="K2533" i="1" s="1"/>
  <c r="F2534" i="1"/>
  <c r="K2534" i="1" s="1"/>
  <c r="F2535" i="1"/>
  <c r="K2535" i="1" s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J2541" i="1" s="1"/>
  <c r="F2542" i="1"/>
  <c r="K2542" i="1" s="1"/>
  <c r="F2543" i="1"/>
  <c r="J2543" i="1" s="1"/>
  <c r="F2544" i="1"/>
  <c r="J2544" i="1" s="1"/>
  <c r="F2545" i="1"/>
  <c r="K2545" i="1" s="1"/>
  <c r="F2546" i="1"/>
  <c r="F2547" i="1"/>
  <c r="K2547" i="1" s="1"/>
  <c r="F2548" i="1"/>
  <c r="K2548" i="1" s="1"/>
  <c r="F2549" i="1"/>
  <c r="K2549" i="1" s="1"/>
  <c r="F2550" i="1"/>
  <c r="K2550" i="1" s="1"/>
  <c r="F2551" i="1"/>
  <c r="K2551" i="1" s="1"/>
  <c r="F2552" i="1"/>
  <c r="K2552" i="1" s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9" i="1"/>
  <c r="J2520" i="1"/>
  <c r="J2521" i="1"/>
  <c r="J2522" i="1"/>
  <c r="J2526" i="1"/>
  <c r="J2527" i="1"/>
  <c r="J2528" i="1"/>
  <c r="J2529" i="1"/>
  <c r="J2530" i="1"/>
  <c r="J2531" i="1"/>
  <c r="J2532" i="1"/>
  <c r="J2533" i="1"/>
  <c r="J2534" i="1"/>
  <c r="J2536" i="1"/>
  <c r="J2538" i="1"/>
  <c r="J2545" i="1"/>
  <c r="J2546" i="1"/>
  <c r="J2548" i="1"/>
  <c r="J2550" i="1"/>
  <c r="J2551" i="1"/>
  <c r="J2553" i="1"/>
  <c r="K2522" i="1"/>
  <c r="K2530" i="1"/>
  <c r="K2546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K2504" i="1" s="1"/>
  <c r="F2505" i="1"/>
  <c r="J2505" i="1" s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02" i="1"/>
  <c r="J2506" i="1"/>
  <c r="J2508" i="1"/>
  <c r="J2509" i="1"/>
  <c r="J2510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F2472" i="1"/>
  <c r="K2472" i="1" s="1"/>
  <c r="F2473" i="1"/>
  <c r="J2473" i="1" s="1"/>
  <c r="F2474" i="1"/>
  <c r="F2475" i="1"/>
  <c r="K2475" i="1" s="1"/>
  <c r="F2476" i="1"/>
  <c r="K2476" i="1" s="1"/>
  <c r="F2477" i="1"/>
  <c r="K2477" i="1" s="1"/>
  <c r="F2478" i="1"/>
  <c r="J2478" i="1" s="1"/>
  <c r="F2479" i="1"/>
  <c r="F2480" i="1"/>
  <c r="K2480" i="1" s="1"/>
  <c r="F2481" i="1"/>
  <c r="K2481" i="1" s="1"/>
  <c r="F2482" i="1"/>
  <c r="J2482" i="1" s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5" i="1"/>
  <c r="J2457" i="1"/>
  <c r="J2458" i="1"/>
  <c r="J2459" i="1"/>
  <c r="J2460" i="1"/>
  <c r="J2463" i="1"/>
  <c r="J2466" i="1"/>
  <c r="J2471" i="1"/>
  <c r="J2472" i="1"/>
  <c r="J2474" i="1"/>
  <c r="J2479" i="1"/>
  <c r="J2480" i="1"/>
  <c r="J2487" i="1"/>
  <c r="J2495" i="1"/>
  <c r="J2497" i="1"/>
  <c r="J2498" i="1"/>
  <c r="J2499" i="1"/>
  <c r="K2458" i="1"/>
  <c r="K2465" i="1"/>
  <c r="K2471" i="1"/>
  <c r="K2474" i="1"/>
  <c r="K2479" i="1"/>
  <c r="K248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J2423" i="1" s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6" i="1"/>
  <c r="J2428" i="1"/>
  <c r="J2430" i="1"/>
  <c r="J245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15" i="1"/>
  <c r="J2417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2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J2209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K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476" i="1" l="1"/>
  <c r="J2475" i="1"/>
  <c r="J2535" i="1"/>
  <c r="J2504" i="1"/>
  <c r="K2544" i="1"/>
  <c r="J2512" i="1"/>
  <c r="J2511" i="1"/>
  <c r="J2540" i="1"/>
  <c r="J2491" i="1"/>
  <c r="J2542" i="1"/>
  <c r="J2483" i="1"/>
  <c r="J2467" i="1"/>
  <c r="K2518" i="1"/>
  <c r="K2361" i="1"/>
  <c r="J2524" i="1"/>
  <c r="K2543" i="1"/>
  <c r="J2549" i="1"/>
  <c r="K2517" i="1"/>
  <c r="K2516" i="1"/>
  <c r="J2447" i="1"/>
  <c r="K2541" i="1"/>
  <c r="J2558" i="1"/>
  <c r="K2525" i="1"/>
  <c r="J2552" i="1"/>
  <c r="J2371" i="1"/>
  <c r="J2427" i="1"/>
  <c r="J2523" i="1"/>
  <c r="J2263" i="1"/>
  <c r="J2507" i="1"/>
  <c r="J2547" i="1"/>
  <c r="J2539" i="1"/>
  <c r="J2514" i="1"/>
  <c r="K2505" i="1"/>
  <c r="J2431" i="1"/>
  <c r="J2403" i="1"/>
  <c r="J2513" i="1"/>
  <c r="J2537" i="1"/>
  <c r="J2174" i="1"/>
  <c r="K2423" i="1"/>
  <c r="J2503" i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<sst xmlns="http://schemas.openxmlformats.org/spreadsheetml/2006/main" count="7721" uniqueCount="5122">
  <si>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</si>
  <si>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</si>
  <si>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</si>
  <si>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</si>
  <si>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</si>
  <si>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</si>
  <si>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</si>
  <si>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</si>
  <si>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</si>
  <si>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</si>
  <si>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</si>
  <si>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</si>
  <si>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</si>
  <si>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</si>
  <si>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</si>
  <si>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</si>
  <si>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</si>
  <si>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</si>
  <si>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</si>
  <si>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</si>
  <si>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</si>
  <si>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</si>
  <si>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</si>
  <si>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</si>
  <si>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</si>
  <si>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</si>
  <si>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</si>
  <si>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</si>
  <si>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</si>
  <si>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</si>
  <si>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</si>
  <si>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</si>
  <si>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</si>
  <si>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</si>
  <si>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</si>
  <si>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</si>
  <si>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</si>
  <si>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</si>
  <si>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</si>
  <si>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</si>
  <si>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</si>
  <si>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</si>
  <si>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</si>
  <si>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</si>
  <si>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</si>
  <si>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</si>
  <si>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</si>
  <si>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</si>
  <si>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</si>
  <si>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</si>
  <si>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</si>
  <si>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</si>
  <si>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</si>
  <si>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</si>
  <si>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</si>
  <si>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</si>
  <si>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</si>
  <si>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</si>
  <si>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</si>
  <si>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</si>
  <si>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</si>
  <si>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</si>
  <si>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</si>
  <si>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</si>
  <si>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</si>
  <si>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</si>
  <si>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</si>
  <si>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</si>
  <si>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</si>
  <si>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</si>
  <si>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</si>
  <si>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</si>
  <si>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</si>
  <si>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</si>
  <si>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</si>
  <si>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</si>
  <si>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</si>
  <si>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</si>
  <si>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</si>
  <si>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</si>
  <si>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</si>
  <si>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</si>
  <si>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</si>
  <si>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</si>
  <si>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</si>
  <si>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</si>
  <si>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</si>
  <si>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</si>
  <si>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</si>
  <si>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</si>
  <si>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</si>
  <si>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</si>
  <si>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</si>
  <si>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</si>
  <si>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</si>
  <si>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</si>
  <si>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</si>
  <si>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</si>
  <si>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</si>
  <si>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</si>
  <si>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</si>
  <si>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</si>
  <si>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</si>
  <si>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</si>
  <si>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</si>
  <si>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</si>
  <si>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</si>
  <si>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</si>
  <si>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</si>
  <si>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</si>
  <si>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</si>
  <si>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</si>
  <si>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</si>
  <si>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</si>
  <si>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</si>
  <si>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</si>
  <si>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</si>
  <si>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</si>
  <si>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</si>
  <si>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</si>
  <si>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</si>
  <si>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</si>
  <si>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</si>
  <si>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</si>
  <si>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</si>
  <si>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</si>
  <si>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</si>
  <si>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</si>
  <si>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</si>
  <si>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</si>
  <si>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</si>
  <si>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</si>
  <si>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</si>
  <si>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</si>
  <si>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</si>
  <si>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</si>
  <si>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</si>
  <si>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</si>
  <si>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</si>
  <si>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</si>
  <si>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</si>
  <si>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</si>
  <si>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</si>
  <si>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</si>
  <si>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</si>
  <si>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</si>
  <si>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</si>
  <si>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</si>
  <si>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</si>
  <si>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</si>
  <si>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</si>
  <si>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</si>
  <si>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</si>
  <si>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</si>
  <si>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</si>
  <si>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</si>
  <si>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</si>
  <si>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</si>
  <si>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</si>
  <si>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</si>
  <si>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</si>
  <si>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</si>
  <si>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</si>
  <si>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</si>
  <si>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</si>
  <si>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</si>
  <si>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</si>
  <si>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</si>
  <si>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</si>
  <si>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</si>
  <si>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</si>
  <si>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</si>
  <si>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</si>
  <si>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</si>
  <si>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</si>
  <si>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</si>
  <si>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</si>
  <si>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</si>
  <si>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</si>
  <si>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</si>
  <si>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</si>
  <si>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</si>
  <si>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</si>
  <si>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</si>
  <si>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</si>
  <si>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</si>
  <si>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</si>
  <si>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</si>
  <si>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</si>
  <si>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</si>
  <si>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</si>
  <si>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</si>
  <si>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</si>
  <si>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</si>
  <si>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</si>
  <si>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</si>
  <si>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</si>
  <si>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</si>
  <si>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</si>
  <si>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</si>
  <si>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</si>
  <si>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</si>
  <si>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</si>
  <si>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</si>
  <si>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</si>
  <si>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</si>
  <si>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</si>
  <si>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</si>
  <si>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</si>
  <si>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</si>
  <si>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</si>
  <si>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</si>
  <si>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</si>
  <si>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</si>
  <si>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</si>
  <si>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</si>
  <si>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</si>
  <si>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</si>
  <si>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</si>
  <si>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</si>
  <si>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</si>
  <si>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</si>
  <si>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</si>
  <si>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</si>
  <si>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</si>
  <si>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</si>
  <si>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</si>
  <si>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</si>
  <si>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</si>
  <si>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</si>
  <si>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</si>
  <si>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</si>
  <si>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</si>
  <si>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</si>
  <si>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</si>
  <si>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</si>
  <si>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</si>
  <si>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</si>
  <si>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</si>
  <si>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</si>
  <si>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</si>
  <si>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</si>
  <si>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</si>
  <si>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</si>
  <si>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</si>
  <si>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</si>
  <si>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</si>
  <si>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</si>
  <si>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</si>
  <si>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</si>
  <si>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</si>
  <si>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</si>
  <si>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</si>
  <si>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</si>
  <si>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</si>
  <si>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</si>
  <si>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</si>
  <si>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</si>
  <si>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</si>
  <si>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</si>
  <si>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</si>
  <si>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</si>
  <si>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</si>
  <si>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</si>
  <si>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</si>
  <si>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</si>
  <si>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</si>
  <si>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</si>
  <si>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</si>
  <si>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</si>
  <si>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</si>
  <si>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</si>
  <si>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</si>
  <si>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</si>
  <si>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</si>
  <si>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</si>
  <si>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</si>
  <si>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</si>
  <si>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</si>
  <si>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</si>
  <si>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</si>
  <si>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</si>
  <si>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</si>
  <si>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</si>
  <si>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</si>
  <si>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</si>
  <si>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</si>
  <si>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</si>
  <si>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</si>
  <si>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</si>
  <si>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</si>
  <si>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</si>
  <si>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</si>
  <si>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</si>
  <si>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</si>
  <si>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</si>
  <si>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</si>
  <si>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</si>
  <si>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</si>
  <si>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</si>
  <si>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</si>
  <si>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</si>
  <si>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</si>
  <si>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</si>
  <si>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</si>
  <si>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</si>
  <si>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</si>
  <si>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</si>
  <si>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</si>
  <si>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</si>
  <si>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</si>
  <si>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</si>
  <si>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</si>
  <si>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</si>
  <si>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</si>
  <si>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</si>
  <si>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</si>
  <si>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</si>
  <si>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</si>
  <si>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</si>
  <si>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</si>
  <si>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</si>
  <si>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</si>
  <si>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</si>
  <si>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</si>
  <si>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</si>
  <si>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</si>
  <si>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</si>
  <si>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</si>
  <si>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</si>
  <si>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</si>
  <si>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</si>
  <si>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</si>
  <si>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</si>
  <si>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</si>
  <si>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</si>
  <si>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</si>
  <si>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</si>
  <si>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</si>
  <si>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</si>
  <si>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</si>
  <si>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</si>
  <si>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</si>
  <si>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</si>
  <si>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</si>
  <si>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</si>
  <si>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</si>
  <si>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</si>
  <si>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</si>
  <si>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</si>
  <si>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</si>
  <si>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</si>
  <si>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</si>
  <si>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</si>
  <si>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</si>
  <si>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</si>
  <si>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</si>
  <si>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</si>
  <si>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</si>
  <si>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</si>
  <si>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</si>
  <si>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</si>
  <si>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</si>
  <si>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</si>
  <si>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</si>
  <si>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</si>
  <si>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</si>
  <si>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</si>
  <si>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</si>
  <si>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</si>
  <si>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</si>
  <si>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</si>
  <si>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</si>
  <si>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</si>
  <si>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</si>
  <si>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</si>
  <si>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</si>
  <si>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</si>
  <si>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</si>
  <si>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</si>
  <si>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</si>
  <si>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</si>
  <si>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</si>
  <si>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</si>
  <si>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</si>
  <si>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</si>
  <si>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</si>
  <si>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</si>
  <si>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</si>
  <si>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</si>
  <si>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</si>
  <si>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</si>
  <si>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</si>
  <si>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</si>
  <si>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</si>
  <si>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</si>
  <si>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</si>
  <si>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</si>
  <si>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</si>
  <si>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</si>
  <si>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</si>
  <si>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</si>
  <si>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</si>
  <si>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</si>
  <si>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</si>
  <si>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</si>
  <si>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</si>
  <si>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</si>
  <si>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</si>
  <si>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</si>
  <si>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</si>
  <si>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</si>
  <si>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</si>
  <si>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</si>
  <si>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</si>
  <si>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</si>
  <si>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</si>
  <si>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</si>
  <si>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</si>
  <si>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</si>
  <si>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</si>
  <si>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</si>
  <si>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</si>
  <si>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</si>
  <si>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</si>
  <si>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</si>
  <si>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</si>
  <si>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</si>
  <si>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</si>
  <si>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</si>
  <si>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</si>
  <si>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</si>
  <si>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</si>
  <si>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</si>
  <si>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</si>
  <si>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</si>
  <si>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</si>
  <si>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</si>
  <si>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</si>
  <si>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</si>
  <si>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</si>
  <si>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</si>
  <si>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</si>
  <si>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</si>
  <si>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</si>
  <si>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</si>
  <si>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</si>
  <si>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</si>
  <si>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</si>
  <si>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</si>
  <si>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</si>
  <si>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</si>
  <si>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</si>
  <si>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</si>
  <si>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</si>
  <si>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</si>
  <si>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</si>
  <si>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</si>
  <si>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</si>
  <si>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</si>
  <si>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</si>
  <si>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</si>
  <si>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</si>
  <si>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</si>
  <si>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</si>
  <si>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</si>
  <si>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</si>
  <si>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</si>
  <si>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</si>
  <si>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</si>
  <si>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</si>
  <si>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</si>
  <si>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</si>
  <si>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</si>
  <si>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</si>
  <si>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</si>
  <si>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</si>
  <si>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</si>
  <si>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</si>
  <si>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</si>
  <si>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</si>
  <si>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</si>
  <si>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</si>
  <si>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</si>
  <si>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</si>
  <si>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</si>
  <si>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</si>
  <si>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</si>
  <si>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</si>
  <si>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</si>
  <si>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</si>
  <si>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</si>
  <si>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</si>
  <si>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</si>
  <si>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</si>
  <si>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</si>
  <si>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</si>
  <si>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</si>
  <si>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</si>
  <si>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</si>
  <si>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</si>
  <si>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</si>
  <si>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</si>
  <si>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</si>
  <si>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</si>
  <si>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</si>
  <si>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</si>
  <si>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</si>
  <si>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</si>
  <si>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</si>
  <si>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</si>
  <si>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</si>
  <si>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</si>
  <si>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</si>
  <si>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</si>
  <si>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</si>
  <si>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</si>
  <si>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</si>
  <si>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</si>
  <si>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</si>
  <si>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</si>
  <si>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</si>
  <si>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</si>
  <si>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</si>
  <si>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</si>
  <si>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</si>
  <si>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</si>
  <si>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</si>
  <si>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</si>
  <si>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</si>
  <si>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</si>
  <si>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</si>
  <si>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</si>
  <si>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</si>
  <si>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</si>
  <si>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</si>
  <si>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</si>
  <si>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</si>
  <si>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</si>
  <si>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</si>
  <si>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</si>
  <si>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</si>
  <si>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</si>
  <si>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</si>
  <si>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</si>
  <si>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</si>
  <si>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</si>
  <si>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</si>
  <si>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</si>
  <si>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</si>
  <si>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</si>
  <si>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</si>
  <si>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</si>
  <si>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</si>
  <si>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</si>
  <si>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</si>
  <si>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</si>
  <si>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</si>
  <si>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</si>
  <si>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</si>
  <si>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</si>
  <si>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</si>
  <si>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</si>
  <si>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</si>
  <si>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</si>
  <si>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</si>
  <si>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</si>
  <si>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</si>
  <si>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</si>
  <si>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</si>
  <si>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</si>
  <si>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</si>
  <si>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</si>
  <si>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</si>
  <si>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</si>
  <si>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</si>
  <si>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</si>
  <si>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</si>
  <si>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</si>
  <si>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</si>
  <si>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</si>
  <si>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</si>
  <si>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</si>
  <si>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</si>
  <si>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</si>
  <si>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</si>
  <si>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</si>
  <si>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</si>
  <si>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</si>
  <si>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</si>
  <si>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</si>
  <si>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</si>
  <si>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</si>
  <si>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</si>
  <si>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</si>
  <si>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</si>
  <si>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</si>
  <si>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</si>
  <si>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</si>
  <si>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</si>
  <si>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</si>
  <si>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</si>
  <si>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</si>
  <si>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</si>
  <si>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</si>
  <si>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</si>
  <si>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</si>
  <si>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</si>
  <si>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</si>
  <si>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</si>
  <si>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</si>
  <si>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</si>
  <si>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</si>
  <si>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</si>
  <si>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</si>
  <si>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</si>
  <si>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</si>
  <si>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</si>
  <si>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</si>
  <si>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</si>
  <si>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</si>
  <si>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</si>
  <si>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</si>
  <si>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</si>
  <si>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</si>
  <si>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</si>
  <si>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</si>
  <si>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</si>
  <si>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</si>
  <si>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</si>
  <si>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</si>
  <si>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</si>
  <si>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</si>
  <si>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</si>
  <si>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</si>
  <si>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</si>
  <si>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</si>
  <si>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</si>
  <si>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</si>
  <si>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</si>
  <si>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</si>
  <si>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</si>
  <si>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</si>
  <si>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</si>
  <si>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</si>
  <si>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</si>
  <si>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</si>
  <si>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</si>
  <si>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</si>
  <si>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</si>
  <si>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</si>
  <si>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</si>
  <si>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</si>
  <si>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</si>
  <si>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</si>
  <si>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</si>
  <si>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</si>
  <si>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</si>
  <si>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</si>
  <si>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</si>
  <si>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</si>
  <si>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</si>
  <si>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</si>
  <si>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</si>
  <si>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</si>
  <si>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</si>
  <si>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</si>
  <si>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</si>
  <si>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</si>
  <si>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</si>
  <si>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</si>
  <si>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</si>
  <si>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</si>
  <si>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</si>
  <si>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</si>
  <si>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</si>
  <si>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</si>
  <si>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</si>
  <si>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</si>
  <si>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</si>
  <si>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</si>
  <si>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</si>
  <si>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</si>
  <si>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</si>
  <si>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</si>
  <si>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</si>
  <si>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</si>
  <si>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</si>
  <si>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</si>
  <si>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</si>
  <si>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</si>
  <si>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</si>
  <si>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</si>
  <si>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</si>
  <si>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</si>
  <si>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</si>
  <si>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</si>
  <si>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</si>
  <si>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</si>
  <si>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</si>
  <si>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</si>
  <si>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</si>
  <si>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</si>
  <si>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</si>
  <si>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</si>
  <si>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</si>
  <si>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</si>
  <si>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</si>
  <si>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</si>
  <si>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</si>
  <si>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</si>
  <si>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</si>
  <si>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</si>
  <si>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</si>
  <si>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</si>
  <si>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</si>
  <si>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</si>
  <si>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</si>
  <si>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</si>
  <si>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</si>
  <si>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</si>
  <si>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</si>
  <si>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</si>
  <si>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</si>
  <si>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</si>
  <si>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</si>
  <si>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</si>
  <si>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</si>
  <si>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</si>
  <si>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</si>
  <si>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</si>
  <si>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</si>
  <si>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</si>
  <si>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</si>
  <si>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</si>
  <si>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</si>
  <si>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</si>
  <si>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</si>
  <si>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</si>
  <si>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</si>
  <si>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</si>
  <si>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</si>
  <si>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</si>
  <si>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</si>
  <si>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</si>
  <si>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</si>
  <si>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</si>
  <si>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</si>
  <si>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</si>
  <si>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</si>
  <si>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</si>
  <si>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</si>
  <si>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</si>
  <si>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</si>
  <si>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</si>
  <si>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</si>
  <si>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</si>
  <si>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</si>
  <si>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</si>
  <si>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</si>
  <si>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</si>
  <si>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</si>
  <si>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</si>
  <si>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</si>
  <si>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</si>
  <si>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</si>
  <si>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</si>
  <si>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</si>
  <si>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</si>
  <si>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</si>
  <si>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</si>
  <si>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</si>
  <si>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</si>
  <si>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</si>
  <si>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</si>
  <si>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</si>
  <si>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</si>
  <si>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</si>
  <si>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</si>
  <si>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</si>
  <si>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</si>
  <si>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</si>
  <si>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</si>
  <si>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</si>
  <si>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</si>
  <si>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</si>
  <si>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</si>
  <si>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</si>
  <si>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</si>
  <si>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</si>
  <si>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</si>
  <si>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</si>
  <si>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</si>
  <si>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</si>
  <si>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</si>
  <si>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</si>
  <si>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</si>
  <si>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</si>
  <si>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</si>
  <si>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</si>
  <si>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</si>
  <si>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</si>
  <si>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</si>
  <si>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</si>
  <si>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</si>
  <si>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</si>
  <si>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</si>
  <si>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</si>
  <si>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</si>
  <si>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</si>
  <si>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</si>
  <si>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</si>
  <si>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</si>
  <si>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</si>
  <si>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</si>
  <si>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</si>
  <si>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</si>
  <si>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</si>
  <si>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</si>
  <si>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</si>
  <si>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</si>
  <si>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</si>
  <si>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</si>
  <si>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</si>
  <si>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</si>
  <si>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</si>
  <si>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</si>
  <si>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</si>
  <si>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</si>
  <si>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</si>
  <si>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</si>
  <si>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</si>
  <si>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</si>
  <si>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</si>
  <si>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</si>
  <si>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</si>
  <si>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</si>
  <si>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</si>
  <si>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</si>
  <si>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</si>
  <si>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</si>
  <si>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</si>
  <si>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</si>
  <si>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</si>
  <si>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</si>
  <si>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</si>
  <si>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</si>
  <si>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</si>
  <si>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</si>
  <si>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</si>
  <si>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</si>
  <si>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</si>
  <si>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</si>
  <si>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</si>
  <si>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</si>
  <si>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</si>
  <si>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</si>
  <si>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</si>
  <si>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</si>
  <si>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</si>
  <si>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</si>
  <si>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</si>
  <si>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</si>
  <si>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</si>
  <si>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</si>
  <si>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</si>
  <si>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</si>
  <si>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</si>
  <si>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</si>
  <si>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</si>
  <si>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</si>
  <si>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</si>
  <si>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</si>
  <si>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</si>
  <si>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</si>
  <si>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</si>
  <si>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</si>
  <si>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</si>
  <si>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</si>
  <si>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</si>
  <si>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</si>
  <si>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</si>
  <si>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</si>
  <si>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</si>
  <si>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</si>
  <si>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</si>
  <si>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</si>
  <si>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</si>
  <si>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</si>
  <si>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</si>
  <si>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</si>
  <si>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</si>
  <si>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</si>
  <si>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</si>
  <si>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</si>
  <si>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</si>
  <si>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</si>
  <si>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</si>
  <si>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</si>
  <si>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</si>
  <si>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</si>
  <si>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</si>
  <si>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</si>
  <si>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</si>
  <si>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</si>
  <si>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</si>
  <si>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</si>
  <si>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</si>
  <si>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</si>
  <si>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</si>
  <si>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</si>
  <si>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</si>
  <si>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</si>
  <si>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</si>
  <si>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</si>
  <si>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</si>
  <si>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</si>
  <si>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</si>
  <si>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</si>
  <si>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</si>
  <si>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</si>
  <si>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</si>
  <si>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</si>
  <si>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</si>
  <si>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</si>
  <si>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</si>
  <si>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</si>
  <si>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</si>
  <si>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</si>
  <si>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</si>
  <si>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</si>
  <si>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</si>
  <si>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</si>
  <si>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</si>
  <si>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</si>
  <si>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</si>
  <si>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</si>
  <si>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</si>
  <si>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</si>
  <si>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</si>
  <si>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</si>
  <si>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</si>
  <si>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</si>
  <si>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</si>
  <si>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</si>
  <si>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</si>
  <si>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</si>
  <si>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</si>
  <si>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</si>
  <si>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</si>
  <si>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</si>
  <si>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</si>
  <si>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</si>
  <si>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</si>
  <si>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</si>
  <si>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</si>
  <si>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</si>
  <si>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</si>
  <si>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</si>
  <si>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</si>
  <si>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</si>
  <si>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</si>
  <si>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</si>
  <si>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</si>
  <si>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</si>
  <si>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</si>
  <si>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</si>
  <si>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</si>
  <si>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</si>
  <si>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</si>
  <si>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</si>
  <si>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</si>
  <si>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</si>
  <si>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</si>
  <si>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</si>
  <si>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</si>
  <si>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</si>
  <si>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</si>
  <si>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</si>
  <si>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</si>
  <si>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</si>
  <si>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</si>
  <si>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</si>
  <si>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</si>
  <si>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</si>
  <si>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</si>
  <si>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</si>
  <si>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</si>
  <si>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</si>
  <si>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</si>
  <si>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</si>
  <si>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</si>
  <si>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</si>
  <si>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</si>
  <si>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</si>
  <si>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</si>
  <si>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</si>
  <si>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</si>
  <si>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</si>
  <si>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</si>
  <si>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</si>
  <si>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</si>
  <si>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</si>
  <si>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</si>
  <si>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</si>
  <si>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</si>
  <si>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</si>
  <si>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</si>
  <si>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</si>
  <si>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</si>
  <si>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</si>
  <si>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</si>
  <si>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</si>
  <si>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</si>
  <si>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</si>
  <si>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</si>
  <si>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</si>
  <si>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</si>
  <si>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</si>
  <si>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</si>
  <si>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</si>
  <si>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</si>
  <si>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</si>
  <si>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</si>
  <si>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</si>
  <si>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</si>
  <si>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</si>
  <si>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</si>
  <si>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</si>
  <si>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</si>
  <si>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</si>
  <si>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</si>
  <si>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</si>
  <si>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</si>
  <si>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</si>
  <si>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</si>
  <si>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</si>
  <si>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</si>
  <si>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</si>
  <si>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</si>
  <si>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</si>
  <si>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</si>
  <si>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</si>
  <si>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</si>
  <si>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</si>
  <si>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</si>
  <si>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</si>
  <si>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</si>
  <si>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</si>
  <si>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</si>
  <si>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</si>
  <si>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</si>
  <si>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</si>
  <si>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</si>
  <si>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</si>
  <si>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</si>
  <si>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</si>
  <si>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</si>
  <si>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</si>
  <si>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</si>
  <si>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</si>
  <si>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</si>
  <si>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</si>
  <si>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</si>
  <si>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</si>
  <si>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</si>
  <si>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</si>
  <si>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</si>
  <si>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</si>
  <si>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</si>
  <si>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</si>
  <si>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</si>
  <si>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</si>
  <si>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</si>
  <si>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</si>
  <si>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</si>
  <si>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</si>
  <si>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</si>
  <si>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</si>
  <si>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</si>
  <si>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</si>
  <si>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</si>
  <si>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</si>
  <si>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</si>
  <si>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</si>
  <si>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</si>
  <si>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</si>
  <si>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</si>
  <si>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</si>
  <si>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</si>
  <si>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</si>
  <si>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</si>
  <si>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</si>
  <si>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</si>
  <si>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</si>
  <si>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</si>
  <si>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</si>
  <si>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</si>
  <si>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</si>
  <si>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</si>
  <si>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</si>
  <si>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</si>
  <si>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</si>
  <si>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</si>
  <si>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</si>
  <si>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</si>
  <si>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</si>
  <si>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</si>
  <si>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</si>
  <si>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</si>
  <si>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</si>
  <si>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</si>
  <si>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</si>
  <si>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</si>
  <si>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</si>
  <si>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</si>
  <si>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</si>
  <si>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</si>
  <si>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</si>
  <si>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</si>
  <si>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</si>
  <si>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</si>
  <si>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</si>
  <si>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</si>
  <si>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</si>
  <si>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</si>
  <si>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</si>
  <si>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</si>
  <si>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</si>
  <si>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</si>
  <si>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</si>
  <si>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</si>
  <si>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</si>
  <si>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</si>
  <si>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</si>
  <si>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</si>
  <si>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</si>
  <si>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</si>
  <si>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</si>
  <si>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</si>
  <si>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</si>
  <si>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</si>
  <si>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</si>
  <si>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</si>
  <si>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</si>
  <si>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</si>
  <si>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</si>
  <si>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</si>
  <si>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</si>
  <si>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</si>
  <si>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</si>
  <si>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</si>
  <si>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</si>
  <si>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</si>
  <si>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</si>
  <si>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</si>
  <si>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</si>
  <si>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</si>
  <si>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</si>
  <si>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</si>
  <si>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</si>
  <si>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</si>
  <si>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</si>
  <si>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</si>
  <si>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</si>
  <si>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</si>
  <si>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</si>
  <si>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</si>
  <si>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</si>
  <si>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</si>
  <si>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</si>
  <si>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</si>
  <si>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</si>
  <si>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</si>
  <si>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</si>
  <si>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</si>
  <si>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</si>
  <si>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</si>
  <si>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</si>
  <si>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</si>
  <si>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</si>
  <si>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</si>
  <si>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</si>
  <si>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</si>
  <si>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</si>
  <si>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</si>
  <si>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</si>
  <si>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</si>
  <si>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</si>
  <si>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</si>
  <si>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</si>
  <si>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</si>
  <si>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</si>
  <si>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</si>
  <si>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</si>
  <si>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</si>
  <si>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</si>
  <si>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</si>
  <si>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</si>
  <si>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</si>
  <si>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</si>
  <si>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</si>
  <si>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</si>
  <si>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</si>
  <si>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</si>
  <si>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</si>
  <si>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</si>
  <si>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</si>
  <si>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</si>
  <si>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</si>
  <si>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</si>
  <si>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</si>
  <si>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</si>
  <si>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</si>
  <si>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</si>
  <si>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</si>
  <si>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</si>
  <si>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</si>
  <si>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</si>
  <si>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</si>
  <si>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</si>
  <si>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</si>
  <si>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</si>
  <si>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</si>
  <si>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</si>
  <si>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</si>
  <si>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</si>
  <si>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</si>
  <si>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</si>
  <si>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</si>
  <si>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</si>
  <si>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</si>
  <si>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</si>
  <si>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</si>
  <si>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</si>
  <si>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</si>
  <si>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</si>
  <si>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</si>
  <si>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</si>
  <si>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</si>
  <si>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</si>
  <si>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</si>
  <si>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</si>
  <si>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</si>
  <si>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</si>
  <si>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</si>
  <si>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</si>
  <si>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</si>
  <si>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</si>
  <si>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</si>
  <si>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</si>
  <si>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</si>
  <si>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</si>
  <si>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</si>
  <si>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</si>
  <si>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</si>
  <si>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</si>
  <si>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</si>
  <si>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</si>
  <si>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</si>
  <si>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</si>
  <si>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</si>
  <si>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</si>
  <si>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</si>
  <si>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</si>
  <si>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</si>
  <si>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</si>
  <si>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</si>
  <si>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</si>
  <si>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</si>
  <si>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</si>
  <si>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</si>
  <si>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</si>
  <si>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</si>
  <si>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</si>
  <si>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</si>
  <si>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</si>
  <si>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</si>
  <si>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</si>
  <si>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</si>
  <si>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</si>
  <si>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</si>
  <si>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</si>
  <si>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</si>
  <si>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</si>
  <si>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</si>
  <si>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</si>
  <si>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</si>
  <si>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</si>
  <si>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</si>
  <si>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</si>
  <si>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</si>
  <si>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</si>
  <si>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</si>
  <si>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</si>
  <si>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</si>
  <si>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</si>
  <si>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</si>
  <si>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</si>
  <si>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</si>
  <si>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</si>
  <si>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</si>
  <si>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</si>
  <si>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</si>
  <si>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</si>
  <si>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</si>
  <si>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</si>
  <si>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</si>
  <si>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</si>
  <si>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</si>
  <si>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</si>
  <si>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</si>
  <si>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</si>
  <si>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</si>
  <si>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</si>
  <si>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</si>
  <si>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</si>
  <si>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</si>
  <si>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</si>
  <si>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</si>
  <si>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</si>
  <si>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</si>
  <si>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</si>
  <si>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</si>
  <si>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</si>
  <si>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</si>
  <si>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</si>
  <si>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</si>
  <si>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</si>
  <si>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</si>
  <si>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</si>
  <si>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</si>
  <si>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</si>
  <si>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</si>
  <si>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</si>
  <si>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</si>
  <si>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</si>
  <si>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</si>
  <si>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</si>
  <si>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</si>
  <si>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</si>
  <si>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</si>
  <si>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</si>
  <si>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</si>
  <si>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</si>
  <si>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</si>
  <si>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</si>
  <si>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</si>
  <si>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</si>
  <si>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</si>
  <si>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</si>
  <si>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</si>
  <si>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</si>
  <si>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</si>
  <si>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</si>
  <si>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</si>
  <si>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</si>
  <si>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</si>
  <si>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</si>
  <si>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</si>
  <si>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</si>
  <si>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</si>
  <si>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</si>
  <si>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</si>
  <si>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</si>
  <si>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</si>
  <si>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</si>
  <si>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</si>
  <si>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</si>
  <si>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</si>
  <si>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</si>
  <si>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</si>
  <si>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</si>
  <si>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</si>
  <si>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</si>
  <si>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</si>
  <si>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</si>
  <si>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</si>
  <si>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</si>
  <si>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</si>
  <si>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</si>
  <si>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</si>
  <si>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</si>
  <si>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</si>
  <si>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</si>
  <si>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</si>
  <si>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</si>
  <si>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</si>
  <si>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</si>
  <si>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</si>
  <si>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</si>
  <si>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</si>
  <si>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</si>
  <si>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</si>
  <si>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</si>
  <si>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</si>
  <si>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</si>
  <si>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</si>
  <si>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</si>
  <si>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</si>
  <si>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</si>
  <si>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</si>
  <si>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</si>
  <si>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</si>
  <si>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</si>
  <si>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</si>
  <si>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</si>
  <si>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</si>
  <si>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</si>
  <si>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</si>
  <si>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</si>
  <si>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</si>
  <si>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</si>
  <si>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</si>
  <si>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</si>
  <si>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</si>
  <si>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</si>
  <si>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</si>
  <si>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</si>
  <si>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</si>
  <si>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</si>
  <si>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</si>
  <si>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</si>
  <si>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</si>
  <si>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</si>
  <si>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</si>
  <si>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</si>
  <si>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</si>
  <si>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</si>
  <si>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</si>
  <si>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</si>
  <si>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</si>
  <si>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</si>
  <si>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</si>
  <si>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</si>
  <si>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</si>
  <si>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</si>
  <si>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</si>
  <si>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</si>
  <si>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</si>
  <si>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</si>
  <si>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</si>
  <si>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</si>
  <si>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</si>
  <si>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</si>
  <si>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</si>
  <si>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</si>
  <si>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</si>
  <si>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</si>
  <si>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</si>
  <si>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</si>
  <si>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</si>
  <si>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</si>
  <si>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</si>
  <si>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</si>
  <si>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</si>
  <si>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</si>
  <si>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</si>
  <si>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</si>
  <si>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</si>
  <si>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</si>
  <si>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</si>
  <si>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</si>
  <si>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</si>
  <si>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</si>
  <si>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</si>
  <si>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</si>
  <si>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</si>
  <si>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</si>
  <si>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</si>
  <si>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</si>
  <si>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</si>
  <si>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</si>
  <si>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</si>
  <si>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</si>
  <si>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</si>
  <si>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</si>
  <si>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</si>
  <si>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</si>
  <si>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</si>
  <si>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</si>
  <si>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</si>
  <si>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</si>
  <si>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</si>
  <si>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</si>
  <si>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</si>
  <si>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</si>
  <si>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</si>
  <si>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</si>
  <si>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</si>
  <si>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</si>
  <si>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</si>
  <si>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</si>
  <si>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</si>
  <si>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</si>
  <si>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</si>
  <si>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</si>
  <si>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</si>
  <si>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</si>
  <si>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</si>
  <si>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</si>
  <si>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</si>
  <si>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</si>
  <si>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</si>
  <si>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</si>
  <si>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</si>
  <si>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</si>
  <si>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</si>
  <si>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</si>
  <si>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</si>
  <si>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</si>
  <si>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</si>
  <si>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</si>
  <si>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</si>
  <si>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</si>
  <si>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</si>
  <si>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</si>
  <si>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</si>
  <si>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</si>
  <si>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</si>
  <si>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</si>
  <si>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</si>
  <si>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</si>
  <si>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</si>
  <si>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</si>
  <si>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</si>
  <si>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</si>
  <si>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</si>
  <si>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</si>
  <si>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</si>
  <si>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</si>
  <si>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</si>
  <si>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</si>
  <si>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</si>
  <si>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</si>
  <si>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</si>
  <si>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</si>
  <si>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</si>
  <si>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</si>
  <si>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</si>
  <si>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</si>
  <si>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</si>
  <si>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</si>
  <si>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</si>
  <si>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</si>
  <si>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</si>
  <si>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</si>
  <si>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</si>
  <si>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</si>
  <si>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</si>
  <si>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</si>
  <si>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</si>
  <si>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</si>
  <si>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</si>
  <si>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</si>
  <si>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</si>
  <si>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</si>
  <si>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</si>
  <si>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</si>
  <si>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</si>
  <si>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</si>
  <si>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</si>
  <si>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</si>
  <si>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</si>
  <si>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</si>
  <si>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</si>
  <si>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</si>
  <si>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</si>
  <si>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</si>
  <si>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</si>
  <si>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</si>
  <si>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</si>
  <si>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</si>
  <si>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</si>
  <si>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</si>
  <si>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</si>
  <si>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</si>
  <si>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</si>
  <si>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</si>
  <si>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</si>
  <si>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</si>
  <si>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</si>
  <si>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</si>
  <si>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</si>
  <si>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</si>
  <si>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</si>
  <si>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</si>
  <si>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</si>
  <si>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</si>
  <si>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</si>
  <si>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</si>
  <si>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</si>
  <si>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</si>
  <si>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</si>
  <si>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</si>
  <si>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</si>
  <si>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</si>
  <si>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</si>
  <si>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</si>
  <si>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</si>
  <si>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</si>
  <si>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</si>
  <si>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</si>
  <si>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</si>
  <si>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</si>
  <si>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</si>
  <si>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</si>
  <si>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</si>
  <si>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</si>
  <si>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</si>
  <si>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</si>
  <si>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</si>
  <si>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</si>
  <si>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</si>
  <si>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</si>
  <si>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</si>
  <si>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</si>
  <si>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</si>
  <si>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</si>
  <si>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</si>
  <si>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</si>
  <si>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</si>
  <si>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</si>
  <si>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</si>
  <si>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</si>
  <si>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</si>
  <si>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</si>
  <si>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</si>
  <si>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</si>
  <si>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</si>
  <si>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</si>
  <si>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</si>
  <si>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</si>
  <si>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</si>
  <si>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</si>
  <si>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</si>
  <si>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</si>
  <si>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</si>
  <si>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</si>
  <si>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</si>
  <si>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</si>
  <si>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</si>
  <si>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</si>
  <si>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</si>
  <si>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</si>
  <si>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</si>
  <si>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</si>
  <si>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</si>
  <si>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</si>
  <si>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</si>
  <si>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</si>
  <si>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</si>
  <si>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</si>
  <si>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</si>
  <si>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</si>
  <si>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</si>
  <si>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</si>
  <si>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</si>
  <si>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</si>
  <si>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</si>
  <si>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</si>
  <si>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</si>
  <si>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</si>
  <si>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</si>
  <si>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</si>
  <si>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</si>
  <si>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</si>
  <si>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</si>
  <si>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</si>
  <si>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</si>
  <si>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</si>
  <si>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</si>
  <si>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</si>
  <si>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</si>
  <si>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</si>
  <si>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</si>
  <si>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</si>
  <si>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</si>
  <si>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</si>
  <si>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</si>
  <si>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</si>
  <si>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</si>
  <si>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</si>
  <si>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</si>
  <si>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</si>
  <si>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</si>
  <si>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</si>
  <si>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</si>
  <si>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</si>
  <si>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</si>
  <si>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</si>
  <si>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</si>
  <si>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</si>
  <si>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</si>
  <si>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</si>
  <si>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</si>
  <si>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</si>
  <si>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</si>
  <si>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</si>
  <si>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</si>
  <si>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</si>
  <si>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</si>
  <si>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</si>
  <si>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</si>
  <si>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</si>
  <si>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</si>
  <si>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</si>
  <si>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</si>
  <si>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</si>
  <si>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</si>
  <si>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</si>
  <si>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</si>
  <si>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</si>
  <si>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</si>
  <si>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</si>
  <si>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</si>
  <si>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</si>
  <si>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</si>
  <si>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</si>
  <si>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</si>
  <si>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</si>
  <si>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</si>
  <si>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</si>
  <si>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</si>
  <si>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</si>
  <si>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</si>
  <si>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</si>
  <si>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</si>
  <si>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</si>
  <si>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</si>
  <si>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</si>
  <si>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</si>
  <si>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</si>
  <si>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</si>
  <si>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</si>
  <si>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</si>
  <si>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</si>
  <si>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</si>
  <si>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</si>
  <si>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</si>
  <si>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</si>
  <si>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</si>
  <si>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</si>
  <si>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</si>
  <si>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</si>
  <si>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</si>
  <si>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</si>
  <si>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</si>
  <si>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</si>
  <si>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</si>
  <si>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</si>
  <si>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</si>
  <si>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</si>
  <si>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</si>
  <si>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</si>
  <si>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</si>
  <si>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</si>
  <si>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</si>
  <si>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</si>
  <si>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</si>
  <si>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</si>
  <si>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</si>
  <si>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</si>
  <si>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</si>
  <si>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</si>
  <si>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</si>
  <si>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</si>
  <si>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</si>
  <si>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</si>
  <si>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</si>
  <si>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</si>
  <si>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</si>
  <si>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</si>
  <si>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</si>
  <si>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</si>
  <si>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</si>
  <si>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</si>
  <si>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</si>
  <si>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</si>
  <si>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</si>
  <si>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</si>
  <si>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</si>
  <si>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</si>
  <si>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</si>
  <si>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</si>
  <si>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</si>
  <si>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</si>
  <si>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</si>
  <si>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</si>
  <si>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</si>
  <si>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</si>
  <si>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</si>
  <si>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</si>
  <si>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</si>
  <si>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</si>
  <si>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</si>
  <si>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</si>
  <si>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</si>
  <si>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</si>
  <si>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</si>
  <si>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</si>
  <si>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</si>
  <si>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</si>
  <si>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</si>
  <si>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</si>
  <si>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</si>
  <si>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</si>
  <si>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</si>
  <si>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</si>
  <si>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</si>
  <si>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</si>
  <si>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</si>
  <si>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</si>
  <si>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</si>
  <si>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</si>
  <si>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</si>
  <si>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</si>
  <si>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</si>
  <si>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</si>
  <si>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</si>
  <si>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</si>
  <si>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</si>
  <si>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</si>
  <si>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</si>
  <si>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</si>
  <si>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</si>
  <si>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</si>
  <si>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</si>
  <si>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</si>
  <si>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</si>
  <si>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</si>
  <si>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</si>
  <si>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</si>
  <si>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</si>
  <si>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</si>
  <si>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</si>
  <si>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</si>
  <si>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</si>
  <si>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</si>
  <si>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</si>
  <si>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</si>
  <si>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</si>
  <si>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</si>
  <si>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</si>
  <si>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</si>
  <si>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</si>
  <si>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</si>
  <si>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</si>
  <si>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</si>
  <si>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</si>
  <si>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</si>
  <si>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</si>
  <si>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</si>
  <si>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</si>
  <si>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</si>
  <si>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</si>
  <si>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</si>
  <si>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</si>
  <si>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</si>
  <si>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</si>
  <si>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</si>
  <si>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</si>
  <si>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</si>
  <si>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</si>
  <si>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</si>
  <si>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</si>
  <si>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</si>
  <si>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</si>
  <si>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</si>
  <si>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</si>
  <si>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</si>
  <si>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</si>
  <si>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</si>
  <si>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</si>
  <si>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</si>
  <si>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</si>
  <si>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</si>
  <si>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</si>
  <si>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</si>
  <si>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</si>
  <si>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</si>
  <si>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</si>
  <si>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</si>
  <si>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</si>
  <si>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</si>
  <si>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</si>
  <si>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</si>
  <si>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</si>
  <si>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</si>
  <si>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</si>
  <si>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</si>
  <si>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</si>
  <si>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</si>
  <si>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</si>
  <si>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</si>
  <si>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</si>
  <si>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</si>
  <si>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</si>
  <si>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</si>
  <si>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</si>
  <si>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</si>
  <si>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</si>
  <si>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</si>
  <si>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</si>
  <si>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</si>
  <si>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</si>
  <si>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</si>
  <si>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</si>
  <si>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</si>
  <si>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</si>
  <si>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</si>
  <si>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</si>
  <si>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</si>
  <si>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</si>
  <si>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</si>
  <si>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</si>
  <si>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</si>
  <si>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</si>
  <si>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</si>
  <si>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</si>
  <si>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</si>
  <si>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</si>
  <si>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</si>
  <si>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</si>
  <si>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</si>
  <si>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</si>
  <si>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</si>
  <si>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</si>
  <si>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</si>
  <si>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</si>
  <si>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</si>
  <si>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</si>
  <si>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</si>
  <si>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</si>
  <si>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</si>
  <si>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</si>
  <si>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</si>
  <si>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</si>
  <si>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</si>
  <si>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</si>
  <si>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</si>
  <si>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</si>
  <si>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</si>
  <si>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</si>
  <si>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</si>
  <si>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</si>
  <si>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</si>
  <si>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</si>
  <si>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</si>
  <si>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</si>
  <si>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</si>
  <si>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</si>
  <si>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</si>
  <si>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</si>
  <si>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</si>
  <si>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</si>
  <si>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</si>
  <si>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</si>
  <si>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</si>
  <si>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</si>
  <si>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</si>
  <si>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</si>
  <si>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</si>
  <si>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</si>
  <si>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</si>
  <si>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</si>
  <si>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</si>
  <si>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</si>
  <si>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</si>
  <si>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</si>
  <si>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</si>
  <si>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</si>
  <si>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</si>
  <si>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</si>
  <si>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</si>
  <si>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</si>
  <si>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</si>
  <si>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</si>
  <si>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</si>
  <si>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</si>
  <si>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</si>
  <si>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</si>
  <si>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</si>
  <si>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</si>
  <si>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</si>
  <si>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</si>
  <si>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</si>
  <si>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</si>
  <si>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</si>
  <si>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</si>
  <si>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</si>
  <si>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</si>
  <si>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</si>
  <si>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</si>
  <si>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</si>
  <si>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</si>
  <si>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</si>
  <si>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</si>
  <si>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</si>
  <si>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</si>
  <si>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</si>
  <si>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</si>
  <si>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</si>
  <si>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</si>
  <si>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</si>
  <si>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</si>
  <si>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</si>
  <si>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</si>
  <si>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</si>
  <si>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</si>
  <si>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</si>
  <si>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</si>
  <si>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</si>
  <si>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</si>
  <si>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</si>
  <si>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</si>
  <si>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</si>
  <si>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</si>
  <si>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</si>
  <si>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</si>
  <si>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</si>
  <si>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</si>
  <si>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</si>
  <si>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</si>
  <si>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</si>
  <si>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</si>
  <si>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</si>
  <si>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</si>
  <si>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</si>
  <si>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</si>
  <si>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</si>
  <si>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</si>
  <si>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</si>
  <si>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</si>
  <si>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</si>
  <si>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</si>
  <si>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</si>
  <si>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</si>
  <si>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</si>
  <si>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</si>
  <si>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</si>
  <si>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</si>
  <si>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</si>
  <si>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</si>
  <si>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</si>
  <si>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</si>
  <si>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</si>
  <si>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</si>
  <si>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</si>
  <si>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</si>
  <si>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</si>
  <si>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</si>
  <si>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</si>
  <si>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</si>
  <si>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</si>
  <si>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</si>
  <si>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</si>
  <si>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</si>
  <si>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</si>
  <si>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</si>
  <si>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</si>
  <si>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</si>
  <si>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</si>
  <si>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</si>
  <si>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</si>
  <si>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</si>
  <si>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</si>
  <si>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</si>
  <si>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</si>
  <si>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</si>
  <si>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</si>
  <si>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</si>
  <si>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</si>
  <si>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</si>
  <si>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</si>
  <si>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</si>
  <si>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</si>
  <si>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</si>
  <si>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</si>
  <si>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</si>
  <si>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</si>
  <si>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</si>
  <si>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</si>
  <si>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</si>
  <si>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</si>
  <si>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</si>
  <si>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</si>
  <si>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</si>
  <si>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</si>
  <si>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</si>
  <si>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</si>
  <si>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</si>
  <si>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</si>
  <si>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</si>
  <si>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</si>
  <si>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</si>
  <si>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</si>
  <si>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</si>
  <si>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</si>
  <si>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</si>
  <si>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</si>
  <si>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</si>
  <si>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</si>
  <si>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</si>
  <si>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</si>
  <si>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</si>
  <si>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</si>
  <si>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</si>
  <si>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</si>
  <si>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</si>
  <si>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</si>
  <si>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</si>
  <si>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</si>
  <si>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</si>
  <si>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</si>
  <si>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</si>
  <si>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</si>
  <si>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</si>
  <si>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</si>
  <si>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</si>
  <si>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</si>
  <si>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</si>
  <si>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</si>
  <si>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</si>
  <si>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</si>
  <si>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</si>
  <si>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</si>
  <si>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</si>
  <si>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</si>
  <si>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</si>
  <si>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</si>
  <si>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</si>
  <si>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</si>
  <si>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</si>
  <si>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</si>
  <si>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</si>
  <si>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</si>
  <si>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</si>
  <si>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</si>
  <si>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</si>
  <si>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</si>
  <si>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</si>
  <si>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</si>
  <si>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</si>
  <si>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</si>
  <si>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</si>
  <si>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</si>
  <si>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</si>
  <si>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</si>
  <si>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</si>
  <si>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</si>
  <si>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</si>
  <si>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</si>
  <si>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</si>
  <si>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</si>
  <si>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</si>
  <si>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</si>
  <si>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</si>
  <si>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</si>
  <si>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</si>
  <si>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</si>
  <si>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</si>
  <si>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</si>
  <si>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</si>
  <si>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</si>
  <si>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</si>
  <si>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</si>
  <si>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</si>
  <si>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</si>
  <si>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</si>
  <si>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</si>
  <si>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</si>
  <si>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</si>
  <si>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</si>
  <si>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</si>
  <si>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</si>
  <si>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</si>
  <si>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</si>
  <si>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</si>
  <si>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</si>
  <si>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</si>
  <si>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</si>
  <si>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</si>
  <si>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</si>
  <si>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</si>
  <si>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</si>
  <si>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</si>
  <si>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</si>
  <si>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</si>
  <si>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</si>
  <si>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</si>
  <si>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</si>
  <si>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</si>
  <si>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</si>
  <si>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</si>
  <si>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</si>
  <si>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</si>
  <si>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</si>
  <si>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</si>
  <si>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</si>
  <si>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</si>
  <si>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</si>
  <si>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</si>
  <si>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</si>
  <si>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</si>
  <si>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</si>
  <si>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</si>
  <si>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</si>
  <si>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</si>
  <si>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</si>
  <si>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</si>
  <si>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</si>
  <si>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</si>
  <si>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</si>
  <si>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</si>
  <si>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</si>
  <si>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</si>
  <si>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</si>
  <si>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</si>
  <si>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</si>
  <si>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</si>
  <si>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</si>
  <si>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</si>
  <si>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</si>
  <si>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</si>
  <si>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</si>
  <si>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</si>
  <si>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</si>
  <si>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</si>
  <si>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</si>
  <si>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</si>
  <si>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</si>
  <si>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</si>
  <si>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</si>
  <si>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</si>
  <si>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</si>
  <si>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</si>
  <si>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</si>
  <si>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</si>
  <si>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</si>
  <si>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</si>
  <si>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</si>
  <si>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</si>
  <si>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</si>
  <si>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</si>
  <si>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</si>
  <si>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</si>
  <si>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</si>
  <si>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</si>
  <si>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</si>
  <si>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</si>
  <si>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</si>
  <si>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</si>
  <si>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</si>
  <si>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</si>
  <si>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</si>
  <si>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</si>
  <si>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</si>
  <si>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</si>
  <si>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</si>
  <si>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</si>
  <si>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</si>
  <si>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</si>
  <si>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</si>
  <si>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</si>
  <si>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</si>
  <si>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</si>
  <si>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</si>
  <si>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</si>
  <si>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</si>
  <si>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</si>
  <si>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</si>
  <si>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</si>
  <si>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</si>
  <si>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</si>
  <si>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</si>
  <si>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</si>
  <si>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</si>
  <si>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</si>
  <si>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</si>
  <si>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</si>
  <si>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</si>
  <si>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</si>
  <si>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</si>
  <si>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</si>
  <si>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</si>
  <si>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</si>
  <si>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</si>
  <si>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</si>
  <si>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</si>
  <si>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</si>
  <si>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</si>
  <si>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</si>
  <si>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</si>
  <si>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</si>
  <si>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</si>
  <si>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</si>
  <si>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</si>
  <si>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</si>
  <si>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</si>
  <si>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</si>
  <si>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</si>
  <si>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</si>
  <si>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</si>
  <si>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</si>
  <si>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</si>
  <si>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</si>
  <si>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</si>
  <si>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</si>
  <si>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</si>
  <si>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</si>
  <si>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</si>
  <si>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</si>
  <si>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</si>
  <si>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</si>
  <si>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</si>
  <si>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</si>
  <si>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</si>
  <si>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</si>
  <si>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</si>
  <si>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</si>
  <si>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</si>
  <si>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</si>
  <si>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</si>
  <si>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</si>
  <si>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</si>
  <si>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</si>
  <si>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</si>
  <si>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</si>
  <si>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</si>
  <si>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</si>
  <si>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</si>
  <si>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</si>
  <si>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</si>
  <si>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</si>
  <si>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</si>
  <si>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</si>
  <si>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</si>
  <si>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</si>
  <si>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</si>
  <si>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</si>
  <si>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</si>
  <si>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</si>
  <si>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</si>
  <si>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</si>
  <si>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</si>
  <si>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</si>
  <si>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</si>
  <si>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</si>
  <si>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</si>
  <si>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</si>
  <si>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</si>
  <si>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</si>
  <si>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</si>
  <si>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</si>
  <si>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</si>
  <si>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</si>
  <si>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</si>
  <si>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</si>
  <si>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</si>
  <si>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</si>
  <si>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</si>
  <si>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</si>
  <si>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</si>
  <si>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</si>
  <si>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</si>
  <si>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</si>
  <si>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</si>
  <si>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</si>
  <si>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</si>
  <si>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</si>
  <si>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</si>
  <si>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</si>
  <si>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</si>
  <si>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</si>
  <si>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</si>
  <si>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</si>
  <si>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</si>
  <si>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</si>
  <si>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</si>
  <si>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</si>
  <si>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</si>
  <si>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</si>
  <si>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</si>
  <si>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</si>
  <si>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</si>
  <si>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</si>
  <si>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</si>
  <si>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</si>
  <si>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</si>
  <si>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</si>
  <si>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</si>
  <si>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</si>
  <si>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</si>
  <si>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</si>
  <si>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</si>
  <si>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</si>
  <si>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</si>
  <si>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</si>
  <si>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</si>
  <si>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</si>
  <si>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</si>
  <si>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</si>
  <si>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</si>
  <si>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</si>
  <si>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</si>
  <si>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</si>
  <si>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</si>
  <si>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</si>
  <si>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</si>
  <si>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</si>
  <si>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</si>
  <si>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</si>
  <si>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</si>
  <si>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</si>
  <si>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</si>
  <si>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</si>
  <si>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</si>
  <si>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</si>
  <si>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</si>
  <si>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</si>
  <si>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</si>
  <si>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</si>
  <si>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</si>
  <si>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</si>
  <si>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</si>
  <si>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</si>
  <si>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</si>
  <si>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</si>
  <si>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</si>
  <si>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</si>
  <si>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</si>
  <si>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</si>
  <si>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</si>
  <si>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</si>
  <si>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</si>
  <si>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</si>
  <si>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</si>
  <si>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</si>
  <si>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</si>
  <si>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</si>
  <si>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</si>
  <si>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</si>
  <si>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</si>
  <si>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</si>
  <si>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</si>
  <si>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</si>
  <si>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</si>
  <si>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</si>
  <si>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</si>
  <si>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</si>
  <si>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</si>
  <si>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</si>
  <si>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</si>
  <si>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</si>
  <si>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</si>
  <si>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</si>
  <si>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</si>
  <si>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</si>
  <si>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</si>
  <si>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</si>
  <si>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</si>
  <si>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</si>
  <si>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</si>
  <si>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</si>
  <si>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</si>
  <si>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</si>
  <si>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</si>
  <si>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</si>
  <si>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</si>
  <si>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</si>
  <si>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</si>
  <si>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</si>
  <si>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</si>
  <si>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</si>
  <si>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</si>
  <si>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</si>
  <si>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</si>
  <si>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</si>
  <si>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</si>
  <si>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</si>
  <si>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</si>
  <si>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</si>
  <si>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</si>
  <si>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</si>
  <si>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</si>
  <si>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</si>
  <si>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</si>
  <si>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</si>
  <si>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</si>
  <si>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</si>
  <si>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</si>
  <si>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</si>
  <si>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</si>
  <si>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</si>
  <si>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</si>
  <si>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</si>
  <si>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</si>
  <si>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</si>
  <si>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</si>
  <si>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</si>
  <si>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</si>
  <si>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</si>
  <si>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</si>
  <si>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</si>
  <si>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</si>
  <si>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</si>
  <si>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</si>
  <si>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</si>
  <si>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</si>
  <si>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</si>
  <si>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</si>
  <si>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</si>
  <si>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</si>
  <si>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</si>
  <si>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</si>
  <si>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</si>
  <si>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</si>
  <si>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</si>
  <si>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</si>
  <si>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</si>
  <si>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</si>
  <si>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</si>
  <si>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</si>
  <si>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</si>
  <si>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</si>
  <si>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</si>
  <si>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</si>
  <si>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</si>
  <si>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</si>
  <si>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</si>
  <si>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</si>
  <si>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</si>
  <si>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</si>
  <si>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</si>
  <si>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</si>
  <si>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</si>
  <si>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</si>
  <si>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</si>
  <si>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</si>
  <si>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</si>
  <si>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</si>
  <si>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</si>
  <si>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</si>
  <si>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</si>
  <si>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</si>
  <si>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</si>
  <si>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</si>
  <si>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</si>
  <si>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</si>
  <si>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</si>
  <si>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</si>
  <si>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</si>
  <si>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</si>
  <si>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</si>
  <si>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</si>
  <si>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</si>
  <si>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</si>
  <si>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</si>
  <si>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</si>
  <si>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</si>
  <si>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</si>
  <si>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</si>
  <si>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</si>
  <si>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</si>
  <si>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</si>
  <si>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</si>
  <si>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</si>
  <si>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</si>
  <si>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</si>
  <si>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</si>
  <si>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</si>
  <si>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</si>
  <si>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</si>
  <si>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</si>
  <si>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</si>
  <si>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</si>
  <si>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</si>
  <si>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</si>
  <si>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</si>
  <si>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</si>
  <si>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</si>
  <si>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</si>
  <si>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</si>
  <si>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</si>
  <si>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</si>
  <si>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</si>
  <si>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</si>
  <si>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</si>
  <si>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</si>
  <si>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</si>
  <si>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</si>
  <si>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</si>
  <si>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</si>
  <si>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</si>
  <si>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</si>
  <si>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</si>
  <si>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</si>
  <si>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</si>
  <si>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</si>
  <si>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</si>
  <si>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</si>
  <si>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</si>
  <si>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</si>
  <si>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</si>
  <si>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</si>
  <si>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</si>
  <si>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</si>
  <si>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</si>
  <si>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</si>
  <si>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</si>
  <si>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</si>
  <si>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</si>
  <si>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</si>
  <si>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</si>
  <si>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</si>
  <si>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</si>
  <si>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</si>
  <si>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</si>
  <si>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</si>
  <si>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</si>
  <si>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</si>
  <si>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</si>
  <si>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</si>
  <si>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</si>
  <si>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</si>
  <si>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</si>
  <si>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</si>
  <si>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</si>
  <si>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</si>
  <si>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</si>
  <si>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</si>
  <si>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</si>
  <si>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</si>
  <si>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</si>
  <si>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</si>
  <si>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</si>
  <si>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</si>
  <si>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</si>
  <si>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</si>
  <si>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</si>
  <si>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</si>
  <si>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</si>
  <si>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</si>
  <si>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</si>
  <si>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</si>
  <si>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</si>
  <si>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</si>
  <si>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</si>
  <si>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</si>
  <si>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</si>
  <si>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</si>
  <si>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</si>
  <si>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</si>
  <si>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</si>
  <si>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</si>
  <si>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</si>
  <si>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</si>
  <si>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</si>
  <si>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</si>
  <si>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</si>
  <si>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</si>
  <si>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</si>
  <si>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</si>
  <si>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</si>
  <si>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</si>
  <si>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</si>
  <si>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</si>
  <si>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</si>
  <si>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</si>
  <si>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</si>
  <si>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</si>
  <si>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</si>
  <si>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</si>
  <si>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</si>
  <si>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</si>
  <si>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</si>
  <si>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</si>
  <si>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</si>
  <si>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</si>
  <si>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</si>
  <si>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</si>
  <si>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</si>
  <si>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</si>
  <si>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</si>
  <si>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</si>
  <si>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</si>
  <si>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</si>
  <si>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</si>
  <si>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</si>
  <si>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</si>
  <si>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</si>
  <si>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</si>
  <si>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</si>
  <si>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</si>
  <si>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</si>
  <si>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</si>
  <si>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</si>
  <si>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</si>
  <si>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</si>
  <si>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</si>
  <si>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</si>
  <si>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</si>
  <si>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</si>
  <si>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</si>
  <si>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</si>
  <si>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</si>
  <si>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</si>
  <si>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</si>
  <si>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</si>
  <si>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</si>
  <si>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</si>
  <si>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</si>
  <si>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</si>
  <si>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</si>
  <si>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</si>
  <si>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</si>
  <si>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</si>
  <si>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</si>
  <si>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</si>
  <si>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</si>
  <si>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</si>
  <si>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</si>
  <si>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</si>
  <si>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</si>
  <si>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</si>
  <si>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</si>
  <si>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</si>
  <si>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</si>
  <si>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</si>
  <si>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</si>
  <si>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</si>
  <si>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</si>
  <si>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</si>
  <si>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</si>
  <si>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</si>
  <si>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</si>
  <si>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</si>
  <si>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</si>
  <si>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</si>
  <si>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</si>
  <si>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</si>
  <si>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</si>
  <si>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</si>
  <si>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</si>
  <si>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</si>
  <si>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</si>
  <si>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</si>
  <si>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</si>
  <si>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</si>
  <si>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</si>
  <si>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</si>
  <si>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</si>
  <si>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</si>
  <si>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</si>
  <si>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</si>
  <si>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</si>
  <si>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</si>
  <si>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</si>
  <si>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</si>
  <si>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</si>
  <si>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</si>
  <si>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</si>
  <si>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</si>
  <si>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</si>
  <si>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</si>
  <si>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</si>
  <si>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</si>
  <si>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</si>
  <si>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</si>
  <si>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</si>
  <si>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</si>
  <si>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</si>
  <si>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</si>
  <si>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</si>
  <si>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</si>
  <si>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</si>
  <si>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</si>
  <si>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</si>
  <si>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</si>
  <si>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</si>
  <si>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</si>
  <si>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</si>
  <si>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</si>
  <si>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</si>
  <si>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</si>
  <si>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</si>
  <si>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</si>
  <si>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</si>
  <si>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</si>
  <si>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</si>
  <si>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</si>
  <si>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</si>
  <si>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</si>
  <si>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</si>
  <si>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</si>
  <si>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</si>
  <si>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</si>
  <si>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</si>
  <si>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</si>
  <si>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</si>
  <si>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</si>
  <si>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</si>
  <si>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</si>
  <si>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</si>
  <si>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</si>
  <si>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</si>
  <si>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</si>
  <si>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</si>
  <si>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</si>
  <si>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</si>
  <si>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</si>
  <si>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</si>
  <si>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</si>
  <si>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</si>
  <si>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</si>
  <si>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</si>
  <si>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</si>
  <si>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</si>
  <si>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</si>
  <si>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</si>
  <si>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</si>
  <si>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</si>
  <si>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</si>
  <si>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</si>
  <si>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</si>
  <si>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</si>
  <si>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</si>
  <si>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</si>
  <si>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</si>
  <si>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</si>
  <si>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</si>
  <si>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</si>
  <si>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</si>
  <si>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</si>
  <si>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</si>
  <si>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</si>
  <si>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</si>
  <si>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</si>
  <si>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</si>
  <si>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</si>
  <si>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</si>
  <si>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</si>
  <si>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</si>
  <si>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</si>
  <si>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</si>
  <si>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</si>
  <si>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</si>
  <si>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</si>
  <si>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</si>
  <si>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</si>
  <si>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</si>
  <si>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</si>
  <si>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</si>
  <si>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</si>
  <si>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</si>
  <si>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</si>
  <si>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</si>
  <si>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</si>
  <si>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</si>
  <si>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</si>
  <si>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</si>
  <si>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</si>
  <si>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</si>
  <si>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</si>
  <si>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</si>
  <si>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</si>
  <si>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</si>
  <si>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</si>
  <si>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</si>
  <si>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</si>
  <si>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</si>
  <si>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</si>
  <si>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</si>
  <si>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</si>
  <si>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</si>
  <si>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</si>
  <si>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</si>
  <si>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</si>
  <si>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</si>
  <si>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</si>
  <si>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</si>
  <si>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</si>
  <si>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</si>
  <si>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</si>
  <si>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</si>
  <si>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</si>
  <si>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</si>
  <si>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</si>
  <si>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</si>
  <si>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</si>
  <si>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</si>
  <si>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</si>
  <si>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</si>
  <si>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</si>
  <si>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</si>
  <si>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</si>
  <si>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</si>
  <si>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</si>
  <si>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</si>
  <si>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</si>
  <si>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</si>
  <si>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</si>
  <si>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</si>
  <si>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</si>
  <si>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</si>
  <si>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</si>
  <si>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</si>
  <si>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</si>
  <si>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</si>
  <si>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</si>
  <si>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</si>
  <si>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</si>
  <si>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</si>
  <si>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</si>
  <si>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</si>
  <si>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</si>
  <si>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</si>
  <si>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</si>
  <si>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</si>
  <si>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</si>
  <si>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</si>
  <si>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</si>
  <si>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</si>
  <si>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</si>
  <si>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</si>
  <si>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</si>
  <si>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</si>
  <si>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</si>
  <si>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</si>
  <si>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</si>
  <si>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</si>
  <si>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</si>
  <si>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</si>
  <si>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</si>
  <si>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</si>
  <si>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</si>
  <si>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</si>
  <si>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</si>
  <si>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</si>
  <si>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</si>
  <si>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</si>
  <si>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</si>
  <si>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</si>
  <si>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</si>
  <si>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</si>
  <si>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</si>
  <si>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</si>
  <si>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</si>
  <si>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</si>
  <si>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</si>
  <si>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</si>
  <si>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</si>
  <si>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</si>
  <si>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</si>
  <si>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</si>
  <si>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</si>
  <si>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</si>
  <si>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</si>
  <si>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</si>
  <si>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</si>
  <si>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</si>
  <si>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</si>
  <si>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</si>
  <si>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</si>
  <si>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</si>
  <si>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</si>
  <si>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</si>
  <si>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</si>
  <si>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</si>
  <si>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</si>
  <si>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</si>
  <si>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</si>
  <si>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</si>
  <si>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</si>
  <si>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</si>
  <si>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</si>
  <si>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</si>
  <si>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</si>
  <si>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</si>
  <si>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</si>
  <si>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</si>
  <si>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</si>
  <si>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</si>
  <si>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</si>
  <si>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</si>
  <si>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</si>
  <si>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</si>
  <si>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</si>
  <si>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</si>
  <si>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</si>
  <si>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</si>
  <si>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</si>
  <si>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</si>
  <si>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</si>
  <si>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</si>
  <si>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</si>
  <si>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</si>
  <si>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</si>
  <si>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</si>
  <si>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</si>
  <si>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</si>
  <si>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</si>
  <si>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</si>
  <si>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</si>
  <si>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</si>
  <si>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</si>
  <si>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</si>
  <si>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</si>
  <si>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</si>
  <si>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</si>
  <si>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</si>
  <si>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</si>
  <si>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</si>
  <si>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</si>
  <si>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</si>
  <si>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</si>
  <si>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</si>
  <si>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</si>
  <si>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</si>
  <si>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</si>
  <si>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</si>
  <si>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</si>
  <si>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</si>
  <si>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</si>
  <si>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</si>
  <si>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</si>
  <si>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</si>
  <si>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</si>
  <si>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</si>
  <si>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</si>
  <si>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</si>
  <si>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</si>
  <si>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</si>
  <si>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</si>
  <si>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</si>
  <si>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</si>
  <si>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</si>
  <si>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</si>
  <si>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</si>
  <si>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</si>
  <si>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</si>
  <si>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</si>
  <si>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</si>
  <si>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</si>
  <si>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</si>
  <si>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</si>
  <si>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</si>
  <si>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</si>
  <si>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</si>
  <si>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</si>
  <si>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</si>
  <si>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</si>
  <si>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</si>
  <si>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</si>
  <si>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</si>
  <si>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</si>
  <si>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</si>
  <si>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</si>
  <si>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</si>
  <si>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</si>
  <si>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</si>
  <si>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</si>
  <si>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</si>
  <si>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</si>
  <si>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</si>
  <si>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</si>
  <si>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</si>
  <si>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</si>
  <si>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</si>
  <si>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</si>
  <si>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</si>
  <si>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</si>
  <si>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</si>
  <si>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</si>
  <si>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</si>
  <si>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</si>
  <si>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</si>
  <si>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</si>
  <si>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</si>
  <si>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</si>
  <si>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</si>
  <si>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</si>
  <si>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</si>
  <si>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</si>
  <si>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</si>
  <si>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</si>
  <si>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</si>
  <si>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</si>
  <si>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</si>
  <si>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</si>
  <si>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</si>
  <si>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</si>
  <si>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</si>
  <si>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</si>
  <si>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</si>
  <si>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</si>
  <si>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</si>
  <si>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</si>
  <si>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</si>
  <si>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</si>
  <si>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</si>
  <si>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</si>
  <si>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</si>
  <si>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</si>
  <si>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</si>
  <si>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</si>
  <si>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</si>
  <si>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</si>
  <si>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</si>
  <si>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</si>
  <si>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</si>
  <si>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</si>
  <si>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</si>
  <si>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</si>
  <si>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</si>
  <si>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</si>
  <si>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</si>
  <si>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</si>
  <si>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</si>
  <si>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</si>
  <si>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</si>
  <si>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</si>
  <si>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</si>
  <si>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</si>
  <si>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</si>
  <si>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</si>
  <si>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</si>
  <si>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</si>
  <si>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</si>
  <si>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</si>
  <si>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</si>
  <si>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</si>
  <si>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</si>
  <si>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</si>
  <si>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</si>
  <si>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</si>
  <si>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</si>
  <si>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</si>
  <si>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</si>
  <si>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</si>
  <si>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</si>
  <si>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</si>
  <si>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</si>
  <si>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</si>
  <si>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</si>
  <si>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</si>
  <si>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</si>
  <si>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</si>
  <si>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</si>
  <si>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</si>
  <si>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</si>
  <si>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</si>
  <si>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</si>
  <si>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</si>
  <si>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</si>
  <si>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</si>
  <si>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</si>
  <si>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</si>
  <si>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</si>
  <si>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</si>
  <si>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</si>
  <si>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</si>
  <si>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</si>
  <si>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</si>
  <si>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</si>
  <si>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</si>
  <si>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</si>
  <si>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</si>
  <si>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</si>
  <si>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</si>
  <si>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</si>
  <si>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</si>
  <si>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</si>
  <si>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</si>
  <si>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</si>
  <si>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</si>
  <si>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</si>
  <si>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</si>
  <si>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</si>
  <si>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</si>
  <si>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</si>
  <si>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</si>
  <si>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</si>
  <si>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</si>
  <si>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</si>
  <si>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</si>
  <si>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</si>
  <si>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</si>
  <si>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</si>
  <si>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</si>
  <si>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</si>
  <si>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</si>
  <si>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</si>
  <si>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</si>
  <si>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</si>
  <si>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</si>
  <si>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</si>
  <si>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</si>
  <si>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</si>
  <si>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</si>
  <si>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</si>
  <si>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</si>
  <si>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</si>
  <si>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</si>
  <si>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</si>
  <si>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</si>
  <si>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</si>
  <si>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</si>
  <si>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</si>
  <si>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</si>
  <si>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</si>
  <si>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</si>
  <si>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</si>
  <si>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</si>
  <si>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</si>
  <si>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</si>
  <si>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</si>
  <si>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</si>
  <si>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</si>
  <si>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</si>
  <si>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</si>
  <si>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</si>
  <si>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</si>
  <si>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</si>
  <si>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</si>
  <si>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</si>
  <si>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</si>
  <si>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</si>
  <si>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</si>
  <si>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</si>
  <si>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</si>
  <si>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</si>
  <si>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</si>
  <si>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</si>
  <si>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</si>
  <si>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</si>
  <si>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</si>
  <si>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</si>
  <si>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</si>
  <si>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</si>
  <si>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</si>
  <si>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</si>
  <si>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</si>
  <si>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</si>
  <si>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</si>
  <si>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</si>
  <si>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</si>
  <si>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</si>
  <si>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</si>
  <si>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</si>
  <si>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</si>
  <si>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</si>
  <si>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</si>
  <si>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</si>
  <si>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</si>
  <si>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</si>
  <si>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</si>
  <si>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</si>
  <si>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</si>
  <si>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</si>
  <si>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</si>
  <si>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</si>
  <si>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</si>
  <si>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</si>
  <si>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</si>
  <si>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</si>
  <si>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</si>
  <si>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</si>
  <si>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</si>
  <si>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</si>
  <si>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</si>
  <si>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</si>
  <si>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</si>
  <si>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</si>
  <si>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</si>
  <si>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</si>
  <si>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</si>
  <si>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</si>
  <si>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</si>
  <si>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</si>
  <si>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</si>
  <si>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</si>
  <si>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</si>
  <si>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</si>
  <si>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</si>
  <si>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</si>
  <si>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</si>
  <si>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</si>
  <si>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</si>
  <si>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</si>
  <si>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</si>
  <si>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</si>
  <si>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</si>
  <si>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</si>
  <si>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</si>
  <si>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</si>
  <si>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</si>
  <si>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</si>
  <si>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</si>
  <si>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</si>
  <si>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</si>
  <si>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</si>
  <si>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</si>
  <si>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</si>
  <si>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</si>
  <si>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</si>
  <si>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</si>
  <si>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</si>
  <si>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</si>
  <si>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</si>
  <si>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</si>
  <si>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</si>
  <si>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</si>
  <si>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</si>
  <si>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</si>
  <si>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</si>
  <si>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</si>
  <si>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</si>
  <si>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</si>
  <si>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</si>
  <si>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</si>
  <si>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</si>
  <si>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</si>
  <si>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</si>
  <si>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</si>
  <si>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</si>
  <si>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</si>
  <si>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</si>
  <si>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</si>
  <si>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</si>
  <si>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</si>
  <si>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</si>
  <si>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</si>
  <si>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</si>
  <si>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</si>
  <si>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</si>
  <si>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</si>
  <si>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</si>
  <si>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</si>
  <si>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</si>
  <si>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</si>
  <si>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</si>
  <si>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</si>
  <si>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</si>
  <si>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</si>
  <si>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</si>
  <si>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</si>
  <si>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</si>
  <si>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</si>
  <si>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</si>
  <si>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</si>
  <si>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</si>
  <si>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</si>
  <si>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</si>
  <si>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</si>
  <si>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</si>
  <si>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</si>
  <si>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</si>
  <si>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</si>
  <si>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</si>
  <si>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</si>
  <si>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</si>
  <si>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</si>
  <si>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</si>
  <si>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</si>
  <si>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</si>
  <si>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</si>
  <si>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</si>
  <si>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</si>
  <si>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</si>
  <si>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</si>
  <si>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</si>
  <si>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</si>
  <si>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</si>
  <si>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</si>
  <si>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</si>
  <si>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</si>
  <si>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</si>
  <si>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</si>
  <si>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</si>
  <si>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</si>
  <si>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</si>
  <si>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</si>
  <si>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</si>
  <si>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</si>
  <si>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</si>
  <si>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</si>
  <si>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</si>
  <si>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</si>
  <si>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</si>
  <si>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</si>
  <si>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</si>
  <si>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</si>
  <si>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</si>
  <si>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</si>
  <si>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</si>
  <si>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</si>
  <si>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</si>
  <si>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</si>
  <si>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</si>
  <si>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</si>
  <si>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</si>
  <si>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</si>
  <si>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</si>
  <si>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</si>
  <si>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</si>
  <si>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</si>
  <si>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</si>
  <si>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</si>
  <si>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</si>
  <si>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</si>
  <si>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</si>
  <si>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</si>
  <si>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</si>
  <si>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</si>
  <si>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</si>
  <si>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</si>
  <si>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</si>
  <si>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</si>
  <si>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</si>
  <si>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</si>
  <si>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</si>
  <si>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</si>
  <si>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</si>
  <si>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</si>
  <si>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</si>
  <si>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</si>
  <si>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</si>
  <si>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</si>
  <si>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</si>
  <si>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</si>
  <si>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</si>
  <si>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</si>
  <si>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</si>
  <si>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</si>
  <si>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</si>
  <si>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</si>
  <si>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</si>
  <si>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</si>
  <si>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</si>
  <si>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</si>
  <si>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</si>
  <si>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</si>
  <si>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</si>
  <si>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</si>
  <si>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</si>
  <si>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</si>
  <si>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</si>
  <si>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</si>
  <si>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</si>
  <si>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</si>
  <si>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</si>
  <si>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</si>
  <si>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</si>
  <si>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</si>
  <si>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</si>
  <si>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</si>
  <si>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</si>
  <si>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</si>
  <si>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</si>
  <si>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</si>
  <si>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</si>
  <si>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</si>
  <si>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</si>
  <si>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</si>
  <si>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</si>
  <si>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</si>
  <si>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</si>
  <si>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</si>
  <si>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</si>
  <si>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</si>
  <si>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</si>
  <si>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</si>
  <si>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</si>
  <si>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</si>
  <si>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</si>
  <si>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</si>
  <si>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</si>
  <si>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</si>
  <si>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</si>
  <si>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</si>
  <si>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</si>
  <si>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</si>
  <si>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</si>
  <si>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</si>
  <si>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</si>
  <si>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</si>
  <si>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</si>
  <si>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</si>
  <si>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</si>
  <si>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</si>
  <si>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</si>
  <si>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</si>
  <si>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</si>
  <si>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</si>
  <si>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</si>
  <si>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</si>
  <si>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</si>
  <si>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</si>
  <si>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</si>
  <si>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</si>
  <si>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</si>
  <si>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</si>
  <si>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</si>
  <si>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</si>
  <si>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</si>
  <si>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</si>
  <si>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</si>
  <si>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</si>
  <si>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</si>
  <si>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</si>
  <si>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</si>
  <si>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</si>
  <si>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</si>
  <si>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</si>
  <si>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</si>
  <si>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</si>
  <si>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</si>
  <si>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</si>
  <si>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</si>
  <si>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</si>
  <si>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</si>
  <si>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</si>
  <si>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</si>
  <si>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</si>
  <si>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</si>
  <si>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</si>
  <si>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</si>
  <si>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</si>
  <si>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</si>
  <si>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</si>
  <si>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</si>
  <si>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</si>
  <si>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</si>
  <si>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</si>
  <si>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</si>
  <si>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</si>
  <si>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</si>
  <si>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</si>
  <si>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</si>
  <si>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</si>
  <si>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</si>
  <si>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</si>
  <si>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</si>
  <si>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</si>
  <si>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</si>
  <si>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</si>
  <si>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</si>
  <si>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</si>
  <si>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</si>
  <si>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</si>
  <si>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</si>
  <si>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</si>
  <si>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</si>
  <si>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</si>
  <si>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</si>
  <si>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</si>
  <si>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</si>
  <si>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</si>
  <si>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</si>
  <si>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</si>
  <si>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</si>
  <si>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</si>
  <si>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</si>
  <si>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</si>
  <si>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</si>
  <si>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</si>
  <si>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</si>
  <si>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</si>
  <si>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</si>
  <si>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</si>
  <si>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</si>
  <si>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</si>
  <si>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</si>
  <si>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</si>
  <si>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</si>
  <si>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</si>
  <si>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</si>
  <si>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</si>
  <si>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</si>
  <si>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</si>
  <si>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</si>
  <si>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</si>
  <si>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</si>
  <si>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</si>
  <si>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</si>
  <si>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</si>
  <si>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</si>
  <si>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</si>
  <si>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</si>
  <si>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</si>
  <si>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</si>
  <si>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</si>
  <si>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</si>
  <si>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</si>
  <si>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</si>
  <si>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</si>
  <si>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</si>
  <si>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</si>
  <si>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</si>
  <si>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</si>
  <si>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</si>
  <si>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</si>
  <si>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</si>
  <si>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</si>
  <si>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</si>
  <si>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</si>
  <si>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</si>
  <si>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</si>
  <si>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</si>
  <si>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</si>
  <si>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</si>
  <si>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</si>
  <si>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</si>
  <si>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</si>
  <si>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</si>
  <si>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</si>
  <si>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</si>
  <si>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</si>
  <si>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</si>
  <si>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</si>
  <si>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</si>
  <si>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</si>
  <si>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</si>
  <si>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</si>
  <si>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</si>
  <si>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</si>
  <si>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</si>
  <si>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</si>
  <si>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</si>
  <si>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</si>
  <si>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</si>
  <si>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</si>
  <si>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</si>
  <si>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</si>
  <si>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</si>
  <si>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</si>
  <si>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</si>
  <si>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</si>
  <si>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</si>
  <si>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</si>
  <si>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</si>
  <si>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</si>
  <si>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</si>
  <si>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</si>
  <si>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</si>
  <si>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</si>
  <si>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</si>
  <si>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</si>
  <si>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</si>
  <si>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</si>
  <si>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</si>
  <si>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</si>
  <si>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</si>
  <si>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</si>
  <si>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</si>
  <si>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</si>
  <si>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</si>
  <si>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</si>
  <si>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</si>
  <si>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</si>
  <si>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</si>
  <si>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</si>
  <si>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</si>
  <si>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</si>
  <si>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</si>
  <si>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</si>
  <si>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</si>
  <si>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</si>
  <si>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</si>
  <si>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</si>
  <si>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</si>
  <si>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</si>
  <si>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</si>
  <si>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</si>
  <si>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</si>
  <si>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</si>
  <si>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</si>
  <si>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</si>
  <si>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</si>
  <si>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</si>
  <si>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</si>
  <si>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</si>
  <si>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</si>
  <si>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</si>
  <si>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</si>
  <si>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</si>
  <si>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</si>
  <si>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</si>
  <si>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</si>
  <si>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</si>
  <si>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</si>
  <si>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</si>
  <si>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</si>
  <si>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</si>
  <si>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</si>
  <si>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</si>
  <si>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</si>
  <si>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</si>
  <si>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</si>
  <si>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</si>
  <si>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</si>
  <si>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</si>
  <si>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</si>
  <si>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</si>
  <si>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</si>
  <si>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</si>
  <si>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</si>
  <si>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</si>
  <si>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</si>
  <si>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</si>
  <si>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</si>
  <si>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</si>
  <si>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</si>
  <si>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</si>
  <si>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</si>
  <si>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</si>
  <si>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</si>
  <si>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</si>
  <si>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</si>
  <si>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</si>
  <si>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</si>
  <si>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</si>
  <si>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</si>
  <si>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</si>
  <si>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</si>
  <si>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</si>
  <si>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</si>
  <si>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</si>
  <si>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</si>
  <si>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</si>
  <si>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</si>
  <si>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</si>
  <si>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</si>
  <si>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</si>
  <si>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</si>
  <si>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</si>
  <si>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</si>
  <si>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</si>
  <si>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</si>
  <si>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</si>
  <si>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</si>
  <si>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</si>
  <si>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</si>
  <si>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</si>
  <si>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</si>
  <si>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</si>
  <si>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</si>
  <si>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</si>
  <si>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</si>
  <si>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</si>
  <si>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</si>
  <si>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</si>
  <si>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</si>
  <si>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</si>
  <si>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</si>
  <si>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</si>
  <si>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</si>
  <si>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</si>
  <si>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</si>
  <si>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</si>
  <si>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</si>
  <si>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</si>
  <si>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</si>
  <si>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</si>
  <si>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</si>
  <si>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</si>
  <si>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</si>
  <si>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</si>
  <si>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</si>
  <si>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</si>
  <si>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</si>
  <si>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</si>
  <si>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</si>
  <si>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</si>
  <si>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</si>
  <si>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</si>
  <si>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</si>
  <si>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</si>
  <si>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</si>
  <si>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</si>
  <si>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</si>
  <si>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</si>
  <si>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</si>
  <si>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</si>
  <si>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</si>
  <si>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</si>
  <si>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</si>
  <si>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</si>
  <si>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</si>
  <si>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</si>
  <si>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</si>
  <si>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</si>
  <si>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</si>
  <si>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</si>
  <si>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</si>
  <si>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</si>
  <si>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</si>
  <si>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</si>
  <si>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</si>
  <si>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</si>
  <si>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</si>
  <si>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</si>
  <si>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</si>
  <si>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</si>
  <si>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</si>
  <si>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</si>
  <si>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</si>
  <si>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</si>
  <si>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</si>
  <si>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</si>
  <si>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</si>
  <si>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</si>
  <si>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</si>
  <si>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</si>
  <si>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</si>
  <si>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</si>
  <si>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</si>
  <si>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</si>
  <si>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</si>
  <si>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</si>
  <si>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</si>
  <si>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</si>
  <si>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</si>
  <si>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</si>
  <si>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</si>
  <si>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</si>
  <si>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</si>
  <si>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</si>
  <si>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</si>
  <si>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</si>
  <si>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</si>
  <si>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</si>
  <si>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</si>
  <si>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</si>
  <si>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</si>
  <si>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</si>
  <si>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</si>
  <si>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</si>
  <si>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</si>
  <si>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</si>
  <si>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</si>
  <si>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</si>
  <si>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</si>
  <si>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</si>
  <si>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</si>
  <si>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</si>
  <si>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</si>
  <si>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</si>
  <si>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</si>
  <si>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</si>
  <si>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</si>
  <si>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</si>
  <si>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</si>
  <si>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</si>
  <si>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</si>
  <si>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</si>
  <si>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</si>
  <si>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</si>
  <si>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</si>
  <si>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</si>
  <si>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</si>
  <si>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</si>
  <si>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</si>
  <si>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</si>
  <si>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</si>
  <si>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</si>
  <si>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</si>
  <si>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</si>
  <si>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</si>
  <si>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</si>
  <si>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</si>
  <si>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</si>
  <si>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</si>
  <si>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</si>
  <si>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</si>
  <si>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</si>
  <si>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</si>
  <si>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</si>
  <si>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</si>
  <si>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</si>
  <si>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</si>
  <si>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</si>
  <si>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</si>
  <si>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</si>
  <si>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</si>
  <si>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</si>
  <si>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</si>
  <si>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</si>
  <si>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</si>
  <si>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</si>
  <si>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</si>
  <si>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</si>
  <si>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</si>
  <si>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</si>
  <si>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</si>
  <si>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</si>
  <si>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</si>
  <si>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</si>
  <si>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</si>
  <si>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</si>
  <si>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</si>
  <si>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</si>
  <si>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</si>
  <si>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</si>
  <si>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</si>
  <si>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</si>
  <si>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</si>
  <si>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</si>
  <si>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</si>
  <si>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</si>
  <si>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</si>
  <si>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</si>
  <si>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</si>
  <si>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</si>
  <si>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</si>
  <si>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</si>
  <si>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</si>
  <si>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</si>
  <si>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</si>
  <si>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</si>
  <si>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</si>
  <si>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</si>
  <si>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</si>
  <si>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</si>
  <si>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</si>
  <si>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</si>
  <si>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</si>
  <si>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</si>
  <si>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</si>
  <si>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</si>
  <si>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</si>
  <si>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</si>
  <si>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</si>
  <si>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</si>
  <si>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</si>
  <si>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</si>
  <si>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</si>
  <si>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</si>
  <si>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</si>
  <si>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</si>
  <si>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</si>
  <si>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</si>
  <si>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</si>
  <si>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</si>
  <si>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</si>
  <si>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</si>
  <si>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</si>
  <si>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</si>
  <si>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</si>
  <si>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</si>
  <si>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</si>
  <si>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</si>
  <si>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</si>
  <si>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</si>
  <si>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</si>
  <si>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</si>
  <si>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</si>
  <si>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</si>
  <si>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</si>
  <si>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</si>
  <si>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</si>
  <si>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</si>
  <si>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</si>
  <si>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</si>
  <si>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</si>
  <si>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</si>
  <si>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</si>
  <si>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</si>
  <si>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</si>
  <si>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</si>
  <si>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</si>
  <si>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</si>
  <si>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</si>
  <si>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</si>
  <si>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</si>
  <si>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</si>
  <si>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</si>
  <si>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</si>
  <si>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</si>
  <si>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</si>
  <si>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</si>
  <si>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</si>
  <si>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</si>
  <si>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</si>
  <si>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</si>
  <si>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</si>
  <si>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</si>
  <si>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</si>
  <si>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</si>
  <si>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</si>
  <si>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</si>
  <si>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</si>
  <si>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</si>
  <si>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</si>
  <si>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</si>
  <si>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</si>
  <si>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</si>
  <si>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</si>
  <si>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</si>
  <si>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</si>
  <si>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</si>
  <si>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</si>
  <si>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</si>
  <si>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</si>
  <si>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</si>
  <si>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</si>
  <si>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</si>
  <si>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</si>
  <si>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</si>
  <si>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</si>
  <si>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</si>
  <si>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</si>
  <si>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</si>
  <si>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</si>
  <si>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</si>
  <si>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</si>
  <si>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</si>
  <si>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</si>
  <si>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</si>
  <si>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</si>
  <si>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</si>
  <si>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</si>
  <si>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</si>
  <si>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</si>
  <si>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</si>
  <si>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</si>
  <si>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</si>
  <si>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</si>
  <si>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</si>
  <si>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</si>
  <si>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</si>
  <si>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</si>
  <si>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</si>
  <si>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</si>
  <si>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</si>
  <si>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</si>
  <si>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</si>
  <si>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</si>
  <si>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</si>
  <si>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</si>
  <si>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</si>
  <si>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</si>
  <si>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</si>
  <si>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</si>
  <si>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</si>
  <si>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</si>
  <si>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</si>
  <si>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</si>
  <si>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</si>
  <si>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</si>
  <si>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</si>
  <si>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</si>
  <si>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</si>
  <si>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</si>
  <si>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</si>
  <si>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</si>
  <si>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</si>
  <si>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</si>
  <si>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</si>
  <si>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</si>
  <si>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</si>
  <si>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</si>
  <si>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</si>
  <si>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</si>
  <si>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</si>
  <si>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</si>
  <si>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</si>
  <si>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</si>
  <si>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</si>
  <si>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</si>
  <si>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</si>
  <si>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</si>
  <si>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</si>
  <si>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</si>
  <si>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</si>
  <si>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</si>
  <si>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</si>
  <si>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</si>
  <si>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</si>
  <si>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</si>
  <si>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</si>
  <si>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</si>
  <si>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</si>
  <si>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</si>
  <si>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</si>
  <si>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</si>
  <si>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</si>
  <si>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</si>
  <si>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</si>
  <si>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</si>
  <si>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</si>
  <si>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</si>
  <si>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</si>
  <si>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</si>
  <si>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</si>
  <si>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</si>
  <si>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</si>
  <si>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</si>
  <si>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</si>
  <si>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</si>
  <si>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</si>
  <si>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</si>
  <si>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</si>
  <si>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</si>
  <si>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</si>
  <si>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</si>
  <si>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</si>
  <si>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</si>
  <si>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</si>
  <si>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</si>
  <si>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</si>
  <si>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</si>
  <si>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</si>
  <si>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</si>
  <si>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</si>
  <si>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</si>
  <si>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</si>
  <si>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</si>
  <si>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</si>
  <si>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</si>
  <si>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</si>
  <si>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</si>
  <si>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</si>
  <si>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</si>
  <si>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</si>
  <si>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</si>
  <si>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</si>
  <si>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</si>
  <si>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</si>
  <si>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</si>
  <si>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</si>
  <si>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</si>
  <si>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</si>
  <si>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</si>
  <si>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</si>
  <si>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</si>
  <si>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</si>
  <si>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</si>
  <si>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</si>
  <si>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</si>
  <si>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</si>
  <si>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</si>
  <si>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</si>
  <si>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</si>
  <si>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</si>
  <si>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</si>
  <si>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</si>
  <si>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</si>
  <si>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</si>
  <si>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</si>
  <si>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</si>
  <si>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</si>
  <si>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</si>
  <si>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</si>
  <si>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</si>
  <si>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</si>
  <si>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</si>
  <si>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</si>
  <si>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</si>
  <si>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</si>
  <si>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</si>
  <si>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</si>
  <si>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</si>
  <si>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</si>
  <si>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</si>
  <si>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</si>
  <si>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</si>
  <si>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</si>
  <si>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</si>
  <si>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</si>
  <si>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</si>
  <si>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</si>
  <si>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</si>
  <si>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</si>
  <si>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</si>
  <si>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</si>
  <si>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</si>
  <si>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</si>
  <si>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</si>
  <si>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</si>
  <si>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</si>
  <si>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</si>
  <si>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</si>
  <si>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</si>
  <si>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</si>
  <si>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</si>
  <si>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</si>
  <si>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</si>
  <si>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</si>
  <si>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</si>
  <si>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</si>
  <si>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</si>
  <si>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</si>
  <si>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</si>
  <si>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</si>
  <si>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</si>
  <si>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</si>
  <si>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</si>
  <si>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</si>
  <si>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</si>
  <si>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</si>
  <si>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</si>
  <si>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</si>
  <si>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</si>
  <si>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</si>
  <si>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</si>
  <si>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</si>
  <si>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</si>
  <si>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</si>
  <si>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</si>
  <si>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</si>
  <si>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</si>
  <si>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</si>
  <si>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</si>
  <si>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</si>
  <si>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</si>
  <si>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</si>
  <si>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</si>
  <si>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</si>
  <si>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</si>
  <si>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</si>
  <si>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</si>
  <si>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</si>
  <si>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</si>
  <si>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</si>
  <si>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</si>
  <si>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</si>
  <si>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</si>
  <si>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</si>
  <si>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</si>
  <si>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</si>
  <si>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</si>
  <si>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</si>
  <si>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</si>
  <si>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</si>
  <si>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</si>
  <si>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</si>
  <si>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</si>
  <si>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</si>
  <si>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</si>
  <si>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</si>
  <si>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</si>
  <si>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</si>
  <si>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</si>
  <si>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</si>
  <si>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</si>
  <si>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</si>
  <si>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</si>
  <si>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</si>
  <si>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</si>
  <si>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</si>
  <si>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</si>
  <si>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</si>
  <si>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</si>
  <si>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</si>
  <si>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</si>
  <si>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</si>
  <si>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</si>
  <si>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</si>
  <si>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</si>
  <si>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</si>
  <si>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</si>
  <si>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</si>
  <si>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</si>
  <si>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</si>
  <si>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</si>
  <si>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</si>
  <si>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</si>
  <si>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</si>
  <si>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</si>
  <si>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</si>
  <si>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</si>
  <si>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</si>
  <si>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</si>
  <si>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</si>
  <si>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</si>
  <si>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</si>
  <si>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</si>
  <si>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</si>
  <si>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</si>
  <si>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</si>
  <si>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</si>
  <si>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</si>
  <si>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</si>
  <si>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</si>
  <si>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</si>
  <si>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</si>
  <si>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</si>
  <si>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</si>
  <si>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</si>
  <si>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</si>
  <si>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</si>
  <si>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</si>
  <si>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</si>
  <si>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</si>
  <si>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</si>
  <si>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</si>
  <si>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</si>
  <si>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</si>
  <si>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</si>
  <si>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</si>
  <si>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</si>
  <si>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</si>
  <si>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</si>
  <si>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</si>
  <si>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</si>
  <si>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</si>
  <si>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</si>
  <si>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</si>
  <si>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</si>
  <si>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</si>
  <si>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</si>
  <si>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</si>
  <si>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</si>
  <si>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</si>
  <si>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</si>
  <si>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</si>
  <si>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</si>
  <si>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</si>
  <si>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</si>
  <si>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</si>
  <si>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</si>
  <si>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</si>
  <si>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</si>
  <si>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</si>
  <si>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</si>
  <si>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</si>
  <si>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</si>
  <si>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</si>
  <si>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</si>
  <si>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</si>
  <si>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</si>
  <si>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</si>
  <si>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</si>
  <si>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</si>
  <si>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</si>
  <si>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</si>
  <si>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</si>
  <si>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</si>
  <si>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</si>
  <si>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</si>
  <si>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</si>
  <si>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</si>
  <si>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</si>
  <si>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</si>
  <si>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</si>
  <si>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</si>
  <si>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</si>
  <si>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</si>
  <si>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</si>
  <si>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</si>
  <si>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</si>
  <si>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</si>
  <si>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</si>
  <si>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</si>
  <si>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</si>
  <si>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</si>
  <si>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</si>
  <si>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</si>
  <si>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</si>
  <si>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</si>
  <si>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</si>
  <si>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</si>
  <si>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</si>
  <si>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</si>
  <si>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</si>
  <si>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</si>
  <si>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</si>
  <si>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</si>
  <si>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</si>
  <si>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</si>
  <si>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</si>
  <si>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</si>
  <si>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</si>
  <si>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</si>
  <si>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</si>
  <si>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</si>
  <si>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</si>
  <si>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</si>
  <si>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</si>
  <si>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</si>
  <si>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</si>
  <si>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</si>
  <si>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</si>
  <si>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</si>
  <si>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</si>
  <si>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</si>
  <si>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</si>
  <si>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</si>
  <si>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</si>
  <si>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</si>
  <si>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</si>
  <si>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</si>
  <si>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</si>
  <si>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</si>
  <si>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</si>
  <si>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</si>
  <si>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</si>
  <si>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</si>
  <si>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</si>
  <si>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</si>
  <si>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</si>
  <si>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</si>
  <si>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</si>
  <si>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</si>
  <si>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</si>
  <si>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</si>
  <si>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</si>
  <si>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</si>
  <si>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</si>
  <si>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</si>
  <si>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</si>
  <si>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</si>
  <si>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</si>
  <si>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</si>
  <si>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</si>
  <si>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</si>
  <si>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</si>
  <si>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</si>
  <si>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</si>
  <si>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</si>
  <si>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</si>
  <si>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</si>
  <si>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</si>
  <si>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</si>
  <si>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</si>
  <si>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</si>
  <si>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</si>
  <si>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</si>
  <si>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</si>
  <si>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</si>
  <si>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</si>
  <si>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</si>
  <si>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</si>
  <si>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</si>
  <si>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</si>
  <si>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</si>
  <si>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</si>
  <si>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</si>
  <si>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</si>
  <si>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</si>
  <si>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</si>
  <si>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</si>
  <si>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</si>
  <si>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</si>
  <si>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</si>
  <si>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</si>
  <si>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</si>
  <si>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</si>
  <si>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</si>
  <si>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</si>
  <si>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</si>
  <si>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</si>
  <si>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</si>
  <si>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</si>
  <si>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</si>
  <si>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</si>
  <si>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</si>
  <si>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</si>
  <si>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</si>
  <si>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</si>
  <si>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</si>
  <si>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</si>
  <si>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</si>
  <si>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</si>
  <si>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</si>
  <si>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</si>
  <si>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</si>
  <si>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</si>
  <si>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</si>
  <si>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</si>
  <si>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</si>
  <si>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</si>
  <si>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</si>
  <si>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</si>
  <si>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</si>
  <si>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</si>
  <si>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</si>
  <si>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</si>
  <si>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</si>
  <si>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</si>
  <si>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</si>
  <si>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</si>
  <si>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</si>
  <si>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</si>
  <si>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</si>
  <si>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</si>
  <si>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</si>
  <si>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</si>
  <si>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</si>
  <si>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</si>
  <si>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</si>
  <si>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</si>
  <si>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</si>
  <si>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</si>
  <si>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</si>
  <si>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</si>
  <si>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</si>
  <si>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</si>
  <si>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</si>
  <si>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</si>
  <si>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</si>
  <si>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</si>
  <si>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</si>
  <si>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</si>
  <si>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</si>
  <si>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</si>
  <si>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</si>
  <si>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</si>
  <si>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</si>
  <si>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</si>
  <si>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</si>
  <si>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</si>
  <si>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</si>
  <si>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</si>
  <si>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</si>
  <si>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</si>
  <si>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</si>
  <si>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</si>
  <si>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</si>
  <si>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</si>
  <si>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</si>
  <si>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</si>
  <si>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</si>
  <si>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</si>
  <si>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</si>
  <si>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</si>
  <si>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</si>
  <si>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</si>
  <si>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</si>
  <si>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</si>
  <si>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</si>
  <si>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</si>
  <si>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</si>
  <si>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</si>
  <si>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</si>
  <si>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</si>
  <si>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</si>
  <si>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</si>
  <si>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</si>
  <si>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</si>
  <si>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</si>
  <si>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</si>
  <si>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</si>
  <si>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</si>
  <si>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</si>
  <si>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</si>
  <si>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</si>
  <si>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</si>
  <si>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</si>
  <si>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</si>
  <si>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</si>
  <si>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</si>
  <si>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</si>
  <si>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</si>
  <si>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</si>
  <si>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</si>
  <si>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</si>
  <si>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</si>
  <si>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</si>
  <si>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</si>
  <si>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</si>
  <si>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</si>
  <si>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</si>
  <si>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</si>
  <si>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</si>
  <si>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</si>
  <si>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</si>
  <si>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</si>
  <si>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</si>
  <si>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</si>
  <si>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</si>
  <si>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</si>
  <si>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</si>
  <si>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</si>
  <si>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</si>
  <si>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</si>
  <si>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</si>
  <si>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</si>
  <si>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</si>
  <si>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</si>
  <si>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</si>
  <si>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</si>
  <si>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</si>
  <si>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</si>
  <si>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</si>
  <si>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</si>
  <si>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</si>
  <si>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</si>
  <si>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</si>
  <si>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</si>
  <si>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</si>
  <si>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</si>
  <si>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</si>
  <si>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</si>
  <si>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</si>
  <si>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</si>
  <si>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</si>
  <si>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</si>
  <si>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</si>
  <si>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</si>
  <si>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</si>
  <si>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</si>
  <si>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</si>
  <si>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</si>
  <si>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</si>
  <si>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</si>
  <si>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</si>
  <si>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</si>
  <si>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</si>
  <si>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</si>
  <si>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</si>
  <si>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</si>
  <si>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</si>
  <si>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</si>
  <si>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</si>
  <si>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</si>
  <si>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</si>
  <si>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</si>
  <si>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</si>
  <si>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</si>
  <si>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</si>
  <si>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</si>
  <si>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</si>
  <si>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</si>
  <si>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</si>
  <si>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</si>
  <si>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</si>
  <si>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</si>
  <si>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</si>
  <si>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</si>
  <si>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</si>
  <si>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</si>
  <si>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</si>
  <si>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</si>
  <si>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</si>
  <si>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</si>
  <si>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</si>
  <si>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</si>
  <si>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</si>
  <si>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</si>
  <si>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</si>
  <si>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</si>
  <si>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</si>
  <si>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</si>
  <si>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</si>
  <si>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</si>
  <si>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</si>
  <si>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</si>
  <si>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</si>
  <si>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</si>
  <si>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</si>
  <si>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</si>
  <si>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</si>
  <si>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</si>
  <si>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</si>
  <si>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</si>
  <si>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</si>
  <si>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</si>
  <si>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</si>
  <si>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</si>
  <si>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</si>
  <si>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</si>
  <si>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</si>
  <si>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</si>
  <si>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</si>
  <si>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</si>
  <si>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</si>
  <si>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</si>
  <si>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</si>
  <si>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</si>
  <si>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</si>
  <si>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</si>
  <si>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</si>
  <si>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</si>
  <si>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</si>
  <si>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</si>
  <si>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</si>
  <si>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</si>
  <si>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</si>
  <si>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</si>
  <si>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</si>
  <si>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</si>
  <si>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</si>
  <si>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</si>
  <si>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</si>
  <si>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</si>
  <si>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</si>
  <si>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</si>
  <si>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</si>
  <si>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</si>
  <si>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</si>
  <si>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</si>
  <si>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</si>
  <si>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</si>
  <si>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</si>
  <si>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</si>
  <si>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</si>
  <si>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</si>
  <si>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</si>
  <si>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</si>
  <si>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</si>
  <si>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</si>
  <si>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</si>
  <si>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</si>
  <si>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</si>
  <si>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</si>
  <si>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</si>
  <si>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</si>
  <si>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</si>
  <si>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</si>
  <si>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</si>
  <si>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</si>
  <si>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</si>
  <si>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</si>
  <si>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</si>
  <si>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</si>
  <si>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</si>
  <si>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</si>
  <si>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</si>
  <si>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</si>
  <si>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</si>
  <si>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</si>
  <si>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</si>
  <si>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</si>
  <si>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</si>
  <si>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</si>
  <si>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</si>
  <si>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</si>
  <si>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</si>
  <si>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</si>
  <si>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</si>
  <si>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</si>
  <si>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</si>
  <si>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</si>
  <si>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</si>
  <si>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</si>
  <si>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</si>
  <si>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</si>
  <si>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</si>
  <si>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</si>
  <si>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</si>
  <si>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</si>
  <si>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</si>
  <si>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</si>
  <si>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</si>
  <si>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</si>
  <si>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</si>
  <si>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</si>
  <si>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</si>
  <si>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</si>
  <si>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</si>
  <si>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</si>
  <si>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</si>
  <si>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</si>
  <si>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</si>
  <si>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</si>
  <si>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</si>
  <si>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</si>
  <si>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</si>
  <si>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</si>
  <si>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</si>
  <si>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</si>
  <si>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</si>
  <si>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</si>
  <si>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</si>
  <si>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</si>
  <si>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</si>
  <si>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</si>
  <si>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</si>
  <si>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</si>
  <si>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</si>
  <si>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</si>
  <si>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</si>
  <si>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</si>
  <si>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</si>
  <si>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</si>
  <si>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</si>
  <si>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</si>
  <si>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</si>
  <si>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</si>
  <si>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</si>
  <si>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</si>
  <si>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</si>
  <si>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</si>
  <si>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</si>
  <si>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</si>
  <si>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</si>
  <si>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</si>
  <si>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</si>
  <si>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</si>
  <si>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</si>
  <si>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</si>
  <si>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</si>
  <si>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</si>
  <si>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</si>
  <si>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</si>
  <si>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</si>
  <si>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</si>
  <si>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</si>
  <si>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</si>
  <si>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</si>
  <si>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</si>
  <si>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</si>
  <si>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</si>
  <si>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</si>
  <si>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</si>
  <si>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</si>
  <si>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</si>
  <si>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</si>
  <si>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</si>
  <si>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</si>
  <si>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</si>
  <si>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</si>
  <si>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</si>
  <si>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</si>
  <si>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</si>
  <si>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</si>
  <si>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</si>
  <si>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</si>
  <si>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</si>
  <si>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</si>
  <si>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</si>
  <si>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</si>
  <si>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</si>
  <si>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</si>
  <si>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</si>
  <si>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</si>
  <si>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</si>
  <si>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</si>
  <si>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</si>
  <si>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</si>
  <si>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</si>
  <si>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</si>
  <si>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</si>
  <si>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</si>
  <si>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</si>
  <si>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</si>
  <si>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</si>
  <si>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</si>
  <si>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</si>
  <si>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</si>
  <si>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</si>
  <si>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</si>
  <si>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</si>
  <si>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</si>
  <si>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</si>
  <si>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</si>
  <si>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</si>
  <si>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</si>
  <si>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</si>
  <si>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</si>
  <si>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</si>
  <si>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</si>
  <si>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</si>
  <si>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</si>
  <si>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</si>
  <si>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</si>
  <si>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</si>
  <si>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</si>
  <si>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</si>
  <si>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</si>
  <si>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</si>
  <si>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</si>
  <si>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</si>
  <si>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</si>
  <si>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</si>
  <si>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</si>
  <si>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</si>
  <si>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</si>
  <si>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</si>
  <si>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</si>
  <si>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</si>
  <si>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</si>
  <si>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</si>
  <si>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</si>
  <si>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</si>
  <si>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</si>
  <si>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</si>
  <si>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</si>
  <si>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</si>
  <si>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</si>
  <si>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</si>
  <si>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</si>
  <si>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</si>
  <si>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</si>
  <si>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</si>
  <si>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</si>
  <si>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</si>
  <si>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</si>
  <si>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</si>
  <si>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</si>
  <si>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</si>
  <si>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</si>
  <si>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</si>
  <si>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</si>
  <si>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</si>
  <si>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</si>
  <si>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</si>
  <si>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</si>
  <si>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</si>
  <si>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</si>
  <si>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</si>
  <si>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</si>
  <si>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</si>
  <si>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</si>
  <si>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</si>
  <si>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</si>
  <si>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</si>
  <si>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</si>
  <si>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</si>
  <si>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</si>
  <si>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</si>
  <si>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</si>
  <si>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</si>
  <si>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</si>
  <si>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</si>
  <si>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</si>
  <si>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</si>
  <si>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</si>
  <si>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</si>
  <si>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</si>
  <si>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</si>
  <si>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</si>
  <si>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</si>
  <si>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</si>
  <si>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</si>
  <si>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</si>
  <si>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</si>
  <si>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</si>
  <si>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</si>
  <si>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</si>
  <si>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</si>
  <si>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</si>
  <si>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</si>
  <si>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</si>
  <si>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</si>
  <si>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</si>
  <si>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</si>
  <si>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</si>
  <si>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</si>
  <si>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</si>
  <si>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</si>
  <si>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</si>
  <si>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</si>
  <si>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</si>
  <si>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</si>
  <si>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</si>
  <si>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</si>
  <si>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</si>
  <si>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</si>
  <si>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</si>
  <si>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</si>
  <si>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</si>
  <si>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</si>
  <si>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</si>
  <si>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</si>
  <si>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</si>
  <si>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</si>
  <si>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</si>
  <si>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</si>
  <si>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</si>
  <si>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</si>
  <si>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</si>
  <si>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</si>
  <si>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</si>
  <si>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</si>
  <si>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</si>
  <si>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</si>
  <si>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</si>
  <si>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</si>
  <si>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</si>
  <si>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</si>
  <si>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</si>
  <si>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</si>
  <si>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</si>
  <si>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</si>
  <si>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</si>
  <si>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</si>
  <si>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</si>
  <si>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</si>
  <si>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</si>
  <si>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</si>
  <si>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</si>
  <si>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</si>
  <si>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</si>
  <si>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</si>
  <si>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</si>
  <si>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</si>
  <si>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</si>
  <si>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</si>
  <si>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</si>
  <si>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</si>
  <si>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</si>
  <si>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</si>
  <si>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</si>
  <si>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</si>
  <si>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</si>
  <si>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</si>
  <si>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</si>
  <si>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</si>
  <si>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</si>
  <si>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</si>
  <si>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</si>
  <si>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</si>
  <si>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</si>
  <si>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</si>
  <si>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</si>
  <si>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</si>
  <si>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</si>
  <si>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</si>
  <si>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</si>
  <si>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</si>
  <si>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</si>
  <si>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</si>
  <si>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</si>
  <si>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</si>
  <si>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</si>
  <si>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</si>
  <si>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</si>
  <si>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</si>
  <si>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</si>
  <si>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</si>
  <si>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</si>
  <si>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</si>
  <si>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</si>
  <si>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</si>
  <si>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</si>
  <si>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</si>
  <si>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</si>
  <si>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</si>
  <si>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</si>
  <si>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</si>
  <si>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</si>
  <si>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</si>
  <si>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</si>
  <si>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</si>
  <si>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</si>
  <si>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</si>
  <si>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</si>
  <si>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</si>
  <si>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</si>
  <si>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</si>
  <si>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</si>
  <si>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</si>
  <si>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</si>
  <si>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</si>
  <si>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</si>
  <si>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</si>
  <si>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</si>
  <si>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</si>
  <si>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</si>
  <si>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</si>
  <si>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</si>
  <si>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</si>
  <si>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</si>
  <si>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</si>
  <si>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</si>
  <si>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</si>
  <si>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</si>
  <si>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</si>
  <si>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</si>
  <si>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</si>
  <si>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</si>
  <si>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</si>
  <si>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</si>
  <si>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</si>
  <si>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</si>
  <si>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</si>
  <si>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</si>
  <si>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</si>
  <si>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</si>
  <si>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</si>
  <si>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</si>
  <si>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</si>
  <si>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</si>
  <si>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</si>
  <si>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</si>
  <si>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</si>
  <si>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</si>
  <si>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</si>
  <si>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</si>
  <si>
    <t>PRUEBAS CELULARES</t>
  </si>
  <si>
    <t>José Luis Merlo Cazares</t>
  </si>
  <si>
    <t>Listado de personal con 8ID (07.07.2026) - Información confidencial</t>
  </si>
  <si>
    <t>activación de TOTP</t>
  </si>
  <si>
    <t>SMART.225907</t>
  </si>
  <si>
    <t>SMART.225908</t>
  </si>
  <si>
    <t>SMART.225909</t>
  </si>
  <si>
    <t>SMART.225910</t>
  </si>
  <si>
    <t>SMART.225911</t>
  </si>
  <si>
    <t>SMART.225912</t>
  </si>
  <si>
    <t>SMART.225913</t>
  </si>
  <si>
    <t>SMART.225914</t>
  </si>
  <si>
    <t>SMART.225915</t>
  </si>
  <si>
    <t>SMART.225916</t>
  </si>
  <si>
    <t>SMART.225917</t>
  </si>
  <si>
    <t>SMART.225918</t>
  </si>
  <si>
    <t>SMART.225919</t>
  </si>
  <si>
    <t>Cambio Movil Supervisores Logistica</t>
  </si>
  <si>
    <t>ENTREGA DE MOVIL</t>
  </si>
  <si>
    <t>BLOQUEO SAP DAMPER</t>
  </si>
  <si>
    <t>Access to shared files</t>
  </si>
  <si>
    <t>Hernandez Estrada, Jesus</t>
  </si>
  <si>
    <t>Email Automotive Systems de Mexico - Accounts Receivable Access</t>
  </si>
  <si>
    <t>Badin, Emil Sucar</t>
  </si>
  <si>
    <t>Email Components Technology Mexico-Dynamics Accounts Receivable Access</t>
  </si>
  <si>
    <t>SMART.225920</t>
  </si>
  <si>
    <t>SMART.225921</t>
  </si>
  <si>
    <t>SMART.225922</t>
  </si>
  <si>
    <t>SMART.225923</t>
  </si>
  <si>
    <t>SMART.225924</t>
  </si>
  <si>
    <t>SMART.225925</t>
  </si>
  <si>
    <t>SMART.225926</t>
  </si>
  <si>
    <t>Problemas equipo de computo</t>
  </si>
  <si>
    <t>Accesos portal portal Proxy de MoNETA (solicitud de manual)</t>
  </si>
  <si>
    <t>Descarga de Navegador Chrome</t>
  </si>
  <si>
    <t>Instalacion de programa LiteShow</t>
  </si>
  <si>
    <t>Revision de conexiones slaa da juntas principal puebla</t>
  </si>
  <si>
    <t>Access we.net credentials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</si>
</sst>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573" totalsRowShown="0" headerRowDxfId="22" dataDxfId="20" headerRowBorderDxfId="21" tableBorderDxfId="19" totalsRowBorderDxfId="18">
  <autoFilter ref="A1:M2573" xr:uid="{F9A8F2CF-541A-476B-BF4C-44E73144D477}">
    <filterColumn colId="6">
      <filters blank="1"/>
    </filterColumn>
  </autoFilter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573"/>
  <sheetViews>
    <sheetView tabSelected="1" zoomScale="101" zoomScaleNormal="80" workbookViewId="0">
      <selection activeCell="G2551" sqref="G2551"/>
    </sheetView>
  </sheetViews>
  <sheetFormatPr defaultRowHeight="14.4" x14ac:dyDescent="0.3"/>
  <cols>
    <col min="1" max="1" width="13.5546875" style="24" bestFit="1" customWidth="1"/>
    <col min="2" max="2" width="16.33203125" style="24" bestFit="1" customWidth="1"/>
    <col min="3" max="3" width="163.33203125" style="24" hidden="1" customWidth="1"/>
    <col min="4" max="4" width="55.33203125" style="24" hidden="1" customWidth="1"/>
    <col min="5" max="5" width="22.6640625" style="24" hidden="1" customWidth="1"/>
    <col min="6" max="6" width="20.33203125" style="25" hidden="1" customWidth="1"/>
    <col min="7" max="7" width="11" style="24" customWidth="1"/>
    <col min="8" max="8" width="12.5546875" style="24" customWidth="1"/>
    <col min="9" max="9" width="8.6640625" style="24" customWidth="1"/>
    <col min="10" max="10" width="12.33203125" style="24" customWidth="1"/>
    <col min="11" max="11" width="19.6640625" style="24" customWidth="1"/>
    <col min="12" max="12" width="21.6640625" style="25" customWidth="1"/>
    <col min="13" max="13" width="23" style="24" customWidth="1"/>
  </cols>
  <sheetData>
    <row r="1" spans="1:13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hidden="1" x14ac:dyDescent="0.3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hidden="1" x14ac:dyDescent="0.3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hidden="1" x14ac:dyDescent="0.3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hidden="1" x14ac:dyDescent="0.3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hidden="1" x14ac:dyDescent="0.3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hidden="1" x14ac:dyDescent="0.3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hidden="1" x14ac:dyDescent="0.3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hidden="1" x14ac:dyDescent="0.3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hidden="1" x14ac:dyDescent="0.3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hidden="1" x14ac:dyDescent="0.3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hidden="1" x14ac:dyDescent="0.3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hidden="1" x14ac:dyDescent="0.3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hidden="1" x14ac:dyDescent="0.3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hidden="1" x14ac:dyDescent="0.3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hidden="1" x14ac:dyDescent="0.3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hidden="1" x14ac:dyDescent="0.3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hidden="1" x14ac:dyDescent="0.3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hidden="1" x14ac:dyDescent="0.3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hidden="1" x14ac:dyDescent="0.3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hidden="1" x14ac:dyDescent="0.3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hidden="1" x14ac:dyDescent="0.3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hidden="1" x14ac:dyDescent="0.3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hidden="1" x14ac:dyDescent="0.3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hidden="1" x14ac:dyDescent="0.3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hidden="1" x14ac:dyDescent="0.3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hidden="1" x14ac:dyDescent="0.3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hidden="1" x14ac:dyDescent="0.3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hidden="1" x14ac:dyDescent="0.3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hidden="1" x14ac:dyDescent="0.3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hidden="1" x14ac:dyDescent="0.3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hidden="1" x14ac:dyDescent="0.3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hidden="1" x14ac:dyDescent="0.3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hidden="1" x14ac:dyDescent="0.3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hidden="1" x14ac:dyDescent="0.3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hidden="1" x14ac:dyDescent="0.3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hidden="1" x14ac:dyDescent="0.3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hidden="1" x14ac:dyDescent="0.3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hidden="1" x14ac:dyDescent="0.3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hidden="1" x14ac:dyDescent="0.3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hidden="1" x14ac:dyDescent="0.3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hidden="1" x14ac:dyDescent="0.3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hidden="1" x14ac:dyDescent="0.3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hidden="1" x14ac:dyDescent="0.3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hidden="1" x14ac:dyDescent="0.3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hidden="1" x14ac:dyDescent="0.3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hidden="1" x14ac:dyDescent="0.3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hidden="1" x14ac:dyDescent="0.3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hidden="1" x14ac:dyDescent="0.3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hidden="1" x14ac:dyDescent="0.3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hidden="1" x14ac:dyDescent="0.3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hidden="1" x14ac:dyDescent="0.3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hidden="1" x14ac:dyDescent="0.3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hidden="1" x14ac:dyDescent="0.3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hidden="1" x14ac:dyDescent="0.3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hidden="1" x14ac:dyDescent="0.3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hidden="1" x14ac:dyDescent="0.3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hidden="1" x14ac:dyDescent="0.3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hidden="1" x14ac:dyDescent="0.3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hidden="1" x14ac:dyDescent="0.3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hidden="1" x14ac:dyDescent="0.3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hidden="1" x14ac:dyDescent="0.3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hidden="1" x14ac:dyDescent="0.3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hidden="1" x14ac:dyDescent="0.3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hidden="1" x14ac:dyDescent="0.3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hidden="1" x14ac:dyDescent="0.3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hidden="1" x14ac:dyDescent="0.3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hidden="1" x14ac:dyDescent="0.3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hidden="1" x14ac:dyDescent="0.3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hidden="1" x14ac:dyDescent="0.3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hidden="1" x14ac:dyDescent="0.3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hidden="1" x14ac:dyDescent="0.3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hidden="1" x14ac:dyDescent="0.3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hidden="1" x14ac:dyDescent="0.3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hidden="1" x14ac:dyDescent="0.3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hidden="1" x14ac:dyDescent="0.3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hidden="1" x14ac:dyDescent="0.3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hidden="1" x14ac:dyDescent="0.3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hidden="1" x14ac:dyDescent="0.3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hidden="1" x14ac:dyDescent="0.3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hidden="1" x14ac:dyDescent="0.3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hidden="1" x14ac:dyDescent="0.3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hidden="1" x14ac:dyDescent="0.3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hidden="1" x14ac:dyDescent="0.3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hidden="1" x14ac:dyDescent="0.3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hidden="1" x14ac:dyDescent="0.3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hidden="1" x14ac:dyDescent="0.3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hidden="1" x14ac:dyDescent="0.3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hidden="1" x14ac:dyDescent="0.3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hidden="1" x14ac:dyDescent="0.3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hidden="1" x14ac:dyDescent="0.3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hidden="1" x14ac:dyDescent="0.3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hidden="1" x14ac:dyDescent="0.3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hidden="1" x14ac:dyDescent="0.3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hidden="1" x14ac:dyDescent="0.3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hidden="1" x14ac:dyDescent="0.3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hidden="1" x14ac:dyDescent="0.3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hidden="1" x14ac:dyDescent="0.3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hidden="1" x14ac:dyDescent="0.3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hidden="1" x14ac:dyDescent="0.3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hidden="1" x14ac:dyDescent="0.3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hidden="1" x14ac:dyDescent="0.3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hidden="1" x14ac:dyDescent="0.3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hidden="1" x14ac:dyDescent="0.3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hidden="1" x14ac:dyDescent="0.3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hidden="1" x14ac:dyDescent="0.3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hidden="1" x14ac:dyDescent="0.3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hidden="1" x14ac:dyDescent="0.3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hidden="1" x14ac:dyDescent="0.3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hidden="1" x14ac:dyDescent="0.3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hidden="1" x14ac:dyDescent="0.3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hidden="1" x14ac:dyDescent="0.3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hidden="1" x14ac:dyDescent="0.3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hidden="1" x14ac:dyDescent="0.3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hidden="1" x14ac:dyDescent="0.3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hidden="1" x14ac:dyDescent="0.3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hidden="1" x14ac:dyDescent="0.3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hidden="1" x14ac:dyDescent="0.3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hidden="1" x14ac:dyDescent="0.3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hidden="1" x14ac:dyDescent="0.3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hidden="1" x14ac:dyDescent="0.3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hidden="1" x14ac:dyDescent="0.3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hidden="1" x14ac:dyDescent="0.3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hidden="1" x14ac:dyDescent="0.3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hidden="1" x14ac:dyDescent="0.3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hidden="1" x14ac:dyDescent="0.3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hidden="1" x14ac:dyDescent="0.3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hidden="1" x14ac:dyDescent="0.3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hidden="1" x14ac:dyDescent="0.3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hidden="1" x14ac:dyDescent="0.3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hidden="1" x14ac:dyDescent="0.3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hidden="1" x14ac:dyDescent="0.3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hidden="1" x14ac:dyDescent="0.3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hidden="1" x14ac:dyDescent="0.3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hidden="1" x14ac:dyDescent="0.3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hidden="1" x14ac:dyDescent="0.3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hidden="1" x14ac:dyDescent="0.3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hidden="1" x14ac:dyDescent="0.3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hidden="1" x14ac:dyDescent="0.3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hidden="1" x14ac:dyDescent="0.3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hidden="1" x14ac:dyDescent="0.3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hidden="1" x14ac:dyDescent="0.3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hidden="1" x14ac:dyDescent="0.3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hidden="1" x14ac:dyDescent="0.3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hidden="1" x14ac:dyDescent="0.3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hidden="1" x14ac:dyDescent="0.3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hidden="1" x14ac:dyDescent="0.3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hidden="1" x14ac:dyDescent="0.3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hidden="1" x14ac:dyDescent="0.3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hidden="1" x14ac:dyDescent="0.3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hidden="1" x14ac:dyDescent="0.3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hidden="1" x14ac:dyDescent="0.3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hidden="1" x14ac:dyDescent="0.3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hidden="1" x14ac:dyDescent="0.3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hidden="1" x14ac:dyDescent="0.3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hidden="1" x14ac:dyDescent="0.3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hidden="1" x14ac:dyDescent="0.3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hidden="1" x14ac:dyDescent="0.3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hidden="1" x14ac:dyDescent="0.3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hidden="1" x14ac:dyDescent="0.3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hidden="1" x14ac:dyDescent="0.3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hidden="1" x14ac:dyDescent="0.3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hidden="1" x14ac:dyDescent="0.3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hidden="1" x14ac:dyDescent="0.3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hidden="1" x14ac:dyDescent="0.3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hidden="1" x14ac:dyDescent="0.3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hidden="1" x14ac:dyDescent="0.3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hidden="1" x14ac:dyDescent="0.3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hidden="1" x14ac:dyDescent="0.3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hidden="1" x14ac:dyDescent="0.3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hidden="1" x14ac:dyDescent="0.3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hidden="1" x14ac:dyDescent="0.3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hidden="1" x14ac:dyDescent="0.3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hidden="1" x14ac:dyDescent="0.3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hidden="1" x14ac:dyDescent="0.3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hidden="1" x14ac:dyDescent="0.3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hidden="1" x14ac:dyDescent="0.3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hidden="1" x14ac:dyDescent="0.3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hidden="1" x14ac:dyDescent="0.3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hidden="1" x14ac:dyDescent="0.3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hidden="1" x14ac:dyDescent="0.3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hidden="1" x14ac:dyDescent="0.3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hidden="1" x14ac:dyDescent="0.3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hidden="1" x14ac:dyDescent="0.3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hidden="1" x14ac:dyDescent="0.3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hidden="1" x14ac:dyDescent="0.3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hidden="1" x14ac:dyDescent="0.3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hidden="1" x14ac:dyDescent="0.3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hidden="1" x14ac:dyDescent="0.3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hidden="1" x14ac:dyDescent="0.3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hidden="1" x14ac:dyDescent="0.3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hidden="1" x14ac:dyDescent="0.3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hidden="1" x14ac:dyDescent="0.3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hidden="1" x14ac:dyDescent="0.3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hidden="1" x14ac:dyDescent="0.3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hidden="1" x14ac:dyDescent="0.3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hidden="1" x14ac:dyDescent="0.3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hidden="1" x14ac:dyDescent="0.3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hidden="1" x14ac:dyDescent="0.3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hidden="1" x14ac:dyDescent="0.3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hidden="1" x14ac:dyDescent="0.3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hidden="1" x14ac:dyDescent="0.3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hidden="1" x14ac:dyDescent="0.3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hidden="1" x14ac:dyDescent="0.3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hidden="1" x14ac:dyDescent="0.3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hidden="1" x14ac:dyDescent="0.3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hidden="1" x14ac:dyDescent="0.3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hidden="1" x14ac:dyDescent="0.3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hidden="1" x14ac:dyDescent="0.3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hidden="1" x14ac:dyDescent="0.3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hidden="1" x14ac:dyDescent="0.3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hidden="1" x14ac:dyDescent="0.3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hidden="1" x14ac:dyDescent="0.3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hidden="1" x14ac:dyDescent="0.3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hidden="1" x14ac:dyDescent="0.3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hidden="1" x14ac:dyDescent="0.3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hidden="1" x14ac:dyDescent="0.3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hidden="1" x14ac:dyDescent="0.3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hidden="1" x14ac:dyDescent="0.3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hidden="1" x14ac:dyDescent="0.3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hidden="1" x14ac:dyDescent="0.3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hidden="1" x14ac:dyDescent="0.3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hidden="1" x14ac:dyDescent="0.3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hidden="1" x14ac:dyDescent="0.3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hidden="1" x14ac:dyDescent="0.3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hidden="1" x14ac:dyDescent="0.3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hidden="1" x14ac:dyDescent="0.3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hidden="1" x14ac:dyDescent="0.3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hidden="1" x14ac:dyDescent="0.3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hidden="1" x14ac:dyDescent="0.3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hidden="1" x14ac:dyDescent="0.3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hidden="1" x14ac:dyDescent="0.3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hidden="1" x14ac:dyDescent="0.3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hidden="1" x14ac:dyDescent="0.3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hidden="1" x14ac:dyDescent="0.3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hidden="1" x14ac:dyDescent="0.3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hidden="1" x14ac:dyDescent="0.3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hidden="1" x14ac:dyDescent="0.3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hidden="1" x14ac:dyDescent="0.3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hidden="1" x14ac:dyDescent="0.3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hidden="1" x14ac:dyDescent="0.3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hidden="1" x14ac:dyDescent="0.3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hidden="1" x14ac:dyDescent="0.3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hidden="1" x14ac:dyDescent="0.3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hidden="1" x14ac:dyDescent="0.3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hidden="1" x14ac:dyDescent="0.3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hidden="1" x14ac:dyDescent="0.3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hidden="1" x14ac:dyDescent="0.3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hidden="1" x14ac:dyDescent="0.3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hidden="1" x14ac:dyDescent="0.3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hidden="1" x14ac:dyDescent="0.3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hidden="1" x14ac:dyDescent="0.3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hidden="1" x14ac:dyDescent="0.3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hidden="1" x14ac:dyDescent="0.3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hidden="1" x14ac:dyDescent="0.3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hidden="1" x14ac:dyDescent="0.3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hidden="1" x14ac:dyDescent="0.3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hidden="1" x14ac:dyDescent="0.3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hidden="1" x14ac:dyDescent="0.3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hidden="1" x14ac:dyDescent="0.3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hidden="1" x14ac:dyDescent="0.3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hidden="1" x14ac:dyDescent="0.3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hidden="1" x14ac:dyDescent="0.3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hidden="1" x14ac:dyDescent="0.3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hidden="1" x14ac:dyDescent="0.3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hidden="1" x14ac:dyDescent="0.3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hidden="1" x14ac:dyDescent="0.3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hidden="1" x14ac:dyDescent="0.3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hidden="1" x14ac:dyDescent="0.3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hidden="1" x14ac:dyDescent="0.3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hidden="1" x14ac:dyDescent="0.3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hidden="1" x14ac:dyDescent="0.3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hidden="1" x14ac:dyDescent="0.3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hidden="1" x14ac:dyDescent="0.3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hidden="1" x14ac:dyDescent="0.3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hidden="1" x14ac:dyDescent="0.3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hidden="1" x14ac:dyDescent="0.3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hidden="1" x14ac:dyDescent="0.3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hidden="1" x14ac:dyDescent="0.3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hidden="1" x14ac:dyDescent="0.3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hidden="1" x14ac:dyDescent="0.3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hidden="1" x14ac:dyDescent="0.3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hidden="1" x14ac:dyDescent="0.3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hidden="1" x14ac:dyDescent="0.3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hidden="1" x14ac:dyDescent="0.3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hidden="1" x14ac:dyDescent="0.3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hidden="1" x14ac:dyDescent="0.3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hidden="1" x14ac:dyDescent="0.3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hidden="1" x14ac:dyDescent="0.3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hidden="1" x14ac:dyDescent="0.3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hidden="1" x14ac:dyDescent="0.3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hidden="1" x14ac:dyDescent="0.3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hidden="1" x14ac:dyDescent="0.3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hidden="1" x14ac:dyDescent="0.3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hidden="1" x14ac:dyDescent="0.3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hidden="1" x14ac:dyDescent="0.3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hidden="1" x14ac:dyDescent="0.3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hidden="1" x14ac:dyDescent="0.3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hidden="1" x14ac:dyDescent="0.3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hidden="1" x14ac:dyDescent="0.3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hidden="1" x14ac:dyDescent="0.3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hidden="1" x14ac:dyDescent="0.3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hidden="1" x14ac:dyDescent="0.3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hidden="1" x14ac:dyDescent="0.3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hidden="1" x14ac:dyDescent="0.3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hidden="1" x14ac:dyDescent="0.3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hidden="1" x14ac:dyDescent="0.3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hidden="1" x14ac:dyDescent="0.3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hidden="1" x14ac:dyDescent="0.3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hidden="1" x14ac:dyDescent="0.3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hidden="1" x14ac:dyDescent="0.3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hidden="1" x14ac:dyDescent="0.3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hidden="1" x14ac:dyDescent="0.3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hidden="1" x14ac:dyDescent="0.3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hidden="1" x14ac:dyDescent="0.3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hidden="1" x14ac:dyDescent="0.3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hidden="1" x14ac:dyDescent="0.3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hidden="1" x14ac:dyDescent="0.3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hidden="1" x14ac:dyDescent="0.3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hidden="1" x14ac:dyDescent="0.3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hidden="1" x14ac:dyDescent="0.3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hidden="1" x14ac:dyDescent="0.3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hidden="1" x14ac:dyDescent="0.3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hidden="1" x14ac:dyDescent="0.3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hidden="1" x14ac:dyDescent="0.3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hidden="1" x14ac:dyDescent="0.3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hidden="1" x14ac:dyDescent="0.3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hidden="1" x14ac:dyDescent="0.3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hidden="1" x14ac:dyDescent="0.3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hidden="1" x14ac:dyDescent="0.3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hidden="1" x14ac:dyDescent="0.3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hidden="1" x14ac:dyDescent="0.3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hidden="1" x14ac:dyDescent="0.3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hidden="1" x14ac:dyDescent="0.3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hidden="1" x14ac:dyDescent="0.3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hidden="1" x14ac:dyDescent="0.3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hidden="1" x14ac:dyDescent="0.3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hidden="1" x14ac:dyDescent="0.3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hidden="1" x14ac:dyDescent="0.3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hidden="1" x14ac:dyDescent="0.3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hidden="1" x14ac:dyDescent="0.3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hidden="1" x14ac:dyDescent="0.3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hidden="1" x14ac:dyDescent="0.3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hidden="1" x14ac:dyDescent="0.3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hidden="1" x14ac:dyDescent="0.3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hidden="1" x14ac:dyDescent="0.3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hidden="1" x14ac:dyDescent="0.3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hidden="1" x14ac:dyDescent="0.3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hidden="1" x14ac:dyDescent="0.3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hidden="1" x14ac:dyDescent="0.3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hidden="1" x14ac:dyDescent="0.3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hidden="1" x14ac:dyDescent="0.3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hidden="1" x14ac:dyDescent="0.3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hidden="1" x14ac:dyDescent="0.3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hidden="1" x14ac:dyDescent="0.3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hidden="1" x14ac:dyDescent="0.3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hidden="1" x14ac:dyDescent="0.3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hidden="1" x14ac:dyDescent="0.3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hidden="1" x14ac:dyDescent="0.3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hidden="1" x14ac:dyDescent="0.3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hidden="1" x14ac:dyDescent="0.3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hidden="1" x14ac:dyDescent="0.3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hidden="1" x14ac:dyDescent="0.3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hidden="1" x14ac:dyDescent="0.3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hidden="1" x14ac:dyDescent="0.3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hidden="1" x14ac:dyDescent="0.3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hidden="1" x14ac:dyDescent="0.3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hidden="1" x14ac:dyDescent="0.3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hidden="1" x14ac:dyDescent="0.3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hidden="1" x14ac:dyDescent="0.3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hidden="1" x14ac:dyDescent="0.3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hidden="1" x14ac:dyDescent="0.3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hidden="1" x14ac:dyDescent="0.3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hidden="1" x14ac:dyDescent="0.3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hidden="1" x14ac:dyDescent="0.3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hidden="1" x14ac:dyDescent="0.3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hidden="1" x14ac:dyDescent="0.3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hidden="1" x14ac:dyDescent="0.3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hidden="1" x14ac:dyDescent="0.3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hidden="1" x14ac:dyDescent="0.3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hidden="1" x14ac:dyDescent="0.3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hidden="1" x14ac:dyDescent="0.3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hidden="1" x14ac:dyDescent="0.3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hidden="1" x14ac:dyDescent="0.3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hidden="1" x14ac:dyDescent="0.3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hidden="1" x14ac:dyDescent="0.3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hidden="1" x14ac:dyDescent="0.3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hidden="1" x14ac:dyDescent="0.3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hidden="1" x14ac:dyDescent="0.3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hidden="1" x14ac:dyDescent="0.3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hidden="1" x14ac:dyDescent="0.3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hidden="1" x14ac:dyDescent="0.3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hidden="1" x14ac:dyDescent="0.3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hidden="1" x14ac:dyDescent="0.3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hidden="1" x14ac:dyDescent="0.3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hidden="1" x14ac:dyDescent="0.3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hidden="1" x14ac:dyDescent="0.3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hidden="1" x14ac:dyDescent="0.3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hidden="1" x14ac:dyDescent="0.3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hidden="1" x14ac:dyDescent="0.3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hidden="1" x14ac:dyDescent="0.3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hidden="1" x14ac:dyDescent="0.3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hidden="1" x14ac:dyDescent="0.3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hidden="1" x14ac:dyDescent="0.3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hidden="1" x14ac:dyDescent="0.3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hidden="1" x14ac:dyDescent="0.3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hidden="1" x14ac:dyDescent="0.3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hidden="1" x14ac:dyDescent="0.3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hidden="1" x14ac:dyDescent="0.3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hidden="1" x14ac:dyDescent="0.3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hidden="1" x14ac:dyDescent="0.3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hidden="1" x14ac:dyDescent="0.3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hidden="1" x14ac:dyDescent="0.3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hidden="1" x14ac:dyDescent="0.3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hidden="1" x14ac:dyDescent="0.3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hidden="1" x14ac:dyDescent="0.3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hidden="1" x14ac:dyDescent="0.3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hidden="1" x14ac:dyDescent="0.3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hidden="1" x14ac:dyDescent="0.3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hidden="1" x14ac:dyDescent="0.3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hidden="1" x14ac:dyDescent="0.3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hidden="1" x14ac:dyDescent="0.3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hidden="1" x14ac:dyDescent="0.3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hidden="1" x14ac:dyDescent="0.3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hidden="1" x14ac:dyDescent="0.3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hidden="1" x14ac:dyDescent="0.3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hidden="1" x14ac:dyDescent="0.3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hidden="1" x14ac:dyDescent="0.3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hidden="1" x14ac:dyDescent="0.3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hidden="1" x14ac:dyDescent="0.3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hidden="1" x14ac:dyDescent="0.3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hidden="1" x14ac:dyDescent="0.3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hidden="1" x14ac:dyDescent="0.3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hidden="1" x14ac:dyDescent="0.3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hidden="1" x14ac:dyDescent="0.3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hidden="1" x14ac:dyDescent="0.3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hidden="1" x14ac:dyDescent="0.3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hidden="1" x14ac:dyDescent="0.3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hidden="1" x14ac:dyDescent="0.3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hidden="1" x14ac:dyDescent="0.3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hidden="1" x14ac:dyDescent="0.3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hidden="1" x14ac:dyDescent="0.3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hidden="1" x14ac:dyDescent="0.3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hidden="1" x14ac:dyDescent="0.3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hidden="1" x14ac:dyDescent="0.3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hidden="1" x14ac:dyDescent="0.3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hidden="1" x14ac:dyDescent="0.3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hidden="1" x14ac:dyDescent="0.3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hidden="1" x14ac:dyDescent="0.3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hidden="1" x14ac:dyDescent="0.3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hidden="1" x14ac:dyDescent="0.3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hidden="1" x14ac:dyDescent="0.3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hidden="1" x14ac:dyDescent="0.3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hidden="1" x14ac:dyDescent="0.3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hidden="1" x14ac:dyDescent="0.3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hidden="1" x14ac:dyDescent="0.3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hidden="1" x14ac:dyDescent="0.3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hidden="1" x14ac:dyDescent="0.3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hidden="1" x14ac:dyDescent="0.3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hidden="1" x14ac:dyDescent="0.3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hidden="1" x14ac:dyDescent="0.3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hidden="1" x14ac:dyDescent="0.3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hidden="1" x14ac:dyDescent="0.3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hidden="1" x14ac:dyDescent="0.3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hidden="1" x14ac:dyDescent="0.3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hidden="1" x14ac:dyDescent="0.3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hidden="1" x14ac:dyDescent="0.3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hidden="1" x14ac:dyDescent="0.3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hidden="1" x14ac:dyDescent="0.3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hidden="1" x14ac:dyDescent="0.3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hidden="1" x14ac:dyDescent="0.3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hidden="1" x14ac:dyDescent="0.3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hidden="1" x14ac:dyDescent="0.3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hidden="1" x14ac:dyDescent="0.3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hidden="1" x14ac:dyDescent="0.3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hidden="1" x14ac:dyDescent="0.3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hidden="1" x14ac:dyDescent="0.3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hidden="1" x14ac:dyDescent="0.3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hidden="1" x14ac:dyDescent="0.3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hidden="1" x14ac:dyDescent="0.3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hidden="1" x14ac:dyDescent="0.3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hidden="1" x14ac:dyDescent="0.3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hidden="1" x14ac:dyDescent="0.3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hidden="1" x14ac:dyDescent="0.3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hidden="1" x14ac:dyDescent="0.3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hidden="1" x14ac:dyDescent="0.3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hidden="1" x14ac:dyDescent="0.3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hidden="1" x14ac:dyDescent="0.3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hidden="1" x14ac:dyDescent="0.3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hidden="1" x14ac:dyDescent="0.3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hidden="1" x14ac:dyDescent="0.3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hidden="1" x14ac:dyDescent="0.3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hidden="1" x14ac:dyDescent="0.3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hidden="1" x14ac:dyDescent="0.3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hidden="1" x14ac:dyDescent="0.3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hidden="1" x14ac:dyDescent="0.3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hidden="1" x14ac:dyDescent="0.3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hidden="1" x14ac:dyDescent="0.3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hidden="1" x14ac:dyDescent="0.3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hidden="1" x14ac:dyDescent="0.3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hidden="1" x14ac:dyDescent="0.3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hidden="1" x14ac:dyDescent="0.3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hidden="1" x14ac:dyDescent="0.3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hidden="1" x14ac:dyDescent="0.3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hidden="1" x14ac:dyDescent="0.3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hidden="1" x14ac:dyDescent="0.3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hidden="1" x14ac:dyDescent="0.3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hidden="1" x14ac:dyDescent="0.3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hidden="1" x14ac:dyDescent="0.3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hidden="1" x14ac:dyDescent="0.3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hidden="1" x14ac:dyDescent="0.3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hidden="1" x14ac:dyDescent="0.3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hidden="1" x14ac:dyDescent="0.3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hidden="1" x14ac:dyDescent="0.3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hidden="1" x14ac:dyDescent="0.3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hidden="1" x14ac:dyDescent="0.3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hidden="1" x14ac:dyDescent="0.3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hidden="1" x14ac:dyDescent="0.3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hidden="1" x14ac:dyDescent="0.3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hidden="1" x14ac:dyDescent="0.3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hidden="1" x14ac:dyDescent="0.3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hidden="1" x14ac:dyDescent="0.3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hidden="1" x14ac:dyDescent="0.3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hidden="1" x14ac:dyDescent="0.3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hidden="1" x14ac:dyDescent="0.3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hidden="1" x14ac:dyDescent="0.3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hidden="1" x14ac:dyDescent="0.3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hidden="1" x14ac:dyDescent="0.3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hidden="1" x14ac:dyDescent="0.3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hidden="1" x14ac:dyDescent="0.3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hidden="1" x14ac:dyDescent="0.3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hidden="1" x14ac:dyDescent="0.3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hidden="1" x14ac:dyDescent="0.3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hidden="1" x14ac:dyDescent="0.3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hidden="1" x14ac:dyDescent="0.3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hidden="1" x14ac:dyDescent="0.3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hidden="1" x14ac:dyDescent="0.3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hidden="1" x14ac:dyDescent="0.3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hidden="1" x14ac:dyDescent="0.3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hidden="1" x14ac:dyDescent="0.3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hidden="1" x14ac:dyDescent="0.3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hidden="1" x14ac:dyDescent="0.3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hidden="1" x14ac:dyDescent="0.3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hidden="1" x14ac:dyDescent="0.3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hidden="1" x14ac:dyDescent="0.3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hidden="1" x14ac:dyDescent="0.3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hidden="1" x14ac:dyDescent="0.3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hidden="1" x14ac:dyDescent="0.3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hidden="1" x14ac:dyDescent="0.3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hidden="1" x14ac:dyDescent="0.3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hidden="1" x14ac:dyDescent="0.3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hidden="1" x14ac:dyDescent="0.3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hidden="1" x14ac:dyDescent="0.3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hidden="1" x14ac:dyDescent="0.3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hidden="1" x14ac:dyDescent="0.3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hidden="1" x14ac:dyDescent="0.3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hidden="1" x14ac:dyDescent="0.3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hidden="1" x14ac:dyDescent="0.3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hidden="1" x14ac:dyDescent="0.3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hidden="1" x14ac:dyDescent="0.3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hidden="1" x14ac:dyDescent="0.3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hidden="1" x14ac:dyDescent="0.3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hidden="1" x14ac:dyDescent="0.3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hidden="1" x14ac:dyDescent="0.3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hidden="1" x14ac:dyDescent="0.3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hidden="1" x14ac:dyDescent="0.3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hidden="1" x14ac:dyDescent="0.3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hidden="1" x14ac:dyDescent="0.3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hidden="1" x14ac:dyDescent="0.3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hidden="1" x14ac:dyDescent="0.3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hidden="1" x14ac:dyDescent="0.3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hidden="1" x14ac:dyDescent="0.3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hidden="1" x14ac:dyDescent="0.3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hidden="1" x14ac:dyDescent="0.3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hidden="1" x14ac:dyDescent="0.3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hidden="1" x14ac:dyDescent="0.3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hidden="1" x14ac:dyDescent="0.3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hidden="1" x14ac:dyDescent="0.3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hidden="1" x14ac:dyDescent="0.3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hidden="1" x14ac:dyDescent="0.3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hidden="1" x14ac:dyDescent="0.3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hidden="1" x14ac:dyDescent="0.3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hidden="1" x14ac:dyDescent="0.3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hidden="1" x14ac:dyDescent="0.3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hidden="1" x14ac:dyDescent="0.3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hidden="1" x14ac:dyDescent="0.3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hidden="1" x14ac:dyDescent="0.3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hidden="1" x14ac:dyDescent="0.3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hidden="1" x14ac:dyDescent="0.3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hidden="1" x14ac:dyDescent="0.3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hidden="1" x14ac:dyDescent="0.3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hidden="1" x14ac:dyDescent="0.3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hidden="1" x14ac:dyDescent="0.3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hidden="1" x14ac:dyDescent="0.3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hidden="1" x14ac:dyDescent="0.3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hidden="1" x14ac:dyDescent="0.3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hidden="1" x14ac:dyDescent="0.3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hidden="1" x14ac:dyDescent="0.3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hidden="1" x14ac:dyDescent="0.3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hidden="1" x14ac:dyDescent="0.3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hidden="1" x14ac:dyDescent="0.3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hidden="1" x14ac:dyDescent="0.3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hidden="1" x14ac:dyDescent="0.3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hidden="1" x14ac:dyDescent="0.3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hidden="1" x14ac:dyDescent="0.3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hidden="1" x14ac:dyDescent="0.3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hidden="1" x14ac:dyDescent="0.3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hidden="1" x14ac:dyDescent="0.3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hidden="1" x14ac:dyDescent="0.3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hidden="1" x14ac:dyDescent="0.3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hidden="1" x14ac:dyDescent="0.3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hidden="1" x14ac:dyDescent="0.3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hidden="1" x14ac:dyDescent="0.3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hidden="1" x14ac:dyDescent="0.3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hidden="1" x14ac:dyDescent="0.3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hidden="1" x14ac:dyDescent="0.3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hidden="1" x14ac:dyDescent="0.3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hidden="1" x14ac:dyDescent="0.3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hidden="1" x14ac:dyDescent="0.3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hidden="1" x14ac:dyDescent="0.3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hidden="1" x14ac:dyDescent="0.3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hidden="1" x14ac:dyDescent="0.3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hidden="1" x14ac:dyDescent="0.3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hidden="1" x14ac:dyDescent="0.3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hidden="1" x14ac:dyDescent="0.3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hidden="1" x14ac:dyDescent="0.3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hidden="1" x14ac:dyDescent="0.3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hidden="1" x14ac:dyDescent="0.3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hidden="1" x14ac:dyDescent="0.3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hidden="1" x14ac:dyDescent="0.3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hidden="1" x14ac:dyDescent="0.3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hidden="1" x14ac:dyDescent="0.3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hidden="1" x14ac:dyDescent="0.3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hidden="1" x14ac:dyDescent="0.3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hidden="1" x14ac:dyDescent="0.3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hidden="1" x14ac:dyDescent="0.3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hidden="1" x14ac:dyDescent="0.3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hidden="1" x14ac:dyDescent="0.3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hidden="1" x14ac:dyDescent="0.3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hidden="1" x14ac:dyDescent="0.3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hidden="1" x14ac:dyDescent="0.3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hidden="1" x14ac:dyDescent="0.3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hidden="1" x14ac:dyDescent="0.3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hidden="1" x14ac:dyDescent="0.3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hidden="1" x14ac:dyDescent="0.3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hidden="1" x14ac:dyDescent="0.3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hidden="1" x14ac:dyDescent="0.3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hidden="1" x14ac:dyDescent="0.3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hidden="1" x14ac:dyDescent="0.3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hidden="1" x14ac:dyDescent="0.3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hidden="1" x14ac:dyDescent="0.3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hidden="1" x14ac:dyDescent="0.3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hidden="1" x14ac:dyDescent="0.3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hidden="1" x14ac:dyDescent="0.3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hidden="1" x14ac:dyDescent="0.3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hidden="1" x14ac:dyDescent="0.3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hidden="1" x14ac:dyDescent="0.3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hidden="1" x14ac:dyDescent="0.3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hidden="1" x14ac:dyDescent="0.3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hidden="1" x14ac:dyDescent="0.3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hidden="1" x14ac:dyDescent="0.3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hidden="1" x14ac:dyDescent="0.3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hidden="1" x14ac:dyDescent="0.3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hidden="1" x14ac:dyDescent="0.3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hidden="1" x14ac:dyDescent="0.3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hidden="1" x14ac:dyDescent="0.3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hidden="1" x14ac:dyDescent="0.3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hidden="1" x14ac:dyDescent="0.3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hidden="1" x14ac:dyDescent="0.3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hidden="1" x14ac:dyDescent="0.3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hidden="1" x14ac:dyDescent="0.3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hidden="1" x14ac:dyDescent="0.3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hidden="1" x14ac:dyDescent="0.3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hidden="1" x14ac:dyDescent="0.3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hidden="1" x14ac:dyDescent="0.3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hidden="1" x14ac:dyDescent="0.3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hidden="1" x14ac:dyDescent="0.3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hidden="1" x14ac:dyDescent="0.3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hidden="1" x14ac:dyDescent="0.3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hidden="1" x14ac:dyDescent="0.3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hidden="1" x14ac:dyDescent="0.3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hidden="1" x14ac:dyDescent="0.3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hidden="1" x14ac:dyDescent="0.3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hidden="1" x14ac:dyDescent="0.3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hidden="1" x14ac:dyDescent="0.3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hidden="1" x14ac:dyDescent="0.3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hidden="1" x14ac:dyDescent="0.3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hidden="1" x14ac:dyDescent="0.3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hidden="1" x14ac:dyDescent="0.3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hidden="1" x14ac:dyDescent="0.3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hidden="1" x14ac:dyDescent="0.3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hidden="1" x14ac:dyDescent="0.3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hidden="1" x14ac:dyDescent="0.3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hidden="1" x14ac:dyDescent="0.3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hidden="1" x14ac:dyDescent="0.3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hidden="1" x14ac:dyDescent="0.3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hidden="1" x14ac:dyDescent="0.3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hidden="1" x14ac:dyDescent="0.3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hidden="1" x14ac:dyDescent="0.3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hidden="1" x14ac:dyDescent="0.3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hidden="1" x14ac:dyDescent="0.3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hidden="1" x14ac:dyDescent="0.3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hidden="1" x14ac:dyDescent="0.3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hidden="1" x14ac:dyDescent="0.3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hidden="1" x14ac:dyDescent="0.3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hidden="1" x14ac:dyDescent="0.3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hidden="1" x14ac:dyDescent="0.3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hidden="1" x14ac:dyDescent="0.3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hidden="1" x14ac:dyDescent="0.3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hidden="1" x14ac:dyDescent="0.3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hidden="1" x14ac:dyDescent="0.3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hidden="1" x14ac:dyDescent="0.3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hidden="1" x14ac:dyDescent="0.3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hidden="1" x14ac:dyDescent="0.3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hidden="1" x14ac:dyDescent="0.3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hidden="1" x14ac:dyDescent="0.3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hidden="1" x14ac:dyDescent="0.3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hidden="1" x14ac:dyDescent="0.3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hidden="1" x14ac:dyDescent="0.3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hidden="1" x14ac:dyDescent="0.3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hidden="1" x14ac:dyDescent="0.3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hidden="1" x14ac:dyDescent="0.3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hidden="1" x14ac:dyDescent="0.3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hidden="1" x14ac:dyDescent="0.3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hidden="1" x14ac:dyDescent="0.3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hidden="1" x14ac:dyDescent="0.3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hidden="1" x14ac:dyDescent="0.3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hidden="1" x14ac:dyDescent="0.3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hidden="1" x14ac:dyDescent="0.3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hidden="1" x14ac:dyDescent="0.3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hidden="1" x14ac:dyDescent="0.3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hidden="1" x14ac:dyDescent="0.3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hidden="1" x14ac:dyDescent="0.3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hidden="1" x14ac:dyDescent="0.3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hidden="1" x14ac:dyDescent="0.3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hidden="1" x14ac:dyDescent="0.3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hidden="1" x14ac:dyDescent="0.3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hidden="1" x14ac:dyDescent="0.3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hidden="1" x14ac:dyDescent="0.3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hidden="1" x14ac:dyDescent="0.3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hidden="1" x14ac:dyDescent="0.3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hidden="1" x14ac:dyDescent="0.3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hidden="1" x14ac:dyDescent="0.3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hidden="1" x14ac:dyDescent="0.3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hidden="1" x14ac:dyDescent="0.3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hidden="1" x14ac:dyDescent="0.3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hidden="1" x14ac:dyDescent="0.3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hidden="1" x14ac:dyDescent="0.3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hidden="1" x14ac:dyDescent="0.3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hidden="1" x14ac:dyDescent="0.3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hidden="1" x14ac:dyDescent="0.3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hidden="1" x14ac:dyDescent="0.3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hidden="1" x14ac:dyDescent="0.3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hidden="1" x14ac:dyDescent="0.3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hidden="1" x14ac:dyDescent="0.3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hidden="1" x14ac:dyDescent="0.3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hidden="1" x14ac:dyDescent="0.3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hidden="1" x14ac:dyDescent="0.3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hidden="1" x14ac:dyDescent="0.3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hidden="1" x14ac:dyDescent="0.3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hidden="1" x14ac:dyDescent="0.3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hidden="1" x14ac:dyDescent="0.3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hidden="1" x14ac:dyDescent="0.3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hidden="1" x14ac:dyDescent="0.3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hidden="1" x14ac:dyDescent="0.3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hidden="1" x14ac:dyDescent="0.3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hidden="1" x14ac:dyDescent="0.3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hidden="1" x14ac:dyDescent="0.3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hidden="1" x14ac:dyDescent="0.3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hidden="1" x14ac:dyDescent="0.3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hidden="1" x14ac:dyDescent="0.3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hidden="1" x14ac:dyDescent="0.3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hidden="1" x14ac:dyDescent="0.3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hidden="1" x14ac:dyDescent="0.3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hidden="1" x14ac:dyDescent="0.3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hidden="1" x14ac:dyDescent="0.3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hidden="1" x14ac:dyDescent="0.3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hidden="1" x14ac:dyDescent="0.3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hidden="1" x14ac:dyDescent="0.3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hidden="1" x14ac:dyDescent="0.3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hidden="1" x14ac:dyDescent="0.3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hidden="1" x14ac:dyDescent="0.3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hidden="1" x14ac:dyDescent="0.3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hidden="1" x14ac:dyDescent="0.3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hidden="1" x14ac:dyDescent="0.3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hidden="1" x14ac:dyDescent="0.3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hidden="1" x14ac:dyDescent="0.3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hidden="1" x14ac:dyDescent="0.3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hidden="1" x14ac:dyDescent="0.3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hidden="1" x14ac:dyDescent="0.3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hidden="1" x14ac:dyDescent="0.3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hidden="1" x14ac:dyDescent="0.3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hidden="1" x14ac:dyDescent="0.3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hidden="1" x14ac:dyDescent="0.3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hidden="1" x14ac:dyDescent="0.3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hidden="1" x14ac:dyDescent="0.3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hidden="1" x14ac:dyDescent="0.3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hidden="1" x14ac:dyDescent="0.3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hidden="1" x14ac:dyDescent="0.3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hidden="1" x14ac:dyDescent="0.3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hidden="1" x14ac:dyDescent="0.3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hidden="1" x14ac:dyDescent="0.3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hidden="1" x14ac:dyDescent="0.3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hidden="1" x14ac:dyDescent="0.3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hidden="1" x14ac:dyDescent="0.3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hidden="1" x14ac:dyDescent="0.3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hidden="1" x14ac:dyDescent="0.3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hidden="1" x14ac:dyDescent="0.3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hidden="1" x14ac:dyDescent="0.3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hidden="1" x14ac:dyDescent="0.3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hidden="1" x14ac:dyDescent="0.3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hidden="1" x14ac:dyDescent="0.3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hidden="1" x14ac:dyDescent="0.3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hidden="1" x14ac:dyDescent="0.3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hidden="1" x14ac:dyDescent="0.3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hidden="1" x14ac:dyDescent="0.3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hidden="1" x14ac:dyDescent="0.3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hidden="1" x14ac:dyDescent="0.3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hidden="1" x14ac:dyDescent="0.3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hidden="1" x14ac:dyDescent="0.3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hidden="1" x14ac:dyDescent="0.3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hidden="1" x14ac:dyDescent="0.3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hidden="1" x14ac:dyDescent="0.3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hidden="1" x14ac:dyDescent="0.3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hidden="1" x14ac:dyDescent="0.3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hidden="1" x14ac:dyDescent="0.3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hidden="1" x14ac:dyDescent="0.3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hidden="1" x14ac:dyDescent="0.3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hidden="1" x14ac:dyDescent="0.3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hidden="1" x14ac:dyDescent="0.3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hidden="1" x14ac:dyDescent="0.3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hidden="1" x14ac:dyDescent="0.3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hidden="1" x14ac:dyDescent="0.3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hidden="1" x14ac:dyDescent="0.3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hidden="1" x14ac:dyDescent="0.3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hidden="1" x14ac:dyDescent="0.3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hidden="1" x14ac:dyDescent="0.3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hidden="1" x14ac:dyDescent="0.3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hidden="1" x14ac:dyDescent="0.3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hidden="1" x14ac:dyDescent="0.3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hidden="1" x14ac:dyDescent="0.3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hidden="1" x14ac:dyDescent="0.3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hidden="1" x14ac:dyDescent="0.3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hidden="1" x14ac:dyDescent="0.3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hidden="1" x14ac:dyDescent="0.3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hidden="1" x14ac:dyDescent="0.3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hidden="1" x14ac:dyDescent="0.3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hidden="1" x14ac:dyDescent="0.3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hidden="1" x14ac:dyDescent="0.3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hidden="1" x14ac:dyDescent="0.3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hidden="1" x14ac:dyDescent="0.3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hidden="1" x14ac:dyDescent="0.3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hidden="1" x14ac:dyDescent="0.3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hidden="1" x14ac:dyDescent="0.3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hidden="1" x14ac:dyDescent="0.3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hidden="1" x14ac:dyDescent="0.3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hidden="1" x14ac:dyDescent="0.3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hidden="1" x14ac:dyDescent="0.3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hidden="1" x14ac:dyDescent="0.3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hidden="1" x14ac:dyDescent="0.3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hidden="1" x14ac:dyDescent="0.3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hidden="1" x14ac:dyDescent="0.3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hidden="1" x14ac:dyDescent="0.3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hidden="1" x14ac:dyDescent="0.3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hidden="1" x14ac:dyDescent="0.3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hidden="1" x14ac:dyDescent="0.3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hidden="1" x14ac:dyDescent="0.3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hidden="1" x14ac:dyDescent="0.3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hidden="1" x14ac:dyDescent="0.3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hidden="1" x14ac:dyDescent="0.3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hidden="1" x14ac:dyDescent="0.3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hidden="1" x14ac:dyDescent="0.3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hidden="1" x14ac:dyDescent="0.3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hidden="1" x14ac:dyDescent="0.3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hidden="1" x14ac:dyDescent="0.3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hidden="1" x14ac:dyDescent="0.3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hidden="1" x14ac:dyDescent="0.3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hidden="1" x14ac:dyDescent="0.3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hidden="1" x14ac:dyDescent="0.3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hidden="1" x14ac:dyDescent="0.3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hidden="1" x14ac:dyDescent="0.3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hidden="1" x14ac:dyDescent="0.3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hidden="1" x14ac:dyDescent="0.3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hidden="1" x14ac:dyDescent="0.3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hidden="1" x14ac:dyDescent="0.3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hidden="1" x14ac:dyDescent="0.3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hidden="1" x14ac:dyDescent="0.3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hidden="1" x14ac:dyDescent="0.3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hidden="1" x14ac:dyDescent="0.3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hidden="1" x14ac:dyDescent="0.3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hidden="1" x14ac:dyDescent="0.3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hidden="1" x14ac:dyDescent="0.3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hidden="1" x14ac:dyDescent="0.3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hidden="1" x14ac:dyDescent="0.3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hidden="1" x14ac:dyDescent="0.3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hidden="1" x14ac:dyDescent="0.3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hidden="1" x14ac:dyDescent="0.3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hidden="1" x14ac:dyDescent="0.3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hidden="1" x14ac:dyDescent="0.3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hidden="1" x14ac:dyDescent="0.3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hidden="1" x14ac:dyDescent="0.3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hidden="1" x14ac:dyDescent="0.3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hidden="1" x14ac:dyDescent="0.3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hidden="1" x14ac:dyDescent="0.3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hidden="1" x14ac:dyDescent="0.3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hidden="1" x14ac:dyDescent="0.3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hidden="1" x14ac:dyDescent="0.3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hidden="1" x14ac:dyDescent="0.3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hidden="1" x14ac:dyDescent="0.3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hidden="1" x14ac:dyDescent="0.3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hidden="1" x14ac:dyDescent="0.3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hidden="1" x14ac:dyDescent="0.3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hidden="1" x14ac:dyDescent="0.3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hidden="1" x14ac:dyDescent="0.3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hidden="1" x14ac:dyDescent="0.3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hidden="1" x14ac:dyDescent="0.3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hidden="1" x14ac:dyDescent="0.3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hidden="1" x14ac:dyDescent="0.3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hidden="1" x14ac:dyDescent="0.3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hidden="1" x14ac:dyDescent="0.3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hidden="1" x14ac:dyDescent="0.3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hidden="1" x14ac:dyDescent="0.3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hidden="1" x14ac:dyDescent="0.3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hidden="1" x14ac:dyDescent="0.3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hidden="1" x14ac:dyDescent="0.3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hidden="1" x14ac:dyDescent="0.3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hidden="1" x14ac:dyDescent="0.3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hidden="1" x14ac:dyDescent="0.3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hidden="1" x14ac:dyDescent="0.3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hidden="1" x14ac:dyDescent="0.3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hidden="1" x14ac:dyDescent="0.3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hidden="1" x14ac:dyDescent="0.3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hidden="1" x14ac:dyDescent="0.3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hidden="1" x14ac:dyDescent="0.3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hidden="1" x14ac:dyDescent="0.3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hidden="1" x14ac:dyDescent="0.3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hidden="1" x14ac:dyDescent="0.3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hidden="1" x14ac:dyDescent="0.3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hidden="1" x14ac:dyDescent="0.3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hidden="1" x14ac:dyDescent="0.3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hidden="1" x14ac:dyDescent="0.3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hidden="1" x14ac:dyDescent="0.3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hidden="1" x14ac:dyDescent="0.3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hidden="1" x14ac:dyDescent="0.3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hidden="1" x14ac:dyDescent="0.3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hidden="1" x14ac:dyDescent="0.3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hidden="1" x14ac:dyDescent="0.3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hidden="1" x14ac:dyDescent="0.3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hidden="1" x14ac:dyDescent="0.3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hidden="1" x14ac:dyDescent="0.3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hidden="1" x14ac:dyDescent="0.3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hidden="1" x14ac:dyDescent="0.3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hidden="1" x14ac:dyDescent="0.3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hidden="1" x14ac:dyDescent="0.3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hidden="1" x14ac:dyDescent="0.3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hidden="1" x14ac:dyDescent="0.3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hidden="1" x14ac:dyDescent="0.3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hidden="1" x14ac:dyDescent="0.3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hidden="1" x14ac:dyDescent="0.3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hidden="1" x14ac:dyDescent="0.3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hidden="1" x14ac:dyDescent="0.3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hidden="1" x14ac:dyDescent="0.3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hidden="1" x14ac:dyDescent="0.3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hidden="1" x14ac:dyDescent="0.3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hidden="1" x14ac:dyDescent="0.3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hidden="1" x14ac:dyDescent="0.3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hidden="1" x14ac:dyDescent="0.3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hidden="1" x14ac:dyDescent="0.3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hidden="1" x14ac:dyDescent="0.3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hidden="1" x14ac:dyDescent="0.3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hidden="1" x14ac:dyDescent="0.3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hidden="1" x14ac:dyDescent="0.3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hidden="1" x14ac:dyDescent="0.3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hidden="1" x14ac:dyDescent="0.3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hidden="1" x14ac:dyDescent="0.3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hidden="1" x14ac:dyDescent="0.3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hidden="1" x14ac:dyDescent="0.3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hidden="1" x14ac:dyDescent="0.3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hidden="1" x14ac:dyDescent="0.3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hidden="1" x14ac:dyDescent="0.3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hidden="1" x14ac:dyDescent="0.3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hidden="1" x14ac:dyDescent="0.3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hidden="1" x14ac:dyDescent="0.3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hidden="1" x14ac:dyDescent="0.3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hidden="1" x14ac:dyDescent="0.3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hidden="1" x14ac:dyDescent="0.3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hidden="1" x14ac:dyDescent="0.3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hidden="1" x14ac:dyDescent="0.3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hidden="1" x14ac:dyDescent="0.3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hidden="1" x14ac:dyDescent="0.3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hidden="1" x14ac:dyDescent="0.3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hidden="1" x14ac:dyDescent="0.3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hidden="1" x14ac:dyDescent="0.3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hidden="1" x14ac:dyDescent="0.3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hidden="1" x14ac:dyDescent="0.3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hidden="1" x14ac:dyDescent="0.3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hidden="1" x14ac:dyDescent="0.3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hidden="1" x14ac:dyDescent="0.3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hidden="1" x14ac:dyDescent="0.3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hidden="1" x14ac:dyDescent="0.3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hidden="1" x14ac:dyDescent="0.3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hidden="1" x14ac:dyDescent="0.3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hidden="1" x14ac:dyDescent="0.3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hidden="1" x14ac:dyDescent="0.3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hidden="1" x14ac:dyDescent="0.3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hidden="1" x14ac:dyDescent="0.3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hidden="1" x14ac:dyDescent="0.3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hidden="1" x14ac:dyDescent="0.3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hidden="1" x14ac:dyDescent="0.3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hidden="1" x14ac:dyDescent="0.3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hidden="1" x14ac:dyDescent="0.3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hidden="1" x14ac:dyDescent="0.3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hidden="1" x14ac:dyDescent="0.3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hidden="1" x14ac:dyDescent="0.3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hidden="1" x14ac:dyDescent="0.3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hidden="1" x14ac:dyDescent="0.3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hidden="1" x14ac:dyDescent="0.3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hidden="1" x14ac:dyDescent="0.3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hidden="1" x14ac:dyDescent="0.3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hidden="1" x14ac:dyDescent="0.3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hidden="1" x14ac:dyDescent="0.3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hidden="1" x14ac:dyDescent="0.3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hidden="1" x14ac:dyDescent="0.3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hidden="1" x14ac:dyDescent="0.3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hidden="1" x14ac:dyDescent="0.3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hidden="1" x14ac:dyDescent="0.3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hidden="1" x14ac:dyDescent="0.3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hidden="1" x14ac:dyDescent="0.3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hidden="1" x14ac:dyDescent="0.3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hidden="1" x14ac:dyDescent="0.3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hidden="1" x14ac:dyDescent="0.3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hidden="1" x14ac:dyDescent="0.3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hidden="1" x14ac:dyDescent="0.3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hidden="1" x14ac:dyDescent="0.3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hidden="1" x14ac:dyDescent="0.3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hidden="1" x14ac:dyDescent="0.3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hidden="1" x14ac:dyDescent="0.3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hidden="1" x14ac:dyDescent="0.3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hidden="1" x14ac:dyDescent="0.3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hidden="1" x14ac:dyDescent="0.3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hidden="1" x14ac:dyDescent="0.3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hidden="1" x14ac:dyDescent="0.3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hidden="1" x14ac:dyDescent="0.3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hidden="1" x14ac:dyDescent="0.3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hidden="1" x14ac:dyDescent="0.3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hidden="1" x14ac:dyDescent="0.3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hidden="1" x14ac:dyDescent="0.3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hidden="1" x14ac:dyDescent="0.3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hidden="1" x14ac:dyDescent="0.3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hidden="1" x14ac:dyDescent="0.3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hidden="1" x14ac:dyDescent="0.3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hidden="1" x14ac:dyDescent="0.3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hidden="1" x14ac:dyDescent="0.3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hidden="1" x14ac:dyDescent="0.3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hidden="1" x14ac:dyDescent="0.3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hidden="1" x14ac:dyDescent="0.3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hidden="1" x14ac:dyDescent="0.3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hidden="1" x14ac:dyDescent="0.3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hidden="1" x14ac:dyDescent="0.3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hidden="1" x14ac:dyDescent="0.3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hidden="1" x14ac:dyDescent="0.3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hidden="1" x14ac:dyDescent="0.3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hidden="1" x14ac:dyDescent="0.3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hidden="1" x14ac:dyDescent="0.3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hidden="1" x14ac:dyDescent="0.3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hidden="1" x14ac:dyDescent="0.3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hidden="1" x14ac:dyDescent="0.3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hidden="1" x14ac:dyDescent="0.3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hidden="1" x14ac:dyDescent="0.3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hidden="1" x14ac:dyDescent="0.3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hidden="1" x14ac:dyDescent="0.3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hidden="1" x14ac:dyDescent="0.3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hidden="1" x14ac:dyDescent="0.3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hidden="1" x14ac:dyDescent="0.3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hidden="1" x14ac:dyDescent="0.3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hidden="1" x14ac:dyDescent="0.3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hidden="1" x14ac:dyDescent="0.3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hidden="1" x14ac:dyDescent="0.3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hidden="1" x14ac:dyDescent="0.3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hidden="1" x14ac:dyDescent="0.3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hidden="1" x14ac:dyDescent="0.3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hidden="1" x14ac:dyDescent="0.3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hidden="1" x14ac:dyDescent="0.3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hidden="1" x14ac:dyDescent="0.3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hidden="1" x14ac:dyDescent="0.3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hidden="1" x14ac:dyDescent="0.3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hidden="1" x14ac:dyDescent="0.3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hidden="1" x14ac:dyDescent="0.3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hidden="1" x14ac:dyDescent="0.3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hidden="1" x14ac:dyDescent="0.3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hidden="1" x14ac:dyDescent="0.3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hidden="1" x14ac:dyDescent="0.3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hidden="1" x14ac:dyDescent="0.3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hidden="1" x14ac:dyDescent="0.3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hidden="1" x14ac:dyDescent="0.3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hidden="1" x14ac:dyDescent="0.3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hidden="1" x14ac:dyDescent="0.3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hidden="1" x14ac:dyDescent="0.3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hidden="1" x14ac:dyDescent="0.3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hidden="1" x14ac:dyDescent="0.3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hidden="1" x14ac:dyDescent="0.3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hidden="1" x14ac:dyDescent="0.3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hidden="1" x14ac:dyDescent="0.3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hidden="1" x14ac:dyDescent="0.3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hidden="1" x14ac:dyDescent="0.3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hidden="1" x14ac:dyDescent="0.3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hidden="1" x14ac:dyDescent="0.3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hidden="1" x14ac:dyDescent="0.3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hidden="1" x14ac:dyDescent="0.3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hidden="1" x14ac:dyDescent="0.3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hidden="1" x14ac:dyDescent="0.3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hidden="1" x14ac:dyDescent="0.3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hidden="1" x14ac:dyDescent="0.3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hidden="1" x14ac:dyDescent="0.3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hidden="1" x14ac:dyDescent="0.3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hidden="1" x14ac:dyDescent="0.3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hidden="1" x14ac:dyDescent="0.3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hidden="1" x14ac:dyDescent="0.3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hidden="1" x14ac:dyDescent="0.3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hidden="1" x14ac:dyDescent="0.3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hidden="1" x14ac:dyDescent="0.3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hidden="1" x14ac:dyDescent="0.3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hidden="1" x14ac:dyDescent="0.3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hidden="1" x14ac:dyDescent="0.3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hidden="1" x14ac:dyDescent="0.3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hidden="1" x14ac:dyDescent="0.3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hidden="1" x14ac:dyDescent="0.3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hidden="1" x14ac:dyDescent="0.3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hidden="1" x14ac:dyDescent="0.3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hidden="1" x14ac:dyDescent="0.3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hidden="1" x14ac:dyDescent="0.3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hidden="1" x14ac:dyDescent="0.3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hidden="1" x14ac:dyDescent="0.3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hidden="1" x14ac:dyDescent="0.3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hidden="1" x14ac:dyDescent="0.3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hidden="1" x14ac:dyDescent="0.3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hidden="1" x14ac:dyDescent="0.3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hidden="1" x14ac:dyDescent="0.3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hidden="1" x14ac:dyDescent="0.3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hidden="1" x14ac:dyDescent="0.3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hidden="1" x14ac:dyDescent="0.3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hidden="1" x14ac:dyDescent="0.3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hidden="1" x14ac:dyDescent="0.3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hidden="1" x14ac:dyDescent="0.3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hidden="1" x14ac:dyDescent="0.3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hidden="1" x14ac:dyDescent="0.3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hidden="1" x14ac:dyDescent="0.3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hidden="1" x14ac:dyDescent="0.3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hidden="1" x14ac:dyDescent="0.3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hidden="1" x14ac:dyDescent="0.3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hidden="1" x14ac:dyDescent="0.3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hidden="1" x14ac:dyDescent="0.3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hidden="1" x14ac:dyDescent="0.3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hidden="1" x14ac:dyDescent="0.3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hidden="1" x14ac:dyDescent="0.3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hidden="1" x14ac:dyDescent="0.3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hidden="1" x14ac:dyDescent="0.3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hidden="1" x14ac:dyDescent="0.3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hidden="1" x14ac:dyDescent="0.3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hidden="1" x14ac:dyDescent="0.3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hidden="1" x14ac:dyDescent="0.3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hidden="1" x14ac:dyDescent="0.3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hidden="1" x14ac:dyDescent="0.3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hidden="1" x14ac:dyDescent="0.3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hidden="1" x14ac:dyDescent="0.3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hidden="1" x14ac:dyDescent="0.3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hidden="1" x14ac:dyDescent="0.3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hidden="1" x14ac:dyDescent="0.3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hidden="1" x14ac:dyDescent="0.3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hidden="1" x14ac:dyDescent="0.3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hidden="1" x14ac:dyDescent="0.3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hidden="1" x14ac:dyDescent="0.3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hidden="1" x14ac:dyDescent="0.3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hidden="1" x14ac:dyDescent="0.3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hidden="1" x14ac:dyDescent="0.3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hidden="1" x14ac:dyDescent="0.3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hidden="1" x14ac:dyDescent="0.3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hidden="1" x14ac:dyDescent="0.3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hidden="1" x14ac:dyDescent="0.3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hidden="1" x14ac:dyDescent="0.3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hidden="1" x14ac:dyDescent="0.3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hidden="1" x14ac:dyDescent="0.3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hidden="1" x14ac:dyDescent="0.3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hidden="1" x14ac:dyDescent="0.3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hidden="1" x14ac:dyDescent="0.3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hidden="1" x14ac:dyDescent="0.3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hidden="1" x14ac:dyDescent="0.3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hidden="1" x14ac:dyDescent="0.3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hidden="1" x14ac:dyDescent="0.3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hidden="1" x14ac:dyDescent="0.3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hidden="1" x14ac:dyDescent="0.3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hidden="1" x14ac:dyDescent="0.3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hidden="1" x14ac:dyDescent="0.3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hidden="1" x14ac:dyDescent="0.3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hidden="1" x14ac:dyDescent="0.3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hidden="1" x14ac:dyDescent="0.3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hidden="1" x14ac:dyDescent="0.3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hidden="1" x14ac:dyDescent="0.3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hidden="1" x14ac:dyDescent="0.3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hidden="1" x14ac:dyDescent="0.3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hidden="1" x14ac:dyDescent="0.3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hidden="1" x14ac:dyDescent="0.3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hidden="1" x14ac:dyDescent="0.3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hidden="1" x14ac:dyDescent="0.3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hidden="1" x14ac:dyDescent="0.3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hidden="1" x14ac:dyDescent="0.3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hidden="1" x14ac:dyDescent="0.3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hidden="1" x14ac:dyDescent="0.3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hidden="1" x14ac:dyDescent="0.3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hidden="1" x14ac:dyDescent="0.3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hidden="1" x14ac:dyDescent="0.3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hidden="1" x14ac:dyDescent="0.3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hidden="1" x14ac:dyDescent="0.3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hidden="1" x14ac:dyDescent="0.3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hidden="1" x14ac:dyDescent="0.3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hidden="1" x14ac:dyDescent="0.3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hidden="1" x14ac:dyDescent="0.3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hidden="1" x14ac:dyDescent="0.3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hidden="1" x14ac:dyDescent="0.3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hidden="1" x14ac:dyDescent="0.3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hidden="1" x14ac:dyDescent="0.3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hidden="1" x14ac:dyDescent="0.3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hidden="1" x14ac:dyDescent="0.3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hidden="1" x14ac:dyDescent="0.3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hidden="1" x14ac:dyDescent="0.3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hidden="1" x14ac:dyDescent="0.3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hidden="1" x14ac:dyDescent="0.3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hidden="1" x14ac:dyDescent="0.3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hidden="1" x14ac:dyDescent="0.3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hidden="1" x14ac:dyDescent="0.3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hidden="1" x14ac:dyDescent="0.3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hidden="1" x14ac:dyDescent="0.3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hidden="1" x14ac:dyDescent="0.3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hidden="1" x14ac:dyDescent="0.3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hidden="1" x14ac:dyDescent="0.3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hidden="1" x14ac:dyDescent="0.3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hidden="1" x14ac:dyDescent="0.3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hidden="1" x14ac:dyDescent="0.3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hidden="1" x14ac:dyDescent="0.3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hidden="1" x14ac:dyDescent="0.3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hidden="1" x14ac:dyDescent="0.3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hidden="1" x14ac:dyDescent="0.3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hidden="1" x14ac:dyDescent="0.3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hidden="1" x14ac:dyDescent="0.3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hidden="1" x14ac:dyDescent="0.3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hidden="1" x14ac:dyDescent="0.3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hidden="1" x14ac:dyDescent="0.3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hidden="1" x14ac:dyDescent="0.3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hidden="1" x14ac:dyDescent="0.3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hidden="1" x14ac:dyDescent="0.3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hidden="1" x14ac:dyDescent="0.3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hidden="1" x14ac:dyDescent="0.3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hidden="1" x14ac:dyDescent="0.3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hidden="1" x14ac:dyDescent="0.3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hidden="1" x14ac:dyDescent="0.3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hidden="1" x14ac:dyDescent="0.3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hidden="1" x14ac:dyDescent="0.3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hidden="1" x14ac:dyDescent="0.3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hidden="1" x14ac:dyDescent="0.3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hidden="1" x14ac:dyDescent="0.3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hidden="1" x14ac:dyDescent="0.3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hidden="1" x14ac:dyDescent="0.3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hidden="1" x14ac:dyDescent="0.3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hidden="1" x14ac:dyDescent="0.3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hidden="1" x14ac:dyDescent="0.3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hidden="1" x14ac:dyDescent="0.3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hidden="1" x14ac:dyDescent="0.3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hidden="1" x14ac:dyDescent="0.3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hidden="1" x14ac:dyDescent="0.3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hidden="1" x14ac:dyDescent="0.3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hidden="1" x14ac:dyDescent="0.3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hidden="1" x14ac:dyDescent="0.3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hidden="1" x14ac:dyDescent="0.3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hidden="1" x14ac:dyDescent="0.3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hidden="1" x14ac:dyDescent="0.3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hidden="1" x14ac:dyDescent="0.3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hidden="1" x14ac:dyDescent="0.3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hidden="1" x14ac:dyDescent="0.3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hidden="1" x14ac:dyDescent="0.3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hidden="1" x14ac:dyDescent="0.3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hidden="1" x14ac:dyDescent="0.3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hidden="1" x14ac:dyDescent="0.3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hidden="1" x14ac:dyDescent="0.3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hidden="1" x14ac:dyDescent="0.3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hidden="1" x14ac:dyDescent="0.3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hidden="1" x14ac:dyDescent="0.3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hidden="1" x14ac:dyDescent="0.3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hidden="1" x14ac:dyDescent="0.3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hidden="1" x14ac:dyDescent="0.3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hidden="1" x14ac:dyDescent="0.3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hidden="1" x14ac:dyDescent="0.3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hidden="1" x14ac:dyDescent="0.3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hidden="1" x14ac:dyDescent="0.3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hidden="1" x14ac:dyDescent="0.3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hidden="1" x14ac:dyDescent="0.3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hidden="1" x14ac:dyDescent="0.3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hidden="1" x14ac:dyDescent="0.3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hidden="1" x14ac:dyDescent="0.3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hidden="1" x14ac:dyDescent="0.3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hidden="1" x14ac:dyDescent="0.3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hidden="1" x14ac:dyDescent="0.3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hidden="1" x14ac:dyDescent="0.3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hidden="1" x14ac:dyDescent="0.3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hidden="1" x14ac:dyDescent="0.3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hidden="1" x14ac:dyDescent="0.3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hidden="1" x14ac:dyDescent="0.3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hidden="1" x14ac:dyDescent="0.3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hidden="1" x14ac:dyDescent="0.3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hidden="1" x14ac:dyDescent="0.3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hidden="1" x14ac:dyDescent="0.3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hidden="1" x14ac:dyDescent="0.3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hidden="1" x14ac:dyDescent="0.3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hidden="1" x14ac:dyDescent="0.3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hidden="1" x14ac:dyDescent="0.3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hidden="1" x14ac:dyDescent="0.3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hidden="1" x14ac:dyDescent="0.3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hidden="1" x14ac:dyDescent="0.3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hidden="1" x14ac:dyDescent="0.3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hidden="1" x14ac:dyDescent="0.3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hidden="1" x14ac:dyDescent="0.3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hidden="1" x14ac:dyDescent="0.3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hidden="1" x14ac:dyDescent="0.3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hidden="1" x14ac:dyDescent="0.3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hidden="1" x14ac:dyDescent="0.3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hidden="1" x14ac:dyDescent="0.3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hidden="1" x14ac:dyDescent="0.3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hidden="1" x14ac:dyDescent="0.3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hidden="1" x14ac:dyDescent="0.3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hidden="1" x14ac:dyDescent="0.3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hidden="1" x14ac:dyDescent="0.3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hidden="1" x14ac:dyDescent="0.3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hidden="1" x14ac:dyDescent="0.3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hidden="1" x14ac:dyDescent="0.3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hidden="1" x14ac:dyDescent="0.3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hidden="1" x14ac:dyDescent="0.3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hidden="1" x14ac:dyDescent="0.3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hidden="1" x14ac:dyDescent="0.3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hidden="1" x14ac:dyDescent="0.3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hidden="1" x14ac:dyDescent="0.3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hidden="1" x14ac:dyDescent="0.3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hidden="1" x14ac:dyDescent="0.3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hidden="1" x14ac:dyDescent="0.3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hidden="1" x14ac:dyDescent="0.3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hidden="1" x14ac:dyDescent="0.3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hidden="1" x14ac:dyDescent="0.3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hidden="1" x14ac:dyDescent="0.3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hidden="1" x14ac:dyDescent="0.3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hidden="1" x14ac:dyDescent="0.3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hidden="1" x14ac:dyDescent="0.3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hidden="1" x14ac:dyDescent="0.3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hidden="1" x14ac:dyDescent="0.3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hidden="1" x14ac:dyDescent="0.3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hidden="1" x14ac:dyDescent="0.3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hidden="1" x14ac:dyDescent="0.3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hidden="1" x14ac:dyDescent="0.3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hidden="1" x14ac:dyDescent="0.3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hidden="1" x14ac:dyDescent="0.3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hidden="1" x14ac:dyDescent="0.3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hidden="1" x14ac:dyDescent="0.3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hidden="1" x14ac:dyDescent="0.3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hidden="1" x14ac:dyDescent="0.3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hidden="1" x14ac:dyDescent="0.3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hidden="1" x14ac:dyDescent="0.3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hidden="1" x14ac:dyDescent="0.3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hidden="1" x14ac:dyDescent="0.3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hidden="1" x14ac:dyDescent="0.3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hidden="1" x14ac:dyDescent="0.3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hidden="1" x14ac:dyDescent="0.3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hidden="1" x14ac:dyDescent="0.3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hidden="1" x14ac:dyDescent="0.3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hidden="1" x14ac:dyDescent="0.3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hidden="1" x14ac:dyDescent="0.3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hidden="1" x14ac:dyDescent="0.3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hidden="1" x14ac:dyDescent="0.3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hidden="1" x14ac:dyDescent="0.3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hidden="1" x14ac:dyDescent="0.3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hidden="1" x14ac:dyDescent="0.3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hidden="1" x14ac:dyDescent="0.3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hidden="1" x14ac:dyDescent="0.3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hidden="1" x14ac:dyDescent="0.3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hidden="1" x14ac:dyDescent="0.3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hidden="1" x14ac:dyDescent="0.3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hidden="1" x14ac:dyDescent="0.3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hidden="1" x14ac:dyDescent="0.3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hidden="1" x14ac:dyDescent="0.3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hidden="1" x14ac:dyDescent="0.3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hidden="1" x14ac:dyDescent="0.3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hidden="1" x14ac:dyDescent="0.3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hidden="1" x14ac:dyDescent="0.3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hidden="1" x14ac:dyDescent="0.3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hidden="1" x14ac:dyDescent="0.3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hidden="1" x14ac:dyDescent="0.3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hidden="1" x14ac:dyDescent="0.3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hidden="1" x14ac:dyDescent="0.3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hidden="1" x14ac:dyDescent="0.3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hidden="1" x14ac:dyDescent="0.3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hidden="1" x14ac:dyDescent="0.3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hidden="1" x14ac:dyDescent="0.3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hidden="1" x14ac:dyDescent="0.3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hidden="1" x14ac:dyDescent="0.3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hidden="1" x14ac:dyDescent="0.3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hidden="1" x14ac:dyDescent="0.3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hidden="1" x14ac:dyDescent="0.3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hidden="1" x14ac:dyDescent="0.3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hidden="1" x14ac:dyDescent="0.3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hidden="1" x14ac:dyDescent="0.3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hidden="1" x14ac:dyDescent="0.3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hidden="1" x14ac:dyDescent="0.3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hidden="1" x14ac:dyDescent="0.3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hidden="1" x14ac:dyDescent="0.3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hidden="1" x14ac:dyDescent="0.3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hidden="1" x14ac:dyDescent="0.3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hidden="1" x14ac:dyDescent="0.3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hidden="1" x14ac:dyDescent="0.3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hidden="1" x14ac:dyDescent="0.3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hidden="1" x14ac:dyDescent="0.3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hidden="1" x14ac:dyDescent="0.3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hidden="1" x14ac:dyDescent="0.3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hidden="1" x14ac:dyDescent="0.3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hidden="1" x14ac:dyDescent="0.3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hidden="1" x14ac:dyDescent="0.3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hidden="1" x14ac:dyDescent="0.3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hidden="1" x14ac:dyDescent="0.3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hidden="1" x14ac:dyDescent="0.3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hidden="1" x14ac:dyDescent="0.3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hidden="1" x14ac:dyDescent="0.3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hidden="1" x14ac:dyDescent="0.3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hidden="1" x14ac:dyDescent="0.3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hidden="1" x14ac:dyDescent="0.3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hidden="1" x14ac:dyDescent="0.3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hidden="1" x14ac:dyDescent="0.3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hidden="1" x14ac:dyDescent="0.3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hidden="1" x14ac:dyDescent="0.3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hidden="1" x14ac:dyDescent="0.3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hidden="1" x14ac:dyDescent="0.3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hidden="1" x14ac:dyDescent="0.3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hidden="1" x14ac:dyDescent="0.3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hidden="1" x14ac:dyDescent="0.3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hidden="1" x14ac:dyDescent="0.3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hidden="1" x14ac:dyDescent="0.3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hidden="1" x14ac:dyDescent="0.3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hidden="1" x14ac:dyDescent="0.3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hidden="1" x14ac:dyDescent="0.3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hidden="1" x14ac:dyDescent="0.3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hidden="1" x14ac:dyDescent="0.3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hidden="1" x14ac:dyDescent="0.3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hidden="1" x14ac:dyDescent="0.3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hidden="1" x14ac:dyDescent="0.3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hidden="1" x14ac:dyDescent="0.3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hidden="1" x14ac:dyDescent="0.3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hidden="1" x14ac:dyDescent="0.3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hidden="1" x14ac:dyDescent="0.3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hidden="1" x14ac:dyDescent="0.3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hidden="1" x14ac:dyDescent="0.3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hidden="1" x14ac:dyDescent="0.3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hidden="1" x14ac:dyDescent="0.3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hidden="1" x14ac:dyDescent="0.3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hidden="1" x14ac:dyDescent="0.3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hidden="1" x14ac:dyDescent="0.3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hidden="1" x14ac:dyDescent="0.3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hidden="1" x14ac:dyDescent="0.3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hidden="1" x14ac:dyDescent="0.3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hidden="1" x14ac:dyDescent="0.3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hidden="1" x14ac:dyDescent="0.3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hidden="1" x14ac:dyDescent="0.3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hidden="1" x14ac:dyDescent="0.3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hidden="1" x14ac:dyDescent="0.3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hidden="1" x14ac:dyDescent="0.3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hidden="1" x14ac:dyDescent="0.3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hidden="1" x14ac:dyDescent="0.3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hidden="1" x14ac:dyDescent="0.3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hidden="1" x14ac:dyDescent="0.3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hidden="1" x14ac:dyDescent="0.3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hidden="1" x14ac:dyDescent="0.3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hidden="1" x14ac:dyDescent="0.3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hidden="1" x14ac:dyDescent="0.3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hidden="1" x14ac:dyDescent="0.3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hidden="1" x14ac:dyDescent="0.3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hidden="1" x14ac:dyDescent="0.3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hidden="1" x14ac:dyDescent="0.3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hidden="1" x14ac:dyDescent="0.3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hidden="1" x14ac:dyDescent="0.3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hidden="1" x14ac:dyDescent="0.3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hidden="1" x14ac:dyDescent="0.3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hidden="1" x14ac:dyDescent="0.3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hidden="1" x14ac:dyDescent="0.3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hidden="1" x14ac:dyDescent="0.3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hidden="1" x14ac:dyDescent="0.3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hidden="1" x14ac:dyDescent="0.3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hidden="1" x14ac:dyDescent="0.3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hidden="1" x14ac:dyDescent="0.3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hidden="1" x14ac:dyDescent="0.3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hidden="1" x14ac:dyDescent="0.3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hidden="1" x14ac:dyDescent="0.3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hidden="1" x14ac:dyDescent="0.3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hidden="1" x14ac:dyDescent="0.3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hidden="1" x14ac:dyDescent="0.3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hidden="1" x14ac:dyDescent="0.3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hidden="1" x14ac:dyDescent="0.3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hidden="1" x14ac:dyDescent="0.3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hidden="1" x14ac:dyDescent="0.3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hidden="1" x14ac:dyDescent="0.3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hidden="1" x14ac:dyDescent="0.3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hidden="1" x14ac:dyDescent="0.3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hidden="1" x14ac:dyDescent="0.3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hidden="1" x14ac:dyDescent="0.3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hidden="1" x14ac:dyDescent="0.3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hidden="1" x14ac:dyDescent="0.3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hidden="1" x14ac:dyDescent="0.3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hidden="1" x14ac:dyDescent="0.3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hidden="1" x14ac:dyDescent="0.3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hidden="1" x14ac:dyDescent="0.3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hidden="1" x14ac:dyDescent="0.3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hidden="1" x14ac:dyDescent="0.3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hidden="1" x14ac:dyDescent="0.3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hidden="1" x14ac:dyDescent="0.3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hidden="1" x14ac:dyDescent="0.3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hidden="1" x14ac:dyDescent="0.3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hidden="1" x14ac:dyDescent="0.3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hidden="1" x14ac:dyDescent="0.3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hidden="1" x14ac:dyDescent="0.3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hidden="1" x14ac:dyDescent="0.3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hidden="1" x14ac:dyDescent="0.3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hidden="1" x14ac:dyDescent="0.3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hidden="1" x14ac:dyDescent="0.3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hidden="1" x14ac:dyDescent="0.3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hidden="1" x14ac:dyDescent="0.3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hidden="1" x14ac:dyDescent="0.3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hidden="1" x14ac:dyDescent="0.3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hidden="1" x14ac:dyDescent="0.3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hidden="1" x14ac:dyDescent="0.3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hidden="1" x14ac:dyDescent="0.3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hidden="1" x14ac:dyDescent="0.3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hidden="1" x14ac:dyDescent="0.3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hidden="1" x14ac:dyDescent="0.3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hidden="1" x14ac:dyDescent="0.3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hidden="1" x14ac:dyDescent="0.3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hidden="1" x14ac:dyDescent="0.3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hidden="1" x14ac:dyDescent="0.3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hidden="1" x14ac:dyDescent="0.3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hidden="1" x14ac:dyDescent="0.3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hidden="1" x14ac:dyDescent="0.3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hidden="1" x14ac:dyDescent="0.3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hidden="1" x14ac:dyDescent="0.3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hidden="1" x14ac:dyDescent="0.3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hidden="1" x14ac:dyDescent="0.3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hidden="1" x14ac:dyDescent="0.3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hidden="1" x14ac:dyDescent="0.3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hidden="1" x14ac:dyDescent="0.3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hidden="1" x14ac:dyDescent="0.3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hidden="1" x14ac:dyDescent="0.3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hidden="1" x14ac:dyDescent="0.3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hidden="1" x14ac:dyDescent="0.3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hidden="1" x14ac:dyDescent="0.3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hidden="1" x14ac:dyDescent="0.3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hidden="1" x14ac:dyDescent="0.3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hidden="1" x14ac:dyDescent="0.3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hidden="1" x14ac:dyDescent="0.3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hidden="1" x14ac:dyDescent="0.3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hidden="1" x14ac:dyDescent="0.3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hidden="1" x14ac:dyDescent="0.3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hidden="1" x14ac:dyDescent="0.3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hidden="1" x14ac:dyDescent="0.3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hidden="1" x14ac:dyDescent="0.3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hidden="1" x14ac:dyDescent="0.3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hidden="1" x14ac:dyDescent="0.3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hidden="1" x14ac:dyDescent="0.3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hidden="1" x14ac:dyDescent="0.3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hidden="1" x14ac:dyDescent="0.3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hidden="1" x14ac:dyDescent="0.3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hidden="1" x14ac:dyDescent="0.3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hidden="1" x14ac:dyDescent="0.3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hidden="1" x14ac:dyDescent="0.3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hidden="1" x14ac:dyDescent="0.3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hidden="1" x14ac:dyDescent="0.3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hidden="1" x14ac:dyDescent="0.3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hidden="1" x14ac:dyDescent="0.3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hidden="1" x14ac:dyDescent="0.3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hidden="1" x14ac:dyDescent="0.3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hidden="1" x14ac:dyDescent="0.3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hidden="1" x14ac:dyDescent="0.3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hidden="1" x14ac:dyDescent="0.3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hidden="1" x14ac:dyDescent="0.3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hidden="1" x14ac:dyDescent="0.3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hidden="1" x14ac:dyDescent="0.3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hidden="1" x14ac:dyDescent="0.3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hidden="1" x14ac:dyDescent="0.3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hidden="1" x14ac:dyDescent="0.3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hidden="1" x14ac:dyDescent="0.3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hidden="1" x14ac:dyDescent="0.3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hidden="1" x14ac:dyDescent="0.3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hidden="1" x14ac:dyDescent="0.3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hidden="1" x14ac:dyDescent="0.3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hidden="1" x14ac:dyDescent="0.3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hidden="1" x14ac:dyDescent="0.3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hidden="1" x14ac:dyDescent="0.3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hidden="1" x14ac:dyDescent="0.3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hidden="1" x14ac:dyDescent="0.3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hidden="1" x14ac:dyDescent="0.3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hidden="1" x14ac:dyDescent="0.3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hidden="1" x14ac:dyDescent="0.3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hidden="1" x14ac:dyDescent="0.3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hidden="1" x14ac:dyDescent="0.3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hidden="1" x14ac:dyDescent="0.3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hidden="1" x14ac:dyDescent="0.3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hidden="1" x14ac:dyDescent="0.3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hidden="1" x14ac:dyDescent="0.3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hidden="1" x14ac:dyDescent="0.3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hidden="1" x14ac:dyDescent="0.3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hidden="1" x14ac:dyDescent="0.3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hidden="1" x14ac:dyDescent="0.3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hidden="1" x14ac:dyDescent="0.3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hidden="1" x14ac:dyDescent="0.3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hidden="1" x14ac:dyDescent="0.3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hidden="1" x14ac:dyDescent="0.3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hidden="1" x14ac:dyDescent="0.3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hidden="1" x14ac:dyDescent="0.3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hidden="1" x14ac:dyDescent="0.3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hidden="1" x14ac:dyDescent="0.3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hidden="1" x14ac:dyDescent="0.3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hidden="1" x14ac:dyDescent="0.3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hidden="1" x14ac:dyDescent="0.3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hidden="1" x14ac:dyDescent="0.3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hidden="1" x14ac:dyDescent="0.3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hidden="1" x14ac:dyDescent="0.3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hidden="1" x14ac:dyDescent="0.3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hidden="1" x14ac:dyDescent="0.3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hidden="1" x14ac:dyDescent="0.3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hidden="1" x14ac:dyDescent="0.3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hidden="1" x14ac:dyDescent="0.3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hidden="1" x14ac:dyDescent="0.3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hidden="1" x14ac:dyDescent="0.3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hidden="1" x14ac:dyDescent="0.3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hidden="1" x14ac:dyDescent="0.3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hidden="1" x14ac:dyDescent="0.3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hidden="1" x14ac:dyDescent="0.3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hidden="1" x14ac:dyDescent="0.3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hidden="1" x14ac:dyDescent="0.3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hidden="1" x14ac:dyDescent="0.3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hidden="1" x14ac:dyDescent="0.3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hidden="1" x14ac:dyDescent="0.3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hidden="1" x14ac:dyDescent="0.3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hidden="1" x14ac:dyDescent="0.3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hidden="1" x14ac:dyDescent="0.3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hidden="1" x14ac:dyDescent="0.3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hidden="1" x14ac:dyDescent="0.3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hidden="1" x14ac:dyDescent="0.3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hidden="1" x14ac:dyDescent="0.3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hidden="1" x14ac:dyDescent="0.3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hidden="1" x14ac:dyDescent="0.3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hidden="1" x14ac:dyDescent="0.3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hidden="1" x14ac:dyDescent="0.3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hidden="1" x14ac:dyDescent="0.3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hidden="1" x14ac:dyDescent="0.3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hidden="1" x14ac:dyDescent="0.3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hidden="1" x14ac:dyDescent="0.3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hidden="1" x14ac:dyDescent="0.3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hidden="1" x14ac:dyDescent="0.3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hidden="1" x14ac:dyDescent="0.3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hidden="1" x14ac:dyDescent="0.3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hidden="1" x14ac:dyDescent="0.3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hidden="1" x14ac:dyDescent="0.3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hidden="1" x14ac:dyDescent="0.3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hidden="1" x14ac:dyDescent="0.3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hidden="1" x14ac:dyDescent="0.3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hidden="1" x14ac:dyDescent="0.3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hidden="1" x14ac:dyDescent="0.3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hidden="1" x14ac:dyDescent="0.3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hidden="1" x14ac:dyDescent="0.3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hidden="1" x14ac:dyDescent="0.3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hidden="1" x14ac:dyDescent="0.3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hidden="1" x14ac:dyDescent="0.3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hidden="1" x14ac:dyDescent="0.3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hidden="1" x14ac:dyDescent="0.3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hidden="1" x14ac:dyDescent="0.3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hidden="1" x14ac:dyDescent="0.3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hidden="1" x14ac:dyDescent="0.3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hidden="1" x14ac:dyDescent="0.3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hidden="1" x14ac:dyDescent="0.3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hidden="1" x14ac:dyDescent="0.3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hidden="1" x14ac:dyDescent="0.3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hidden="1" x14ac:dyDescent="0.3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hidden="1" x14ac:dyDescent="0.3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hidden="1" x14ac:dyDescent="0.3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hidden="1" x14ac:dyDescent="0.3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hidden="1" x14ac:dyDescent="0.3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hidden="1" x14ac:dyDescent="0.3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hidden="1" x14ac:dyDescent="0.3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hidden="1" x14ac:dyDescent="0.3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hidden="1" x14ac:dyDescent="0.3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hidden="1" x14ac:dyDescent="0.3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hidden="1" x14ac:dyDescent="0.3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hidden="1" x14ac:dyDescent="0.3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hidden="1" x14ac:dyDescent="0.3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hidden="1" x14ac:dyDescent="0.3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hidden="1" x14ac:dyDescent="0.3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hidden="1" x14ac:dyDescent="0.3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hidden="1" x14ac:dyDescent="0.3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hidden="1" x14ac:dyDescent="0.3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hidden="1" x14ac:dyDescent="0.3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hidden="1" x14ac:dyDescent="0.3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hidden="1" x14ac:dyDescent="0.3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hidden="1" x14ac:dyDescent="0.3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hidden="1" x14ac:dyDescent="0.3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hidden="1" x14ac:dyDescent="0.3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hidden="1" x14ac:dyDescent="0.3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hidden="1" x14ac:dyDescent="0.3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hidden="1" x14ac:dyDescent="0.3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hidden="1" x14ac:dyDescent="0.3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hidden="1" x14ac:dyDescent="0.3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hidden="1" x14ac:dyDescent="0.3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hidden="1" x14ac:dyDescent="0.3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hidden="1" x14ac:dyDescent="0.3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hidden="1" x14ac:dyDescent="0.3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hidden="1" x14ac:dyDescent="0.3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hidden="1" x14ac:dyDescent="0.3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hidden="1" x14ac:dyDescent="0.3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hidden="1" x14ac:dyDescent="0.3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hidden="1" x14ac:dyDescent="0.3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hidden="1" x14ac:dyDescent="0.3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hidden="1" x14ac:dyDescent="0.3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hidden="1" x14ac:dyDescent="0.3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hidden="1" x14ac:dyDescent="0.3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hidden="1" x14ac:dyDescent="0.3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hidden="1" x14ac:dyDescent="0.3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hidden="1" x14ac:dyDescent="0.3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hidden="1" x14ac:dyDescent="0.3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hidden="1" x14ac:dyDescent="0.3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hidden="1" x14ac:dyDescent="0.3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hidden="1" x14ac:dyDescent="0.3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hidden="1" x14ac:dyDescent="0.3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hidden="1" x14ac:dyDescent="0.3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hidden="1" x14ac:dyDescent="0.3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hidden="1" x14ac:dyDescent="0.3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hidden="1" x14ac:dyDescent="0.3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hidden="1" x14ac:dyDescent="0.3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hidden="1" x14ac:dyDescent="0.3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hidden="1" x14ac:dyDescent="0.3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hidden="1" x14ac:dyDescent="0.3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hidden="1" x14ac:dyDescent="0.3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hidden="1" x14ac:dyDescent="0.3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hidden="1" x14ac:dyDescent="0.3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hidden="1" x14ac:dyDescent="0.3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hidden="1" x14ac:dyDescent="0.3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hidden="1" x14ac:dyDescent="0.3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hidden="1" x14ac:dyDescent="0.3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hidden="1" x14ac:dyDescent="0.3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hidden="1" x14ac:dyDescent="0.3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hidden="1" x14ac:dyDescent="0.3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hidden="1" x14ac:dyDescent="0.3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hidden="1" x14ac:dyDescent="0.3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hidden="1" x14ac:dyDescent="0.3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hidden="1" x14ac:dyDescent="0.3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hidden="1" x14ac:dyDescent="0.3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hidden="1" x14ac:dyDescent="0.3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hidden="1" x14ac:dyDescent="0.3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hidden="1" x14ac:dyDescent="0.3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hidden="1" x14ac:dyDescent="0.3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hidden="1" x14ac:dyDescent="0.3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hidden="1" x14ac:dyDescent="0.3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>
        <v>46184</v>
      </c>
      <c r="H1760" s="7">
        <f t="shared" si="69"/>
        <v>11</v>
      </c>
      <c r="I1760" s="7">
        <f>MAX(1, NETWORKDAYS(A1760, G1760,Table2[Dias no laborales]))</f>
        <v>61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hidden="1" x14ac:dyDescent="0.3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hidden="1" x14ac:dyDescent="0.3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hidden="1" x14ac:dyDescent="0.3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hidden="1" x14ac:dyDescent="0.3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hidden="1" x14ac:dyDescent="0.3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hidden="1" x14ac:dyDescent="0.3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hidden="1" x14ac:dyDescent="0.3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hidden="1" x14ac:dyDescent="0.3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hidden="1" x14ac:dyDescent="0.3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hidden="1" x14ac:dyDescent="0.3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hidden="1" x14ac:dyDescent="0.3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hidden="1" x14ac:dyDescent="0.3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hidden="1" x14ac:dyDescent="0.3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hidden="1" x14ac:dyDescent="0.3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hidden="1" x14ac:dyDescent="0.3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hidden="1" x14ac:dyDescent="0.3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hidden="1" x14ac:dyDescent="0.3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hidden="1" x14ac:dyDescent="0.3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hidden="1" x14ac:dyDescent="0.3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hidden="1" x14ac:dyDescent="0.3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hidden="1" x14ac:dyDescent="0.3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hidden="1" x14ac:dyDescent="0.3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hidden="1" x14ac:dyDescent="0.3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hidden="1" x14ac:dyDescent="0.3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hidden="1" x14ac:dyDescent="0.3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hidden="1" x14ac:dyDescent="0.3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hidden="1" x14ac:dyDescent="0.3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hidden="1" x14ac:dyDescent="0.3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hidden="1" x14ac:dyDescent="0.3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hidden="1" x14ac:dyDescent="0.3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hidden="1" x14ac:dyDescent="0.3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hidden="1" x14ac:dyDescent="0.3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hidden="1" x14ac:dyDescent="0.3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hidden="1" x14ac:dyDescent="0.3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hidden="1" x14ac:dyDescent="0.3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hidden="1" x14ac:dyDescent="0.3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hidden="1" x14ac:dyDescent="0.3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hidden="1" x14ac:dyDescent="0.3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hidden="1" x14ac:dyDescent="0.3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hidden="1" x14ac:dyDescent="0.3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hidden="1" x14ac:dyDescent="0.3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hidden="1" x14ac:dyDescent="0.3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hidden="1" x14ac:dyDescent="0.3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hidden="1" x14ac:dyDescent="0.3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hidden="1" x14ac:dyDescent="0.3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hidden="1" x14ac:dyDescent="0.3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hidden="1" x14ac:dyDescent="0.3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hidden="1" x14ac:dyDescent="0.3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hidden="1" x14ac:dyDescent="0.3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hidden="1" x14ac:dyDescent="0.3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hidden="1" x14ac:dyDescent="0.3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hidden="1" x14ac:dyDescent="0.3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hidden="1" x14ac:dyDescent="0.3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hidden="1" x14ac:dyDescent="0.3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hidden="1" x14ac:dyDescent="0.3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hidden="1" x14ac:dyDescent="0.3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hidden="1" x14ac:dyDescent="0.3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hidden="1" x14ac:dyDescent="0.3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hidden="1" x14ac:dyDescent="0.3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hidden="1" x14ac:dyDescent="0.3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hidden="1" x14ac:dyDescent="0.3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hidden="1" x14ac:dyDescent="0.3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hidden="1" x14ac:dyDescent="0.3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hidden="1" x14ac:dyDescent="0.3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hidden="1" x14ac:dyDescent="0.3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hidden="1" x14ac:dyDescent="0.3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hidden="1" x14ac:dyDescent="0.3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hidden="1" x14ac:dyDescent="0.3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hidden="1" x14ac:dyDescent="0.3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hidden="1" x14ac:dyDescent="0.3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hidden="1" x14ac:dyDescent="0.3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hidden="1" x14ac:dyDescent="0.3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hidden="1" x14ac:dyDescent="0.3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hidden="1" x14ac:dyDescent="0.3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hidden="1" x14ac:dyDescent="0.3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hidden="1" x14ac:dyDescent="0.3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hidden="1" x14ac:dyDescent="0.3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hidden="1" x14ac:dyDescent="0.3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hidden="1" x14ac:dyDescent="0.3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hidden="1" x14ac:dyDescent="0.3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hidden="1" x14ac:dyDescent="0.3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hidden="1" x14ac:dyDescent="0.3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hidden="1" x14ac:dyDescent="0.3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hidden="1" x14ac:dyDescent="0.3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hidden="1" x14ac:dyDescent="0.3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hidden="1" x14ac:dyDescent="0.3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hidden="1" x14ac:dyDescent="0.3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hidden="1" x14ac:dyDescent="0.3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hidden="1" x14ac:dyDescent="0.3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hidden="1" x14ac:dyDescent="0.3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hidden="1" x14ac:dyDescent="0.3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hidden="1" x14ac:dyDescent="0.3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hidden="1" x14ac:dyDescent="0.3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hidden="1" x14ac:dyDescent="0.3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hidden="1" x14ac:dyDescent="0.3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hidden="1" x14ac:dyDescent="0.3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hidden="1" x14ac:dyDescent="0.3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hidden="1" x14ac:dyDescent="0.3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hidden="1" x14ac:dyDescent="0.3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hidden="1" x14ac:dyDescent="0.3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hidden="1" x14ac:dyDescent="0.3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hidden="1" x14ac:dyDescent="0.3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hidden="1" x14ac:dyDescent="0.3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hidden="1" x14ac:dyDescent="0.3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hidden="1" x14ac:dyDescent="0.3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hidden="1" x14ac:dyDescent="0.3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hidden="1" x14ac:dyDescent="0.3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hidden="1" x14ac:dyDescent="0.3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hidden="1" x14ac:dyDescent="0.3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hidden="1" x14ac:dyDescent="0.3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hidden="1" x14ac:dyDescent="0.3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hidden="1" x14ac:dyDescent="0.3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hidden="1" x14ac:dyDescent="0.3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hidden="1" x14ac:dyDescent="0.3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hidden="1" x14ac:dyDescent="0.3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hidden="1" x14ac:dyDescent="0.3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hidden="1" x14ac:dyDescent="0.3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hidden="1" x14ac:dyDescent="0.3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hidden="1" x14ac:dyDescent="0.3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hidden="1" x14ac:dyDescent="0.3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hidden="1" x14ac:dyDescent="0.3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hidden="1" x14ac:dyDescent="0.3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hidden="1" x14ac:dyDescent="0.3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hidden="1" x14ac:dyDescent="0.3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hidden="1" x14ac:dyDescent="0.3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hidden="1" x14ac:dyDescent="0.3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hidden="1" x14ac:dyDescent="0.3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hidden="1" x14ac:dyDescent="0.3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hidden="1" x14ac:dyDescent="0.3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hidden="1" x14ac:dyDescent="0.3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hidden="1" x14ac:dyDescent="0.3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hidden="1" x14ac:dyDescent="0.3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hidden="1" x14ac:dyDescent="0.3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hidden="1" x14ac:dyDescent="0.3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hidden="1" x14ac:dyDescent="0.3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hidden="1" x14ac:dyDescent="0.3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hidden="1" x14ac:dyDescent="0.3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hidden="1" x14ac:dyDescent="0.3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hidden="1" x14ac:dyDescent="0.3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hidden="1" x14ac:dyDescent="0.3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hidden="1" x14ac:dyDescent="0.3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hidden="1" x14ac:dyDescent="0.3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hidden="1" x14ac:dyDescent="0.3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hidden="1" x14ac:dyDescent="0.3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hidden="1" x14ac:dyDescent="0.3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hidden="1" x14ac:dyDescent="0.3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hidden="1" x14ac:dyDescent="0.3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hidden="1" x14ac:dyDescent="0.3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hidden="1" x14ac:dyDescent="0.3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hidden="1" x14ac:dyDescent="0.3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hidden="1" x14ac:dyDescent="0.3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hidden="1" x14ac:dyDescent="0.3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hidden="1" x14ac:dyDescent="0.3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hidden="1" x14ac:dyDescent="0.3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hidden="1" x14ac:dyDescent="0.3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hidden="1" x14ac:dyDescent="0.3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hidden="1" x14ac:dyDescent="0.3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hidden="1" x14ac:dyDescent="0.3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hidden="1" x14ac:dyDescent="0.3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hidden="1" x14ac:dyDescent="0.3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hidden="1" x14ac:dyDescent="0.3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hidden="1" x14ac:dyDescent="0.3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hidden="1" x14ac:dyDescent="0.3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hidden="1" x14ac:dyDescent="0.3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hidden="1" x14ac:dyDescent="0.3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hidden="1" x14ac:dyDescent="0.3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hidden="1" x14ac:dyDescent="0.3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hidden="1" x14ac:dyDescent="0.3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hidden="1" x14ac:dyDescent="0.3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hidden="1" x14ac:dyDescent="0.3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hidden="1" x14ac:dyDescent="0.3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hidden="1" x14ac:dyDescent="0.3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hidden="1" x14ac:dyDescent="0.3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hidden="1" x14ac:dyDescent="0.3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hidden="1" x14ac:dyDescent="0.3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hidden="1" x14ac:dyDescent="0.3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hidden="1" x14ac:dyDescent="0.3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hidden="1" x14ac:dyDescent="0.3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hidden="1" x14ac:dyDescent="0.3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hidden="1" x14ac:dyDescent="0.3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hidden="1" x14ac:dyDescent="0.3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hidden="1" x14ac:dyDescent="0.3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hidden="1" x14ac:dyDescent="0.3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hidden="1" x14ac:dyDescent="0.3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hidden="1" x14ac:dyDescent="0.3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hidden="1" x14ac:dyDescent="0.3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hidden="1" x14ac:dyDescent="0.3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hidden="1" x14ac:dyDescent="0.3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hidden="1" x14ac:dyDescent="0.3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hidden="1" x14ac:dyDescent="0.3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hidden="1" x14ac:dyDescent="0.3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hidden="1" x14ac:dyDescent="0.3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hidden="1" x14ac:dyDescent="0.3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hidden="1" x14ac:dyDescent="0.3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hidden="1" x14ac:dyDescent="0.3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hidden="1" x14ac:dyDescent="0.3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hidden="1" x14ac:dyDescent="0.3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hidden="1" x14ac:dyDescent="0.3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hidden="1" x14ac:dyDescent="0.3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hidden="1" x14ac:dyDescent="0.3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hidden="1" x14ac:dyDescent="0.3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hidden="1" x14ac:dyDescent="0.3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hidden="1" x14ac:dyDescent="0.3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hidden="1" x14ac:dyDescent="0.3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hidden="1" x14ac:dyDescent="0.3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hidden="1" x14ac:dyDescent="0.3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hidden="1" x14ac:dyDescent="0.3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hidden="1" x14ac:dyDescent="0.3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hidden="1" x14ac:dyDescent="0.3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hidden="1" x14ac:dyDescent="0.3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hidden="1" x14ac:dyDescent="0.3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hidden="1" x14ac:dyDescent="0.3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hidden="1" x14ac:dyDescent="0.3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hidden="1" x14ac:dyDescent="0.3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hidden="1" x14ac:dyDescent="0.3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hidden="1" x14ac:dyDescent="0.3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hidden="1" x14ac:dyDescent="0.3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hidden="1" x14ac:dyDescent="0.3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hidden="1" x14ac:dyDescent="0.3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hidden="1" x14ac:dyDescent="0.3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hidden="1" x14ac:dyDescent="0.3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hidden="1" x14ac:dyDescent="0.3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hidden="1" x14ac:dyDescent="0.3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hidden="1" x14ac:dyDescent="0.3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hidden="1" x14ac:dyDescent="0.3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hidden="1" x14ac:dyDescent="0.3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hidden="1" x14ac:dyDescent="0.3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hidden="1" x14ac:dyDescent="0.3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hidden="1" x14ac:dyDescent="0.3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hidden="1" x14ac:dyDescent="0.3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hidden="1" x14ac:dyDescent="0.3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hidden="1" x14ac:dyDescent="0.3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hidden="1" x14ac:dyDescent="0.3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hidden="1" x14ac:dyDescent="0.3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hidden="1" x14ac:dyDescent="0.3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hidden="1" x14ac:dyDescent="0.3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hidden="1" x14ac:dyDescent="0.3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hidden="1" x14ac:dyDescent="0.3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hidden="1" x14ac:dyDescent="0.3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hidden="1" x14ac:dyDescent="0.3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hidden="1" x14ac:dyDescent="0.3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hidden="1" x14ac:dyDescent="0.3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hidden="1" x14ac:dyDescent="0.3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hidden="1" x14ac:dyDescent="0.3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hidden="1" x14ac:dyDescent="0.3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hidden="1" x14ac:dyDescent="0.3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hidden="1" x14ac:dyDescent="0.3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hidden="1" x14ac:dyDescent="0.3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hidden="1" x14ac:dyDescent="0.3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hidden="1" x14ac:dyDescent="0.3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hidden="1" x14ac:dyDescent="0.3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hidden="1" x14ac:dyDescent="0.3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hidden="1" x14ac:dyDescent="0.3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hidden="1" x14ac:dyDescent="0.3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hidden="1" x14ac:dyDescent="0.3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hidden="1" x14ac:dyDescent="0.3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hidden="1" x14ac:dyDescent="0.3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hidden="1" x14ac:dyDescent="0.3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hidden="1" x14ac:dyDescent="0.3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hidden="1" x14ac:dyDescent="0.3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hidden="1" x14ac:dyDescent="0.3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hidden="1" x14ac:dyDescent="0.3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hidden="1" x14ac:dyDescent="0.3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hidden="1" x14ac:dyDescent="0.3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hidden="1" x14ac:dyDescent="0.3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hidden="1" x14ac:dyDescent="0.3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hidden="1" x14ac:dyDescent="0.3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hidden="1" x14ac:dyDescent="0.3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hidden="1" x14ac:dyDescent="0.3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hidden="1" x14ac:dyDescent="0.3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hidden="1" x14ac:dyDescent="0.3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hidden="1" x14ac:dyDescent="0.3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hidden="1" x14ac:dyDescent="0.3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hidden="1" x14ac:dyDescent="0.3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hidden="1" x14ac:dyDescent="0.3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hidden="1" x14ac:dyDescent="0.3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hidden="1" x14ac:dyDescent="0.3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hidden="1" x14ac:dyDescent="0.3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hidden="1" x14ac:dyDescent="0.3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hidden="1" x14ac:dyDescent="0.3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hidden="1" x14ac:dyDescent="0.3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hidden="1" x14ac:dyDescent="0.3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hidden="1" x14ac:dyDescent="0.3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hidden="1" x14ac:dyDescent="0.3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hidden="1" x14ac:dyDescent="0.3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hidden="1" x14ac:dyDescent="0.3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hidden="1" x14ac:dyDescent="0.3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hidden="1" x14ac:dyDescent="0.3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hidden="1" x14ac:dyDescent="0.3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hidden="1" x14ac:dyDescent="0.3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hidden="1" x14ac:dyDescent="0.3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hidden="1" x14ac:dyDescent="0.3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hidden="1" x14ac:dyDescent="0.3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hidden="1" x14ac:dyDescent="0.3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hidden="1" x14ac:dyDescent="0.3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hidden="1" x14ac:dyDescent="0.3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hidden="1" x14ac:dyDescent="0.3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hidden="1" x14ac:dyDescent="0.3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hidden="1" x14ac:dyDescent="0.3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hidden="1" x14ac:dyDescent="0.3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hidden="1" x14ac:dyDescent="0.3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hidden="1" x14ac:dyDescent="0.3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hidden="1" x14ac:dyDescent="0.3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hidden="1" x14ac:dyDescent="0.3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hidden="1" x14ac:dyDescent="0.3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hidden="1" x14ac:dyDescent="0.3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hidden="1" x14ac:dyDescent="0.3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hidden="1" x14ac:dyDescent="0.3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hidden="1" x14ac:dyDescent="0.3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hidden="1" x14ac:dyDescent="0.3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hidden="1" x14ac:dyDescent="0.3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hidden="1" x14ac:dyDescent="0.3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hidden="1" x14ac:dyDescent="0.3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hidden="1" x14ac:dyDescent="0.3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hidden="1" x14ac:dyDescent="0.3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hidden="1" x14ac:dyDescent="0.3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hidden="1" x14ac:dyDescent="0.3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hidden="1" x14ac:dyDescent="0.3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hidden="1" x14ac:dyDescent="0.3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hidden="1" x14ac:dyDescent="0.3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hidden="1" x14ac:dyDescent="0.3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hidden="1" x14ac:dyDescent="0.3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hidden="1" x14ac:dyDescent="0.3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hidden="1" x14ac:dyDescent="0.3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hidden="1" x14ac:dyDescent="0.3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hidden="1" x14ac:dyDescent="0.3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hidden="1" x14ac:dyDescent="0.3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hidden="1" x14ac:dyDescent="0.3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hidden="1" x14ac:dyDescent="0.3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hidden="1" x14ac:dyDescent="0.3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>
        <v>46170</v>
      </c>
      <c r="H2090" s="7">
        <f t="shared" si="101"/>
        <v>18</v>
      </c>
      <c r="I2090" s="7">
        <f>MAX(1, NETWORKDAYS(A2090, G2090,Table2[Dias no laborales]))</f>
        <v>17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hidden="1" x14ac:dyDescent="0.3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hidden="1" x14ac:dyDescent="0.3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hidden="1" x14ac:dyDescent="0.3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hidden="1" x14ac:dyDescent="0.3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hidden="1" x14ac:dyDescent="0.3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hidden="1" x14ac:dyDescent="0.3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hidden="1" x14ac:dyDescent="0.3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hidden="1" x14ac:dyDescent="0.3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hidden="1" x14ac:dyDescent="0.3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hidden="1" x14ac:dyDescent="0.3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hidden="1" x14ac:dyDescent="0.3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hidden="1" x14ac:dyDescent="0.3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hidden="1" x14ac:dyDescent="0.3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hidden="1" x14ac:dyDescent="0.3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hidden="1" x14ac:dyDescent="0.3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hidden="1" x14ac:dyDescent="0.3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hidden="1" x14ac:dyDescent="0.3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hidden="1" x14ac:dyDescent="0.3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hidden="1" x14ac:dyDescent="0.3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hidden="1" x14ac:dyDescent="0.3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>
        <v>46170</v>
      </c>
      <c r="H2110" s="7">
        <f t="shared" si="103"/>
        <v>19</v>
      </c>
      <c r="I2110" s="7">
        <f>MAX(1, NETWORKDAYS(A2110, G2110,Table2[Dias no laborales]))</f>
        <v>15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hidden="1" x14ac:dyDescent="0.3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hidden="1" x14ac:dyDescent="0.3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hidden="1" x14ac:dyDescent="0.3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hidden="1" x14ac:dyDescent="0.3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hidden="1" x14ac:dyDescent="0.3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hidden="1" x14ac:dyDescent="0.3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hidden="1" x14ac:dyDescent="0.3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hidden="1" x14ac:dyDescent="0.3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hidden="1" x14ac:dyDescent="0.3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hidden="1" x14ac:dyDescent="0.3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hidden="1" x14ac:dyDescent="0.3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hidden="1" x14ac:dyDescent="0.3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hidden="1" x14ac:dyDescent="0.3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hidden="1" x14ac:dyDescent="0.3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hidden="1" x14ac:dyDescent="0.3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hidden="1" x14ac:dyDescent="0.3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hidden="1" x14ac:dyDescent="0.3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hidden="1" x14ac:dyDescent="0.3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hidden="1" x14ac:dyDescent="0.3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hidden="1" x14ac:dyDescent="0.3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hidden="1" x14ac:dyDescent="0.3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hidden="1" x14ac:dyDescent="0.3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hidden="1" x14ac:dyDescent="0.3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hidden="1" x14ac:dyDescent="0.3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hidden="1" x14ac:dyDescent="0.3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hidden="1" x14ac:dyDescent="0.3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hidden="1" x14ac:dyDescent="0.3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hidden="1" x14ac:dyDescent="0.3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hidden="1" x14ac:dyDescent="0.3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hidden="1" x14ac:dyDescent="0.3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>
        <v>46164</v>
      </c>
      <c r="H2140" s="7">
        <f t="shared" si="105"/>
        <v>19</v>
      </c>
      <c r="I2140" s="7">
        <f>MAX(1, NETWORKDAYS(A2140, G2140,Table2[Dias no laborales]))</f>
        <v>9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hidden="1" x14ac:dyDescent="0.3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hidden="1" x14ac:dyDescent="0.3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hidden="1" x14ac:dyDescent="0.3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hidden="1" x14ac:dyDescent="0.3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hidden="1" x14ac:dyDescent="0.3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hidden="1" x14ac:dyDescent="0.3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hidden="1" x14ac:dyDescent="0.3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hidden="1" x14ac:dyDescent="0.3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hidden="1" x14ac:dyDescent="0.3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hidden="1" x14ac:dyDescent="0.3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hidden="1" x14ac:dyDescent="0.3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hidden="1" x14ac:dyDescent="0.3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>
        <v>46167</v>
      </c>
      <c r="H2152" s="7">
        <f t="shared" ref="H2152:H2166" si="107">INT((A2152-DATE(YEAR(A2152),1,1))/7) + 1</f>
        <v>19</v>
      </c>
      <c r="I2152" s="7">
        <f>MAX(1, NETWORKDAYS(A2152, G2152,Table2[Dias no laborales]))</f>
        <v>9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hidden="1" x14ac:dyDescent="0.3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hidden="1" x14ac:dyDescent="0.3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hidden="1" x14ac:dyDescent="0.3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hidden="1" x14ac:dyDescent="0.3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hidden="1" x14ac:dyDescent="0.3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hidden="1" x14ac:dyDescent="0.3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hidden="1" x14ac:dyDescent="0.3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>
        <v>46164</v>
      </c>
      <c r="H2159" s="7">
        <f t="shared" si="107"/>
        <v>20</v>
      </c>
      <c r="I2159" s="7">
        <f>MAX(1, NETWORKDAYS(A2159, G2159,Table2[Dias no laborales]))</f>
        <v>7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hidden="1" x14ac:dyDescent="0.3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>
        <v>46170</v>
      </c>
      <c r="H2160" s="7">
        <f t="shared" si="107"/>
        <v>20</v>
      </c>
      <c r="I2160" s="7">
        <f>MAX(1, NETWORKDAYS(A2160, G2160,Table2[Dias no laborales]))</f>
        <v>11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hidden="1" x14ac:dyDescent="0.3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>
        <v>46164</v>
      </c>
      <c r="H2161" s="7">
        <f t="shared" si="107"/>
        <v>20</v>
      </c>
      <c r="I2161" s="7">
        <f>MAX(1, NETWORKDAYS(A2161, G2161,Table2[Dias no laborales]))</f>
        <v>7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hidden="1" x14ac:dyDescent="0.3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>
        <v>46163</v>
      </c>
      <c r="H2162" s="7">
        <f t="shared" si="107"/>
        <v>20</v>
      </c>
      <c r="I2162" s="7">
        <f>MAX(1, NETWORKDAYS(A2162, G2162,Table2[Dias no laborales]))</f>
        <v>6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hidden="1" x14ac:dyDescent="0.3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hidden="1" x14ac:dyDescent="0.3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>
        <v>46168</v>
      </c>
      <c r="H2164" s="7">
        <f t="shared" si="107"/>
        <v>20</v>
      </c>
      <c r="I2164" s="7">
        <f>MAX(1, NETWORKDAYS(A2164, G2164,Table2[Dias no laborales]))</f>
        <v>8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hidden="1" x14ac:dyDescent="0.3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>
        <v>46163</v>
      </c>
      <c r="H2165" s="7">
        <f t="shared" si="107"/>
        <v>20</v>
      </c>
      <c r="I2165" s="7">
        <f>MAX(1, NETWORKDAYS(A2165, G2165,Table2[Dias no laborales]))</f>
        <v>5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hidden="1" x14ac:dyDescent="0.3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hidden="1" x14ac:dyDescent="0.3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>
        <v>46171</v>
      </c>
      <c r="H2167" s="7">
        <f>INT((A2167-DATE(YEAR(A2167),1,1))/7) + 1</f>
        <v>20</v>
      </c>
      <c r="I2167" s="7">
        <f>MAX(1, NETWORKDAYS(A2167, G2167,Table2[Dias no laborales]))</f>
        <v>11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hidden="1" x14ac:dyDescent="0.3">
      <c r="A2168" s="11">
        <v>46157</v>
      </c>
      <c r="B2168" s="20" t="s">
        <v>4363</v>
      </c>
      <c r="C2168" s="7" t="s">
        <v>4364</v>
      </c>
      <c r="D2168" s="7" t="s">
        <v>24</v>
      </c>
      <c r="E2168" s="18"/>
      <c r="F2168" s="11">
        <f>IF(HOUR(Table1[[#This Row],[CORREO]])&gt;=11,WORKDAY(Table1[[#This Row],[CORREO]],1,Table2[Dias no laborales]),E2168)</f>
        <v>0</v>
      </c>
      <c r="G2168" s="11">
        <v>46178</v>
      </c>
      <c r="H2168" s="7">
        <f>INT((A2168-DATE(YEAR(A2168),1,1))/7) + 1</f>
        <v>20</v>
      </c>
      <c r="I2168" s="7">
        <f>MAX(1, NETWORKDAYS(A2168, G2168,Table2[Dias no laborales]))</f>
        <v>16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Programado</v>
      </c>
      <c r="K2168" s="7" t="str">
        <f>IF(INT(A2168)=INT(F2168),"A tiempo", IF(A2168&lt;F2168,"Mismo día","Programados"))</f>
        <v>Programados</v>
      </c>
      <c r="L2168" s="11">
        <v>46157</v>
      </c>
      <c r="M2168" s="22">
        <f>MAX(1,NETWORKDAYS(A2168,L2168,Table2[Dias no laborales]))</f>
        <v>1</v>
      </c>
    </row>
    <row r="2169" spans="1:13" hidden="1" x14ac:dyDescent="0.3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>
        <v>46167</v>
      </c>
      <c r="H2169" s="7">
        <f t="shared" ref="H2169:H2192" si="109">INT((A2169-DATE(YEAR(A2169),1,1))/7) + 1</f>
        <v>20</v>
      </c>
      <c r="I2169" s="7">
        <f>MAX(1, NETWORKDAYS(A2169, G2169,Table2[Dias no laborales]))</f>
        <v>6</v>
      </c>
      <c r="J2169" s="7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7" t="str">
        <f t="shared" ref="K2169:K2192" si="110">IF(INT(A2169)=INT(F2169),"A tiempo", IF(A2169&lt;F2169,"Mismo día","Programados"))</f>
        <v>Programados</v>
      </c>
      <c r="L2169" s="11">
        <v>46160</v>
      </c>
      <c r="M2169" s="22">
        <f>MAX(1,NETWORKDAYS(A2169,L2169,Table2[Dias no laborales]))</f>
        <v>1</v>
      </c>
    </row>
    <row r="2170" spans="1:13" hidden="1" x14ac:dyDescent="0.3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>
        <v>46170</v>
      </c>
      <c r="H2170" s="7">
        <f t="shared" si="109"/>
        <v>20</v>
      </c>
      <c r="I2170" s="7">
        <f>MAX(1, NETWORKDAYS(A2170, G2170,Table2[Dias no laborales]))</f>
        <v>9</v>
      </c>
      <c r="J2170" s="7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7" t="str">
        <f t="shared" si="110"/>
        <v>Programados</v>
      </c>
      <c r="L2170" s="11">
        <v>46160</v>
      </c>
      <c r="M2170" s="22">
        <f>MAX(1,NETWORKDAYS(A2170,L2170,Table2[Dias no laborales]))</f>
        <v>1</v>
      </c>
    </row>
    <row r="2171" spans="1:13" hidden="1" x14ac:dyDescent="0.3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7">
        <f t="shared" si="109"/>
        <v>20</v>
      </c>
      <c r="I2171" s="7">
        <f>MAX(1, NETWORKDAYS(A2171, G2171,Table2[Dias no laborales]))</f>
        <v>1</v>
      </c>
      <c r="J2171" s="7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7" t="str">
        <f t="shared" si="110"/>
        <v>Programados</v>
      </c>
      <c r="L2171" s="11">
        <v>46160</v>
      </c>
      <c r="M2171" s="22">
        <f>MAX(1,NETWORKDAYS(A2171,L2171,Table2[Dias no laborales]))</f>
        <v>1</v>
      </c>
    </row>
    <row r="2172" spans="1:13" hidden="1" x14ac:dyDescent="0.3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7">
        <f t="shared" si="109"/>
        <v>20</v>
      </c>
      <c r="I2172" s="7">
        <f>MAX(1, NETWORKDAYS(A2172, G2172,Table2[Dias no laborales]))</f>
        <v>1</v>
      </c>
      <c r="J2172" s="7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7" t="str">
        <f t="shared" si="110"/>
        <v>Programados</v>
      </c>
      <c r="L2172" s="11">
        <v>46160</v>
      </c>
      <c r="M2172" s="22">
        <f>MAX(1,NETWORKDAYS(A2172,L2172,Table2[Dias no laborales]))</f>
        <v>1</v>
      </c>
    </row>
    <row r="2173" spans="1:13" hidden="1" x14ac:dyDescent="0.3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7">
        <f t="shared" si="109"/>
        <v>20</v>
      </c>
      <c r="I2173" s="7">
        <f>MAX(1, NETWORKDAYS(A2173, G2173,Table2[Dias no laborales]))</f>
        <v>1</v>
      </c>
      <c r="J2173" s="7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7" t="str">
        <f t="shared" si="110"/>
        <v>Programados</v>
      </c>
      <c r="L2173" s="11">
        <v>46160</v>
      </c>
      <c r="M2173" s="22">
        <f>MAX(1,NETWORKDAYS(A2173,L2173,Table2[Dias no laborales]))</f>
        <v>1</v>
      </c>
    </row>
    <row r="2174" spans="1:13" hidden="1" x14ac:dyDescent="0.3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7">
        <f t="shared" si="109"/>
        <v>20</v>
      </c>
      <c r="I2174" s="7">
        <f>MAX(1, NETWORKDAYS(A2174, G2174,Table2[Dias no laborales]))</f>
        <v>2</v>
      </c>
      <c r="J2174" s="7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7" t="str">
        <f t="shared" si="110"/>
        <v>Programados</v>
      </c>
      <c r="L2174" s="11">
        <v>46170</v>
      </c>
      <c r="M2174" s="22">
        <f>MAX(1,NETWORKDAYS(A2174,L2174,Table2[Dias no laborales]))</f>
        <v>9</v>
      </c>
    </row>
    <row r="2175" spans="1:13" hidden="1" x14ac:dyDescent="0.3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7">
        <f t="shared" si="109"/>
        <v>20</v>
      </c>
      <c r="I2175" s="7">
        <f>MAX(1, NETWORKDAYS(A2175, G2175,Table2[Dias no laborales]))</f>
        <v>1</v>
      </c>
      <c r="J2175" s="7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7" t="str">
        <f t="shared" si="110"/>
        <v>Programados</v>
      </c>
      <c r="L2175" s="11">
        <v>46160</v>
      </c>
      <c r="M2175" s="22">
        <f>MAX(1,NETWORKDAYS(A2175,L2175,Table2[Dias no laborales]))</f>
        <v>1</v>
      </c>
    </row>
    <row r="2176" spans="1:13" hidden="1" x14ac:dyDescent="0.3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>
        <v>46164</v>
      </c>
      <c r="H2176" s="7">
        <f t="shared" si="109"/>
        <v>20</v>
      </c>
      <c r="I2176" s="7">
        <f>MAX(1, NETWORKDAYS(A2176, G2176,Table2[Dias no laborales]))</f>
        <v>5</v>
      </c>
      <c r="J2176" s="7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7" t="str">
        <f t="shared" si="110"/>
        <v>Programados</v>
      </c>
      <c r="L2176" s="11">
        <v>46160</v>
      </c>
      <c r="M2176" s="22">
        <f>MAX(1,NETWORKDAYS(A2176,L2176,Table2[Dias no laborales]))</f>
        <v>1</v>
      </c>
    </row>
    <row r="2177" spans="1:13" hidden="1" x14ac:dyDescent="0.3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7">
        <f t="shared" si="109"/>
        <v>20</v>
      </c>
      <c r="I2177" s="7">
        <f>MAX(1, NETWORKDAYS(A2177, G2177,Table2[Dias no laborales]))</f>
        <v>1</v>
      </c>
      <c r="J2177" s="7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7" t="str">
        <f t="shared" si="110"/>
        <v>A tiempo</v>
      </c>
      <c r="L2177" s="11">
        <v>46160</v>
      </c>
      <c r="M2177" s="22">
        <f>MAX(1,NETWORKDAYS(A2177,L2177,Table2[Dias no laborales]))</f>
        <v>1</v>
      </c>
    </row>
    <row r="2178" spans="1:13" hidden="1" x14ac:dyDescent="0.3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>
        <v>46163</v>
      </c>
      <c r="H2178" s="7">
        <f t="shared" si="109"/>
        <v>20</v>
      </c>
      <c r="I2178" s="7">
        <f>MAX(1, NETWORKDAYS(A2178, G2178,Table2[Dias no laborales]))</f>
        <v>4</v>
      </c>
      <c r="J2178" s="7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7" t="str">
        <f t="shared" si="110"/>
        <v>A tiempo</v>
      </c>
      <c r="L2178" s="11">
        <v>46160</v>
      </c>
      <c r="M2178" s="22">
        <f>MAX(1,NETWORKDAYS(A2178,L2178,Table2[Dias no laborales]))</f>
        <v>1</v>
      </c>
    </row>
    <row r="2179" spans="1:13" hidden="1" x14ac:dyDescent="0.3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>
        <v>46170</v>
      </c>
      <c r="H2179" s="7">
        <f t="shared" si="109"/>
        <v>20</v>
      </c>
      <c r="I2179" s="7">
        <f>MAX(1, NETWORKDAYS(A2179, G2179,Table2[Dias no laborales]))</f>
        <v>9</v>
      </c>
      <c r="J2179" s="7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7" t="str">
        <f t="shared" si="110"/>
        <v>A tiempo</v>
      </c>
      <c r="L2179" s="11">
        <v>46160</v>
      </c>
      <c r="M2179" s="22">
        <f>MAX(1,NETWORKDAYS(A2179,L2179,Table2[Dias no laborales]))</f>
        <v>1</v>
      </c>
    </row>
    <row r="2180" spans="1:13" hidden="1" x14ac:dyDescent="0.3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7">
        <f t="shared" si="109"/>
        <v>20</v>
      </c>
      <c r="I2180" s="7">
        <f>MAX(1, NETWORKDAYS(A2180, G2180,Table2[Dias no laborales]))</f>
        <v>1</v>
      </c>
      <c r="J2180" s="7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7" t="str">
        <f t="shared" si="110"/>
        <v>A tiempo</v>
      </c>
      <c r="L2180" s="11">
        <v>46160</v>
      </c>
      <c r="M2180" s="22">
        <f>MAX(1,NETWORKDAYS(A2180,L2180,Table2[Dias no laborales]))</f>
        <v>1</v>
      </c>
    </row>
    <row r="2181" spans="1:13" hidden="1" x14ac:dyDescent="0.3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7">
        <f t="shared" si="109"/>
        <v>20</v>
      </c>
      <c r="I2181" s="7">
        <f>MAX(1, NETWORKDAYS(A2181, G2181,Table2[Dias no laborales]))</f>
        <v>3</v>
      </c>
      <c r="J2181" s="7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7" t="str">
        <f t="shared" si="110"/>
        <v>A tiempo</v>
      </c>
      <c r="L2181" s="11">
        <v>46160</v>
      </c>
      <c r="M2181" s="22">
        <f>MAX(1,NETWORKDAYS(A2181,L2181,Table2[Dias no laborales]))</f>
        <v>1</v>
      </c>
    </row>
    <row r="2182" spans="1:13" hidden="1" x14ac:dyDescent="0.3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>
        <v>46167</v>
      </c>
      <c r="H2182" s="7">
        <f t="shared" si="109"/>
        <v>20</v>
      </c>
      <c r="I2182" s="7">
        <f>MAX(1, NETWORKDAYS(A2182, G2182,Table2[Dias no laborales]))</f>
        <v>6</v>
      </c>
      <c r="J2182" s="7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7" t="str">
        <f t="shared" si="110"/>
        <v>A tiempo</v>
      </c>
      <c r="L2182" s="11">
        <v>46160</v>
      </c>
      <c r="M2182" s="22">
        <f>MAX(1,NETWORKDAYS(A2182,L2182,Table2[Dias no laborales]))</f>
        <v>1</v>
      </c>
    </row>
    <row r="2183" spans="1:13" hidden="1" x14ac:dyDescent="0.3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7">
        <f t="shared" si="109"/>
        <v>20</v>
      </c>
      <c r="I2183" s="7">
        <f>MAX(1, NETWORKDAYS(A2183, G2183,Table2[Dias no laborales]))</f>
        <v>3</v>
      </c>
      <c r="J2183" s="7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7" t="str">
        <f t="shared" si="110"/>
        <v>Mismo día</v>
      </c>
      <c r="L2183" s="11">
        <v>46160</v>
      </c>
      <c r="M2183" s="22">
        <f>MAX(1,NETWORKDAYS(A2183,L2183,Table2[Dias no laborales]))</f>
        <v>1</v>
      </c>
    </row>
    <row r="2184" spans="1:13" hidden="1" x14ac:dyDescent="0.3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>
        <v>46164</v>
      </c>
      <c r="H2184" s="7">
        <f t="shared" si="109"/>
        <v>20</v>
      </c>
      <c r="I2184" s="7">
        <f>MAX(1, NETWORKDAYS(A2184, G2184,Table2[Dias no laborales]))</f>
        <v>5</v>
      </c>
      <c r="J2184" s="7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7" t="str">
        <f t="shared" si="110"/>
        <v>Programados</v>
      </c>
      <c r="L2184" s="11">
        <v>46160</v>
      </c>
      <c r="M2184" s="22">
        <f>MAX(1,NETWORKDAYS(A2184,L2184,Table2[Dias no laborales]))</f>
        <v>1</v>
      </c>
    </row>
    <row r="2185" spans="1:13" hidden="1" x14ac:dyDescent="0.3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7">
        <f t="shared" si="109"/>
        <v>20</v>
      </c>
      <c r="I2185" s="7">
        <f>MAX(1, NETWORKDAYS(A2185, G2185,Table2[Dias no laborales]))</f>
        <v>2</v>
      </c>
      <c r="J2185" s="7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7" t="str">
        <f t="shared" si="110"/>
        <v>A tiempo</v>
      </c>
      <c r="L2185" s="11">
        <v>46161</v>
      </c>
      <c r="M2185" s="22">
        <f>MAX(1,NETWORKDAYS(A2185,L2185,Table2[Dias no laborales]))</f>
        <v>1</v>
      </c>
    </row>
    <row r="2186" spans="1:13" hidden="1" x14ac:dyDescent="0.3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>
        <v>46167</v>
      </c>
      <c r="H2186" s="7">
        <f t="shared" si="109"/>
        <v>20</v>
      </c>
      <c r="I2186" s="7">
        <f>MAX(1, NETWORKDAYS(A2186, G2186,Table2[Dias no laborales]))</f>
        <v>5</v>
      </c>
      <c r="J2186" s="7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7" t="str">
        <f t="shared" si="110"/>
        <v>A tiempo</v>
      </c>
      <c r="L2186" s="11">
        <v>46162</v>
      </c>
      <c r="M2186" s="22">
        <f>MAX(1,NETWORKDAYS(A2186,L2186,Table2[Dias no laborales]))</f>
        <v>2</v>
      </c>
    </row>
    <row r="2187" spans="1:13" hidden="1" x14ac:dyDescent="0.3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>
        <v>46170</v>
      </c>
      <c r="H2187" s="7">
        <f t="shared" si="109"/>
        <v>20</v>
      </c>
      <c r="I2187" s="7">
        <f>MAX(1, NETWORKDAYS(A2187, G2187,Table2[Dias no laborales]))</f>
        <v>8</v>
      </c>
      <c r="J2187" s="7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7" t="str">
        <f t="shared" si="110"/>
        <v>A tiempo</v>
      </c>
      <c r="L2187" s="11">
        <v>46162</v>
      </c>
      <c r="M2187" s="22">
        <f>MAX(1,NETWORKDAYS(A2187,L2187,Table2[Dias no laborales]))</f>
        <v>2</v>
      </c>
    </row>
    <row r="2188" spans="1:13" hidden="1" x14ac:dyDescent="0.3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>
        <v>46164</v>
      </c>
      <c r="H2188" s="7">
        <f t="shared" si="109"/>
        <v>20</v>
      </c>
      <c r="I2188" s="7">
        <f>MAX(1, NETWORKDAYS(A2188, G2188,Table2[Dias no laborales]))</f>
        <v>4</v>
      </c>
      <c r="J2188" s="7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7" t="str">
        <f t="shared" si="110"/>
        <v>Mismo día</v>
      </c>
      <c r="L2188" s="11">
        <v>46161</v>
      </c>
      <c r="M2188" s="22">
        <f>MAX(1,NETWORKDAYS(A2188,L2188,Table2[Dias no laborales]))</f>
        <v>1</v>
      </c>
    </row>
    <row r="2189" spans="1:13" hidden="1" x14ac:dyDescent="0.3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>
        <v>46163</v>
      </c>
      <c r="H2189" s="7">
        <f t="shared" si="109"/>
        <v>20</v>
      </c>
      <c r="I2189" s="7">
        <f>MAX(1, NETWORKDAYS(A2189, G2189,Table2[Dias no laborales]))</f>
        <v>3</v>
      </c>
      <c r="J2189" s="7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7" t="str">
        <f t="shared" si="110"/>
        <v>Mismo día</v>
      </c>
      <c r="L2189" s="11">
        <v>46161</v>
      </c>
      <c r="M2189" s="22">
        <f>MAX(1,NETWORKDAYS(A2189,L2189,Table2[Dias no laborales]))</f>
        <v>1</v>
      </c>
    </row>
    <row r="2190" spans="1:13" hidden="1" x14ac:dyDescent="0.3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>
        <v>46170</v>
      </c>
      <c r="H2190" s="7">
        <f t="shared" si="109"/>
        <v>20</v>
      </c>
      <c r="I2190" s="7">
        <f>MAX(1, NETWORKDAYS(A2190, G2190,Table2[Dias no laborales]))</f>
        <v>7</v>
      </c>
      <c r="J2190" s="7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7" t="str">
        <f t="shared" si="110"/>
        <v>A tiempo</v>
      </c>
      <c r="L2190" s="11">
        <v>46162</v>
      </c>
      <c r="M2190" s="22">
        <f>MAX(1,NETWORKDAYS(A2190,L2190,Table2[Dias no laborales]))</f>
        <v>1</v>
      </c>
    </row>
    <row r="2191" spans="1:13" hidden="1" x14ac:dyDescent="0.3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7">
        <f t="shared" si="109"/>
        <v>20</v>
      </c>
      <c r="I2191" s="7">
        <f>MAX(1, NETWORKDAYS(A2191, G2191,Table2[Dias no laborales]))</f>
        <v>1</v>
      </c>
      <c r="J2191" s="7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7" t="str">
        <f t="shared" si="110"/>
        <v>A tiempo</v>
      </c>
      <c r="L2191" s="11">
        <v>46162</v>
      </c>
      <c r="M2191" s="22">
        <f>MAX(1,NETWORKDAYS(A2191,L2191,Table2[Dias no laborales]))</f>
        <v>1</v>
      </c>
    </row>
    <row r="2192" spans="1:13" hidden="1" x14ac:dyDescent="0.3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>
        <v>46162</v>
      </c>
      <c r="H2192" s="7">
        <f t="shared" si="109"/>
        <v>20</v>
      </c>
      <c r="I2192" s="7">
        <f>MAX(1, NETWORKDAYS(A2192, G2192,Table2[Dias no laborales]))</f>
        <v>1</v>
      </c>
      <c r="J2192" s="7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7" t="str">
        <f t="shared" si="110"/>
        <v>A tiempo</v>
      </c>
      <c r="L2192" s="11">
        <v>46162</v>
      </c>
      <c r="M2192" s="22">
        <f>MAX(1,NETWORKDAYS(A2192,L2192,Table2[Dias no laborales]))</f>
        <v>1</v>
      </c>
    </row>
    <row r="2193" spans="1:13" hidden="1" x14ac:dyDescent="0.3">
      <c r="A2193" s="11">
        <v>46162</v>
      </c>
      <c r="B2193" s="20" t="s">
        <v>4410</v>
      </c>
      <c r="C2193" s="7" t="s">
        <v>4426</v>
      </c>
      <c r="D2193" s="7" t="s">
        <v>1333</v>
      </c>
      <c r="E2193" s="18">
        <v>46162.561805555553</v>
      </c>
      <c r="F2193" s="11">
        <f>IF(HOUR(Table1[[#This Row],[CORREO]])&gt;=11,WORKDAY(Table1[[#This Row],[CORREO]],1,Table2[Dias no laborales]),E2193)</f>
        <v>46163</v>
      </c>
      <c r="G2193" s="11">
        <v>46163</v>
      </c>
      <c r="H2193" s="7">
        <f t="shared" ref="H2193:H2208" si="111">INT((A2193-DATE(YEAR(A2193),1,1))/7) + 1</f>
        <v>20</v>
      </c>
      <c r="I2193" s="7">
        <f>MAX(1, NETWORKDAYS(A2193, G2193,Table2[Dias no laborales]))</f>
        <v>2</v>
      </c>
      <c r="J2193" s="7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7" t="str">
        <f t="shared" ref="K2193:K2208" si="112">IF(INT(A2193)=INT(F2193),"A tiempo", IF(A2193&lt;F2193,"Mismo día","Programados"))</f>
        <v>Mismo día</v>
      </c>
      <c r="L2193" s="11">
        <v>46162</v>
      </c>
      <c r="M2193" s="22">
        <f>MAX(1,NETWORKDAYS(A2193,L2193,Table2[Dias no laborales]))</f>
        <v>1</v>
      </c>
    </row>
    <row r="2194" spans="1:13" hidden="1" x14ac:dyDescent="0.3">
      <c r="A2194" s="11">
        <v>46163</v>
      </c>
      <c r="B2194" s="20" t="s">
        <v>4411</v>
      </c>
      <c r="C2194" s="7" t="s">
        <v>4427</v>
      </c>
      <c r="D2194" s="7" t="s">
        <v>351</v>
      </c>
      <c r="E2194" s="18">
        <v>46162.529166666667</v>
      </c>
      <c r="F2194" s="11">
        <f>IF(HOUR(Table1[[#This Row],[CORREO]])&gt;=11,WORKDAY(Table1[[#This Row],[CORREO]],1,Table2[Dias no laborales]),E2194)</f>
        <v>46163</v>
      </c>
      <c r="G2194" s="11">
        <v>46164</v>
      </c>
      <c r="H2194" s="7">
        <f t="shared" si="111"/>
        <v>21</v>
      </c>
      <c r="I2194" s="7">
        <f>MAX(1, NETWORKDAYS(A2194, G2194,Table2[Dias no laborales]))</f>
        <v>2</v>
      </c>
      <c r="J2194" s="7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7" t="str">
        <f t="shared" si="112"/>
        <v>A tiempo</v>
      </c>
      <c r="L2194" s="11">
        <v>46163</v>
      </c>
      <c r="M2194" s="22">
        <f>MAX(1,NETWORKDAYS(A2194,L2194,Table2[Dias no laborales]))</f>
        <v>1</v>
      </c>
    </row>
    <row r="2195" spans="1:13" hidden="1" x14ac:dyDescent="0.3">
      <c r="A2195" s="11">
        <v>46163</v>
      </c>
      <c r="B2195" s="20" t="s">
        <v>4412</v>
      </c>
      <c r="C2195" s="7" t="s">
        <v>4484</v>
      </c>
      <c r="D2195" s="7" t="s">
        <v>1735</v>
      </c>
      <c r="E2195" s="18">
        <v>46162.627083333333</v>
      </c>
      <c r="F2195" s="11">
        <f>IF(HOUR(Table1[[#This Row],[CORREO]])&gt;=11,WORKDAY(Table1[[#This Row],[CORREO]],1,Table2[Dias no laborales]),E2195)</f>
        <v>46163</v>
      </c>
      <c r="G2195" s="11">
        <v>46167</v>
      </c>
      <c r="H2195" s="7">
        <f t="shared" si="111"/>
        <v>21</v>
      </c>
      <c r="I2195" s="7">
        <f>MAX(1, NETWORKDAYS(A2195, G2195,Table2[Dias no laborales]))</f>
        <v>3</v>
      </c>
      <c r="J2195" s="7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7" t="str">
        <f t="shared" si="112"/>
        <v>A tiempo</v>
      </c>
      <c r="L2195" s="11">
        <v>46163</v>
      </c>
      <c r="M2195" s="22">
        <f>MAX(1,NETWORKDAYS(A2195,L2195,Table2[Dias no laborales]))</f>
        <v>1</v>
      </c>
    </row>
    <row r="2196" spans="1:13" hidden="1" x14ac:dyDescent="0.3">
      <c r="A2196" s="11">
        <v>46163</v>
      </c>
      <c r="B2196" s="20" t="s">
        <v>4413</v>
      </c>
      <c r="C2196" s="7" t="s">
        <v>4485</v>
      </c>
      <c r="D2196" s="7" t="s">
        <v>30</v>
      </c>
      <c r="E2196" s="18">
        <v>46162.686111111114</v>
      </c>
      <c r="F2196" s="11">
        <f>IF(HOUR(Table1[[#This Row],[CORREO]])&gt;=11,WORKDAY(Table1[[#This Row],[CORREO]],1,Table2[Dias no laborales]),E2196)</f>
        <v>46163</v>
      </c>
      <c r="G2196" s="11">
        <v>46164</v>
      </c>
      <c r="H2196" s="7">
        <f t="shared" si="111"/>
        <v>21</v>
      </c>
      <c r="I2196" s="7">
        <f>MAX(1, NETWORKDAYS(A2196, G2196,Table2[Dias no laborales]))</f>
        <v>2</v>
      </c>
      <c r="J2196" s="7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7" t="str">
        <f t="shared" si="112"/>
        <v>A tiempo</v>
      </c>
      <c r="L2196" s="11">
        <v>46163</v>
      </c>
      <c r="M2196" s="22">
        <f>MAX(1,NETWORKDAYS(A2196,L2196,Table2[Dias no laborales]))</f>
        <v>1</v>
      </c>
    </row>
    <row r="2197" spans="1:13" hidden="1" x14ac:dyDescent="0.3">
      <c r="A2197" s="11">
        <v>46163</v>
      </c>
      <c r="B2197" s="20" t="s">
        <v>4414</v>
      </c>
      <c r="C2197" s="7" t="s">
        <v>4409</v>
      </c>
      <c r="D2197" s="7" t="s">
        <v>194</v>
      </c>
      <c r="E2197" s="18">
        <v>46162.767361111109</v>
      </c>
      <c r="F2197" s="11">
        <f>IF(HOUR(Table1[[#This Row],[CORREO]])&gt;=11,WORKDAY(Table1[[#This Row],[CORREO]],1,Table2[Dias no laborales]),E2197)</f>
        <v>46163</v>
      </c>
      <c r="G2197" s="11">
        <v>46164</v>
      </c>
      <c r="H2197" s="7">
        <f t="shared" si="111"/>
        <v>21</v>
      </c>
      <c r="I2197" s="7">
        <f>MAX(1, NETWORKDAYS(A2197, G2197,Table2[Dias no laborales]))</f>
        <v>2</v>
      </c>
      <c r="J2197" s="7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7" t="str">
        <f t="shared" si="112"/>
        <v>A tiempo</v>
      </c>
      <c r="L2197" s="11">
        <v>46163</v>
      </c>
      <c r="M2197" s="22">
        <f>MAX(1,NETWORKDAYS(A2197,L2197,Table2[Dias no laborales]))</f>
        <v>1</v>
      </c>
    </row>
    <row r="2198" spans="1:13" hidden="1" x14ac:dyDescent="0.3">
      <c r="A2198" s="11">
        <v>46163</v>
      </c>
      <c r="B2198" s="20" t="s">
        <v>4415</v>
      </c>
      <c r="C2198" s="7" t="s">
        <v>4486</v>
      </c>
      <c r="D2198" s="7" t="s">
        <v>24</v>
      </c>
      <c r="E2198" s="18">
        <v>46163.361805555556</v>
      </c>
      <c r="F2198" s="11">
        <f>IF(HOUR(Table1[[#This Row],[CORREO]])&gt;=11,WORKDAY(Table1[[#This Row],[CORREO]],1,Table2[Dias no laborales]),E2198)</f>
        <v>46163.361805555556</v>
      </c>
      <c r="G2198" s="11">
        <v>46164</v>
      </c>
      <c r="H2198" s="7">
        <f t="shared" si="111"/>
        <v>21</v>
      </c>
      <c r="I2198" s="7">
        <f>MAX(1, NETWORKDAYS(A2198, G2198,Table2[Dias no laborales]))</f>
        <v>2</v>
      </c>
      <c r="J2198" s="7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7" t="str">
        <f t="shared" si="112"/>
        <v>A tiempo</v>
      </c>
      <c r="L2198" s="11">
        <v>46163</v>
      </c>
      <c r="M2198" s="22">
        <f>MAX(1,NETWORKDAYS(A2198,L2198,Table2[Dias no laborales]))</f>
        <v>1</v>
      </c>
    </row>
    <row r="2199" spans="1:13" hidden="1" x14ac:dyDescent="0.3">
      <c r="A2199" s="11">
        <v>46163</v>
      </c>
      <c r="B2199" s="20" t="s">
        <v>4416</v>
      </c>
      <c r="C2199" s="7" t="s">
        <v>4487</v>
      </c>
      <c r="D2199" s="18" t="s">
        <v>24</v>
      </c>
      <c r="E2199" s="18">
        <v>46163.395138888889</v>
      </c>
      <c r="F2199" s="11">
        <f>IF(HOUR(Table1[[#This Row],[CORREO]])&gt;=11,WORKDAY(Table1[[#This Row],[CORREO]],1,Table2[Dias no laborales]),E2199)</f>
        <v>46163.395138888889</v>
      </c>
      <c r="G2199" s="11">
        <v>46163</v>
      </c>
      <c r="H2199" s="7">
        <f t="shared" si="111"/>
        <v>21</v>
      </c>
      <c r="I2199" s="7">
        <f>MAX(1, NETWORKDAYS(A2199, G2199,Table2[Dias no laborales]))</f>
        <v>1</v>
      </c>
      <c r="J2199" s="7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7" t="str">
        <f t="shared" si="112"/>
        <v>A tiempo</v>
      </c>
      <c r="L2199" s="11">
        <v>46163</v>
      </c>
      <c r="M2199" s="22">
        <f>MAX(1,NETWORKDAYS(A2199,L2199,Table2[Dias no laborales]))</f>
        <v>1</v>
      </c>
    </row>
    <row r="2200" spans="1:13" hidden="1" x14ac:dyDescent="0.3">
      <c r="A2200" s="11">
        <v>46163</v>
      </c>
      <c r="B2200" s="20" t="s">
        <v>4417</v>
      </c>
      <c r="C2200" s="7" t="s">
        <v>4488</v>
      </c>
      <c r="D2200" s="7" t="s">
        <v>434</v>
      </c>
      <c r="E2200" s="18">
        <v>46163.636805555558</v>
      </c>
      <c r="F2200" s="11">
        <f>IF(HOUR(Table1[[#This Row],[CORREO]])&gt;=11,WORKDAY(Table1[[#This Row],[CORREO]],1,Table2[Dias no laborales]),E2200)</f>
        <v>46164</v>
      </c>
      <c r="G2200" s="11">
        <v>46163</v>
      </c>
      <c r="H2200" s="7">
        <f t="shared" si="111"/>
        <v>21</v>
      </c>
      <c r="I2200" s="7">
        <f>MAX(1, NETWORKDAYS(A2200, G2200,Table2[Dias no laborales]))</f>
        <v>1</v>
      </c>
      <c r="J2200" s="7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7" t="str">
        <f t="shared" si="112"/>
        <v>Mismo día</v>
      </c>
      <c r="L2200" s="11">
        <v>46163</v>
      </c>
      <c r="M2200" s="22">
        <f>MAX(1,NETWORKDAYS(A2200,L2200,Table2[Dias no laborales]))</f>
        <v>1</v>
      </c>
    </row>
    <row r="2201" spans="1:13" hidden="1" x14ac:dyDescent="0.3">
      <c r="A2201" s="11">
        <v>46163</v>
      </c>
      <c r="B2201" s="20" t="s">
        <v>4418</v>
      </c>
      <c r="C2201" s="7" t="s">
        <v>4489</v>
      </c>
      <c r="D2201" s="7" t="s">
        <v>56</v>
      </c>
      <c r="E2201" s="18">
        <v>46163.568055555559</v>
      </c>
      <c r="F2201" s="11">
        <f>IF(HOUR(Table1[[#This Row],[CORREO]])&gt;=11,WORKDAY(Table1[[#This Row],[CORREO]],1,Table2[Dias no laborales]),E2201)</f>
        <v>46164</v>
      </c>
      <c r="G2201" s="11">
        <v>46168</v>
      </c>
      <c r="H2201" s="7">
        <f t="shared" si="111"/>
        <v>21</v>
      </c>
      <c r="I2201" s="7">
        <f>MAX(1, NETWORKDAYS(A2201, G2201,Table2[Dias no laborales]))</f>
        <v>4</v>
      </c>
      <c r="J2201" s="7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7" t="str">
        <f t="shared" si="112"/>
        <v>Mismo día</v>
      </c>
      <c r="L2201" s="11">
        <v>46163</v>
      </c>
      <c r="M2201" s="22">
        <f>MAX(1,NETWORKDAYS(A2201,L2201,Table2[Dias no laborales]))</f>
        <v>1</v>
      </c>
    </row>
    <row r="2202" spans="1:13" hidden="1" x14ac:dyDescent="0.3">
      <c r="A2202" s="11">
        <v>46164</v>
      </c>
      <c r="B2202" s="20" t="s">
        <v>4419</v>
      </c>
      <c r="C2202" s="7" t="s">
        <v>4490</v>
      </c>
      <c r="D2202" s="7" t="s">
        <v>623</v>
      </c>
      <c r="E2202" s="18">
        <v>46163.507638888892</v>
      </c>
      <c r="F2202" s="11">
        <f>IF(HOUR(Table1[[#This Row],[CORREO]])&gt;=11,WORKDAY(Table1[[#This Row],[CORREO]],1,Table2[Dias no laborales]),E2202)</f>
        <v>46164</v>
      </c>
      <c r="G2202" s="11">
        <v>46164</v>
      </c>
      <c r="H2202" s="7">
        <f t="shared" si="111"/>
        <v>21</v>
      </c>
      <c r="I2202" s="7">
        <f>MAX(1, NETWORKDAYS(A2202, G2202,Table2[Dias no laborales]))</f>
        <v>1</v>
      </c>
      <c r="J2202" s="7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7" t="str">
        <f t="shared" si="112"/>
        <v>A tiempo</v>
      </c>
      <c r="L2202" s="11">
        <v>46164</v>
      </c>
      <c r="M2202" s="22">
        <f>MAX(1,NETWORKDAYS(A2202,L2202,Table2[Dias no laborales]))</f>
        <v>1</v>
      </c>
    </row>
    <row r="2203" spans="1:13" hidden="1" x14ac:dyDescent="0.3">
      <c r="A2203" s="11">
        <v>46164</v>
      </c>
      <c r="B2203" s="20" t="s">
        <v>4420</v>
      </c>
      <c r="C2203" s="7" t="s">
        <v>4491</v>
      </c>
      <c r="D2203" s="7" t="s">
        <v>4492</v>
      </c>
      <c r="E2203" s="18">
        <v>46163.67083333333</v>
      </c>
      <c r="F2203" s="11">
        <f>IF(HOUR(Table1[[#This Row],[CORREO]])&gt;=11,WORKDAY(Table1[[#This Row],[CORREO]],1,Table2[Dias no laborales]),E2203)</f>
        <v>46164</v>
      </c>
      <c r="G2203" s="11">
        <v>46164</v>
      </c>
      <c r="H2203" s="7">
        <f t="shared" si="111"/>
        <v>21</v>
      </c>
      <c r="I2203" s="7">
        <f>MAX(1, NETWORKDAYS(A2203, G2203,Table2[Dias no laborales]))</f>
        <v>1</v>
      </c>
      <c r="J2203" s="7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7" t="str">
        <f t="shared" si="112"/>
        <v>A tiempo</v>
      </c>
      <c r="L2203" s="11">
        <v>46164</v>
      </c>
      <c r="M2203" s="22">
        <f>MAX(1,NETWORKDAYS(A2203,L2203,Table2[Dias no laborales]))</f>
        <v>1</v>
      </c>
    </row>
    <row r="2204" spans="1:13" hidden="1" x14ac:dyDescent="0.3">
      <c r="A2204" s="11">
        <v>46164</v>
      </c>
      <c r="B2204" s="20" t="s">
        <v>4421</v>
      </c>
      <c r="C2204" s="7" t="s">
        <v>4493</v>
      </c>
      <c r="D2204" s="7" t="s">
        <v>4494</v>
      </c>
      <c r="E2204" s="18">
        <v>46164.555555555555</v>
      </c>
      <c r="F2204" s="11">
        <f>IF(HOUR(Table1[[#This Row],[CORREO]])&gt;=11,WORKDAY(Table1[[#This Row],[CORREO]],1,Table2[Dias no laborales]),E2204)</f>
        <v>46167</v>
      </c>
      <c r="G2204" s="11">
        <v>46167</v>
      </c>
      <c r="H2204" s="7">
        <f t="shared" si="111"/>
        <v>21</v>
      </c>
      <c r="I2204" s="7">
        <f>MAX(1, NETWORKDAYS(A2204, G2204,Table2[Dias no laborales]))</f>
        <v>2</v>
      </c>
      <c r="J2204" s="7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7" t="str">
        <f t="shared" si="112"/>
        <v>Mismo día</v>
      </c>
      <c r="L2204" s="11">
        <v>46164</v>
      </c>
      <c r="M2204" s="22">
        <f>MAX(1,NETWORKDAYS(A2204,L2204,Table2[Dias no laborales]))</f>
        <v>1</v>
      </c>
    </row>
    <row r="2205" spans="1:13" hidden="1" x14ac:dyDescent="0.3">
      <c r="A2205" s="11">
        <v>46164</v>
      </c>
      <c r="B2205" s="20" t="s">
        <v>4422</v>
      </c>
      <c r="C2205" s="7" t="s">
        <v>4495</v>
      </c>
      <c r="D2205" s="7" t="s">
        <v>1333</v>
      </c>
      <c r="E2205" s="18"/>
      <c r="F2205" s="11">
        <f>IF(HOUR(Table1[[#This Row],[CORREO]])&gt;=11,WORKDAY(Table1[[#This Row],[CORREO]],1,Table2[Dias no laborales]),E2205)</f>
        <v>0</v>
      </c>
      <c r="G2205" s="11">
        <v>46174</v>
      </c>
      <c r="H2205" s="7">
        <f t="shared" si="111"/>
        <v>21</v>
      </c>
      <c r="I2205" s="7">
        <f>MAX(1, NETWORKDAYS(A2205, G2205,Table2[Dias no laborales]))</f>
        <v>7</v>
      </c>
      <c r="J2205" s="7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7" t="str">
        <f t="shared" si="112"/>
        <v>Programados</v>
      </c>
      <c r="L2205" s="11">
        <v>46164</v>
      </c>
      <c r="M2205" s="22">
        <f>MAX(1,NETWORKDAYS(A2205,L2205,Table2[Dias no laborales]))</f>
        <v>1</v>
      </c>
    </row>
    <row r="2206" spans="1:13" hidden="1" x14ac:dyDescent="0.3">
      <c r="A2206" s="11">
        <v>46164</v>
      </c>
      <c r="B2206" s="20" t="s">
        <v>4423</v>
      </c>
      <c r="C2206" s="7" t="s">
        <v>188</v>
      </c>
      <c r="D2206" s="7" t="s">
        <v>27</v>
      </c>
      <c r="E2206" s="18"/>
      <c r="F2206" s="11">
        <f>IF(HOUR(Table1[[#This Row],[CORREO]])&gt;=11,WORKDAY(Table1[[#This Row],[CORREO]],1,Table2[Dias no laborales]),E2206)</f>
        <v>0</v>
      </c>
      <c r="G2206" s="11">
        <v>46167</v>
      </c>
      <c r="H2206" s="7">
        <f t="shared" si="111"/>
        <v>21</v>
      </c>
      <c r="I2206" s="7">
        <f>MAX(1, NETWORKDAYS(A2206, G2206,Table2[Dias no laborales]))</f>
        <v>2</v>
      </c>
      <c r="J2206" s="7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7" t="str">
        <f t="shared" si="112"/>
        <v>Programados</v>
      </c>
      <c r="L2206" s="11">
        <v>46164</v>
      </c>
      <c r="M2206" s="22">
        <f>MAX(1,NETWORKDAYS(A2206,L2206,Table2[Dias no laborales]))</f>
        <v>1</v>
      </c>
    </row>
    <row r="2207" spans="1:13" hidden="1" x14ac:dyDescent="0.3">
      <c r="A2207" s="11">
        <v>46164</v>
      </c>
      <c r="B2207" s="20" t="s">
        <v>4424</v>
      </c>
      <c r="C2207" s="7" t="s">
        <v>196</v>
      </c>
      <c r="D2207" s="7" t="s">
        <v>27</v>
      </c>
      <c r="E2207" s="18"/>
      <c r="F2207" s="11">
        <f>IF(HOUR(Table1[[#This Row],[CORREO]])&gt;=11,WORKDAY(Table1[[#This Row],[CORREO]],1,Table2[Dias no laborales]),E2207)</f>
        <v>0</v>
      </c>
      <c r="G2207" s="11">
        <v>46167</v>
      </c>
      <c r="H2207" s="7">
        <f t="shared" si="111"/>
        <v>21</v>
      </c>
      <c r="I2207" s="7">
        <f>MAX(1, NETWORKDAYS(A2207, G2207,Table2[Dias no laborales]))</f>
        <v>2</v>
      </c>
      <c r="J2207" s="7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7" t="str">
        <f t="shared" si="112"/>
        <v>Programados</v>
      </c>
      <c r="L2207" s="11">
        <v>46164</v>
      </c>
      <c r="M2207" s="22">
        <f>MAX(1,NETWORKDAYS(A2207,L2207,Table2[Dias no laborales]))</f>
        <v>1</v>
      </c>
    </row>
    <row r="2208" spans="1:13" hidden="1" x14ac:dyDescent="0.3">
      <c r="A2208" s="11">
        <v>46164</v>
      </c>
      <c r="B2208" s="20" t="s">
        <v>4425</v>
      </c>
      <c r="C2208" s="7" t="s">
        <v>4496</v>
      </c>
      <c r="D2208" s="7" t="s">
        <v>24</v>
      </c>
      <c r="E2208" s="18">
        <v>46164.404166666667</v>
      </c>
      <c r="F2208" s="11">
        <f>IF(HOUR(Table1[[#This Row],[CORREO]])&gt;=11,WORKDAY(Table1[[#This Row],[CORREO]],1,Table2[Dias no laborales]),E2208)</f>
        <v>46164.404166666667</v>
      </c>
      <c r="G2208" s="11">
        <v>46164</v>
      </c>
      <c r="H2208" s="7">
        <f t="shared" si="111"/>
        <v>21</v>
      </c>
      <c r="I2208" s="7">
        <f>MAX(1, NETWORKDAYS(A2208, G2208,Table2[Dias no laborales]))</f>
        <v>1</v>
      </c>
      <c r="J2208" s="7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7" t="str">
        <f t="shared" si="112"/>
        <v>A tiempo</v>
      </c>
      <c r="L2208" s="11">
        <v>46164</v>
      </c>
      <c r="M2208" s="22">
        <f>MAX(1,NETWORKDAYS(A2208,L2208,Table2[Dias no laborales]))</f>
        <v>1</v>
      </c>
    </row>
    <row r="2209" spans="1:13" hidden="1" x14ac:dyDescent="0.3">
      <c r="A2209" s="11">
        <v>46167</v>
      </c>
      <c r="B2209" s="20" t="s">
        <v>4428</v>
      </c>
      <c r="C2209" s="7" t="s">
        <v>4496</v>
      </c>
      <c r="D2209" s="7" t="s">
        <v>24</v>
      </c>
      <c r="E2209" s="18">
        <v>46164.5625</v>
      </c>
      <c r="F2209" s="11">
        <f>IF(HOUR(Table1[[#This Row],[CORREO]])&gt;=11,WORKDAY(Table1[[#This Row],[CORREO]],1,Table2[Dias no laborales]),E2209)</f>
        <v>46167</v>
      </c>
      <c r="G2209" s="11">
        <v>46168</v>
      </c>
      <c r="H2209" s="7">
        <f t="shared" ref="H2209:H2237" si="113">INT((A2209-DATE(YEAR(A2209),1,1))/7) + 1</f>
        <v>21</v>
      </c>
      <c r="I2209" s="7">
        <f>MAX(1, NETWORKDAYS(A2209, G2209,Table2[Dias no laborales]))</f>
        <v>2</v>
      </c>
      <c r="J2209" s="7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7" t="str">
        <f t="shared" ref="K2209:K2237" si="114">IF(INT(A2209)=INT(F2209),"A tiempo", IF(A2209&lt;F2209,"Mismo día","Programados"))</f>
        <v>A tiempo</v>
      </c>
      <c r="L2209" s="11">
        <v>46167</v>
      </c>
      <c r="M2209" s="22">
        <f>MAX(1,NETWORKDAYS(A2209,L2209,Table2[Dias no laborales]))</f>
        <v>1</v>
      </c>
    </row>
    <row r="2210" spans="1:13" hidden="1" x14ac:dyDescent="0.3">
      <c r="A2210" s="11">
        <v>46167</v>
      </c>
      <c r="B2210" s="20" t="s">
        <v>4429</v>
      </c>
      <c r="C2210" s="7" t="s">
        <v>4301</v>
      </c>
      <c r="D2210" s="7" t="s">
        <v>477</v>
      </c>
      <c r="E2210" s="18"/>
      <c r="F2210" s="11">
        <f>IF(HOUR(Table1[[#This Row],[CORREO]])&gt;=11,WORKDAY(Table1[[#This Row],[CORREO]],1,Table2[Dias no laborales]),E2210)</f>
        <v>0</v>
      </c>
      <c r="G2210" s="11">
        <v>46167</v>
      </c>
      <c r="H2210" s="7">
        <f t="shared" si="113"/>
        <v>21</v>
      </c>
      <c r="I2210" s="7">
        <f>MAX(1, NETWORKDAYS(A2210, G2210,Table2[Dias no laborales]))</f>
        <v>1</v>
      </c>
      <c r="J2210" s="7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7" t="str">
        <f t="shared" si="114"/>
        <v>Programados</v>
      </c>
      <c r="L2210" s="11">
        <v>46167</v>
      </c>
      <c r="M2210" s="22">
        <f>MAX(1,NETWORKDAYS(A2210,L2210,Table2[Dias no laborales]))</f>
        <v>1</v>
      </c>
    </row>
    <row r="2211" spans="1:13" hidden="1" x14ac:dyDescent="0.3">
      <c r="A2211" s="11">
        <v>46167</v>
      </c>
      <c r="B2211" s="20" t="s">
        <v>4430</v>
      </c>
      <c r="C2211" s="7" t="s">
        <v>4497</v>
      </c>
      <c r="D2211" s="7" t="s">
        <v>392</v>
      </c>
      <c r="E2211" s="18">
        <v>46164.450694444444</v>
      </c>
      <c r="F2211" s="11">
        <f>IF(HOUR(Table1[[#This Row],[CORREO]])&gt;=11,WORKDAY(Table1[[#This Row],[CORREO]],1,Table2[Dias no laborales]),E2211)</f>
        <v>46164.450694444444</v>
      </c>
      <c r="G2211" s="11">
        <v>46167</v>
      </c>
      <c r="H2211" s="7">
        <f t="shared" si="113"/>
        <v>21</v>
      </c>
      <c r="I2211" s="7">
        <f>MAX(1, NETWORKDAYS(A2211, G2211,Table2[Dias no laborales]))</f>
        <v>1</v>
      </c>
      <c r="J2211" s="7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7" t="str">
        <f t="shared" si="114"/>
        <v>Programados</v>
      </c>
      <c r="L2211" s="11">
        <v>46167</v>
      </c>
      <c r="M2211" s="22">
        <f>MAX(1,NETWORKDAYS(A2211,L2211,Table2[Dias no laborales]))</f>
        <v>1</v>
      </c>
    </row>
    <row r="2212" spans="1:13" hidden="1" x14ac:dyDescent="0.3">
      <c r="A2212" s="11">
        <v>46167</v>
      </c>
      <c r="B2212" s="20" t="s">
        <v>4431</v>
      </c>
      <c r="C2212" s="7" t="s">
        <v>2633</v>
      </c>
      <c r="D2212" s="7" t="s">
        <v>2623</v>
      </c>
      <c r="E2212" s="18"/>
      <c r="F2212" s="11">
        <f>IF(HOUR(Table1[[#This Row],[CORREO]])&gt;=11,WORKDAY(Table1[[#This Row],[CORREO]],1,Table2[Dias no laborales]),E2212)</f>
        <v>0</v>
      </c>
      <c r="G2212" s="11">
        <v>46168</v>
      </c>
      <c r="H2212" s="7">
        <f t="shared" si="113"/>
        <v>21</v>
      </c>
      <c r="I2212" s="7">
        <f>MAX(1, NETWORKDAYS(A2212, G2212,Table2[Dias no laborales]))</f>
        <v>2</v>
      </c>
      <c r="J2212" s="7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7" t="str">
        <f t="shared" si="114"/>
        <v>Programados</v>
      </c>
      <c r="L2212" s="11">
        <v>46167</v>
      </c>
      <c r="M2212" s="22">
        <f>MAX(1,NETWORKDAYS(A2212,L2212,Table2[Dias no laborales]))</f>
        <v>1</v>
      </c>
    </row>
    <row r="2213" spans="1:13" hidden="1" x14ac:dyDescent="0.3">
      <c r="A2213" s="11">
        <v>46167</v>
      </c>
      <c r="B2213" s="20" t="s">
        <v>4432</v>
      </c>
      <c r="C2213" s="7" t="s">
        <v>4550</v>
      </c>
      <c r="D2213" s="7" t="s">
        <v>848</v>
      </c>
      <c r="E2213" s="18"/>
      <c r="F2213" s="11">
        <f>IF(HOUR(Table1[[#This Row],[CORREO]])&gt;=11,WORKDAY(Table1[[#This Row],[CORREO]],1,Table2[Dias no laborales]),E2213)</f>
        <v>0</v>
      </c>
      <c r="G2213" s="11">
        <v>46168</v>
      </c>
      <c r="H2213" s="7">
        <f t="shared" si="113"/>
        <v>21</v>
      </c>
      <c r="I2213" s="7">
        <f>MAX(1, NETWORKDAYS(A2213, G2213,Table2[Dias no laborales]))</f>
        <v>2</v>
      </c>
      <c r="J2213" s="7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7" t="str">
        <f t="shared" si="114"/>
        <v>Programados</v>
      </c>
      <c r="L2213" s="11">
        <v>46167</v>
      </c>
      <c r="M2213" s="22">
        <f>MAX(1,NETWORKDAYS(A2213,L2213,Table2[Dias no laborales]))</f>
        <v>1</v>
      </c>
    </row>
    <row r="2214" spans="1:13" hidden="1" x14ac:dyDescent="0.3">
      <c r="A2214" s="11">
        <v>46167</v>
      </c>
      <c r="B2214" s="20" t="s">
        <v>4433</v>
      </c>
      <c r="C2214" s="7" t="s">
        <v>4551</v>
      </c>
      <c r="D2214" s="7" t="s">
        <v>24</v>
      </c>
      <c r="E2214" s="18"/>
      <c r="F2214" s="11">
        <f>IF(HOUR(Table1[[#This Row],[CORREO]])&gt;=11,WORKDAY(Table1[[#This Row],[CORREO]],1,Table2[Dias no laborales]),E2214)</f>
        <v>0</v>
      </c>
      <c r="G2214" s="11">
        <v>46171</v>
      </c>
      <c r="H2214" s="7">
        <f t="shared" si="113"/>
        <v>21</v>
      </c>
      <c r="I2214" s="7">
        <f>MAX(1, NETWORKDAYS(A2214, G2214,Table2[Dias no laborales]))</f>
        <v>5</v>
      </c>
      <c r="J2214" s="7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7" t="str">
        <f t="shared" si="114"/>
        <v>Programados</v>
      </c>
      <c r="L2214" s="11">
        <v>46167</v>
      </c>
      <c r="M2214" s="22">
        <f>MAX(1,NETWORKDAYS(A2214,L2214,Table2[Dias no laborales]))</f>
        <v>1</v>
      </c>
    </row>
    <row r="2215" spans="1:13" hidden="1" x14ac:dyDescent="0.3">
      <c r="A2215" s="11">
        <v>46167</v>
      </c>
      <c r="B2215" s="20" t="s">
        <v>4434</v>
      </c>
      <c r="C2215" s="7" t="s">
        <v>4342</v>
      </c>
      <c r="D2215" s="7" t="s">
        <v>18</v>
      </c>
      <c r="E2215" s="18"/>
      <c r="F2215" s="11">
        <f>IF(HOUR(Table1[[#This Row],[CORREO]])&gt;=11,WORKDAY(Table1[[#This Row],[CORREO]],1,Table2[Dias no laborales]),E2215)</f>
        <v>0</v>
      </c>
      <c r="G2215" s="11">
        <v>46168</v>
      </c>
      <c r="H2215" s="7">
        <f t="shared" si="113"/>
        <v>21</v>
      </c>
      <c r="I2215" s="7">
        <f>MAX(1, NETWORKDAYS(A2215, G2215,Table2[Dias no laborales]))</f>
        <v>2</v>
      </c>
      <c r="J2215" s="7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7" t="str">
        <f t="shared" si="114"/>
        <v>Programados</v>
      </c>
      <c r="L2215" s="11">
        <v>46167</v>
      </c>
      <c r="M2215" s="22">
        <f>MAX(1,NETWORKDAYS(A2215,L2215,Table2[Dias no laborales]))</f>
        <v>1</v>
      </c>
    </row>
    <row r="2216" spans="1:13" hidden="1" x14ac:dyDescent="0.3">
      <c r="A2216" s="11">
        <v>46167</v>
      </c>
      <c r="B2216" s="20" t="s">
        <v>4435</v>
      </c>
      <c r="C2216" s="7" t="s">
        <v>4322</v>
      </c>
      <c r="D2216" s="7" t="s">
        <v>24</v>
      </c>
      <c r="E2216" s="18"/>
      <c r="F2216" s="11">
        <f>IF(HOUR(Table1[[#This Row],[CORREO]])&gt;=11,WORKDAY(Table1[[#This Row],[CORREO]],1,Table2[Dias no laborales]),E2216)</f>
        <v>0</v>
      </c>
      <c r="G2216" s="11">
        <v>46170</v>
      </c>
      <c r="H2216" s="7">
        <f t="shared" si="113"/>
        <v>21</v>
      </c>
      <c r="I2216" s="7">
        <f>MAX(1, NETWORKDAYS(A2216, G2216,Table2[Dias no laborales]))</f>
        <v>4</v>
      </c>
      <c r="J2216" s="7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7" t="str">
        <f t="shared" si="114"/>
        <v>Programados</v>
      </c>
      <c r="L2216" s="11">
        <v>46167</v>
      </c>
      <c r="M2216" s="22">
        <f>MAX(1,NETWORKDAYS(A2216,L2216,Table2[Dias no laborales]))</f>
        <v>1</v>
      </c>
    </row>
    <row r="2217" spans="1:13" hidden="1" x14ac:dyDescent="0.3">
      <c r="A2217" s="11">
        <v>46167</v>
      </c>
      <c r="B2217" s="20" t="s">
        <v>4436</v>
      </c>
      <c r="C2217" s="7" t="s">
        <v>4496</v>
      </c>
      <c r="D2217" s="7" t="s">
        <v>24</v>
      </c>
      <c r="E2217" s="18">
        <v>46167.364583333336</v>
      </c>
      <c r="F2217" s="11">
        <f>IF(HOUR(Table1[[#This Row],[CORREO]])&gt;=11,WORKDAY(Table1[[#This Row],[CORREO]],1,Table2[Dias no laborales]),E2217)</f>
        <v>46167.364583333336</v>
      </c>
      <c r="G2217" s="11">
        <v>46168</v>
      </c>
      <c r="H2217" s="7">
        <f t="shared" si="113"/>
        <v>21</v>
      </c>
      <c r="I2217" s="7">
        <f>MAX(1, NETWORKDAYS(A2217, G2217,Table2[Dias no laborales]))</f>
        <v>2</v>
      </c>
      <c r="J2217" s="7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7" t="str">
        <f t="shared" si="114"/>
        <v>A tiempo</v>
      </c>
      <c r="L2217" s="11">
        <v>46167</v>
      </c>
      <c r="M2217" s="22">
        <f>MAX(1,NETWORKDAYS(A2217,L2217,Table2[Dias no laborales]))</f>
        <v>1</v>
      </c>
    </row>
    <row r="2218" spans="1:13" hidden="1" x14ac:dyDescent="0.3">
      <c r="A2218" s="11">
        <v>46167</v>
      </c>
      <c r="B2218" s="20" t="s">
        <v>4437</v>
      </c>
      <c r="C2218" s="7" t="s">
        <v>4552</v>
      </c>
      <c r="D2218" s="7" t="s">
        <v>4553</v>
      </c>
      <c r="E2218" s="18">
        <v>46167.376388888886</v>
      </c>
      <c r="F2218" s="11">
        <f>IF(HOUR(Table1[[#This Row],[CORREO]])&gt;=11,WORKDAY(Table1[[#This Row],[CORREO]],1,Table2[Dias no laborales]),E2218)</f>
        <v>46167.376388888886</v>
      </c>
      <c r="G2218" s="11">
        <v>46169</v>
      </c>
      <c r="H2218" s="7">
        <f t="shared" si="113"/>
        <v>21</v>
      </c>
      <c r="I2218" s="7">
        <f>MAX(1, NETWORKDAYS(A2218, G2218,Table2[Dias no laborales]))</f>
        <v>3</v>
      </c>
      <c r="J2218" s="7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7" t="str">
        <f t="shared" si="114"/>
        <v>A tiempo</v>
      </c>
      <c r="L2218" s="11">
        <v>46167</v>
      </c>
      <c r="M2218" s="22">
        <f>MAX(1,NETWORKDAYS(A2218,L2218,Table2[Dias no laborales]))</f>
        <v>1</v>
      </c>
    </row>
    <row r="2219" spans="1:13" hidden="1" x14ac:dyDescent="0.3">
      <c r="A2219" s="11">
        <v>46167</v>
      </c>
      <c r="B2219" s="20" t="s">
        <v>4438</v>
      </c>
      <c r="C2219" s="7" t="s">
        <v>4554</v>
      </c>
      <c r="D2219" s="7" t="s">
        <v>538</v>
      </c>
      <c r="E2219" s="18"/>
      <c r="F2219" s="11">
        <f>IF(HOUR(Table1[[#This Row],[CORREO]])&gt;=11,WORKDAY(Table1[[#This Row],[CORREO]],1,Table2[Dias no laborales]),E2219)</f>
        <v>0</v>
      </c>
      <c r="G2219" s="11">
        <v>46167</v>
      </c>
      <c r="H2219" s="7">
        <f t="shared" si="113"/>
        <v>21</v>
      </c>
      <c r="I2219" s="7">
        <f>MAX(1, NETWORKDAYS(A2219, G2219,Table2[Dias no laborales]))</f>
        <v>1</v>
      </c>
      <c r="J2219" s="7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7" t="str">
        <f t="shared" si="114"/>
        <v>Programados</v>
      </c>
      <c r="L2219" s="11">
        <v>46167</v>
      </c>
      <c r="M2219" s="22">
        <f>MAX(1,NETWORKDAYS(A2219,L2219,Table2[Dias no laborales]))</f>
        <v>1</v>
      </c>
    </row>
    <row r="2220" spans="1:13" hidden="1" x14ac:dyDescent="0.3">
      <c r="A2220" s="11">
        <v>46167</v>
      </c>
      <c r="B2220" s="20" t="s">
        <v>4439</v>
      </c>
      <c r="C2220" s="7" t="s">
        <v>4555</v>
      </c>
      <c r="D2220" s="7" t="s">
        <v>392</v>
      </c>
      <c r="E2220" s="18">
        <v>46167.549305555556</v>
      </c>
      <c r="F2220" s="11">
        <f>IF(HOUR(Table1[[#This Row],[CORREO]])&gt;=11,WORKDAY(Table1[[#This Row],[CORREO]],1,Table2[Dias no laborales]),E2220)</f>
        <v>46168</v>
      </c>
      <c r="G2220" s="11">
        <v>46168</v>
      </c>
      <c r="H2220" s="7">
        <f t="shared" si="113"/>
        <v>21</v>
      </c>
      <c r="I2220" s="7">
        <f>MAX(1, NETWORKDAYS(A2220, G2220,Table2[Dias no laborales]))</f>
        <v>2</v>
      </c>
      <c r="J2220" s="7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7" t="str">
        <f t="shared" si="114"/>
        <v>Mismo día</v>
      </c>
      <c r="L2220" s="11">
        <v>46167</v>
      </c>
      <c r="M2220" s="22">
        <f>MAX(1,NETWORKDAYS(A2220,L2220,Table2[Dias no laborales]))</f>
        <v>1</v>
      </c>
    </row>
    <row r="2221" spans="1:13" hidden="1" x14ac:dyDescent="0.3">
      <c r="A2221" s="11">
        <v>46167</v>
      </c>
      <c r="B2221" s="20" t="s">
        <v>4440</v>
      </c>
      <c r="C2221" s="7" t="s">
        <v>4119</v>
      </c>
      <c r="D2221" s="7" t="s">
        <v>4120</v>
      </c>
      <c r="E2221" s="18">
        <v>46165.491666666669</v>
      </c>
      <c r="F2221" s="11">
        <f>IF(HOUR(Table1[[#This Row],[CORREO]])&gt;=11,WORKDAY(Table1[[#This Row],[CORREO]],1,Table2[Dias no laborales]),E2221)</f>
        <v>46167</v>
      </c>
      <c r="G2221" s="11">
        <v>46176</v>
      </c>
      <c r="H2221" s="7">
        <f t="shared" si="113"/>
        <v>21</v>
      </c>
      <c r="I2221" s="7">
        <f>MAX(1, NETWORKDAYS(A2221, G2221,Table2[Dias no laborales]))</f>
        <v>8</v>
      </c>
      <c r="J2221" s="7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7" t="str">
        <f t="shared" si="114"/>
        <v>A tiempo</v>
      </c>
      <c r="L2221" s="11">
        <v>46167</v>
      </c>
      <c r="M2221" s="22">
        <f>MAX(1,NETWORKDAYS(A2221,L2221,Table2[Dias no laborales]))</f>
        <v>1</v>
      </c>
    </row>
    <row r="2222" spans="1:13" hidden="1" x14ac:dyDescent="0.3">
      <c r="A2222" s="11">
        <v>46168</v>
      </c>
      <c r="B2222" s="20" t="s">
        <v>4441</v>
      </c>
      <c r="C2222" s="7" t="s">
        <v>4556</v>
      </c>
      <c r="D2222" s="7" t="s">
        <v>27</v>
      </c>
      <c r="E2222" s="18"/>
      <c r="F2222" s="11">
        <f>IF(HOUR(Table1[[#This Row],[CORREO]])&gt;=11,WORKDAY(Table1[[#This Row],[CORREO]],1,Table2[Dias no laborales]),E2222)</f>
        <v>0</v>
      </c>
      <c r="G2222" s="11">
        <v>46170</v>
      </c>
      <c r="H2222" s="7">
        <f t="shared" si="113"/>
        <v>21</v>
      </c>
      <c r="I2222" s="7">
        <f>MAX(1, NETWORKDAYS(A2222, G2222,Table2[Dias no laborales]))</f>
        <v>3</v>
      </c>
      <c r="J2222" s="7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7" t="str">
        <f t="shared" si="114"/>
        <v>Programados</v>
      </c>
      <c r="L2222" s="11">
        <v>46168</v>
      </c>
      <c r="M2222" s="22">
        <f>MAX(1,NETWORKDAYS(A2222,L2222,Table2[Dias no laborales]))</f>
        <v>1</v>
      </c>
    </row>
    <row r="2223" spans="1:13" hidden="1" x14ac:dyDescent="0.3">
      <c r="A2223" s="11">
        <v>46168</v>
      </c>
      <c r="B2223" s="20" t="s">
        <v>4442</v>
      </c>
      <c r="C2223" s="7" t="s">
        <v>4557</v>
      </c>
      <c r="D2223" s="7" t="s">
        <v>18</v>
      </c>
      <c r="E2223" s="18">
        <v>46167.520833333336</v>
      </c>
      <c r="F2223" s="11">
        <f>IF(HOUR(Table1[[#This Row],[CORREO]])&gt;=11,WORKDAY(Table1[[#This Row],[CORREO]],1,Table2[Dias no laborales]),E2223)</f>
        <v>46168</v>
      </c>
      <c r="G2223" s="11">
        <v>46174</v>
      </c>
      <c r="H2223" s="7">
        <f t="shared" si="113"/>
        <v>21</v>
      </c>
      <c r="I2223" s="7">
        <f>MAX(1, NETWORKDAYS(A2223, G2223,Table2[Dias no laborales]))</f>
        <v>5</v>
      </c>
      <c r="J2223" s="7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7" t="str">
        <f t="shared" si="114"/>
        <v>A tiempo</v>
      </c>
      <c r="L2223" s="11">
        <v>46168</v>
      </c>
      <c r="M2223" s="22">
        <f>MAX(1,NETWORKDAYS(A2223,L2223,Table2[Dias no laborales]))</f>
        <v>1</v>
      </c>
    </row>
    <row r="2224" spans="1:13" hidden="1" x14ac:dyDescent="0.3">
      <c r="A2224" s="11">
        <v>46168</v>
      </c>
      <c r="B2224" s="20" t="s">
        <v>4443</v>
      </c>
      <c r="C2224" s="7" t="s">
        <v>4558</v>
      </c>
      <c r="D2224" s="18" t="s">
        <v>623</v>
      </c>
      <c r="E2224" s="18">
        <v>46167.536111111112</v>
      </c>
      <c r="F2224" s="11">
        <f>IF(HOUR(Table1[[#This Row],[CORREO]])&gt;=11,WORKDAY(Table1[[#This Row],[CORREO]],1,Table2[Dias no laborales]),E2224)</f>
        <v>46168</v>
      </c>
      <c r="G2224" s="11">
        <v>46168</v>
      </c>
      <c r="H2224" s="7">
        <f t="shared" si="113"/>
        <v>21</v>
      </c>
      <c r="I2224" s="7">
        <f>MAX(1, NETWORKDAYS(A2224, G2224,Table2[Dias no laborales]))</f>
        <v>1</v>
      </c>
      <c r="J2224" s="7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7" t="str">
        <f t="shared" si="114"/>
        <v>A tiempo</v>
      </c>
      <c r="L2224" s="11">
        <v>46168</v>
      </c>
      <c r="M2224" s="22">
        <f>MAX(1,NETWORKDAYS(A2224,L2224,Table2[Dias no laborales]))</f>
        <v>1</v>
      </c>
    </row>
    <row r="2225" spans="1:13" hidden="1" x14ac:dyDescent="0.3">
      <c r="A2225" s="11">
        <v>46168</v>
      </c>
      <c r="B2225" s="20" t="s">
        <v>4444</v>
      </c>
      <c r="C2225" s="7" t="s">
        <v>4559</v>
      </c>
      <c r="D2225" s="7" t="s">
        <v>754</v>
      </c>
      <c r="E2225" s="18">
        <v>46167.574999999997</v>
      </c>
      <c r="F2225" s="11">
        <f>IF(HOUR(Table1[[#This Row],[CORREO]])&gt;=11,WORKDAY(Table1[[#This Row],[CORREO]],1,Table2[Dias no laborales]),E2225)</f>
        <v>46168</v>
      </c>
      <c r="G2225" s="11">
        <v>46171</v>
      </c>
      <c r="H2225" s="7">
        <f t="shared" si="113"/>
        <v>21</v>
      </c>
      <c r="I2225" s="7">
        <f>MAX(1, NETWORKDAYS(A2225, G2225,Table2[Dias no laborales]))</f>
        <v>4</v>
      </c>
      <c r="J2225" s="7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7" t="str">
        <f t="shared" si="114"/>
        <v>A tiempo</v>
      </c>
      <c r="L2225" s="11">
        <v>46168</v>
      </c>
      <c r="M2225" s="22">
        <f>MAX(1,NETWORKDAYS(A2225,L2225,Table2[Dias no laborales]))</f>
        <v>1</v>
      </c>
    </row>
    <row r="2226" spans="1:13" hidden="1" x14ac:dyDescent="0.3">
      <c r="A2226" s="11">
        <v>46168</v>
      </c>
      <c r="B2226" s="20" t="s">
        <v>4445</v>
      </c>
      <c r="C2226" s="7" t="s">
        <v>4560</v>
      </c>
      <c r="D2226" s="7" t="s">
        <v>24</v>
      </c>
      <c r="E2226" s="18">
        <v>46167.638888888891</v>
      </c>
      <c r="F2226" s="11">
        <f>IF(HOUR(Table1[[#This Row],[CORREO]])&gt;=11,WORKDAY(Table1[[#This Row],[CORREO]],1,Table2[Dias no laborales]),E2226)</f>
        <v>46168</v>
      </c>
      <c r="G2226" s="11">
        <v>46176</v>
      </c>
      <c r="H2226" s="7">
        <f t="shared" si="113"/>
        <v>21</v>
      </c>
      <c r="I2226" s="7">
        <f>MAX(1, NETWORKDAYS(A2226, G2226,Table2[Dias no laborales]))</f>
        <v>7</v>
      </c>
      <c r="J2226" s="7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7" t="str">
        <f t="shared" si="114"/>
        <v>A tiempo</v>
      </c>
      <c r="L2226" s="11">
        <v>46168</v>
      </c>
      <c r="M2226" s="22">
        <f>MAX(1,NETWORKDAYS(A2226,L2226,Table2[Dias no laborales]))</f>
        <v>1</v>
      </c>
    </row>
    <row r="2227" spans="1:13" hidden="1" x14ac:dyDescent="0.3">
      <c r="A2227" s="11">
        <v>46168</v>
      </c>
      <c r="B2227" s="20" t="s">
        <v>4446</v>
      </c>
      <c r="C2227" s="7" t="s">
        <v>2149</v>
      </c>
      <c r="D2227" s="7" t="s">
        <v>269</v>
      </c>
      <c r="E2227" s="18"/>
      <c r="F2227" s="11">
        <f>IF(HOUR(Table1[[#This Row],[CORREO]])&gt;=11,WORKDAY(Table1[[#This Row],[CORREO]],1,Table2[Dias no laborales]),E2227)</f>
        <v>0</v>
      </c>
      <c r="G2227" s="11">
        <v>46168</v>
      </c>
      <c r="H2227" s="7">
        <f t="shared" si="113"/>
        <v>21</v>
      </c>
      <c r="I2227" s="7">
        <f>MAX(1, NETWORKDAYS(A2227, G2227,Table2[Dias no laborales]))</f>
        <v>1</v>
      </c>
      <c r="J2227" s="7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7" t="str">
        <f t="shared" si="114"/>
        <v>Programados</v>
      </c>
      <c r="L2227" s="11">
        <v>46168</v>
      </c>
      <c r="M2227" s="22">
        <f>MAX(1,NETWORKDAYS(A2227,L2227,Table2[Dias no laborales]))</f>
        <v>1</v>
      </c>
    </row>
    <row r="2228" spans="1:13" hidden="1" x14ac:dyDescent="0.3">
      <c r="A2228" s="11">
        <v>46168</v>
      </c>
      <c r="B2228" s="20" t="s">
        <v>4447</v>
      </c>
      <c r="C2228" s="7" t="s">
        <v>4555</v>
      </c>
      <c r="D2228" s="7" t="s">
        <v>392</v>
      </c>
      <c r="E2228" s="18"/>
      <c r="F2228" s="11">
        <f>IF(HOUR(Table1[[#This Row],[CORREO]])&gt;=11,WORKDAY(Table1[[#This Row],[CORREO]],1,Table2[Dias no laborales]),E2228)</f>
        <v>0</v>
      </c>
      <c r="G2228" s="11">
        <v>46168</v>
      </c>
      <c r="H2228" s="7">
        <f t="shared" si="113"/>
        <v>21</v>
      </c>
      <c r="I2228" s="7">
        <f>MAX(1, NETWORKDAYS(A2228, G2228,Table2[Dias no laborales]))</f>
        <v>1</v>
      </c>
      <c r="J2228" s="7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7" t="str">
        <f t="shared" si="114"/>
        <v>Programados</v>
      </c>
      <c r="L2228" s="11">
        <v>46168</v>
      </c>
      <c r="M2228" s="22">
        <f>MAX(1,NETWORKDAYS(A2228,L2228,Table2[Dias no laborales]))</f>
        <v>1</v>
      </c>
    </row>
    <row r="2229" spans="1:13" hidden="1" x14ac:dyDescent="0.3">
      <c r="A2229" s="11">
        <v>46168</v>
      </c>
      <c r="B2229" s="20" t="s">
        <v>4448</v>
      </c>
      <c r="C2229" s="7" t="s">
        <v>4561</v>
      </c>
      <c r="D2229" s="7" t="s">
        <v>42</v>
      </c>
      <c r="E2229" s="18"/>
      <c r="F2229" s="11">
        <f>IF(HOUR(Table1[[#This Row],[CORREO]])&gt;=11,WORKDAY(Table1[[#This Row],[CORREO]],1,Table2[Dias no laborales]),E2229)</f>
        <v>0</v>
      </c>
      <c r="G2229" s="11">
        <v>46174</v>
      </c>
      <c r="H2229" s="7">
        <f t="shared" si="113"/>
        <v>21</v>
      </c>
      <c r="I2229" s="7">
        <f>MAX(1, NETWORKDAYS(A2229, G2229,Table2[Dias no laborales]))</f>
        <v>5</v>
      </c>
      <c r="J2229" s="7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7" t="str">
        <f t="shared" si="114"/>
        <v>Programados</v>
      </c>
      <c r="L2229" s="11">
        <v>46168</v>
      </c>
      <c r="M2229" s="22">
        <f>MAX(1,NETWORKDAYS(A2229,L2229,Table2[Dias no laborales]))</f>
        <v>1</v>
      </c>
    </row>
    <row r="2230" spans="1:13" hidden="1" x14ac:dyDescent="0.3">
      <c r="A2230" s="11">
        <v>46168</v>
      </c>
      <c r="B2230" s="20" t="s">
        <v>4449</v>
      </c>
      <c r="C2230" s="7" t="s">
        <v>4562</v>
      </c>
      <c r="D2230" s="7" t="s">
        <v>24</v>
      </c>
      <c r="E2230" s="18">
        <v>46168.36041666667</v>
      </c>
      <c r="F2230" s="11">
        <f>IF(HOUR(Table1[[#This Row],[CORREO]])&gt;=11,WORKDAY(Table1[[#This Row],[CORREO]],1,Table2[Dias no laborales]),E2230)</f>
        <v>46168.36041666667</v>
      </c>
      <c r="G2230" s="11">
        <v>46170</v>
      </c>
      <c r="H2230" s="7">
        <f t="shared" si="113"/>
        <v>21</v>
      </c>
      <c r="I2230" s="7">
        <f>MAX(1, NETWORKDAYS(A2230, G2230,Table2[Dias no laborales]))</f>
        <v>3</v>
      </c>
      <c r="J2230" s="7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7" t="str">
        <f t="shared" si="114"/>
        <v>A tiempo</v>
      </c>
      <c r="L2230" s="11">
        <v>46168</v>
      </c>
      <c r="M2230" s="22">
        <f>MAX(1,NETWORKDAYS(A2230,L2230,Table2[Dias no laborales]))</f>
        <v>1</v>
      </c>
    </row>
    <row r="2231" spans="1:13" hidden="1" x14ac:dyDescent="0.3">
      <c r="A2231" s="11">
        <v>46169</v>
      </c>
      <c r="B2231" s="20" t="s">
        <v>4450</v>
      </c>
      <c r="C2231" s="7" t="s">
        <v>4563</v>
      </c>
      <c r="D2231" s="7" t="s">
        <v>351</v>
      </c>
      <c r="E2231" s="18"/>
      <c r="F2231" s="11">
        <f>IF(HOUR(Table1[[#This Row],[CORREO]])&gt;=11,WORKDAY(Table1[[#This Row],[CORREO]],1,Table2[Dias no laborales]),E2231)</f>
        <v>0</v>
      </c>
      <c r="G2231" s="11">
        <v>46174</v>
      </c>
      <c r="H2231" s="7">
        <f t="shared" si="113"/>
        <v>21</v>
      </c>
      <c r="I2231" s="7">
        <f>MAX(1, NETWORKDAYS(A2231, G2231,Table2[Dias no laborales]))</f>
        <v>4</v>
      </c>
      <c r="J2231" s="7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7" t="str">
        <f t="shared" si="114"/>
        <v>Programados</v>
      </c>
      <c r="L2231" s="11">
        <v>46171</v>
      </c>
      <c r="M2231" s="22">
        <f>MAX(1,NETWORKDAYS(A2231,L2231,Table2[Dias no laborales]))</f>
        <v>3</v>
      </c>
    </row>
    <row r="2232" spans="1:13" hidden="1" x14ac:dyDescent="0.3">
      <c r="A2232" s="11">
        <v>46169</v>
      </c>
      <c r="B2232" s="20" t="s">
        <v>4451</v>
      </c>
      <c r="C2232" s="7" t="s">
        <v>4564</v>
      </c>
      <c r="D2232" s="7" t="s">
        <v>89</v>
      </c>
      <c r="E2232" s="18"/>
      <c r="F2232" s="11">
        <f>IF(HOUR(Table1[[#This Row],[CORREO]])&gt;=11,WORKDAY(Table1[[#This Row],[CORREO]],1,Table2[Dias no laborales]),E2232)</f>
        <v>0</v>
      </c>
      <c r="G2232" s="11">
        <v>46174</v>
      </c>
      <c r="H2232" s="7">
        <f t="shared" si="113"/>
        <v>21</v>
      </c>
      <c r="I2232" s="7">
        <f>MAX(1, NETWORKDAYS(A2232, G2232,Table2[Dias no laborales]))</f>
        <v>4</v>
      </c>
      <c r="J2232" s="7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7" t="str">
        <f t="shared" si="114"/>
        <v>Programados</v>
      </c>
      <c r="L2232" s="11">
        <v>46169</v>
      </c>
      <c r="M2232" s="22">
        <f>MAX(1,NETWORKDAYS(A2232,L2232,Table2[Dias no laborales]))</f>
        <v>1</v>
      </c>
    </row>
    <row r="2233" spans="1:13" hidden="1" x14ac:dyDescent="0.3">
      <c r="A2233" s="11">
        <v>46169</v>
      </c>
      <c r="B2233" s="20" t="s">
        <v>4452</v>
      </c>
      <c r="C2233" s="7" t="s">
        <v>4565</v>
      </c>
      <c r="D2233" s="7" t="s">
        <v>89</v>
      </c>
      <c r="E2233" s="18"/>
      <c r="F2233" s="11">
        <f>IF(HOUR(Table1[[#This Row],[CORREO]])&gt;=11,WORKDAY(Table1[[#This Row],[CORREO]],1,Table2[Dias no laborales]),E2233)</f>
        <v>0</v>
      </c>
      <c r="G2233" s="11">
        <v>46174</v>
      </c>
      <c r="H2233" s="7">
        <f t="shared" si="113"/>
        <v>21</v>
      </c>
      <c r="I2233" s="7">
        <f>MAX(1, NETWORKDAYS(A2233, G2233,Table2[Dias no laborales]))</f>
        <v>4</v>
      </c>
      <c r="J2233" s="7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7" t="str">
        <f t="shared" si="114"/>
        <v>Programados</v>
      </c>
      <c r="L2233" s="11">
        <v>46169</v>
      </c>
      <c r="M2233" s="22">
        <f>MAX(1,NETWORKDAYS(A2233,L2233,Table2[Dias no laborales]))</f>
        <v>1</v>
      </c>
    </row>
    <row r="2234" spans="1:13" hidden="1" x14ac:dyDescent="0.3">
      <c r="A2234" s="11">
        <v>46169</v>
      </c>
      <c r="B2234" s="20" t="s">
        <v>4453</v>
      </c>
      <c r="C2234" s="7" t="s">
        <v>2633</v>
      </c>
      <c r="D2234" s="7" t="s">
        <v>2623</v>
      </c>
      <c r="E2234" s="18">
        <v>46168.993055555555</v>
      </c>
      <c r="F2234" s="11">
        <f>IF(HOUR(Table1[[#This Row],[CORREO]])&gt;=11,WORKDAY(Table1[[#This Row],[CORREO]],1,Table2[Dias no laborales]),E2234)</f>
        <v>46169</v>
      </c>
      <c r="G2234" s="11">
        <v>46169</v>
      </c>
      <c r="H2234" s="7">
        <f t="shared" si="113"/>
        <v>21</v>
      </c>
      <c r="I2234" s="7">
        <f>MAX(1, NETWORKDAYS(A2234, G2234,Table2[Dias no laborales]))</f>
        <v>1</v>
      </c>
      <c r="J2234" s="7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7" t="str">
        <f t="shared" si="114"/>
        <v>A tiempo</v>
      </c>
      <c r="L2234" s="11">
        <v>46169</v>
      </c>
      <c r="M2234" s="22">
        <f>MAX(1,NETWORKDAYS(A2234,L2234,Table2[Dias no laborales]))</f>
        <v>1</v>
      </c>
    </row>
    <row r="2235" spans="1:13" hidden="1" x14ac:dyDescent="0.3">
      <c r="A2235" s="11">
        <v>46169</v>
      </c>
      <c r="B2235" s="20" t="s">
        <v>4454</v>
      </c>
      <c r="C2235" s="7" t="s">
        <v>4566</v>
      </c>
      <c r="D2235" s="7" t="s">
        <v>4553</v>
      </c>
      <c r="E2235" s="18">
        <v>46168.479166666664</v>
      </c>
      <c r="F2235" s="11">
        <f>IF(HOUR(Table1[[#This Row],[CORREO]])&gt;=11,WORKDAY(Table1[[#This Row],[CORREO]],1,Table2[Dias no laborales]),E2235)</f>
        <v>46169</v>
      </c>
      <c r="G2235" s="11">
        <v>46169</v>
      </c>
      <c r="H2235" s="7">
        <f t="shared" si="113"/>
        <v>21</v>
      </c>
      <c r="I2235" s="7">
        <f>MAX(1, NETWORKDAYS(A2235, G2235,Table2[Dias no laborales]))</f>
        <v>1</v>
      </c>
      <c r="J2235" s="7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7" t="str">
        <f t="shared" si="114"/>
        <v>A tiempo</v>
      </c>
      <c r="L2235" s="11">
        <v>46169</v>
      </c>
      <c r="M2235" s="22">
        <f>MAX(1,NETWORKDAYS(A2235,L2235,Table2[Dias no laborales]))</f>
        <v>1</v>
      </c>
    </row>
    <row r="2236" spans="1:13" hidden="1" x14ac:dyDescent="0.3">
      <c r="A2236" s="11">
        <v>46169</v>
      </c>
      <c r="B2236" s="20" t="s">
        <v>4455</v>
      </c>
      <c r="C2236" s="7" t="s">
        <v>4567</v>
      </c>
      <c r="D2236" s="7" t="s">
        <v>877</v>
      </c>
      <c r="E2236" s="18">
        <v>46168.763194444444</v>
      </c>
      <c r="F2236" s="11">
        <f>IF(HOUR(Table1[[#This Row],[CORREO]])&gt;=11,WORKDAY(Table1[[#This Row],[CORREO]],1,Table2[Dias no laborales]),E2236)</f>
        <v>46169</v>
      </c>
      <c r="G2236" s="11">
        <v>46169</v>
      </c>
      <c r="H2236" s="7">
        <f t="shared" si="113"/>
        <v>21</v>
      </c>
      <c r="I2236" s="7">
        <f>MAX(1, NETWORKDAYS(A2236, G2236,Table2[Dias no laborales]))</f>
        <v>1</v>
      </c>
      <c r="J2236" s="7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7" t="str">
        <f t="shared" si="114"/>
        <v>A tiempo</v>
      </c>
      <c r="L2236" s="11">
        <v>46169</v>
      </c>
      <c r="M2236" s="22">
        <f>MAX(1,NETWORKDAYS(A2236,L2236,Table2[Dias no laborales]))</f>
        <v>1</v>
      </c>
    </row>
    <row r="2237" spans="1:13" hidden="1" x14ac:dyDescent="0.3">
      <c r="A2237" s="11">
        <v>46169</v>
      </c>
      <c r="B2237" s="20" t="s">
        <v>4456</v>
      </c>
      <c r="C2237" s="7" t="s">
        <v>4568</v>
      </c>
      <c r="D2237" s="7" t="s">
        <v>655</v>
      </c>
      <c r="E2237" s="18">
        <v>46169.696527777778</v>
      </c>
      <c r="F2237" s="11">
        <f>IF(HOUR(Table1[[#This Row],[CORREO]])&gt;=11,WORKDAY(Table1[[#This Row],[CORREO]],1,Table2[Dias no laborales]),E2237)</f>
        <v>46170</v>
      </c>
      <c r="G2237" s="11">
        <v>46169</v>
      </c>
      <c r="H2237" s="7">
        <f t="shared" si="113"/>
        <v>21</v>
      </c>
      <c r="I2237" s="7">
        <f>MAX(1, NETWORKDAYS(A2237, G2237,Table2[Dias no laborales]))</f>
        <v>1</v>
      </c>
      <c r="J2237" s="7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7" t="str">
        <f t="shared" si="114"/>
        <v>Mismo día</v>
      </c>
      <c r="L2237" s="11">
        <v>46169</v>
      </c>
      <c r="M2237" s="22">
        <f>MAX(1,NETWORKDAYS(A2237,L2237,Table2[Dias no laborales]))</f>
        <v>1</v>
      </c>
    </row>
    <row r="2238" spans="1:13" hidden="1" x14ac:dyDescent="0.3">
      <c r="A2238" s="11">
        <v>46169</v>
      </c>
      <c r="B2238" s="20" t="s">
        <v>4457</v>
      </c>
      <c r="C2238" s="7" t="s">
        <v>4048</v>
      </c>
      <c r="D2238" s="7" t="s">
        <v>4553</v>
      </c>
      <c r="E2238" s="18">
        <v>46169.32916666667</v>
      </c>
      <c r="F2238" s="11">
        <f>IF(HOUR(Table1[[#This Row],[CORREO]])&gt;=11,WORKDAY(Table1[[#This Row],[CORREO]],1,Table2[Dias no laborales]),E2238)</f>
        <v>46169.32916666667</v>
      </c>
      <c r="G2238" s="11">
        <v>46171</v>
      </c>
      <c r="H2238" s="7">
        <f t="shared" ref="H2238:H2264" si="115">INT((A2238-DATE(YEAR(A2238),1,1))/7) + 1</f>
        <v>21</v>
      </c>
      <c r="I2238" s="7">
        <f>MAX(1, NETWORKDAYS(A2238, G2238,Table2[Dias no laborales]))</f>
        <v>3</v>
      </c>
      <c r="J2238" s="7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7" t="str">
        <f t="shared" ref="K2238:K2264" si="116">IF(INT(A2238)=INT(F2238),"A tiempo", IF(A2238&lt;F2238,"Mismo día","Programados"))</f>
        <v>A tiempo</v>
      </c>
      <c r="L2238" s="11">
        <v>46169</v>
      </c>
      <c r="M2238" s="22">
        <f>MAX(1,NETWORKDAYS(A2238,L2238,Table2[Dias no laborales]))</f>
        <v>1</v>
      </c>
    </row>
    <row r="2239" spans="1:13" hidden="1" x14ac:dyDescent="0.3">
      <c r="A2239" s="11">
        <v>46169</v>
      </c>
      <c r="B2239" s="20" t="s">
        <v>4458</v>
      </c>
      <c r="C2239" s="7" t="s">
        <v>2149</v>
      </c>
      <c r="D2239" s="7" t="s">
        <v>269</v>
      </c>
      <c r="E2239" s="18">
        <v>46169.333333333336</v>
      </c>
      <c r="F2239" s="11">
        <f>IF(HOUR(Table1[[#This Row],[CORREO]])&gt;=11,WORKDAY(Table1[[#This Row],[CORREO]],1,Table2[Dias no laborales]),E2239)</f>
        <v>46169.333333333336</v>
      </c>
      <c r="G2239" s="11">
        <v>46169</v>
      </c>
      <c r="H2239" s="7">
        <f t="shared" si="115"/>
        <v>21</v>
      </c>
      <c r="I2239" s="7">
        <f>MAX(1, NETWORKDAYS(A2239, G2239,Table2[Dias no laborales]))</f>
        <v>1</v>
      </c>
      <c r="J2239" s="7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7" t="str">
        <f t="shared" si="116"/>
        <v>A tiempo</v>
      </c>
      <c r="L2239" s="11">
        <v>46169</v>
      </c>
      <c r="M2239" s="22">
        <f>MAX(1,NETWORKDAYS(A2239,L2239,Table2[Dias no laborales]))</f>
        <v>1</v>
      </c>
    </row>
    <row r="2240" spans="1:13" hidden="1" x14ac:dyDescent="0.3">
      <c r="A2240" s="11">
        <v>46169</v>
      </c>
      <c r="B2240" s="20" t="s">
        <v>4459</v>
      </c>
      <c r="C2240" s="7" t="s">
        <v>4555</v>
      </c>
      <c r="D2240" s="7" t="s">
        <v>392</v>
      </c>
      <c r="E2240" s="18">
        <v>46169.335416666669</v>
      </c>
      <c r="F2240" s="11">
        <f>IF(HOUR(Table1[[#This Row],[CORREO]])&gt;=11,WORKDAY(Table1[[#This Row],[CORREO]],1,Table2[Dias no laborales]),E2240)</f>
        <v>46169.335416666669</v>
      </c>
      <c r="G2240" s="11">
        <v>46169</v>
      </c>
      <c r="H2240" s="7">
        <f t="shared" si="115"/>
        <v>21</v>
      </c>
      <c r="I2240" s="7">
        <f>MAX(1, NETWORKDAYS(A2240, G2240,Table2[Dias no laborales]))</f>
        <v>1</v>
      </c>
      <c r="J2240" s="7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7" t="str">
        <f t="shared" si="116"/>
        <v>A tiempo</v>
      </c>
      <c r="L2240" s="11">
        <v>46169</v>
      </c>
      <c r="M2240" s="22">
        <f>MAX(1,NETWORKDAYS(A2240,L2240,Table2[Dias no laborales]))</f>
        <v>1</v>
      </c>
    </row>
    <row r="2241" spans="1:13" hidden="1" x14ac:dyDescent="0.3">
      <c r="A2241" s="11">
        <v>46169</v>
      </c>
      <c r="B2241" s="20" t="s">
        <v>4460</v>
      </c>
      <c r="C2241" s="7" t="s">
        <v>4327</v>
      </c>
      <c r="D2241" s="7" t="s">
        <v>351</v>
      </c>
      <c r="E2241" s="18">
        <v>46169.342361111114</v>
      </c>
      <c r="F2241" s="11">
        <f>IF(HOUR(Table1[[#This Row],[CORREO]])&gt;=11,WORKDAY(Table1[[#This Row],[CORREO]],1,Table2[Dias no laborales]),E2241)</f>
        <v>46169.342361111114</v>
      </c>
      <c r="G2241" s="11">
        <v>46169</v>
      </c>
      <c r="H2241" s="7">
        <f t="shared" si="115"/>
        <v>21</v>
      </c>
      <c r="I2241" s="7">
        <f>MAX(1, NETWORKDAYS(A2241, G2241,Table2[Dias no laborales]))</f>
        <v>1</v>
      </c>
      <c r="J2241" s="7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7" t="str">
        <f t="shared" si="116"/>
        <v>A tiempo</v>
      </c>
      <c r="L2241" s="11">
        <v>46169</v>
      </c>
      <c r="M2241" s="22">
        <f>MAX(1,NETWORKDAYS(A2241,L2241,Table2[Dias no laborales]))</f>
        <v>1</v>
      </c>
    </row>
    <row r="2242" spans="1:13" hidden="1" x14ac:dyDescent="0.3">
      <c r="A2242" s="11">
        <v>46169</v>
      </c>
      <c r="B2242" s="20" t="s">
        <v>4461</v>
      </c>
      <c r="C2242" s="7" t="s">
        <v>4569</v>
      </c>
      <c r="D2242" s="7" t="s">
        <v>56</v>
      </c>
      <c r="E2242" s="18">
        <v>46169.361111111109</v>
      </c>
      <c r="F2242" s="11">
        <f>IF(HOUR(Table1[[#This Row],[CORREO]])&gt;=11,WORKDAY(Table1[[#This Row],[CORREO]],1,Table2[Dias no laborales]),E2242)</f>
        <v>46169.361111111109</v>
      </c>
      <c r="G2242" s="11">
        <v>46169</v>
      </c>
      <c r="H2242" s="7">
        <f t="shared" si="115"/>
        <v>21</v>
      </c>
      <c r="I2242" s="7">
        <f>MAX(1, NETWORKDAYS(A2242, G2242,Table2[Dias no laborales]))</f>
        <v>1</v>
      </c>
      <c r="J2242" s="7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7" t="str">
        <f t="shared" si="116"/>
        <v>A tiempo</v>
      </c>
      <c r="L2242" s="11">
        <v>46169</v>
      </c>
      <c r="M2242" s="22">
        <f>MAX(1,NETWORKDAYS(A2242,L2242,Table2[Dias no laborales]))</f>
        <v>1</v>
      </c>
    </row>
    <row r="2243" spans="1:13" hidden="1" x14ac:dyDescent="0.3">
      <c r="A2243" s="11">
        <v>46169</v>
      </c>
      <c r="B2243" s="20" t="s">
        <v>4462</v>
      </c>
      <c r="C2243" s="7" t="s">
        <v>4580</v>
      </c>
      <c r="D2243" s="7" t="s">
        <v>4581</v>
      </c>
      <c r="E2243" s="18">
        <v>46168.669444444444</v>
      </c>
      <c r="F2243" s="11">
        <f>IF(HOUR(Table1[[#This Row],[CORREO]])&gt;=11,WORKDAY(Table1[[#This Row],[CORREO]],1,Table2[Dias no laborales]),E2243)</f>
        <v>46169</v>
      </c>
      <c r="G2243" s="11">
        <v>46169</v>
      </c>
      <c r="H2243" s="7">
        <f t="shared" si="115"/>
        <v>21</v>
      </c>
      <c r="I2243" s="7">
        <f>MAX(1, NETWORKDAYS(A2243, G2243,Table2[Dias no laborales]))</f>
        <v>1</v>
      </c>
      <c r="J2243" s="7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7" t="str">
        <f t="shared" si="116"/>
        <v>A tiempo</v>
      </c>
      <c r="L2243" s="11">
        <v>46169</v>
      </c>
      <c r="M2243" s="22">
        <f>MAX(1,NETWORKDAYS(A2243,L2243,Table2[Dias no laborales]))</f>
        <v>1</v>
      </c>
    </row>
    <row r="2244" spans="1:13" hidden="1" x14ac:dyDescent="0.3">
      <c r="A2244" s="11">
        <v>46169</v>
      </c>
      <c r="B2244" s="20" t="s">
        <v>4463</v>
      </c>
      <c r="C2244" s="7" t="s">
        <v>4489</v>
      </c>
      <c r="D2244" s="7" t="s">
        <v>3941</v>
      </c>
      <c r="E2244" s="18">
        <v>46168.870833333334</v>
      </c>
      <c r="F2244" s="11">
        <f>IF(HOUR(Table1[[#This Row],[CORREO]])&gt;=11,WORKDAY(Table1[[#This Row],[CORREO]],1,Table2[Dias no laborales]),E2244)</f>
        <v>46169</v>
      </c>
      <c r="G2244" s="11">
        <v>46175</v>
      </c>
      <c r="H2244" s="7">
        <f t="shared" si="115"/>
        <v>21</v>
      </c>
      <c r="I2244" s="7">
        <f>MAX(1, NETWORKDAYS(A2244, G2244,Table2[Dias no laborales]))</f>
        <v>5</v>
      </c>
      <c r="J2244" s="7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7" t="str">
        <f t="shared" si="116"/>
        <v>A tiempo</v>
      </c>
      <c r="L2244" s="11">
        <v>46169</v>
      </c>
      <c r="M2244" s="22">
        <f>MAX(1,NETWORKDAYS(A2244,L2244,Table2[Dias no laborales]))</f>
        <v>1</v>
      </c>
    </row>
    <row r="2245" spans="1:13" hidden="1" x14ac:dyDescent="0.3">
      <c r="A2245" s="11">
        <v>46170</v>
      </c>
      <c r="B2245" s="20" t="s">
        <v>4464</v>
      </c>
      <c r="C2245" s="7" t="s">
        <v>4582</v>
      </c>
      <c r="D2245" s="7" t="s">
        <v>151</v>
      </c>
      <c r="E2245" s="18">
        <v>46169.504166666666</v>
      </c>
      <c r="F2245" s="11">
        <f>IF(HOUR(Table1[[#This Row],[CORREO]])&gt;=11,WORKDAY(Table1[[#This Row],[CORREO]],1,Table2[Dias no laborales]),E2245)</f>
        <v>46170</v>
      </c>
      <c r="G2245" s="11">
        <v>46171</v>
      </c>
      <c r="H2245" s="7">
        <f t="shared" si="115"/>
        <v>22</v>
      </c>
      <c r="I2245" s="7">
        <f>MAX(1, NETWORKDAYS(A2245, G2245,Table2[Dias no laborales]))</f>
        <v>2</v>
      </c>
      <c r="J2245" s="7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7" t="str">
        <f t="shared" si="116"/>
        <v>A tiempo</v>
      </c>
      <c r="L2245" s="11">
        <v>46170</v>
      </c>
      <c r="M2245" s="22">
        <f>MAX(1,NETWORKDAYS(A2245,L2245,Table2[Dias no laborales]))</f>
        <v>1</v>
      </c>
    </row>
    <row r="2246" spans="1:13" hidden="1" x14ac:dyDescent="0.3">
      <c r="A2246" s="11">
        <v>46170</v>
      </c>
      <c r="B2246" s="20" t="s">
        <v>4465</v>
      </c>
      <c r="C2246" s="7" t="s">
        <v>4583</v>
      </c>
      <c r="D2246" s="7" t="s">
        <v>2963</v>
      </c>
      <c r="E2246" s="18">
        <v>46169.508333333331</v>
      </c>
      <c r="F2246" s="11">
        <f>IF(HOUR(Table1[[#This Row],[CORREO]])&gt;=11,WORKDAY(Table1[[#This Row],[CORREO]],1,Table2[Dias no laborales]),E2246)</f>
        <v>46170</v>
      </c>
      <c r="G2246" s="11">
        <v>46171</v>
      </c>
      <c r="H2246" s="7">
        <f t="shared" si="115"/>
        <v>22</v>
      </c>
      <c r="I2246" s="7">
        <f>MAX(1, NETWORKDAYS(A2246, G2246,Table2[Dias no laborales]))</f>
        <v>2</v>
      </c>
      <c r="J2246" s="7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7" t="str">
        <f t="shared" si="116"/>
        <v>A tiempo</v>
      </c>
      <c r="L2246" s="11">
        <v>46170</v>
      </c>
      <c r="M2246" s="22">
        <f>MAX(1,NETWORKDAYS(A2246,L2246,Table2[Dias no laborales]))</f>
        <v>1</v>
      </c>
    </row>
    <row r="2247" spans="1:13" hidden="1" x14ac:dyDescent="0.3">
      <c r="A2247" s="11">
        <v>46170</v>
      </c>
      <c r="B2247" s="20" t="s">
        <v>4466</v>
      </c>
      <c r="C2247" s="7" t="s">
        <v>4584</v>
      </c>
      <c r="D2247" s="7" t="s">
        <v>2963</v>
      </c>
      <c r="E2247" s="18">
        <v>46169.513888888891</v>
      </c>
      <c r="F2247" s="11">
        <f>IF(HOUR(Table1[[#This Row],[CORREO]])&gt;=11,WORKDAY(Table1[[#This Row],[CORREO]],1,Table2[Dias no laborales]),E2247)</f>
        <v>46170</v>
      </c>
      <c r="G2247" s="11">
        <v>46171</v>
      </c>
      <c r="H2247" s="7">
        <f t="shared" si="115"/>
        <v>22</v>
      </c>
      <c r="I2247" s="7">
        <f>MAX(1, NETWORKDAYS(A2247, G2247,Table2[Dias no laborales]))</f>
        <v>2</v>
      </c>
      <c r="J2247" s="7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7" t="str">
        <f t="shared" si="116"/>
        <v>A tiempo</v>
      </c>
      <c r="L2247" s="11">
        <v>46170</v>
      </c>
      <c r="M2247" s="22">
        <f>MAX(1,NETWORKDAYS(A2247,L2247,Table2[Dias no laborales]))</f>
        <v>1</v>
      </c>
    </row>
    <row r="2248" spans="1:13" hidden="1" x14ac:dyDescent="0.3">
      <c r="A2248" s="11">
        <v>46170</v>
      </c>
      <c r="B2248" s="20" t="s">
        <v>4467</v>
      </c>
      <c r="C2248" s="7" t="s">
        <v>4585</v>
      </c>
      <c r="D2248" s="7" t="s">
        <v>351</v>
      </c>
      <c r="E2248" s="18">
        <v>46169.701388888891</v>
      </c>
      <c r="F2248" s="11">
        <f>IF(HOUR(Table1[[#This Row],[CORREO]])&gt;=11,WORKDAY(Table1[[#This Row],[CORREO]],1,Table2[Dias no laborales]),E2248)</f>
        <v>46170</v>
      </c>
      <c r="G2248" s="11">
        <v>46171</v>
      </c>
      <c r="H2248" s="7">
        <f t="shared" si="115"/>
        <v>22</v>
      </c>
      <c r="I2248" s="7">
        <f>MAX(1, NETWORKDAYS(A2248, G2248,Table2[Dias no laborales]))</f>
        <v>2</v>
      </c>
      <c r="J2248" s="7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7" t="str">
        <f t="shared" si="116"/>
        <v>A tiempo</v>
      </c>
      <c r="L2248" s="11">
        <v>46170</v>
      </c>
      <c r="M2248" s="22">
        <f>MAX(1,NETWORKDAYS(A2248,L2248,Table2[Dias no laborales]))</f>
        <v>1</v>
      </c>
    </row>
    <row r="2249" spans="1:13" hidden="1" x14ac:dyDescent="0.3">
      <c r="A2249" s="11">
        <v>46170</v>
      </c>
      <c r="B2249" s="20" t="s">
        <v>4468</v>
      </c>
      <c r="C2249" s="7" t="s">
        <v>4586</v>
      </c>
      <c r="D2249" s="7" t="s">
        <v>4587</v>
      </c>
      <c r="E2249" s="18">
        <v>46169.749305555553</v>
      </c>
      <c r="F2249" s="11">
        <f>IF(HOUR(Table1[[#This Row],[CORREO]])&gt;=11,WORKDAY(Table1[[#This Row],[CORREO]],1,Table2[Dias no laborales]),E2249)</f>
        <v>46170</v>
      </c>
      <c r="G2249" s="11">
        <v>46170</v>
      </c>
      <c r="H2249" s="7">
        <f t="shared" si="115"/>
        <v>22</v>
      </c>
      <c r="I2249" s="7">
        <f>MAX(1, NETWORKDAYS(A2249, G2249,Table2[Dias no laborales]))</f>
        <v>1</v>
      </c>
      <c r="J2249" s="7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7" t="str">
        <f t="shared" si="116"/>
        <v>A tiempo</v>
      </c>
      <c r="L2249" s="11">
        <v>46170</v>
      </c>
      <c r="M2249" s="22">
        <f>MAX(1,NETWORKDAYS(A2249,L2249,Table2[Dias no laborales]))</f>
        <v>1</v>
      </c>
    </row>
    <row r="2250" spans="1:13" hidden="1" x14ac:dyDescent="0.3">
      <c r="A2250" s="11">
        <v>46170</v>
      </c>
      <c r="B2250" s="20" t="s">
        <v>4469</v>
      </c>
      <c r="C2250" s="7" t="s">
        <v>4588</v>
      </c>
      <c r="D2250" s="7" t="s">
        <v>2520</v>
      </c>
      <c r="E2250" s="18">
        <v>46169.854861111111</v>
      </c>
      <c r="F2250" s="11">
        <f>IF(HOUR(Table1[[#This Row],[CORREO]])&gt;=11,WORKDAY(Table1[[#This Row],[CORREO]],1,Table2[Dias no laborales]),E2250)</f>
        <v>46170</v>
      </c>
      <c r="G2250" s="11">
        <v>46171</v>
      </c>
      <c r="H2250" s="7">
        <f t="shared" si="115"/>
        <v>22</v>
      </c>
      <c r="I2250" s="7">
        <f>MAX(1, NETWORKDAYS(A2250, G2250,Table2[Dias no laborales]))</f>
        <v>2</v>
      </c>
      <c r="J2250" s="7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7" t="str">
        <f t="shared" si="116"/>
        <v>A tiempo</v>
      </c>
      <c r="L2250" s="11">
        <v>46170</v>
      </c>
      <c r="M2250" s="22">
        <f>MAX(1,NETWORKDAYS(A2250,L2250,Table2[Dias no laborales]))</f>
        <v>1</v>
      </c>
    </row>
    <row r="2251" spans="1:13" hidden="1" x14ac:dyDescent="0.3">
      <c r="A2251" s="11">
        <v>46170</v>
      </c>
      <c r="B2251" s="20" t="s">
        <v>4470</v>
      </c>
      <c r="C2251" s="7" t="s">
        <v>4589</v>
      </c>
      <c r="D2251" s="7" t="s">
        <v>4188</v>
      </c>
      <c r="E2251" s="18">
        <v>46169.96597222222</v>
      </c>
      <c r="F2251" s="11">
        <f>IF(HOUR(Table1[[#This Row],[CORREO]])&gt;=11,WORKDAY(Table1[[#This Row],[CORREO]],1,Table2[Dias no laborales]),E2251)</f>
        <v>46170</v>
      </c>
      <c r="G2251" s="11">
        <v>46171</v>
      </c>
      <c r="H2251" s="7">
        <f t="shared" si="115"/>
        <v>22</v>
      </c>
      <c r="I2251" s="7">
        <f>MAX(1, NETWORKDAYS(A2251, G2251,Table2[Dias no laborales]))</f>
        <v>2</v>
      </c>
      <c r="J2251" s="7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7" t="str">
        <f t="shared" si="116"/>
        <v>A tiempo</v>
      </c>
      <c r="L2251" s="11">
        <v>46170</v>
      </c>
      <c r="M2251" s="22">
        <f>MAX(1,NETWORKDAYS(A2251,L2251,Table2[Dias no laborales]))</f>
        <v>1</v>
      </c>
    </row>
    <row r="2252" spans="1:13" hidden="1" x14ac:dyDescent="0.3">
      <c r="A2252" s="11">
        <v>46170</v>
      </c>
      <c r="B2252" s="20" t="s">
        <v>4471</v>
      </c>
      <c r="C2252" s="7" t="s">
        <v>4590</v>
      </c>
      <c r="D2252" s="7" t="s">
        <v>916</v>
      </c>
      <c r="E2252" s="18">
        <v>46170.699305555558</v>
      </c>
      <c r="F2252" s="11">
        <f>IF(HOUR(Table1[[#This Row],[CORREO]])&gt;=11,WORKDAY(Table1[[#This Row],[CORREO]],1,Table2[Dias no laborales]),E2252)</f>
        <v>46171</v>
      </c>
      <c r="G2252" s="11">
        <v>46170</v>
      </c>
      <c r="H2252" s="7">
        <f t="shared" si="115"/>
        <v>22</v>
      </c>
      <c r="I2252" s="7">
        <f>MAX(1, NETWORKDAYS(A2252, G2252,Table2[Dias no laborales]))</f>
        <v>1</v>
      </c>
      <c r="J2252" s="7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7" t="str">
        <f t="shared" si="116"/>
        <v>Mismo día</v>
      </c>
      <c r="L2252" s="11">
        <v>46170</v>
      </c>
      <c r="M2252" s="22">
        <f>MAX(1,NETWORKDAYS(A2252,L2252,Table2[Dias no laborales]))</f>
        <v>1</v>
      </c>
    </row>
    <row r="2253" spans="1:13" hidden="1" x14ac:dyDescent="0.3">
      <c r="A2253" s="11">
        <v>46170</v>
      </c>
      <c r="B2253" s="20" t="s">
        <v>4472</v>
      </c>
      <c r="C2253" s="7" t="s">
        <v>4591</v>
      </c>
      <c r="D2253" s="7" t="s">
        <v>238</v>
      </c>
      <c r="E2253" s="18">
        <v>46170.340277777781</v>
      </c>
      <c r="F2253" s="11">
        <f>IF(HOUR(Table1[[#This Row],[CORREO]])&gt;=11,WORKDAY(Table1[[#This Row],[CORREO]],1,Table2[Dias no laborales]),E2253)</f>
        <v>46170.340277777781</v>
      </c>
      <c r="G2253" s="11">
        <v>46176</v>
      </c>
      <c r="H2253" s="7">
        <f t="shared" si="115"/>
        <v>22</v>
      </c>
      <c r="I2253" s="7">
        <f>MAX(1, NETWORKDAYS(A2253, G2253,Table2[Dias no laborales]))</f>
        <v>5</v>
      </c>
      <c r="J2253" s="7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7" t="str">
        <f t="shared" si="116"/>
        <v>A tiempo</v>
      </c>
      <c r="L2253" s="11">
        <v>46170</v>
      </c>
      <c r="M2253" s="22">
        <f>MAX(1,NETWORKDAYS(A2253,L2253,Table2[Dias no laborales]))</f>
        <v>1</v>
      </c>
    </row>
    <row r="2254" spans="1:13" hidden="1" x14ac:dyDescent="0.3">
      <c r="A2254" s="11">
        <v>46170</v>
      </c>
      <c r="B2254" s="20" t="s">
        <v>4473</v>
      </c>
      <c r="C2254" s="7" t="s">
        <v>4555</v>
      </c>
      <c r="D2254" s="7" t="s">
        <v>392</v>
      </c>
      <c r="E2254" s="18">
        <v>46170.345138888886</v>
      </c>
      <c r="F2254" s="11">
        <f>IF(HOUR(Table1[[#This Row],[CORREO]])&gt;=11,WORKDAY(Table1[[#This Row],[CORREO]],1,Table2[Dias no laborales]),E2254)</f>
        <v>46170.345138888886</v>
      </c>
      <c r="G2254" s="11">
        <v>46170</v>
      </c>
      <c r="H2254" s="7">
        <f t="shared" si="115"/>
        <v>22</v>
      </c>
      <c r="I2254" s="7">
        <f>MAX(1, NETWORKDAYS(A2254, G2254,Table2[Dias no laborales]))</f>
        <v>1</v>
      </c>
      <c r="J2254" s="7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7" t="str">
        <f t="shared" si="116"/>
        <v>A tiempo</v>
      </c>
      <c r="L2254" s="11">
        <v>46170</v>
      </c>
      <c r="M2254" s="22">
        <f>MAX(1,NETWORKDAYS(A2254,L2254,Table2[Dias no laborales]))</f>
        <v>1</v>
      </c>
    </row>
    <row r="2255" spans="1:13" hidden="1" x14ac:dyDescent="0.3">
      <c r="A2255" s="11">
        <v>46170</v>
      </c>
      <c r="B2255" s="20" t="s">
        <v>4474</v>
      </c>
      <c r="C2255" s="7" t="s">
        <v>4569</v>
      </c>
      <c r="D2255" s="7" t="s">
        <v>4114</v>
      </c>
      <c r="E2255" s="18">
        <v>46170.354861111111</v>
      </c>
      <c r="F2255" s="11">
        <f>IF(HOUR(Table1[[#This Row],[CORREO]])&gt;=11,WORKDAY(Table1[[#This Row],[CORREO]],1,Table2[Dias no laborales]),E2255)</f>
        <v>46170.354861111111</v>
      </c>
      <c r="G2255" s="11">
        <v>46171</v>
      </c>
      <c r="H2255" s="7">
        <f t="shared" si="115"/>
        <v>22</v>
      </c>
      <c r="I2255" s="7">
        <f>MAX(1, NETWORKDAYS(A2255, G2255,Table2[Dias no laborales]))</f>
        <v>2</v>
      </c>
      <c r="J2255" s="7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7" t="str">
        <f t="shared" si="116"/>
        <v>A tiempo</v>
      </c>
      <c r="L2255" s="11">
        <v>46170</v>
      </c>
      <c r="M2255" s="22">
        <f>MAX(1,NETWORKDAYS(A2255,L2255,Table2[Dias no laborales]))</f>
        <v>1</v>
      </c>
    </row>
    <row r="2256" spans="1:13" hidden="1" x14ac:dyDescent="0.3">
      <c r="A2256" s="11">
        <v>46170</v>
      </c>
      <c r="B2256" s="20" t="s">
        <v>4475</v>
      </c>
      <c r="C2256" s="7" t="s">
        <v>4592</v>
      </c>
      <c r="D2256" s="7" t="s">
        <v>2586</v>
      </c>
      <c r="E2256" s="18">
        <v>46170.370833333334</v>
      </c>
      <c r="F2256" s="11">
        <f>IF(HOUR(Table1[[#This Row],[CORREO]])&gt;=11,WORKDAY(Table1[[#This Row],[CORREO]],1,Table2[Dias no laborales]),E2256)</f>
        <v>46170.370833333334</v>
      </c>
      <c r="G2256" s="11">
        <v>46174</v>
      </c>
      <c r="H2256" s="7">
        <f t="shared" si="115"/>
        <v>22</v>
      </c>
      <c r="I2256" s="7">
        <f>MAX(1, NETWORKDAYS(A2256, G2256,Table2[Dias no laborales]))</f>
        <v>3</v>
      </c>
      <c r="J2256" s="7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7" t="str">
        <f t="shared" si="116"/>
        <v>A tiempo</v>
      </c>
      <c r="L2256" s="11">
        <v>46171</v>
      </c>
      <c r="M2256" s="22">
        <f>MAX(1,NETWORKDAYS(A2256,L2256,Table2[Dias no laborales]))</f>
        <v>2</v>
      </c>
    </row>
    <row r="2257" spans="1:13" hidden="1" x14ac:dyDescent="0.3">
      <c r="A2257" s="11">
        <v>46170</v>
      </c>
      <c r="B2257" s="20" t="s">
        <v>4476</v>
      </c>
      <c r="C2257" s="7" t="s">
        <v>4593</v>
      </c>
      <c r="D2257" s="7" t="s">
        <v>24</v>
      </c>
      <c r="E2257" s="18">
        <v>46170.397222222222</v>
      </c>
      <c r="F2257" s="11">
        <f>IF(HOUR(Table1[[#This Row],[CORREO]])&gt;=11,WORKDAY(Table1[[#This Row],[CORREO]],1,Table2[Dias no laborales]),E2257)</f>
        <v>46170.397222222222</v>
      </c>
      <c r="G2257" s="11">
        <v>46171</v>
      </c>
      <c r="H2257" s="7">
        <f t="shared" si="115"/>
        <v>22</v>
      </c>
      <c r="I2257" s="7">
        <f>MAX(1, NETWORKDAYS(A2257, G2257,Table2[Dias no laborales]))</f>
        <v>2</v>
      </c>
      <c r="J2257" s="7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7" t="str">
        <f t="shared" si="116"/>
        <v>A tiempo</v>
      </c>
      <c r="L2257" s="11">
        <v>46170</v>
      </c>
      <c r="M2257" s="22">
        <f>MAX(1,NETWORKDAYS(A2257,L2257,Table2[Dias no laborales]))</f>
        <v>1</v>
      </c>
    </row>
    <row r="2258" spans="1:13" hidden="1" x14ac:dyDescent="0.3">
      <c r="A2258" s="11">
        <v>46170</v>
      </c>
      <c r="B2258" s="20" t="s">
        <v>4477</v>
      </c>
      <c r="C2258" s="7" t="s">
        <v>4594</v>
      </c>
      <c r="D2258" s="7" t="s">
        <v>650</v>
      </c>
      <c r="E2258" s="18">
        <v>46170.436805555553</v>
      </c>
      <c r="F2258" s="11">
        <f>IF(HOUR(Table1[[#This Row],[CORREO]])&gt;=11,WORKDAY(Table1[[#This Row],[CORREO]],1,Table2[Dias no laborales]),E2258)</f>
        <v>46170.436805555553</v>
      </c>
      <c r="G2258" s="11">
        <v>46170</v>
      </c>
      <c r="H2258" s="7">
        <f t="shared" si="115"/>
        <v>22</v>
      </c>
      <c r="I2258" s="7">
        <f>MAX(1, NETWORKDAYS(A2258, G2258,Table2[Dias no laborales]))</f>
        <v>1</v>
      </c>
      <c r="J2258" s="7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7" t="str">
        <f t="shared" si="116"/>
        <v>A tiempo</v>
      </c>
      <c r="L2258" s="11">
        <v>46170</v>
      </c>
      <c r="M2258" s="22">
        <f>MAX(1,NETWORKDAYS(A2258,L2258,Table2[Dias no laborales]))</f>
        <v>1</v>
      </c>
    </row>
    <row r="2259" spans="1:13" hidden="1" x14ac:dyDescent="0.3">
      <c r="A2259" s="11">
        <v>46170</v>
      </c>
      <c r="B2259" s="20" t="s">
        <v>4478</v>
      </c>
      <c r="C2259" s="7" t="s">
        <v>4595</v>
      </c>
      <c r="D2259" s="7" t="s">
        <v>151</v>
      </c>
      <c r="E2259" s="18">
        <v>46170.463194444441</v>
      </c>
      <c r="F2259" s="11">
        <f>IF(HOUR(Table1[[#This Row],[CORREO]])&gt;=11,WORKDAY(Table1[[#This Row],[CORREO]],1,Table2[Dias no laborales]),E2259)</f>
        <v>46171</v>
      </c>
      <c r="G2259" s="11">
        <v>46170</v>
      </c>
      <c r="H2259" s="7">
        <f t="shared" si="115"/>
        <v>22</v>
      </c>
      <c r="I2259" s="7">
        <f>MAX(1, NETWORKDAYS(A2259, G2259,Table2[Dias no laborales]))</f>
        <v>1</v>
      </c>
      <c r="J2259" s="7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7" t="str">
        <f t="shared" si="116"/>
        <v>Mismo día</v>
      </c>
      <c r="L2259" s="11">
        <v>46170</v>
      </c>
      <c r="M2259" s="22">
        <f>MAX(1,NETWORKDAYS(A2259,L2259,Table2[Dias no laborales]))</f>
        <v>1</v>
      </c>
    </row>
    <row r="2260" spans="1:13" hidden="1" x14ac:dyDescent="0.3">
      <c r="A2260" s="11">
        <v>46170</v>
      </c>
      <c r="B2260" s="20" t="s">
        <v>4479</v>
      </c>
      <c r="C2260" s="7" t="s">
        <v>4596</v>
      </c>
      <c r="D2260" s="7" t="s">
        <v>623</v>
      </c>
      <c r="E2260" s="18">
        <v>46170.457638888889</v>
      </c>
      <c r="F2260" s="11">
        <f>IF(HOUR(Table1[[#This Row],[CORREO]])&gt;=11,WORKDAY(Table1[[#This Row],[CORREO]],1,Table2[Dias no laborales]),E2260)</f>
        <v>46170.457638888889</v>
      </c>
      <c r="G2260" s="11">
        <v>46170</v>
      </c>
      <c r="H2260" s="7">
        <f t="shared" si="115"/>
        <v>22</v>
      </c>
      <c r="I2260" s="7">
        <f>MAX(1, NETWORKDAYS(A2260, G2260,Table2[Dias no laborales]))</f>
        <v>1</v>
      </c>
      <c r="J2260" s="7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7" t="str">
        <f t="shared" si="116"/>
        <v>A tiempo</v>
      </c>
      <c r="L2260" s="11">
        <v>46170</v>
      </c>
      <c r="M2260" s="22">
        <f>MAX(1,NETWORKDAYS(A2260,L2260,Table2[Dias no laborales]))</f>
        <v>1</v>
      </c>
    </row>
    <row r="2261" spans="1:13" hidden="1" x14ac:dyDescent="0.3">
      <c r="A2261" s="11">
        <v>46170</v>
      </c>
      <c r="B2261" s="20" t="s">
        <v>4480</v>
      </c>
      <c r="C2261" s="7" t="s">
        <v>4597</v>
      </c>
      <c r="D2261" s="7" t="s">
        <v>623</v>
      </c>
      <c r="E2261" s="18">
        <v>46170.459722222222</v>
      </c>
      <c r="F2261" s="11">
        <f>IF(HOUR(Table1[[#This Row],[CORREO]])&gt;=11,WORKDAY(Table1[[#This Row],[CORREO]],1,Table2[Dias no laborales]),E2261)</f>
        <v>46171</v>
      </c>
      <c r="G2261" s="11">
        <v>46170</v>
      </c>
      <c r="H2261" s="7">
        <f t="shared" si="115"/>
        <v>22</v>
      </c>
      <c r="I2261" s="7">
        <f>MAX(1, NETWORKDAYS(A2261, G2261,Table2[Dias no laborales]))</f>
        <v>1</v>
      </c>
      <c r="J2261" s="7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7" t="str">
        <f t="shared" si="116"/>
        <v>Mismo día</v>
      </c>
      <c r="L2261" s="11">
        <v>46170</v>
      </c>
      <c r="M2261" s="22">
        <f>MAX(1,NETWORKDAYS(A2261,L2261,Table2[Dias no laborales]))</f>
        <v>1</v>
      </c>
    </row>
    <row r="2262" spans="1:13" hidden="1" x14ac:dyDescent="0.3">
      <c r="A2262" s="11">
        <v>46171</v>
      </c>
      <c r="B2262" s="20" t="s">
        <v>4481</v>
      </c>
      <c r="C2262" s="7" t="s">
        <v>4599</v>
      </c>
      <c r="D2262" s="7" t="s">
        <v>133</v>
      </c>
      <c r="E2262" s="18">
        <v>46170.55</v>
      </c>
      <c r="F2262" s="11">
        <f>IF(HOUR(Table1[[#This Row],[CORREO]])&gt;=11,WORKDAY(Table1[[#This Row],[CORREO]],1,Table2[Dias no laborales]),E2262)</f>
        <v>46171</v>
      </c>
      <c r="G2262" s="11">
        <v>46176</v>
      </c>
      <c r="H2262" s="7">
        <f t="shared" si="115"/>
        <v>22</v>
      </c>
      <c r="I2262" s="7">
        <f>MAX(1, NETWORKDAYS(A2262, G2262,Table2[Dias no laborales]))</f>
        <v>4</v>
      </c>
      <c r="J2262" s="7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7" t="str">
        <f t="shared" si="116"/>
        <v>A tiempo</v>
      </c>
      <c r="L2262" s="11">
        <v>46171</v>
      </c>
      <c r="M2262" s="22">
        <f>MAX(1,NETWORKDAYS(A2262,L2262,Table2[Dias no laborales]))</f>
        <v>1</v>
      </c>
    </row>
    <row r="2263" spans="1:13" hidden="1" x14ac:dyDescent="0.3">
      <c r="A2263" s="11">
        <v>46171</v>
      </c>
      <c r="B2263" s="20" t="s">
        <v>4482</v>
      </c>
      <c r="C2263" s="7" t="s">
        <v>4600</v>
      </c>
      <c r="D2263" s="7" t="s">
        <v>199</v>
      </c>
      <c r="E2263" s="18">
        <v>46170.551388888889</v>
      </c>
      <c r="F2263" s="11">
        <f>IF(HOUR(Table1[[#This Row],[CORREO]])&gt;=11,WORKDAY(Table1[[#This Row],[CORREO]],1,Table2[Dias no laborales]),E2263)</f>
        <v>46171</v>
      </c>
      <c r="G2263" s="11">
        <v>46183</v>
      </c>
      <c r="H2263" s="7">
        <f t="shared" si="115"/>
        <v>22</v>
      </c>
      <c r="I2263" s="7">
        <f>MAX(1, NETWORKDAYS(A2263, G2263,Table2[Dias no laborales]))</f>
        <v>9</v>
      </c>
      <c r="J2263" s="7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7" t="str">
        <f t="shared" si="116"/>
        <v>A tiempo</v>
      </c>
      <c r="L2263" s="11">
        <v>46171</v>
      </c>
      <c r="M2263" s="22">
        <f>MAX(1,NETWORKDAYS(A2263,L2263,Table2[Dias no laborales]))</f>
        <v>1</v>
      </c>
    </row>
    <row r="2264" spans="1:13" hidden="1" x14ac:dyDescent="0.3">
      <c r="A2264" s="11">
        <v>46171</v>
      </c>
      <c r="B2264" s="20" t="s">
        <v>4483</v>
      </c>
      <c r="C2264" s="7" t="s">
        <v>4601</v>
      </c>
      <c r="D2264" s="7" t="s">
        <v>89</v>
      </c>
      <c r="E2264" s="18"/>
      <c r="F2264" s="11">
        <f>IF(HOUR(Table1[[#This Row],[CORREO]])&gt;=11,WORKDAY(Table1[[#This Row],[CORREO]],1,Table2[Dias no laborales]),E2264)</f>
        <v>0</v>
      </c>
      <c r="G2264" s="11">
        <v>46174</v>
      </c>
      <c r="H2264" s="7">
        <f t="shared" si="115"/>
        <v>22</v>
      </c>
      <c r="I2264" s="7">
        <f>MAX(1, NETWORKDAYS(A2264, G2264,Table2[Dias no laborales]))</f>
        <v>2</v>
      </c>
      <c r="J2264" s="7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7" t="str">
        <f t="shared" si="116"/>
        <v>Programados</v>
      </c>
      <c r="L2264" s="11">
        <v>46174</v>
      </c>
      <c r="M2264" s="22">
        <f>MAX(1,NETWORKDAYS(A2264,L2264,Table2[Dias no laborales]))</f>
        <v>2</v>
      </c>
    </row>
    <row r="2265" spans="1:13" hidden="1" x14ac:dyDescent="0.3">
      <c r="A2265" s="11">
        <v>46171</v>
      </c>
      <c r="B2265" s="20" t="s">
        <v>4498</v>
      </c>
      <c r="C2265" s="7" t="s">
        <v>4602</v>
      </c>
      <c r="D2265" s="7" t="s">
        <v>586</v>
      </c>
      <c r="E2265" s="18"/>
      <c r="F2265" s="11">
        <f>IF(HOUR(Table1[[#This Row],[CORREO]])&gt;=11,WORKDAY(Table1[[#This Row],[CORREO]],1,Table2[Dias no laborales]),E2265)</f>
        <v>0</v>
      </c>
      <c r="G2265" s="11">
        <v>46188</v>
      </c>
      <c r="H2265" s="7">
        <f t="shared" ref="H2265:H2296" si="117">INT((A2265-DATE(YEAR(A2265),1,1))/7) + 1</f>
        <v>22</v>
      </c>
      <c r="I2265" s="7">
        <f>MAX(1, NETWORKDAYS(A2265, G2265,Table2[Dias no laborales]))</f>
        <v>12</v>
      </c>
      <c r="J2265" s="7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7" t="str">
        <f t="shared" ref="K2265:K2296" si="118">IF(INT(A2265)=INT(F2265),"A tiempo", IF(A2265&lt;F2265,"Mismo día","Programados"))</f>
        <v>Programados</v>
      </c>
      <c r="L2265" s="11">
        <v>46171</v>
      </c>
      <c r="M2265" s="22">
        <f>MAX(1,NETWORKDAYS(A2265,L2265,Table2[Dias no laborales]))</f>
        <v>1</v>
      </c>
    </row>
    <row r="2266" spans="1:13" hidden="1" x14ac:dyDescent="0.3">
      <c r="A2266" s="11">
        <v>46171</v>
      </c>
      <c r="B2266" s="20" t="s">
        <v>4499</v>
      </c>
      <c r="C2266" s="7" t="s">
        <v>4555</v>
      </c>
      <c r="D2266" s="7" t="s">
        <v>392</v>
      </c>
      <c r="E2266" s="18"/>
      <c r="F2266" s="11">
        <f>IF(HOUR(Table1[[#This Row],[CORREO]])&gt;=11,WORKDAY(Table1[[#This Row],[CORREO]],1,Table2[Dias no laborales]),E2266)</f>
        <v>0</v>
      </c>
      <c r="G2266" s="11">
        <v>46171</v>
      </c>
      <c r="H2266" s="7">
        <f t="shared" si="117"/>
        <v>22</v>
      </c>
      <c r="I2266" s="7">
        <f>MAX(1, NETWORKDAYS(A2266, G2266,Table2[Dias no laborales]))</f>
        <v>1</v>
      </c>
      <c r="J2266" s="7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7" t="str">
        <f t="shared" si="118"/>
        <v>Programados</v>
      </c>
      <c r="L2266" s="11">
        <v>46171</v>
      </c>
      <c r="M2266" s="22">
        <f>MAX(1,NETWORKDAYS(A2266,L2266,Table2[Dias no laborales]))</f>
        <v>1</v>
      </c>
    </row>
    <row r="2267" spans="1:13" hidden="1" x14ac:dyDescent="0.3">
      <c r="A2267" s="11">
        <v>46171</v>
      </c>
      <c r="B2267" s="20" t="s">
        <v>4500</v>
      </c>
      <c r="C2267" s="7" t="s">
        <v>4555</v>
      </c>
      <c r="D2267" s="7" t="s">
        <v>392</v>
      </c>
      <c r="E2267" s="18"/>
      <c r="F2267" s="11">
        <f>IF(HOUR(Table1[[#This Row],[CORREO]])&gt;=11,WORKDAY(Table1[[#This Row],[CORREO]],1,Table2[Dias no laborales]),E2267)</f>
        <v>0</v>
      </c>
      <c r="G2267" s="11">
        <v>46171</v>
      </c>
      <c r="H2267" s="7">
        <f t="shared" si="117"/>
        <v>22</v>
      </c>
      <c r="I2267" s="7">
        <f>MAX(1, NETWORKDAYS(A2267, G2267,Table2[Dias no laborales]))</f>
        <v>1</v>
      </c>
      <c r="J2267" s="7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7" t="str">
        <f t="shared" si="118"/>
        <v>Programados</v>
      </c>
      <c r="L2267" s="11">
        <v>46171</v>
      </c>
      <c r="M2267" s="22">
        <f>MAX(1,NETWORKDAYS(A2267,L2267,Table2[Dias no laborales]))</f>
        <v>1</v>
      </c>
    </row>
    <row r="2268" spans="1:13" hidden="1" x14ac:dyDescent="0.3">
      <c r="A2268" s="11">
        <v>46171</v>
      </c>
      <c r="B2268" s="20" t="s">
        <v>4501</v>
      </c>
      <c r="C2268" s="7" t="s">
        <v>4603</v>
      </c>
      <c r="D2268" s="7" t="s">
        <v>1333</v>
      </c>
      <c r="E2268" s="18"/>
      <c r="F2268" s="11">
        <f>IF(HOUR(Table1[[#This Row],[CORREO]])&gt;=11,WORKDAY(Table1[[#This Row],[CORREO]],1,Table2[Dias no laborales]),E2268)</f>
        <v>0</v>
      </c>
      <c r="G2268" s="11">
        <v>46182</v>
      </c>
      <c r="H2268" s="7">
        <f t="shared" si="117"/>
        <v>22</v>
      </c>
      <c r="I2268" s="7">
        <f>MAX(1, NETWORKDAYS(A2268, G2268,Table2[Dias no laborales]))</f>
        <v>8</v>
      </c>
      <c r="J2268" s="7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7" t="str">
        <f t="shared" si="118"/>
        <v>Programados</v>
      </c>
      <c r="L2268" s="11">
        <v>46171</v>
      </c>
      <c r="M2268" s="22">
        <f>MAX(1,NETWORKDAYS(A2268,L2268,Table2[Dias no laborales]))</f>
        <v>1</v>
      </c>
    </row>
    <row r="2269" spans="1:13" hidden="1" x14ac:dyDescent="0.3">
      <c r="A2269" s="11">
        <v>46171</v>
      </c>
      <c r="B2269" s="20" t="s">
        <v>4502</v>
      </c>
      <c r="C2269" s="7" t="s">
        <v>4604</v>
      </c>
      <c r="D2269" s="7" t="s">
        <v>269</v>
      </c>
      <c r="E2269" s="18">
        <v>42519.352083333331</v>
      </c>
      <c r="F2269" s="11">
        <f>IF(HOUR(Table1[[#This Row],[CORREO]])&gt;=11,WORKDAY(Table1[[#This Row],[CORREO]],1,Table2[Dias no laborales]),E2269)</f>
        <v>42519.352083333331</v>
      </c>
      <c r="G2269" s="11">
        <v>46178</v>
      </c>
      <c r="H2269" s="7">
        <f t="shared" si="117"/>
        <v>22</v>
      </c>
      <c r="I2269" s="7">
        <f>MAX(1, NETWORKDAYS(A2269, G2269,Table2[Dias no laborales]))</f>
        <v>6</v>
      </c>
      <c r="J2269" s="7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7" t="str">
        <f t="shared" si="118"/>
        <v>Programados</v>
      </c>
      <c r="L2269" s="11">
        <v>46171</v>
      </c>
      <c r="M2269" s="22">
        <f>MAX(1,NETWORKDAYS(A2269,L2269,Table2[Dias no laborales]))</f>
        <v>1</v>
      </c>
    </row>
    <row r="2270" spans="1:13" hidden="1" x14ac:dyDescent="0.3">
      <c r="A2270" s="11">
        <v>46171</v>
      </c>
      <c r="B2270" s="20" t="s">
        <v>4503</v>
      </c>
      <c r="C2270" s="7" t="s">
        <v>4605</v>
      </c>
      <c r="D2270" s="7" t="s">
        <v>1333</v>
      </c>
      <c r="E2270" s="18">
        <v>46171.501388888886</v>
      </c>
      <c r="F2270" s="11">
        <f>IF(HOUR(Table1[[#This Row],[CORREO]])&gt;=11,WORKDAY(Table1[[#This Row],[CORREO]],1,Table2[Dias no laborales]),E2270)</f>
        <v>46174</v>
      </c>
      <c r="G2270" s="11">
        <v>46175</v>
      </c>
      <c r="H2270" s="7">
        <f t="shared" si="117"/>
        <v>22</v>
      </c>
      <c r="I2270" s="7">
        <f>MAX(1, NETWORKDAYS(A2270, G2270,Table2[Dias no laborales]))</f>
        <v>3</v>
      </c>
      <c r="J2270" s="7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7" t="str">
        <f t="shared" si="118"/>
        <v>Mismo día</v>
      </c>
      <c r="L2270" s="11">
        <v>46171</v>
      </c>
      <c r="M2270" s="22">
        <f>MAX(1,NETWORKDAYS(A2270,L2270,Table2[Dias no laborales]))</f>
        <v>1</v>
      </c>
    </row>
    <row r="2271" spans="1:13" hidden="1" x14ac:dyDescent="0.3">
      <c r="A2271" s="11">
        <v>46171</v>
      </c>
      <c r="B2271" s="20" t="s">
        <v>4504</v>
      </c>
      <c r="C2271" s="7" t="s">
        <v>4606</v>
      </c>
      <c r="D2271" s="7" t="s">
        <v>372</v>
      </c>
      <c r="E2271" s="18">
        <v>46171.54583333333</v>
      </c>
      <c r="F2271" s="11">
        <f>IF(HOUR(Table1[[#This Row],[CORREO]])&gt;=11,WORKDAY(Table1[[#This Row],[CORREO]],1,Table2[Dias no laborales]),E2271)</f>
        <v>46174</v>
      </c>
      <c r="G2271" s="11">
        <v>46175</v>
      </c>
      <c r="H2271" s="7">
        <f t="shared" si="117"/>
        <v>22</v>
      </c>
      <c r="I2271" s="7">
        <f>MAX(1, NETWORKDAYS(A2271, G2271,Table2[Dias no laborales]))</f>
        <v>3</v>
      </c>
      <c r="J2271" s="7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7" t="str">
        <f t="shared" si="118"/>
        <v>Mismo día</v>
      </c>
      <c r="L2271" s="11">
        <v>46171</v>
      </c>
      <c r="M2271" s="22">
        <f>MAX(1,NETWORKDAYS(A2271,L2271,Table2[Dias no laborales]))</f>
        <v>1</v>
      </c>
    </row>
    <row r="2272" spans="1:13" hidden="1" x14ac:dyDescent="0.3">
      <c r="A2272" s="11">
        <v>46171</v>
      </c>
      <c r="B2272" s="20" t="s">
        <v>4505</v>
      </c>
      <c r="C2272" s="7" t="s">
        <v>4607</v>
      </c>
      <c r="D2272" s="7" t="s">
        <v>848</v>
      </c>
      <c r="E2272" s="18">
        <v>46171.70208333333</v>
      </c>
      <c r="F2272" s="11">
        <f>IF(HOUR(Table1[[#This Row],[CORREO]])&gt;=11,WORKDAY(Table1[[#This Row],[CORREO]],1,Table2[Dias no laborales]),E2272)</f>
        <v>46174</v>
      </c>
      <c r="G2272" s="11">
        <v>46174</v>
      </c>
      <c r="H2272" s="7">
        <f t="shared" si="117"/>
        <v>22</v>
      </c>
      <c r="I2272" s="7">
        <f>MAX(1, NETWORKDAYS(A2272, G2272,Table2[Dias no laborales]))</f>
        <v>2</v>
      </c>
      <c r="J2272" s="7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7" t="str">
        <f t="shared" si="118"/>
        <v>Mismo día</v>
      </c>
      <c r="L2272" s="11">
        <v>46171</v>
      </c>
      <c r="M2272" s="22">
        <f>MAX(1,NETWORKDAYS(A2272,L2272,Table2[Dias no laborales]))</f>
        <v>1</v>
      </c>
    </row>
    <row r="2273" spans="1:13" hidden="1" x14ac:dyDescent="0.3">
      <c r="A2273" s="11">
        <v>46174</v>
      </c>
      <c r="B2273" s="20" t="s">
        <v>4506</v>
      </c>
      <c r="C2273" s="7" t="s">
        <v>4608</v>
      </c>
      <c r="D2273" s="7" t="s">
        <v>24</v>
      </c>
      <c r="E2273" s="18"/>
      <c r="F2273" s="11">
        <f>IF(HOUR(Table1[[#This Row],[CORREO]])&gt;=11,WORKDAY(Table1[[#This Row],[CORREO]],1,Table2[Dias no laborales]),E2273)</f>
        <v>0</v>
      </c>
      <c r="G2273" s="11">
        <v>46178</v>
      </c>
      <c r="H2273" s="7">
        <f t="shared" si="117"/>
        <v>22</v>
      </c>
      <c r="I2273" s="7">
        <f>MAX(1, NETWORKDAYS(A2273, G2273,Table2[Dias no laborales]))</f>
        <v>5</v>
      </c>
      <c r="J2273" s="7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7" t="str">
        <f t="shared" si="118"/>
        <v>Programados</v>
      </c>
      <c r="L2273" s="11">
        <v>46174</v>
      </c>
      <c r="M2273" s="22">
        <f>MAX(1,NETWORKDAYS(A2273,L2273,Table2[Dias no laborales]))</f>
        <v>1</v>
      </c>
    </row>
    <row r="2274" spans="1:13" hidden="1" x14ac:dyDescent="0.3">
      <c r="A2274" s="11">
        <v>46174</v>
      </c>
      <c r="B2274" s="20" t="s">
        <v>4507</v>
      </c>
      <c r="C2274" s="7" t="s">
        <v>4609</v>
      </c>
      <c r="D2274" s="7" t="s">
        <v>85</v>
      </c>
      <c r="E2274" s="18">
        <v>46171.660416666666</v>
      </c>
      <c r="F2274" s="11">
        <f>IF(HOUR(Table1[[#This Row],[CORREO]])&gt;=11,WORKDAY(Table1[[#This Row],[CORREO]],1,Table2[Dias no laborales]),E2274)</f>
        <v>46174</v>
      </c>
      <c r="G2274" s="11">
        <v>46176</v>
      </c>
      <c r="H2274" s="7">
        <f t="shared" si="117"/>
        <v>22</v>
      </c>
      <c r="I2274" s="7">
        <f>MAX(1, NETWORKDAYS(A2274, G2274,Table2[Dias no laborales]))</f>
        <v>3</v>
      </c>
      <c r="J2274" s="7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7" t="str">
        <f t="shared" si="118"/>
        <v>A tiempo</v>
      </c>
      <c r="L2274" s="11">
        <v>46171</v>
      </c>
      <c r="M2274" s="22">
        <f>MAX(1,NETWORKDAYS(A2274,L2274,Table2[Dias no laborales]))</f>
        <v>1</v>
      </c>
    </row>
    <row r="2275" spans="1:13" hidden="1" x14ac:dyDescent="0.3">
      <c r="A2275" s="11">
        <v>46174</v>
      </c>
      <c r="B2275" s="20" t="s">
        <v>4508</v>
      </c>
      <c r="C2275" s="7" t="s">
        <v>4610</v>
      </c>
      <c r="D2275" s="7" t="s">
        <v>482</v>
      </c>
      <c r="E2275" s="18">
        <v>46171.875</v>
      </c>
      <c r="F2275" s="11">
        <f>IF(HOUR(Table1[[#This Row],[CORREO]])&gt;=11,WORKDAY(Table1[[#This Row],[CORREO]],1,Table2[Dias no laborales]),E2275)</f>
        <v>46174</v>
      </c>
      <c r="G2275" s="11">
        <v>46174</v>
      </c>
      <c r="H2275" s="7">
        <f t="shared" si="117"/>
        <v>22</v>
      </c>
      <c r="I2275" s="7">
        <f>MAX(1, NETWORKDAYS(A2275, G2275,Table2[Dias no laborales]))</f>
        <v>1</v>
      </c>
      <c r="J2275" s="7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7" t="str">
        <f t="shared" si="118"/>
        <v>A tiempo</v>
      </c>
      <c r="L2275" s="11">
        <v>46174</v>
      </c>
      <c r="M2275" s="22">
        <f>MAX(1,NETWORKDAYS(A2275,L2275,Table2[Dias no laborales]))</f>
        <v>1</v>
      </c>
    </row>
    <row r="2276" spans="1:13" hidden="1" x14ac:dyDescent="0.3">
      <c r="A2276" s="11">
        <v>46174</v>
      </c>
      <c r="B2276" s="20" t="s">
        <v>4509</v>
      </c>
      <c r="C2276" s="7" t="s">
        <v>4611</v>
      </c>
      <c r="D2276" s="7" t="s">
        <v>171</v>
      </c>
      <c r="E2276" s="18">
        <v>46173.479861111111</v>
      </c>
      <c r="F2276" s="11">
        <f>IF(HOUR(Table1[[#This Row],[CORREO]])&gt;=11,WORKDAY(Table1[[#This Row],[CORREO]],1,Table2[Dias no laborales]),E2276)</f>
        <v>46174</v>
      </c>
      <c r="G2276" s="11">
        <v>46175</v>
      </c>
      <c r="H2276" s="7">
        <f t="shared" si="117"/>
        <v>22</v>
      </c>
      <c r="I2276" s="7">
        <f>MAX(1, NETWORKDAYS(A2276, G2276,Table2[Dias no laborales]))</f>
        <v>2</v>
      </c>
      <c r="J2276" s="7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7" t="str">
        <f t="shared" si="118"/>
        <v>A tiempo</v>
      </c>
      <c r="L2276" s="11">
        <v>46174</v>
      </c>
      <c r="M2276" s="22">
        <f>MAX(1,NETWORKDAYS(A2276,L2276,Table2[Dias no laborales]))</f>
        <v>1</v>
      </c>
    </row>
    <row r="2277" spans="1:13" hidden="1" x14ac:dyDescent="0.3">
      <c r="A2277" s="11">
        <v>46174</v>
      </c>
      <c r="B2277" s="20" t="s">
        <v>4510</v>
      </c>
      <c r="C2277" s="7" t="s">
        <v>4595</v>
      </c>
      <c r="D2277" s="7" t="s">
        <v>151</v>
      </c>
      <c r="E2277" s="18">
        <v>46174.356944444444</v>
      </c>
      <c r="F2277" s="11">
        <f>IF(HOUR(Table1[[#This Row],[CORREO]])&gt;=11,WORKDAY(Table1[[#This Row],[CORREO]],1,Table2[Dias no laborales]),E2277)</f>
        <v>46174.356944444444</v>
      </c>
      <c r="G2277" s="11">
        <v>46175</v>
      </c>
      <c r="H2277" s="7">
        <f t="shared" si="117"/>
        <v>22</v>
      </c>
      <c r="I2277" s="7">
        <f>MAX(1, NETWORKDAYS(A2277, G2277,Table2[Dias no laborales]))</f>
        <v>2</v>
      </c>
      <c r="J2277" s="7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7" t="str">
        <f t="shared" si="118"/>
        <v>A tiempo</v>
      </c>
      <c r="L2277" s="11">
        <v>46174</v>
      </c>
      <c r="M2277" s="22">
        <f>MAX(1,NETWORKDAYS(A2277,L2277,Table2[Dias no laborales]))</f>
        <v>1</v>
      </c>
    </row>
    <row r="2278" spans="1:13" hidden="1" x14ac:dyDescent="0.3">
      <c r="A2278" s="11">
        <v>46174</v>
      </c>
      <c r="B2278" s="20" t="s">
        <v>4511</v>
      </c>
      <c r="C2278" s="7" t="s">
        <v>4619</v>
      </c>
      <c r="D2278" s="7" t="s">
        <v>18</v>
      </c>
      <c r="E2278" s="18">
        <v>46174.409722222219</v>
      </c>
      <c r="F2278" s="11">
        <f>IF(HOUR(Table1[[#This Row],[CORREO]])&gt;=11,WORKDAY(Table1[[#This Row],[CORREO]],1,Table2[Dias no laborales]),E2278)</f>
        <v>46174.409722222219</v>
      </c>
      <c r="G2278" s="11">
        <v>46176</v>
      </c>
      <c r="H2278" s="7">
        <f t="shared" si="117"/>
        <v>22</v>
      </c>
      <c r="I2278" s="7">
        <f>MAX(1, NETWORKDAYS(A2278, G2278,Table2[Dias no laborales]))</f>
        <v>3</v>
      </c>
      <c r="J2278" s="7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7" t="str">
        <f t="shared" si="118"/>
        <v>A tiempo</v>
      </c>
      <c r="L2278" s="11">
        <v>46174</v>
      </c>
      <c r="M2278" s="22">
        <f>MAX(1,NETWORKDAYS(A2278,L2278,Table2[Dias no laborales]))</f>
        <v>1</v>
      </c>
    </row>
    <row r="2279" spans="1:13" hidden="1" x14ac:dyDescent="0.3">
      <c r="A2279" s="11">
        <v>46174</v>
      </c>
      <c r="B2279" s="20" t="s">
        <v>4512</v>
      </c>
      <c r="C2279" s="7" t="s">
        <v>4620</v>
      </c>
      <c r="D2279" s="7" t="s">
        <v>3020</v>
      </c>
      <c r="E2279" s="18">
        <v>46174.583333333336</v>
      </c>
      <c r="F2279" s="11">
        <f>IF(HOUR(Table1[[#This Row],[CORREO]])&gt;=11,WORKDAY(Table1[[#This Row],[CORREO]],1,Table2[Dias no laborales]),E2279)</f>
        <v>46175</v>
      </c>
      <c r="G2279" s="11">
        <v>46175</v>
      </c>
      <c r="H2279" s="7">
        <f t="shared" si="117"/>
        <v>22</v>
      </c>
      <c r="I2279" s="7">
        <f>MAX(1, NETWORKDAYS(A2279, G2279,Table2[Dias no laborales]))</f>
        <v>2</v>
      </c>
      <c r="J2279" s="7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7" t="str">
        <f t="shared" si="118"/>
        <v>Mismo día</v>
      </c>
      <c r="L2279" s="11">
        <v>46174</v>
      </c>
      <c r="M2279" s="22">
        <f>MAX(1,NETWORKDAYS(A2279,L2279,Table2[Dias no laborales]))</f>
        <v>1</v>
      </c>
    </row>
    <row r="2280" spans="1:13" hidden="1" x14ac:dyDescent="0.3">
      <c r="A2280" s="11">
        <v>46174</v>
      </c>
      <c r="B2280" s="20" t="s">
        <v>4513</v>
      </c>
      <c r="C2280" s="7" t="s">
        <v>4621</v>
      </c>
      <c r="D2280" s="7" t="s">
        <v>3020</v>
      </c>
      <c r="E2280" s="18">
        <v>46174.656944444447</v>
      </c>
      <c r="F2280" s="11">
        <f>IF(HOUR(Table1[[#This Row],[CORREO]])&gt;=11,WORKDAY(Table1[[#This Row],[CORREO]],1,Table2[Dias no laborales]),E2280)</f>
        <v>46175</v>
      </c>
      <c r="G2280" s="11">
        <v>46175</v>
      </c>
      <c r="H2280" s="7">
        <f t="shared" si="117"/>
        <v>22</v>
      </c>
      <c r="I2280" s="7">
        <f>MAX(1, NETWORKDAYS(A2280, G2280,Table2[Dias no laborales]))</f>
        <v>2</v>
      </c>
      <c r="J2280" s="7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7" t="str">
        <f t="shared" si="118"/>
        <v>Mismo día</v>
      </c>
      <c r="L2280" s="11">
        <v>46174</v>
      </c>
      <c r="M2280" s="22">
        <f>MAX(1,NETWORKDAYS(A2280,L2280,Table2[Dias no laborales]))</f>
        <v>1</v>
      </c>
    </row>
    <row r="2281" spans="1:13" hidden="1" x14ac:dyDescent="0.3">
      <c r="A2281" s="11">
        <v>46174</v>
      </c>
      <c r="B2281" s="20" t="s">
        <v>4514</v>
      </c>
      <c r="C2281" s="7" t="s">
        <v>4622</v>
      </c>
      <c r="D2281" s="7" t="s">
        <v>3020</v>
      </c>
      <c r="E2281" s="18">
        <v>46174.661805555559</v>
      </c>
      <c r="F2281" s="11">
        <f>IF(HOUR(Table1[[#This Row],[CORREO]])&gt;=11,WORKDAY(Table1[[#This Row],[CORREO]],1,Table2[Dias no laborales]),E2281)</f>
        <v>46175</v>
      </c>
      <c r="G2281" s="11">
        <v>46175</v>
      </c>
      <c r="H2281" s="7">
        <f t="shared" si="117"/>
        <v>22</v>
      </c>
      <c r="I2281" s="7">
        <f>MAX(1, NETWORKDAYS(A2281, G2281,Table2[Dias no laborales]))</f>
        <v>2</v>
      </c>
      <c r="J2281" s="7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7" t="str">
        <f t="shared" si="118"/>
        <v>Mismo día</v>
      </c>
      <c r="L2281" s="11">
        <v>46174</v>
      </c>
      <c r="M2281" s="22">
        <f>MAX(1,NETWORKDAYS(A2281,L2281,Table2[Dias no laborales]))</f>
        <v>1</v>
      </c>
    </row>
    <row r="2282" spans="1:13" hidden="1" x14ac:dyDescent="0.3">
      <c r="A2282" s="11">
        <v>46174</v>
      </c>
      <c r="B2282" s="20" t="s">
        <v>4515</v>
      </c>
      <c r="C2282" s="7" t="s">
        <v>4623</v>
      </c>
      <c r="D2282" s="7" t="s">
        <v>3020</v>
      </c>
      <c r="E2282" s="18">
        <v>46174.661805555559</v>
      </c>
      <c r="F2282" s="11">
        <f>IF(HOUR(Table1[[#This Row],[CORREO]])&gt;=11,WORKDAY(Table1[[#This Row],[CORREO]],1,Table2[Dias no laborales]),E2282)</f>
        <v>46175</v>
      </c>
      <c r="G2282" s="11">
        <v>46175</v>
      </c>
      <c r="H2282" s="7">
        <f t="shared" si="117"/>
        <v>22</v>
      </c>
      <c r="I2282" s="7">
        <f>MAX(1, NETWORKDAYS(A2282, G2282,Table2[Dias no laborales]))</f>
        <v>2</v>
      </c>
      <c r="J2282" s="7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7" t="str">
        <f t="shared" si="118"/>
        <v>Mismo día</v>
      </c>
      <c r="L2282" s="11">
        <v>46175</v>
      </c>
      <c r="M2282" s="22">
        <f>MAX(1,NETWORKDAYS(A2282,L2282,Table2[Dias no laborales]))</f>
        <v>2</v>
      </c>
    </row>
    <row r="2283" spans="1:13" hidden="1" x14ac:dyDescent="0.3">
      <c r="A2283" s="11">
        <v>46174</v>
      </c>
      <c r="B2283" s="20" t="s">
        <v>4516</v>
      </c>
      <c r="C2283" s="7" t="s">
        <v>4624</v>
      </c>
      <c r="D2283" s="7" t="s">
        <v>4625</v>
      </c>
      <c r="E2283" s="18"/>
      <c r="F2283" s="11">
        <f>IF(HOUR(Table1[[#This Row],[CORREO]])&gt;=11,WORKDAY(Table1[[#This Row],[CORREO]],1,Table2[Dias no laborales]),E2283)</f>
        <v>0</v>
      </c>
      <c r="G2283" s="11">
        <v>46184</v>
      </c>
      <c r="H2283" s="7">
        <f t="shared" si="117"/>
        <v>22</v>
      </c>
      <c r="I2283" s="7">
        <f>MAX(1, NETWORKDAYS(A2283, G2283,Table2[Dias no laborales]))</f>
        <v>9</v>
      </c>
      <c r="J2283" s="7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7" t="str">
        <f t="shared" si="118"/>
        <v>Programados</v>
      </c>
      <c r="L2283" s="11">
        <v>46175</v>
      </c>
      <c r="M2283" s="22">
        <f>MAX(1,NETWORKDAYS(A2283,L2283,Table2[Dias no laborales]))</f>
        <v>2</v>
      </c>
    </row>
    <row r="2284" spans="1:13" hidden="1" x14ac:dyDescent="0.3">
      <c r="A2284" s="11">
        <v>46175</v>
      </c>
      <c r="B2284" s="20" t="s">
        <v>4517</v>
      </c>
      <c r="C2284" s="7" t="s">
        <v>4626</v>
      </c>
      <c r="D2284" s="7" t="s">
        <v>449</v>
      </c>
      <c r="E2284" s="18">
        <v>46174.640277777777</v>
      </c>
      <c r="F2284" s="11">
        <f>IF(HOUR(Table1[[#This Row],[CORREO]])&gt;=11,WORKDAY(Table1[[#This Row],[CORREO]],1,Table2[Dias no laborales]),E2284)</f>
        <v>46175</v>
      </c>
      <c r="G2284" s="11">
        <v>46175</v>
      </c>
      <c r="H2284" s="7">
        <f t="shared" si="117"/>
        <v>22</v>
      </c>
      <c r="I2284" s="7">
        <f>MAX(1, NETWORKDAYS(A2284, G2284,Table2[Dias no laborales]))</f>
        <v>1</v>
      </c>
      <c r="J2284" s="7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7" t="str">
        <f t="shared" si="118"/>
        <v>A tiempo</v>
      </c>
      <c r="L2284" s="11">
        <v>46175</v>
      </c>
      <c r="M2284" s="22">
        <f>MAX(1,NETWORKDAYS(A2284,L2284,Table2[Dias no laborales]))</f>
        <v>1</v>
      </c>
    </row>
    <row r="2285" spans="1:13" hidden="1" x14ac:dyDescent="0.3">
      <c r="A2285" s="11">
        <v>46175</v>
      </c>
      <c r="B2285" s="20" t="s">
        <v>4518</v>
      </c>
      <c r="C2285" s="7" t="s">
        <v>4555</v>
      </c>
      <c r="D2285" s="7" t="s">
        <v>392</v>
      </c>
      <c r="E2285" s="18">
        <v>46174.706250000003</v>
      </c>
      <c r="F2285" s="11">
        <f>IF(HOUR(Table1[[#This Row],[CORREO]])&gt;=11,WORKDAY(Table1[[#This Row],[CORREO]],1,Table2[Dias no laborales]),E2285)</f>
        <v>46175</v>
      </c>
      <c r="G2285" s="11">
        <v>46175</v>
      </c>
      <c r="H2285" s="7">
        <f t="shared" si="117"/>
        <v>22</v>
      </c>
      <c r="I2285" s="7">
        <f>MAX(1, NETWORKDAYS(A2285, G2285,Table2[Dias no laborales]))</f>
        <v>1</v>
      </c>
      <c r="J2285" s="7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7" t="str">
        <f t="shared" si="118"/>
        <v>A tiempo</v>
      </c>
      <c r="L2285" s="11">
        <v>46175</v>
      </c>
      <c r="M2285" s="22">
        <f>MAX(1,NETWORKDAYS(A2285,L2285,Table2[Dias no laborales]))</f>
        <v>1</v>
      </c>
    </row>
    <row r="2286" spans="1:13" hidden="1" x14ac:dyDescent="0.3">
      <c r="A2286" s="11">
        <v>46175</v>
      </c>
      <c r="B2286" s="20" t="s">
        <v>4519</v>
      </c>
      <c r="C2286" s="7" t="s">
        <v>4627</v>
      </c>
      <c r="D2286" s="7" t="s">
        <v>2963</v>
      </c>
      <c r="E2286" s="18">
        <v>46174.643055555556</v>
      </c>
      <c r="F2286" s="11">
        <f>IF(HOUR(Table1[[#This Row],[CORREO]])&gt;=11,WORKDAY(Table1[[#This Row],[CORREO]],1,Table2[Dias no laborales]),E2286)</f>
        <v>46175</v>
      </c>
      <c r="G2286" s="11">
        <v>46175</v>
      </c>
      <c r="H2286" s="7">
        <f t="shared" si="117"/>
        <v>22</v>
      </c>
      <c r="I2286" s="7">
        <f>MAX(1, NETWORKDAYS(A2286, G2286,Table2[Dias no laborales]))</f>
        <v>1</v>
      </c>
      <c r="J2286" s="7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7" t="str">
        <f t="shared" si="118"/>
        <v>A tiempo</v>
      </c>
      <c r="L2286" s="11">
        <v>46175</v>
      </c>
      <c r="M2286" s="22">
        <f>MAX(1,NETWORKDAYS(A2286,L2286,Table2[Dias no laborales]))</f>
        <v>1</v>
      </c>
    </row>
    <row r="2287" spans="1:13" hidden="1" x14ac:dyDescent="0.3">
      <c r="A2287" s="11">
        <v>46175</v>
      </c>
      <c r="B2287" s="20" t="s">
        <v>4520</v>
      </c>
      <c r="C2287" s="7" t="s">
        <v>4628</v>
      </c>
      <c r="D2287" s="7" t="s">
        <v>916</v>
      </c>
      <c r="E2287" s="18">
        <v>46175.364583333336</v>
      </c>
      <c r="F2287" s="11">
        <f>IF(HOUR(Table1[[#This Row],[CORREO]])&gt;=11,WORKDAY(Table1[[#This Row],[CORREO]],1,Table2[Dias no laborales]),E2287)</f>
        <v>46175.364583333336</v>
      </c>
      <c r="G2287" s="11">
        <v>46175</v>
      </c>
      <c r="H2287" s="7">
        <f t="shared" si="117"/>
        <v>22</v>
      </c>
      <c r="I2287" s="7">
        <f>MAX(1, NETWORKDAYS(A2287, G2287,Table2[Dias no laborales]))</f>
        <v>1</v>
      </c>
      <c r="J2287" s="7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7" t="str">
        <f t="shared" si="118"/>
        <v>A tiempo</v>
      </c>
      <c r="L2287" s="11">
        <v>46175</v>
      </c>
      <c r="M2287" s="22">
        <f>MAX(1,NETWORKDAYS(A2287,L2287,Table2[Dias no laborales]))</f>
        <v>1</v>
      </c>
    </row>
    <row r="2288" spans="1:13" hidden="1" x14ac:dyDescent="0.3">
      <c r="A2288" s="11">
        <v>46175</v>
      </c>
      <c r="B2288" s="20" t="s">
        <v>4521</v>
      </c>
      <c r="C2288" s="7" t="s">
        <v>4629</v>
      </c>
      <c r="D2288" s="7" t="s">
        <v>27</v>
      </c>
      <c r="E2288" s="18"/>
      <c r="F2288" s="11">
        <f>IF(HOUR(Table1[[#This Row],[CORREO]])&gt;=11,WORKDAY(Table1[[#This Row],[CORREO]],1,Table2[Dias no laborales]),E2288)</f>
        <v>0</v>
      </c>
      <c r="G2288" s="11">
        <v>46182</v>
      </c>
      <c r="H2288" s="7">
        <f t="shared" si="117"/>
        <v>22</v>
      </c>
      <c r="I2288" s="7">
        <f>MAX(1, NETWORKDAYS(A2288, G2288,Table2[Dias no laborales]))</f>
        <v>6</v>
      </c>
      <c r="J2288" s="7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7" t="str">
        <f t="shared" si="118"/>
        <v>Programados</v>
      </c>
      <c r="L2288" s="11">
        <v>46175</v>
      </c>
      <c r="M2288" s="22">
        <f>MAX(1,NETWORKDAYS(A2288,L2288,Table2[Dias no laborales]))</f>
        <v>1</v>
      </c>
    </row>
    <row r="2289" spans="1:13" hidden="1" x14ac:dyDescent="0.3">
      <c r="A2289" s="11">
        <v>46175</v>
      </c>
      <c r="B2289" s="20" t="s">
        <v>4522</v>
      </c>
      <c r="C2289" s="7" t="s">
        <v>4630</v>
      </c>
      <c r="D2289" s="7" t="s">
        <v>27</v>
      </c>
      <c r="E2289" s="18"/>
      <c r="F2289" s="11">
        <f>IF(HOUR(Table1[[#This Row],[CORREO]])&gt;=11,WORKDAY(Table1[[#This Row],[CORREO]],1,Table2[Dias no laborales]),E2289)</f>
        <v>0</v>
      </c>
      <c r="G2289" s="11">
        <v>46182</v>
      </c>
      <c r="H2289" s="7">
        <f t="shared" si="117"/>
        <v>22</v>
      </c>
      <c r="I2289" s="7">
        <f>MAX(1, NETWORKDAYS(A2289, G2289,Table2[Dias no laborales]))</f>
        <v>6</v>
      </c>
      <c r="J2289" s="7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7" t="str">
        <f t="shared" si="118"/>
        <v>Programados</v>
      </c>
      <c r="L2289" s="11">
        <v>46175</v>
      </c>
      <c r="M2289" s="22">
        <f>MAX(1,NETWORKDAYS(A2289,L2289,Table2[Dias no laborales]))</f>
        <v>1</v>
      </c>
    </row>
    <row r="2290" spans="1:13" hidden="1" x14ac:dyDescent="0.3">
      <c r="A2290" s="11">
        <v>46175</v>
      </c>
      <c r="B2290" s="20" t="s">
        <v>4523</v>
      </c>
      <c r="C2290" s="7" t="s">
        <v>4631</v>
      </c>
      <c r="D2290" s="7" t="s">
        <v>27</v>
      </c>
      <c r="E2290" s="18"/>
      <c r="F2290" s="11">
        <f>IF(HOUR(Table1[[#This Row],[CORREO]])&gt;=11,WORKDAY(Table1[[#This Row],[CORREO]],1,Table2[Dias no laborales]),E2290)</f>
        <v>0</v>
      </c>
      <c r="G2290" s="11">
        <v>46182</v>
      </c>
      <c r="H2290" s="7">
        <f t="shared" si="117"/>
        <v>22</v>
      </c>
      <c r="I2290" s="7">
        <f>MAX(1, NETWORKDAYS(A2290, G2290,Table2[Dias no laborales]))</f>
        <v>6</v>
      </c>
      <c r="J2290" s="7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7" t="str">
        <f t="shared" si="118"/>
        <v>Programados</v>
      </c>
      <c r="L2290" s="11">
        <v>46175</v>
      </c>
      <c r="M2290" s="22">
        <f>MAX(1,NETWORKDAYS(A2290,L2290,Table2[Dias no laborales]))</f>
        <v>1</v>
      </c>
    </row>
    <row r="2291" spans="1:13" hidden="1" x14ac:dyDescent="0.3">
      <c r="A2291" s="11">
        <v>46175</v>
      </c>
      <c r="B2291" s="20" t="s">
        <v>4524</v>
      </c>
      <c r="C2291" s="7" t="s">
        <v>4632</v>
      </c>
      <c r="D2291" s="7" t="s">
        <v>27</v>
      </c>
      <c r="E2291" s="18"/>
      <c r="F2291" s="11">
        <f>IF(HOUR(Table1[[#This Row],[CORREO]])&gt;=11,WORKDAY(Table1[[#This Row],[CORREO]],1,Table2[Dias no laborales]),E2291)</f>
        <v>0</v>
      </c>
      <c r="G2291" s="11">
        <v>46183</v>
      </c>
      <c r="H2291" s="7">
        <f t="shared" si="117"/>
        <v>22</v>
      </c>
      <c r="I2291" s="7">
        <f>MAX(1, NETWORKDAYS(A2291, G2291,Table2[Dias no laborales]))</f>
        <v>7</v>
      </c>
      <c r="J2291" s="7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7" t="str">
        <f t="shared" si="118"/>
        <v>Programados</v>
      </c>
      <c r="L2291" s="11">
        <v>46175</v>
      </c>
      <c r="M2291" s="22">
        <f>MAX(1,NETWORKDAYS(A2291,L2291,Table2[Dias no laborales]))</f>
        <v>1</v>
      </c>
    </row>
    <row r="2292" spans="1:13" hidden="1" x14ac:dyDescent="0.3">
      <c r="A2292" s="11">
        <v>46175</v>
      </c>
      <c r="B2292" s="20" t="s">
        <v>4525</v>
      </c>
      <c r="C2292" s="7" t="s">
        <v>4488</v>
      </c>
      <c r="D2292" s="7" t="s">
        <v>434</v>
      </c>
      <c r="E2292" s="18">
        <v>46175.430555555555</v>
      </c>
      <c r="F2292" s="11">
        <f>IF(HOUR(Table1[[#This Row],[CORREO]])&gt;=11,WORKDAY(Table1[[#This Row],[CORREO]],1,Table2[Dias no laborales]),E2292)</f>
        <v>46175.430555555555</v>
      </c>
      <c r="G2292" s="11">
        <v>46175</v>
      </c>
      <c r="H2292" s="7">
        <f t="shared" si="117"/>
        <v>22</v>
      </c>
      <c r="I2292" s="7">
        <f>MAX(1, NETWORKDAYS(A2292, G2292,Table2[Dias no laborales]))</f>
        <v>1</v>
      </c>
      <c r="J2292" s="7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7" t="str">
        <f t="shared" si="118"/>
        <v>A tiempo</v>
      </c>
      <c r="L2292" s="11">
        <v>46175</v>
      </c>
      <c r="M2292" s="22">
        <f>MAX(1,NETWORKDAYS(A2292,L2292,Table2[Dias no laborales]))</f>
        <v>1</v>
      </c>
    </row>
    <row r="2293" spans="1:13" hidden="1" x14ac:dyDescent="0.3">
      <c r="A2293" s="11">
        <v>46175</v>
      </c>
      <c r="B2293" s="20" t="s">
        <v>4526</v>
      </c>
      <c r="C2293" s="7" t="s">
        <v>4633</v>
      </c>
      <c r="D2293" s="7" t="s">
        <v>3020</v>
      </c>
      <c r="E2293" s="18">
        <v>46175.495138888888</v>
      </c>
      <c r="F2293" s="11">
        <f>IF(HOUR(Table1[[#This Row],[CORREO]])&gt;=11,WORKDAY(Table1[[#This Row],[CORREO]],1,Table2[Dias no laborales]),E2293)</f>
        <v>46176</v>
      </c>
      <c r="G2293" s="11">
        <v>46176</v>
      </c>
      <c r="H2293" s="7">
        <f t="shared" si="117"/>
        <v>22</v>
      </c>
      <c r="I2293" s="7">
        <f>MAX(1, NETWORKDAYS(A2293, G2293,Table2[Dias no laborales]))</f>
        <v>2</v>
      </c>
      <c r="J2293" s="7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7" t="str">
        <f t="shared" si="118"/>
        <v>Mismo día</v>
      </c>
      <c r="L2293" s="11">
        <v>46175</v>
      </c>
      <c r="M2293" s="22">
        <f>MAX(1,NETWORKDAYS(A2293,L2293,Table2[Dias no laborales]))</f>
        <v>1</v>
      </c>
    </row>
    <row r="2294" spans="1:13" hidden="1" x14ac:dyDescent="0.3">
      <c r="A2294" s="11">
        <v>46175</v>
      </c>
      <c r="B2294" s="20" t="s">
        <v>4527</v>
      </c>
      <c r="C2294" s="7" t="s">
        <v>4634</v>
      </c>
      <c r="D2294" s="7" t="s">
        <v>269</v>
      </c>
      <c r="E2294" s="18">
        <v>46175.515277777777</v>
      </c>
      <c r="F2294" s="11">
        <f>IF(HOUR(Table1[[#This Row],[CORREO]])&gt;=11,WORKDAY(Table1[[#This Row],[CORREO]],1,Table2[Dias no laborales]),E2294)</f>
        <v>46176</v>
      </c>
      <c r="G2294" s="11">
        <v>46176</v>
      </c>
      <c r="H2294" s="7">
        <f t="shared" si="117"/>
        <v>22</v>
      </c>
      <c r="I2294" s="7">
        <f>MAX(1, NETWORKDAYS(A2294, G2294,Table2[Dias no laborales]))</f>
        <v>2</v>
      </c>
      <c r="J2294" s="7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7" t="str">
        <f t="shared" si="118"/>
        <v>Mismo día</v>
      </c>
      <c r="L2294" s="11">
        <v>46175</v>
      </c>
      <c r="M2294" s="22">
        <f>MAX(1,NETWORKDAYS(A2294,L2294,Table2[Dias no laborales]))</f>
        <v>1</v>
      </c>
    </row>
    <row r="2295" spans="1:13" hidden="1" x14ac:dyDescent="0.3">
      <c r="A2295" s="11">
        <v>46175</v>
      </c>
      <c r="B2295" s="20" t="s">
        <v>4528</v>
      </c>
      <c r="C2295" s="7" t="s">
        <v>4635</v>
      </c>
      <c r="D2295" s="7" t="s">
        <v>1726</v>
      </c>
      <c r="E2295" s="18">
        <v>46175.556250000001</v>
      </c>
      <c r="F2295" s="11">
        <f>IF(HOUR(Table1[[#This Row],[CORREO]])&gt;=11,WORKDAY(Table1[[#This Row],[CORREO]],1,Table2[Dias no laborales]),E2295)</f>
        <v>46176</v>
      </c>
      <c r="G2295" s="11">
        <v>46175</v>
      </c>
      <c r="H2295" s="7">
        <f t="shared" si="117"/>
        <v>22</v>
      </c>
      <c r="I2295" s="7">
        <f>MAX(1, NETWORKDAYS(A2295, G2295,Table2[Dias no laborales]))</f>
        <v>1</v>
      </c>
      <c r="J2295" s="7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7" t="str">
        <f t="shared" si="118"/>
        <v>Mismo día</v>
      </c>
      <c r="L2295" s="11">
        <v>46175</v>
      </c>
      <c r="M2295" s="22">
        <f>MAX(1,NETWORKDAYS(A2295,L2295,Table2[Dias no laborales]))</f>
        <v>1</v>
      </c>
    </row>
    <row r="2296" spans="1:13" hidden="1" x14ac:dyDescent="0.3">
      <c r="A2296" s="11">
        <v>46175</v>
      </c>
      <c r="B2296" s="20" t="s">
        <v>4529</v>
      </c>
      <c r="C2296" s="7" t="s">
        <v>4636</v>
      </c>
      <c r="D2296" s="7" t="s">
        <v>449</v>
      </c>
      <c r="E2296" s="18">
        <v>46174.640277777777</v>
      </c>
      <c r="F2296" s="11">
        <f>IF(HOUR(Table1[[#This Row],[CORREO]])&gt;=11,WORKDAY(Table1[[#This Row],[CORREO]],1,Table2[Dias no laborales]),E2296)</f>
        <v>46175</v>
      </c>
      <c r="G2296" s="11">
        <v>46176</v>
      </c>
      <c r="H2296" s="7">
        <f t="shared" si="117"/>
        <v>22</v>
      </c>
      <c r="I2296" s="7">
        <f>MAX(1, NETWORKDAYS(A2296, G2296,Table2[Dias no laborales]))</f>
        <v>2</v>
      </c>
      <c r="J2296" s="7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7" t="str">
        <f t="shared" si="118"/>
        <v>A tiempo</v>
      </c>
      <c r="L2296" s="11">
        <v>46175</v>
      </c>
      <c r="M2296" s="22">
        <f>MAX(1,NETWORKDAYS(A2296,L2296,Table2[Dias no laborales]))</f>
        <v>1</v>
      </c>
    </row>
    <row r="2297" spans="1:13" hidden="1" x14ac:dyDescent="0.3">
      <c r="A2297" s="11">
        <v>46175</v>
      </c>
      <c r="B2297" s="20" t="s">
        <v>4530</v>
      </c>
      <c r="C2297" s="7" t="s">
        <v>4637</v>
      </c>
      <c r="D2297" s="7" t="s">
        <v>4625</v>
      </c>
      <c r="E2297" s="18"/>
      <c r="F2297" s="11">
        <f>IF(HOUR(Table1[[#This Row],[CORREO]])&gt;=11,WORKDAY(Table1[[#This Row],[CORREO]],1,Table2[Dias no laborales]),E2297)</f>
        <v>0</v>
      </c>
      <c r="G2297" s="11">
        <v>46177</v>
      </c>
      <c r="H2297" s="7">
        <f t="shared" ref="H2297:H2316" si="119">INT((A2297-DATE(YEAR(A2297),1,1))/7) + 1</f>
        <v>22</v>
      </c>
      <c r="I2297" s="7">
        <f>MAX(1, NETWORKDAYS(A2297, G2297,Table2[Dias no laborales]))</f>
        <v>3</v>
      </c>
      <c r="J2297" s="7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7" t="str">
        <f t="shared" ref="K2297:K2316" si="120">IF(INT(A2297)=INT(F2297),"A tiempo", IF(A2297&lt;F2297,"Mismo día","Programados"))</f>
        <v>Programados</v>
      </c>
      <c r="L2297" s="11">
        <v>46175</v>
      </c>
      <c r="M2297" s="22">
        <f>MAX(1,NETWORKDAYS(A2297,L2297,Table2[Dias no laborales]))</f>
        <v>1</v>
      </c>
    </row>
    <row r="2298" spans="1:13" hidden="1" x14ac:dyDescent="0.3">
      <c r="A2298" s="11">
        <v>46176</v>
      </c>
      <c r="B2298" s="20" t="s">
        <v>4531</v>
      </c>
      <c r="C2298" s="7" t="s">
        <v>4638</v>
      </c>
      <c r="D2298" s="7" t="s">
        <v>61</v>
      </c>
      <c r="E2298" s="18">
        <v>46175.555555555555</v>
      </c>
      <c r="F2298" s="11">
        <f>IF(HOUR(Table1[[#This Row],[CORREO]])&gt;=11,WORKDAY(Table1[[#This Row],[CORREO]],1,Table2[Dias no laborales]),E2298)</f>
        <v>46176</v>
      </c>
      <c r="G2298" s="11">
        <v>46177</v>
      </c>
      <c r="H2298" s="7">
        <f t="shared" si="119"/>
        <v>22</v>
      </c>
      <c r="I2298" s="7">
        <f>MAX(1, NETWORKDAYS(A2298, G2298,Table2[Dias no laborales]))</f>
        <v>2</v>
      </c>
      <c r="J2298" s="7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7" t="str">
        <f t="shared" si="120"/>
        <v>A tiempo</v>
      </c>
      <c r="L2298" s="11">
        <v>46176</v>
      </c>
      <c r="M2298" s="22">
        <f>MAX(1,NETWORKDAYS(A2298,L2298,Table2[Dias no laborales]))</f>
        <v>1</v>
      </c>
    </row>
    <row r="2299" spans="1:13" hidden="1" x14ac:dyDescent="0.3">
      <c r="A2299" s="11">
        <v>46176</v>
      </c>
      <c r="B2299" s="20" t="s">
        <v>4532</v>
      </c>
      <c r="C2299" s="7" t="s">
        <v>4639</v>
      </c>
      <c r="D2299" s="7" t="s">
        <v>24</v>
      </c>
      <c r="E2299" s="18">
        <v>46176.349305555559</v>
      </c>
      <c r="F2299" s="11">
        <f>IF(HOUR(Table1[[#This Row],[CORREO]])&gt;=11,WORKDAY(Table1[[#This Row],[CORREO]],1,Table2[Dias no laborales]),E2299)</f>
        <v>46176.349305555559</v>
      </c>
      <c r="G2299" s="11">
        <v>46181</v>
      </c>
      <c r="H2299" s="7">
        <f t="shared" si="119"/>
        <v>22</v>
      </c>
      <c r="I2299" s="7">
        <f>MAX(1, NETWORKDAYS(A2299, G2299,Table2[Dias no laborales]))</f>
        <v>4</v>
      </c>
      <c r="J2299" s="7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7" t="str">
        <f t="shared" si="120"/>
        <v>A tiempo</v>
      </c>
      <c r="L2299" s="11">
        <v>46176</v>
      </c>
      <c r="M2299" s="22">
        <f>MAX(1,NETWORKDAYS(A2299,L2299,Table2[Dias no laborales]))</f>
        <v>1</v>
      </c>
    </row>
    <row r="2300" spans="1:13" hidden="1" x14ac:dyDescent="0.3">
      <c r="A2300" s="11">
        <v>46176</v>
      </c>
      <c r="B2300" s="20" t="s">
        <v>4533</v>
      </c>
      <c r="C2300" s="7" t="s">
        <v>4640</v>
      </c>
      <c r="D2300" s="7" t="s">
        <v>18</v>
      </c>
      <c r="E2300" s="18">
        <v>46176.432638888888</v>
      </c>
      <c r="F2300" s="11">
        <f>IF(HOUR(Table1[[#This Row],[CORREO]])&gt;=11,WORKDAY(Table1[[#This Row],[CORREO]],1,Table2[Dias no laborales]),E2300)</f>
        <v>46176.432638888888</v>
      </c>
      <c r="G2300" s="11">
        <v>46178</v>
      </c>
      <c r="H2300" s="7">
        <f t="shared" si="119"/>
        <v>22</v>
      </c>
      <c r="I2300" s="7">
        <f>MAX(1, NETWORKDAYS(A2300, G2300,Table2[Dias no laborales]))</f>
        <v>3</v>
      </c>
      <c r="J2300" s="7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7" t="str">
        <f t="shared" si="120"/>
        <v>A tiempo</v>
      </c>
      <c r="L2300" s="11">
        <v>46176</v>
      </c>
      <c r="M2300" s="22">
        <f>MAX(1,NETWORKDAYS(A2300,L2300,Table2[Dias no laborales]))</f>
        <v>1</v>
      </c>
    </row>
    <row r="2301" spans="1:13" hidden="1" x14ac:dyDescent="0.3">
      <c r="A2301" s="11">
        <v>46176</v>
      </c>
      <c r="B2301" s="20" t="s">
        <v>4534</v>
      </c>
      <c r="C2301" s="7" t="s">
        <v>4641</v>
      </c>
      <c r="D2301" s="7" t="s">
        <v>623</v>
      </c>
      <c r="E2301" s="18">
        <v>46176.454861111109</v>
      </c>
      <c r="F2301" s="11">
        <f>IF(HOUR(Table1[[#This Row],[CORREO]])&gt;=11,WORKDAY(Table1[[#This Row],[CORREO]],1,Table2[Dias no laborales]),E2301)</f>
        <v>46176.454861111109</v>
      </c>
      <c r="G2301" s="11">
        <v>46178</v>
      </c>
      <c r="H2301" s="7">
        <f t="shared" si="119"/>
        <v>22</v>
      </c>
      <c r="I2301" s="7">
        <f>MAX(1, NETWORKDAYS(A2301, G2301,Table2[Dias no laborales]))</f>
        <v>3</v>
      </c>
      <c r="J2301" s="7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7" t="str">
        <f t="shared" si="120"/>
        <v>A tiempo</v>
      </c>
      <c r="L2301" s="11">
        <v>46176</v>
      </c>
      <c r="M2301" s="22">
        <f>MAX(1,NETWORKDAYS(A2301,L2301,Table2[Dias no laborales]))</f>
        <v>1</v>
      </c>
    </row>
    <row r="2302" spans="1:13" hidden="1" x14ac:dyDescent="0.3">
      <c r="A2302" s="11">
        <v>46176</v>
      </c>
      <c r="B2302" s="20" t="s">
        <v>4535</v>
      </c>
      <c r="C2302" s="7" t="s">
        <v>4642</v>
      </c>
      <c r="D2302" s="7" t="s">
        <v>53</v>
      </c>
      <c r="E2302" s="18">
        <v>46176.46597222222</v>
      </c>
      <c r="F2302" s="11">
        <f>IF(HOUR(Table1[[#This Row],[CORREO]])&gt;=11,WORKDAY(Table1[[#This Row],[CORREO]],1,Table2[Dias no laborales]),E2302)</f>
        <v>46177</v>
      </c>
      <c r="G2302" s="11">
        <v>46183</v>
      </c>
      <c r="H2302" s="7">
        <f t="shared" si="119"/>
        <v>22</v>
      </c>
      <c r="I2302" s="7">
        <f>MAX(1, NETWORKDAYS(A2302, G2302,Table2[Dias no laborales]))</f>
        <v>6</v>
      </c>
      <c r="J2302" s="7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7" t="str">
        <f t="shared" si="120"/>
        <v>Mismo día</v>
      </c>
      <c r="L2302" s="11">
        <v>46176</v>
      </c>
      <c r="M2302" s="22">
        <f>MAX(1,NETWORKDAYS(A2302,L2302,Table2[Dias no laborales]))</f>
        <v>1</v>
      </c>
    </row>
    <row r="2303" spans="1:13" hidden="1" x14ac:dyDescent="0.3">
      <c r="A2303" s="11">
        <v>46176</v>
      </c>
      <c r="B2303" s="20" t="s">
        <v>4536</v>
      </c>
      <c r="C2303" s="7" t="s">
        <v>4643</v>
      </c>
      <c r="D2303" s="7" t="s">
        <v>24</v>
      </c>
      <c r="E2303" s="18">
        <v>46176.70416666667</v>
      </c>
      <c r="F2303" s="11">
        <f>IF(HOUR(Table1[[#This Row],[CORREO]])&gt;=11,WORKDAY(Table1[[#This Row],[CORREO]],1,Table2[Dias no laborales]),E2303)</f>
        <v>46177</v>
      </c>
      <c r="G2303" s="11">
        <v>46177</v>
      </c>
      <c r="H2303" s="7">
        <f t="shared" si="119"/>
        <v>22</v>
      </c>
      <c r="I2303" s="7">
        <f>MAX(1, NETWORKDAYS(A2303, G2303,Table2[Dias no laborales]))</f>
        <v>2</v>
      </c>
      <c r="J2303" s="7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7" t="str">
        <f t="shared" si="120"/>
        <v>Mismo día</v>
      </c>
      <c r="L2303" s="11">
        <v>46176</v>
      </c>
      <c r="M2303" s="22">
        <f>MAX(1,NETWORKDAYS(A2303,L2303,Table2[Dias no laborales]))</f>
        <v>1</v>
      </c>
    </row>
    <row r="2304" spans="1:13" hidden="1" x14ac:dyDescent="0.3">
      <c r="A2304" s="11">
        <v>46176</v>
      </c>
      <c r="B2304" s="20" t="s">
        <v>4537</v>
      </c>
      <c r="C2304" s="7" t="s">
        <v>4489</v>
      </c>
      <c r="D2304" s="7" t="s">
        <v>3941</v>
      </c>
      <c r="E2304" s="18">
        <v>46176.619444444441</v>
      </c>
      <c r="F2304" s="11">
        <f>IF(HOUR(Table1[[#This Row],[CORREO]])&gt;=11,WORKDAY(Table1[[#This Row],[CORREO]],1,Table2[Dias no laborales]),E2304)</f>
        <v>46177</v>
      </c>
      <c r="G2304" s="11">
        <v>46177</v>
      </c>
      <c r="H2304" s="7">
        <f t="shared" si="119"/>
        <v>22</v>
      </c>
      <c r="I2304" s="7">
        <f>MAX(1, NETWORKDAYS(A2304, G2304,Table2[Dias no laborales]))</f>
        <v>2</v>
      </c>
      <c r="J2304" s="7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7" t="str">
        <f t="shared" si="120"/>
        <v>Mismo día</v>
      </c>
      <c r="L2304" s="11">
        <v>46176</v>
      </c>
      <c r="M2304" s="22">
        <f>MAX(1,NETWORKDAYS(A2304,L2304,Table2[Dias no laborales]))</f>
        <v>1</v>
      </c>
    </row>
    <row r="2305" spans="1:13" hidden="1" x14ac:dyDescent="0.3">
      <c r="A2305" s="11">
        <v>46176</v>
      </c>
      <c r="B2305" s="20" t="s">
        <v>4538</v>
      </c>
      <c r="C2305" s="7" t="s">
        <v>4644</v>
      </c>
      <c r="D2305" s="7" t="s">
        <v>449</v>
      </c>
      <c r="E2305" s="18">
        <v>46174.640277777777</v>
      </c>
      <c r="F2305" s="11">
        <f>IF(HOUR(Table1[[#This Row],[CORREO]])&gt;=11,WORKDAY(Table1[[#This Row],[CORREO]],1,Table2[Dias no laborales]),E2305)</f>
        <v>46175</v>
      </c>
      <c r="G2305" s="11">
        <v>46177</v>
      </c>
      <c r="H2305" s="7">
        <f t="shared" si="119"/>
        <v>22</v>
      </c>
      <c r="I2305" s="7">
        <f>MAX(1, NETWORKDAYS(A2305, G2305,Table2[Dias no laborales]))</f>
        <v>2</v>
      </c>
      <c r="J2305" s="7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7" t="str">
        <f t="shared" si="120"/>
        <v>Programados</v>
      </c>
      <c r="L2305" s="11">
        <v>46176</v>
      </c>
      <c r="M2305" s="22">
        <f>MAX(1,NETWORKDAYS(A2305,L2305,Table2[Dias no laborales]))</f>
        <v>1</v>
      </c>
    </row>
    <row r="2306" spans="1:13" hidden="1" x14ac:dyDescent="0.3">
      <c r="A2306" s="11">
        <v>46176</v>
      </c>
      <c r="B2306" s="20" t="s">
        <v>4539</v>
      </c>
      <c r="C2306" s="7" t="s">
        <v>4645</v>
      </c>
      <c r="D2306" s="7" t="s">
        <v>449</v>
      </c>
      <c r="E2306" s="18">
        <v>46176.37777777778</v>
      </c>
      <c r="F2306" s="11">
        <f>IF(HOUR(Table1[[#This Row],[CORREO]])&gt;=11,WORKDAY(Table1[[#This Row],[CORREO]],1,Table2[Dias no laborales]),E2306)</f>
        <v>46176.37777777778</v>
      </c>
      <c r="G2306" s="11">
        <v>46182</v>
      </c>
      <c r="H2306" s="7">
        <f t="shared" si="119"/>
        <v>22</v>
      </c>
      <c r="I2306" s="7">
        <f>MAX(1, NETWORKDAYS(A2306, G2306,Table2[Dias no laborales]))</f>
        <v>5</v>
      </c>
      <c r="J2306" s="7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7" t="str">
        <f t="shared" si="120"/>
        <v>A tiempo</v>
      </c>
      <c r="L2306" s="11">
        <v>46176</v>
      </c>
      <c r="M2306" s="22">
        <f>MAX(1,NETWORKDAYS(A2306,L2306,Table2[Dias no laborales]))</f>
        <v>1</v>
      </c>
    </row>
    <row r="2307" spans="1:13" hidden="1" x14ac:dyDescent="0.3">
      <c r="A2307" s="11">
        <v>46177</v>
      </c>
      <c r="B2307" s="20" t="s">
        <v>4540</v>
      </c>
      <c r="C2307" s="7" t="s">
        <v>4646</v>
      </c>
      <c r="D2307" s="7" t="s">
        <v>133</v>
      </c>
      <c r="E2307" s="18">
        <v>46176.536111111112</v>
      </c>
      <c r="F2307" s="11">
        <f>IF(HOUR(Table1[[#This Row],[CORREO]])&gt;=11,WORKDAY(Table1[[#This Row],[CORREO]],1,Table2[Dias no laborales]),E2307)</f>
        <v>46177</v>
      </c>
      <c r="G2307" s="11">
        <v>46182</v>
      </c>
      <c r="H2307" s="7">
        <f t="shared" si="119"/>
        <v>23</v>
      </c>
      <c r="I2307" s="7">
        <f>MAX(1, NETWORKDAYS(A2307, G2307,Table2[Dias no laborales]))</f>
        <v>4</v>
      </c>
      <c r="J2307" s="7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7" t="str">
        <f t="shared" si="120"/>
        <v>A tiempo</v>
      </c>
      <c r="L2307" s="11">
        <v>46177</v>
      </c>
      <c r="M2307" s="22">
        <f>MAX(1,NETWORKDAYS(A2307,L2307,Table2[Dias no laborales]))</f>
        <v>1</v>
      </c>
    </row>
    <row r="2308" spans="1:13" hidden="1" x14ac:dyDescent="0.3">
      <c r="A2308" s="11">
        <v>46177</v>
      </c>
      <c r="B2308" s="20" t="s">
        <v>4541</v>
      </c>
      <c r="C2308" s="7" t="s">
        <v>4647</v>
      </c>
      <c r="D2308" s="7" t="s">
        <v>372</v>
      </c>
      <c r="E2308" s="18">
        <v>46176.568055555559</v>
      </c>
      <c r="F2308" s="11">
        <f>IF(HOUR(Table1[[#This Row],[CORREO]])&gt;=11,WORKDAY(Table1[[#This Row],[CORREO]],1,Table2[Dias no laborales]),E2308)</f>
        <v>46177</v>
      </c>
      <c r="G2308" s="11">
        <v>46177</v>
      </c>
      <c r="H2308" s="7">
        <f t="shared" si="119"/>
        <v>23</v>
      </c>
      <c r="I2308" s="7">
        <f>MAX(1, NETWORKDAYS(A2308, G2308,Table2[Dias no laborales]))</f>
        <v>1</v>
      </c>
      <c r="J2308" s="7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7" t="str">
        <f t="shared" si="120"/>
        <v>A tiempo</v>
      </c>
      <c r="L2308" s="11">
        <v>46177</v>
      </c>
      <c r="M2308" s="22">
        <f>MAX(1,NETWORKDAYS(A2308,L2308,Table2[Dias no laborales]))</f>
        <v>1</v>
      </c>
    </row>
    <row r="2309" spans="1:13" hidden="1" x14ac:dyDescent="0.3">
      <c r="A2309" s="11">
        <v>46177</v>
      </c>
      <c r="B2309" s="20" t="s">
        <v>4542</v>
      </c>
      <c r="C2309" s="7" t="s">
        <v>4648</v>
      </c>
      <c r="D2309" s="7" t="s">
        <v>24</v>
      </c>
      <c r="E2309" s="18">
        <v>46176.59097222222</v>
      </c>
      <c r="F2309" s="11">
        <f>IF(HOUR(Table1[[#This Row],[CORREO]])&gt;=11,WORKDAY(Table1[[#This Row],[CORREO]],1,Table2[Dias no laborales]),E2309)</f>
        <v>46177</v>
      </c>
      <c r="G2309" s="11">
        <v>46177</v>
      </c>
      <c r="H2309" s="7">
        <f t="shared" si="119"/>
        <v>23</v>
      </c>
      <c r="I2309" s="7">
        <f>MAX(1, NETWORKDAYS(A2309, G2309,Table2[Dias no laborales]))</f>
        <v>1</v>
      </c>
      <c r="J2309" s="7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7" t="str">
        <f t="shared" si="120"/>
        <v>A tiempo</v>
      </c>
      <c r="L2309" s="11">
        <v>46177</v>
      </c>
      <c r="M2309" s="22">
        <f>MAX(1,NETWORKDAYS(A2309,L2309,Table2[Dias no laborales]))</f>
        <v>1</v>
      </c>
    </row>
    <row r="2310" spans="1:13" hidden="1" x14ac:dyDescent="0.3">
      <c r="A2310" s="11">
        <v>46177</v>
      </c>
      <c r="B2310" s="20" t="s">
        <v>4543</v>
      </c>
      <c r="C2310" s="7" t="s">
        <v>4649</v>
      </c>
      <c r="D2310" s="7" t="s">
        <v>27</v>
      </c>
      <c r="E2310" s="18">
        <v>46176.758333333331</v>
      </c>
      <c r="F2310" s="11">
        <f>IF(HOUR(Table1[[#This Row],[CORREO]])&gt;=11,WORKDAY(Table1[[#This Row],[CORREO]],1,Table2[Dias no laborales]),E2310)</f>
        <v>46177</v>
      </c>
      <c r="G2310" s="11">
        <v>46182</v>
      </c>
      <c r="H2310" s="7">
        <f t="shared" si="119"/>
        <v>23</v>
      </c>
      <c r="I2310" s="7">
        <f>MAX(1, NETWORKDAYS(A2310, G2310,Table2[Dias no laborales]))</f>
        <v>4</v>
      </c>
      <c r="J2310" s="7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7" t="str">
        <f t="shared" si="120"/>
        <v>A tiempo</v>
      </c>
      <c r="L2310" s="11"/>
      <c r="M2310" s="22">
        <f>MAX(1,NETWORKDAYS(A2310,L2310,Table2[Dias no laborales]))</f>
        <v>1</v>
      </c>
    </row>
    <row r="2311" spans="1:13" hidden="1" x14ac:dyDescent="0.3">
      <c r="A2311" s="11">
        <v>46177</v>
      </c>
      <c r="B2311" s="20" t="s">
        <v>4544</v>
      </c>
      <c r="C2311" s="7" t="s">
        <v>4650</v>
      </c>
      <c r="D2311" s="7" t="s">
        <v>42</v>
      </c>
      <c r="E2311" s="18">
        <v>46177.354166666664</v>
      </c>
      <c r="F2311" s="11">
        <f>IF(HOUR(Table1[[#This Row],[CORREO]])&gt;=11,WORKDAY(Table1[[#This Row],[CORREO]],1,Table2[Dias no laborales]),E2311)</f>
        <v>46177.354166666664</v>
      </c>
      <c r="G2311" s="11">
        <v>46178</v>
      </c>
      <c r="H2311" s="7">
        <f t="shared" si="119"/>
        <v>23</v>
      </c>
      <c r="I2311" s="7">
        <f>MAX(1, NETWORKDAYS(A2311, G2311,Table2[Dias no laborales]))</f>
        <v>2</v>
      </c>
      <c r="J2311" s="7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7" t="str">
        <f t="shared" si="120"/>
        <v>A tiempo</v>
      </c>
      <c r="L2311" s="11">
        <v>46177</v>
      </c>
      <c r="M2311" s="22">
        <f>MAX(1,NETWORKDAYS(A2311,L2311,Table2[Dias no laborales]))</f>
        <v>1</v>
      </c>
    </row>
    <row r="2312" spans="1:13" hidden="1" x14ac:dyDescent="0.3">
      <c r="A2312" s="11">
        <v>46177</v>
      </c>
      <c r="B2312" s="20" t="s">
        <v>4545</v>
      </c>
      <c r="C2312" s="7" t="s">
        <v>4651</v>
      </c>
      <c r="D2312" s="7" t="s">
        <v>2586</v>
      </c>
      <c r="E2312" s="18">
        <v>46177.388194444444</v>
      </c>
      <c r="F2312" s="11">
        <f>IF(HOUR(Table1[[#This Row],[CORREO]])&gt;=11,WORKDAY(Table1[[#This Row],[CORREO]],1,Table2[Dias no laborales]),E2312)</f>
        <v>46177.388194444444</v>
      </c>
      <c r="G2312" s="11">
        <v>46178</v>
      </c>
      <c r="H2312" s="7">
        <f t="shared" si="119"/>
        <v>23</v>
      </c>
      <c r="I2312" s="7">
        <f>MAX(1, NETWORKDAYS(A2312, G2312,Table2[Dias no laborales]))</f>
        <v>2</v>
      </c>
      <c r="J2312" s="7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7" t="str">
        <f t="shared" si="120"/>
        <v>A tiempo</v>
      </c>
      <c r="L2312" s="11">
        <v>46177</v>
      </c>
      <c r="M2312" s="22">
        <f>MAX(1,NETWORKDAYS(A2312,L2312,Table2[Dias no laborales]))</f>
        <v>1</v>
      </c>
    </row>
    <row r="2313" spans="1:13" hidden="1" x14ac:dyDescent="0.3">
      <c r="A2313" s="11">
        <v>46177</v>
      </c>
      <c r="B2313" s="20" t="s">
        <v>4546</v>
      </c>
      <c r="C2313" s="7" t="s">
        <v>4652</v>
      </c>
      <c r="D2313" s="7" t="s">
        <v>3020</v>
      </c>
      <c r="E2313" s="18">
        <v>46177.406944444447</v>
      </c>
      <c r="F2313" s="11">
        <f>IF(HOUR(Table1[[#This Row],[CORREO]])&gt;=11,WORKDAY(Table1[[#This Row],[CORREO]],1,Table2[Dias no laborales]),E2313)</f>
        <v>46177.406944444447</v>
      </c>
      <c r="G2313" s="11">
        <v>46178</v>
      </c>
      <c r="H2313" s="7">
        <f t="shared" si="119"/>
        <v>23</v>
      </c>
      <c r="I2313" s="7">
        <f>MAX(1, NETWORKDAYS(A2313, G2313,Table2[Dias no laborales]))</f>
        <v>2</v>
      </c>
      <c r="J2313" s="7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7" t="str">
        <f t="shared" si="120"/>
        <v>A tiempo</v>
      </c>
      <c r="L2313" s="11">
        <v>46177</v>
      </c>
      <c r="M2313" s="22">
        <f>MAX(1,NETWORKDAYS(A2313,L2313,Table2[Dias no laborales]))</f>
        <v>1</v>
      </c>
    </row>
    <row r="2314" spans="1:13" hidden="1" x14ac:dyDescent="0.3">
      <c r="A2314" s="11">
        <v>46177</v>
      </c>
      <c r="B2314" s="20" t="s">
        <v>4547</v>
      </c>
      <c r="C2314" s="7" t="s">
        <v>4653</v>
      </c>
      <c r="D2314" s="7" t="s">
        <v>151</v>
      </c>
      <c r="E2314" s="18">
        <v>46177.413194444445</v>
      </c>
      <c r="F2314" s="11">
        <f>IF(HOUR(Table1[[#This Row],[CORREO]])&gt;=11,WORKDAY(Table1[[#This Row],[CORREO]],1,Table2[Dias no laborales]),E2314)</f>
        <v>46177.413194444445</v>
      </c>
      <c r="G2314" s="11">
        <v>46182</v>
      </c>
      <c r="H2314" s="7">
        <f t="shared" si="119"/>
        <v>23</v>
      </c>
      <c r="I2314" s="7">
        <f>MAX(1, NETWORKDAYS(A2314, G2314,Table2[Dias no laborales]))</f>
        <v>4</v>
      </c>
      <c r="J2314" s="7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7" t="str">
        <f t="shared" si="120"/>
        <v>A tiempo</v>
      </c>
      <c r="L2314" s="11">
        <v>46178</v>
      </c>
      <c r="M2314" s="22">
        <f>MAX(1,NETWORKDAYS(A2314,L2314,Table2[Dias no laborales]))</f>
        <v>2</v>
      </c>
    </row>
    <row r="2315" spans="1:13" hidden="1" x14ac:dyDescent="0.3">
      <c r="A2315" s="11">
        <v>46177</v>
      </c>
      <c r="B2315" s="20" t="s">
        <v>4548</v>
      </c>
      <c r="C2315" s="7" t="s">
        <v>4654</v>
      </c>
      <c r="D2315" s="7" t="s">
        <v>3845</v>
      </c>
      <c r="E2315" s="18">
        <v>46177.45</v>
      </c>
      <c r="F2315" s="11">
        <f>IF(HOUR(Table1[[#This Row],[CORREO]])&gt;=11,WORKDAY(Table1[[#This Row],[CORREO]],1,Table2[Dias no laborales]),E2315)</f>
        <v>46177.45</v>
      </c>
      <c r="G2315" s="11">
        <v>46182</v>
      </c>
      <c r="H2315" s="7">
        <f t="shared" si="119"/>
        <v>23</v>
      </c>
      <c r="I2315" s="7">
        <f>MAX(1, NETWORKDAYS(A2315, G2315,Table2[Dias no laborales]))</f>
        <v>4</v>
      </c>
      <c r="J2315" s="7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7" t="str">
        <f t="shared" si="120"/>
        <v>A tiempo</v>
      </c>
      <c r="L2315" s="11">
        <v>46178</v>
      </c>
      <c r="M2315" s="22">
        <f>MAX(1,NETWORKDAYS(A2315,L2315,Table2[Dias no laborales]))</f>
        <v>2</v>
      </c>
    </row>
    <row r="2316" spans="1:13" hidden="1" x14ac:dyDescent="0.3">
      <c r="A2316" s="11">
        <v>46177</v>
      </c>
      <c r="B2316" s="20" t="s">
        <v>4549</v>
      </c>
      <c r="C2316" s="7" t="s">
        <v>4655</v>
      </c>
      <c r="D2316" s="7" t="s">
        <v>571</v>
      </c>
      <c r="E2316" s="18">
        <v>46177.451388888891</v>
      </c>
      <c r="F2316" s="11">
        <f>IF(HOUR(Table1[[#This Row],[CORREO]])&gt;=11,WORKDAY(Table1[[#This Row],[CORREO]],1,Table2[Dias no laborales]),E2316)</f>
        <v>46177.451388888891</v>
      </c>
      <c r="G2316" s="11">
        <v>46178</v>
      </c>
      <c r="H2316" s="7">
        <f t="shared" si="119"/>
        <v>23</v>
      </c>
      <c r="I2316" s="7">
        <f>MAX(1, NETWORKDAYS(A2316, G2316,Table2[Dias no laborales]))</f>
        <v>2</v>
      </c>
      <c r="J2316" s="7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7" t="str">
        <f t="shared" si="120"/>
        <v>A tiempo</v>
      </c>
      <c r="L2316" s="11">
        <v>46177</v>
      </c>
      <c r="M2316" s="22">
        <f>MAX(1,NETWORKDAYS(A2316,L2316,Table2[Dias no laborales]))</f>
        <v>1</v>
      </c>
    </row>
    <row r="2317" spans="1:13" hidden="1" x14ac:dyDescent="0.3">
      <c r="A2317" s="11">
        <v>46177</v>
      </c>
      <c r="B2317" s="20" t="s">
        <v>4570</v>
      </c>
      <c r="C2317" s="7" t="s">
        <v>4656</v>
      </c>
      <c r="D2317" s="18" t="s">
        <v>3020</v>
      </c>
      <c r="E2317" s="18">
        <v>46177.603472222225</v>
      </c>
      <c r="F2317" s="11">
        <f>IF(HOUR(Table1[[#This Row],[CORREO]])&gt;=11,WORKDAY(Table1[[#This Row],[CORREO]],1,Table2[Dias no laborales]),E2317)</f>
        <v>46178</v>
      </c>
      <c r="G2317" s="11">
        <v>46183</v>
      </c>
      <c r="H2317" s="7">
        <f t="shared" ref="H2317:H2326" si="121">INT((A2317-DATE(YEAR(A2317),1,1))/7) + 1</f>
        <v>23</v>
      </c>
      <c r="I2317" s="7">
        <f>MAX(1, NETWORKDAYS(A2317, G2317,Table2[Dias no laborales]))</f>
        <v>5</v>
      </c>
      <c r="J2317" s="7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7" t="str">
        <f t="shared" ref="K2317:K2326" si="122">IF(INT(A2317)=INT(F2317),"A tiempo", IF(A2317&lt;F2317,"Mismo día","Programados"))</f>
        <v>Mismo día</v>
      </c>
      <c r="L2317" s="11">
        <v>46177</v>
      </c>
      <c r="M2317" s="22">
        <f>MAX(1,NETWORKDAYS(A2317,L2317,Table2[Dias no laborales]))</f>
        <v>1</v>
      </c>
    </row>
    <row r="2318" spans="1:13" hidden="1" x14ac:dyDescent="0.3">
      <c r="A2318" s="11">
        <v>46177</v>
      </c>
      <c r="B2318" s="20" t="s">
        <v>4571</v>
      </c>
      <c r="C2318" s="7" t="s">
        <v>4657</v>
      </c>
      <c r="D2318" s="7" t="s">
        <v>3020</v>
      </c>
      <c r="E2318" s="18">
        <v>46177.718055555553</v>
      </c>
      <c r="F2318" s="11">
        <f>IF(HOUR(Table1[[#This Row],[CORREO]])&gt;=11,WORKDAY(Table1[[#This Row],[CORREO]],1,Table2[Dias no laborales]),E2318)</f>
        <v>46178</v>
      </c>
      <c r="G2318" s="11">
        <v>46178</v>
      </c>
      <c r="H2318" s="7">
        <f t="shared" si="121"/>
        <v>23</v>
      </c>
      <c r="I2318" s="7">
        <f>MAX(1, NETWORKDAYS(A2318, G2318,Table2[Dias no laborales]))</f>
        <v>2</v>
      </c>
      <c r="J2318" s="7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7" t="str">
        <f t="shared" si="122"/>
        <v>Mismo día</v>
      </c>
      <c r="L2318" s="11">
        <v>46177</v>
      </c>
      <c r="M2318" s="22">
        <f>MAX(1,NETWORKDAYS(A2318,L2318,Table2[Dias no laborales]))</f>
        <v>1</v>
      </c>
    </row>
    <row r="2319" spans="1:13" hidden="1" x14ac:dyDescent="0.3">
      <c r="A2319" s="11">
        <v>46178</v>
      </c>
      <c r="B2319" s="20" t="s">
        <v>4572</v>
      </c>
      <c r="C2319" s="7" t="s">
        <v>4658</v>
      </c>
      <c r="D2319" s="7" t="s">
        <v>53</v>
      </c>
      <c r="E2319" s="18">
        <v>46177.465277777781</v>
      </c>
      <c r="F2319" s="11">
        <f>IF(HOUR(Table1[[#This Row],[CORREO]])&gt;=11,WORKDAY(Table1[[#This Row],[CORREO]],1,Table2[Dias no laborales]),E2319)</f>
        <v>46178</v>
      </c>
      <c r="G2319" s="11">
        <v>46188</v>
      </c>
      <c r="H2319" s="7">
        <f t="shared" si="121"/>
        <v>23</v>
      </c>
      <c r="I2319" s="7">
        <f>MAX(1, NETWORKDAYS(A2319, G2319,Table2[Dias no laborales]))</f>
        <v>7</v>
      </c>
      <c r="J2319" s="7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7" t="str">
        <f t="shared" si="122"/>
        <v>A tiempo</v>
      </c>
      <c r="L2319" s="11">
        <v>46178</v>
      </c>
      <c r="M2319" s="22">
        <f>MAX(1,NETWORKDAYS(A2319,L2319,Table2[Dias no laborales]))</f>
        <v>1</v>
      </c>
    </row>
    <row r="2320" spans="1:13" hidden="1" x14ac:dyDescent="0.3">
      <c r="A2320" s="11">
        <v>46178</v>
      </c>
      <c r="B2320" s="20" t="s">
        <v>4573</v>
      </c>
      <c r="C2320" s="7" t="s">
        <v>4674</v>
      </c>
      <c r="D2320" s="7" t="s">
        <v>24</v>
      </c>
      <c r="E2320" s="18">
        <v>46177.561805555553</v>
      </c>
      <c r="F2320" s="11">
        <f>IF(HOUR(Table1[[#This Row],[CORREO]])&gt;=11,WORKDAY(Table1[[#This Row],[CORREO]],1,Table2[Dias no laborales]),E2320)</f>
        <v>46178</v>
      </c>
      <c r="G2320" s="11">
        <v>46188</v>
      </c>
      <c r="H2320" s="7">
        <f t="shared" si="121"/>
        <v>23</v>
      </c>
      <c r="I2320" s="7">
        <f>MAX(1, NETWORKDAYS(A2320, G2320,Table2[Dias no laborales]))</f>
        <v>7</v>
      </c>
      <c r="J2320" s="7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7" t="str">
        <f t="shared" si="122"/>
        <v>A tiempo</v>
      </c>
      <c r="L2320" s="11">
        <v>46178</v>
      </c>
      <c r="M2320" s="22">
        <f>MAX(1,NETWORKDAYS(A2320,L2320,Table2[Dias no laborales]))</f>
        <v>1</v>
      </c>
    </row>
    <row r="2321" spans="1:13" hidden="1" x14ac:dyDescent="0.3">
      <c r="A2321" s="11">
        <v>46178</v>
      </c>
      <c r="B2321" s="20" t="s">
        <v>4574</v>
      </c>
      <c r="C2321" s="7" t="s">
        <v>4675</v>
      </c>
      <c r="D2321" s="7" t="s">
        <v>754</v>
      </c>
      <c r="E2321" s="18">
        <v>46177.65347222222</v>
      </c>
      <c r="F2321" s="11">
        <f>IF(HOUR(Table1[[#This Row],[CORREO]])&gt;=11,WORKDAY(Table1[[#This Row],[CORREO]],1,Table2[Dias no laborales]),E2321)</f>
        <v>46178</v>
      </c>
      <c r="G2321" s="11">
        <v>46178</v>
      </c>
      <c r="H2321" s="7">
        <f t="shared" si="121"/>
        <v>23</v>
      </c>
      <c r="I2321" s="7">
        <f>MAX(1, NETWORKDAYS(A2321, G2321,Table2[Dias no laborales]))</f>
        <v>1</v>
      </c>
      <c r="J2321" s="7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7" t="str">
        <f t="shared" si="122"/>
        <v>A tiempo</v>
      </c>
      <c r="L2321" s="11">
        <v>46178</v>
      </c>
      <c r="M2321" s="22">
        <f>MAX(1,NETWORKDAYS(A2321,L2321,Table2[Dias no laborales]))</f>
        <v>1</v>
      </c>
    </row>
    <row r="2322" spans="1:13" hidden="1" x14ac:dyDescent="0.3">
      <c r="A2322" s="11">
        <v>46178</v>
      </c>
      <c r="B2322" s="20" t="s">
        <v>4575</v>
      </c>
      <c r="C2322" s="7" t="s">
        <v>4676</v>
      </c>
      <c r="D2322" s="7" t="s">
        <v>538</v>
      </c>
      <c r="E2322" s="18">
        <v>46178.34375</v>
      </c>
      <c r="F2322" s="11">
        <f>IF(HOUR(Table1[[#This Row],[CORREO]])&gt;=11,WORKDAY(Table1[[#This Row],[CORREO]],1,Table2[Dias no laborales]),E2322)</f>
        <v>46178.34375</v>
      </c>
      <c r="G2322" s="11">
        <v>46183</v>
      </c>
      <c r="H2322" s="7">
        <f t="shared" si="121"/>
        <v>23</v>
      </c>
      <c r="I2322" s="7">
        <f>MAX(1, NETWORKDAYS(A2322, G2322,Table2[Dias no laborales]))</f>
        <v>4</v>
      </c>
      <c r="J2322" s="7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7" t="str">
        <f t="shared" si="122"/>
        <v>A tiempo</v>
      </c>
      <c r="L2322" s="11">
        <v>46181</v>
      </c>
      <c r="M2322" s="22">
        <f>MAX(1,NETWORKDAYS(A2322,L2322,Table2[Dias no laborales]))</f>
        <v>2</v>
      </c>
    </row>
    <row r="2323" spans="1:13" hidden="1" x14ac:dyDescent="0.3">
      <c r="A2323" s="11">
        <v>46178</v>
      </c>
      <c r="B2323" s="20" t="s">
        <v>4576</v>
      </c>
      <c r="C2323" s="7" t="s">
        <v>4677</v>
      </c>
      <c r="D2323" s="7" t="s">
        <v>4678</v>
      </c>
      <c r="E2323" s="18">
        <v>46178.357638888891</v>
      </c>
      <c r="F2323" s="11">
        <f>IF(HOUR(Table1[[#This Row],[CORREO]])&gt;=11,WORKDAY(Table1[[#This Row],[CORREO]],1,Table2[Dias no laborales]),E2323)</f>
        <v>46178.357638888891</v>
      </c>
      <c r="G2323" s="11">
        <v>46181</v>
      </c>
      <c r="H2323" s="7">
        <f t="shared" si="121"/>
        <v>23</v>
      </c>
      <c r="I2323" s="7">
        <f>MAX(1, NETWORKDAYS(A2323, G2323,Table2[Dias no laborales]))</f>
        <v>2</v>
      </c>
      <c r="J2323" s="7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7" t="str">
        <f t="shared" si="122"/>
        <v>A tiempo</v>
      </c>
      <c r="L2323" s="11">
        <v>46178</v>
      </c>
      <c r="M2323" s="22">
        <f>MAX(1,NETWORKDAYS(A2323,L2323,Table2[Dias no laborales]))</f>
        <v>1</v>
      </c>
    </row>
    <row r="2324" spans="1:13" hidden="1" x14ac:dyDescent="0.3">
      <c r="A2324" s="11">
        <v>46178</v>
      </c>
      <c r="B2324" s="20" t="s">
        <v>4577</v>
      </c>
      <c r="C2324" s="7" t="s">
        <v>4679</v>
      </c>
      <c r="D2324" s="7" t="s">
        <v>916</v>
      </c>
      <c r="E2324" s="18">
        <v>46178.361111111109</v>
      </c>
      <c r="F2324" s="11">
        <f>IF(HOUR(Table1[[#This Row],[CORREO]])&gt;=11,WORKDAY(Table1[[#This Row],[CORREO]],1,Table2[Dias no laborales]),E2324)</f>
        <v>46178.361111111109</v>
      </c>
      <c r="G2324" s="11">
        <v>46178</v>
      </c>
      <c r="H2324" s="7">
        <f t="shared" si="121"/>
        <v>23</v>
      </c>
      <c r="I2324" s="7">
        <f>MAX(1, NETWORKDAYS(A2324, G2324,Table2[Dias no laborales]))</f>
        <v>1</v>
      </c>
      <c r="J2324" s="7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7" t="str">
        <f t="shared" si="122"/>
        <v>A tiempo</v>
      </c>
      <c r="L2324" s="11">
        <v>46178</v>
      </c>
      <c r="M2324" s="22">
        <f>MAX(1,NETWORKDAYS(A2324,L2324,Table2[Dias no laborales]))</f>
        <v>1</v>
      </c>
    </row>
    <row r="2325" spans="1:13" hidden="1" x14ac:dyDescent="0.3">
      <c r="A2325" s="11">
        <v>46178</v>
      </c>
      <c r="B2325" s="20" t="s">
        <v>4578</v>
      </c>
      <c r="C2325" s="7" t="s">
        <v>4680</v>
      </c>
      <c r="D2325" s="7" t="s">
        <v>1333</v>
      </c>
      <c r="E2325" s="18"/>
      <c r="F2325" s="11">
        <f>IF(HOUR(Table1[[#This Row],[CORREO]])&gt;=11,WORKDAY(Table1[[#This Row],[CORREO]],1,Table2[Dias no laborales]),E2325)</f>
        <v>0</v>
      </c>
      <c r="G2325" s="11">
        <v>46188</v>
      </c>
      <c r="H2325" s="7">
        <f t="shared" si="121"/>
        <v>23</v>
      </c>
      <c r="I2325" s="7">
        <f>MAX(1, NETWORKDAYS(A2325, G2325,Table2[Dias no laborales]))</f>
        <v>7</v>
      </c>
      <c r="J2325" s="7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7" t="str">
        <f t="shared" si="122"/>
        <v>Programados</v>
      </c>
      <c r="L2325" s="11">
        <v>46178</v>
      </c>
      <c r="M2325" s="22">
        <f>MAX(1,NETWORKDAYS(A2325,L2325,Table2[Dias no laborales]))</f>
        <v>1</v>
      </c>
    </row>
    <row r="2326" spans="1:13" hidden="1" x14ac:dyDescent="0.3">
      <c r="A2326" s="11">
        <v>46178</v>
      </c>
      <c r="B2326" s="20" t="s">
        <v>4579</v>
      </c>
      <c r="C2326" s="7" t="s">
        <v>4681</v>
      </c>
      <c r="D2326" s="7" t="s">
        <v>3845</v>
      </c>
      <c r="E2326" s="18"/>
      <c r="F2326" s="11">
        <f>IF(HOUR(Table1[[#This Row],[CORREO]])&gt;=11,WORKDAY(Table1[[#This Row],[CORREO]],1,Table2[Dias no laborales]),E2326)</f>
        <v>0</v>
      </c>
      <c r="G2326" s="11">
        <v>46181</v>
      </c>
      <c r="H2326" s="7">
        <f t="shared" si="121"/>
        <v>23</v>
      </c>
      <c r="I2326" s="7">
        <f>MAX(1, NETWORKDAYS(A2326, G2326,Table2[Dias no laborales]))</f>
        <v>2</v>
      </c>
      <c r="J2326" s="7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7" t="str">
        <f t="shared" si="122"/>
        <v>Programados</v>
      </c>
      <c r="L2326" s="11">
        <v>46178</v>
      </c>
      <c r="M2326" s="22">
        <f>MAX(1,NETWORKDAYS(A2326,L2326,Table2[Dias no laborales]))</f>
        <v>1</v>
      </c>
    </row>
    <row r="2327" spans="1:13" hidden="1" x14ac:dyDescent="0.3">
      <c r="A2327" s="11">
        <v>46178</v>
      </c>
      <c r="B2327" s="20" t="s">
        <v>4598</v>
      </c>
      <c r="C2327" s="7" t="s">
        <v>4682</v>
      </c>
      <c r="D2327" s="7" t="s">
        <v>27</v>
      </c>
      <c r="E2327" s="18">
        <v>46178.486805555556</v>
      </c>
      <c r="F2327" s="11">
        <f>IF(HOUR(Table1[[#This Row],[CORREO]])&gt;=11,WORKDAY(Table1[[#This Row],[CORREO]],1,Table2[Dias no laborales]),E2327)</f>
        <v>46181</v>
      </c>
      <c r="G2327" s="11">
        <v>46181</v>
      </c>
      <c r="H2327" s="7">
        <f>INT((A2327-DATE(YEAR(A2327),1,1))/7) + 1</f>
        <v>23</v>
      </c>
      <c r="I2327" s="7">
        <f>MAX(1, NETWORKDAYS(A2327, G2327,Table2[Dias no laborales]))</f>
        <v>2</v>
      </c>
      <c r="J2327" s="7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7" t="str">
        <f>IF(INT(A2327)=INT(F2327),"A tiempo", IF(A2327&lt;F2327,"Mismo día","Programados"))</f>
        <v>Mismo día</v>
      </c>
      <c r="L2327" s="11">
        <v>46181</v>
      </c>
      <c r="M2327" s="22">
        <f>MAX(1,NETWORKDAYS(A2327,L2327,Table2[Dias no laborales]))</f>
        <v>2</v>
      </c>
    </row>
    <row r="2328" spans="1:13" hidden="1" x14ac:dyDescent="0.3">
      <c r="A2328" s="11">
        <v>46178</v>
      </c>
      <c r="B2328" s="20" t="s">
        <v>4612</v>
      </c>
      <c r="C2328" s="7" t="s">
        <v>4582</v>
      </c>
      <c r="D2328" s="7" t="s">
        <v>151</v>
      </c>
      <c r="E2328" s="18">
        <v>46171.755555555559</v>
      </c>
      <c r="F2328" s="11">
        <f>IF(HOUR(Table1[[#This Row],[CORREO]])&gt;=11,WORKDAY(Table1[[#This Row],[CORREO]],1,Table2[Dias no laborales]),E2328)</f>
        <v>46174</v>
      </c>
      <c r="G2328" s="11">
        <v>46181</v>
      </c>
      <c r="H2328" s="7">
        <f t="shared" ref="H2328:H2334" si="123">INT((A2328-DATE(YEAR(A2328),1,1))/7) + 1</f>
        <v>23</v>
      </c>
      <c r="I2328" s="7">
        <f>MAX(1, NETWORKDAYS(A2328, G2328,Table2[Dias no laborales]))</f>
        <v>2</v>
      </c>
      <c r="J2328" s="7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7" t="str">
        <f t="shared" ref="K2328:K2334" si="124">IF(INT(A2328)=INT(F2328),"A tiempo", IF(A2328&lt;F2328,"Mismo día","Programados"))</f>
        <v>Programados</v>
      </c>
      <c r="L2328" s="11">
        <v>46178</v>
      </c>
      <c r="M2328" s="22">
        <f>MAX(1,NETWORKDAYS(A2328,L2328,Table2[Dias no laborales]))</f>
        <v>1</v>
      </c>
    </row>
    <row r="2329" spans="1:13" hidden="1" x14ac:dyDescent="0.3">
      <c r="A2329" s="11">
        <v>46178</v>
      </c>
      <c r="B2329" s="20" t="s">
        <v>4613</v>
      </c>
      <c r="C2329" s="7" t="s">
        <v>4683</v>
      </c>
      <c r="D2329" s="7" t="s">
        <v>4684</v>
      </c>
      <c r="E2329" s="18">
        <v>46178.584027777775</v>
      </c>
      <c r="F2329" s="11">
        <f>IF(HOUR(Table1[[#This Row],[CORREO]])&gt;=11,WORKDAY(Table1[[#This Row],[CORREO]],1,Table2[Dias no laborales]),E2329)</f>
        <v>46181</v>
      </c>
      <c r="G2329" s="11">
        <v>46183</v>
      </c>
      <c r="H2329" s="7">
        <f t="shared" si="123"/>
        <v>23</v>
      </c>
      <c r="I2329" s="7">
        <f>MAX(1, NETWORKDAYS(A2329, G2329,Table2[Dias no laborales]))</f>
        <v>4</v>
      </c>
      <c r="J2329" s="7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7" t="str">
        <f t="shared" si="124"/>
        <v>Mismo día</v>
      </c>
      <c r="L2329" s="11">
        <v>46178</v>
      </c>
      <c r="M2329" s="22">
        <f>MAX(1,NETWORKDAYS(A2329,L2329,Table2[Dias no laborales]))</f>
        <v>1</v>
      </c>
    </row>
    <row r="2330" spans="1:13" hidden="1" x14ac:dyDescent="0.3">
      <c r="A2330" s="11">
        <v>46181</v>
      </c>
      <c r="B2330" s="20" t="s">
        <v>4614</v>
      </c>
      <c r="C2330" s="7" t="s">
        <v>4685</v>
      </c>
      <c r="D2330" s="7" t="s">
        <v>24</v>
      </c>
      <c r="E2330" s="18"/>
      <c r="F2330" s="11">
        <f>IF(HOUR(Table1[[#This Row],[CORREO]])&gt;=11,WORKDAY(Table1[[#This Row],[CORREO]],1,Table2[Dias no laborales]),E2330)</f>
        <v>0</v>
      </c>
      <c r="G2330" s="11">
        <v>46185</v>
      </c>
      <c r="H2330" s="7">
        <f t="shared" si="123"/>
        <v>23</v>
      </c>
      <c r="I2330" s="7">
        <f>MAX(1, NETWORKDAYS(A2330, G2330,Table2[Dias no laborales]))</f>
        <v>5</v>
      </c>
      <c r="J2330" s="7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7" t="str">
        <f t="shared" si="124"/>
        <v>Programados</v>
      </c>
      <c r="L2330" s="11">
        <v>46181</v>
      </c>
      <c r="M2330" s="22">
        <f>MAX(1,NETWORKDAYS(A2330,L2330,Table2[Dias no laborales]))</f>
        <v>1</v>
      </c>
    </row>
    <row r="2331" spans="1:13" hidden="1" x14ac:dyDescent="0.3">
      <c r="A2331" s="11">
        <v>46181</v>
      </c>
      <c r="B2331" s="20" t="s">
        <v>4615</v>
      </c>
      <c r="C2331" s="7" t="s">
        <v>4686</v>
      </c>
      <c r="D2331" s="7" t="s">
        <v>1360</v>
      </c>
      <c r="E2331" s="18">
        <v>46178.561805555553</v>
      </c>
      <c r="F2331" s="11">
        <f>IF(HOUR(Table1[[#This Row],[CORREO]])&gt;=11,WORKDAY(Table1[[#This Row],[CORREO]],1,Table2[Dias no laborales]),E2331)</f>
        <v>46181</v>
      </c>
      <c r="G2331" s="11">
        <v>46184</v>
      </c>
      <c r="H2331" s="7">
        <f t="shared" si="123"/>
        <v>23</v>
      </c>
      <c r="I2331" s="7">
        <f>MAX(1, NETWORKDAYS(A2331, G2331,Table2[Dias no laborales]))</f>
        <v>4</v>
      </c>
      <c r="J2331" s="7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7" t="str">
        <f t="shared" si="124"/>
        <v>A tiempo</v>
      </c>
      <c r="L2331" s="11">
        <v>46181</v>
      </c>
      <c r="M2331" s="22">
        <f>MAX(1,NETWORKDAYS(A2331,L2331,Table2[Dias no laborales]))</f>
        <v>1</v>
      </c>
    </row>
    <row r="2332" spans="1:13" hidden="1" x14ac:dyDescent="0.3">
      <c r="A2332" s="11">
        <v>46181</v>
      </c>
      <c r="B2332" s="20" t="s">
        <v>4616</v>
      </c>
      <c r="C2332" s="7" t="s">
        <v>4687</v>
      </c>
      <c r="D2332" s="7" t="s">
        <v>1360</v>
      </c>
      <c r="E2332" s="18">
        <v>46178.570138888892</v>
      </c>
      <c r="F2332" s="11">
        <f>IF(HOUR(Table1[[#This Row],[CORREO]])&gt;=11,WORKDAY(Table1[[#This Row],[CORREO]],1,Table2[Dias no laborales]),E2332)</f>
        <v>46181</v>
      </c>
      <c r="G2332" s="11">
        <v>46182</v>
      </c>
      <c r="H2332" s="7">
        <f t="shared" si="123"/>
        <v>23</v>
      </c>
      <c r="I2332" s="7">
        <f>MAX(1, NETWORKDAYS(A2332, G2332,Table2[Dias no laborales]))</f>
        <v>2</v>
      </c>
      <c r="J2332" s="7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7" t="str">
        <f t="shared" si="124"/>
        <v>A tiempo</v>
      </c>
      <c r="L2332" s="11">
        <v>46181</v>
      </c>
      <c r="M2332" s="22">
        <f>MAX(1,NETWORKDAYS(A2332,L2332,Table2[Dias no laborales]))</f>
        <v>1</v>
      </c>
    </row>
    <row r="2333" spans="1:13" hidden="1" x14ac:dyDescent="0.3">
      <c r="A2333" s="11">
        <v>46181</v>
      </c>
      <c r="B2333" s="20" t="s">
        <v>4617</v>
      </c>
      <c r="C2333" s="7" t="s">
        <v>4688</v>
      </c>
      <c r="D2333" s="7" t="s">
        <v>24</v>
      </c>
      <c r="E2333" s="18">
        <v>46178.67291666667</v>
      </c>
      <c r="F2333" s="11">
        <f>IF(HOUR(Table1[[#This Row],[CORREO]])&gt;=11,WORKDAY(Table1[[#This Row],[CORREO]],1,Table2[Dias no laborales]),E2333)</f>
        <v>46181</v>
      </c>
      <c r="G2333" s="11">
        <v>46181</v>
      </c>
      <c r="H2333" s="7">
        <f t="shared" si="123"/>
        <v>23</v>
      </c>
      <c r="I2333" s="7">
        <f>MAX(1, NETWORKDAYS(A2333, G2333,Table2[Dias no laborales]))</f>
        <v>1</v>
      </c>
      <c r="J2333" s="7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7" t="str">
        <f t="shared" si="124"/>
        <v>A tiempo</v>
      </c>
      <c r="L2333" s="11">
        <v>46181</v>
      </c>
      <c r="M2333" s="22">
        <f>MAX(1,NETWORKDAYS(A2333,L2333,Table2[Dias no laborales]))</f>
        <v>1</v>
      </c>
    </row>
    <row r="2334" spans="1:13" hidden="1" x14ac:dyDescent="0.3">
      <c r="A2334" s="11">
        <v>46181</v>
      </c>
      <c r="B2334" s="20" t="s">
        <v>4618</v>
      </c>
      <c r="C2334" s="7" t="s">
        <v>4689</v>
      </c>
      <c r="D2334" s="7" t="s">
        <v>372</v>
      </c>
      <c r="E2334" s="18">
        <v>46179.429861111108</v>
      </c>
      <c r="F2334" s="11">
        <f>IF(HOUR(Table1[[#This Row],[CORREO]])&gt;=11,WORKDAY(Table1[[#This Row],[CORREO]],1,Table2[Dias no laborales]),E2334)</f>
        <v>46179.429861111108</v>
      </c>
      <c r="G2334" s="11">
        <v>46182</v>
      </c>
      <c r="H2334" s="7">
        <f t="shared" si="123"/>
        <v>23</v>
      </c>
      <c r="I2334" s="7">
        <f>MAX(1, NETWORKDAYS(A2334, G2334,Table2[Dias no laborales]))</f>
        <v>2</v>
      </c>
      <c r="J2334" s="7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7" t="str">
        <f t="shared" si="124"/>
        <v>Programados</v>
      </c>
      <c r="L2334" s="11">
        <v>46181</v>
      </c>
      <c r="M2334" s="22">
        <f>MAX(1,NETWORKDAYS(A2334,L2334,Table2[Dias no laborales]))</f>
        <v>1</v>
      </c>
    </row>
    <row r="2335" spans="1:13" hidden="1" x14ac:dyDescent="0.3">
      <c r="A2335" s="11">
        <v>46181</v>
      </c>
      <c r="B2335" s="20" t="s">
        <v>4659</v>
      </c>
      <c r="C2335" s="7" t="s">
        <v>4690</v>
      </c>
      <c r="D2335" s="7" t="s">
        <v>269</v>
      </c>
      <c r="E2335" s="18">
        <v>46181.324305555558</v>
      </c>
      <c r="F2335" s="11">
        <f>IF(HOUR(Table1[[#This Row],[CORREO]])&gt;=11,WORKDAY(Table1[[#This Row],[CORREO]],1,Table2[Dias no laborales]),E2335)</f>
        <v>46181.324305555558</v>
      </c>
      <c r="G2335" s="11">
        <v>46181</v>
      </c>
      <c r="H2335" s="7">
        <f t="shared" ref="H2335:H2349" si="125">INT((A2335-DATE(YEAR(A2335),1,1))/7) + 1</f>
        <v>23</v>
      </c>
      <c r="I2335" s="7">
        <f>MAX(1, NETWORKDAYS(A2335, G2335,Table2[Dias no laborales]))</f>
        <v>1</v>
      </c>
      <c r="J2335" s="7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7" t="str">
        <f t="shared" ref="K2335:K2349" si="126">IF(INT(A2335)=INT(F2335),"A tiempo", IF(A2335&lt;F2335,"Mismo día","Programados"))</f>
        <v>A tiempo</v>
      </c>
      <c r="L2335" s="11">
        <v>46181</v>
      </c>
      <c r="M2335" s="22">
        <f>MAX(1,NETWORKDAYS(A2335,L2335,Table2[Dias no laborales]))</f>
        <v>1</v>
      </c>
    </row>
    <row r="2336" spans="1:13" hidden="1" x14ac:dyDescent="0.3">
      <c r="A2336" s="11">
        <v>46181</v>
      </c>
      <c r="B2336" s="20" t="s">
        <v>4660</v>
      </c>
      <c r="C2336" s="7" t="s">
        <v>4691</v>
      </c>
      <c r="D2336" s="7" t="s">
        <v>4691</v>
      </c>
      <c r="E2336" s="18">
        <v>46181.431944444441</v>
      </c>
      <c r="F2336" s="11">
        <f>IF(HOUR(Table1[[#This Row],[CORREO]])&gt;=11,WORKDAY(Table1[[#This Row],[CORREO]],1,Table2[Dias no laborales]),E2336)</f>
        <v>46181.431944444441</v>
      </c>
      <c r="G2336" s="11">
        <v>46181</v>
      </c>
      <c r="H2336" s="7">
        <f t="shared" si="125"/>
        <v>23</v>
      </c>
      <c r="I2336" s="7">
        <f>MAX(1, NETWORKDAYS(A2336, G2336,Table2[Dias no laborales]))</f>
        <v>1</v>
      </c>
      <c r="J2336" s="7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7" t="str">
        <f t="shared" si="126"/>
        <v>A tiempo</v>
      </c>
      <c r="L2336" s="11">
        <v>46181</v>
      </c>
      <c r="M2336" s="22">
        <f>MAX(1,NETWORKDAYS(A2336,L2336,Table2[Dias no laborales]))</f>
        <v>1</v>
      </c>
    </row>
    <row r="2337" spans="1:13" hidden="1" x14ac:dyDescent="0.3">
      <c r="A2337" s="11">
        <v>46181</v>
      </c>
      <c r="B2337" s="20" t="s">
        <v>4661</v>
      </c>
      <c r="C2337" s="7" t="s">
        <v>3008</v>
      </c>
      <c r="D2337" s="7" t="s">
        <v>4351</v>
      </c>
      <c r="E2337" s="18">
        <v>46181.645833333336</v>
      </c>
      <c r="F2337" s="11">
        <f>IF(HOUR(Table1[[#This Row],[CORREO]])&gt;=11,WORKDAY(Table1[[#This Row],[CORREO]],1,Table2[Dias no laborales]),E2337)</f>
        <v>46182</v>
      </c>
      <c r="G2337" s="11">
        <v>46183</v>
      </c>
      <c r="H2337" s="7">
        <f t="shared" si="125"/>
        <v>23</v>
      </c>
      <c r="I2337" s="7">
        <f>MAX(1, NETWORKDAYS(A2337, G2337,Table2[Dias no laborales]))</f>
        <v>3</v>
      </c>
      <c r="J2337" s="7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7" t="str">
        <f t="shared" si="126"/>
        <v>Mismo día</v>
      </c>
      <c r="L2337" s="11">
        <v>46182</v>
      </c>
      <c r="M2337" s="22">
        <f>MAX(1,NETWORKDAYS(A2337,L2337,Table2[Dias no laborales]))</f>
        <v>2</v>
      </c>
    </row>
    <row r="2338" spans="1:13" hidden="1" x14ac:dyDescent="0.3">
      <c r="A2338" s="11">
        <v>46181</v>
      </c>
      <c r="B2338" s="20" t="s">
        <v>4662</v>
      </c>
      <c r="C2338" s="7" t="s">
        <v>4692</v>
      </c>
      <c r="D2338" s="7" t="s">
        <v>24</v>
      </c>
      <c r="E2338" s="18">
        <v>46181.708333333336</v>
      </c>
      <c r="F2338" s="11">
        <f>IF(HOUR(Table1[[#This Row],[CORREO]])&gt;=11,WORKDAY(Table1[[#This Row],[CORREO]],1,Table2[Dias no laborales]),E2338)</f>
        <v>46182</v>
      </c>
      <c r="G2338" s="11">
        <v>46190</v>
      </c>
      <c r="H2338" s="7">
        <f t="shared" si="125"/>
        <v>23</v>
      </c>
      <c r="I2338" s="7">
        <f>MAX(1, NETWORKDAYS(A2338, G2338,Table2[Dias no laborales]))</f>
        <v>8</v>
      </c>
      <c r="J2338" s="7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7" t="str">
        <f t="shared" si="126"/>
        <v>Mismo día</v>
      </c>
      <c r="L2338" s="11">
        <v>46181</v>
      </c>
      <c r="M2338" s="22">
        <f>MAX(1,NETWORKDAYS(A2338,L2338,Table2[Dias no laborales]))</f>
        <v>1</v>
      </c>
    </row>
    <row r="2339" spans="1:13" hidden="1" x14ac:dyDescent="0.3">
      <c r="A2339" s="11">
        <v>46182</v>
      </c>
      <c r="B2339" s="20" t="s">
        <v>4663</v>
      </c>
      <c r="C2339" s="7" t="s">
        <v>1057</v>
      </c>
      <c r="D2339" s="7" t="s">
        <v>877</v>
      </c>
      <c r="E2339" s="18">
        <v>46181.560416666667</v>
      </c>
      <c r="F2339" s="11">
        <f>IF(HOUR(Table1[[#This Row],[CORREO]])&gt;=11,WORKDAY(Table1[[#This Row],[CORREO]],1,Table2[Dias no laborales]),E2339)</f>
        <v>46182</v>
      </c>
      <c r="G2339" s="11">
        <v>46182</v>
      </c>
      <c r="H2339" s="7">
        <f t="shared" si="125"/>
        <v>23</v>
      </c>
      <c r="I2339" s="7">
        <f>MAX(1, NETWORKDAYS(A2339, G2339,Table2[Dias no laborales]))</f>
        <v>1</v>
      </c>
      <c r="J2339" s="7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7" t="str">
        <f t="shared" si="126"/>
        <v>A tiempo</v>
      </c>
      <c r="L2339" s="11">
        <v>46182</v>
      </c>
      <c r="M2339" s="22">
        <f>MAX(1,NETWORKDAYS(A2339,L2339,Table2[Dias no laborales]))</f>
        <v>1</v>
      </c>
    </row>
    <row r="2340" spans="1:13" hidden="1" x14ac:dyDescent="0.3">
      <c r="A2340" s="11">
        <v>46182</v>
      </c>
      <c r="B2340" s="20" t="s">
        <v>4664</v>
      </c>
      <c r="C2340" s="7" t="s">
        <v>4693</v>
      </c>
      <c r="D2340" s="7" t="s">
        <v>593</v>
      </c>
      <c r="E2340" s="18">
        <v>46181.620833333334</v>
      </c>
      <c r="F2340" s="11">
        <f>IF(HOUR(Table1[[#This Row],[CORREO]])&gt;=11,WORKDAY(Table1[[#This Row],[CORREO]],1,Table2[Dias no laborales]),E2340)</f>
        <v>46182</v>
      </c>
      <c r="G2340" s="11">
        <v>46182</v>
      </c>
      <c r="H2340" s="7">
        <f t="shared" si="125"/>
        <v>23</v>
      </c>
      <c r="I2340" s="7">
        <f>MAX(1, NETWORKDAYS(A2340, G2340,Table2[Dias no laborales]))</f>
        <v>1</v>
      </c>
      <c r="J2340" s="7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7" t="str">
        <f t="shared" si="126"/>
        <v>A tiempo</v>
      </c>
      <c r="L2340" s="11">
        <v>46182</v>
      </c>
      <c r="M2340" s="22">
        <f>MAX(1,NETWORKDAYS(A2340,L2340,Table2[Dias no laborales]))</f>
        <v>1</v>
      </c>
    </row>
    <row r="2341" spans="1:13" hidden="1" x14ac:dyDescent="0.3">
      <c r="A2341" s="11">
        <v>46182</v>
      </c>
      <c r="B2341" s="20" t="s">
        <v>4665</v>
      </c>
      <c r="C2341" s="7" t="s">
        <v>4694</v>
      </c>
      <c r="D2341" s="7" t="s">
        <v>133</v>
      </c>
      <c r="E2341" s="18">
        <v>46181.719444444447</v>
      </c>
      <c r="F2341" s="11">
        <f>IF(HOUR(Table1[[#This Row],[CORREO]])&gt;=11,WORKDAY(Table1[[#This Row],[CORREO]],1,Table2[Dias no laborales]),E2341)</f>
        <v>46182</v>
      </c>
      <c r="G2341" s="11">
        <v>46183</v>
      </c>
      <c r="H2341" s="7">
        <f t="shared" si="125"/>
        <v>23</v>
      </c>
      <c r="I2341" s="7">
        <f>MAX(1, NETWORKDAYS(A2341, G2341,Table2[Dias no laborales]))</f>
        <v>2</v>
      </c>
      <c r="J2341" s="7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7" t="str">
        <f t="shared" si="126"/>
        <v>A tiempo</v>
      </c>
      <c r="L2341" s="11">
        <v>46182</v>
      </c>
      <c r="M2341" s="22">
        <f>MAX(1,NETWORKDAYS(A2341,L2341,Table2[Dias no laborales]))</f>
        <v>1</v>
      </c>
    </row>
    <row r="2342" spans="1:13" hidden="1" x14ac:dyDescent="0.3">
      <c r="A2342" s="11">
        <v>46182</v>
      </c>
      <c r="B2342" s="20" t="s">
        <v>4666</v>
      </c>
      <c r="C2342" s="7" t="s">
        <v>4695</v>
      </c>
      <c r="D2342" s="7" t="s">
        <v>27</v>
      </c>
      <c r="E2342" s="18">
        <v>46181.709027777775</v>
      </c>
      <c r="F2342" s="11">
        <f>IF(HOUR(Table1[[#This Row],[CORREO]])&gt;=11,WORKDAY(Table1[[#This Row],[CORREO]],1,Table2[Dias no laborales]),E2342)</f>
        <v>46182</v>
      </c>
      <c r="G2342" s="11">
        <v>46190</v>
      </c>
      <c r="H2342" s="7">
        <f t="shared" si="125"/>
        <v>23</v>
      </c>
      <c r="I2342" s="7">
        <f>MAX(1, NETWORKDAYS(A2342, G2342,Table2[Dias no laborales]))</f>
        <v>7</v>
      </c>
      <c r="J2342" s="7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7" t="str">
        <f t="shared" si="126"/>
        <v>A tiempo</v>
      </c>
      <c r="L2342" s="11">
        <v>46182</v>
      </c>
      <c r="M2342" s="22">
        <f>MAX(1,NETWORKDAYS(A2342,L2342,Table2[Dias no laborales]))</f>
        <v>1</v>
      </c>
    </row>
    <row r="2343" spans="1:13" hidden="1" x14ac:dyDescent="0.3">
      <c r="A2343" s="11">
        <v>46182</v>
      </c>
      <c r="B2343" s="20" t="s">
        <v>4667</v>
      </c>
      <c r="C2343" s="7" t="s">
        <v>4696</v>
      </c>
      <c r="D2343" s="7" t="s">
        <v>171</v>
      </c>
      <c r="E2343" s="18">
        <v>46181.888194444444</v>
      </c>
      <c r="F2343" s="11">
        <f>IF(HOUR(Table1[[#This Row],[CORREO]])&gt;=11,WORKDAY(Table1[[#This Row],[CORREO]],1,Table2[Dias no laborales]),E2343)</f>
        <v>46182</v>
      </c>
      <c r="G2343" s="11">
        <v>46183</v>
      </c>
      <c r="H2343" s="7">
        <f t="shared" si="125"/>
        <v>23</v>
      </c>
      <c r="I2343" s="7">
        <f>MAX(1, NETWORKDAYS(A2343, G2343,Table2[Dias no laborales]))</f>
        <v>2</v>
      </c>
      <c r="J2343" s="7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7" t="str">
        <f t="shared" si="126"/>
        <v>A tiempo</v>
      </c>
      <c r="L2343" s="11">
        <v>46182</v>
      </c>
      <c r="M2343" s="22">
        <f>MAX(1,NETWORKDAYS(A2343,L2343,Table2[Dias no laborales]))</f>
        <v>1</v>
      </c>
    </row>
    <row r="2344" spans="1:13" hidden="1" x14ac:dyDescent="0.3">
      <c r="A2344" s="11">
        <v>46182</v>
      </c>
      <c r="B2344" s="20" t="s">
        <v>4668</v>
      </c>
      <c r="C2344" s="7" t="s">
        <v>4697</v>
      </c>
      <c r="D2344" s="7" t="s">
        <v>24</v>
      </c>
      <c r="E2344" s="18">
        <v>46182.331944444442</v>
      </c>
      <c r="F2344" s="11">
        <f>IF(HOUR(Table1[[#This Row],[CORREO]])&gt;=11,WORKDAY(Table1[[#This Row],[CORREO]],1,Table2[Dias no laborales]),E2344)</f>
        <v>46182.331944444442</v>
      </c>
      <c r="G2344" s="11">
        <v>46182</v>
      </c>
      <c r="H2344" s="7">
        <f t="shared" si="125"/>
        <v>23</v>
      </c>
      <c r="I2344" s="7">
        <f>MAX(1, NETWORKDAYS(A2344, G2344,Table2[Dias no laborales]))</f>
        <v>1</v>
      </c>
      <c r="J2344" s="7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7" t="str">
        <f t="shared" si="126"/>
        <v>A tiempo</v>
      </c>
      <c r="L2344" s="11">
        <v>46182</v>
      </c>
      <c r="M2344" s="22">
        <f>MAX(1,NETWORKDAYS(A2344,L2344,Table2[Dias no laborales]))</f>
        <v>1</v>
      </c>
    </row>
    <row r="2345" spans="1:13" hidden="1" x14ac:dyDescent="0.3">
      <c r="A2345" s="11">
        <v>46182</v>
      </c>
      <c r="B2345" s="20" t="s">
        <v>4669</v>
      </c>
      <c r="C2345" s="7" t="s">
        <v>4698</v>
      </c>
      <c r="D2345" s="7" t="s">
        <v>1333</v>
      </c>
      <c r="E2345" s="18">
        <v>46182.582638888889</v>
      </c>
      <c r="F2345" s="11">
        <f>IF(HOUR(Table1[[#This Row],[CORREO]])&gt;=11,WORKDAY(Table1[[#This Row],[CORREO]],1,Table2[Dias no laborales]),E2345)</f>
        <v>46183</v>
      </c>
      <c r="G2345" s="11">
        <v>46183</v>
      </c>
      <c r="H2345" s="7">
        <f t="shared" si="125"/>
        <v>23</v>
      </c>
      <c r="I2345" s="7">
        <f>MAX(1, NETWORKDAYS(A2345, G2345,Table2[Dias no laborales]))</f>
        <v>2</v>
      </c>
      <c r="J2345" s="7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7" t="str">
        <f t="shared" si="126"/>
        <v>Mismo día</v>
      </c>
      <c r="L2345" s="11">
        <v>46182</v>
      </c>
      <c r="M2345" s="22">
        <f>MAX(1,NETWORKDAYS(A2345,L2345,Table2[Dias no laborales]))</f>
        <v>1</v>
      </c>
    </row>
    <row r="2346" spans="1:13" hidden="1" x14ac:dyDescent="0.3">
      <c r="A2346" s="11">
        <v>46182</v>
      </c>
      <c r="B2346" s="20" t="s">
        <v>4670</v>
      </c>
      <c r="C2346" s="7" t="s">
        <v>4699</v>
      </c>
      <c r="D2346" s="7" t="s">
        <v>3020</v>
      </c>
      <c r="E2346" s="18">
        <v>46182.711111111108</v>
      </c>
      <c r="F2346" s="11">
        <f>IF(HOUR(Table1[[#This Row],[CORREO]])&gt;=11,WORKDAY(Table1[[#This Row],[CORREO]],1,Table2[Dias no laborales]),E2346)</f>
        <v>46183</v>
      </c>
      <c r="G2346" s="11">
        <v>46191</v>
      </c>
      <c r="H2346" s="7">
        <f t="shared" si="125"/>
        <v>23</v>
      </c>
      <c r="I2346" s="7">
        <f>MAX(1, NETWORKDAYS(A2346, G2346,Table2[Dias no laborales]))</f>
        <v>8</v>
      </c>
      <c r="J2346" s="7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7" t="str">
        <f t="shared" si="126"/>
        <v>Mismo día</v>
      </c>
      <c r="L2346" s="11">
        <v>46182</v>
      </c>
      <c r="M2346" s="22">
        <f>MAX(1,NETWORKDAYS(A2346,L2346,Table2[Dias no laborales]))</f>
        <v>1</v>
      </c>
    </row>
    <row r="2347" spans="1:13" hidden="1" x14ac:dyDescent="0.3">
      <c r="A2347" s="11">
        <v>46182</v>
      </c>
      <c r="B2347" s="20" t="s">
        <v>4671</v>
      </c>
      <c r="C2347" s="7" t="s">
        <v>4700</v>
      </c>
      <c r="D2347" s="7" t="s">
        <v>4701</v>
      </c>
      <c r="E2347" s="18">
        <v>46182.654861111114</v>
      </c>
      <c r="F2347" s="11">
        <f>IF(HOUR(Table1[[#This Row],[CORREO]])&gt;=11,WORKDAY(Table1[[#This Row],[CORREO]],1,Table2[Dias no laborales]),E2347)</f>
        <v>46183</v>
      </c>
      <c r="G2347" s="11">
        <v>46188</v>
      </c>
      <c r="H2347" s="7">
        <f t="shared" si="125"/>
        <v>23</v>
      </c>
      <c r="I2347" s="7">
        <f>MAX(1, NETWORKDAYS(A2347, G2347,Table2[Dias no laborales]))</f>
        <v>5</v>
      </c>
      <c r="J2347" s="7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7" t="str">
        <f t="shared" si="126"/>
        <v>Mismo día</v>
      </c>
      <c r="L2347" s="11">
        <v>46182</v>
      </c>
      <c r="M2347" s="22">
        <f>MAX(1,NETWORKDAYS(A2347,L2347,Table2[Dias no laborales]))</f>
        <v>1</v>
      </c>
    </row>
    <row r="2348" spans="1:13" hidden="1" x14ac:dyDescent="0.3">
      <c r="A2348" s="11">
        <v>46183</v>
      </c>
      <c r="B2348" s="20" t="s">
        <v>4672</v>
      </c>
      <c r="C2348" s="7" t="s">
        <v>4700</v>
      </c>
      <c r="D2348" s="7" t="s">
        <v>4702</v>
      </c>
      <c r="E2348" s="18">
        <v>46182.654861111114</v>
      </c>
      <c r="F2348" s="11">
        <f>IF(HOUR(Table1[[#This Row],[CORREO]])&gt;=11,WORKDAY(Table1[[#This Row],[CORREO]],1,Table2[Dias no laborales]),E2348)</f>
        <v>46183</v>
      </c>
      <c r="G2348" s="11">
        <v>46204</v>
      </c>
      <c r="H2348" s="7">
        <f t="shared" si="125"/>
        <v>23</v>
      </c>
      <c r="I2348" s="7">
        <f>MAX(1, NETWORKDAYS(A2348, G2348,Table2[Dias no laborales]))</f>
        <v>16</v>
      </c>
      <c r="J2348" s="7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7" t="str">
        <f t="shared" si="126"/>
        <v>A tiempo</v>
      </c>
      <c r="L2348" s="11">
        <v>46183</v>
      </c>
      <c r="M2348" s="22">
        <f>MAX(1,NETWORKDAYS(A2348,L2348,Table2[Dias no laborales]))</f>
        <v>1</v>
      </c>
    </row>
    <row r="2349" spans="1:13" hidden="1" x14ac:dyDescent="0.3">
      <c r="A2349" s="11">
        <v>46183</v>
      </c>
      <c r="B2349" s="20" t="s">
        <v>4673</v>
      </c>
      <c r="C2349" s="7" t="s">
        <v>4700</v>
      </c>
      <c r="D2349" s="7" t="s">
        <v>4703</v>
      </c>
      <c r="E2349" s="18">
        <v>46182.654861111114</v>
      </c>
      <c r="F2349" s="11">
        <f>IF(HOUR(Table1[[#This Row],[CORREO]])&gt;=11,WORKDAY(Table1[[#This Row],[CORREO]],1,Table2[Dias no laborales]),E2349)</f>
        <v>46183</v>
      </c>
      <c r="G2349" s="11">
        <v>46204</v>
      </c>
      <c r="H2349" s="7">
        <f t="shared" si="125"/>
        <v>23</v>
      </c>
      <c r="I2349" s="7">
        <f>MAX(1, NETWORKDAYS(A2349, G2349,Table2[Dias no laborales]))</f>
        <v>16</v>
      </c>
      <c r="J2349" s="7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7" t="str">
        <f t="shared" si="126"/>
        <v>A tiempo</v>
      </c>
      <c r="L2349" s="11">
        <v>46183</v>
      </c>
      <c r="M2349" s="22">
        <f>MAX(1,NETWORKDAYS(A2349,L2349,Table2[Dias no laborales]))</f>
        <v>1</v>
      </c>
    </row>
    <row r="2350" spans="1:13" hidden="1" x14ac:dyDescent="0.3">
      <c r="A2350" s="11">
        <v>46183</v>
      </c>
      <c r="B2350" s="20" t="s">
        <v>4704</v>
      </c>
      <c r="C2350" s="7" t="s">
        <v>4742</v>
      </c>
      <c r="D2350" s="7" t="s">
        <v>139</v>
      </c>
      <c r="E2350" s="18">
        <v>46182.740972222222</v>
      </c>
      <c r="F2350" s="11">
        <f>IF(HOUR(Table1[[#This Row],[CORREO]])&gt;=11,WORKDAY(Table1[[#This Row],[CORREO]],1,Table2[Dias no laborales]),E2350)</f>
        <v>46183</v>
      </c>
      <c r="G2350" s="11">
        <v>46188</v>
      </c>
      <c r="H2350" s="7">
        <f t="shared" ref="H2350:H2387" si="127">INT((A2350-DATE(YEAR(A2350),1,1))/7) + 1</f>
        <v>23</v>
      </c>
      <c r="I2350" s="7">
        <f>MAX(1, NETWORKDAYS(A2350, G2350,Table2[Dias no laborales]))</f>
        <v>4</v>
      </c>
      <c r="J2350" s="7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7" t="str">
        <f t="shared" ref="K2350:K2387" si="128">IF(INT(A2350)=INT(F2350),"A tiempo", IF(A2350&lt;F2350,"Mismo día","Programados"))</f>
        <v>A tiempo</v>
      </c>
      <c r="L2350" s="11">
        <v>46183</v>
      </c>
      <c r="M2350" s="22">
        <f>MAX(1,NETWORKDAYS(A2350,L2350,Table2[Dias no laborales]))</f>
        <v>1</v>
      </c>
    </row>
    <row r="2351" spans="1:13" hidden="1" x14ac:dyDescent="0.3">
      <c r="A2351" s="11">
        <v>46183</v>
      </c>
      <c r="B2351" s="20" t="s">
        <v>4705</v>
      </c>
      <c r="C2351" s="7" t="s">
        <v>4743</v>
      </c>
      <c r="D2351" s="7" t="s">
        <v>1675</v>
      </c>
      <c r="E2351" s="18">
        <v>46183.354166666664</v>
      </c>
      <c r="F2351" s="11">
        <f>IF(HOUR(Table1[[#This Row],[CORREO]])&gt;=11,WORKDAY(Table1[[#This Row],[CORREO]],1,Table2[Dias no laborales]),E2351)</f>
        <v>46183.354166666664</v>
      </c>
      <c r="G2351" s="11">
        <v>46183</v>
      </c>
      <c r="H2351" s="7">
        <f t="shared" si="127"/>
        <v>23</v>
      </c>
      <c r="I2351" s="7">
        <f>MAX(1, NETWORKDAYS(A2351, G2351,Table2[Dias no laborales]))</f>
        <v>1</v>
      </c>
      <c r="J2351" s="7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7" t="str">
        <f t="shared" si="128"/>
        <v>A tiempo</v>
      </c>
      <c r="L2351" s="11">
        <v>46183</v>
      </c>
      <c r="M2351" s="22">
        <f>MAX(1,NETWORKDAYS(A2351,L2351,Table2[Dias no laborales]))</f>
        <v>1</v>
      </c>
    </row>
    <row r="2352" spans="1:13" hidden="1" x14ac:dyDescent="0.3">
      <c r="A2352" s="11">
        <v>46183</v>
      </c>
      <c r="B2352" s="20" t="s">
        <v>4706</v>
      </c>
      <c r="C2352" s="7" t="s">
        <v>4744</v>
      </c>
      <c r="D2352" s="7" t="s">
        <v>3041</v>
      </c>
      <c r="E2352" s="18">
        <v>46183.434027777781</v>
      </c>
      <c r="F2352" s="11">
        <f>IF(HOUR(Table1[[#This Row],[CORREO]])&gt;=11,WORKDAY(Table1[[#This Row],[CORREO]],1,Table2[Dias no laborales]),E2352)</f>
        <v>46183.434027777781</v>
      </c>
      <c r="G2352" s="11">
        <v>46190</v>
      </c>
      <c r="H2352" s="7">
        <f t="shared" si="127"/>
        <v>23</v>
      </c>
      <c r="I2352" s="7">
        <f>MAX(1, NETWORKDAYS(A2352, G2352,Table2[Dias no laborales]))</f>
        <v>6</v>
      </c>
      <c r="J2352" s="7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7" t="str">
        <f t="shared" si="128"/>
        <v>A tiempo</v>
      </c>
      <c r="L2352" s="11">
        <v>46184</v>
      </c>
      <c r="M2352" s="22">
        <f>MAX(1,NETWORKDAYS(A2352,L2352,Table2[Dias no laborales]))</f>
        <v>2</v>
      </c>
    </row>
    <row r="2353" spans="1:13" hidden="1" x14ac:dyDescent="0.3">
      <c r="A2353" s="11">
        <v>46183</v>
      </c>
      <c r="B2353" s="20" t="s">
        <v>4707</v>
      </c>
      <c r="C2353" s="7" t="s">
        <v>4745</v>
      </c>
      <c r="D2353" s="7" t="s">
        <v>3020</v>
      </c>
      <c r="E2353" s="18">
        <v>46183.55</v>
      </c>
      <c r="F2353" s="11">
        <f>IF(HOUR(Table1[[#This Row],[CORREO]])&gt;=11,WORKDAY(Table1[[#This Row],[CORREO]],1,Table2[Dias no laborales]),E2353)</f>
        <v>46184</v>
      </c>
      <c r="G2353" s="11">
        <v>46191</v>
      </c>
      <c r="H2353" s="7">
        <f t="shared" si="127"/>
        <v>23</v>
      </c>
      <c r="I2353" s="7">
        <f>MAX(1, NETWORKDAYS(A2353, G2353,Table2[Dias no laborales]))</f>
        <v>7</v>
      </c>
      <c r="J2353" s="7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7" t="str">
        <f t="shared" si="128"/>
        <v>Mismo día</v>
      </c>
      <c r="L2353" s="11">
        <v>46183</v>
      </c>
      <c r="M2353" s="22">
        <f>MAX(1,NETWORKDAYS(A2353,L2353,Table2[Dias no laborales]))</f>
        <v>1</v>
      </c>
    </row>
    <row r="2354" spans="1:13" hidden="1" x14ac:dyDescent="0.3">
      <c r="A2354" s="11">
        <v>46184</v>
      </c>
      <c r="B2354" s="20" t="s">
        <v>4708</v>
      </c>
      <c r="C2354" s="7" t="s">
        <v>3454</v>
      </c>
      <c r="D2354" s="7" t="s">
        <v>230</v>
      </c>
      <c r="E2354" s="18">
        <v>46183.543749999997</v>
      </c>
      <c r="F2354" s="11">
        <f>IF(HOUR(Table1[[#This Row],[CORREO]])&gt;=11,WORKDAY(Table1[[#This Row],[CORREO]],1,Table2[Dias no laborales]),E2354)</f>
        <v>46184</v>
      </c>
      <c r="G2354" s="11">
        <v>46184</v>
      </c>
      <c r="H2354" s="7">
        <f t="shared" si="127"/>
        <v>24</v>
      </c>
      <c r="I2354" s="7">
        <f>MAX(1, NETWORKDAYS(A2354, G2354,Table2[Dias no laborales]))</f>
        <v>1</v>
      </c>
      <c r="J2354" s="7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7" t="str">
        <f t="shared" si="128"/>
        <v>A tiempo</v>
      </c>
      <c r="L2354" s="11">
        <v>46184</v>
      </c>
      <c r="M2354" s="22">
        <f>MAX(1,NETWORKDAYS(A2354,L2354,Table2[Dias no laborales]))</f>
        <v>1</v>
      </c>
    </row>
    <row r="2355" spans="1:13" hidden="1" x14ac:dyDescent="0.3">
      <c r="A2355" s="11">
        <v>46184</v>
      </c>
      <c r="B2355" s="20" t="s">
        <v>4709</v>
      </c>
      <c r="C2355" s="7" t="s">
        <v>4746</v>
      </c>
      <c r="D2355" s="7" t="s">
        <v>199</v>
      </c>
      <c r="E2355" s="18">
        <v>46183.675000000003</v>
      </c>
      <c r="F2355" s="11">
        <f>IF(HOUR(Table1[[#This Row],[CORREO]])&gt;=11,WORKDAY(Table1[[#This Row],[CORREO]],1,Table2[Dias no laborales]),E2355)</f>
        <v>46184</v>
      </c>
      <c r="G2355" s="11">
        <v>46184</v>
      </c>
      <c r="H2355" s="7">
        <f t="shared" si="127"/>
        <v>24</v>
      </c>
      <c r="I2355" s="7">
        <f>MAX(1, NETWORKDAYS(A2355, G2355,Table2[Dias no laborales]))</f>
        <v>1</v>
      </c>
      <c r="J2355" s="7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7" t="str">
        <f t="shared" si="128"/>
        <v>A tiempo</v>
      </c>
      <c r="L2355" s="11">
        <v>46184</v>
      </c>
      <c r="M2355" s="22">
        <f>MAX(1,NETWORKDAYS(A2355,L2355,Table2[Dias no laborales]))</f>
        <v>1</v>
      </c>
    </row>
    <row r="2356" spans="1:13" hidden="1" x14ac:dyDescent="0.3">
      <c r="A2356" s="11">
        <v>46184</v>
      </c>
      <c r="B2356" s="20" t="s">
        <v>4710</v>
      </c>
      <c r="C2356" s="7" t="s">
        <v>4747</v>
      </c>
      <c r="D2356" s="7" t="s">
        <v>194</v>
      </c>
      <c r="E2356" s="18">
        <v>46184.425694444442</v>
      </c>
      <c r="F2356" s="11">
        <f>IF(HOUR(Table1[[#This Row],[CORREO]])&gt;=11,WORKDAY(Table1[[#This Row],[CORREO]],1,Table2[Dias no laborales]),E2356)</f>
        <v>46184.425694444442</v>
      </c>
      <c r="G2356" s="11">
        <v>46184</v>
      </c>
      <c r="H2356" s="7">
        <f t="shared" si="127"/>
        <v>24</v>
      </c>
      <c r="I2356" s="7">
        <f>MAX(1, NETWORKDAYS(A2356, G2356,Table2[Dias no laborales]))</f>
        <v>1</v>
      </c>
      <c r="J2356" s="7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7" t="str">
        <f t="shared" si="128"/>
        <v>A tiempo</v>
      </c>
      <c r="L2356" s="11">
        <v>46184</v>
      </c>
      <c r="M2356" s="22">
        <f>MAX(1,NETWORKDAYS(A2356,L2356,Table2[Dias no laborales]))</f>
        <v>1</v>
      </c>
    </row>
    <row r="2357" spans="1:13" hidden="1" x14ac:dyDescent="0.3">
      <c r="A2357" s="11">
        <v>46184</v>
      </c>
      <c r="B2357" s="20" t="s">
        <v>4711</v>
      </c>
      <c r="C2357" s="7" t="s">
        <v>4748</v>
      </c>
      <c r="D2357" s="7" t="s">
        <v>24</v>
      </c>
      <c r="E2357" s="18"/>
      <c r="F2357" s="11">
        <f>IF(HOUR(Table1[[#This Row],[CORREO]])&gt;=11,WORKDAY(Table1[[#This Row],[CORREO]],1,Table2[Dias no laborales]),E2357)</f>
        <v>0</v>
      </c>
      <c r="G2357" s="11">
        <v>46185</v>
      </c>
      <c r="H2357" s="7">
        <f t="shared" si="127"/>
        <v>24</v>
      </c>
      <c r="I2357" s="7">
        <f>MAX(1, NETWORKDAYS(A2357, G2357,Table2[Dias no laborales]))</f>
        <v>2</v>
      </c>
      <c r="J2357" s="7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7" t="str">
        <f t="shared" si="128"/>
        <v>Programados</v>
      </c>
      <c r="L2357" s="11">
        <v>46184</v>
      </c>
      <c r="M2357" s="22">
        <f>MAX(1,NETWORKDAYS(A2357,L2357,Table2[Dias no laborales]))</f>
        <v>1</v>
      </c>
    </row>
    <row r="2358" spans="1:13" hidden="1" x14ac:dyDescent="0.3">
      <c r="A2358" s="11">
        <v>46184</v>
      </c>
      <c r="B2358" s="20" t="s">
        <v>4712</v>
      </c>
      <c r="C2358" s="7" t="s">
        <v>4749</v>
      </c>
      <c r="D2358" s="7" t="s">
        <v>24</v>
      </c>
      <c r="E2358" s="18">
        <v>46184.692361111112</v>
      </c>
      <c r="F2358" s="11">
        <f>IF(HOUR(Table1[[#This Row],[CORREO]])&gt;=11,WORKDAY(Table1[[#This Row],[CORREO]],1,Table2[Dias no laborales]),E2358)</f>
        <v>46185</v>
      </c>
      <c r="G2358" s="11">
        <v>46188</v>
      </c>
      <c r="H2358" s="7">
        <f t="shared" si="127"/>
        <v>24</v>
      </c>
      <c r="I2358" s="7">
        <f>MAX(1, NETWORKDAYS(A2358, G2358,Table2[Dias no laborales]))</f>
        <v>3</v>
      </c>
      <c r="J2358" s="7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7" t="str">
        <f t="shared" si="128"/>
        <v>Mismo día</v>
      </c>
      <c r="L2358" s="11">
        <v>46184</v>
      </c>
      <c r="M2358" s="22">
        <f>MAX(1,NETWORKDAYS(A2358,L2358,Table2[Dias no laborales]))</f>
        <v>1</v>
      </c>
    </row>
    <row r="2359" spans="1:13" hidden="1" x14ac:dyDescent="0.3">
      <c r="A2359" s="11">
        <v>46184</v>
      </c>
      <c r="B2359" s="20" t="s">
        <v>4713</v>
      </c>
      <c r="C2359" s="7" t="s">
        <v>4750</v>
      </c>
      <c r="D2359" s="7" t="s">
        <v>27</v>
      </c>
      <c r="E2359" s="18">
        <v>46184.741666666669</v>
      </c>
      <c r="F2359" s="11">
        <f>IF(HOUR(Table1[[#This Row],[CORREO]])&gt;=11,WORKDAY(Table1[[#This Row],[CORREO]],1,Table2[Dias no laborales]),E2359)</f>
        <v>46185</v>
      </c>
      <c r="G2359" s="11">
        <v>46188</v>
      </c>
      <c r="H2359" s="7">
        <f t="shared" si="127"/>
        <v>24</v>
      </c>
      <c r="I2359" s="7">
        <f>MAX(1, NETWORKDAYS(A2359, G2359,Table2[Dias no laborales]))</f>
        <v>3</v>
      </c>
      <c r="J2359" s="7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7" t="str">
        <f t="shared" si="128"/>
        <v>Mismo día</v>
      </c>
      <c r="L2359" s="11">
        <v>46184</v>
      </c>
      <c r="M2359" s="22">
        <f>MAX(1,NETWORKDAYS(A2359,L2359,Table2[Dias no laborales]))</f>
        <v>1</v>
      </c>
    </row>
    <row r="2360" spans="1:13" hidden="1" x14ac:dyDescent="0.3">
      <c r="A2360" s="11">
        <v>46185</v>
      </c>
      <c r="B2360" s="20" t="s">
        <v>4714</v>
      </c>
      <c r="C2360" s="7" t="s">
        <v>4003</v>
      </c>
      <c r="D2360" s="7" t="s">
        <v>623</v>
      </c>
      <c r="E2360" s="18">
        <v>46184.532638888886</v>
      </c>
      <c r="F2360" s="11">
        <f>IF(HOUR(Table1[[#This Row],[CORREO]])&gt;=11,WORKDAY(Table1[[#This Row],[CORREO]],1,Table2[Dias no laborales]),E2360)</f>
        <v>46185</v>
      </c>
      <c r="G2360" s="11">
        <v>46188</v>
      </c>
      <c r="H2360" s="7">
        <f t="shared" si="127"/>
        <v>24</v>
      </c>
      <c r="I2360" s="7">
        <f>MAX(1, NETWORKDAYS(A2360, G2360,Table2[Dias no laborales]))</f>
        <v>2</v>
      </c>
      <c r="J2360" s="7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7" t="str">
        <f t="shared" si="128"/>
        <v>A tiempo</v>
      </c>
      <c r="L2360" s="11">
        <v>46185</v>
      </c>
      <c r="M2360" s="22">
        <f>MAX(1,NETWORKDAYS(A2360,L2360,Table2[Dias no laborales]))</f>
        <v>1</v>
      </c>
    </row>
    <row r="2361" spans="1:13" hidden="1" x14ac:dyDescent="0.3">
      <c r="A2361" s="11">
        <v>46185</v>
      </c>
      <c r="B2361" s="20" t="s">
        <v>4715</v>
      </c>
      <c r="C2361" s="7" t="s">
        <v>4751</v>
      </c>
      <c r="D2361" s="7" t="s">
        <v>24</v>
      </c>
      <c r="E2361" s="18">
        <v>46184.572916666664</v>
      </c>
      <c r="F2361" s="11">
        <f>IF(HOUR(Table1[[#This Row],[CORREO]])&gt;=11,WORKDAY(Table1[[#This Row],[CORREO]],1,Table2[Dias no laborales]),E2361)</f>
        <v>46185</v>
      </c>
      <c r="G2361" s="11">
        <v>46199</v>
      </c>
      <c r="H2361" s="7">
        <f t="shared" si="127"/>
        <v>24</v>
      </c>
      <c r="I2361" s="7">
        <f>MAX(1, NETWORKDAYS(A2361, G2361,Table2[Dias no laborales]))</f>
        <v>11</v>
      </c>
      <c r="J2361" s="7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7" t="str">
        <f t="shared" si="128"/>
        <v>A tiempo</v>
      </c>
      <c r="L2361" s="11">
        <v>46185</v>
      </c>
      <c r="M2361" s="22">
        <f>MAX(1,NETWORKDAYS(A2361,L2361,Table2[Dias no laborales]))</f>
        <v>1</v>
      </c>
    </row>
    <row r="2362" spans="1:13" hidden="1" x14ac:dyDescent="0.3">
      <c r="A2362" s="11">
        <v>46185</v>
      </c>
      <c r="B2362" s="20" t="s">
        <v>4716</v>
      </c>
      <c r="C2362" s="7" t="s">
        <v>4569</v>
      </c>
      <c r="D2362" s="7" t="s">
        <v>85</v>
      </c>
      <c r="E2362" s="18">
        <v>46184.650694444441</v>
      </c>
      <c r="F2362" s="11">
        <f>IF(HOUR(Table1[[#This Row],[CORREO]])&gt;=11,WORKDAY(Table1[[#This Row],[CORREO]],1,Table2[Dias no laborales]),E2362)</f>
        <v>46185</v>
      </c>
      <c r="G2362" s="11">
        <v>46185</v>
      </c>
      <c r="H2362" s="7">
        <f t="shared" si="127"/>
        <v>24</v>
      </c>
      <c r="I2362" s="7">
        <f>MAX(1, NETWORKDAYS(A2362, G2362,Table2[Dias no laborales]))</f>
        <v>1</v>
      </c>
      <c r="J2362" s="7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7" t="str">
        <f t="shared" si="128"/>
        <v>A tiempo</v>
      </c>
      <c r="L2362" s="11">
        <v>46185</v>
      </c>
      <c r="M2362" s="22">
        <f>MAX(1,NETWORKDAYS(A2362,L2362,Table2[Dias no laborales]))</f>
        <v>1</v>
      </c>
    </row>
    <row r="2363" spans="1:13" hidden="1" x14ac:dyDescent="0.3">
      <c r="A2363" s="11">
        <v>46185</v>
      </c>
      <c r="B2363" s="20" t="s">
        <v>4717</v>
      </c>
      <c r="C2363" s="7" t="s">
        <v>4752</v>
      </c>
      <c r="D2363" s="7" t="s">
        <v>1333</v>
      </c>
      <c r="E2363" s="18"/>
      <c r="F2363" s="11">
        <f>IF(HOUR(Table1[[#This Row],[CORREO]])&gt;=11,WORKDAY(Table1[[#This Row],[CORREO]],1,Table2[Dias no laborales]),E2363)</f>
        <v>0</v>
      </c>
      <c r="G2363" s="11">
        <v>46185</v>
      </c>
      <c r="H2363" s="7">
        <f t="shared" si="127"/>
        <v>24</v>
      </c>
      <c r="I2363" s="7">
        <f>MAX(1, NETWORKDAYS(A2363, G2363,Table2[Dias no laborales]))</f>
        <v>1</v>
      </c>
      <c r="J2363" s="7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7" t="str">
        <f t="shared" si="128"/>
        <v>Programados</v>
      </c>
      <c r="L2363" s="11">
        <v>46185</v>
      </c>
      <c r="M2363" s="22">
        <f>MAX(1,NETWORKDAYS(A2363,L2363,Table2[Dias no laborales]))</f>
        <v>1</v>
      </c>
    </row>
    <row r="2364" spans="1:13" hidden="1" x14ac:dyDescent="0.3">
      <c r="A2364" s="11">
        <v>46185</v>
      </c>
      <c r="B2364" s="20" t="s">
        <v>4718</v>
      </c>
      <c r="C2364" s="7" t="s">
        <v>4753</v>
      </c>
      <c r="D2364" s="7" t="s">
        <v>754</v>
      </c>
      <c r="E2364" s="18">
        <v>46185.337500000001</v>
      </c>
      <c r="F2364" s="11">
        <f>IF(HOUR(Table1[[#This Row],[CORREO]])&gt;=11,WORKDAY(Table1[[#This Row],[CORREO]],1,Table2[Dias no laborales]),E2364)</f>
        <v>46185.337500000001</v>
      </c>
      <c r="G2364" s="11">
        <v>46185</v>
      </c>
      <c r="H2364" s="7">
        <f t="shared" si="127"/>
        <v>24</v>
      </c>
      <c r="I2364" s="7">
        <f>MAX(1, NETWORKDAYS(A2364, G2364,Table2[Dias no laborales]))</f>
        <v>1</v>
      </c>
      <c r="J2364" s="7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7" t="str">
        <f t="shared" si="128"/>
        <v>A tiempo</v>
      </c>
      <c r="L2364" s="11">
        <v>46185</v>
      </c>
      <c r="M2364" s="22">
        <f>MAX(1,NETWORKDAYS(A2364,L2364,Table2[Dias no laborales]))</f>
        <v>1</v>
      </c>
    </row>
    <row r="2365" spans="1:13" hidden="1" x14ac:dyDescent="0.3">
      <c r="A2365" s="11">
        <v>46185</v>
      </c>
      <c r="B2365" s="20" t="s">
        <v>4719</v>
      </c>
      <c r="C2365" s="7" t="s">
        <v>4754</v>
      </c>
      <c r="D2365" s="7" t="s">
        <v>3041</v>
      </c>
      <c r="E2365" s="18">
        <v>46185.393055555556</v>
      </c>
      <c r="F2365" s="11">
        <f>IF(HOUR(Table1[[#This Row],[CORREO]])&gt;=11,WORKDAY(Table1[[#This Row],[CORREO]],1,Table2[Dias no laborales]),E2365)</f>
        <v>46185.393055555556</v>
      </c>
      <c r="G2365" s="11">
        <v>46188</v>
      </c>
      <c r="H2365" s="7">
        <f t="shared" si="127"/>
        <v>24</v>
      </c>
      <c r="I2365" s="7">
        <f>MAX(1, NETWORKDAYS(A2365, G2365,Table2[Dias no laborales]))</f>
        <v>2</v>
      </c>
      <c r="J2365" s="7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7" t="str">
        <f t="shared" si="128"/>
        <v>A tiempo</v>
      </c>
      <c r="L2365" s="11">
        <v>46185</v>
      </c>
      <c r="M2365" s="22">
        <f>MAX(1,NETWORKDAYS(A2365,L2365,Table2[Dias no laborales]))</f>
        <v>1</v>
      </c>
    </row>
    <row r="2366" spans="1:13" hidden="1" x14ac:dyDescent="0.3">
      <c r="A2366" s="11">
        <v>46185</v>
      </c>
      <c r="B2366" s="20" t="s">
        <v>4720</v>
      </c>
      <c r="C2366" s="7" t="s">
        <v>4755</v>
      </c>
      <c r="D2366" s="7" t="s">
        <v>1540</v>
      </c>
      <c r="E2366" s="18">
        <v>46185.417361111111</v>
      </c>
      <c r="F2366" s="11">
        <f>IF(HOUR(Table1[[#This Row],[CORREO]])&gt;=11,WORKDAY(Table1[[#This Row],[CORREO]],1,Table2[Dias no laborales]),E2366)</f>
        <v>46185.417361111111</v>
      </c>
      <c r="G2366" s="11">
        <v>46188</v>
      </c>
      <c r="H2366" s="7">
        <f t="shared" si="127"/>
        <v>24</v>
      </c>
      <c r="I2366" s="7">
        <f>MAX(1, NETWORKDAYS(A2366, G2366,Table2[Dias no laborales]))</f>
        <v>2</v>
      </c>
      <c r="J2366" s="7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7" t="str">
        <f t="shared" si="128"/>
        <v>A tiempo</v>
      </c>
      <c r="L2366" s="11">
        <v>46185</v>
      </c>
      <c r="M2366" s="22">
        <f>MAX(1,NETWORKDAYS(A2366,L2366,Table2[Dias no laborales]))</f>
        <v>1</v>
      </c>
    </row>
    <row r="2367" spans="1:13" hidden="1" x14ac:dyDescent="0.3">
      <c r="A2367" s="11">
        <v>46185</v>
      </c>
      <c r="B2367" s="20" t="s">
        <v>4721</v>
      </c>
      <c r="C2367" s="7" t="s">
        <v>4756</v>
      </c>
      <c r="D2367" s="7" t="s">
        <v>103</v>
      </c>
      <c r="E2367" s="18">
        <v>46185.446527777778</v>
      </c>
      <c r="F2367" s="11">
        <f>IF(HOUR(Table1[[#This Row],[CORREO]])&gt;=11,WORKDAY(Table1[[#This Row],[CORREO]],1,Table2[Dias no laborales]),E2367)</f>
        <v>46185.446527777778</v>
      </c>
      <c r="G2367" s="11">
        <v>46185</v>
      </c>
      <c r="H2367" s="7">
        <f t="shared" si="127"/>
        <v>24</v>
      </c>
      <c r="I2367" s="7">
        <f>MAX(1, NETWORKDAYS(A2367, G2367,Table2[Dias no laborales]))</f>
        <v>1</v>
      </c>
      <c r="J2367" s="7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7" t="str">
        <f t="shared" si="128"/>
        <v>A tiempo</v>
      </c>
      <c r="L2367" s="11">
        <v>46185</v>
      </c>
      <c r="M2367" s="22">
        <f>MAX(1,NETWORKDAYS(A2367,L2367,Table2[Dias no laborales]))</f>
        <v>1</v>
      </c>
    </row>
    <row r="2368" spans="1:13" hidden="1" x14ac:dyDescent="0.3">
      <c r="A2368" s="11">
        <v>46188</v>
      </c>
      <c r="B2368" s="20" t="s">
        <v>4722</v>
      </c>
      <c r="C2368" s="7" t="s">
        <v>4757</v>
      </c>
      <c r="D2368" s="7" t="s">
        <v>24</v>
      </c>
      <c r="E2368" s="18"/>
      <c r="F2368" s="11">
        <f>IF(HOUR(Table1[[#This Row],[CORREO]])&gt;=11,WORKDAY(Table1[[#This Row],[CORREO]],1,Table2[Dias no laborales]),E2368)</f>
        <v>0</v>
      </c>
      <c r="G2368" s="11">
        <v>46192</v>
      </c>
      <c r="H2368" s="7">
        <f t="shared" si="127"/>
        <v>24</v>
      </c>
      <c r="I2368" s="7">
        <f>MAX(1, NETWORKDAYS(A2368, G2368,Table2[Dias no laborales]))</f>
        <v>5</v>
      </c>
      <c r="J2368" s="7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7" t="str">
        <f t="shared" si="128"/>
        <v>Programados</v>
      </c>
      <c r="L2368" s="11">
        <v>46188</v>
      </c>
      <c r="M2368" s="22">
        <f>MAX(1,NETWORKDAYS(A2368,L2368,Table2[Dias no laborales]))</f>
        <v>1</v>
      </c>
    </row>
    <row r="2369" spans="1:13" hidden="1" x14ac:dyDescent="0.3">
      <c r="A2369" s="11">
        <v>46188</v>
      </c>
      <c r="B2369" s="20" t="s">
        <v>4723</v>
      </c>
      <c r="C2369" s="7" t="s">
        <v>4758</v>
      </c>
      <c r="D2369" s="7" t="s">
        <v>108</v>
      </c>
      <c r="E2369" s="18">
        <v>46188.404166666667</v>
      </c>
      <c r="F2369" s="11">
        <f>IF(HOUR(Table1[[#This Row],[CORREO]])&gt;=11,WORKDAY(Table1[[#This Row],[CORREO]],1,Table2[Dias no laborales]),E2369)</f>
        <v>46188.404166666667</v>
      </c>
      <c r="G2369" s="11">
        <v>46188</v>
      </c>
      <c r="H2369" s="7">
        <f t="shared" si="127"/>
        <v>24</v>
      </c>
      <c r="I2369" s="7">
        <f>MAX(1, NETWORKDAYS(A2369, G2369,Table2[Dias no laborales]))</f>
        <v>1</v>
      </c>
      <c r="J2369" s="7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7" t="str">
        <f t="shared" si="128"/>
        <v>A tiempo</v>
      </c>
      <c r="L2369" s="11">
        <v>46188</v>
      </c>
      <c r="M2369" s="22">
        <f>MAX(1,NETWORKDAYS(A2369,L2369,Table2[Dias no laborales]))</f>
        <v>1</v>
      </c>
    </row>
    <row r="2370" spans="1:13" hidden="1" x14ac:dyDescent="0.3">
      <c r="A2370" s="11">
        <v>46188</v>
      </c>
      <c r="B2370" s="20" t="s">
        <v>4724</v>
      </c>
      <c r="C2370" s="7" t="s">
        <v>4766</v>
      </c>
      <c r="D2370" s="7" t="s">
        <v>392</v>
      </c>
      <c r="E2370" s="18">
        <v>46188.438194444447</v>
      </c>
      <c r="F2370" s="11">
        <f>IF(HOUR(Table1[[#This Row],[CORREO]])&gt;=11,WORKDAY(Table1[[#This Row],[CORREO]],1,Table2[Dias no laborales]),E2370)</f>
        <v>46188.438194444447</v>
      </c>
      <c r="G2370" s="11">
        <v>46188</v>
      </c>
      <c r="H2370" s="7">
        <f t="shared" si="127"/>
        <v>24</v>
      </c>
      <c r="I2370" s="7">
        <f>MAX(1, NETWORKDAYS(A2370, G2370,Table2[Dias no laborales]))</f>
        <v>1</v>
      </c>
      <c r="J2370" s="7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7" t="str">
        <f t="shared" si="128"/>
        <v>A tiempo</v>
      </c>
      <c r="L2370" s="11">
        <v>46188</v>
      </c>
      <c r="M2370" s="22">
        <f>MAX(1,NETWORKDAYS(A2370,L2370,Table2[Dias no laborales]))</f>
        <v>1</v>
      </c>
    </row>
    <row r="2371" spans="1:13" hidden="1" x14ac:dyDescent="0.3">
      <c r="A2371" s="11">
        <v>46189</v>
      </c>
      <c r="B2371" s="20" t="s">
        <v>4725</v>
      </c>
      <c r="C2371" s="7" t="s">
        <v>4767</v>
      </c>
      <c r="D2371" s="7" t="s">
        <v>1644</v>
      </c>
      <c r="E2371" s="18"/>
      <c r="F2371" s="11">
        <f>IF(HOUR(Table1[[#This Row],[CORREO]])&gt;=11,WORKDAY(Table1[[#This Row],[CORREO]],1,Table2[Dias no laborales]),E2371)</f>
        <v>0</v>
      </c>
      <c r="G2371" s="11">
        <v>46199</v>
      </c>
      <c r="H2371" s="7">
        <f t="shared" si="127"/>
        <v>24</v>
      </c>
      <c r="I2371" s="7">
        <f>MAX(1, NETWORKDAYS(A2371, G2371,Table2[Dias no laborales]))</f>
        <v>9</v>
      </c>
      <c r="J2371" s="7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7" t="str">
        <f t="shared" si="128"/>
        <v>Programados</v>
      </c>
      <c r="L2371" s="11">
        <v>46189</v>
      </c>
      <c r="M2371" s="22">
        <f>MAX(1,NETWORKDAYS(A2371,L2371,Table2[Dias no laborales]))</f>
        <v>1</v>
      </c>
    </row>
    <row r="2372" spans="1:13" hidden="1" x14ac:dyDescent="0.3">
      <c r="A2372" s="11">
        <v>46189</v>
      </c>
      <c r="B2372" s="20" t="s">
        <v>4726</v>
      </c>
      <c r="C2372" s="7" t="s">
        <v>4768</v>
      </c>
      <c r="D2372" s="7" t="s">
        <v>24</v>
      </c>
      <c r="E2372" s="18"/>
      <c r="F2372" s="11">
        <f>IF(HOUR(Table1[[#This Row],[CORREO]])&gt;=11,WORKDAY(Table1[[#This Row],[CORREO]],1,Table2[Dias no laborales]),E2372)</f>
        <v>0</v>
      </c>
      <c r="G2372" s="11">
        <v>46191</v>
      </c>
      <c r="H2372" s="7">
        <f t="shared" si="127"/>
        <v>24</v>
      </c>
      <c r="I2372" s="7">
        <f>MAX(1, NETWORKDAYS(A2372, G2372,Table2[Dias no laborales]))</f>
        <v>3</v>
      </c>
      <c r="J2372" s="7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7" t="str">
        <f t="shared" si="128"/>
        <v>Programados</v>
      </c>
      <c r="L2372" s="11">
        <v>46189</v>
      </c>
      <c r="M2372" s="22">
        <f>MAX(1,NETWORKDAYS(A2372,L2372,Table2[Dias no laborales]))</f>
        <v>1</v>
      </c>
    </row>
    <row r="2373" spans="1:13" hidden="1" x14ac:dyDescent="0.3">
      <c r="A2373" s="11">
        <v>46189</v>
      </c>
      <c r="B2373" s="20" t="s">
        <v>4727</v>
      </c>
      <c r="C2373" s="7" t="s">
        <v>4769</v>
      </c>
      <c r="D2373" s="7" t="s">
        <v>392</v>
      </c>
      <c r="E2373" s="18"/>
      <c r="F2373" s="11">
        <f>IF(HOUR(Table1[[#This Row],[CORREO]])&gt;=11,WORKDAY(Table1[[#This Row],[CORREO]],1,Table2[Dias no laborales]),E2373)</f>
        <v>0</v>
      </c>
      <c r="G2373" s="11">
        <v>46189</v>
      </c>
      <c r="H2373" s="7">
        <f t="shared" si="127"/>
        <v>24</v>
      </c>
      <c r="I2373" s="7">
        <f>MAX(1, NETWORKDAYS(A2373, G2373,Table2[Dias no laborales]))</f>
        <v>1</v>
      </c>
      <c r="J2373" s="7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7" t="str">
        <f t="shared" si="128"/>
        <v>Programados</v>
      </c>
      <c r="L2373" s="11">
        <v>46189</v>
      </c>
      <c r="M2373" s="22">
        <f>MAX(1,NETWORKDAYS(A2373,L2373,Table2[Dias no laborales]))</f>
        <v>1</v>
      </c>
    </row>
    <row r="2374" spans="1:13" hidden="1" x14ac:dyDescent="0.3">
      <c r="A2374" s="11">
        <v>46189</v>
      </c>
      <c r="B2374" s="20" t="s">
        <v>4728</v>
      </c>
      <c r="C2374" s="7" t="s">
        <v>4770</v>
      </c>
      <c r="D2374" s="7" t="s">
        <v>916</v>
      </c>
      <c r="E2374" s="18"/>
      <c r="F2374" s="11">
        <f>IF(HOUR(Table1[[#This Row],[CORREO]])&gt;=11,WORKDAY(Table1[[#This Row],[CORREO]],1,Table2[Dias no laborales]),E2374)</f>
        <v>0</v>
      </c>
      <c r="G2374" s="11">
        <v>46190</v>
      </c>
      <c r="H2374" s="7">
        <f t="shared" si="127"/>
        <v>24</v>
      </c>
      <c r="I2374" s="7">
        <f>MAX(1, NETWORKDAYS(A2374, G2374,Table2[Dias no laborales]))</f>
        <v>2</v>
      </c>
      <c r="J2374" s="7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7" t="str">
        <f t="shared" si="128"/>
        <v>Programados</v>
      </c>
      <c r="L2374" s="11">
        <v>46189</v>
      </c>
      <c r="M2374" s="22">
        <f>MAX(1,NETWORKDAYS(A2374,L2374,Table2[Dias no laborales]))</f>
        <v>1</v>
      </c>
    </row>
    <row r="2375" spans="1:13" hidden="1" x14ac:dyDescent="0.3">
      <c r="A2375" s="11">
        <v>46189</v>
      </c>
      <c r="B2375" s="20" t="s">
        <v>4729</v>
      </c>
      <c r="C2375" s="7" t="s">
        <v>4771</v>
      </c>
      <c r="D2375" s="7" t="s">
        <v>1644</v>
      </c>
      <c r="E2375" s="18"/>
      <c r="F2375" s="11">
        <f>IF(HOUR(Table1[[#This Row],[CORREO]])&gt;=11,WORKDAY(Table1[[#This Row],[CORREO]],1,Table2[Dias no laborales]),E2375)</f>
        <v>0</v>
      </c>
      <c r="G2375" s="11">
        <v>46189</v>
      </c>
      <c r="H2375" s="7">
        <f t="shared" si="127"/>
        <v>24</v>
      </c>
      <c r="I2375" s="7">
        <f>MAX(1, NETWORKDAYS(A2375, G2375,Table2[Dias no laborales]))</f>
        <v>1</v>
      </c>
      <c r="J2375" s="7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7" t="str">
        <f t="shared" si="128"/>
        <v>Programados</v>
      </c>
      <c r="L2375" s="11">
        <v>46189</v>
      </c>
      <c r="M2375" s="22">
        <f>MAX(1,NETWORKDAYS(A2375,L2375,Table2[Dias no laborales]))</f>
        <v>1</v>
      </c>
    </row>
    <row r="2376" spans="1:13" hidden="1" x14ac:dyDescent="0.3">
      <c r="A2376" s="11">
        <v>46189</v>
      </c>
      <c r="B2376" s="20" t="s">
        <v>4730</v>
      </c>
      <c r="C2376" s="7" t="s">
        <v>4772</v>
      </c>
      <c r="D2376" s="7" t="s">
        <v>85</v>
      </c>
      <c r="E2376" s="18"/>
      <c r="F2376" s="11">
        <f>IF(HOUR(Table1[[#This Row],[CORREO]])&gt;=11,WORKDAY(Table1[[#This Row],[CORREO]],1,Table2[Dias no laborales]),E2376)</f>
        <v>0</v>
      </c>
      <c r="G2376" s="11">
        <v>46189</v>
      </c>
      <c r="H2376" s="7">
        <f t="shared" si="127"/>
        <v>24</v>
      </c>
      <c r="I2376" s="7">
        <f>MAX(1, NETWORKDAYS(A2376, G2376,Table2[Dias no laborales]))</f>
        <v>1</v>
      </c>
      <c r="J2376" s="7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7" t="str">
        <f t="shared" si="128"/>
        <v>Programados</v>
      </c>
      <c r="L2376" s="11">
        <v>46189</v>
      </c>
      <c r="M2376" s="22">
        <f>MAX(1,NETWORKDAYS(A2376,L2376,Table2[Dias no laborales]))</f>
        <v>1</v>
      </c>
    </row>
    <row r="2377" spans="1:13" hidden="1" x14ac:dyDescent="0.3">
      <c r="A2377" s="11">
        <v>46189</v>
      </c>
      <c r="B2377" s="20" t="s">
        <v>4731</v>
      </c>
      <c r="C2377" s="7" t="s">
        <v>4773</v>
      </c>
      <c r="D2377" s="7" t="s">
        <v>4774</v>
      </c>
      <c r="E2377" s="18"/>
      <c r="F2377" s="11">
        <f>IF(HOUR(Table1[[#This Row],[CORREO]])&gt;=11,WORKDAY(Table1[[#This Row],[CORREO]],1,Table2[Dias no laborales]),E2377)</f>
        <v>0</v>
      </c>
      <c r="G2377" s="11">
        <v>46199</v>
      </c>
      <c r="H2377" s="7">
        <f t="shared" si="127"/>
        <v>24</v>
      </c>
      <c r="I2377" s="7">
        <f>MAX(1, NETWORKDAYS(A2377, G2377,Table2[Dias no laborales]))</f>
        <v>9</v>
      </c>
      <c r="J2377" s="7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7" t="str">
        <f t="shared" si="128"/>
        <v>Programados</v>
      </c>
      <c r="L2377" s="11">
        <v>46189</v>
      </c>
      <c r="M2377" s="22">
        <f>MAX(1,NETWORKDAYS(A2377,L2377,Table2[Dias no laborales]))</f>
        <v>1</v>
      </c>
    </row>
    <row r="2378" spans="1:13" hidden="1" x14ac:dyDescent="0.3">
      <c r="A2378" s="11">
        <v>46189</v>
      </c>
      <c r="B2378" s="20" t="s">
        <v>4732</v>
      </c>
      <c r="C2378" s="7" t="s">
        <v>4775</v>
      </c>
      <c r="D2378" s="7" t="s">
        <v>24</v>
      </c>
      <c r="E2378" s="18"/>
      <c r="F2378" s="11">
        <f>IF(HOUR(Table1[[#This Row],[CORREO]])&gt;=11,WORKDAY(Table1[[#This Row],[CORREO]],1,Table2[Dias no laborales]),E2378)</f>
        <v>0</v>
      </c>
      <c r="G2378" s="11">
        <v>46195</v>
      </c>
      <c r="H2378" s="7">
        <f t="shared" si="127"/>
        <v>24</v>
      </c>
      <c r="I2378" s="7">
        <f>MAX(1, NETWORKDAYS(A2378, G2378,Table2[Dias no laborales]))</f>
        <v>5</v>
      </c>
      <c r="J2378" s="7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7" t="str">
        <f t="shared" si="128"/>
        <v>Programados</v>
      </c>
      <c r="L2378" s="11">
        <v>46189</v>
      </c>
      <c r="M2378" s="22">
        <f>MAX(1,NETWORKDAYS(A2378,L2378,Table2[Dias no laborales]))</f>
        <v>1</v>
      </c>
    </row>
    <row r="2379" spans="1:13" hidden="1" x14ac:dyDescent="0.3">
      <c r="A2379" s="11">
        <v>46189</v>
      </c>
      <c r="B2379" s="20" t="s">
        <v>4733</v>
      </c>
      <c r="C2379" s="7" t="s">
        <v>4776</v>
      </c>
      <c r="D2379" s="7" t="s">
        <v>4777</v>
      </c>
      <c r="E2379" s="18">
        <v>46189.543749999997</v>
      </c>
      <c r="F2379" s="11">
        <f>IF(HOUR(Table1[[#This Row],[CORREO]])&gt;=11,WORKDAY(Table1[[#This Row],[CORREO]],1,Table2[Dias no laborales]),E2379)</f>
        <v>46190</v>
      </c>
      <c r="G2379" s="11">
        <v>46189</v>
      </c>
      <c r="H2379" s="7">
        <f t="shared" si="127"/>
        <v>24</v>
      </c>
      <c r="I2379" s="7">
        <f>MAX(1, NETWORKDAYS(A2379, G2379,Table2[Dias no laborales]))</f>
        <v>1</v>
      </c>
      <c r="J2379" s="7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7" t="str">
        <f t="shared" si="128"/>
        <v>Mismo día</v>
      </c>
      <c r="L2379" s="11">
        <v>46189</v>
      </c>
      <c r="M2379" s="22">
        <f>MAX(1,NETWORKDAYS(A2379,L2379,Table2[Dias no laborales]))</f>
        <v>1</v>
      </c>
    </row>
    <row r="2380" spans="1:13" hidden="1" x14ac:dyDescent="0.3">
      <c r="A2380" s="11">
        <v>46189</v>
      </c>
      <c r="B2380" s="20" t="s">
        <v>4734</v>
      </c>
      <c r="C2380" s="7" t="s">
        <v>3717</v>
      </c>
      <c r="D2380" s="7" t="s">
        <v>4778</v>
      </c>
      <c r="E2380" s="18">
        <v>46189.583333333336</v>
      </c>
      <c r="F2380" s="11">
        <f>IF(HOUR(Table1[[#This Row],[CORREO]])&gt;=11,WORKDAY(Table1[[#This Row],[CORREO]],1,Table2[Dias no laborales]),E2380)</f>
        <v>46190</v>
      </c>
      <c r="G2380" s="11">
        <v>46191</v>
      </c>
      <c r="H2380" s="7">
        <f t="shared" si="127"/>
        <v>24</v>
      </c>
      <c r="I2380" s="7">
        <f>MAX(1, NETWORKDAYS(A2380, G2380,Table2[Dias no laborales]))</f>
        <v>3</v>
      </c>
      <c r="J2380" s="7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7" t="str">
        <f t="shared" si="128"/>
        <v>Mismo día</v>
      </c>
      <c r="L2380" s="11">
        <v>46189</v>
      </c>
      <c r="M2380" s="22">
        <f>MAX(1,NETWORKDAYS(A2380,L2380,Table2[Dias no laborales]))</f>
        <v>1</v>
      </c>
    </row>
    <row r="2381" spans="1:13" hidden="1" x14ac:dyDescent="0.3">
      <c r="A2381" s="11">
        <v>46189</v>
      </c>
      <c r="B2381" s="20" t="s">
        <v>4735</v>
      </c>
      <c r="C2381" s="7" t="s">
        <v>4779</v>
      </c>
      <c r="D2381" s="7" t="s">
        <v>4780</v>
      </c>
      <c r="E2381" s="18">
        <v>46189.697916666664</v>
      </c>
      <c r="F2381" s="11">
        <f>IF(HOUR(Table1[[#This Row],[CORREO]])&gt;=11,WORKDAY(Table1[[#This Row],[CORREO]],1,Table2[Dias no laborales]),E2381)</f>
        <v>46190</v>
      </c>
      <c r="G2381" s="11">
        <v>46190</v>
      </c>
      <c r="H2381" s="7">
        <f t="shared" si="127"/>
        <v>24</v>
      </c>
      <c r="I2381" s="7">
        <f>MAX(1, NETWORKDAYS(A2381, G2381,Table2[Dias no laborales]))</f>
        <v>2</v>
      </c>
      <c r="J2381" s="7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7" t="str">
        <f t="shared" si="128"/>
        <v>Mismo día</v>
      </c>
      <c r="L2381" s="11">
        <v>46189</v>
      </c>
      <c r="M2381" s="22">
        <f>MAX(1,NETWORKDAYS(A2381,L2381,Table2[Dias no laborales]))</f>
        <v>1</v>
      </c>
    </row>
    <row r="2382" spans="1:13" hidden="1" x14ac:dyDescent="0.3">
      <c r="A2382" s="11">
        <v>46189</v>
      </c>
      <c r="B2382" s="20" t="s">
        <v>4736</v>
      </c>
      <c r="C2382" s="7" t="s">
        <v>4781</v>
      </c>
      <c r="D2382" s="7" t="s">
        <v>586</v>
      </c>
      <c r="E2382" s="18">
        <v>46189.622916666667</v>
      </c>
      <c r="F2382" s="11">
        <f>IF(HOUR(Table1[[#This Row],[CORREO]])&gt;=11,WORKDAY(Table1[[#This Row],[CORREO]],1,Table2[Dias no laborales]),E2382)</f>
        <v>46190</v>
      </c>
      <c r="G2382" s="11">
        <v>46189</v>
      </c>
      <c r="H2382" s="7">
        <f t="shared" si="127"/>
        <v>24</v>
      </c>
      <c r="I2382" s="7">
        <f>MAX(1, NETWORKDAYS(A2382, G2382,Table2[Dias no laborales]))</f>
        <v>1</v>
      </c>
      <c r="J2382" s="7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7" t="str">
        <f t="shared" si="128"/>
        <v>Mismo día</v>
      </c>
      <c r="L2382" s="11">
        <v>46189</v>
      </c>
      <c r="M2382" s="22">
        <f>MAX(1,NETWORKDAYS(A2382,L2382,Table2[Dias no laborales]))</f>
        <v>1</v>
      </c>
    </row>
    <row r="2383" spans="1:13" hidden="1" x14ac:dyDescent="0.3">
      <c r="A2383" s="11">
        <v>46190</v>
      </c>
      <c r="B2383" s="20" t="s">
        <v>4737</v>
      </c>
      <c r="C2383" s="7" t="s">
        <v>4782</v>
      </c>
      <c r="D2383" s="7" t="s">
        <v>4783</v>
      </c>
      <c r="E2383" s="18">
        <v>46189.552777777775</v>
      </c>
      <c r="F2383" s="11">
        <f>IF(HOUR(Table1[[#This Row],[CORREO]])&gt;=11,WORKDAY(Table1[[#This Row],[CORREO]],1,Table2[Dias no laborales]),E2383)</f>
        <v>46190</v>
      </c>
      <c r="G2383" s="11">
        <v>46191</v>
      </c>
      <c r="H2383" s="7">
        <f t="shared" si="127"/>
        <v>24</v>
      </c>
      <c r="I2383" s="7">
        <f>MAX(1, NETWORKDAYS(A2383, G2383,Table2[Dias no laborales]))</f>
        <v>2</v>
      </c>
      <c r="J2383" s="7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7" t="str">
        <f t="shared" si="128"/>
        <v>A tiempo</v>
      </c>
      <c r="L2383" s="11">
        <v>46190</v>
      </c>
      <c r="M2383" s="22">
        <f>MAX(1,NETWORKDAYS(A2383,L2383,Table2[Dias no laborales]))</f>
        <v>1</v>
      </c>
    </row>
    <row r="2384" spans="1:13" hidden="1" x14ac:dyDescent="0.3">
      <c r="A2384" s="11">
        <v>46190</v>
      </c>
      <c r="B2384" s="20" t="s">
        <v>4738</v>
      </c>
      <c r="C2384" s="7" t="s">
        <v>4784</v>
      </c>
      <c r="D2384" s="7" t="s">
        <v>586</v>
      </c>
      <c r="E2384" s="18">
        <v>46189.390277777777</v>
      </c>
      <c r="F2384" s="11">
        <f>IF(HOUR(Table1[[#This Row],[CORREO]])&gt;=11,WORKDAY(Table1[[#This Row],[CORREO]],1,Table2[Dias no laborales]),E2384)</f>
        <v>46189.390277777777</v>
      </c>
      <c r="G2384" s="11">
        <v>46204</v>
      </c>
      <c r="H2384" s="7">
        <f t="shared" si="127"/>
        <v>24</v>
      </c>
      <c r="I2384" s="7">
        <f>MAX(1, NETWORKDAYS(A2384, G2384,Table2[Dias no laborales]))</f>
        <v>11</v>
      </c>
      <c r="J2384" s="7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7" t="str">
        <f t="shared" si="128"/>
        <v>Programados</v>
      </c>
      <c r="L2384" s="11">
        <v>46190</v>
      </c>
      <c r="M2384" s="22">
        <f>MAX(1,NETWORKDAYS(A2384,L2384,Table2[Dias no laborales]))</f>
        <v>1</v>
      </c>
    </row>
    <row r="2385" spans="1:13" hidden="1" x14ac:dyDescent="0.3">
      <c r="A2385" s="11">
        <v>46190</v>
      </c>
      <c r="B2385" s="20" t="s">
        <v>4739</v>
      </c>
      <c r="C2385" s="7" t="s">
        <v>4756</v>
      </c>
      <c r="D2385" s="7" t="s">
        <v>103</v>
      </c>
      <c r="E2385" s="18">
        <v>46190.538888888892</v>
      </c>
      <c r="F2385" s="11">
        <f>IF(HOUR(Table1[[#This Row],[CORREO]])&gt;=11,WORKDAY(Table1[[#This Row],[CORREO]],1,Table2[Dias no laborales]),E2385)</f>
        <v>46191</v>
      </c>
      <c r="G2385" s="11">
        <v>46190</v>
      </c>
      <c r="H2385" s="7">
        <f t="shared" si="127"/>
        <v>24</v>
      </c>
      <c r="I2385" s="7">
        <f>MAX(1, NETWORKDAYS(A2385, G2385,Table2[Dias no laborales]))</f>
        <v>1</v>
      </c>
      <c r="J2385" s="7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7" t="str">
        <f t="shared" si="128"/>
        <v>Mismo día</v>
      </c>
      <c r="L2385" s="11">
        <v>46190</v>
      </c>
      <c r="M2385" s="22">
        <f>MAX(1,NETWORKDAYS(A2385,L2385,Table2[Dias no laborales]))</f>
        <v>1</v>
      </c>
    </row>
    <row r="2386" spans="1:13" hidden="1" x14ac:dyDescent="0.3">
      <c r="A2386" s="11">
        <v>46190</v>
      </c>
      <c r="B2386" s="20" t="s">
        <v>4740</v>
      </c>
      <c r="C2386" s="7" t="s">
        <v>1962</v>
      </c>
      <c r="D2386" s="7" t="s">
        <v>171</v>
      </c>
      <c r="E2386" s="18">
        <v>46190.303472222222</v>
      </c>
      <c r="F2386" s="11">
        <f>IF(HOUR(Table1[[#This Row],[CORREO]])&gt;=11,WORKDAY(Table1[[#This Row],[CORREO]],1,Table2[Dias no laborales]),E2386)</f>
        <v>46190.303472222222</v>
      </c>
      <c r="G2386" s="11">
        <v>46191</v>
      </c>
      <c r="H2386" s="7">
        <f t="shared" si="127"/>
        <v>24</v>
      </c>
      <c r="I2386" s="7">
        <f>MAX(1, NETWORKDAYS(A2386, G2386,Table2[Dias no laborales]))</f>
        <v>2</v>
      </c>
      <c r="J2386" s="7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7" t="str">
        <f t="shared" si="128"/>
        <v>A tiempo</v>
      </c>
      <c r="L2386" s="11">
        <v>46190</v>
      </c>
      <c r="M2386" s="22">
        <f>MAX(1,NETWORKDAYS(A2386,L2386,Table2[Dias no laborales]))</f>
        <v>1</v>
      </c>
    </row>
    <row r="2387" spans="1:13" hidden="1" x14ac:dyDescent="0.3">
      <c r="A2387" s="11">
        <v>46190</v>
      </c>
      <c r="B2387" s="20" t="s">
        <v>4741</v>
      </c>
      <c r="C2387" s="7" t="s">
        <v>4555</v>
      </c>
      <c r="D2387" s="7" t="s">
        <v>392</v>
      </c>
      <c r="E2387" s="18">
        <v>46190.338194444441</v>
      </c>
      <c r="F2387" s="11">
        <f>IF(HOUR(Table1[[#This Row],[CORREO]])&gt;=11,WORKDAY(Table1[[#This Row],[CORREO]],1,Table2[Dias no laborales]),E2387)</f>
        <v>46190.338194444441</v>
      </c>
      <c r="G2387" s="11">
        <v>46190</v>
      </c>
      <c r="H2387" s="7">
        <f t="shared" si="127"/>
        <v>24</v>
      </c>
      <c r="I2387" s="7">
        <f>MAX(1, NETWORKDAYS(A2387, G2387,Table2[Dias no laborales]))</f>
        <v>1</v>
      </c>
      <c r="J2387" s="7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7" t="str">
        <f t="shared" si="128"/>
        <v>A tiempo</v>
      </c>
      <c r="L2387" s="11">
        <v>46190</v>
      </c>
      <c r="M2387" s="22">
        <f>MAX(1,NETWORKDAYS(A2387,L2387,Table2[Dias no laborales]))</f>
        <v>1</v>
      </c>
    </row>
    <row r="2388" spans="1:13" hidden="1" x14ac:dyDescent="0.3">
      <c r="A2388" s="11">
        <v>46190</v>
      </c>
      <c r="B2388" s="20" t="s">
        <v>4759</v>
      </c>
      <c r="C2388" s="7" t="s">
        <v>4700</v>
      </c>
      <c r="D2388" s="7" t="s">
        <v>4785</v>
      </c>
      <c r="E2388" s="18">
        <v>46190.364583333336</v>
      </c>
      <c r="F2388" s="11">
        <f>IF(HOUR(Table1[[#This Row],[CORREO]])&gt;=11,WORKDAY(Table1[[#This Row],[CORREO]],1,Table2[Dias no laborales]),E2388)</f>
        <v>46190.364583333336</v>
      </c>
      <c r="G2388" s="11">
        <v>46204</v>
      </c>
      <c r="H2388" s="7">
        <f t="shared" ref="H2388:H2394" si="129">INT((A2388-DATE(YEAR(A2388),1,1))/7) + 1</f>
        <v>24</v>
      </c>
      <c r="I2388" s="7">
        <f>MAX(1, NETWORKDAYS(A2388, G2388,Table2[Dias no laborales]))</f>
        <v>11</v>
      </c>
      <c r="J2388" s="7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7" t="str">
        <f t="shared" ref="K2388:K2394" si="130">IF(INT(A2388)=INT(F2388),"A tiempo", IF(A2388&lt;F2388,"Mismo día","Programados"))</f>
        <v>A tiempo</v>
      </c>
      <c r="L2388" s="11"/>
      <c r="M2388" s="22">
        <f>MAX(1,NETWORKDAYS(A2388,L2388,Table2[Dias no laborales]))</f>
        <v>1</v>
      </c>
    </row>
    <row r="2389" spans="1:13" hidden="1" x14ac:dyDescent="0.3">
      <c r="A2389" s="11">
        <v>46190</v>
      </c>
      <c r="B2389" s="20" t="s">
        <v>4760</v>
      </c>
      <c r="C2389" s="7" t="s">
        <v>4700</v>
      </c>
      <c r="D2389" s="7" t="s">
        <v>4786</v>
      </c>
      <c r="E2389" s="18">
        <v>46190.364583333336</v>
      </c>
      <c r="F2389" s="11">
        <f>IF(HOUR(Table1[[#This Row],[CORREO]])&gt;=11,WORKDAY(Table1[[#This Row],[CORREO]],1,Table2[Dias no laborales]),E2389)</f>
        <v>46190.364583333336</v>
      </c>
      <c r="G2389" s="11">
        <v>46204</v>
      </c>
      <c r="H2389" s="7">
        <f t="shared" si="129"/>
        <v>24</v>
      </c>
      <c r="I2389" s="7">
        <f>MAX(1, NETWORKDAYS(A2389, G2389,Table2[Dias no laborales]))</f>
        <v>11</v>
      </c>
      <c r="J2389" s="7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7" t="str">
        <f t="shared" si="130"/>
        <v>A tiempo</v>
      </c>
      <c r="L2389" s="11"/>
      <c r="M2389" s="22">
        <f>MAX(1,NETWORKDAYS(A2389,L2389,Table2[Dias no laborales]))</f>
        <v>1</v>
      </c>
    </row>
    <row r="2390" spans="1:13" hidden="1" x14ac:dyDescent="0.3">
      <c r="A2390" s="11">
        <v>46190</v>
      </c>
      <c r="B2390" s="20" t="s">
        <v>4761</v>
      </c>
      <c r="C2390" s="7" t="s">
        <v>74</v>
      </c>
      <c r="D2390" s="7" t="s">
        <v>30</v>
      </c>
      <c r="E2390" s="18">
        <v>46190.394444444442</v>
      </c>
      <c r="F2390" s="11">
        <f>IF(HOUR(Table1[[#This Row],[CORREO]])&gt;=11,WORKDAY(Table1[[#This Row],[CORREO]],1,Table2[Dias no laborales]),E2390)</f>
        <v>46190.394444444442</v>
      </c>
      <c r="G2390" s="11">
        <v>46191</v>
      </c>
      <c r="H2390" s="7">
        <f t="shared" si="129"/>
        <v>24</v>
      </c>
      <c r="I2390" s="7">
        <f>MAX(1, NETWORKDAYS(A2390, G2390,Table2[Dias no laborales]))</f>
        <v>2</v>
      </c>
      <c r="J2390" s="7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7" t="str">
        <f t="shared" si="130"/>
        <v>A tiempo</v>
      </c>
      <c r="L2390" s="11">
        <v>46190</v>
      </c>
      <c r="M2390" s="22">
        <f>MAX(1,NETWORKDAYS(A2390,L2390,Table2[Dias no laborales]))</f>
        <v>1</v>
      </c>
    </row>
    <row r="2391" spans="1:13" hidden="1" x14ac:dyDescent="0.3">
      <c r="A2391" s="11">
        <v>46190</v>
      </c>
      <c r="B2391" s="20" t="s">
        <v>4762</v>
      </c>
      <c r="C2391" s="7" t="s">
        <v>4787</v>
      </c>
      <c r="D2391" s="7" t="s">
        <v>4788</v>
      </c>
      <c r="E2391" s="18">
        <v>46190.395138888889</v>
      </c>
      <c r="F2391" s="11">
        <f>IF(HOUR(Table1[[#This Row],[CORREO]])&gt;=11,WORKDAY(Table1[[#This Row],[CORREO]],1,Table2[Dias no laborales]),E2391)</f>
        <v>46190.395138888889</v>
      </c>
      <c r="G2391" s="11">
        <v>46190</v>
      </c>
      <c r="H2391" s="7">
        <f t="shared" si="129"/>
        <v>24</v>
      </c>
      <c r="I2391" s="7">
        <f>MAX(1, NETWORKDAYS(A2391, G2391,Table2[Dias no laborales]))</f>
        <v>1</v>
      </c>
      <c r="J2391" s="7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7" t="str">
        <f t="shared" si="130"/>
        <v>A tiempo</v>
      </c>
      <c r="L2391" s="11">
        <v>46190</v>
      </c>
      <c r="M2391" s="22">
        <f>MAX(1,NETWORKDAYS(A2391,L2391,Table2[Dias no laborales]))</f>
        <v>1</v>
      </c>
    </row>
    <row r="2392" spans="1:13" hidden="1" x14ac:dyDescent="0.3">
      <c r="A2392" s="11">
        <v>46190</v>
      </c>
      <c r="B2392" s="20" t="s">
        <v>4763</v>
      </c>
      <c r="C2392" s="7" t="s">
        <v>4789</v>
      </c>
      <c r="D2392" s="7" t="s">
        <v>2623</v>
      </c>
      <c r="E2392" s="18">
        <v>46190.422222222223</v>
      </c>
      <c r="F2392" s="11">
        <f>IF(HOUR(Table1[[#This Row],[CORREO]])&gt;=11,WORKDAY(Table1[[#This Row],[CORREO]],1,Table2[Dias no laborales]),E2392)</f>
        <v>46190.422222222223</v>
      </c>
      <c r="G2392" s="11">
        <v>46190</v>
      </c>
      <c r="H2392" s="7">
        <f t="shared" si="129"/>
        <v>24</v>
      </c>
      <c r="I2392" s="7">
        <f>MAX(1, NETWORKDAYS(A2392, G2392,Table2[Dias no laborales]))</f>
        <v>1</v>
      </c>
      <c r="J2392" s="7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7" t="str">
        <f t="shared" si="130"/>
        <v>A tiempo</v>
      </c>
      <c r="L2392" s="11">
        <v>46190</v>
      </c>
      <c r="M2392" s="22">
        <f>MAX(1,NETWORKDAYS(A2392,L2392,Table2[Dias no laborales]))</f>
        <v>1</v>
      </c>
    </row>
    <row r="2393" spans="1:13" hidden="1" x14ac:dyDescent="0.3">
      <c r="A2393" s="11">
        <v>46190</v>
      </c>
      <c r="B2393" s="20" t="s">
        <v>4764</v>
      </c>
      <c r="C2393" s="7" t="s">
        <v>4790</v>
      </c>
      <c r="D2393" s="7" t="s">
        <v>27</v>
      </c>
      <c r="E2393" s="18">
        <v>46190.515277777777</v>
      </c>
      <c r="F2393" s="11">
        <f>IF(HOUR(Table1[[#This Row],[CORREO]])&gt;=11,WORKDAY(Table1[[#This Row],[CORREO]],1,Table2[Dias no laborales]),E2393)</f>
        <v>46191</v>
      </c>
      <c r="G2393" s="11">
        <v>46190</v>
      </c>
      <c r="H2393" s="7">
        <f t="shared" si="129"/>
        <v>24</v>
      </c>
      <c r="I2393" s="7">
        <f>MAX(1, NETWORKDAYS(A2393, G2393,Table2[Dias no laborales]))</f>
        <v>1</v>
      </c>
      <c r="J2393" s="7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7" t="str">
        <f t="shared" si="130"/>
        <v>Mismo día</v>
      </c>
      <c r="L2393" s="11">
        <v>46190</v>
      </c>
      <c r="M2393" s="22">
        <f>MAX(1,NETWORKDAYS(A2393,L2393,Table2[Dias no laborales]))</f>
        <v>1</v>
      </c>
    </row>
    <row r="2394" spans="1:13" hidden="1" x14ac:dyDescent="0.3">
      <c r="A2394" s="11">
        <v>46190</v>
      </c>
      <c r="B2394" s="20" t="s">
        <v>4765</v>
      </c>
      <c r="C2394" s="7" t="s">
        <v>4791</v>
      </c>
      <c r="D2394" s="7" t="s">
        <v>24</v>
      </c>
      <c r="E2394" s="18"/>
      <c r="F2394" s="11">
        <f>IF(HOUR(Table1[[#This Row],[CORREO]])&gt;=11,WORKDAY(Table1[[#This Row],[CORREO]],1,Table2[Dias no laborales]),E2394)</f>
        <v>0</v>
      </c>
      <c r="G2394" s="11">
        <v>46196</v>
      </c>
      <c r="H2394" s="7">
        <f t="shared" si="129"/>
        <v>24</v>
      </c>
      <c r="I2394" s="7">
        <f>MAX(1, NETWORKDAYS(A2394, G2394,Table2[Dias no laborales]))</f>
        <v>5</v>
      </c>
      <c r="J2394" s="7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7" t="str">
        <f t="shared" si="130"/>
        <v>Programados</v>
      </c>
      <c r="L2394" s="11"/>
      <c r="M2394" s="22">
        <f>MAX(1,NETWORKDAYS(A2394,L2394,Table2[Dias no laborales]))</f>
        <v>1</v>
      </c>
    </row>
    <row r="2395" spans="1:13" hidden="1" x14ac:dyDescent="0.3">
      <c r="A2395" s="11">
        <v>46190</v>
      </c>
      <c r="B2395" s="20" t="s">
        <v>4792</v>
      </c>
      <c r="C2395" s="7" t="s">
        <v>4820</v>
      </c>
      <c r="D2395" s="7" t="s">
        <v>27</v>
      </c>
      <c r="E2395" s="18">
        <v>46190.724305555559</v>
      </c>
      <c r="F2395" s="11">
        <f>IF(HOUR(Table1[[#This Row],[CORREO]])&gt;=11,WORKDAY(Table1[[#This Row],[CORREO]],1,Table2[Dias no laborales]),E2395)</f>
        <v>46191</v>
      </c>
      <c r="G2395" s="11">
        <v>46192</v>
      </c>
      <c r="H2395" s="7">
        <f t="shared" ref="H2395:H2422" si="131">INT((A2395-DATE(YEAR(A2395),1,1))/7) + 1</f>
        <v>24</v>
      </c>
      <c r="I2395" s="7">
        <f>MAX(1, NETWORKDAYS(A2395, G2395,Table2[Dias no laborales]))</f>
        <v>3</v>
      </c>
      <c r="J2395" s="7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7" t="str">
        <f t="shared" ref="K2395:K2422" si="132">IF(INT(A2395)=INT(F2395),"A tiempo", IF(A2395&lt;F2395,"Mismo día","Programados"))</f>
        <v>Mismo día</v>
      </c>
      <c r="L2395" s="11">
        <v>46190</v>
      </c>
      <c r="M2395" s="22">
        <f>MAX(1,NETWORKDAYS(A2395,L2395,Table2[Dias no laborales]))</f>
        <v>1</v>
      </c>
    </row>
    <row r="2396" spans="1:13" hidden="1" x14ac:dyDescent="0.3">
      <c r="A2396" s="11">
        <v>46191</v>
      </c>
      <c r="B2396" s="20" t="s">
        <v>4793</v>
      </c>
      <c r="C2396" s="7" t="s">
        <v>4821</v>
      </c>
      <c r="D2396" s="18" t="s">
        <v>37</v>
      </c>
      <c r="E2396" s="18">
        <v>46190.640277777777</v>
      </c>
      <c r="F2396" s="11">
        <f>IF(HOUR(Table1[[#This Row],[CORREO]])&gt;=11,WORKDAY(Table1[[#This Row],[CORREO]],1,Table2[Dias no laborales]),E2396)</f>
        <v>46191</v>
      </c>
      <c r="G2396" s="11">
        <v>46195</v>
      </c>
      <c r="H2396" s="7">
        <f t="shared" si="131"/>
        <v>25</v>
      </c>
      <c r="I2396" s="7">
        <f>MAX(1, NETWORKDAYS(A2396, G2396,Table2[Dias no laborales]))</f>
        <v>3</v>
      </c>
      <c r="J2396" s="7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7" t="str">
        <f t="shared" si="132"/>
        <v>A tiempo</v>
      </c>
      <c r="L2396" s="11">
        <v>46191</v>
      </c>
      <c r="M2396" s="22">
        <f>MAX(1,NETWORKDAYS(A2396,L2396,Table2[Dias no laborales]))</f>
        <v>1</v>
      </c>
    </row>
    <row r="2397" spans="1:13" x14ac:dyDescent="0.3">
      <c r="A2397" s="11">
        <v>46191</v>
      </c>
      <c r="B2397" s="20" t="s">
        <v>4794</v>
      </c>
      <c r="C2397" s="7" t="s">
        <v>4822</v>
      </c>
      <c r="D2397" s="7" t="s">
        <v>586</v>
      </c>
      <c r="E2397" s="18">
        <v>46190.659722222219</v>
      </c>
      <c r="F2397" s="11">
        <f>IF(HOUR(Table1[[#This Row],[CORREO]])&gt;=11,WORKDAY(Table1[[#This Row],[CORREO]],1,Table2[Dias no laborales]),E2397)</f>
        <v>46191</v>
      </c>
      <c r="G2397" s="11"/>
      <c r="H2397" s="7">
        <f t="shared" si="131"/>
        <v>25</v>
      </c>
      <c r="I2397" s="7">
        <f>MAX(1, NETWORKDAYS(A2397, G2397,Table2[Dias no laborales]))</f>
        <v>1</v>
      </c>
      <c r="J2397" s="7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7" t="str">
        <f t="shared" si="132"/>
        <v>A tiempo</v>
      </c>
      <c r="L2397" s="11">
        <v>46191</v>
      </c>
      <c r="M2397" s="22">
        <f>MAX(1,NETWORKDAYS(A2397,L2397,Table2[Dias no laborales]))</f>
        <v>1</v>
      </c>
    </row>
    <row r="2398" spans="1:13" hidden="1" x14ac:dyDescent="0.3">
      <c r="A2398" s="11">
        <v>46191</v>
      </c>
      <c r="B2398" s="20" t="s">
        <v>4795</v>
      </c>
      <c r="C2398" s="7" t="s">
        <v>4823</v>
      </c>
      <c r="D2398" s="7" t="s">
        <v>4824</v>
      </c>
      <c r="E2398" s="18">
        <v>46190.702777777777</v>
      </c>
      <c r="F2398" s="11">
        <f>IF(HOUR(Table1[[#This Row],[CORREO]])&gt;=11,WORKDAY(Table1[[#This Row],[CORREO]],1,Table2[Dias no laborales]),E2398)</f>
        <v>46191</v>
      </c>
      <c r="G2398" s="11">
        <v>46203</v>
      </c>
      <c r="H2398" s="7">
        <f t="shared" si="131"/>
        <v>25</v>
      </c>
      <c r="I2398" s="7">
        <f>MAX(1, NETWORKDAYS(A2398, G2398,Table2[Dias no laborales]))</f>
        <v>9</v>
      </c>
      <c r="J2398" s="7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7" t="str">
        <f t="shared" si="132"/>
        <v>A tiempo</v>
      </c>
      <c r="L2398" s="11">
        <v>46191</v>
      </c>
      <c r="M2398" s="22">
        <f>MAX(1,NETWORKDAYS(A2398,L2398,Table2[Dias no laborales]))</f>
        <v>1</v>
      </c>
    </row>
    <row r="2399" spans="1:13" hidden="1" x14ac:dyDescent="0.3">
      <c r="A2399" s="11">
        <v>46191</v>
      </c>
      <c r="B2399" s="20" t="s">
        <v>4796</v>
      </c>
      <c r="C2399" s="7" t="s">
        <v>4825</v>
      </c>
      <c r="D2399" s="7" t="s">
        <v>27</v>
      </c>
      <c r="E2399" s="18">
        <v>46190.740972222222</v>
      </c>
      <c r="F2399" s="11">
        <f>IF(HOUR(Table1[[#This Row],[CORREO]])&gt;=11,WORKDAY(Table1[[#This Row],[CORREO]],1,Table2[Dias no laborales]),E2399)</f>
        <v>46191</v>
      </c>
      <c r="G2399" s="11">
        <v>46192</v>
      </c>
      <c r="H2399" s="7">
        <f t="shared" si="131"/>
        <v>25</v>
      </c>
      <c r="I2399" s="7">
        <f>MAX(1, NETWORKDAYS(A2399, G2399,Table2[Dias no laborales]))</f>
        <v>2</v>
      </c>
      <c r="J2399" s="7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7" t="str">
        <f t="shared" si="132"/>
        <v>A tiempo</v>
      </c>
      <c r="L2399" s="11">
        <v>46191</v>
      </c>
      <c r="M2399" s="22">
        <f>MAX(1,NETWORKDAYS(A2399,L2399,Table2[Dias no laborales]))</f>
        <v>1</v>
      </c>
    </row>
    <row r="2400" spans="1:13" hidden="1" x14ac:dyDescent="0.3">
      <c r="A2400" s="11">
        <v>46191</v>
      </c>
      <c r="B2400" s="20" t="s">
        <v>4797</v>
      </c>
      <c r="C2400" s="7" t="s">
        <v>4826</v>
      </c>
      <c r="D2400" s="7" t="s">
        <v>3020</v>
      </c>
      <c r="E2400" s="18">
        <v>46190.95416666667</v>
      </c>
      <c r="F2400" s="11">
        <f>IF(HOUR(Table1[[#This Row],[CORREO]])&gt;=11,WORKDAY(Table1[[#This Row],[CORREO]],1,Table2[Dias no laborales]),E2400)</f>
        <v>46191</v>
      </c>
      <c r="G2400" s="11">
        <v>46198</v>
      </c>
      <c r="H2400" s="7">
        <f t="shared" si="131"/>
        <v>25</v>
      </c>
      <c r="I2400" s="7">
        <f>MAX(1, NETWORKDAYS(A2400, G2400,Table2[Dias no laborales]))</f>
        <v>6</v>
      </c>
      <c r="J2400" s="7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7" t="str">
        <f t="shared" si="132"/>
        <v>A tiempo</v>
      </c>
      <c r="L2400" s="11">
        <v>46191</v>
      </c>
      <c r="M2400" s="22">
        <f>MAX(1,NETWORKDAYS(A2400,L2400,Table2[Dias no laborales]))</f>
        <v>1</v>
      </c>
    </row>
    <row r="2401" spans="1:13" hidden="1" x14ac:dyDescent="0.3">
      <c r="A2401" s="11">
        <v>46191</v>
      </c>
      <c r="B2401" s="20" t="s">
        <v>4798</v>
      </c>
      <c r="C2401" s="7" t="s">
        <v>4555</v>
      </c>
      <c r="D2401" s="7" t="s">
        <v>392</v>
      </c>
      <c r="E2401" s="18">
        <v>46191.334027777775</v>
      </c>
      <c r="F2401" s="11">
        <f>IF(HOUR(Table1[[#This Row],[CORREO]])&gt;=11,WORKDAY(Table1[[#This Row],[CORREO]],1,Table2[Dias no laborales]),E2401)</f>
        <v>46191.334027777775</v>
      </c>
      <c r="G2401" s="11">
        <v>46191</v>
      </c>
      <c r="H2401" s="7">
        <f t="shared" si="131"/>
        <v>25</v>
      </c>
      <c r="I2401" s="7">
        <f>MAX(1, NETWORKDAYS(A2401, G2401,Table2[Dias no laborales]))</f>
        <v>1</v>
      </c>
      <c r="J2401" s="7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7" t="str">
        <f t="shared" si="132"/>
        <v>A tiempo</v>
      </c>
      <c r="L2401" s="11">
        <v>46191</v>
      </c>
      <c r="M2401" s="22">
        <f>MAX(1,NETWORKDAYS(A2401,L2401,Table2[Dias no laborales]))</f>
        <v>1</v>
      </c>
    </row>
    <row r="2402" spans="1:13" hidden="1" x14ac:dyDescent="0.3">
      <c r="A2402" s="11">
        <v>46191</v>
      </c>
      <c r="B2402" s="20" t="s">
        <v>4799</v>
      </c>
      <c r="C2402" s="7" t="s">
        <v>4827</v>
      </c>
      <c r="D2402" s="7" t="s">
        <v>24</v>
      </c>
      <c r="E2402" s="18">
        <v>46191.367361111108</v>
      </c>
      <c r="F2402" s="11">
        <f>IF(HOUR(Table1[[#This Row],[CORREO]])&gt;=11,WORKDAY(Table1[[#This Row],[CORREO]],1,Table2[Dias no laborales]),E2402)</f>
        <v>46191.367361111108</v>
      </c>
      <c r="G2402" s="11">
        <v>46195</v>
      </c>
      <c r="H2402" s="7">
        <f t="shared" si="131"/>
        <v>25</v>
      </c>
      <c r="I2402" s="7">
        <f>MAX(1, NETWORKDAYS(A2402, G2402,Table2[Dias no laborales]))</f>
        <v>3</v>
      </c>
      <c r="J2402" s="7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7" t="str">
        <f t="shared" si="132"/>
        <v>A tiempo</v>
      </c>
      <c r="L2402" s="11">
        <v>46191</v>
      </c>
      <c r="M2402" s="22">
        <f>MAX(1,NETWORKDAYS(A2402,L2402,Table2[Dias no laborales]))</f>
        <v>1</v>
      </c>
    </row>
    <row r="2403" spans="1:13" hidden="1" x14ac:dyDescent="0.3">
      <c r="A2403" s="11">
        <v>46191</v>
      </c>
      <c r="B2403" s="20" t="s">
        <v>4800</v>
      </c>
      <c r="C2403" s="7" t="s">
        <v>4828</v>
      </c>
      <c r="D2403" s="7" t="s">
        <v>4778</v>
      </c>
      <c r="E2403" s="18">
        <v>46191.390972222223</v>
      </c>
      <c r="F2403" s="11">
        <f>IF(HOUR(Table1[[#This Row],[CORREO]])&gt;=11,WORKDAY(Table1[[#This Row],[CORREO]],1,Table2[Dias no laborales]),E2403)</f>
        <v>46191.390972222223</v>
      </c>
      <c r="G2403" s="11">
        <v>46195</v>
      </c>
      <c r="H2403" s="7">
        <f t="shared" si="131"/>
        <v>25</v>
      </c>
      <c r="I2403" s="7">
        <f>MAX(1, NETWORKDAYS(A2403, G2403,Table2[Dias no laborales]))</f>
        <v>3</v>
      </c>
      <c r="J2403" s="7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7" t="str">
        <f t="shared" si="132"/>
        <v>A tiempo</v>
      </c>
      <c r="L2403" s="11">
        <v>46191</v>
      </c>
      <c r="M2403" s="22">
        <f>MAX(1,NETWORKDAYS(A2403,L2403,Table2[Dias no laborales]))</f>
        <v>1</v>
      </c>
    </row>
    <row r="2404" spans="1:13" hidden="1" x14ac:dyDescent="0.3">
      <c r="A2404" s="11">
        <v>46191</v>
      </c>
      <c r="B2404" s="20" t="s">
        <v>4801</v>
      </c>
      <c r="C2404" s="7" t="s">
        <v>4773</v>
      </c>
      <c r="D2404" s="7" t="s">
        <v>1333</v>
      </c>
      <c r="E2404" s="18">
        <v>46191.560416666667</v>
      </c>
      <c r="F2404" s="11">
        <f>IF(HOUR(Table1[[#This Row],[CORREO]])&gt;=11,WORKDAY(Table1[[#This Row],[CORREO]],1,Table2[Dias no laborales]),E2404)</f>
        <v>46192</v>
      </c>
      <c r="G2404" s="11">
        <v>46195</v>
      </c>
      <c r="H2404" s="7">
        <f t="shared" si="131"/>
        <v>25</v>
      </c>
      <c r="I2404" s="7">
        <f>MAX(1, NETWORKDAYS(A2404, G2404,Table2[Dias no laborales]))</f>
        <v>3</v>
      </c>
      <c r="J2404" s="7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7" t="str">
        <f t="shared" si="132"/>
        <v>Mismo día</v>
      </c>
      <c r="L2404" s="11">
        <v>46191</v>
      </c>
      <c r="M2404" s="22">
        <f>MAX(1,NETWORKDAYS(A2404,L2404,Table2[Dias no laborales]))</f>
        <v>1</v>
      </c>
    </row>
    <row r="2405" spans="1:13" hidden="1" x14ac:dyDescent="0.3">
      <c r="A2405" s="11">
        <v>46192</v>
      </c>
      <c r="B2405" s="20" t="s">
        <v>4802</v>
      </c>
      <c r="C2405" s="7" t="s">
        <v>2149</v>
      </c>
      <c r="D2405" s="7" t="s">
        <v>477</v>
      </c>
      <c r="E2405" s="18">
        <v>46191.79583333333</v>
      </c>
      <c r="F2405" s="11">
        <f>IF(HOUR(Table1[[#This Row],[CORREO]])&gt;=11,WORKDAY(Table1[[#This Row],[CORREO]],1,Table2[Dias no laborales]),E2405)</f>
        <v>46192</v>
      </c>
      <c r="G2405" s="11">
        <v>46192</v>
      </c>
      <c r="H2405" s="7">
        <f t="shared" si="131"/>
        <v>25</v>
      </c>
      <c r="I2405" s="7">
        <f>MAX(1, NETWORKDAYS(A2405, G2405,Table2[Dias no laborales]))</f>
        <v>1</v>
      </c>
      <c r="J2405" s="7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7" t="str">
        <f t="shared" si="132"/>
        <v>A tiempo</v>
      </c>
      <c r="L2405" s="11">
        <v>46192</v>
      </c>
      <c r="M2405" s="22">
        <f>MAX(1,NETWORKDAYS(A2405,L2405,Table2[Dias no laborales]))</f>
        <v>1</v>
      </c>
    </row>
    <row r="2406" spans="1:13" hidden="1" x14ac:dyDescent="0.3">
      <c r="A2406" s="11">
        <v>46192</v>
      </c>
      <c r="B2406" s="20" t="s">
        <v>4803</v>
      </c>
      <c r="C2406" s="7" t="s">
        <v>4829</v>
      </c>
      <c r="D2406" s="7" t="s">
        <v>238</v>
      </c>
      <c r="E2406" s="18">
        <v>46192.337500000001</v>
      </c>
      <c r="F2406" s="11">
        <f>IF(HOUR(Table1[[#This Row],[CORREO]])&gt;=11,WORKDAY(Table1[[#This Row],[CORREO]],1,Table2[Dias no laborales]),E2406)</f>
        <v>46192.337500000001</v>
      </c>
      <c r="G2406" s="11">
        <v>46192</v>
      </c>
      <c r="H2406" s="7">
        <f t="shared" si="131"/>
        <v>25</v>
      </c>
      <c r="I2406" s="7">
        <f>MAX(1, NETWORKDAYS(A2406, G2406,Table2[Dias no laborales]))</f>
        <v>1</v>
      </c>
      <c r="J2406" s="7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7" t="str">
        <f t="shared" si="132"/>
        <v>A tiempo</v>
      </c>
      <c r="L2406" s="11">
        <v>46192</v>
      </c>
      <c r="M2406" s="22">
        <f>MAX(1,NETWORKDAYS(A2406,L2406,Table2[Dias no laborales]))</f>
        <v>1</v>
      </c>
    </row>
    <row r="2407" spans="1:13" hidden="1" x14ac:dyDescent="0.3">
      <c r="A2407" s="11">
        <v>46192</v>
      </c>
      <c r="B2407" s="20" t="s">
        <v>4804</v>
      </c>
      <c r="C2407" s="7" t="s">
        <v>4690</v>
      </c>
      <c r="D2407" s="7" t="s">
        <v>85</v>
      </c>
      <c r="E2407" s="18">
        <v>46192.34652777778</v>
      </c>
      <c r="F2407" s="11">
        <f>IF(HOUR(Table1[[#This Row],[CORREO]])&gt;=11,WORKDAY(Table1[[#This Row],[CORREO]],1,Table2[Dias no laborales]),E2407)</f>
        <v>46192.34652777778</v>
      </c>
      <c r="G2407" s="11">
        <v>46192</v>
      </c>
      <c r="H2407" s="7">
        <f t="shared" si="131"/>
        <v>25</v>
      </c>
      <c r="I2407" s="7">
        <f>MAX(1, NETWORKDAYS(A2407, G2407,Table2[Dias no laborales]))</f>
        <v>1</v>
      </c>
      <c r="J2407" s="7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7" t="str">
        <f t="shared" si="132"/>
        <v>A tiempo</v>
      </c>
      <c r="L2407" s="11">
        <v>46192</v>
      </c>
      <c r="M2407" s="22">
        <f>MAX(1,NETWORKDAYS(A2407,L2407,Table2[Dias no laborales]))</f>
        <v>1</v>
      </c>
    </row>
    <row r="2408" spans="1:13" hidden="1" x14ac:dyDescent="0.3">
      <c r="A2408" s="11">
        <v>46192</v>
      </c>
      <c r="B2408" s="20" t="s">
        <v>4805</v>
      </c>
      <c r="C2408" s="7" t="s">
        <v>4830</v>
      </c>
      <c r="D2408" s="7" t="s">
        <v>571</v>
      </c>
      <c r="E2408" s="18">
        <v>46192.361111111109</v>
      </c>
      <c r="F2408" s="11">
        <f>IF(HOUR(Table1[[#This Row],[CORREO]])&gt;=11,WORKDAY(Table1[[#This Row],[CORREO]],1,Table2[Dias no laborales]),E2408)</f>
        <v>46192.361111111109</v>
      </c>
      <c r="G2408" s="11">
        <v>46196</v>
      </c>
      <c r="H2408" s="7">
        <f t="shared" si="131"/>
        <v>25</v>
      </c>
      <c r="I2408" s="7">
        <f>MAX(1, NETWORKDAYS(A2408, G2408,Table2[Dias no laborales]))</f>
        <v>3</v>
      </c>
      <c r="J2408" s="7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7" t="str">
        <f t="shared" si="132"/>
        <v>A tiempo</v>
      </c>
      <c r="L2408" s="11">
        <v>46192</v>
      </c>
      <c r="M2408" s="22">
        <f>MAX(1,NETWORKDAYS(A2408,L2408,Table2[Dias no laborales]))</f>
        <v>1</v>
      </c>
    </row>
    <row r="2409" spans="1:13" hidden="1" x14ac:dyDescent="0.3">
      <c r="A2409" s="11">
        <v>46192</v>
      </c>
      <c r="B2409" s="20" t="s">
        <v>4806</v>
      </c>
      <c r="C2409" s="7" t="s">
        <v>4831</v>
      </c>
      <c r="D2409" s="7" t="s">
        <v>1333</v>
      </c>
      <c r="E2409" s="18"/>
      <c r="F2409" s="11">
        <f>IF(HOUR(Table1[[#This Row],[CORREO]])&gt;=11,WORKDAY(Table1[[#This Row],[CORREO]],1,Table2[Dias no laborales]),E2409)</f>
        <v>0</v>
      </c>
      <c r="G2409" s="11">
        <v>46192</v>
      </c>
      <c r="H2409" s="7">
        <f t="shared" si="131"/>
        <v>25</v>
      </c>
      <c r="I2409" s="7">
        <f>MAX(1, NETWORKDAYS(A2409, G2409,Table2[Dias no laborales]))</f>
        <v>1</v>
      </c>
      <c r="J2409" s="7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7" t="str">
        <f t="shared" si="132"/>
        <v>Programados</v>
      </c>
      <c r="L2409" s="11">
        <v>46192</v>
      </c>
      <c r="M2409" s="22">
        <f>MAX(1,NETWORKDAYS(A2409,L2409,Table2[Dias no laborales]))</f>
        <v>1</v>
      </c>
    </row>
    <row r="2410" spans="1:13" hidden="1" x14ac:dyDescent="0.3">
      <c r="A2410" s="11">
        <v>46192</v>
      </c>
      <c r="B2410" s="20" t="s">
        <v>4807</v>
      </c>
      <c r="C2410" s="7" t="s">
        <v>196</v>
      </c>
      <c r="D2410" s="7" t="s">
        <v>27</v>
      </c>
      <c r="E2410" s="18"/>
      <c r="F2410" s="11">
        <f>IF(HOUR(Table1[[#This Row],[CORREO]])&gt;=11,WORKDAY(Table1[[#This Row],[CORREO]],1,Table2[Dias no laborales]),E2410)</f>
        <v>0</v>
      </c>
      <c r="G2410" s="11">
        <v>46195</v>
      </c>
      <c r="H2410" s="7">
        <f t="shared" si="131"/>
        <v>25</v>
      </c>
      <c r="I2410" s="7">
        <f>MAX(1, NETWORKDAYS(A2410, G2410,Table2[Dias no laborales]))</f>
        <v>2</v>
      </c>
      <c r="J2410" s="7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7" t="str">
        <f t="shared" si="132"/>
        <v>Programados</v>
      </c>
      <c r="L2410" s="11">
        <v>46192</v>
      </c>
      <c r="M2410" s="22">
        <f>MAX(1,NETWORKDAYS(A2410,L2410,Table2[Dias no laborales]))</f>
        <v>1</v>
      </c>
    </row>
    <row r="2411" spans="1:13" hidden="1" x14ac:dyDescent="0.3">
      <c r="A2411" s="11">
        <v>46192</v>
      </c>
      <c r="B2411" s="20" t="s">
        <v>4808</v>
      </c>
      <c r="C2411" s="7" t="s">
        <v>188</v>
      </c>
      <c r="D2411" s="7" t="s">
        <v>27</v>
      </c>
      <c r="E2411" s="18"/>
      <c r="F2411" s="11">
        <f>IF(HOUR(Table1[[#This Row],[CORREO]])&gt;=11,WORKDAY(Table1[[#This Row],[CORREO]],1,Table2[Dias no laborales]),E2411)</f>
        <v>0</v>
      </c>
      <c r="G2411" s="11">
        <v>46195</v>
      </c>
      <c r="H2411" s="7">
        <f t="shared" si="131"/>
        <v>25</v>
      </c>
      <c r="I2411" s="7">
        <f>MAX(1, NETWORKDAYS(A2411, G2411,Table2[Dias no laborales]))</f>
        <v>2</v>
      </c>
      <c r="J2411" s="7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7" t="str">
        <f t="shared" si="132"/>
        <v>Programados</v>
      </c>
      <c r="L2411" s="11">
        <v>46192</v>
      </c>
      <c r="M2411" s="22">
        <f>MAX(1,NETWORKDAYS(A2411,L2411,Table2[Dias no laborales]))</f>
        <v>1</v>
      </c>
    </row>
    <row r="2412" spans="1:13" hidden="1" x14ac:dyDescent="0.3">
      <c r="A2412" s="11">
        <v>46192</v>
      </c>
      <c r="B2412" s="20" t="s">
        <v>4809</v>
      </c>
      <c r="C2412" s="7" t="s">
        <v>4832</v>
      </c>
      <c r="D2412" s="7" t="s">
        <v>392</v>
      </c>
      <c r="E2412" s="18">
        <v>46192.39166666667</v>
      </c>
      <c r="F2412" s="11">
        <f>IF(HOUR(Table1[[#This Row],[CORREO]])&gt;=11,WORKDAY(Table1[[#This Row],[CORREO]],1,Table2[Dias no laborales]),E2412)</f>
        <v>46192.39166666667</v>
      </c>
      <c r="G2412" s="11">
        <v>46197</v>
      </c>
      <c r="H2412" s="7">
        <f t="shared" si="131"/>
        <v>25</v>
      </c>
      <c r="I2412" s="7">
        <f>MAX(1, NETWORKDAYS(A2412, G2412,Table2[Dias no laborales]))</f>
        <v>4</v>
      </c>
      <c r="J2412" s="7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7" t="str">
        <f t="shared" si="132"/>
        <v>A tiempo</v>
      </c>
      <c r="L2412" s="11">
        <v>46192</v>
      </c>
      <c r="M2412" s="22">
        <f>MAX(1,NETWORKDAYS(A2412,L2412,Table2[Dias no laborales]))</f>
        <v>1</v>
      </c>
    </row>
    <row r="2413" spans="1:13" hidden="1" x14ac:dyDescent="0.3">
      <c r="A2413" s="11">
        <v>46192</v>
      </c>
      <c r="B2413" s="20" t="s">
        <v>4810</v>
      </c>
      <c r="C2413" s="7" t="s">
        <v>4555</v>
      </c>
      <c r="D2413" s="7" t="s">
        <v>392</v>
      </c>
      <c r="E2413" s="18">
        <v>46192.480555555558</v>
      </c>
      <c r="F2413" s="11">
        <f>IF(HOUR(Table1[[#This Row],[CORREO]])&gt;=11,WORKDAY(Table1[[#This Row],[CORREO]],1,Table2[Dias no laborales]),E2413)</f>
        <v>46195</v>
      </c>
      <c r="G2413" s="11">
        <v>46195</v>
      </c>
      <c r="H2413" s="7">
        <f t="shared" si="131"/>
        <v>25</v>
      </c>
      <c r="I2413" s="7">
        <f>MAX(1, NETWORKDAYS(A2413, G2413,Table2[Dias no laborales]))</f>
        <v>2</v>
      </c>
      <c r="J2413" s="7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7" t="str">
        <f t="shared" si="132"/>
        <v>Mismo día</v>
      </c>
      <c r="L2413" s="11">
        <v>46192</v>
      </c>
      <c r="M2413" s="22">
        <f>MAX(1,NETWORKDAYS(A2413,L2413,Table2[Dias no laborales]))</f>
        <v>1</v>
      </c>
    </row>
    <row r="2414" spans="1:13" hidden="1" x14ac:dyDescent="0.3">
      <c r="A2414" s="11">
        <v>46195</v>
      </c>
      <c r="B2414" s="20" t="s">
        <v>4811</v>
      </c>
      <c r="C2414" s="7" t="s">
        <v>4863</v>
      </c>
      <c r="D2414" s="7" t="s">
        <v>24</v>
      </c>
      <c r="E2414" s="18"/>
      <c r="F2414" s="11">
        <f>IF(HOUR(Table1[[#This Row],[CORREO]])&gt;=11,WORKDAY(Table1[[#This Row],[CORREO]],1,Table2[Dias no laborales]),E2414)</f>
        <v>0</v>
      </c>
      <c r="G2414" s="11">
        <v>46199</v>
      </c>
      <c r="H2414" s="7">
        <f t="shared" si="131"/>
        <v>25</v>
      </c>
      <c r="I2414" s="7">
        <f>MAX(1, NETWORKDAYS(A2414, G2414,Table2[Dias no laborales]))</f>
        <v>5</v>
      </c>
      <c r="J2414" s="7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7" t="str">
        <f t="shared" si="132"/>
        <v>Programados</v>
      </c>
      <c r="L2414" s="11">
        <v>46195</v>
      </c>
      <c r="M2414" s="22">
        <f>MAX(1,NETWORKDAYS(A2414,L2414,Table2[Dias no laborales]))</f>
        <v>1</v>
      </c>
    </row>
    <row r="2415" spans="1:13" x14ac:dyDescent="0.3">
      <c r="A2415" s="11">
        <v>46195</v>
      </c>
      <c r="B2415" s="20" t="s">
        <v>4812</v>
      </c>
      <c r="C2415" s="7" t="s">
        <v>4864</v>
      </c>
      <c r="D2415" s="7" t="s">
        <v>4865</v>
      </c>
      <c r="E2415" s="18">
        <v>46192.473611111112</v>
      </c>
      <c r="F2415" s="11">
        <f>IF(HOUR(Table1[[#This Row],[CORREO]])&gt;=11,WORKDAY(Table1[[#This Row],[CORREO]],1,Table2[Dias no laborales]),E2415)</f>
        <v>46195</v>
      </c>
      <c r="G2415" s="11"/>
      <c r="H2415" s="7">
        <f t="shared" si="131"/>
        <v>25</v>
      </c>
      <c r="I2415" s="7">
        <f>MAX(1, NETWORKDAYS(A2415, G2415,Table2[Dias no laborales]))</f>
        <v>1</v>
      </c>
      <c r="J2415" s="7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7" t="str">
        <f t="shared" si="132"/>
        <v>A tiempo</v>
      </c>
      <c r="L2415" s="11">
        <v>46195</v>
      </c>
      <c r="M2415" s="22">
        <f>MAX(1,NETWORKDAYS(A2415,L2415,Table2[Dias no laborales]))</f>
        <v>1</v>
      </c>
    </row>
    <row r="2416" spans="1:13" hidden="1" x14ac:dyDescent="0.3">
      <c r="A2416" s="11">
        <v>46195</v>
      </c>
      <c r="B2416" s="20" t="s">
        <v>4813</v>
      </c>
      <c r="C2416" s="7" t="s">
        <v>4700</v>
      </c>
      <c r="D2416" s="7" t="s">
        <v>4866</v>
      </c>
      <c r="E2416" s="18">
        <v>46192.495833333334</v>
      </c>
      <c r="F2416" s="11">
        <f>IF(HOUR(Table1[[#This Row],[CORREO]])&gt;=11,WORKDAY(Table1[[#This Row],[CORREO]],1,Table2[Dias no laborales]),E2416)</f>
        <v>46195</v>
      </c>
      <c r="G2416" s="11">
        <v>46204</v>
      </c>
      <c r="H2416" s="7">
        <f t="shared" si="131"/>
        <v>25</v>
      </c>
      <c r="I2416" s="7">
        <f>MAX(1, NETWORKDAYS(A2416, G2416,Table2[Dias no laborales]))</f>
        <v>8</v>
      </c>
      <c r="J2416" s="7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7" t="str">
        <f t="shared" si="132"/>
        <v>A tiempo</v>
      </c>
      <c r="L2416" s="11">
        <v>46195</v>
      </c>
      <c r="M2416" s="22">
        <f>MAX(1,NETWORKDAYS(A2416,L2416,Table2[Dias no laborales]))</f>
        <v>1</v>
      </c>
    </row>
    <row r="2417" spans="1:13" hidden="1" x14ac:dyDescent="0.3">
      <c r="A2417" s="11">
        <v>46195</v>
      </c>
      <c r="B2417" s="20" t="s">
        <v>4814</v>
      </c>
      <c r="C2417" s="7" t="s">
        <v>4700</v>
      </c>
      <c r="D2417" s="7" t="s">
        <v>4867</v>
      </c>
      <c r="E2417" s="18">
        <v>46192.495833333334</v>
      </c>
      <c r="F2417" s="11">
        <f>IF(HOUR(Table1[[#This Row],[CORREO]])&gt;=11,WORKDAY(Table1[[#This Row],[CORREO]],1,Table2[Dias no laborales]),E2417)</f>
        <v>46195</v>
      </c>
      <c r="G2417" s="11">
        <v>46209</v>
      </c>
      <c r="H2417" s="7">
        <f t="shared" si="131"/>
        <v>25</v>
      </c>
      <c r="I2417" s="7">
        <f>MAX(1, NETWORKDAYS(A2417, G2417,Table2[Dias no laborales]))</f>
        <v>11</v>
      </c>
      <c r="J2417" s="7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7" t="str">
        <f t="shared" si="132"/>
        <v>A tiempo</v>
      </c>
      <c r="L2417" s="11">
        <v>46195</v>
      </c>
      <c r="M2417" s="22">
        <f>MAX(1,NETWORKDAYS(A2417,L2417,Table2[Dias no laborales]))</f>
        <v>1</v>
      </c>
    </row>
    <row r="2418" spans="1:13" x14ac:dyDescent="0.3">
      <c r="A2418" s="11">
        <v>46195</v>
      </c>
      <c r="B2418" s="20" t="s">
        <v>4815</v>
      </c>
      <c r="C2418" s="7" t="s">
        <v>4700</v>
      </c>
      <c r="D2418" s="7" t="s">
        <v>4868</v>
      </c>
      <c r="E2418" s="18">
        <v>46192.495833333334</v>
      </c>
      <c r="F2418" s="11">
        <f>IF(HOUR(Table1[[#This Row],[CORREO]])&gt;=11,WORKDAY(Table1[[#This Row],[CORREO]],1,Table2[Dias no laborales]),E2418)</f>
        <v>46195</v>
      </c>
      <c r="G2418" s="11"/>
      <c r="H2418" s="7">
        <f t="shared" si="131"/>
        <v>25</v>
      </c>
      <c r="I2418" s="7">
        <f>MAX(1, NETWORKDAYS(A2418, G2418,Table2[Dias no laborales]))</f>
        <v>1</v>
      </c>
      <c r="J2418" s="7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7" t="str">
        <f t="shared" si="132"/>
        <v>A tiempo</v>
      </c>
      <c r="L2418" s="11">
        <v>46195</v>
      </c>
      <c r="M2418" s="22">
        <f>MAX(1,NETWORKDAYS(A2418,L2418,Table2[Dias no laborales]))</f>
        <v>1</v>
      </c>
    </row>
    <row r="2419" spans="1:13" hidden="1" x14ac:dyDescent="0.3">
      <c r="A2419" s="11">
        <v>46195</v>
      </c>
      <c r="B2419" s="20" t="s">
        <v>4816</v>
      </c>
      <c r="C2419" s="7" t="s">
        <v>4555</v>
      </c>
      <c r="D2419" s="7" t="s">
        <v>392</v>
      </c>
      <c r="E2419" s="18">
        <v>46195.336111111108</v>
      </c>
      <c r="F2419" s="11">
        <f>IF(HOUR(Table1[[#This Row],[CORREO]])&gt;=11,WORKDAY(Table1[[#This Row],[CORREO]],1,Table2[Dias no laborales]),E2419)</f>
        <v>46195.336111111108</v>
      </c>
      <c r="G2419" s="11">
        <v>46195</v>
      </c>
      <c r="H2419" s="7">
        <f t="shared" si="131"/>
        <v>25</v>
      </c>
      <c r="I2419" s="7">
        <f>MAX(1, NETWORKDAYS(A2419, G2419,Table2[Dias no laborales]))</f>
        <v>1</v>
      </c>
      <c r="J2419" s="7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7" t="str">
        <f t="shared" si="132"/>
        <v>A tiempo</v>
      </c>
      <c r="L2419" s="11">
        <v>46195</v>
      </c>
      <c r="M2419" s="22">
        <f>MAX(1,NETWORKDAYS(A2419,L2419,Table2[Dias no laborales]))</f>
        <v>1</v>
      </c>
    </row>
    <row r="2420" spans="1:13" hidden="1" x14ac:dyDescent="0.3">
      <c r="A2420" s="11">
        <v>46195</v>
      </c>
      <c r="B2420" s="20" t="s">
        <v>4817</v>
      </c>
      <c r="C2420" s="7" t="s">
        <v>4869</v>
      </c>
      <c r="D2420" s="7" t="s">
        <v>4870</v>
      </c>
      <c r="E2420" s="18">
        <v>46195.413888888892</v>
      </c>
      <c r="F2420" s="11">
        <f>IF(HOUR(Table1[[#This Row],[CORREO]])&gt;=11,WORKDAY(Table1[[#This Row],[CORREO]],1,Table2[Dias no laborales]),E2420)</f>
        <v>46195.413888888892</v>
      </c>
      <c r="G2420" s="11">
        <v>46197</v>
      </c>
      <c r="H2420" s="7">
        <f t="shared" si="131"/>
        <v>25</v>
      </c>
      <c r="I2420" s="7">
        <f>MAX(1, NETWORKDAYS(A2420, G2420,Table2[Dias no laborales]))</f>
        <v>3</v>
      </c>
      <c r="J2420" s="7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7" t="str">
        <f t="shared" si="132"/>
        <v>A tiempo</v>
      </c>
      <c r="L2420" s="11">
        <v>46195</v>
      </c>
      <c r="M2420" s="22">
        <f>MAX(1,NETWORKDAYS(A2420,L2420,Table2[Dias no laborales]))</f>
        <v>1</v>
      </c>
    </row>
    <row r="2421" spans="1:13" hidden="1" x14ac:dyDescent="0.3">
      <c r="A2421" s="11">
        <v>46195</v>
      </c>
      <c r="B2421" s="20" t="s">
        <v>4818</v>
      </c>
      <c r="C2421" s="7" t="s">
        <v>4871</v>
      </c>
      <c r="D2421" s="7" t="s">
        <v>4871</v>
      </c>
      <c r="E2421" s="18">
        <v>46195.448611111111</v>
      </c>
      <c r="F2421" s="11">
        <f>IF(HOUR(Table1[[#This Row],[CORREO]])&gt;=11,WORKDAY(Table1[[#This Row],[CORREO]],1,Table2[Dias no laborales]),E2421)</f>
        <v>46195.448611111111</v>
      </c>
      <c r="G2421" s="11">
        <v>46195</v>
      </c>
      <c r="H2421" s="7">
        <f t="shared" si="131"/>
        <v>25</v>
      </c>
      <c r="I2421" s="7">
        <f>MAX(1, NETWORKDAYS(A2421, G2421,Table2[Dias no laborales]))</f>
        <v>1</v>
      </c>
      <c r="J2421" s="7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7" t="str">
        <f t="shared" si="132"/>
        <v>A tiempo</v>
      </c>
      <c r="L2421" s="11">
        <v>46195</v>
      </c>
      <c r="M2421" s="22">
        <f>MAX(1,NETWORKDAYS(A2421,L2421,Table2[Dias no laborales]))</f>
        <v>1</v>
      </c>
    </row>
    <row r="2422" spans="1:13" hidden="1" x14ac:dyDescent="0.3">
      <c r="A2422" s="11">
        <v>46195</v>
      </c>
      <c r="B2422" s="20" t="s">
        <v>4819</v>
      </c>
      <c r="C2422" s="7" t="s">
        <v>4872</v>
      </c>
      <c r="D2422" s="7" t="s">
        <v>3020</v>
      </c>
      <c r="E2422" s="18">
        <v>46195.668055555558</v>
      </c>
      <c r="F2422" s="11">
        <f>IF(HOUR(Table1[[#This Row],[CORREO]])&gt;=11,WORKDAY(Table1[[#This Row],[CORREO]],1,Table2[Dias no laborales]),E2422)</f>
        <v>46196</v>
      </c>
      <c r="G2422" s="11">
        <v>46198</v>
      </c>
      <c r="H2422" s="7">
        <f t="shared" si="131"/>
        <v>25</v>
      </c>
      <c r="I2422" s="7">
        <f>MAX(1, NETWORKDAYS(A2422, G2422,Table2[Dias no laborales]))</f>
        <v>4</v>
      </c>
      <c r="J2422" s="7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7" t="str">
        <f t="shared" si="132"/>
        <v>Mismo día</v>
      </c>
      <c r="L2422" s="11">
        <v>46195</v>
      </c>
      <c r="M2422" s="22">
        <f>MAX(1,NETWORKDAYS(A2422,L2422,Table2[Dias no laborales]))</f>
        <v>1</v>
      </c>
    </row>
    <row r="2423" spans="1:13" hidden="1" x14ac:dyDescent="0.3">
      <c r="A2423" s="11">
        <v>46195</v>
      </c>
      <c r="B2423" s="20" t="s">
        <v>4833</v>
      </c>
      <c r="C2423" s="7" t="s">
        <v>4873</v>
      </c>
      <c r="D2423" s="7" t="s">
        <v>24</v>
      </c>
      <c r="E2423" s="18"/>
      <c r="F2423" s="11">
        <f>IF(HOUR(Table1[[#This Row],[CORREO]])&gt;=11,WORKDAY(Table1[[#This Row],[CORREO]],1,Table2[Dias no laborales]),E2423)</f>
        <v>0</v>
      </c>
      <c r="G2423" s="11">
        <v>46204</v>
      </c>
      <c r="H2423" s="7">
        <f t="shared" ref="H2423:H2452" si="133">INT((A2423-DATE(YEAR(A2423),1,1))/7) + 1</f>
        <v>25</v>
      </c>
      <c r="I2423" s="7">
        <f>MAX(1, NETWORKDAYS(A2423, G2423,Table2[Dias no laborales]))</f>
        <v>8</v>
      </c>
      <c r="J2423" s="7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7" t="str">
        <f t="shared" ref="K2423:K2452" si="134">IF(INT(A2423)=INT(F2423),"A tiempo", IF(A2423&lt;F2423,"Mismo día","Programados"))</f>
        <v>Programados</v>
      </c>
      <c r="L2423" s="11">
        <v>46195</v>
      </c>
      <c r="M2423" s="22">
        <f>MAX(1,NETWORKDAYS(A2423,L2423,Table2[Dias no laborales]))</f>
        <v>1</v>
      </c>
    </row>
    <row r="2424" spans="1:13" hidden="1" x14ac:dyDescent="0.3">
      <c r="A2424" s="11">
        <v>46195</v>
      </c>
      <c r="B2424" s="20" t="s">
        <v>4834</v>
      </c>
      <c r="C2424" s="7" t="s">
        <v>4874</v>
      </c>
      <c r="D2424" s="7" t="s">
        <v>133</v>
      </c>
      <c r="E2424" s="18"/>
      <c r="F2424" s="11">
        <f>IF(HOUR(Table1[[#This Row],[CORREO]])&gt;=11,WORKDAY(Table1[[#This Row],[CORREO]],1,Table2[Dias no laborales]),E2424)</f>
        <v>0</v>
      </c>
      <c r="G2424" s="11">
        <v>46197</v>
      </c>
      <c r="H2424" s="7">
        <f t="shared" si="133"/>
        <v>25</v>
      </c>
      <c r="I2424" s="7">
        <f>MAX(1, NETWORKDAYS(A2424, G2424,Table2[Dias no laborales]))</f>
        <v>3</v>
      </c>
      <c r="J2424" s="7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7" t="str">
        <f t="shared" si="134"/>
        <v>Programados</v>
      </c>
      <c r="L2424" s="11">
        <v>46195</v>
      </c>
      <c r="M2424" s="22">
        <f>MAX(1,NETWORKDAYS(A2424,L2424,Table2[Dias no laborales]))</f>
        <v>1</v>
      </c>
    </row>
    <row r="2425" spans="1:13" hidden="1" x14ac:dyDescent="0.3">
      <c r="A2425" s="11">
        <v>46196</v>
      </c>
      <c r="B2425" s="20" t="s">
        <v>4835</v>
      </c>
      <c r="C2425" s="7" t="s">
        <v>4875</v>
      </c>
      <c r="D2425" s="7" t="s">
        <v>3041</v>
      </c>
      <c r="E2425" s="18"/>
      <c r="F2425" s="11">
        <f>IF(HOUR(Table1[[#This Row],[CORREO]])&gt;=11,WORKDAY(Table1[[#This Row],[CORREO]],1,Table2[Dias no laborales]),E2425)</f>
        <v>0</v>
      </c>
      <c r="G2425" s="11">
        <v>46196</v>
      </c>
      <c r="H2425" s="7">
        <f t="shared" si="133"/>
        <v>25</v>
      </c>
      <c r="I2425" s="7">
        <f>MAX(1, NETWORKDAYS(A2425, G2425,Table2[Dias no laborales]))</f>
        <v>1</v>
      </c>
      <c r="J2425" s="7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7" t="str">
        <f t="shared" si="134"/>
        <v>Programados</v>
      </c>
      <c r="L2425" s="11">
        <v>46196</v>
      </c>
      <c r="M2425" s="22">
        <f>MAX(1,NETWORKDAYS(A2425,L2425,Table2[Dias no laborales]))</f>
        <v>1</v>
      </c>
    </row>
    <row r="2426" spans="1:13" x14ac:dyDescent="0.3">
      <c r="A2426" s="11">
        <v>46196</v>
      </c>
      <c r="B2426" s="20" t="s">
        <v>4836</v>
      </c>
      <c r="C2426" s="7" t="s">
        <v>4876</v>
      </c>
      <c r="D2426" s="7" t="s">
        <v>351</v>
      </c>
      <c r="E2426" s="18"/>
      <c r="F2426" s="11">
        <f>IF(HOUR(Table1[[#This Row],[CORREO]])&gt;=11,WORKDAY(Table1[[#This Row],[CORREO]],1,Table2[Dias no laborales]),E2426)</f>
        <v>0</v>
      </c>
      <c r="G2426" s="11"/>
      <c r="H2426" s="7">
        <f t="shared" si="133"/>
        <v>25</v>
      </c>
      <c r="I2426" s="7">
        <f>MAX(1, NETWORKDAYS(A2426, G2426,Table2[Dias no laborales]))</f>
        <v>1</v>
      </c>
      <c r="J2426" s="7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7" t="str">
        <f t="shared" si="134"/>
        <v>Programados</v>
      </c>
      <c r="L2426" s="11">
        <v>46196</v>
      </c>
      <c r="M2426" s="22">
        <f>MAX(1,NETWORKDAYS(A2426,L2426,Table2[Dias no laborales]))</f>
        <v>1</v>
      </c>
    </row>
    <row r="2427" spans="1:13" hidden="1" x14ac:dyDescent="0.3">
      <c r="A2427" s="11">
        <v>46196</v>
      </c>
      <c r="B2427" s="20" t="s">
        <v>4837</v>
      </c>
      <c r="C2427" s="7" t="s">
        <v>4555</v>
      </c>
      <c r="D2427" s="7" t="s">
        <v>392</v>
      </c>
      <c r="E2427" s="18"/>
      <c r="F2427" s="11">
        <f>IF(HOUR(Table1[[#This Row],[CORREO]])&gt;=11,WORKDAY(Table1[[#This Row],[CORREO]],1,Table2[Dias no laborales]),E2427)</f>
        <v>0</v>
      </c>
      <c r="G2427" s="11">
        <v>46196</v>
      </c>
      <c r="H2427" s="7">
        <f t="shared" si="133"/>
        <v>25</v>
      </c>
      <c r="I2427" s="7">
        <f>MAX(1, NETWORKDAYS(A2427, G2427,Table2[Dias no laborales]))</f>
        <v>1</v>
      </c>
      <c r="J2427" s="7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7" t="str">
        <f t="shared" si="134"/>
        <v>Programados</v>
      </c>
      <c r="L2427" s="11">
        <v>46196</v>
      </c>
      <c r="M2427" s="22">
        <f>MAX(1,NETWORKDAYS(A2427,L2427,Table2[Dias no laborales]))</f>
        <v>1</v>
      </c>
    </row>
    <row r="2428" spans="1:13" hidden="1" x14ac:dyDescent="0.3">
      <c r="A2428" s="11">
        <v>46196</v>
      </c>
      <c r="B2428" s="20" t="s">
        <v>4838</v>
      </c>
      <c r="C2428" s="7" t="s">
        <v>4877</v>
      </c>
      <c r="D2428" s="7" t="s">
        <v>139</v>
      </c>
      <c r="E2428" s="18">
        <v>46196.353472222225</v>
      </c>
      <c r="F2428" s="11">
        <f>IF(HOUR(Table1[[#This Row],[CORREO]])&gt;=11,WORKDAY(Table1[[#This Row],[CORREO]],1,Table2[Dias no laborales]),E2428)</f>
        <v>46196.353472222225</v>
      </c>
      <c r="G2428" s="11">
        <v>46203</v>
      </c>
      <c r="H2428" s="7">
        <f t="shared" si="133"/>
        <v>25</v>
      </c>
      <c r="I2428" s="7">
        <f>MAX(1, NETWORKDAYS(A2428, G2428,Table2[Dias no laborales]))</f>
        <v>6</v>
      </c>
      <c r="J2428" s="7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7" t="str">
        <f t="shared" si="134"/>
        <v>A tiempo</v>
      </c>
      <c r="L2428" s="11">
        <v>46196</v>
      </c>
      <c r="M2428" s="22">
        <f>MAX(1,NETWORKDAYS(A2428,L2428,Table2[Dias no laborales]))</f>
        <v>1</v>
      </c>
    </row>
    <row r="2429" spans="1:13" hidden="1" x14ac:dyDescent="0.3">
      <c r="A2429" s="11">
        <v>46196</v>
      </c>
      <c r="B2429" s="20" t="s">
        <v>4839</v>
      </c>
      <c r="C2429" s="7" t="s">
        <v>4878</v>
      </c>
      <c r="D2429" s="7" t="s">
        <v>754</v>
      </c>
      <c r="E2429" s="18">
        <v>46196.35833333333</v>
      </c>
      <c r="F2429" s="11">
        <f>IF(HOUR(Table1[[#This Row],[CORREO]])&gt;=11,WORKDAY(Table1[[#This Row],[CORREO]],1,Table2[Dias no laborales]),E2429)</f>
        <v>46196.35833333333</v>
      </c>
      <c r="G2429" s="11">
        <v>46196</v>
      </c>
      <c r="H2429" s="7">
        <f t="shared" si="133"/>
        <v>25</v>
      </c>
      <c r="I2429" s="7">
        <f>MAX(1, NETWORKDAYS(A2429, G2429,Table2[Dias no laborales]))</f>
        <v>1</v>
      </c>
      <c r="J2429" s="7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7" t="str">
        <f t="shared" si="134"/>
        <v>A tiempo</v>
      </c>
      <c r="L2429" s="11">
        <v>46196</v>
      </c>
      <c r="M2429" s="22">
        <f>MAX(1,NETWORKDAYS(A2429,L2429,Table2[Dias no laborales]))</f>
        <v>1</v>
      </c>
    </row>
    <row r="2430" spans="1:13" hidden="1" x14ac:dyDescent="0.3">
      <c r="A2430" s="11">
        <v>46196</v>
      </c>
      <c r="B2430" s="20" t="s">
        <v>4840</v>
      </c>
      <c r="C2430" s="7" t="s">
        <v>4790</v>
      </c>
      <c r="D2430" s="7" t="s">
        <v>27</v>
      </c>
      <c r="E2430" s="18"/>
      <c r="F2430" s="11">
        <f>IF(HOUR(Table1[[#This Row],[CORREO]])&gt;=11,WORKDAY(Table1[[#This Row],[CORREO]],1,Table2[Dias no laborales]),E2430)</f>
        <v>0</v>
      </c>
      <c r="G2430" s="11">
        <v>46196</v>
      </c>
      <c r="H2430" s="7">
        <f t="shared" si="133"/>
        <v>25</v>
      </c>
      <c r="I2430" s="7">
        <f>MAX(1, NETWORKDAYS(A2430, G2430,Table2[Dias no laborales]))</f>
        <v>1</v>
      </c>
      <c r="J2430" s="7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7" t="str">
        <f t="shared" si="134"/>
        <v>Programados</v>
      </c>
      <c r="L2430" s="11">
        <v>46196</v>
      </c>
      <c r="M2430" s="22">
        <f>MAX(1,NETWORKDAYS(A2430,L2430,Table2[Dias no laborales]))</f>
        <v>1</v>
      </c>
    </row>
    <row r="2431" spans="1:13" hidden="1" x14ac:dyDescent="0.3">
      <c r="A2431" s="11">
        <v>46196</v>
      </c>
      <c r="B2431" s="20" t="s">
        <v>4841</v>
      </c>
      <c r="C2431" s="7" t="s">
        <v>4879</v>
      </c>
      <c r="D2431" s="7" t="s">
        <v>24</v>
      </c>
      <c r="E2431" s="18">
        <v>46196.461111111108</v>
      </c>
      <c r="F2431" s="11">
        <f>IF(HOUR(Table1[[#This Row],[CORREO]])&gt;=11,WORKDAY(Table1[[#This Row],[CORREO]],1,Table2[Dias no laborales]),E2431)</f>
        <v>46197</v>
      </c>
      <c r="G2431" s="11">
        <v>46197</v>
      </c>
      <c r="H2431" s="7">
        <f t="shared" si="133"/>
        <v>25</v>
      </c>
      <c r="I2431" s="7">
        <f>MAX(1, NETWORKDAYS(A2431, G2431,Table2[Dias no laborales]))</f>
        <v>2</v>
      </c>
      <c r="J2431" s="7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7" t="str">
        <f t="shared" si="134"/>
        <v>Mismo día</v>
      </c>
      <c r="L2431" s="11">
        <v>46196</v>
      </c>
      <c r="M2431" s="22">
        <f>MAX(1,NETWORKDAYS(A2431,L2431,Table2[Dias no laborales]))</f>
        <v>1</v>
      </c>
    </row>
    <row r="2432" spans="1:13" hidden="1" x14ac:dyDescent="0.3">
      <c r="A2432" s="11">
        <v>46196</v>
      </c>
      <c r="B2432" s="20" t="s">
        <v>4842</v>
      </c>
      <c r="C2432" s="7" t="s">
        <v>4880</v>
      </c>
      <c r="D2432" s="7" t="s">
        <v>1333</v>
      </c>
      <c r="E2432" s="18">
        <v>46196.566666666666</v>
      </c>
      <c r="F2432" s="11">
        <f>IF(HOUR(Table1[[#This Row],[CORREO]])&gt;=11,WORKDAY(Table1[[#This Row],[CORREO]],1,Table2[Dias no laborales]),E2432)</f>
        <v>46197</v>
      </c>
      <c r="G2432" s="11">
        <v>46196</v>
      </c>
      <c r="H2432" s="7">
        <f t="shared" si="133"/>
        <v>25</v>
      </c>
      <c r="I2432" s="7">
        <f>MAX(1, NETWORKDAYS(A2432, G2432,Table2[Dias no laborales]))</f>
        <v>1</v>
      </c>
      <c r="J2432" s="7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7" t="str">
        <f t="shared" si="134"/>
        <v>Mismo día</v>
      </c>
      <c r="L2432" s="11">
        <v>46196</v>
      </c>
      <c r="M2432" s="22">
        <f>MAX(1,NETWORKDAYS(A2432,L2432,Table2[Dias no laborales]))</f>
        <v>1</v>
      </c>
    </row>
    <row r="2433" spans="1:13" hidden="1" x14ac:dyDescent="0.3">
      <c r="A2433" s="11">
        <v>46197</v>
      </c>
      <c r="B2433" s="20" t="s">
        <v>4843</v>
      </c>
      <c r="C2433" s="7" t="s">
        <v>4881</v>
      </c>
      <c r="D2433" s="7" t="s">
        <v>372</v>
      </c>
      <c r="E2433" s="18">
        <v>46196.595833333333</v>
      </c>
      <c r="F2433" s="11">
        <f>IF(HOUR(Table1[[#This Row],[CORREO]])&gt;=11,WORKDAY(Table1[[#This Row],[CORREO]],1,Table2[Dias no laborales]),E2433)</f>
        <v>46197</v>
      </c>
      <c r="G2433" s="11">
        <v>46198</v>
      </c>
      <c r="H2433" s="7">
        <f t="shared" si="133"/>
        <v>25</v>
      </c>
      <c r="I2433" s="7">
        <f>MAX(1, NETWORKDAYS(A2433, G2433,Table2[Dias no laborales]))</f>
        <v>2</v>
      </c>
      <c r="J2433" s="7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7" t="str">
        <f t="shared" si="134"/>
        <v>A tiempo</v>
      </c>
      <c r="L2433" s="11">
        <v>46196</v>
      </c>
      <c r="M2433" s="22">
        <f>MAX(1,NETWORKDAYS(A2433,L2433,Table2[Dias no laborales]))</f>
        <v>1</v>
      </c>
    </row>
    <row r="2434" spans="1:13" hidden="1" x14ac:dyDescent="0.3">
      <c r="A2434" s="11">
        <v>46197</v>
      </c>
      <c r="B2434" s="20" t="s">
        <v>4844</v>
      </c>
      <c r="C2434" s="7" t="s">
        <v>4882</v>
      </c>
      <c r="D2434" s="7" t="s">
        <v>85</v>
      </c>
      <c r="E2434" s="18">
        <v>46196.738888888889</v>
      </c>
      <c r="F2434" s="11">
        <f>IF(HOUR(Table1[[#This Row],[CORREO]])&gt;=11,WORKDAY(Table1[[#This Row],[CORREO]],1,Table2[Dias no laborales]),E2434)</f>
        <v>46197</v>
      </c>
      <c r="G2434" s="11">
        <v>46197</v>
      </c>
      <c r="H2434" s="7">
        <f t="shared" si="133"/>
        <v>25</v>
      </c>
      <c r="I2434" s="7">
        <f>MAX(1, NETWORKDAYS(A2434, G2434,Table2[Dias no laborales]))</f>
        <v>1</v>
      </c>
      <c r="J2434" s="7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7" t="str">
        <f t="shared" si="134"/>
        <v>A tiempo</v>
      </c>
      <c r="L2434" s="11">
        <v>46197</v>
      </c>
      <c r="M2434" s="22">
        <f>MAX(1,NETWORKDAYS(A2434,L2434,Table2[Dias no laborales]))</f>
        <v>1</v>
      </c>
    </row>
    <row r="2435" spans="1:13" hidden="1" x14ac:dyDescent="0.3">
      <c r="A2435" s="11">
        <v>46197</v>
      </c>
      <c r="B2435" s="20" t="s">
        <v>4845</v>
      </c>
      <c r="C2435" s="7" t="s">
        <v>4690</v>
      </c>
      <c r="D2435" s="7" t="s">
        <v>269</v>
      </c>
      <c r="E2435" s="18">
        <v>46197.340277777781</v>
      </c>
      <c r="F2435" s="11">
        <f>IF(HOUR(Table1[[#This Row],[CORREO]])&gt;=11,WORKDAY(Table1[[#This Row],[CORREO]],1,Table2[Dias no laborales]),E2435)</f>
        <v>46197.340277777781</v>
      </c>
      <c r="G2435" s="11">
        <v>46197</v>
      </c>
      <c r="H2435" s="7">
        <f t="shared" si="133"/>
        <v>25</v>
      </c>
      <c r="I2435" s="7">
        <f>MAX(1, NETWORKDAYS(A2435, G2435,Table2[Dias no laborales]))</f>
        <v>1</v>
      </c>
      <c r="J2435" s="7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7" t="str">
        <f t="shared" si="134"/>
        <v>A tiempo</v>
      </c>
      <c r="L2435" s="11">
        <v>46197</v>
      </c>
      <c r="M2435" s="22">
        <f>MAX(1,NETWORKDAYS(A2435,L2435,Table2[Dias no laborales]))</f>
        <v>1</v>
      </c>
    </row>
    <row r="2436" spans="1:13" hidden="1" x14ac:dyDescent="0.3">
      <c r="A2436" s="11">
        <v>46197</v>
      </c>
      <c r="B2436" s="20" t="s">
        <v>4846</v>
      </c>
      <c r="C2436" s="7" t="s">
        <v>4932</v>
      </c>
      <c r="D2436" s="7" t="s">
        <v>4933</v>
      </c>
      <c r="E2436" s="18">
        <v>46196.753472222219</v>
      </c>
      <c r="F2436" s="11">
        <f>IF(HOUR(Table1[[#This Row],[CORREO]])&gt;=11,WORKDAY(Table1[[#This Row],[CORREO]],1,Table2[Dias no laborales]),E2436)</f>
        <v>46197</v>
      </c>
      <c r="G2436" s="11">
        <v>46197</v>
      </c>
      <c r="H2436" s="7">
        <f t="shared" si="133"/>
        <v>25</v>
      </c>
      <c r="I2436" s="7">
        <f>MAX(1, NETWORKDAYS(A2436, G2436,Table2[Dias no laborales]))</f>
        <v>1</v>
      </c>
      <c r="J2436" s="7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7" t="str">
        <f t="shared" si="134"/>
        <v>A tiempo</v>
      </c>
      <c r="L2436" s="11">
        <v>46197</v>
      </c>
      <c r="M2436" s="22">
        <f>MAX(1,NETWORKDAYS(A2436,L2436,Table2[Dias no laborales]))</f>
        <v>1</v>
      </c>
    </row>
    <row r="2437" spans="1:13" hidden="1" x14ac:dyDescent="0.3">
      <c r="A2437" s="11">
        <v>46197</v>
      </c>
      <c r="B2437" s="20" t="s">
        <v>4847</v>
      </c>
      <c r="C2437" s="7" t="s">
        <v>4934</v>
      </c>
      <c r="D2437" s="7" t="s">
        <v>477</v>
      </c>
      <c r="E2437" s="18">
        <v>46196.834027777775</v>
      </c>
      <c r="F2437" s="11">
        <f>IF(HOUR(Table1[[#This Row],[CORREO]])&gt;=11,WORKDAY(Table1[[#This Row],[CORREO]],1,Table2[Dias no laborales]),E2437)</f>
        <v>46197</v>
      </c>
      <c r="G2437" s="11">
        <v>46197</v>
      </c>
      <c r="H2437" s="7">
        <f t="shared" si="133"/>
        <v>25</v>
      </c>
      <c r="I2437" s="7">
        <f>MAX(1, NETWORKDAYS(A2437, G2437,Table2[Dias no laborales]))</f>
        <v>1</v>
      </c>
      <c r="J2437" s="7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7" t="str">
        <f t="shared" si="134"/>
        <v>A tiempo</v>
      </c>
      <c r="L2437" s="11">
        <v>46197</v>
      </c>
      <c r="M2437" s="22">
        <f>MAX(1,NETWORKDAYS(A2437,L2437,Table2[Dias no laborales]))</f>
        <v>1</v>
      </c>
    </row>
    <row r="2438" spans="1:13" hidden="1" x14ac:dyDescent="0.3">
      <c r="A2438" s="11">
        <v>46197</v>
      </c>
      <c r="B2438" s="20" t="s">
        <v>4848</v>
      </c>
      <c r="C2438" s="7" t="s">
        <v>4935</v>
      </c>
      <c r="D2438" s="7" t="s">
        <v>191</v>
      </c>
      <c r="E2438" s="18">
        <v>46197.572916666664</v>
      </c>
      <c r="F2438" s="11">
        <f>IF(HOUR(Table1[[#This Row],[CORREO]])&gt;=11,WORKDAY(Table1[[#This Row],[CORREO]],1,Table2[Dias no laborales]),E2438)</f>
        <v>46198</v>
      </c>
      <c r="G2438" s="11">
        <v>46197</v>
      </c>
      <c r="H2438" s="7">
        <f t="shared" si="133"/>
        <v>25</v>
      </c>
      <c r="I2438" s="7">
        <f>MAX(1, NETWORKDAYS(A2438, G2438,Table2[Dias no laborales]))</f>
        <v>1</v>
      </c>
      <c r="J2438" s="7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7" t="str">
        <f t="shared" si="134"/>
        <v>Mismo día</v>
      </c>
      <c r="L2438" s="11">
        <v>46197</v>
      </c>
      <c r="M2438" s="22">
        <f>MAX(1,NETWORKDAYS(A2438,L2438,Table2[Dias no laborales]))</f>
        <v>1</v>
      </c>
    </row>
    <row r="2439" spans="1:13" hidden="1" x14ac:dyDescent="0.3">
      <c r="A2439" s="11">
        <v>46197</v>
      </c>
      <c r="B2439" s="20" t="s">
        <v>4849</v>
      </c>
      <c r="C2439" s="7" t="s">
        <v>4690</v>
      </c>
      <c r="D2439" s="7" t="s">
        <v>877</v>
      </c>
      <c r="E2439" s="18">
        <v>46197.585416666669</v>
      </c>
      <c r="F2439" s="11">
        <f>IF(HOUR(Table1[[#This Row],[CORREO]])&gt;=11,WORKDAY(Table1[[#This Row],[CORREO]],1,Table2[Dias no laborales]),E2439)</f>
        <v>46198</v>
      </c>
      <c r="G2439" s="11">
        <v>46197</v>
      </c>
      <c r="H2439" s="7">
        <f t="shared" si="133"/>
        <v>25</v>
      </c>
      <c r="I2439" s="7">
        <f>MAX(1, NETWORKDAYS(A2439, G2439,Table2[Dias no laborales]))</f>
        <v>1</v>
      </c>
      <c r="J2439" s="7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7" t="str">
        <f t="shared" si="134"/>
        <v>Mismo día</v>
      </c>
      <c r="L2439" s="11">
        <v>46197</v>
      </c>
      <c r="M2439" s="22">
        <f>MAX(1,NETWORKDAYS(A2439,L2439,Table2[Dias no laborales]))</f>
        <v>1</v>
      </c>
    </row>
    <row r="2440" spans="1:13" hidden="1" x14ac:dyDescent="0.3">
      <c r="A2440" s="11">
        <v>46197</v>
      </c>
      <c r="B2440" s="20" t="s">
        <v>4850</v>
      </c>
      <c r="C2440" s="7" t="s">
        <v>4936</v>
      </c>
      <c r="D2440" s="7" t="s">
        <v>593</v>
      </c>
      <c r="E2440" s="18">
        <v>46197.306250000001</v>
      </c>
      <c r="F2440" s="11">
        <f>IF(HOUR(Table1[[#This Row],[CORREO]])&gt;=11,WORKDAY(Table1[[#This Row],[CORREO]],1,Table2[Dias no laborales]),E2440)</f>
        <v>46197.306250000001</v>
      </c>
      <c r="G2440" s="11">
        <v>46197</v>
      </c>
      <c r="H2440" s="7">
        <f t="shared" si="133"/>
        <v>25</v>
      </c>
      <c r="I2440" s="7">
        <f>MAX(1, NETWORKDAYS(A2440, G2440,Table2[Dias no laborales]))</f>
        <v>1</v>
      </c>
      <c r="J2440" s="7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7" t="str">
        <f t="shared" si="134"/>
        <v>A tiempo</v>
      </c>
      <c r="L2440" s="11">
        <v>46197</v>
      </c>
      <c r="M2440" s="22">
        <f>MAX(1,NETWORKDAYS(A2440,L2440,Table2[Dias no laborales]))</f>
        <v>1</v>
      </c>
    </row>
    <row r="2441" spans="1:13" hidden="1" x14ac:dyDescent="0.3">
      <c r="A2441" s="11">
        <v>46197</v>
      </c>
      <c r="B2441" s="20" t="s">
        <v>4851</v>
      </c>
      <c r="C2441" s="7" t="s">
        <v>4937</v>
      </c>
      <c r="D2441" s="7" t="s">
        <v>24</v>
      </c>
      <c r="E2441" s="18">
        <v>46197.374305555553</v>
      </c>
      <c r="F2441" s="11">
        <f>IF(HOUR(Table1[[#This Row],[CORREO]])&gt;=11,WORKDAY(Table1[[#This Row],[CORREO]],1,Table2[Dias no laborales]),E2441)</f>
        <v>46197.374305555553</v>
      </c>
      <c r="G2441" s="11">
        <v>46202</v>
      </c>
      <c r="H2441" s="7">
        <f t="shared" si="133"/>
        <v>25</v>
      </c>
      <c r="I2441" s="7">
        <f>MAX(1, NETWORKDAYS(A2441, G2441,Table2[Dias no laborales]))</f>
        <v>4</v>
      </c>
      <c r="J2441" s="7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7" t="str">
        <f t="shared" si="134"/>
        <v>A tiempo</v>
      </c>
      <c r="L2441" s="11">
        <v>46197</v>
      </c>
      <c r="M2441" s="22">
        <f>MAX(1,NETWORKDAYS(A2441,L2441,Table2[Dias no laborales]))</f>
        <v>1</v>
      </c>
    </row>
    <row r="2442" spans="1:13" hidden="1" x14ac:dyDescent="0.3">
      <c r="A2442" s="11">
        <v>46197</v>
      </c>
      <c r="B2442" s="20" t="s">
        <v>4852</v>
      </c>
      <c r="C2442" s="7" t="s">
        <v>4938</v>
      </c>
      <c r="D2442" s="7" t="s">
        <v>2623</v>
      </c>
      <c r="E2442" s="18">
        <v>46197.386805555558</v>
      </c>
      <c r="F2442" s="11">
        <f>IF(HOUR(Table1[[#This Row],[CORREO]])&gt;=11,WORKDAY(Table1[[#This Row],[CORREO]],1,Table2[Dias no laborales]),E2442)</f>
        <v>46197.386805555558</v>
      </c>
      <c r="G2442" s="11">
        <v>46197</v>
      </c>
      <c r="H2442" s="7">
        <f t="shared" si="133"/>
        <v>25</v>
      </c>
      <c r="I2442" s="7">
        <f>MAX(1, NETWORKDAYS(A2442, G2442,Table2[Dias no laborales]))</f>
        <v>1</v>
      </c>
      <c r="J2442" s="7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7" t="str">
        <f t="shared" si="134"/>
        <v>A tiempo</v>
      </c>
      <c r="L2442" s="11">
        <v>46197</v>
      </c>
      <c r="M2442" s="22">
        <f>MAX(1,NETWORKDAYS(A2442,L2442,Table2[Dias no laborales]))</f>
        <v>1</v>
      </c>
    </row>
    <row r="2443" spans="1:13" hidden="1" x14ac:dyDescent="0.3">
      <c r="A2443" s="11">
        <v>46197</v>
      </c>
      <c r="B2443" s="20" t="s">
        <v>4853</v>
      </c>
      <c r="C2443" s="7" t="s">
        <v>4939</v>
      </c>
      <c r="D2443" s="7" t="s">
        <v>449</v>
      </c>
      <c r="E2443" s="18">
        <v>46197.411111111112</v>
      </c>
      <c r="F2443" s="11">
        <f>IF(HOUR(Table1[[#This Row],[CORREO]])&gt;=11,WORKDAY(Table1[[#This Row],[CORREO]],1,Table2[Dias no laborales]),E2443)</f>
        <v>46197.411111111112</v>
      </c>
      <c r="G2443" s="11">
        <v>46202</v>
      </c>
      <c r="H2443" s="7">
        <f t="shared" si="133"/>
        <v>25</v>
      </c>
      <c r="I2443" s="7">
        <f>MAX(1, NETWORKDAYS(A2443, G2443,Table2[Dias no laborales]))</f>
        <v>4</v>
      </c>
      <c r="J2443" s="7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7" t="str">
        <f t="shared" si="134"/>
        <v>A tiempo</v>
      </c>
      <c r="L2443" s="11">
        <v>46197</v>
      </c>
      <c r="M2443" s="22">
        <f>MAX(1,NETWORKDAYS(A2443,L2443,Table2[Dias no laborales]))</f>
        <v>1</v>
      </c>
    </row>
    <row r="2444" spans="1:13" hidden="1" x14ac:dyDescent="0.3">
      <c r="A2444" s="11">
        <v>46197</v>
      </c>
      <c r="B2444" s="20" t="s">
        <v>4854</v>
      </c>
      <c r="C2444" s="7" t="s">
        <v>4106</v>
      </c>
      <c r="D2444" s="7" t="s">
        <v>2981</v>
      </c>
      <c r="E2444" s="18">
        <v>46197.413194444445</v>
      </c>
      <c r="F2444" s="11">
        <f>IF(HOUR(Table1[[#This Row],[CORREO]])&gt;=11,WORKDAY(Table1[[#This Row],[CORREO]],1,Table2[Dias no laborales]),E2444)</f>
        <v>46197.413194444445</v>
      </c>
      <c r="G2444" s="11">
        <v>46197</v>
      </c>
      <c r="H2444" s="7">
        <f t="shared" si="133"/>
        <v>25</v>
      </c>
      <c r="I2444" s="7">
        <f>MAX(1, NETWORKDAYS(A2444, G2444,Table2[Dias no laborales]))</f>
        <v>1</v>
      </c>
      <c r="J2444" s="7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7" t="str">
        <f t="shared" si="134"/>
        <v>A tiempo</v>
      </c>
      <c r="L2444" s="11">
        <v>46197</v>
      </c>
      <c r="M2444" s="22">
        <f>MAX(1,NETWORKDAYS(A2444,L2444,Table2[Dias no laborales]))</f>
        <v>1</v>
      </c>
    </row>
    <row r="2445" spans="1:13" hidden="1" x14ac:dyDescent="0.3">
      <c r="A2445" s="11">
        <v>46197</v>
      </c>
      <c r="B2445" s="20" t="s">
        <v>4855</v>
      </c>
      <c r="C2445" s="7" t="s">
        <v>4940</v>
      </c>
      <c r="D2445" s="7" t="s">
        <v>989</v>
      </c>
      <c r="E2445" s="18">
        <v>46197.452777777777</v>
      </c>
      <c r="F2445" s="11">
        <f>IF(HOUR(Table1[[#This Row],[CORREO]])&gt;=11,WORKDAY(Table1[[#This Row],[CORREO]],1,Table2[Dias no laborales]),E2445)</f>
        <v>46197.452777777777</v>
      </c>
      <c r="G2445" s="11">
        <v>46197</v>
      </c>
      <c r="H2445" s="7">
        <f t="shared" si="133"/>
        <v>25</v>
      </c>
      <c r="I2445" s="7">
        <f>MAX(1, NETWORKDAYS(A2445, G2445,Table2[Dias no laborales]))</f>
        <v>1</v>
      </c>
      <c r="J2445" s="7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7" t="str">
        <f t="shared" si="134"/>
        <v>A tiempo</v>
      </c>
      <c r="L2445" s="11">
        <v>46197</v>
      </c>
      <c r="M2445" s="22">
        <f>MAX(1,NETWORKDAYS(A2445,L2445,Table2[Dias no laborales]))</f>
        <v>1</v>
      </c>
    </row>
    <row r="2446" spans="1:13" hidden="1" x14ac:dyDescent="0.3">
      <c r="A2446" s="11">
        <v>46197</v>
      </c>
      <c r="B2446" s="20" t="s">
        <v>4856</v>
      </c>
      <c r="C2446" s="7" t="s">
        <v>4941</v>
      </c>
      <c r="D2446" s="7" t="s">
        <v>139</v>
      </c>
      <c r="E2446" s="18">
        <v>46197.456944444442</v>
      </c>
      <c r="F2446" s="11">
        <f>IF(HOUR(Table1[[#This Row],[CORREO]])&gt;=11,WORKDAY(Table1[[#This Row],[CORREO]],1,Table2[Dias no laborales]),E2446)</f>
        <v>46197.456944444442</v>
      </c>
      <c r="G2446" s="11">
        <v>46202</v>
      </c>
      <c r="H2446" s="7">
        <f t="shared" si="133"/>
        <v>25</v>
      </c>
      <c r="I2446" s="7">
        <f>MAX(1, NETWORKDAYS(A2446, G2446,Table2[Dias no laborales]))</f>
        <v>4</v>
      </c>
      <c r="J2446" s="7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7" t="str">
        <f t="shared" si="134"/>
        <v>A tiempo</v>
      </c>
      <c r="L2446" s="11">
        <v>46197</v>
      </c>
      <c r="M2446" s="22">
        <f>MAX(1,NETWORKDAYS(A2446,L2446,Table2[Dias no laborales]))</f>
        <v>1</v>
      </c>
    </row>
    <row r="2447" spans="1:13" hidden="1" x14ac:dyDescent="0.3">
      <c r="A2447" s="11">
        <v>46197</v>
      </c>
      <c r="B2447" s="20" t="s">
        <v>4857</v>
      </c>
      <c r="C2447" s="7" t="s">
        <v>4555</v>
      </c>
      <c r="D2447" s="7" t="s">
        <v>392</v>
      </c>
      <c r="E2447" s="18">
        <v>46197.464583333334</v>
      </c>
      <c r="F2447" s="11">
        <f>IF(HOUR(Table1[[#This Row],[CORREO]])&gt;=11,WORKDAY(Table1[[#This Row],[CORREO]],1,Table2[Dias no laborales]),E2447)</f>
        <v>46198</v>
      </c>
      <c r="G2447" s="11">
        <v>46197</v>
      </c>
      <c r="H2447" s="7">
        <f t="shared" si="133"/>
        <v>25</v>
      </c>
      <c r="I2447" s="7">
        <f>MAX(1, NETWORKDAYS(A2447, G2447,Table2[Dias no laborales]))</f>
        <v>1</v>
      </c>
      <c r="J2447" s="7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7" t="str">
        <f t="shared" si="134"/>
        <v>Mismo día</v>
      </c>
      <c r="L2447" s="11">
        <v>46197</v>
      </c>
      <c r="M2447" s="22">
        <f>MAX(1,NETWORKDAYS(A2447,L2447,Table2[Dias no laborales]))</f>
        <v>1</v>
      </c>
    </row>
    <row r="2448" spans="1:13" hidden="1" x14ac:dyDescent="0.3">
      <c r="A2448" s="11">
        <v>46197</v>
      </c>
      <c r="B2448" s="20" t="s">
        <v>4858</v>
      </c>
      <c r="C2448" s="7" t="s">
        <v>4942</v>
      </c>
      <c r="D2448" s="7" t="s">
        <v>623</v>
      </c>
      <c r="E2448" s="18">
        <v>46197.468055555553</v>
      </c>
      <c r="F2448" s="11">
        <f>IF(HOUR(Table1[[#This Row],[CORREO]])&gt;=11,WORKDAY(Table1[[#This Row],[CORREO]],1,Table2[Dias no laborales]),E2448)</f>
        <v>46198</v>
      </c>
      <c r="G2448" s="11">
        <v>46198</v>
      </c>
      <c r="H2448" s="7">
        <f t="shared" si="133"/>
        <v>25</v>
      </c>
      <c r="I2448" s="7">
        <f>MAX(1, NETWORKDAYS(A2448, G2448,Table2[Dias no laborales]))</f>
        <v>2</v>
      </c>
      <c r="J2448" s="7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7" t="str">
        <f t="shared" si="134"/>
        <v>Mismo día</v>
      </c>
      <c r="L2448" s="11">
        <v>46197</v>
      </c>
      <c r="M2448" s="22">
        <f>MAX(1,NETWORKDAYS(A2448,L2448,Table2[Dias no laborales]))</f>
        <v>1</v>
      </c>
    </row>
    <row r="2449" spans="1:13" hidden="1" x14ac:dyDescent="0.3">
      <c r="A2449" s="11">
        <v>46197</v>
      </c>
      <c r="B2449" s="20" t="s">
        <v>4859</v>
      </c>
      <c r="C2449" s="7" t="s">
        <v>4943</v>
      </c>
      <c r="D2449" s="7" t="s">
        <v>4944</v>
      </c>
      <c r="E2449" s="18">
        <v>46197.484027777777</v>
      </c>
      <c r="F2449" s="11">
        <f>IF(HOUR(Table1[[#This Row],[CORREO]])&gt;=11,WORKDAY(Table1[[#This Row],[CORREO]],1,Table2[Dias no laborales]),E2449)</f>
        <v>46198</v>
      </c>
      <c r="G2449" s="11">
        <v>46198</v>
      </c>
      <c r="H2449" s="7">
        <f t="shared" si="133"/>
        <v>25</v>
      </c>
      <c r="I2449" s="7">
        <f>MAX(1, NETWORKDAYS(A2449, G2449,Table2[Dias no laborales]))</f>
        <v>2</v>
      </c>
      <c r="J2449" s="7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7" t="str">
        <f t="shared" si="134"/>
        <v>Mismo día</v>
      </c>
      <c r="L2449" s="11">
        <v>46197</v>
      </c>
      <c r="M2449" s="22">
        <f>MAX(1,NETWORKDAYS(A2449,L2449,Table2[Dias no laborales]))</f>
        <v>1</v>
      </c>
    </row>
    <row r="2450" spans="1:13" hidden="1" x14ac:dyDescent="0.3">
      <c r="A2450" s="11">
        <v>46197</v>
      </c>
      <c r="B2450" s="20" t="s">
        <v>4860</v>
      </c>
      <c r="C2450" s="7" t="s">
        <v>4945</v>
      </c>
      <c r="D2450" s="7" t="s">
        <v>24</v>
      </c>
      <c r="E2450" s="18">
        <v>46197.49722222222</v>
      </c>
      <c r="F2450" s="11">
        <f>IF(HOUR(Table1[[#This Row],[CORREO]])&gt;=11,WORKDAY(Table1[[#This Row],[CORREO]],1,Table2[Dias no laborales]),E2450)</f>
        <v>46198</v>
      </c>
      <c r="G2450" s="11">
        <v>46210</v>
      </c>
      <c r="H2450" s="7">
        <f t="shared" si="133"/>
        <v>25</v>
      </c>
      <c r="I2450" s="7">
        <f>MAX(1, NETWORKDAYS(A2450, G2450,Table2[Dias no laborales]))</f>
        <v>10</v>
      </c>
      <c r="J2450" s="7" t="str">
        <f>IF(Table1[[#This Row],[FIN]]="","Acumulado",IF(ISNUMBER(SEARCH("ASAP",C2450)),"ASAP",IF(NETWORKDAYS.INTL(F2450,G2450,1,Table2[Dias no laborales]) &lt;= 7, "Dentro", IF(A2450&gt;F2450,"Programado","Fuera"))))</f>
        <v>Fuera</v>
      </c>
      <c r="K2450" s="7" t="str">
        <f t="shared" si="134"/>
        <v>Mismo día</v>
      </c>
      <c r="L2450" s="11">
        <v>46198</v>
      </c>
      <c r="M2450" s="22">
        <f>MAX(1,NETWORKDAYS(A2450,L2450,Table2[Dias no laborales]))</f>
        <v>2</v>
      </c>
    </row>
    <row r="2451" spans="1:13" hidden="1" x14ac:dyDescent="0.3">
      <c r="A2451" s="11">
        <v>46197</v>
      </c>
      <c r="B2451" s="20" t="s">
        <v>4861</v>
      </c>
      <c r="C2451" s="7" t="s">
        <v>4946</v>
      </c>
      <c r="D2451" s="7" t="s">
        <v>4947</v>
      </c>
      <c r="E2451" s="18"/>
      <c r="F2451" s="11">
        <f>IF(HOUR(Table1[[#This Row],[CORREO]])&gt;=11,WORKDAY(Table1[[#This Row],[CORREO]],1,Table2[Dias no laborales]),E2451)</f>
        <v>0</v>
      </c>
      <c r="G2451" s="11">
        <v>46197</v>
      </c>
      <c r="H2451" s="7">
        <f t="shared" si="133"/>
        <v>25</v>
      </c>
      <c r="I2451" s="7">
        <f>MAX(1, NETWORKDAYS(A2451, G2451,Table2[Dias no laborales]))</f>
        <v>1</v>
      </c>
      <c r="J2451" s="7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7" t="str">
        <f t="shared" si="134"/>
        <v>Programados</v>
      </c>
      <c r="L2451" s="11">
        <v>46197</v>
      </c>
      <c r="M2451" s="22">
        <f>MAX(1,NETWORKDAYS(A2451,L2451,Table2[Dias no laborales]))</f>
        <v>1</v>
      </c>
    </row>
    <row r="2452" spans="1:13" hidden="1" x14ac:dyDescent="0.3">
      <c r="A2452" s="11">
        <v>46197</v>
      </c>
      <c r="B2452" s="20" t="s">
        <v>4862</v>
      </c>
      <c r="C2452" s="7" t="s">
        <v>4948</v>
      </c>
      <c r="D2452" s="7" t="s">
        <v>24</v>
      </c>
      <c r="E2452" s="18">
        <v>46197.65902777778</v>
      </c>
      <c r="F2452" s="11">
        <f>IF(HOUR(Table1[[#This Row],[CORREO]])&gt;=11,WORKDAY(Table1[[#This Row],[CORREO]],1,Table2[Dias no laborales]),E2452)</f>
        <v>46198</v>
      </c>
      <c r="G2452" s="11">
        <v>46199</v>
      </c>
      <c r="H2452" s="7">
        <f t="shared" si="133"/>
        <v>25</v>
      </c>
      <c r="I2452" s="7">
        <f>MAX(1, NETWORKDAYS(A2452, G2452,Table2[Dias no laborales]))</f>
        <v>3</v>
      </c>
      <c r="J2452" s="7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7" t="str">
        <f t="shared" si="134"/>
        <v>Mismo día</v>
      </c>
      <c r="L2452" s="11">
        <v>46197</v>
      </c>
      <c r="M2452" s="22">
        <f>MAX(1,NETWORKDAYS(A2452,L2452,Table2[Dias no laborales]))</f>
        <v>1</v>
      </c>
    </row>
    <row r="2453" spans="1:13" hidden="1" x14ac:dyDescent="0.3">
      <c r="A2453" s="11">
        <v>46198</v>
      </c>
      <c r="B2453" s="20" t="s">
        <v>4883</v>
      </c>
      <c r="C2453" s="7" t="s">
        <v>4949</v>
      </c>
      <c r="D2453" s="7" t="s">
        <v>139</v>
      </c>
      <c r="E2453" s="18">
        <v>46197.467361111114</v>
      </c>
      <c r="F2453" s="11">
        <f>IF(HOUR(Table1[[#This Row],[CORREO]])&gt;=11,WORKDAY(Table1[[#This Row],[CORREO]],1,Table2[Dias no laborales]),E2453)</f>
        <v>46198</v>
      </c>
      <c r="G2453" s="11">
        <v>46202</v>
      </c>
      <c r="H2453" s="7">
        <f t="shared" ref="H2453:H2482" si="135">INT((A2453-DATE(YEAR(A2453),1,1))/7) + 1</f>
        <v>26</v>
      </c>
      <c r="I2453" s="7">
        <f>MAX(1, NETWORKDAYS(A2453, G2453,Table2[Dias no laborales]))</f>
        <v>3</v>
      </c>
      <c r="J2453" s="7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7" t="str">
        <f t="shared" ref="K2453:K2482" si="136">IF(INT(A2453)=INT(F2453),"A tiempo", IF(A2453&lt;F2453,"Mismo día","Programados"))</f>
        <v>A tiempo</v>
      </c>
      <c r="L2453" s="11">
        <v>46199</v>
      </c>
      <c r="M2453" s="22">
        <f>MAX(1,NETWORKDAYS(A2453,L2453,Table2[Dias no laborales]))</f>
        <v>2</v>
      </c>
    </row>
    <row r="2454" spans="1:13" hidden="1" x14ac:dyDescent="0.3">
      <c r="A2454" s="11">
        <v>46198</v>
      </c>
      <c r="B2454" s="20" t="s">
        <v>4884</v>
      </c>
      <c r="C2454" s="7" t="s">
        <v>4950</v>
      </c>
      <c r="D2454" s="7" t="s">
        <v>27</v>
      </c>
      <c r="E2454" s="18">
        <v>46197.46875</v>
      </c>
      <c r="F2454" s="11">
        <f>IF(HOUR(Table1[[#This Row],[CORREO]])&gt;=11,WORKDAY(Table1[[#This Row],[CORREO]],1,Table2[Dias no laborales]),E2454)</f>
        <v>46198</v>
      </c>
      <c r="G2454" s="11">
        <v>46204</v>
      </c>
      <c r="H2454" s="7">
        <f t="shared" si="135"/>
        <v>26</v>
      </c>
      <c r="I2454" s="7">
        <f>MAX(1, NETWORKDAYS(A2454, G2454,Table2[Dias no laborales]))</f>
        <v>5</v>
      </c>
      <c r="J2454" s="7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7" t="str">
        <f t="shared" si="136"/>
        <v>A tiempo</v>
      </c>
      <c r="L2454" s="11">
        <v>46198</v>
      </c>
      <c r="M2454" s="22">
        <f>MAX(1,NETWORKDAYS(A2454,L2454,Table2[Dias no laborales]))</f>
        <v>1</v>
      </c>
    </row>
    <row r="2455" spans="1:13" hidden="1" x14ac:dyDescent="0.3">
      <c r="A2455" s="11">
        <v>46198</v>
      </c>
      <c r="B2455" s="20" t="s">
        <v>4885</v>
      </c>
      <c r="C2455" s="7" t="s">
        <v>4655</v>
      </c>
      <c r="D2455" s="7" t="s">
        <v>586</v>
      </c>
      <c r="E2455" s="18">
        <v>46197.558333333334</v>
      </c>
      <c r="F2455" s="11">
        <f>IF(HOUR(Table1[[#This Row],[CORREO]])&gt;=11,WORKDAY(Table1[[#This Row],[CORREO]],1,Table2[Dias no laborales]),E2455)</f>
        <v>46198</v>
      </c>
      <c r="G2455" s="11">
        <v>46199</v>
      </c>
      <c r="H2455" s="7">
        <f t="shared" si="135"/>
        <v>26</v>
      </c>
      <c r="I2455" s="7">
        <f>MAX(1, NETWORKDAYS(A2455, G2455,Table2[Dias no laborales]))</f>
        <v>2</v>
      </c>
      <c r="J2455" s="7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7" t="str">
        <f t="shared" si="136"/>
        <v>A tiempo</v>
      </c>
      <c r="L2455" s="11">
        <v>46198</v>
      </c>
      <c r="M2455" s="22">
        <f>MAX(1,NETWORKDAYS(A2455,L2455,Table2[Dias no laborales]))</f>
        <v>1</v>
      </c>
    </row>
    <row r="2456" spans="1:13" hidden="1" x14ac:dyDescent="0.3">
      <c r="A2456" s="11">
        <v>46198</v>
      </c>
      <c r="B2456" s="20" t="s">
        <v>4886</v>
      </c>
      <c r="C2456" s="7" t="s">
        <v>4951</v>
      </c>
      <c r="D2456" s="7" t="s">
        <v>103</v>
      </c>
      <c r="E2456" s="18">
        <v>46197.580555555556</v>
      </c>
      <c r="F2456" s="11">
        <f>IF(HOUR(Table1[[#This Row],[CORREO]])&gt;=11,WORKDAY(Table1[[#This Row],[CORREO]],1,Table2[Dias no laborales]),E2456)</f>
        <v>46198</v>
      </c>
      <c r="G2456" s="11">
        <v>46199</v>
      </c>
      <c r="H2456" s="7">
        <f t="shared" si="135"/>
        <v>26</v>
      </c>
      <c r="I2456" s="7">
        <f>MAX(1, NETWORKDAYS(A2456, G2456,Table2[Dias no laborales]))</f>
        <v>2</v>
      </c>
      <c r="J2456" s="7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7" t="str">
        <f t="shared" si="136"/>
        <v>A tiempo</v>
      </c>
      <c r="L2456" s="11">
        <v>46198</v>
      </c>
      <c r="M2456" s="22">
        <f>MAX(1,NETWORKDAYS(A2456,L2456,Table2[Dias no laborales]))</f>
        <v>1</v>
      </c>
    </row>
    <row r="2457" spans="1:13" x14ac:dyDescent="0.3">
      <c r="A2457" s="11">
        <v>46198</v>
      </c>
      <c r="B2457" s="20" t="s">
        <v>4887</v>
      </c>
      <c r="C2457" s="7" t="s">
        <v>4952</v>
      </c>
      <c r="D2457" s="7" t="s">
        <v>24</v>
      </c>
      <c r="E2457" s="18">
        <v>46197.757638888892</v>
      </c>
      <c r="F2457" s="11">
        <f>IF(HOUR(Table1[[#This Row],[CORREO]])&gt;=11,WORKDAY(Table1[[#This Row],[CORREO]],1,Table2[Dias no laborales]),E2457)</f>
        <v>46198</v>
      </c>
      <c r="G2457" s="11"/>
      <c r="H2457" s="7">
        <f t="shared" si="135"/>
        <v>26</v>
      </c>
      <c r="I2457" s="7">
        <f>MAX(1, NETWORKDAYS(A2457, G2457,Table2[Dias no laborales]))</f>
        <v>1</v>
      </c>
      <c r="J2457" s="7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7" t="str">
        <f t="shared" si="136"/>
        <v>A tiempo</v>
      </c>
      <c r="L2457" s="11">
        <v>46198</v>
      </c>
      <c r="M2457" s="22">
        <f>MAX(1,NETWORKDAYS(A2457,L2457,Table2[Dias no laborales]))</f>
        <v>1</v>
      </c>
    </row>
    <row r="2458" spans="1:13" hidden="1" x14ac:dyDescent="0.3">
      <c r="A2458" s="11">
        <v>46198</v>
      </c>
      <c r="B2458" s="20" t="s">
        <v>4888</v>
      </c>
      <c r="C2458" s="7" t="s">
        <v>4953</v>
      </c>
      <c r="D2458" s="7" t="s">
        <v>230</v>
      </c>
      <c r="E2458" s="18">
        <v>46197.793055555558</v>
      </c>
      <c r="F2458" s="11">
        <f>IF(HOUR(Table1[[#This Row],[CORREO]])&gt;=11,WORKDAY(Table1[[#This Row],[CORREO]],1,Table2[Dias no laborales]),E2458)</f>
        <v>46198</v>
      </c>
      <c r="G2458" s="11">
        <v>46199</v>
      </c>
      <c r="H2458" s="7">
        <f t="shared" si="135"/>
        <v>26</v>
      </c>
      <c r="I2458" s="7">
        <f>MAX(1, NETWORKDAYS(A2458, G2458,Table2[Dias no laborales]))</f>
        <v>2</v>
      </c>
      <c r="J2458" s="7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7" t="str">
        <f t="shared" si="136"/>
        <v>A tiempo</v>
      </c>
      <c r="L2458" s="11">
        <v>46198</v>
      </c>
      <c r="M2458" s="22">
        <f>MAX(1,NETWORKDAYS(A2458,L2458,Table2[Dias no laborales]))</f>
        <v>1</v>
      </c>
    </row>
    <row r="2459" spans="1:13" hidden="1" x14ac:dyDescent="0.3">
      <c r="A2459" s="11">
        <v>46198</v>
      </c>
      <c r="B2459" s="20" t="s">
        <v>4889</v>
      </c>
      <c r="C2459" s="7" t="s">
        <v>4954</v>
      </c>
      <c r="D2459" s="7" t="s">
        <v>61</v>
      </c>
      <c r="E2459" s="18">
        <v>46198.309027777781</v>
      </c>
      <c r="F2459" s="11">
        <f>IF(HOUR(Table1[[#This Row],[CORREO]])&gt;=11,WORKDAY(Table1[[#This Row],[CORREO]],1,Table2[Dias no laborales]),E2459)</f>
        <v>46198.309027777781</v>
      </c>
      <c r="G2459" s="11">
        <v>46199</v>
      </c>
      <c r="H2459" s="7">
        <f t="shared" si="135"/>
        <v>26</v>
      </c>
      <c r="I2459" s="7">
        <f>MAX(1, NETWORKDAYS(A2459, G2459,Table2[Dias no laborales]))</f>
        <v>2</v>
      </c>
      <c r="J2459" s="7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7" t="str">
        <f t="shared" si="136"/>
        <v>A tiempo</v>
      </c>
      <c r="L2459" s="11">
        <v>46198</v>
      </c>
      <c r="M2459" s="22">
        <f>MAX(1,NETWORKDAYS(A2459,L2459,Table2[Dias no laborales]))</f>
        <v>1</v>
      </c>
    </row>
    <row r="2460" spans="1:13" hidden="1" x14ac:dyDescent="0.3">
      <c r="A2460" s="11">
        <v>46198</v>
      </c>
      <c r="B2460" s="20" t="s">
        <v>4890</v>
      </c>
      <c r="C2460" s="7" t="s">
        <v>4555</v>
      </c>
      <c r="D2460" s="7" t="s">
        <v>392</v>
      </c>
      <c r="E2460" s="18">
        <v>46198.347916666666</v>
      </c>
      <c r="F2460" s="11">
        <f>IF(HOUR(Table1[[#This Row],[CORREO]])&gt;=11,WORKDAY(Table1[[#This Row],[CORREO]],1,Table2[Dias no laborales]),E2460)</f>
        <v>46198.347916666666</v>
      </c>
      <c r="G2460" s="11">
        <v>46199</v>
      </c>
      <c r="H2460" s="7">
        <f t="shared" si="135"/>
        <v>26</v>
      </c>
      <c r="I2460" s="7">
        <f>MAX(1, NETWORKDAYS(A2460, G2460,Table2[Dias no laborales]))</f>
        <v>2</v>
      </c>
      <c r="J2460" s="7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7" t="str">
        <f t="shared" si="136"/>
        <v>A tiempo</v>
      </c>
      <c r="L2460" s="11">
        <v>46198</v>
      </c>
      <c r="M2460" s="22">
        <f>MAX(1,NETWORKDAYS(A2460,L2460,Table2[Dias no laborales]))</f>
        <v>1</v>
      </c>
    </row>
    <row r="2461" spans="1:13" hidden="1" x14ac:dyDescent="0.3">
      <c r="A2461" s="11">
        <v>46198</v>
      </c>
      <c r="B2461" s="20" t="s">
        <v>4891</v>
      </c>
      <c r="C2461" s="7" t="s">
        <v>4955</v>
      </c>
      <c r="D2461" s="7" t="s">
        <v>1840</v>
      </c>
      <c r="E2461" s="18">
        <v>46198.359027777777</v>
      </c>
      <c r="F2461" s="11">
        <f>IF(HOUR(Table1[[#This Row],[CORREO]])&gt;=11,WORKDAY(Table1[[#This Row],[CORREO]],1,Table2[Dias no laborales]),E2461)</f>
        <v>46198.359027777777</v>
      </c>
      <c r="G2461" s="11">
        <v>46199</v>
      </c>
      <c r="H2461" s="7">
        <f t="shared" si="135"/>
        <v>26</v>
      </c>
      <c r="I2461" s="7">
        <f>MAX(1, NETWORKDAYS(A2461, G2461,Table2[Dias no laborales]))</f>
        <v>2</v>
      </c>
      <c r="J2461" s="7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7" t="str">
        <f t="shared" si="136"/>
        <v>A tiempo</v>
      </c>
      <c r="L2461" s="11">
        <v>46199</v>
      </c>
      <c r="M2461" s="22">
        <f>MAX(1,NETWORKDAYS(A2461,L2461,Table2[Dias no laborales]))</f>
        <v>2</v>
      </c>
    </row>
    <row r="2462" spans="1:13" hidden="1" x14ac:dyDescent="0.3">
      <c r="A2462" s="11">
        <v>46198</v>
      </c>
      <c r="B2462" s="20" t="s">
        <v>4892</v>
      </c>
      <c r="C2462" s="7" t="s">
        <v>4690</v>
      </c>
      <c r="D2462" s="7" t="s">
        <v>4824</v>
      </c>
      <c r="E2462" s="18">
        <v>46198.363888888889</v>
      </c>
      <c r="F2462" s="11">
        <f>IF(HOUR(Table1[[#This Row],[CORREO]])&gt;=11,WORKDAY(Table1[[#This Row],[CORREO]],1,Table2[Dias no laborales]),E2462)</f>
        <v>46198.363888888889</v>
      </c>
      <c r="G2462" s="11">
        <v>46199</v>
      </c>
      <c r="H2462" s="7">
        <f t="shared" si="135"/>
        <v>26</v>
      </c>
      <c r="I2462" s="7">
        <f>MAX(1, NETWORKDAYS(A2462, G2462,Table2[Dias no laborales]))</f>
        <v>2</v>
      </c>
      <c r="J2462" s="7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7" t="str">
        <f t="shared" si="136"/>
        <v>A tiempo</v>
      </c>
      <c r="L2462" s="11">
        <v>46198</v>
      </c>
      <c r="M2462" s="22">
        <f>MAX(1,NETWORKDAYS(A2462,L2462,Table2[Dias no laborales]))</f>
        <v>1</v>
      </c>
    </row>
    <row r="2463" spans="1:13" hidden="1" x14ac:dyDescent="0.3">
      <c r="A2463" s="11">
        <v>46198</v>
      </c>
      <c r="B2463" s="20" t="s">
        <v>4893</v>
      </c>
      <c r="C2463" s="7" t="s">
        <v>4956</v>
      </c>
      <c r="D2463" s="7" t="s">
        <v>75</v>
      </c>
      <c r="E2463" s="18">
        <v>46198.379166666666</v>
      </c>
      <c r="F2463" s="11">
        <f>IF(HOUR(Table1[[#This Row],[CORREO]])&gt;=11,WORKDAY(Table1[[#This Row],[CORREO]],1,Table2[Dias no laborales]),E2463)</f>
        <v>46198.379166666666</v>
      </c>
      <c r="G2463" s="11">
        <v>46202</v>
      </c>
      <c r="H2463" s="7">
        <f t="shared" si="135"/>
        <v>26</v>
      </c>
      <c r="I2463" s="7">
        <f>MAX(1, NETWORKDAYS(A2463, G2463,Table2[Dias no laborales]))</f>
        <v>3</v>
      </c>
      <c r="J2463" s="7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7" t="str">
        <f t="shared" si="136"/>
        <v>A tiempo</v>
      </c>
      <c r="L2463" s="11">
        <v>46198</v>
      </c>
      <c r="M2463" s="22">
        <f>MAX(1,NETWORKDAYS(A2463,L2463,Table2[Dias no laborales]))</f>
        <v>1</v>
      </c>
    </row>
    <row r="2464" spans="1:13" hidden="1" x14ac:dyDescent="0.3">
      <c r="A2464" s="11">
        <v>46198</v>
      </c>
      <c r="B2464" s="20" t="s">
        <v>4894</v>
      </c>
      <c r="C2464" s="7" t="s">
        <v>4957</v>
      </c>
      <c r="D2464" s="7" t="s">
        <v>913</v>
      </c>
      <c r="E2464" s="18">
        <v>46198.386805555558</v>
      </c>
      <c r="F2464" s="11">
        <f>IF(HOUR(Table1[[#This Row],[CORREO]])&gt;=11,WORKDAY(Table1[[#This Row],[CORREO]],1,Table2[Dias no laborales]),E2464)</f>
        <v>46198.386805555558</v>
      </c>
      <c r="G2464" s="11">
        <v>46203</v>
      </c>
      <c r="H2464" s="7">
        <f t="shared" si="135"/>
        <v>26</v>
      </c>
      <c r="I2464" s="7">
        <f>MAX(1, NETWORKDAYS(A2464, G2464,Table2[Dias no laborales]))</f>
        <v>4</v>
      </c>
      <c r="J2464" s="7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7" t="str">
        <f t="shared" si="136"/>
        <v>A tiempo</v>
      </c>
      <c r="L2464" s="11">
        <v>46198</v>
      </c>
      <c r="M2464" s="22">
        <f>MAX(1,NETWORKDAYS(A2464,L2464,Table2[Dias no laborales]))</f>
        <v>1</v>
      </c>
    </row>
    <row r="2465" spans="1:13" hidden="1" x14ac:dyDescent="0.3">
      <c r="A2465" s="11">
        <v>46198</v>
      </c>
      <c r="B2465" s="20" t="s">
        <v>4895</v>
      </c>
      <c r="C2465" s="7" t="s">
        <v>3008</v>
      </c>
      <c r="D2465" s="7" t="s">
        <v>4958</v>
      </c>
      <c r="E2465" s="18">
        <v>46198.434027777781</v>
      </c>
      <c r="F2465" s="11">
        <f>IF(HOUR(Table1[[#This Row],[CORREO]])&gt;=11,WORKDAY(Table1[[#This Row],[CORREO]],1,Table2[Dias no laborales]),E2465)</f>
        <v>46198.434027777781</v>
      </c>
      <c r="G2465" s="11">
        <v>46199</v>
      </c>
      <c r="H2465" s="7">
        <f t="shared" si="135"/>
        <v>26</v>
      </c>
      <c r="I2465" s="7">
        <f>MAX(1, NETWORKDAYS(A2465, G2465,Table2[Dias no laborales]))</f>
        <v>2</v>
      </c>
      <c r="J2465" s="7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7" t="str">
        <f t="shared" si="136"/>
        <v>A tiempo</v>
      </c>
      <c r="L2465" s="11">
        <v>46198</v>
      </c>
      <c r="M2465" s="22">
        <f>MAX(1,NETWORKDAYS(A2465,L2465,Table2[Dias no laborales]))</f>
        <v>1</v>
      </c>
    </row>
    <row r="2466" spans="1:13" hidden="1" x14ac:dyDescent="0.3">
      <c r="A2466" s="11">
        <v>46198</v>
      </c>
      <c r="B2466" s="20" t="s">
        <v>4896</v>
      </c>
      <c r="C2466" s="7" t="s">
        <v>4959</v>
      </c>
      <c r="D2466" s="7" t="s">
        <v>1176</v>
      </c>
      <c r="E2466" s="18">
        <v>46198.443055555559</v>
      </c>
      <c r="F2466" s="11">
        <f>IF(HOUR(Table1[[#This Row],[CORREO]])&gt;=11,WORKDAY(Table1[[#This Row],[CORREO]],1,Table2[Dias no laborales]),E2466)</f>
        <v>46198.443055555559</v>
      </c>
      <c r="G2466" s="11">
        <v>46199</v>
      </c>
      <c r="H2466" s="7">
        <f t="shared" si="135"/>
        <v>26</v>
      </c>
      <c r="I2466" s="7">
        <f>MAX(1, NETWORKDAYS(A2466, G2466,Table2[Dias no laborales]))</f>
        <v>2</v>
      </c>
      <c r="J2466" s="7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7" t="str">
        <f t="shared" si="136"/>
        <v>A tiempo</v>
      </c>
      <c r="L2466" s="11">
        <v>46198</v>
      </c>
      <c r="M2466" s="22">
        <f>MAX(1,NETWORKDAYS(A2466,L2466,Table2[Dias no laborales]))</f>
        <v>1</v>
      </c>
    </row>
    <row r="2467" spans="1:13" hidden="1" x14ac:dyDescent="0.3">
      <c r="A2467" s="11">
        <v>46198</v>
      </c>
      <c r="B2467" s="20" t="s">
        <v>4897</v>
      </c>
      <c r="C2467" s="7" t="s">
        <v>4960</v>
      </c>
      <c r="D2467" s="7" t="s">
        <v>628</v>
      </c>
      <c r="E2467" s="18">
        <v>46198.443749999999</v>
      </c>
      <c r="F2467" s="11">
        <f>IF(HOUR(Table1[[#This Row],[CORREO]])&gt;=11,WORKDAY(Table1[[#This Row],[CORREO]],1,Table2[Dias no laborales]),E2467)</f>
        <v>46198.443749999999</v>
      </c>
      <c r="G2467" s="11">
        <v>46199</v>
      </c>
      <c r="H2467" s="7">
        <f t="shared" si="135"/>
        <v>26</v>
      </c>
      <c r="I2467" s="7">
        <f>MAX(1, NETWORKDAYS(A2467, G2467,Table2[Dias no laborales]))</f>
        <v>2</v>
      </c>
      <c r="J2467" s="7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7" t="str">
        <f t="shared" si="136"/>
        <v>A tiempo</v>
      </c>
      <c r="L2467" s="11">
        <v>46198</v>
      </c>
      <c r="M2467" s="22">
        <f>MAX(1,NETWORKDAYS(A2467,L2467,Table2[Dias no laborales]))</f>
        <v>1</v>
      </c>
    </row>
    <row r="2468" spans="1:13" hidden="1" x14ac:dyDescent="0.3">
      <c r="A2468" s="11">
        <v>46198</v>
      </c>
      <c r="B2468" s="20" t="s">
        <v>4898</v>
      </c>
      <c r="C2468" s="7" t="s">
        <v>1591</v>
      </c>
      <c r="D2468" s="7" t="s">
        <v>650</v>
      </c>
      <c r="E2468" s="18">
        <v>46198.445833333331</v>
      </c>
      <c r="F2468" s="11">
        <f>IF(HOUR(Table1[[#This Row],[CORREO]])&gt;=11,WORKDAY(Table1[[#This Row],[CORREO]],1,Table2[Dias no laborales]),E2468)</f>
        <v>46198.445833333331</v>
      </c>
      <c r="G2468" s="11">
        <v>46199</v>
      </c>
      <c r="H2468" s="7">
        <f t="shared" si="135"/>
        <v>26</v>
      </c>
      <c r="I2468" s="7">
        <f>MAX(1, NETWORKDAYS(A2468, G2468,Table2[Dias no laborales]))</f>
        <v>2</v>
      </c>
      <c r="J2468" s="7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7" t="str">
        <f t="shared" si="136"/>
        <v>A tiempo</v>
      </c>
      <c r="L2468" s="11">
        <v>46198</v>
      </c>
      <c r="M2468" s="22">
        <f>MAX(1,NETWORKDAYS(A2468,L2468,Table2[Dias no laborales]))</f>
        <v>1</v>
      </c>
    </row>
    <row r="2469" spans="1:13" hidden="1" x14ac:dyDescent="0.3">
      <c r="A2469" s="11">
        <v>46198</v>
      </c>
      <c r="B2469" s="20" t="s">
        <v>4899</v>
      </c>
      <c r="C2469" s="7" t="s">
        <v>4961</v>
      </c>
      <c r="D2469" s="7" t="s">
        <v>24</v>
      </c>
      <c r="E2469" s="18">
        <v>46198.656944444447</v>
      </c>
      <c r="F2469" s="11">
        <f>IF(HOUR(Table1[[#This Row],[CORREO]])&gt;=11,WORKDAY(Table1[[#This Row],[CORREO]],1,Table2[Dias no laborales]),E2469)</f>
        <v>46199</v>
      </c>
      <c r="G2469" s="11">
        <v>46204</v>
      </c>
      <c r="H2469" s="7">
        <f t="shared" si="135"/>
        <v>26</v>
      </c>
      <c r="I2469" s="7">
        <f>MAX(1, NETWORKDAYS(A2469, G2469,Table2[Dias no laborales]))</f>
        <v>5</v>
      </c>
      <c r="J2469" s="7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7" t="str">
        <f t="shared" si="136"/>
        <v>Mismo día</v>
      </c>
      <c r="L2469" s="11">
        <v>46198</v>
      </c>
      <c r="M2469" s="22">
        <f>MAX(1,NETWORKDAYS(A2469,L2469,Table2[Dias no laborales]))</f>
        <v>1</v>
      </c>
    </row>
    <row r="2470" spans="1:13" hidden="1" x14ac:dyDescent="0.3">
      <c r="A2470" s="11">
        <v>46198</v>
      </c>
      <c r="B2470" s="20" t="s">
        <v>4900</v>
      </c>
      <c r="C2470" s="7" t="s">
        <v>4962</v>
      </c>
      <c r="D2470" s="7" t="s">
        <v>2963</v>
      </c>
      <c r="E2470" s="18">
        <v>46198.677083333336</v>
      </c>
      <c r="F2470" s="11">
        <f>IF(HOUR(Table1[[#This Row],[CORREO]])&gt;=11,WORKDAY(Table1[[#This Row],[CORREO]],1,Table2[Dias no laborales]),E2470)</f>
        <v>46199</v>
      </c>
      <c r="G2470" s="11">
        <v>46198</v>
      </c>
      <c r="H2470" s="7">
        <f t="shared" si="135"/>
        <v>26</v>
      </c>
      <c r="I2470" s="7">
        <f>MAX(1, NETWORKDAYS(A2470, G2470,Table2[Dias no laborales]))</f>
        <v>1</v>
      </c>
      <c r="J2470" s="7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7" t="str">
        <f t="shared" si="136"/>
        <v>Mismo día</v>
      </c>
      <c r="L2470" s="11">
        <v>46198</v>
      </c>
      <c r="M2470" s="22">
        <f>MAX(1,NETWORKDAYS(A2470,L2470,Table2[Dias no laborales]))</f>
        <v>1</v>
      </c>
    </row>
    <row r="2471" spans="1:13" hidden="1" x14ac:dyDescent="0.3">
      <c r="A2471" s="11">
        <v>46199</v>
      </c>
      <c r="B2471" s="20" t="s">
        <v>4901</v>
      </c>
      <c r="C2471" s="7" t="s">
        <v>4963</v>
      </c>
      <c r="D2471" s="7" t="s">
        <v>623</v>
      </c>
      <c r="E2471" s="18"/>
      <c r="F2471" s="11">
        <f>IF(HOUR(Table1[[#This Row],[CORREO]])&gt;=11,WORKDAY(Table1[[#This Row],[CORREO]],1,Table2[Dias no laborales]),E2471)</f>
        <v>0</v>
      </c>
      <c r="G2471" s="11">
        <v>46199</v>
      </c>
      <c r="H2471" s="7">
        <f t="shared" si="135"/>
        <v>26</v>
      </c>
      <c r="I2471" s="7">
        <f>MAX(1, NETWORKDAYS(A2471, G2471,Table2[Dias no laborales]))</f>
        <v>1</v>
      </c>
      <c r="J2471" s="7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7" t="str">
        <f t="shared" si="136"/>
        <v>Programados</v>
      </c>
      <c r="L2471" s="11">
        <v>46199</v>
      </c>
      <c r="M2471" s="22">
        <f>MAX(1,NETWORKDAYS(A2471,L2471,Table2[Dias no laborales]))</f>
        <v>1</v>
      </c>
    </row>
    <row r="2472" spans="1:13" x14ac:dyDescent="0.3">
      <c r="A2472" s="11">
        <v>46199</v>
      </c>
      <c r="B2472" s="20" t="s">
        <v>4902</v>
      </c>
      <c r="C2472" s="7" t="s">
        <v>4964</v>
      </c>
      <c r="D2472" s="7" t="s">
        <v>1333</v>
      </c>
      <c r="E2472" s="18"/>
      <c r="F2472" s="11">
        <f>IF(HOUR(Table1[[#This Row],[CORREO]])&gt;=11,WORKDAY(Table1[[#This Row],[CORREO]],1,Table2[Dias no laborales]),E2472)</f>
        <v>0</v>
      </c>
      <c r="G2472" s="11"/>
      <c r="H2472" s="7">
        <f t="shared" si="135"/>
        <v>26</v>
      </c>
      <c r="I2472" s="7">
        <f>MAX(1, NETWORKDAYS(A2472, G2472,Table2[Dias no laborales]))</f>
        <v>1</v>
      </c>
      <c r="J2472" s="7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7" t="str">
        <f t="shared" si="136"/>
        <v>Programados</v>
      </c>
      <c r="L2472" s="11">
        <v>46199</v>
      </c>
      <c r="M2472" s="22">
        <f>MAX(1,NETWORKDAYS(A2472,L2472,Table2[Dias no laborales]))</f>
        <v>1</v>
      </c>
    </row>
    <row r="2473" spans="1:13" hidden="1" x14ac:dyDescent="0.3">
      <c r="A2473" s="11">
        <v>46199</v>
      </c>
      <c r="B2473" s="20" t="s">
        <v>4903</v>
      </c>
      <c r="C2473" s="7" t="s">
        <v>4965</v>
      </c>
      <c r="D2473" s="7" t="s">
        <v>230</v>
      </c>
      <c r="E2473" s="18">
        <v>46198.720138888886</v>
      </c>
      <c r="F2473" s="11">
        <f>IF(HOUR(Table1[[#This Row],[CORREO]])&gt;=11,WORKDAY(Table1[[#This Row],[CORREO]],1,Table2[Dias no laborales]),E2473)</f>
        <v>46199</v>
      </c>
      <c r="G2473" s="11">
        <v>46202</v>
      </c>
      <c r="H2473" s="7">
        <f t="shared" si="135"/>
        <v>26</v>
      </c>
      <c r="I2473" s="7">
        <f>MAX(1, NETWORKDAYS(A2473, G2473,Table2[Dias no laborales]))</f>
        <v>2</v>
      </c>
      <c r="J2473" s="7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7" t="str">
        <f t="shared" si="136"/>
        <v>A tiempo</v>
      </c>
      <c r="L2473" s="11">
        <v>46199</v>
      </c>
      <c r="M2473" s="22">
        <f>MAX(1,NETWORKDAYS(A2473,L2473,Table2[Dias no laborales]))</f>
        <v>1</v>
      </c>
    </row>
    <row r="2474" spans="1:13" hidden="1" x14ac:dyDescent="0.3">
      <c r="A2474" s="11">
        <v>46199</v>
      </c>
      <c r="B2474" s="20" t="s">
        <v>4904</v>
      </c>
      <c r="C2474" s="7" t="s">
        <v>4966</v>
      </c>
      <c r="D2474" s="7" t="s">
        <v>477</v>
      </c>
      <c r="E2474" s="18">
        <v>46198.854166666664</v>
      </c>
      <c r="F2474" s="11">
        <f>IF(HOUR(Table1[[#This Row],[CORREO]])&gt;=11,WORKDAY(Table1[[#This Row],[CORREO]],1,Table2[Dias no laborales]),E2474)</f>
        <v>46199</v>
      </c>
      <c r="G2474" s="11">
        <v>46199</v>
      </c>
      <c r="H2474" s="7">
        <f t="shared" si="135"/>
        <v>26</v>
      </c>
      <c r="I2474" s="7">
        <f>MAX(1, NETWORKDAYS(A2474, G2474,Table2[Dias no laborales]))</f>
        <v>1</v>
      </c>
      <c r="J2474" s="7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7" t="str">
        <f t="shared" si="136"/>
        <v>A tiempo</v>
      </c>
      <c r="L2474" s="11">
        <v>46199</v>
      </c>
      <c r="M2474" s="22">
        <f>MAX(1,NETWORKDAYS(A2474,L2474,Table2[Dias no laborales]))</f>
        <v>1</v>
      </c>
    </row>
    <row r="2475" spans="1:13" hidden="1" x14ac:dyDescent="0.3">
      <c r="A2475" s="11">
        <v>46199</v>
      </c>
      <c r="B2475" s="20" t="s">
        <v>4905</v>
      </c>
      <c r="C2475" s="7" t="s">
        <v>4967</v>
      </c>
      <c r="D2475" s="7" t="s">
        <v>3048</v>
      </c>
      <c r="E2475" s="18">
        <v>46198.934027777781</v>
      </c>
      <c r="F2475" s="11">
        <f>IF(HOUR(Table1[[#This Row],[CORREO]])&gt;=11,WORKDAY(Table1[[#This Row],[CORREO]],1,Table2[Dias no laborales]),E2475)</f>
        <v>46199</v>
      </c>
      <c r="G2475" s="11">
        <v>46199</v>
      </c>
      <c r="H2475" s="7">
        <f t="shared" si="135"/>
        <v>26</v>
      </c>
      <c r="I2475" s="7">
        <f>MAX(1, NETWORKDAYS(A2475, G2475,Table2[Dias no laborales]))</f>
        <v>1</v>
      </c>
      <c r="J2475" s="7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7" t="str">
        <f t="shared" si="136"/>
        <v>A tiempo</v>
      </c>
      <c r="L2475" s="11">
        <v>46199</v>
      </c>
      <c r="M2475" s="22">
        <f>MAX(1,NETWORKDAYS(A2475,L2475,Table2[Dias no laborales]))</f>
        <v>1</v>
      </c>
    </row>
    <row r="2476" spans="1:13" hidden="1" x14ac:dyDescent="0.3">
      <c r="A2476" s="11">
        <v>46199</v>
      </c>
      <c r="B2476" s="20" t="s">
        <v>4906</v>
      </c>
      <c r="C2476" s="7" t="s">
        <v>4968</v>
      </c>
      <c r="D2476" s="7" t="s">
        <v>56</v>
      </c>
      <c r="E2476" s="18">
        <v>46199.306250000001</v>
      </c>
      <c r="F2476" s="11">
        <f>IF(HOUR(Table1[[#This Row],[CORREO]])&gt;=11,WORKDAY(Table1[[#This Row],[CORREO]],1,Table2[Dias no laborales]),E2476)</f>
        <v>46199.306250000001</v>
      </c>
      <c r="G2476" s="11">
        <v>46199</v>
      </c>
      <c r="H2476" s="7">
        <f t="shared" si="135"/>
        <v>26</v>
      </c>
      <c r="I2476" s="7">
        <f>MAX(1, NETWORKDAYS(A2476, G2476,Table2[Dias no laborales]))</f>
        <v>1</v>
      </c>
      <c r="J2476" s="7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7" t="str">
        <f t="shared" si="136"/>
        <v>A tiempo</v>
      </c>
      <c r="L2476" s="11">
        <v>46199</v>
      </c>
      <c r="M2476" s="22">
        <f>MAX(1,NETWORKDAYS(A2476,L2476,Table2[Dias no laborales]))</f>
        <v>1</v>
      </c>
    </row>
    <row r="2477" spans="1:13" hidden="1" x14ac:dyDescent="0.3">
      <c r="A2477" s="11">
        <v>46199</v>
      </c>
      <c r="B2477" s="20" t="s">
        <v>4907</v>
      </c>
      <c r="C2477" s="7" t="s">
        <v>4690</v>
      </c>
      <c r="D2477" s="7" t="s">
        <v>85</v>
      </c>
      <c r="E2477" s="18">
        <v>46199.356249999997</v>
      </c>
      <c r="F2477" s="11">
        <f>IF(HOUR(Table1[[#This Row],[CORREO]])&gt;=11,WORKDAY(Table1[[#This Row],[CORREO]],1,Table2[Dias no laborales]),E2477)</f>
        <v>46199.356249999997</v>
      </c>
      <c r="G2477" s="11">
        <v>46199</v>
      </c>
      <c r="H2477" s="7">
        <f t="shared" si="135"/>
        <v>26</v>
      </c>
      <c r="I2477" s="7">
        <f>MAX(1, NETWORKDAYS(A2477, G2477,Table2[Dias no laborales]))</f>
        <v>1</v>
      </c>
      <c r="J2477" s="7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7" t="str">
        <f t="shared" si="136"/>
        <v>A tiempo</v>
      </c>
      <c r="L2477" s="11">
        <v>46199</v>
      </c>
      <c r="M2477" s="22">
        <f>MAX(1,NETWORKDAYS(A2477,L2477,Table2[Dias no laborales]))</f>
        <v>1</v>
      </c>
    </row>
    <row r="2478" spans="1:13" hidden="1" x14ac:dyDescent="0.3">
      <c r="A2478" s="11">
        <v>46199</v>
      </c>
      <c r="B2478" s="20" t="s">
        <v>4908</v>
      </c>
      <c r="C2478" s="7" t="s">
        <v>4555</v>
      </c>
      <c r="D2478" s="7" t="s">
        <v>392</v>
      </c>
      <c r="E2478" s="18">
        <v>46199.379166666666</v>
      </c>
      <c r="F2478" s="11">
        <f>IF(HOUR(Table1[[#This Row],[CORREO]])&gt;=11,WORKDAY(Table1[[#This Row],[CORREO]],1,Table2[Dias no laborales]),E2478)</f>
        <v>46199.379166666666</v>
      </c>
      <c r="G2478" s="11">
        <v>46199</v>
      </c>
      <c r="H2478" s="7">
        <f t="shared" si="135"/>
        <v>26</v>
      </c>
      <c r="I2478" s="7">
        <f>MAX(1, NETWORKDAYS(A2478, G2478,Table2[Dias no laborales]))</f>
        <v>1</v>
      </c>
      <c r="J2478" s="7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7" t="str">
        <f t="shared" si="136"/>
        <v>A tiempo</v>
      </c>
      <c r="L2478" s="11">
        <v>46199</v>
      </c>
      <c r="M2478" s="22">
        <f>MAX(1,NETWORKDAYS(A2478,L2478,Table2[Dias no laborales]))</f>
        <v>1</v>
      </c>
    </row>
    <row r="2479" spans="1:13" hidden="1" x14ac:dyDescent="0.3">
      <c r="A2479" s="11">
        <v>46199</v>
      </c>
      <c r="B2479" s="20" t="s">
        <v>4909</v>
      </c>
      <c r="C2479" s="7" t="s">
        <v>4969</v>
      </c>
      <c r="D2479" s="7" t="s">
        <v>3041</v>
      </c>
      <c r="E2479" s="18">
        <v>46199.311805555553</v>
      </c>
      <c r="F2479" s="11">
        <f>IF(HOUR(Table1[[#This Row],[CORREO]])&gt;=11,WORKDAY(Table1[[#This Row],[CORREO]],1,Table2[Dias no laborales]),E2479)</f>
        <v>46199.311805555553</v>
      </c>
      <c r="G2479" s="11">
        <v>46199</v>
      </c>
      <c r="H2479" s="7">
        <f t="shared" si="135"/>
        <v>26</v>
      </c>
      <c r="I2479" s="7">
        <f>MAX(1, NETWORKDAYS(A2479, G2479,Table2[Dias no laborales]))</f>
        <v>1</v>
      </c>
      <c r="J2479" s="7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7" t="str">
        <f t="shared" si="136"/>
        <v>A tiempo</v>
      </c>
      <c r="L2479" s="11">
        <v>46199</v>
      </c>
      <c r="M2479" s="22">
        <f>MAX(1,NETWORKDAYS(A2479,L2479,Table2[Dias no laborales]))</f>
        <v>1</v>
      </c>
    </row>
    <row r="2480" spans="1:13" x14ac:dyDescent="0.3">
      <c r="A2480" s="11">
        <v>46199</v>
      </c>
      <c r="B2480" s="20" t="s">
        <v>4910</v>
      </c>
      <c r="C2480" s="7" t="s">
        <v>4970</v>
      </c>
      <c r="D2480" s="7" t="s">
        <v>3020</v>
      </c>
      <c r="E2480" s="18">
        <v>46198.763194444444</v>
      </c>
      <c r="F2480" s="11">
        <f>IF(HOUR(Table1[[#This Row],[CORREO]])&gt;=11,WORKDAY(Table1[[#This Row],[CORREO]],1,Table2[Dias no laborales]),E2480)</f>
        <v>46199</v>
      </c>
      <c r="G2480" s="11"/>
      <c r="H2480" s="7">
        <f t="shared" si="135"/>
        <v>26</v>
      </c>
      <c r="I2480" s="7">
        <f>MAX(1, NETWORKDAYS(A2480, G2480,Table2[Dias no laborales]))</f>
        <v>1</v>
      </c>
      <c r="J2480" s="7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7" t="str">
        <f t="shared" si="136"/>
        <v>A tiempo</v>
      </c>
      <c r="L2480" s="11">
        <v>46199</v>
      </c>
      <c r="M2480" s="22">
        <f>MAX(1,NETWORKDAYS(A2480,L2480,Table2[Dias no laborales]))</f>
        <v>1</v>
      </c>
    </row>
    <row r="2481" spans="1:13" hidden="1" x14ac:dyDescent="0.3">
      <c r="A2481" s="11">
        <v>46199</v>
      </c>
      <c r="B2481" s="20" t="s">
        <v>4911</v>
      </c>
      <c r="C2481" s="7" t="s">
        <v>4984</v>
      </c>
      <c r="D2481" s="7" t="s">
        <v>372</v>
      </c>
      <c r="E2481" s="18">
        <v>46199.621527777781</v>
      </c>
      <c r="F2481" s="11">
        <f>IF(HOUR(Table1[[#This Row],[CORREO]])&gt;=11,WORKDAY(Table1[[#This Row],[CORREO]],1,Table2[Dias no laborales]),E2481)</f>
        <v>46202</v>
      </c>
      <c r="G2481" s="11">
        <v>46202</v>
      </c>
      <c r="H2481" s="7">
        <f t="shared" si="135"/>
        <v>26</v>
      </c>
      <c r="I2481" s="7">
        <f>MAX(1, NETWORKDAYS(A2481, G2481,Table2[Dias no laborales]))</f>
        <v>2</v>
      </c>
      <c r="J2481" s="7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7" t="str">
        <f t="shared" si="136"/>
        <v>Mismo día</v>
      </c>
      <c r="L2481" s="11">
        <v>46199</v>
      </c>
      <c r="M2481" s="22">
        <f>MAX(1,NETWORKDAYS(A2481,L2481,Table2[Dias no laborales]))</f>
        <v>1</v>
      </c>
    </row>
    <row r="2482" spans="1:13" hidden="1" x14ac:dyDescent="0.3">
      <c r="A2482" s="11">
        <v>46199</v>
      </c>
      <c r="B2482" s="20" t="s">
        <v>4912</v>
      </c>
      <c r="C2482" s="7" t="s">
        <v>4985</v>
      </c>
      <c r="D2482" s="7" t="s">
        <v>538</v>
      </c>
      <c r="E2482" s="18">
        <v>46199.571527777778</v>
      </c>
      <c r="F2482" s="11">
        <f>IF(HOUR(Table1[[#This Row],[CORREO]])&gt;=11,WORKDAY(Table1[[#This Row],[CORREO]],1,Table2[Dias no laborales]),E2482)</f>
        <v>46202</v>
      </c>
      <c r="G2482" s="11">
        <v>46204</v>
      </c>
      <c r="H2482" s="7">
        <f t="shared" si="135"/>
        <v>26</v>
      </c>
      <c r="I2482" s="7">
        <f>MAX(1, NETWORKDAYS(A2482, G2482,Table2[Dias no laborales]))</f>
        <v>4</v>
      </c>
      <c r="J2482" s="7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7" t="str">
        <f t="shared" si="136"/>
        <v>Mismo día</v>
      </c>
      <c r="L2482" s="11">
        <v>46199</v>
      </c>
      <c r="M2482" s="22">
        <f>MAX(1,NETWORKDAYS(A2482,L2482,Table2[Dias no laborales]))</f>
        <v>1</v>
      </c>
    </row>
    <row r="2483" spans="1:13" hidden="1" x14ac:dyDescent="0.3">
      <c r="A2483" s="11">
        <v>46202</v>
      </c>
      <c r="B2483" s="20" t="s">
        <v>4913</v>
      </c>
      <c r="C2483" s="7" t="s">
        <v>4986</v>
      </c>
      <c r="D2483" s="7" t="s">
        <v>24</v>
      </c>
      <c r="E2483" s="18"/>
      <c r="F2483" s="11">
        <f>IF(HOUR(Table1[[#This Row],[CORREO]])&gt;=11,WORKDAY(Table1[[#This Row],[CORREO]],1,Table2[Dias no laborales]),E2483)</f>
        <v>0</v>
      </c>
      <c r="G2483" s="11">
        <v>46204</v>
      </c>
      <c r="H2483" s="7">
        <f t="shared" ref="H2483:H2501" si="137">INT((A2483-DATE(YEAR(A2483),1,1))/7) + 1</f>
        <v>26</v>
      </c>
      <c r="I2483" s="7">
        <f>MAX(1, NETWORKDAYS(A2483, G2483,Table2[Dias no laborales]))</f>
        <v>3</v>
      </c>
      <c r="J2483" s="7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7" t="str">
        <f t="shared" ref="K2483:K2501" si="138">IF(INT(A2483)=INT(F2483),"A tiempo", IF(A2483&lt;F2483,"Mismo día","Programados"))</f>
        <v>Programados</v>
      </c>
      <c r="L2483" s="11">
        <v>46203</v>
      </c>
      <c r="M2483" s="22">
        <f>MAX(1,NETWORKDAYS(A2483,L2483,Table2[Dias no laborales]))</f>
        <v>2</v>
      </c>
    </row>
    <row r="2484" spans="1:13" hidden="1" x14ac:dyDescent="0.3">
      <c r="A2484" s="11">
        <v>46202</v>
      </c>
      <c r="B2484" s="20" t="s">
        <v>4914</v>
      </c>
      <c r="C2484" s="7" t="s">
        <v>4987</v>
      </c>
      <c r="D2484" s="7" t="s">
        <v>24</v>
      </c>
      <c r="E2484" s="18"/>
      <c r="F2484" s="11">
        <f>IF(HOUR(Table1[[#This Row],[CORREO]])&gt;=11,WORKDAY(Table1[[#This Row],[CORREO]],1,Table2[Dias no laborales]),E2484)</f>
        <v>0</v>
      </c>
      <c r="G2484" s="11">
        <v>46207</v>
      </c>
      <c r="H2484" s="7">
        <f t="shared" si="137"/>
        <v>26</v>
      </c>
      <c r="I2484" s="7">
        <f>MAX(1, NETWORKDAYS(A2484, G2484,Table2[Dias no laborales]))</f>
        <v>5</v>
      </c>
      <c r="J2484" s="7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7" t="str">
        <f t="shared" si="138"/>
        <v>Programados</v>
      </c>
      <c r="L2484" s="11">
        <v>46202</v>
      </c>
      <c r="M2484" s="22">
        <f>MAX(1,NETWORKDAYS(A2484,L2484,Table2[Dias no laborales]))</f>
        <v>1</v>
      </c>
    </row>
    <row r="2485" spans="1:13" hidden="1" x14ac:dyDescent="0.3">
      <c r="A2485" s="11">
        <v>46202</v>
      </c>
      <c r="B2485" s="20" t="s">
        <v>4915</v>
      </c>
      <c r="C2485" s="7" t="s">
        <v>540</v>
      </c>
      <c r="D2485" s="7" t="s">
        <v>848</v>
      </c>
      <c r="E2485" s="18">
        <v>46199.558333333334</v>
      </c>
      <c r="F2485" s="11">
        <f>IF(HOUR(Table1[[#This Row],[CORREO]])&gt;=11,WORKDAY(Table1[[#This Row],[CORREO]],1,Table2[Dias no laborales]),E2485)</f>
        <v>46202</v>
      </c>
      <c r="G2485" s="11">
        <v>46202</v>
      </c>
      <c r="H2485" s="7">
        <f t="shared" si="137"/>
        <v>26</v>
      </c>
      <c r="I2485" s="7">
        <f>MAX(1, NETWORKDAYS(A2485, G2485,Table2[Dias no laborales]))</f>
        <v>1</v>
      </c>
      <c r="J2485" s="7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7" t="str">
        <f t="shared" si="138"/>
        <v>A tiempo</v>
      </c>
      <c r="L2485" s="11">
        <v>46202</v>
      </c>
      <c r="M2485" s="22">
        <f>MAX(1,NETWORKDAYS(A2485,L2485,Table2[Dias no laborales]))</f>
        <v>1</v>
      </c>
    </row>
    <row r="2486" spans="1:13" hidden="1" x14ac:dyDescent="0.3">
      <c r="A2486" s="11">
        <v>46202</v>
      </c>
      <c r="B2486" s="20" t="s">
        <v>4916</v>
      </c>
      <c r="C2486" s="7" t="s">
        <v>4988</v>
      </c>
      <c r="D2486" s="7" t="s">
        <v>392</v>
      </c>
      <c r="E2486" s="18">
        <v>46199.630555555559</v>
      </c>
      <c r="F2486" s="11">
        <f>IF(HOUR(Table1[[#This Row],[CORREO]])&gt;=11,WORKDAY(Table1[[#This Row],[CORREO]],1,Table2[Dias no laborales]),E2486)</f>
        <v>46202</v>
      </c>
      <c r="G2486" s="11">
        <v>46202</v>
      </c>
      <c r="H2486" s="7">
        <f t="shared" si="137"/>
        <v>26</v>
      </c>
      <c r="I2486" s="7">
        <f>MAX(1, NETWORKDAYS(A2486, G2486,Table2[Dias no laborales]))</f>
        <v>1</v>
      </c>
      <c r="J2486" s="7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7" t="str">
        <f t="shared" si="138"/>
        <v>A tiempo</v>
      </c>
      <c r="L2486" s="11">
        <v>46202</v>
      </c>
      <c r="M2486" s="22">
        <f>MAX(1,NETWORKDAYS(A2486,L2486,Table2[Dias no laborales]))</f>
        <v>1</v>
      </c>
    </row>
    <row r="2487" spans="1:13" hidden="1" x14ac:dyDescent="0.3">
      <c r="A2487" s="11">
        <v>46202</v>
      </c>
      <c r="B2487" s="20" t="s">
        <v>4917</v>
      </c>
      <c r="C2487" s="7" t="s">
        <v>4989</v>
      </c>
      <c r="D2487" s="7" t="s">
        <v>754</v>
      </c>
      <c r="E2487" s="18">
        <v>46199.862500000003</v>
      </c>
      <c r="F2487" s="11">
        <f>IF(HOUR(Table1[[#This Row],[CORREO]])&gt;=11,WORKDAY(Table1[[#This Row],[CORREO]],1,Table2[Dias no laborales]),E2487)</f>
        <v>46202</v>
      </c>
      <c r="G2487" s="11">
        <v>46202</v>
      </c>
      <c r="H2487" s="7">
        <f t="shared" si="137"/>
        <v>26</v>
      </c>
      <c r="I2487" s="7">
        <f>MAX(1, NETWORKDAYS(A2487, G2487,Table2[Dias no laborales]))</f>
        <v>1</v>
      </c>
      <c r="J2487" s="7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7" t="str">
        <f t="shared" si="138"/>
        <v>A tiempo</v>
      </c>
      <c r="L2487" s="11">
        <v>46202</v>
      </c>
      <c r="M2487" s="22">
        <f>MAX(1,NETWORKDAYS(A2487,L2487,Table2[Dias no laborales]))</f>
        <v>1</v>
      </c>
    </row>
    <row r="2488" spans="1:13" hidden="1" x14ac:dyDescent="0.3">
      <c r="A2488" s="11">
        <v>46202</v>
      </c>
      <c r="B2488" s="20" t="s">
        <v>4918</v>
      </c>
      <c r="C2488" s="7" t="s">
        <v>4990</v>
      </c>
      <c r="D2488" s="7" t="s">
        <v>761</v>
      </c>
      <c r="E2488" s="18">
        <v>46200.693749999999</v>
      </c>
      <c r="F2488" s="11">
        <f>IF(HOUR(Table1[[#This Row],[CORREO]])&gt;=11,WORKDAY(Table1[[#This Row],[CORREO]],1,Table2[Dias no laborales]),E2488)</f>
        <v>46202</v>
      </c>
      <c r="G2488" s="11">
        <v>46202</v>
      </c>
      <c r="H2488" s="7">
        <f t="shared" si="137"/>
        <v>26</v>
      </c>
      <c r="I2488" s="7">
        <f>MAX(1, NETWORKDAYS(A2488, G2488,Table2[Dias no laborales]))</f>
        <v>1</v>
      </c>
      <c r="J2488" s="7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7" t="str">
        <f t="shared" si="138"/>
        <v>A tiempo</v>
      </c>
      <c r="L2488" s="11">
        <v>46202</v>
      </c>
      <c r="M2488" s="22">
        <f>MAX(1,NETWORKDAYS(A2488,L2488,Table2[Dias no laborales]))</f>
        <v>1</v>
      </c>
    </row>
    <row r="2489" spans="1:13" hidden="1" x14ac:dyDescent="0.3">
      <c r="A2489" s="11">
        <v>46202</v>
      </c>
      <c r="B2489" s="20" t="s">
        <v>4919</v>
      </c>
      <c r="C2489" s="7" t="s">
        <v>3008</v>
      </c>
      <c r="D2489" s="7" t="s">
        <v>4991</v>
      </c>
      <c r="E2489" s="18">
        <v>46200.85833333333</v>
      </c>
      <c r="F2489" s="11">
        <f>IF(HOUR(Table1[[#This Row],[CORREO]])&gt;=11,WORKDAY(Table1[[#This Row],[CORREO]],1,Table2[Dias no laborales]),E2489)</f>
        <v>46202</v>
      </c>
      <c r="G2489" s="11">
        <v>46206</v>
      </c>
      <c r="H2489" s="7">
        <f t="shared" si="137"/>
        <v>26</v>
      </c>
      <c r="I2489" s="7">
        <f>MAX(1, NETWORKDAYS(A2489, G2489,Table2[Dias no laborales]))</f>
        <v>5</v>
      </c>
      <c r="J2489" s="7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7" t="str">
        <f t="shared" si="138"/>
        <v>A tiempo</v>
      </c>
      <c r="L2489" s="11">
        <v>46202</v>
      </c>
      <c r="M2489" s="22">
        <f>MAX(1,NETWORKDAYS(A2489,L2489,Table2[Dias no laborales]))</f>
        <v>1</v>
      </c>
    </row>
    <row r="2490" spans="1:13" hidden="1" x14ac:dyDescent="0.3">
      <c r="A2490" s="11">
        <v>46202</v>
      </c>
      <c r="B2490" s="20" t="s">
        <v>4920</v>
      </c>
      <c r="C2490" s="7" t="s">
        <v>4992</v>
      </c>
      <c r="D2490" s="7" t="s">
        <v>3794</v>
      </c>
      <c r="E2490" s="18">
        <v>46201.445833333331</v>
      </c>
      <c r="F2490" s="11">
        <f>IF(HOUR(Table1[[#This Row],[CORREO]])&gt;=11,WORKDAY(Table1[[#This Row],[CORREO]],1,Table2[Dias no laborales]),E2490)</f>
        <v>46201.445833333331</v>
      </c>
      <c r="G2490" s="11">
        <v>46205</v>
      </c>
      <c r="H2490" s="7">
        <f t="shared" si="137"/>
        <v>26</v>
      </c>
      <c r="I2490" s="7">
        <f>MAX(1, NETWORKDAYS(A2490, G2490,Table2[Dias no laborales]))</f>
        <v>4</v>
      </c>
      <c r="J2490" s="7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7" t="str">
        <f t="shared" si="138"/>
        <v>Programados</v>
      </c>
      <c r="L2490" s="11">
        <v>46202</v>
      </c>
      <c r="M2490" s="22">
        <f>MAX(1,NETWORKDAYS(A2490,L2490,Table2[Dias no laborales]))</f>
        <v>1</v>
      </c>
    </row>
    <row r="2491" spans="1:13" hidden="1" x14ac:dyDescent="0.3">
      <c r="A2491" s="11">
        <v>46202</v>
      </c>
      <c r="B2491" s="20" t="s">
        <v>4921</v>
      </c>
      <c r="C2491" s="7" t="s">
        <v>4993</v>
      </c>
      <c r="D2491" s="7" t="s">
        <v>477</v>
      </c>
      <c r="E2491" s="18">
        <v>46202.251388888886</v>
      </c>
      <c r="F2491" s="11">
        <f>IF(HOUR(Table1[[#This Row],[CORREO]])&gt;=11,WORKDAY(Table1[[#This Row],[CORREO]],1,Table2[Dias no laborales]),E2491)</f>
        <v>46202.251388888886</v>
      </c>
      <c r="G2491" s="11">
        <v>46202</v>
      </c>
      <c r="H2491" s="7">
        <f t="shared" si="137"/>
        <v>26</v>
      </c>
      <c r="I2491" s="7">
        <f>MAX(1, NETWORKDAYS(A2491, G2491,Table2[Dias no laborales]))</f>
        <v>1</v>
      </c>
      <c r="J2491" s="7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7" t="str">
        <f t="shared" si="138"/>
        <v>A tiempo</v>
      </c>
      <c r="L2491" s="11">
        <v>46202</v>
      </c>
      <c r="M2491" s="22">
        <f>MAX(1,NETWORKDAYS(A2491,L2491,Table2[Dias no laborales]))</f>
        <v>1</v>
      </c>
    </row>
    <row r="2492" spans="1:13" hidden="1" x14ac:dyDescent="0.3">
      <c r="A2492" s="11">
        <v>46202</v>
      </c>
      <c r="B2492" s="20" t="s">
        <v>4922</v>
      </c>
      <c r="C2492" s="7" t="s">
        <v>4690</v>
      </c>
      <c r="D2492" s="7" t="s">
        <v>85</v>
      </c>
      <c r="E2492" s="18">
        <v>46202.343055555553</v>
      </c>
      <c r="F2492" s="11">
        <f>IF(HOUR(Table1[[#This Row],[CORREO]])&gt;=11,WORKDAY(Table1[[#This Row],[CORREO]],1,Table2[Dias no laborales]),E2492)</f>
        <v>46202.343055555553</v>
      </c>
      <c r="G2492" s="11">
        <v>46202</v>
      </c>
      <c r="H2492" s="7">
        <f t="shared" si="137"/>
        <v>26</v>
      </c>
      <c r="I2492" s="7">
        <f>MAX(1, NETWORKDAYS(A2492, G2492,Table2[Dias no laborales]))</f>
        <v>1</v>
      </c>
      <c r="J2492" s="7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7" t="str">
        <f t="shared" si="138"/>
        <v>A tiempo</v>
      </c>
      <c r="L2492" s="11">
        <v>46202</v>
      </c>
      <c r="M2492" s="22">
        <f>MAX(1,NETWORKDAYS(A2492,L2492,Table2[Dias no laborales]))</f>
        <v>1</v>
      </c>
    </row>
    <row r="2493" spans="1:13" hidden="1" x14ac:dyDescent="0.3">
      <c r="A2493" s="11">
        <v>46202</v>
      </c>
      <c r="B2493" s="20" t="s">
        <v>4923</v>
      </c>
      <c r="C2493" s="7" t="s">
        <v>4988</v>
      </c>
      <c r="D2493" s="7" t="s">
        <v>392</v>
      </c>
      <c r="E2493" s="18">
        <v>46202.34652777778</v>
      </c>
      <c r="F2493" s="11">
        <f>IF(HOUR(Table1[[#This Row],[CORREO]])&gt;=11,WORKDAY(Table1[[#This Row],[CORREO]],1,Table2[Dias no laborales]),E2493)</f>
        <v>46202.34652777778</v>
      </c>
      <c r="G2493" s="11">
        <v>46202</v>
      </c>
      <c r="H2493" s="7">
        <f t="shared" si="137"/>
        <v>26</v>
      </c>
      <c r="I2493" s="7">
        <f>MAX(1, NETWORKDAYS(A2493, G2493,Table2[Dias no laborales]))</f>
        <v>1</v>
      </c>
      <c r="J2493" s="7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7" t="str">
        <f t="shared" si="138"/>
        <v>A tiempo</v>
      </c>
      <c r="L2493" s="11">
        <v>46202</v>
      </c>
      <c r="M2493" s="22">
        <f>MAX(1,NETWORKDAYS(A2493,L2493,Table2[Dias no laborales]))</f>
        <v>1</v>
      </c>
    </row>
    <row r="2494" spans="1:13" hidden="1" x14ac:dyDescent="0.3">
      <c r="A2494" s="11">
        <v>46202</v>
      </c>
      <c r="B2494" s="20" t="s">
        <v>4924</v>
      </c>
      <c r="C2494" s="7" t="s">
        <v>4994</v>
      </c>
      <c r="D2494" s="7" t="s">
        <v>913</v>
      </c>
      <c r="E2494" s="18">
        <v>46202.352777777778</v>
      </c>
      <c r="F2494" s="11">
        <f>IF(HOUR(Table1[[#This Row],[CORREO]])&gt;=11,WORKDAY(Table1[[#This Row],[CORREO]],1,Table2[Dias no laborales]),E2494)</f>
        <v>46202.352777777778</v>
      </c>
      <c r="G2494" s="11">
        <v>46202</v>
      </c>
      <c r="H2494" s="7">
        <f t="shared" si="137"/>
        <v>26</v>
      </c>
      <c r="I2494" s="7">
        <f>MAX(1, NETWORKDAYS(A2494, G2494,Table2[Dias no laborales]))</f>
        <v>1</v>
      </c>
      <c r="J2494" s="7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7" t="str">
        <f t="shared" si="138"/>
        <v>A tiempo</v>
      </c>
      <c r="L2494" s="11">
        <v>46202</v>
      </c>
      <c r="M2494" s="22">
        <f>MAX(1,NETWORKDAYS(A2494,L2494,Table2[Dias no laborales]))</f>
        <v>1</v>
      </c>
    </row>
    <row r="2495" spans="1:13" hidden="1" x14ac:dyDescent="0.3">
      <c r="A2495" s="11">
        <v>46202</v>
      </c>
      <c r="B2495" s="20" t="s">
        <v>4925</v>
      </c>
      <c r="C2495" s="7" t="s">
        <v>4965</v>
      </c>
      <c r="D2495" s="7" t="s">
        <v>4958</v>
      </c>
      <c r="E2495" s="18">
        <v>46202.536805555559</v>
      </c>
      <c r="F2495" s="11">
        <f>IF(HOUR(Table1[[#This Row],[CORREO]])&gt;=11,WORKDAY(Table1[[#This Row],[CORREO]],1,Table2[Dias no laborales]),E2495)</f>
        <v>46203</v>
      </c>
      <c r="G2495" s="11">
        <v>46203</v>
      </c>
      <c r="H2495" s="7">
        <f t="shared" si="137"/>
        <v>26</v>
      </c>
      <c r="I2495" s="7">
        <f>MAX(1, NETWORKDAYS(A2495, G2495,Table2[Dias no laborales]))</f>
        <v>2</v>
      </c>
      <c r="J2495" s="7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7" t="str">
        <f t="shared" si="138"/>
        <v>Mismo día</v>
      </c>
      <c r="L2495" s="11">
        <v>46202</v>
      </c>
      <c r="M2495" s="22">
        <f>MAX(1,NETWORKDAYS(A2495,L2495,Table2[Dias no laborales]))</f>
        <v>1</v>
      </c>
    </row>
    <row r="2496" spans="1:13" hidden="1" x14ac:dyDescent="0.3">
      <c r="A2496" s="11">
        <v>46203</v>
      </c>
      <c r="B2496" s="20" t="s">
        <v>4926</v>
      </c>
      <c r="C2496" s="7" t="s">
        <v>4287</v>
      </c>
      <c r="D2496" s="7" t="s">
        <v>2994</v>
      </c>
      <c r="E2496" s="18">
        <v>46202.594444444447</v>
      </c>
      <c r="F2496" s="11">
        <f>IF(HOUR(Table1[[#This Row],[CORREO]])&gt;=11,WORKDAY(Table1[[#This Row],[CORREO]],1,Table2[Dias no laborales]),E2496)</f>
        <v>46203</v>
      </c>
      <c r="G2496" s="11">
        <v>46203</v>
      </c>
      <c r="H2496" s="7">
        <f t="shared" si="137"/>
        <v>26</v>
      </c>
      <c r="I2496" s="7">
        <f>MAX(1, NETWORKDAYS(A2496, G2496,Table2[Dias no laborales]))</f>
        <v>1</v>
      </c>
      <c r="J2496" s="7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7" t="str">
        <f t="shared" si="138"/>
        <v>A tiempo</v>
      </c>
      <c r="L2496" s="11">
        <v>46203</v>
      </c>
      <c r="M2496" s="22">
        <f>MAX(1,NETWORKDAYS(A2496,L2496,Table2[Dias no laborales]))</f>
        <v>1</v>
      </c>
    </row>
    <row r="2497" spans="1:13" hidden="1" x14ac:dyDescent="0.3">
      <c r="A2497" s="11">
        <v>46203</v>
      </c>
      <c r="B2497" s="20" t="s">
        <v>4927</v>
      </c>
      <c r="C2497" s="7" t="s">
        <v>4995</v>
      </c>
      <c r="D2497" s="7" t="s">
        <v>3020</v>
      </c>
      <c r="E2497" s="18">
        <v>46202.84375</v>
      </c>
      <c r="F2497" s="11">
        <f>IF(HOUR(Table1[[#This Row],[CORREO]])&gt;=11,WORKDAY(Table1[[#This Row],[CORREO]],1,Table2[Dias no laborales]),E2497)</f>
        <v>46203</v>
      </c>
      <c r="G2497" s="11">
        <v>46205</v>
      </c>
      <c r="H2497" s="7">
        <f t="shared" si="137"/>
        <v>26</v>
      </c>
      <c r="I2497" s="7">
        <f>MAX(1, NETWORKDAYS(A2497, G2497,Table2[Dias no laborales]))</f>
        <v>3</v>
      </c>
      <c r="J2497" s="7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7" t="str">
        <f t="shared" si="138"/>
        <v>A tiempo</v>
      </c>
      <c r="L2497" s="11">
        <v>46203</v>
      </c>
      <c r="M2497" s="22">
        <f>MAX(1,NETWORKDAYS(A2497,L2497,Table2[Dias no laborales]))</f>
        <v>1</v>
      </c>
    </row>
    <row r="2498" spans="1:13" hidden="1" x14ac:dyDescent="0.3">
      <c r="A2498" s="11">
        <v>46203</v>
      </c>
      <c r="B2498" s="20" t="s">
        <v>4928</v>
      </c>
      <c r="C2498" s="7" t="s">
        <v>4988</v>
      </c>
      <c r="D2498" s="7" t="s">
        <v>392</v>
      </c>
      <c r="E2498" s="18">
        <v>46203.339583333334</v>
      </c>
      <c r="F2498" s="11">
        <f>IF(HOUR(Table1[[#This Row],[CORREO]])&gt;=11,WORKDAY(Table1[[#This Row],[CORREO]],1,Table2[Dias no laborales]),E2498)</f>
        <v>46203.339583333334</v>
      </c>
      <c r="G2498" s="11">
        <v>46203</v>
      </c>
      <c r="H2498" s="7">
        <f t="shared" si="137"/>
        <v>26</v>
      </c>
      <c r="I2498" s="7">
        <f>MAX(1, NETWORKDAYS(A2498, G2498,Table2[Dias no laborales]))</f>
        <v>1</v>
      </c>
      <c r="J2498" s="7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7" t="str">
        <f t="shared" si="138"/>
        <v>A tiempo</v>
      </c>
      <c r="L2498" s="11">
        <v>46203</v>
      </c>
      <c r="M2498" s="22">
        <f>MAX(1,NETWORKDAYS(A2498,L2498,Table2[Dias no laborales]))</f>
        <v>1</v>
      </c>
    </row>
    <row r="2499" spans="1:13" x14ac:dyDescent="0.3">
      <c r="A2499" s="11">
        <v>46203</v>
      </c>
      <c r="B2499" s="20" t="s">
        <v>4929</v>
      </c>
      <c r="C2499" s="7" t="s">
        <v>4996</v>
      </c>
      <c r="D2499" s="7" t="s">
        <v>2994</v>
      </c>
      <c r="E2499" s="18"/>
      <c r="F2499" s="11">
        <f>IF(HOUR(Table1[[#This Row],[CORREO]])&gt;=11,WORKDAY(Table1[[#This Row],[CORREO]],1,Table2[Dias no laborales]),E2499)</f>
        <v>0</v>
      </c>
      <c r="G2499" s="11"/>
      <c r="H2499" s="7">
        <f t="shared" si="137"/>
        <v>26</v>
      </c>
      <c r="I2499" s="7">
        <f>MAX(1, NETWORKDAYS(A2499, G2499,Table2[Dias no laborales]))</f>
        <v>1</v>
      </c>
      <c r="J2499" s="7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7" t="str">
        <f t="shared" si="138"/>
        <v>Programados</v>
      </c>
      <c r="L2499" s="11">
        <v>46203</v>
      </c>
      <c r="M2499" s="22">
        <f>MAX(1,NETWORKDAYS(A2499,L2499,Table2[Dias no laborales]))</f>
        <v>1</v>
      </c>
    </row>
    <row r="2500" spans="1:13" hidden="1" x14ac:dyDescent="0.3">
      <c r="A2500" s="11">
        <v>46203</v>
      </c>
      <c r="B2500" s="20" t="s">
        <v>4930</v>
      </c>
      <c r="C2500" s="7" t="s">
        <v>4997</v>
      </c>
      <c r="D2500" s="7" t="s">
        <v>269</v>
      </c>
      <c r="E2500" s="18">
        <v>46203.420138888891</v>
      </c>
      <c r="F2500" s="11">
        <f>IF(HOUR(Table1[[#This Row],[CORREO]])&gt;=11,WORKDAY(Table1[[#This Row],[CORREO]],1,Table2[Dias no laborales]),E2500)</f>
        <v>46203.420138888891</v>
      </c>
      <c r="G2500" s="11">
        <v>46206</v>
      </c>
      <c r="H2500" s="7">
        <f t="shared" si="137"/>
        <v>26</v>
      </c>
      <c r="I2500" s="7">
        <f>MAX(1, NETWORKDAYS(A2500, G2500,Table2[Dias no laborales]))</f>
        <v>4</v>
      </c>
      <c r="J2500" s="7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7" t="str">
        <f t="shared" si="138"/>
        <v>A tiempo</v>
      </c>
      <c r="L2500" s="11">
        <v>46203</v>
      </c>
      <c r="M2500" s="22">
        <f>MAX(1,NETWORKDAYS(A2500,L2500,Table2[Dias no laborales]))</f>
        <v>1</v>
      </c>
    </row>
    <row r="2501" spans="1:13" hidden="1" x14ac:dyDescent="0.3">
      <c r="A2501" s="11">
        <v>46204</v>
      </c>
      <c r="B2501" s="20" t="s">
        <v>4931</v>
      </c>
      <c r="C2501" s="7" t="s">
        <v>4998</v>
      </c>
      <c r="D2501" s="7" t="s">
        <v>85</v>
      </c>
      <c r="E2501" s="18"/>
      <c r="F2501" s="11">
        <f>IF(HOUR(Table1[[#This Row],[CORREO]])&gt;=11,WORKDAY(Table1[[#This Row],[CORREO]],1,Table2[Dias no laborales]),E2501)</f>
        <v>0</v>
      </c>
      <c r="G2501" s="11">
        <v>46209</v>
      </c>
      <c r="H2501" s="7">
        <f t="shared" si="137"/>
        <v>26</v>
      </c>
      <c r="I2501" s="7">
        <f>MAX(1, NETWORKDAYS(A2501, G2501,Table2[Dias no laborales]))</f>
        <v>4</v>
      </c>
      <c r="J2501" s="7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7" t="str">
        <f t="shared" si="138"/>
        <v>Programados</v>
      </c>
      <c r="L2501" s="11">
        <v>46204</v>
      </c>
      <c r="M2501" s="22">
        <f>MAX(1,NETWORKDAYS(A2501,L2501,Table2[Dias no laborales]))</f>
        <v>1</v>
      </c>
    </row>
    <row r="2502" spans="1:13" hidden="1" x14ac:dyDescent="0.3">
      <c r="A2502" s="11">
        <v>46204</v>
      </c>
      <c r="B2502" s="20" t="s">
        <v>4971</v>
      </c>
      <c r="C2502" s="7" t="s">
        <v>4988</v>
      </c>
      <c r="D2502" s="7" t="s">
        <v>392</v>
      </c>
      <c r="E2502" s="18">
        <v>46204.355555555558</v>
      </c>
      <c r="F2502" s="11">
        <f>IF(HOUR(Table1[[#This Row],[CORREO]])&gt;=11,WORKDAY(Table1[[#This Row],[CORREO]],1,Table2[Dias no laborales]),E2502)</f>
        <v>46204.355555555558</v>
      </c>
      <c r="G2502" s="11">
        <v>46204</v>
      </c>
      <c r="H2502" s="7">
        <f t="shared" ref="H2502:H2514" si="139">INT((A2502-DATE(YEAR(A2502),1,1))/7) + 1</f>
        <v>26</v>
      </c>
      <c r="I2502" s="7">
        <f>MAX(1, NETWORKDAYS(A2502, G2502,Table2[Dias no laborales]))</f>
        <v>1</v>
      </c>
      <c r="J2502" s="7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7" t="str">
        <f t="shared" ref="K2502:K2514" si="140">IF(INT(A2502)=INT(F2502),"A tiempo", IF(A2502&lt;F2502,"Mismo día","Programados"))</f>
        <v>A tiempo</v>
      </c>
      <c r="L2502" s="11">
        <v>46204</v>
      </c>
      <c r="M2502" s="22">
        <f>MAX(1,NETWORKDAYS(A2502,L2502,Table2[Dias no laborales]))</f>
        <v>1</v>
      </c>
    </row>
    <row r="2503" spans="1:13" hidden="1" x14ac:dyDescent="0.3">
      <c r="A2503" s="11">
        <v>46204</v>
      </c>
      <c r="B2503" s="20" t="s">
        <v>4972</v>
      </c>
      <c r="C2503" s="7" t="s">
        <v>5038</v>
      </c>
      <c r="D2503" s="7" t="s">
        <v>269</v>
      </c>
      <c r="E2503" s="18">
        <v>46204.447916666664</v>
      </c>
      <c r="F2503" s="11">
        <f>IF(HOUR(Table1[[#This Row],[CORREO]])&gt;=11,WORKDAY(Table1[[#This Row],[CORREO]],1,Table2[Dias no laborales]),E2503)</f>
        <v>46204.447916666664</v>
      </c>
      <c r="G2503" s="11">
        <v>46204</v>
      </c>
      <c r="H2503" s="7">
        <f t="shared" si="139"/>
        <v>26</v>
      </c>
      <c r="I2503" s="7">
        <f>MAX(1, NETWORKDAYS(A2503, G2503,Table2[Dias no laborales]))</f>
        <v>1</v>
      </c>
      <c r="J2503" s="7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7" t="str">
        <f t="shared" si="140"/>
        <v>A tiempo</v>
      </c>
      <c r="L2503" s="11">
        <v>46204</v>
      </c>
      <c r="M2503" s="22">
        <f>MAX(1,NETWORKDAYS(A2503,L2503,Table2[Dias no laborales]))</f>
        <v>1</v>
      </c>
    </row>
    <row r="2504" spans="1:13" hidden="1" x14ac:dyDescent="0.3">
      <c r="A2504" s="11">
        <v>46204</v>
      </c>
      <c r="B2504" s="20" t="s">
        <v>4973</v>
      </c>
      <c r="C2504" s="7" t="s">
        <v>4700</v>
      </c>
      <c r="D2504" s="7" t="s">
        <v>5039</v>
      </c>
      <c r="E2504" s="18"/>
      <c r="F2504" s="11">
        <f>IF(HOUR(Table1[[#This Row],[CORREO]])&gt;=11,WORKDAY(Table1[[#This Row],[CORREO]],1,Table2[Dias no laborales]),E2504)</f>
        <v>0</v>
      </c>
      <c r="G2504" s="11">
        <v>46209</v>
      </c>
      <c r="H2504" s="7">
        <f t="shared" si="139"/>
        <v>26</v>
      </c>
      <c r="I2504" s="7">
        <f>MAX(1, NETWORKDAYS(A2504, G2504,Table2[Dias no laborales]))</f>
        <v>4</v>
      </c>
      <c r="J2504" s="7" t="str">
        <f>IF(Table1[[#This Row],[FIN]]="","Acumulado",IF(ISNUMBER(SEARCH("ASAP",C2504)),"ASAP",IF(NETWORKDAYS.INTL(F2504,G2504,1,Table2[Dias no laborales]) &lt;= 7, "Dentro", IF(A2504&gt;F2504,"Programado","Fuera"))))</f>
        <v>Programado</v>
      </c>
      <c r="K2504" s="7" t="str">
        <f t="shared" si="140"/>
        <v>Programados</v>
      </c>
      <c r="L2504" s="11">
        <v>46204</v>
      </c>
      <c r="M2504" s="22">
        <f>MAX(1,NETWORKDAYS(A2504,L2504,Table2[Dias no laborales]))</f>
        <v>1</v>
      </c>
    </row>
    <row r="2505" spans="1:13" hidden="1" x14ac:dyDescent="0.3">
      <c r="A2505" s="11">
        <v>46204</v>
      </c>
      <c r="B2505" s="20" t="s">
        <v>4974</v>
      </c>
      <c r="C2505" s="7" t="s">
        <v>4700</v>
      </c>
      <c r="D2505" s="7" t="s">
        <v>5040</v>
      </c>
      <c r="E2505" s="18"/>
      <c r="F2505" s="11">
        <f>IF(HOUR(Table1[[#This Row],[CORREO]])&gt;=11,WORKDAY(Table1[[#This Row],[CORREO]],1,Table2[Dias no laborales]),E2505)</f>
        <v>0</v>
      </c>
      <c r="G2505" s="11">
        <v>46209</v>
      </c>
      <c r="H2505" s="7">
        <f t="shared" si="139"/>
        <v>26</v>
      </c>
      <c r="I2505" s="7">
        <f>MAX(1, NETWORKDAYS(A2505, G2505,Table2[Dias no laborales]))</f>
        <v>4</v>
      </c>
      <c r="J2505" s="7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7" t="str">
        <f t="shared" si="140"/>
        <v>Programados</v>
      </c>
      <c r="L2505" s="11">
        <v>46204</v>
      </c>
      <c r="M2505" s="22">
        <f>MAX(1,NETWORKDAYS(A2505,L2505,Table2[Dias no laborales]))</f>
        <v>1</v>
      </c>
    </row>
    <row r="2506" spans="1:13" hidden="1" x14ac:dyDescent="0.3">
      <c r="A2506" s="11">
        <v>46204</v>
      </c>
      <c r="B2506" s="20" t="s">
        <v>4975</v>
      </c>
      <c r="C2506" s="7" t="s">
        <v>4700</v>
      </c>
      <c r="D2506" s="7" t="s">
        <v>5041</v>
      </c>
      <c r="E2506" s="18"/>
      <c r="F2506" s="11">
        <f>IF(HOUR(Table1[[#This Row],[CORREO]])&gt;=11,WORKDAY(Table1[[#This Row],[CORREO]],1,Table2[Dias no laborales]),E2506)</f>
        <v>0</v>
      </c>
      <c r="G2506" s="11">
        <v>46210</v>
      </c>
      <c r="H2506" s="7">
        <f t="shared" si="139"/>
        <v>26</v>
      </c>
      <c r="I2506" s="7">
        <f>MAX(1, NETWORKDAYS(A2506, G2506,Table2[Dias no laborales]))</f>
        <v>5</v>
      </c>
      <c r="J2506" s="7" t="str">
        <f>IF(Table1[[#This Row],[FIN]]="","Acumulado",IF(ISNUMBER(SEARCH("ASAP",C2506)),"ASAP",IF(NETWORKDAYS.INTL(F2506,G2506,1,Table2[Dias no laborales]) &lt;= 7, "Dentro", IF(A2506&gt;F2506,"Programado","Fuera"))))</f>
        <v>Programado</v>
      </c>
      <c r="K2506" s="7" t="str">
        <f t="shared" si="140"/>
        <v>Programados</v>
      </c>
      <c r="L2506" s="11">
        <v>46204</v>
      </c>
      <c r="M2506" s="22">
        <f>MAX(1,NETWORKDAYS(A2506,L2506,Table2[Dias no laborales]))</f>
        <v>1</v>
      </c>
    </row>
    <row r="2507" spans="1:13" hidden="1" x14ac:dyDescent="0.3">
      <c r="A2507" s="11">
        <v>46204</v>
      </c>
      <c r="B2507" s="20" t="s">
        <v>4976</v>
      </c>
      <c r="C2507" s="7" t="s">
        <v>5042</v>
      </c>
      <c r="D2507" s="7" t="s">
        <v>5043</v>
      </c>
      <c r="E2507" s="18">
        <v>46204.54583333333</v>
      </c>
      <c r="F2507" s="11">
        <f>IF(HOUR(Table1[[#This Row],[CORREO]])&gt;=11,WORKDAY(Table1[[#This Row],[CORREO]],1,Table2[Dias no laborales]),E2507)</f>
        <v>46205</v>
      </c>
      <c r="G2507" s="11">
        <v>46209</v>
      </c>
      <c r="H2507" s="7">
        <f t="shared" si="139"/>
        <v>26</v>
      </c>
      <c r="I2507" s="7">
        <f>MAX(1, NETWORKDAYS(A2507, G2507,Table2[Dias no laborales]))</f>
        <v>4</v>
      </c>
      <c r="J2507" s="7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7" t="str">
        <f t="shared" si="140"/>
        <v>Mismo día</v>
      </c>
      <c r="L2507" s="11">
        <v>46204</v>
      </c>
      <c r="M2507" s="22">
        <f>MAX(1,NETWORKDAYS(A2507,L2507,Table2[Dias no laborales]))</f>
        <v>1</v>
      </c>
    </row>
    <row r="2508" spans="1:13" hidden="1" x14ac:dyDescent="0.3">
      <c r="A2508" s="11">
        <v>46205</v>
      </c>
      <c r="B2508" s="20" t="s">
        <v>4977</v>
      </c>
      <c r="C2508" s="7" t="s">
        <v>5044</v>
      </c>
      <c r="D2508" s="7" t="s">
        <v>24</v>
      </c>
      <c r="E2508" s="18"/>
      <c r="F2508" s="11">
        <f>IF(HOUR(Table1[[#This Row],[CORREO]])&gt;=11,WORKDAY(Table1[[#This Row],[CORREO]],1,Table2[Dias no laborales]),E2508)</f>
        <v>0</v>
      </c>
      <c r="G2508" s="11">
        <v>46210</v>
      </c>
      <c r="H2508" s="7">
        <f t="shared" si="139"/>
        <v>27</v>
      </c>
      <c r="I2508" s="7">
        <f>MAX(1, NETWORKDAYS(A2508, G2508,Table2[Dias no laborales]))</f>
        <v>4</v>
      </c>
      <c r="J2508" s="7" t="str">
        <f>IF(Table1[[#This Row],[FIN]]="","Acumulado",IF(ISNUMBER(SEARCH("ASAP",C2508)),"ASAP",IF(NETWORKDAYS.INTL(F2508,G2508,1,Table2[Dias no laborales]) &lt;= 7, "Dentro", IF(A2508&gt;F2508,"Programado","Fuera"))))</f>
        <v>Programado</v>
      </c>
      <c r="K2508" s="7" t="str">
        <f t="shared" si="140"/>
        <v>Programados</v>
      </c>
      <c r="L2508" s="11">
        <v>46205</v>
      </c>
      <c r="M2508" s="22">
        <f>MAX(1,NETWORKDAYS(A2508,L2508,Table2[Dias no laborales]))</f>
        <v>1</v>
      </c>
    </row>
    <row r="2509" spans="1:13" hidden="1" x14ac:dyDescent="0.3">
      <c r="A2509" s="11">
        <v>46205</v>
      </c>
      <c r="B2509" s="20" t="s">
        <v>4978</v>
      </c>
      <c r="C2509" s="7" t="s">
        <v>5045</v>
      </c>
      <c r="D2509" s="7" t="s">
        <v>586</v>
      </c>
      <c r="E2509" s="18"/>
      <c r="F2509" s="11">
        <f>IF(HOUR(Table1[[#This Row],[CORREO]])&gt;=11,WORKDAY(Table1[[#This Row],[CORREO]],1,Table2[Dias no laborales]),E2509)</f>
        <v>0</v>
      </c>
      <c r="G2509" s="11">
        <v>46211</v>
      </c>
      <c r="H2509" s="7">
        <f t="shared" si="139"/>
        <v>27</v>
      </c>
      <c r="I2509" s="7">
        <f>MAX(1, NETWORKDAYS(A2509, G2509,Table2[Dias no laborales]))</f>
        <v>5</v>
      </c>
      <c r="J2509" s="7" t="str">
        <f>IF(Table1[[#This Row],[FIN]]="","Acumulado",IF(ISNUMBER(SEARCH("ASAP",C2509)),"ASAP",IF(NETWORKDAYS.INTL(F2509,G2509,1,Table2[Dias no laborales]) &lt;= 7, "Dentro", IF(A2509&gt;F2509,"Programado","Fuera"))))</f>
        <v>Programado</v>
      </c>
      <c r="K2509" s="7" t="str">
        <f t="shared" si="140"/>
        <v>Programados</v>
      </c>
      <c r="L2509" s="11">
        <v>46205</v>
      </c>
      <c r="M2509" s="22">
        <f>MAX(1,NETWORKDAYS(A2509,L2509,Table2[Dias no laborales]))</f>
        <v>1</v>
      </c>
    </row>
    <row r="2510" spans="1:13" x14ac:dyDescent="0.3">
      <c r="A2510" s="11">
        <v>46205</v>
      </c>
      <c r="B2510" s="20" t="s">
        <v>4979</v>
      </c>
      <c r="C2510" s="7" t="s">
        <v>5046</v>
      </c>
      <c r="D2510" s="7" t="s">
        <v>288</v>
      </c>
      <c r="E2510" s="18"/>
      <c r="F2510" s="11">
        <f>IF(HOUR(Table1[[#This Row],[CORREO]])&gt;=11,WORKDAY(Table1[[#This Row],[CORREO]],1,Table2[Dias no laborales]),E2510)</f>
        <v>0</v>
      </c>
      <c r="G2510" s="11"/>
      <c r="H2510" s="7">
        <f t="shared" si="139"/>
        <v>27</v>
      </c>
      <c r="I2510" s="7">
        <f>MAX(1, NETWORKDAYS(A2510, G2510,Table2[Dias no laborales]))</f>
        <v>1</v>
      </c>
      <c r="J2510" s="7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7" t="str">
        <f t="shared" si="140"/>
        <v>Programados</v>
      </c>
      <c r="L2510" s="11">
        <v>46205</v>
      </c>
      <c r="M2510" s="22">
        <f>MAX(1,NETWORKDAYS(A2510,L2510,Table2[Dias no laborales]))</f>
        <v>1</v>
      </c>
    </row>
    <row r="2511" spans="1:13" hidden="1" x14ac:dyDescent="0.3">
      <c r="A2511" s="11">
        <v>46205</v>
      </c>
      <c r="B2511" s="20" t="s">
        <v>4980</v>
      </c>
      <c r="C2511" s="7" t="s">
        <v>5047</v>
      </c>
      <c r="D2511" s="7" t="s">
        <v>288</v>
      </c>
      <c r="E2511" s="18"/>
      <c r="F2511" s="11">
        <f>IF(HOUR(Table1[[#This Row],[CORREO]])&gt;=11,WORKDAY(Table1[[#This Row],[CORREO]],1,Table2[Dias no laborales]),E2511)</f>
        <v>0</v>
      </c>
      <c r="G2511" s="11">
        <v>46210</v>
      </c>
      <c r="H2511" s="7">
        <f t="shared" si="139"/>
        <v>27</v>
      </c>
      <c r="I2511" s="7">
        <f>MAX(1, NETWORKDAYS(A2511, G2511,Table2[Dias no laborales]))</f>
        <v>4</v>
      </c>
      <c r="J2511" s="7" t="str">
        <f>IF(Table1[[#This Row],[FIN]]="","Acumulado",IF(ISNUMBER(SEARCH("ASAP",C2511)),"ASAP",IF(NETWORKDAYS.INTL(F2511,G2511,1,Table2[Dias no laborales]) &lt;= 7, "Dentro", IF(A2511&gt;F2511,"Programado","Fuera"))))</f>
        <v>Programado</v>
      </c>
      <c r="K2511" s="7" t="str">
        <f t="shared" si="140"/>
        <v>Programados</v>
      </c>
      <c r="L2511" s="11">
        <v>46205</v>
      </c>
      <c r="M2511" s="22">
        <f>MAX(1,NETWORKDAYS(A2511,L2511,Table2[Dias no laborales]))</f>
        <v>1</v>
      </c>
    </row>
    <row r="2512" spans="1:13" hidden="1" x14ac:dyDescent="0.3">
      <c r="A2512" s="11">
        <v>46205</v>
      </c>
      <c r="B2512" s="20" t="s">
        <v>4981</v>
      </c>
      <c r="C2512" s="7" t="s">
        <v>5048</v>
      </c>
      <c r="D2512" s="7" t="s">
        <v>288</v>
      </c>
      <c r="E2512" s="18"/>
      <c r="F2512" s="11">
        <f>IF(HOUR(Table1[[#This Row],[CORREO]])&gt;=11,WORKDAY(Table1[[#This Row],[CORREO]],1,Table2[Dias no laborales]),E2512)</f>
        <v>0</v>
      </c>
      <c r="G2512" s="11">
        <v>46210</v>
      </c>
      <c r="H2512" s="7">
        <f t="shared" si="139"/>
        <v>27</v>
      </c>
      <c r="I2512" s="7">
        <f>MAX(1, NETWORKDAYS(A2512, G2512,Table2[Dias no laborales]))</f>
        <v>4</v>
      </c>
      <c r="J2512" s="7" t="str">
        <f>IF(Table1[[#This Row],[FIN]]="","Acumulado",IF(ISNUMBER(SEARCH("ASAP",C2512)),"ASAP",IF(NETWORKDAYS.INTL(F2512,G2512,1,Table2[Dias no laborales]) &lt;= 7, "Dentro", IF(A2512&gt;F2512,"Programado","Fuera"))))</f>
        <v>Programado</v>
      </c>
      <c r="K2512" s="7" t="str">
        <f t="shared" si="140"/>
        <v>Programados</v>
      </c>
      <c r="L2512" s="11">
        <v>46205</v>
      </c>
      <c r="M2512" s="22">
        <f>MAX(1,NETWORKDAYS(A2512,L2512,Table2[Dias no laborales]))</f>
        <v>1</v>
      </c>
    </row>
    <row r="2513" spans="1:13" hidden="1" x14ac:dyDescent="0.3">
      <c r="A2513" s="11">
        <v>46205</v>
      </c>
      <c r="B2513" s="20" t="s">
        <v>4982</v>
      </c>
      <c r="C2513" s="7" t="s">
        <v>4988</v>
      </c>
      <c r="D2513" s="7" t="s">
        <v>392</v>
      </c>
      <c r="E2513" s="18"/>
      <c r="F2513" s="11">
        <f>IF(HOUR(Table1[[#This Row],[CORREO]])&gt;=11,WORKDAY(Table1[[#This Row],[CORREO]],1,Table2[Dias no laborales]),E2513)</f>
        <v>0</v>
      </c>
      <c r="G2513" s="11">
        <v>46205</v>
      </c>
      <c r="H2513" s="7">
        <f t="shared" si="139"/>
        <v>27</v>
      </c>
      <c r="I2513" s="7">
        <f>MAX(1, NETWORKDAYS(A2513, G2513,Table2[Dias no laborales]))</f>
        <v>1</v>
      </c>
      <c r="J2513" s="7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7" t="str">
        <f t="shared" si="140"/>
        <v>Programados</v>
      </c>
      <c r="L2513" s="11">
        <v>46205</v>
      </c>
      <c r="M2513" s="22">
        <f>MAX(1,NETWORKDAYS(A2513,L2513,Table2[Dias no laborales]))</f>
        <v>1</v>
      </c>
    </row>
    <row r="2514" spans="1:13" hidden="1" x14ac:dyDescent="0.3">
      <c r="A2514" s="11">
        <v>46205</v>
      </c>
      <c r="B2514" s="20" t="s">
        <v>4983</v>
      </c>
      <c r="C2514" s="7" t="s">
        <v>5049</v>
      </c>
      <c r="D2514" s="7" t="s">
        <v>351</v>
      </c>
      <c r="E2514" s="18">
        <v>46205.412499999999</v>
      </c>
      <c r="F2514" s="11">
        <f>IF(HOUR(Table1[[#This Row],[CORREO]])&gt;=11,WORKDAY(Table1[[#This Row],[CORREO]],1,Table2[Dias no laborales]),E2514)</f>
        <v>46205.412499999999</v>
      </c>
      <c r="G2514" s="11">
        <v>46209</v>
      </c>
      <c r="H2514" s="7">
        <f t="shared" si="139"/>
        <v>27</v>
      </c>
      <c r="I2514" s="7">
        <f>MAX(1, NETWORKDAYS(A2514, G2514,Table2[Dias no laborales]))</f>
        <v>3</v>
      </c>
      <c r="J2514" s="7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7" t="str">
        <f t="shared" si="140"/>
        <v>A tiempo</v>
      </c>
      <c r="L2514" s="11">
        <v>46205</v>
      </c>
      <c r="M2514" s="22">
        <f>MAX(1,NETWORKDAYS(A2514,L2514,Table2[Dias no laborales]))</f>
        <v>1</v>
      </c>
    </row>
    <row r="2515" spans="1:13" x14ac:dyDescent="0.3">
      <c r="A2515" s="11">
        <v>46205</v>
      </c>
      <c r="B2515" s="20" t="s">
        <v>4999</v>
      </c>
      <c r="C2515" s="7" t="s">
        <v>3008</v>
      </c>
      <c r="D2515" s="7" t="s">
        <v>5050</v>
      </c>
      <c r="E2515" s="18">
        <v>46204.81527777778</v>
      </c>
      <c r="F2515" s="11">
        <f>IF(HOUR(Table1[[#This Row],[CORREO]])&gt;=11,WORKDAY(Table1[[#This Row],[CORREO]],1,Table2[Dias no laborales]),E2515)</f>
        <v>46205</v>
      </c>
      <c r="G2515" s="11"/>
      <c r="H2515" s="7">
        <f t="shared" ref="H2515:H2553" si="141">INT((A2515-DATE(YEAR(A2515),1,1))/7) + 1</f>
        <v>27</v>
      </c>
      <c r="I2515" s="7">
        <f>MAX(1, NETWORKDAYS(A2515, G2515,Table2[Dias no laborales]))</f>
        <v>1</v>
      </c>
      <c r="J2515" s="7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7" t="str">
        <f t="shared" ref="K2515:K2553" si="142">IF(INT(A2515)=INT(F2515),"A tiempo", IF(A2515&lt;F2515,"Mismo día","Programados"))</f>
        <v>A tiempo</v>
      </c>
      <c r="L2515" s="11">
        <v>46205</v>
      </c>
      <c r="M2515" s="22">
        <f>MAX(1,NETWORKDAYS(A2515,L2515,Table2[Dias no laborales]))</f>
        <v>1</v>
      </c>
    </row>
    <row r="2516" spans="1:13" hidden="1" x14ac:dyDescent="0.3">
      <c r="A2516" s="11">
        <v>46205</v>
      </c>
      <c r="B2516" s="20" t="s">
        <v>5000</v>
      </c>
      <c r="C2516" s="7" t="s">
        <v>5051</v>
      </c>
      <c r="D2516" s="7" t="s">
        <v>24</v>
      </c>
      <c r="E2516" s="18"/>
      <c r="F2516" s="11">
        <f>IF(HOUR(Table1[[#This Row],[CORREO]])&gt;=11,WORKDAY(Table1[[#This Row],[CORREO]],1,Table2[Dias no laborales]),E2516)</f>
        <v>0</v>
      </c>
      <c r="G2516" s="11">
        <v>46206</v>
      </c>
      <c r="H2516" s="7">
        <f t="shared" si="141"/>
        <v>27</v>
      </c>
      <c r="I2516" s="7">
        <f>MAX(1, NETWORKDAYS(A2516, G2516,Table2[Dias no laborales]))</f>
        <v>2</v>
      </c>
      <c r="J2516" s="7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7" t="str">
        <f t="shared" si="142"/>
        <v>Programados</v>
      </c>
      <c r="L2516" s="11">
        <v>46205</v>
      </c>
      <c r="M2516" s="22">
        <f>MAX(1,NETWORKDAYS(A2516,L2516,Table2[Dias no laborales]))</f>
        <v>1</v>
      </c>
    </row>
    <row r="2517" spans="1:13" hidden="1" x14ac:dyDescent="0.3">
      <c r="A2517" s="11">
        <v>46205</v>
      </c>
      <c r="B2517" s="20" t="s">
        <v>5001</v>
      </c>
      <c r="C2517" s="7" t="s">
        <v>4700</v>
      </c>
      <c r="D2517" s="7" t="s">
        <v>5052</v>
      </c>
      <c r="E2517" s="18"/>
      <c r="F2517" s="11">
        <f>IF(HOUR(Table1[[#This Row],[CORREO]])&gt;=11,WORKDAY(Table1[[#This Row],[CORREO]],1,Table2[Dias no laborales]),E2517)</f>
        <v>0</v>
      </c>
      <c r="G2517" s="11">
        <v>46209</v>
      </c>
      <c r="H2517" s="7">
        <f t="shared" si="141"/>
        <v>27</v>
      </c>
      <c r="I2517" s="7">
        <f>MAX(1, NETWORKDAYS(A2517, G2517,Table2[Dias no laborales]))</f>
        <v>3</v>
      </c>
      <c r="J2517" s="7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7" t="str">
        <f t="shared" si="142"/>
        <v>Programados</v>
      </c>
      <c r="L2517" s="11">
        <v>46205</v>
      </c>
      <c r="M2517" s="22">
        <f>MAX(1,NETWORKDAYS(A2517,L2517,Table2[Dias no laborales]))</f>
        <v>1</v>
      </c>
    </row>
    <row r="2518" spans="1:13" hidden="1" x14ac:dyDescent="0.3">
      <c r="A2518" s="11">
        <v>46205</v>
      </c>
      <c r="B2518" s="20" t="s">
        <v>5002</v>
      </c>
      <c r="C2518" s="7" t="s">
        <v>4700</v>
      </c>
      <c r="D2518" s="7" t="s">
        <v>5053</v>
      </c>
      <c r="E2518" s="18"/>
      <c r="F2518" s="11">
        <f>IF(HOUR(Table1[[#This Row],[CORREO]])&gt;=11,WORKDAY(Table1[[#This Row],[CORREO]],1,Table2[Dias no laborales]),E2518)</f>
        <v>0</v>
      </c>
      <c r="G2518" s="11">
        <v>46209</v>
      </c>
      <c r="H2518" s="7">
        <f t="shared" si="141"/>
        <v>27</v>
      </c>
      <c r="I2518" s="7">
        <f>MAX(1, NETWORKDAYS(A2518, G2518,Table2[Dias no laborales]))</f>
        <v>3</v>
      </c>
      <c r="J2518" s="7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7" t="str">
        <f t="shared" si="142"/>
        <v>Programados</v>
      </c>
      <c r="L2518" s="11">
        <v>46205</v>
      </c>
      <c r="M2518" s="22">
        <f>MAX(1,NETWORKDAYS(A2518,L2518,Table2[Dias no laborales]))</f>
        <v>1</v>
      </c>
    </row>
    <row r="2519" spans="1:13" x14ac:dyDescent="0.3">
      <c r="A2519" s="11">
        <v>46205</v>
      </c>
      <c r="B2519" s="20" t="s">
        <v>5003</v>
      </c>
      <c r="C2519" s="7" t="s">
        <v>4700</v>
      </c>
      <c r="D2519" s="7" t="s">
        <v>5054</v>
      </c>
      <c r="E2519" s="18"/>
      <c r="F2519" s="11">
        <f>IF(HOUR(Table1[[#This Row],[CORREO]])&gt;=11,WORKDAY(Table1[[#This Row],[CORREO]],1,Table2[Dias no laborales]),E2519)</f>
        <v>0</v>
      </c>
      <c r="G2519" s="11"/>
      <c r="H2519" s="7">
        <f t="shared" si="141"/>
        <v>27</v>
      </c>
      <c r="I2519" s="7">
        <f>MAX(1, NETWORKDAYS(A2519, G2519,Table2[Dias no laborales]))</f>
        <v>1</v>
      </c>
      <c r="J2519" s="7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7" t="str">
        <f t="shared" si="142"/>
        <v>Programados</v>
      </c>
      <c r="L2519" s="11">
        <v>46205</v>
      </c>
      <c r="M2519" s="22">
        <f>MAX(1,NETWORKDAYS(A2519,L2519,Table2[Dias no laborales]))</f>
        <v>1</v>
      </c>
    </row>
    <row r="2520" spans="1:13" x14ac:dyDescent="0.3">
      <c r="A2520" s="11">
        <v>46206</v>
      </c>
      <c r="B2520" s="20" t="s">
        <v>5004</v>
      </c>
      <c r="C2520" s="7" t="s">
        <v>5055</v>
      </c>
      <c r="D2520" s="7" t="s">
        <v>3706</v>
      </c>
      <c r="E2520" s="18">
        <v>46205.545138888891</v>
      </c>
      <c r="F2520" s="11">
        <f>IF(HOUR(Table1[[#This Row],[CORREO]])&gt;=11,WORKDAY(Table1[[#This Row],[CORREO]],1,Table2[Dias no laborales]),E2520)</f>
        <v>46206</v>
      </c>
      <c r="G2520" s="11"/>
      <c r="H2520" s="7">
        <f t="shared" si="141"/>
        <v>27</v>
      </c>
      <c r="I2520" s="7">
        <f>MAX(1, NETWORKDAYS(A2520, G2520,Table2[Dias no laborales]))</f>
        <v>1</v>
      </c>
      <c r="J2520" s="7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7" t="str">
        <f t="shared" si="142"/>
        <v>A tiempo</v>
      </c>
      <c r="L2520" s="11">
        <v>46206</v>
      </c>
      <c r="M2520" s="22">
        <f>MAX(1,NETWORKDAYS(A2520,L2520,Table2[Dias no laborales]))</f>
        <v>1</v>
      </c>
    </row>
    <row r="2521" spans="1:13" x14ac:dyDescent="0.3">
      <c r="A2521" s="11">
        <v>46206</v>
      </c>
      <c r="B2521" s="20" t="s">
        <v>5005</v>
      </c>
      <c r="C2521" s="7" t="s">
        <v>5056</v>
      </c>
      <c r="D2521" s="7" t="s">
        <v>5057</v>
      </c>
      <c r="E2521" s="18">
        <v>46205.677777777775</v>
      </c>
      <c r="F2521" s="11">
        <f>IF(HOUR(Table1[[#This Row],[CORREO]])&gt;=11,WORKDAY(Table1[[#This Row],[CORREO]],1,Table2[Dias no laborales]),E2521)</f>
        <v>46206</v>
      </c>
      <c r="G2521" s="11"/>
      <c r="H2521" s="7">
        <f t="shared" si="141"/>
        <v>27</v>
      </c>
      <c r="I2521" s="7">
        <f>MAX(1, NETWORKDAYS(A2521, G2521,Table2[Dias no laborales]))</f>
        <v>1</v>
      </c>
      <c r="J2521" s="7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7" t="str">
        <f t="shared" si="142"/>
        <v>A tiempo</v>
      </c>
      <c r="L2521" s="11">
        <v>46206</v>
      </c>
      <c r="M2521" s="22">
        <f>MAX(1,NETWORKDAYS(A2521,L2521,Table2[Dias no laborales]))</f>
        <v>1</v>
      </c>
    </row>
    <row r="2522" spans="1:13" x14ac:dyDescent="0.3">
      <c r="A2522" s="11">
        <v>46206</v>
      </c>
      <c r="B2522" s="20" t="s">
        <v>5006</v>
      </c>
      <c r="C2522" s="7" t="s">
        <v>5058</v>
      </c>
      <c r="D2522" s="7" t="s">
        <v>5059</v>
      </c>
      <c r="E2522" s="18">
        <v>46205.703472222223</v>
      </c>
      <c r="F2522" s="11">
        <f>IF(HOUR(Table1[[#This Row],[CORREO]])&gt;=11,WORKDAY(Table1[[#This Row],[CORREO]],1,Table2[Dias no laborales]),E2522)</f>
        <v>46206</v>
      </c>
      <c r="G2522" s="11"/>
      <c r="H2522" s="7">
        <f t="shared" si="141"/>
        <v>27</v>
      </c>
      <c r="I2522" s="7">
        <f>MAX(1, NETWORKDAYS(A2522, G2522,Table2[Dias no laborales]))</f>
        <v>1</v>
      </c>
      <c r="J2522" s="7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7" t="str">
        <f t="shared" si="142"/>
        <v>A tiempo</v>
      </c>
      <c r="L2522" s="11">
        <v>46206</v>
      </c>
      <c r="M2522" s="22">
        <f>MAX(1,NETWORKDAYS(A2522,L2522,Table2[Dias no laborales]))</f>
        <v>1</v>
      </c>
    </row>
    <row r="2523" spans="1:13" hidden="1" x14ac:dyDescent="0.3">
      <c r="A2523" s="11">
        <v>46206</v>
      </c>
      <c r="B2523" s="20" t="s">
        <v>5007</v>
      </c>
      <c r="C2523" s="7" t="s">
        <v>4988</v>
      </c>
      <c r="D2523" s="7" t="s">
        <v>392</v>
      </c>
      <c r="E2523" s="18">
        <v>46206.34097222222</v>
      </c>
      <c r="F2523" s="11">
        <f>IF(HOUR(Table1[[#This Row],[CORREO]])&gt;=11,WORKDAY(Table1[[#This Row],[CORREO]],1,Table2[Dias no laborales]),E2523)</f>
        <v>46206.34097222222</v>
      </c>
      <c r="G2523" s="11">
        <v>46206</v>
      </c>
      <c r="H2523" s="7">
        <f t="shared" si="141"/>
        <v>27</v>
      </c>
      <c r="I2523" s="7">
        <f>MAX(1, NETWORKDAYS(A2523, G2523,Table2[Dias no laborales]))</f>
        <v>1</v>
      </c>
      <c r="J2523" s="7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7" t="str">
        <f t="shared" si="142"/>
        <v>A tiempo</v>
      </c>
      <c r="L2523" s="11">
        <v>46206</v>
      </c>
      <c r="M2523" s="22">
        <f>MAX(1,NETWORKDAYS(A2523,L2523,Table2[Dias no laborales]))</f>
        <v>1</v>
      </c>
    </row>
    <row r="2524" spans="1:13" hidden="1" x14ac:dyDescent="0.3">
      <c r="A2524" s="11">
        <v>46206</v>
      </c>
      <c r="B2524" s="20" t="s">
        <v>5008</v>
      </c>
      <c r="C2524" s="7" t="s">
        <v>4957</v>
      </c>
      <c r="D2524" s="7" t="s">
        <v>53</v>
      </c>
      <c r="E2524" s="18">
        <v>46205.538888888892</v>
      </c>
      <c r="F2524" s="11">
        <f>IF(HOUR(Table1[[#This Row],[CORREO]])&gt;=11,WORKDAY(Table1[[#This Row],[CORREO]],1,Table2[Dias no laborales]),E2524)</f>
        <v>46206</v>
      </c>
      <c r="G2524" s="11">
        <v>46209</v>
      </c>
      <c r="H2524" s="7">
        <f t="shared" si="141"/>
        <v>27</v>
      </c>
      <c r="I2524" s="7">
        <f>MAX(1, NETWORKDAYS(A2524, G2524,Table2[Dias no laborales]))</f>
        <v>2</v>
      </c>
      <c r="J2524" s="7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7" t="str">
        <f t="shared" si="142"/>
        <v>A tiempo</v>
      </c>
      <c r="L2524" s="11">
        <v>46206</v>
      </c>
      <c r="M2524" s="22">
        <f>MAX(1,NETWORKDAYS(A2524,L2524,Table2[Dias no laborales]))</f>
        <v>1</v>
      </c>
    </row>
    <row r="2525" spans="1:13" hidden="1" x14ac:dyDescent="0.3">
      <c r="A2525" s="11">
        <v>46206</v>
      </c>
      <c r="B2525" s="20" t="s">
        <v>5009</v>
      </c>
      <c r="C2525" s="7" t="s">
        <v>5060</v>
      </c>
      <c r="D2525" s="7" t="s">
        <v>1333</v>
      </c>
      <c r="E2525" s="18"/>
      <c r="F2525" s="11">
        <f>IF(HOUR(Table1[[#This Row],[CORREO]])&gt;=11,WORKDAY(Table1[[#This Row],[CORREO]],1,Table2[Dias no laborales]),E2525)</f>
        <v>0</v>
      </c>
      <c r="G2525" s="11">
        <v>46206</v>
      </c>
      <c r="H2525" s="7">
        <f t="shared" si="141"/>
        <v>27</v>
      </c>
      <c r="I2525" s="7">
        <f>MAX(1, NETWORKDAYS(A2525, G2525,Table2[Dias no laborales]))</f>
        <v>1</v>
      </c>
      <c r="J2525" s="7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7" t="str">
        <f t="shared" si="142"/>
        <v>Programados</v>
      </c>
      <c r="L2525" s="11">
        <v>46206</v>
      </c>
      <c r="M2525" s="22">
        <f>MAX(1,NETWORKDAYS(A2525,L2525,Table2[Dias no laborales]))</f>
        <v>1</v>
      </c>
    </row>
    <row r="2526" spans="1:13" hidden="1" x14ac:dyDescent="0.3">
      <c r="A2526" s="11">
        <v>46206</v>
      </c>
      <c r="B2526" s="20" t="s">
        <v>5010</v>
      </c>
      <c r="C2526" s="7" t="s">
        <v>3008</v>
      </c>
      <c r="D2526" s="7" t="s">
        <v>1333</v>
      </c>
      <c r="E2526" s="18">
        <v>46206.37222222222</v>
      </c>
      <c r="F2526" s="11">
        <f>IF(HOUR(Table1[[#This Row],[CORREO]])&gt;=11,WORKDAY(Table1[[#This Row],[CORREO]],1,Table2[Dias no laborales]),E2526)</f>
        <v>46206.37222222222</v>
      </c>
      <c r="G2526" s="11">
        <v>46210</v>
      </c>
      <c r="H2526" s="7">
        <f t="shared" si="141"/>
        <v>27</v>
      </c>
      <c r="I2526" s="7">
        <f>MAX(1, NETWORKDAYS(A2526, G2526,Table2[Dias no laborales]))</f>
        <v>3</v>
      </c>
      <c r="J2526" s="7" t="str">
        <f>IF(Table1[[#This Row],[FIN]]="","Acumulado",IF(ISNUMBER(SEARCH("ASAP",C2526)),"ASAP",IF(NETWORKDAYS.INTL(F2526,G2526,1,Table2[Dias no laborales]) &lt;= 7, "Dentro", IF(A2526&gt;F2526,"Programado","Fuera"))))</f>
        <v>Dentro</v>
      </c>
      <c r="K2526" s="7" t="str">
        <f t="shared" si="142"/>
        <v>A tiempo</v>
      </c>
      <c r="L2526" s="11">
        <v>46206</v>
      </c>
      <c r="M2526" s="22">
        <f>MAX(1,NETWORKDAYS(A2526,L2526,Table2[Dias no laborales]))</f>
        <v>1</v>
      </c>
    </row>
    <row r="2527" spans="1:13" x14ac:dyDescent="0.3">
      <c r="A2527" s="11">
        <v>46206</v>
      </c>
      <c r="B2527" s="20" t="s">
        <v>5011</v>
      </c>
      <c r="C2527" s="7" t="s">
        <v>5061</v>
      </c>
      <c r="D2527" s="7" t="s">
        <v>27</v>
      </c>
      <c r="E2527" s="18"/>
      <c r="F2527" s="11">
        <f>IF(HOUR(Table1[[#This Row],[CORREO]])&gt;=11,WORKDAY(Table1[[#This Row],[CORREO]],1,Table2[Dias no laborales]),E2527)</f>
        <v>0</v>
      </c>
      <c r="G2527" s="11"/>
      <c r="H2527" s="7">
        <f t="shared" si="141"/>
        <v>27</v>
      </c>
      <c r="I2527" s="7">
        <f>MAX(1, NETWORKDAYS(A2527, G2527,Table2[Dias no laborales]))</f>
        <v>1</v>
      </c>
      <c r="J2527" s="7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7" t="str">
        <f t="shared" si="142"/>
        <v>Programados</v>
      </c>
      <c r="L2527" s="11">
        <v>46206</v>
      </c>
      <c r="M2527" s="22">
        <f>MAX(1,NETWORKDAYS(A2527,L2527,Table2[Dias no laborales]))</f>
        <v>1</v>
      </c>
    </row>
    <row r="2528" spans="1:13" x14ac:dyDescent="0.3">
      <c r="A2528" s="11">
        <v>46206</v>
      </c>
      <c r="B2528" s="20" t="s">
        <v>5012</v>
      </c>
      <c r="C2528" s="7" t="s">
        <v>5062</v>
      </c>
      <c r="D2528" s="7" t="s">
        <v>27</v>
      </c>
      <c r="E2528" s="18"/>
      <c r="F2528" s="11">
        <f>IF(HOUR(Table1[[#This Row],[CORREO]])&gt;=11,WORKDAY(Table1[[#This Row],[CORREO]],1,Table2[Dias no laborales]),E2528)</f>
        <v>0</v>
      </c>
      <c r="G2528" s="11"/>
      <c r="H2528" s="7">
        <f t="shared" si="141"/>
        <v>27</v>
      </c>
      <c r="I2528" s="7">
        <f>MAX(1, NETWORKDAYS(A2528, G2528,Table2[Dias no laborales]))</f>
        <v>1</v>
      </c>
      <c r="J2528" s="7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7" t="str">
        <f t="shared" si="142"/>
        <v>Programados</v>
      </c>
      <c r="L2528" s="11">
        <v>46206</v>
      </c>
      <c r="M2528" s="22">
        <f>MAX(1,NETWORKDAYS(A2528,L2528,Table2[Dias no laborales]))</f>
        <v>1</v>
      </c>
    </row>
    <row r="2529" spans="1:13" x14ac:dyDescent="0.3">
      <c r="A2529" s="11">
        <v>46206</v>
      </c>
      <c r="B2529" s="20" t="s">
        <v>5013</v>
      </c>
      <c r="C2529" s="7" t="s">
        <v>5063</v>
      </c>
      <c r="D2529" s="7" t="s">
        <v>27</v>
      </c>
      <c r="E2529" s="18"/>
      <c r="F2529" s="11">
        <f>IF(HOUR(Table1[[#This Row],[CORREO]])&gt;=11,WORKDAY(Table1[[#This Row],[CORREO]],1,Table2[Dias no laborales]),E2529)</f>
        <v>0</v>
      </c>
      <c r="G2529" s="11"/>
      <c r="H2529" s="7">
        <f t="shared" si="141"/>
        <v>27</v>
      </c>
      <c r="I2529" s="7">
        <f>MAX(1, NETWORKDAYS(A2529, G2529,Table2[Dias no laborales]))</f>
        <v>1</v>
      </c>
      <c r="J2529" s="7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7" t="str">
        <f t="shared" si="142"/>
        <v>Programados</v>
      </c>
      <c r="L2529" s="11">
        <v>46206</v>
      </c>
      <c r="M2529" s="22">
        <f>MAX(1,NETWORKDAYS(A2529,L2529,Table2[Dias no laborales]))</f>
        <v>1</v>
      </c>
    </row>
    <row r="2530" spans="1:13" x14ac:dyDescent="0.3">
      <c r="A2530" s="11">
        <v>46206</v>
      </c>
      <c r="B2530" s="20" t="s">
        <v>5014</v>
      </c>
      <c r="C2530" s="7" t="s">
        <v>5064</v>
      </c>
      <c r="D2530" s="7" t="s">
        <v>27</v>
      </c>
      <c r="E2530" s="18"/>
      <c r="F2530" s="11">
        <f>IF(HOUR(Table1[[#This Row],[CORREO]])&gt;=11,WORKDAY(Table1[[#This Row],[CORREO]],1,Table2[Dias no laborales]),E2530)</f>
        <v>0</v>
      </c>
      <c r="G2530" s="11"/>
      <c r="H2530" s="7">
        <f t="shared" si="141"/>
        <v>27</v>
      </c>
      <c r="I2530" s="7">
        <f>MAX(1, NETWORKDAYS(A2530, G2530,Table2[Dias no laborales]))</f>
        <v>1</v>
      </c>
      <c r="J2530" s="7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7" t="str">
        <f t="shared" si="142"/>
        <v>Programados</v>
      </c>
      <c r="L2530" s="11">
        <v>46206</v>
      </c>
      <c r="M2530" s="22">
        <f>MAX(1,NETWORKDAYS(A2530,L2530,Table2[Dias no laborales]))</f>
        <v>1</v>
      </c>
    </row>
    <row r="2531" spans="1:13" x14ac:dyDescent="0.3">
      <c r="A2531" s="11">
        <v>46206</v>
      </c>
      <c r="B2531" s="20" t="s">
        <v>5015</v>
      </c>
      <c r="C2531" s="7" t="s">
        <v>5065</v>
      </c>
      <c r="D2531" s="7" t="s">
        <v>27</v>
      </c>
      <c r="E2531" s="18"/>
      <c r="F2531" s="11">
        <f>IF(HOUR(Table1[[#This Row],[CORREO]])&gt;=11,WORKDAY(Table1[[#This Row],[CORREO]],1,Table2[Dias no laborales]),E2531)</f>
        <v>0</v>
      </c>
      <c r="G2531" s="11"/>
      <c r="H2531" s="7">
        <f t="shared" si="141"/>
        <v>27</v>
      </c>
      <c r="I2531" s="7">
        <f>MAX(1, NETWORKDAYS(A2531, G2531,Table2[Dias no laborales]))</f>
        <v>1</v>
      </c>
      <c r="J2531" s="7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7" t="str">
        <f t="shared" si="142"/>
        <v>Programados</v>
      </c>
      <c r="L2531" s="11">
        <v>46206</v>
      </c>
      <c r="M2531" s="22">
        <f>MAX(1,NETWORKDAYS(A2531,L2531,Table2[Dias no laborales]))</f>
        <v>1</v>
      </c>
    </row>
    <row r="2532" spans="1:13" x14ac:dyDescent="0.3">
      <c r="A2532" s="11">
        <v>46206</v>
      </c>
      <c r="B2532" s="20" t="s">
        <v>5016</v>
      </c>
      <c r="C2532" s="7" t="s">
        <v>5066</v>
      </c>
      <c r="D2532" s="7" t="s">
        <v>27</v>
      </c>
      <c r="E2532" s="18"/>
      <c r="F2532" s="11">
        <f>IF(HOUR(Table1[[#This Row],[CORREO]])&gt;=11,WORKDAY(Table1[[#This Row],[CORREO]],1,Table2[Dias no laborales]),E2532)</f>
        <v>0</v>
      </c>
      <c r="G2532" s="11"/>
      <c r="H2532" s="7">
        <f t="shared" si="141"/>
        <v>27</v>
      </c>
      <c r="I2532" s="7">
        <f>MAX(1, NETWORKDAYS(A2532, G2532,Table2[Dias no laborales]))</f>
        <v>1</v>
      </c>
      <c r="J2532" s="7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7" t="str">
        <f t="shared" si="142"/>
        <v>Programados</v>
      </c>
      <c r="L2532" s="11">
        <v>46206</v>
      </c>
      <c r="M2532" s="22">
        <f>MAX(1,NETWORKDAYS(A2532,L2532,Table2[Dias no laborales]))</f>
        <v>1</v>
      </c>
    </row>
    <row r="2533" spans="1:13" x14ac:dyDescent="0.3">
      <c r="A2533" s="11">
        <v>46206</v>
      </c>
      <c r="B2533" s="20" t="s">
        <v>5017</v>
      </c>
      <c r="C2533" s="7" t="s">
        <v>5067</v>
      </c>
      <c r="D2533" s="7" t="s">
        <v>27</v>
      </c>
      <c r="E2533" s="18"/>
      <c r="F2533" s="11">
        <f>IF(HOUR(Table1[[#This Row],[CORREO]])&gt;=11,WORKDAY(Table1[[#This Row],[CORREO]],1,Table2[Dias no laborales]),E2533)</f>
        <v>0</v>
      </c>
      <c r="G2533" s="11"/>
      <c r="H2533" s="7">
        <f t="shared" si="141"/>
        <v>27</v>
      </c>
      <c r="I2533" s="7">
        <f>MAX(1, NETWORKDAYS(A2533, G2533,Table2[Dias no laborales]))</f>
        <v>1</v>
      </c>
      <c r="J2533" s="7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7" t="str">
        <f t="shared" si="142"/>
        <v>Programados</v>
      </c>
      <c r="L2533" s="11">
        <v>46206</v>
      </c>
      <c r="M2533" s="22">
        <f>MAX(1,NETWORKDAYS(A2533,L2533,Table2[Dias no laborales]))</f>
        <v>1</v>
      </c>
    </row>
    <row r="2534" spans="1:13" x14ac:dyDescent="0.3">
      <c r="A2534" s="11">
        <v>46209</v>
      </c>
      <c r="B2534" s="20" t="s">
        <v>5018</v>
      </c>
      <c r="C2534" s="7" t="s">
        <v>5068</v>
      </c>
      <c r="D2534" s="7" t="s">
        <v>24</v>
      </c>
      <c r="E2534" s="18"/>
      <c r="F2534" s="11">
        <f>IF(HOUR(Table1[[#This Row],[CORREO]])&gt;=11,WORKDAY(Table1[[#This Row],[CORREO]],1,Table2[Dias no laborales]),E2534)</f>
        <v>0</v>
      </c>
      <c r="G2534" s="11"/>
      <c r="H2534" s="7">
        <f t="shared" si="141"/>
        <v>27</v>
      </c>
      <c r="I2534" s="7">
        <f>MAX(1, NETWORKDAYS(A2534, G2534,Table2[Dias no laborales]))</f>
        <v>1</v>
      </c>
      <c r="J2534" s="7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7" t="str">
        <f t="shared" si="142"/>
        <v>Programados</v>
      </c>
      <c r="L2534" s="11">
        <v>46209</v>
      </c>
      <c r="M2534" s="22">
        <f>MAX(1,NETWORKDAYS(A2534,L2534,Table2[Dias no laborales]))</f>
        <v>1</v>
      </c>
    </row>
    <row r="2535" spans="1:13" hidden="1" x14ac:dyDescent="0.3">
      <c r="A2535" s="11">
        <v>46209</v>
      </c>
      <c r="B2535" s="20" t="s">
        <v>5019</v>
      </c>
      <c r="C2535" s="7" t="s">
        <v>5069</v>
      </c>
      <c r="D2535" s="7" t="s">
        <v>372</v>
      </c>
      <c r="E2535" s="18"/>
      <c r="F2535" s="11">
        <f>IF(HOUR(Table1[[#This Row],[CORREO]])&gt;=11,WORKDAY(Table1[[#This Row],[CORREO]],1,Table2[Dias no laborales]),E2535)</f>
        <v>0</v>
      </c>
      <c r="G2535" s="11">
        <v>46211</v>
      </c>
      <c r="H2535" s="7">
        <f t="shared" si="141"/>
        <v>27</v>
      </c>
      <c r="I2535" s="7">
        <f>MAX(1, NETWORKDAYS(A2535, G2535,Table2[Dias no laborales]))</f>
        <v>3</v>
      </c>
      <c r="J2535" s="7" t="str">
        <f>IF(Table1[[#This Row],[FIN]]="","Acumulado",IF(ISNUMBER(SEARCH("ASAP",C2535)),"ASAP",IF(NETWORKDAYS.INTL(F2535,G2535,1,Table2[Dias no laborales]) &lt;= 7, "Dentro", IF(A2535&gt;F2535,"Programado","Fuera"))))</f>
        <v>Programado</v>
      </c>
      <c r="K2535" s="7" t="str">
        <f t="shared" si="142"/>
        <v>Programados</v>
      </c>
      <c r="L2535" s="11">
        <v>46209</v>
      </c>
      <c r="M2535" s="22">
        <f>MAX(1,NETWORKDAYS(A2535,L2535,Table2[Dias no laborales]))</f>
        <v>1</v>
      </c>
    </row>
    <row r="2536" spans="1:13" x14ac:dyDescent="0.3">
      <c r="A2536" s="11">
        <v>46209</v>
      </c>
      <c r="B2536" s="20" t="s">
        <v>5020</v>
      </c>
      <c r="C2536" s="7" t="s">
        <v>5070</v>
      </c>
      <c r="D2536" s="7" t="s">
        <v>5071</v>
      </c>
      <c r="E2536" s="18">
        <v>46206.663888888892</v>
      </c>
      <c r="F2536" s="11">
        <f>IF(HOUR(Table1[[#This Row],[CORREO]])&gt;=11,WORKDAY(Table1[[#This Row],[CORREO]],1,Table2[Dias no laborales]),E2536)</f>
        <v>46209</v>
      </c>
      <c r="G2536" s="11"/>
      <c r="H2536" s="7">
        <f t="shared" si="141"/>
        <v>27</v>
      </c>
      <c r="I2536" s="7">
        <f>MAX(1, NETWORKDAYS(A2536, G2536,Table2[Dias no laborales]))</f>
        <v>1</v>
      </c>
      <c r="J2536" s="7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7" t="str">
        <f t="shared" si="142"/>
        <v>A tiempo</v>
      </c>
      <c r="L2536" s="11">
        <v>46209</v>
      </c>
      <c r="M2536" s="22">
        <f>MAX(1,NETWORKDAYS(A2536,L2536,Table2[Dias no laborales]))</f>
        <v>1</v>
      </c>
    </row>
    <row r="2537" spans="1:13" hidden="1" x14ac:dyDescent="0.3">
      <c r="A2537" s="11">
        <v>46209</v>
      </c>
      <c r="B2537" s="20" t="s">
        <v>5021</v>
      </c>
      <c r="C2537" s="7" t="s">
        <v>5072</v>
      </c>
      <c r="D2537" s="7" t="s">
        <v>477</v>
      </c>
      <c r="E2537" s="18">
        <v>46209.293749999997</v>
      </c>
      <c r="F2537" s="11">
        <f>IF(HOUR(Table1[[#This Row],[CORREO]])&gt;=11,WORKDAY(Table1[[#This Row],[CORREO]],1,Table2[Dias no laborales]),E2537)</f>
        <v>46209.293749999997</v>
      </c>
      <c r="G2537" s="11">
        <v>46209</v>
      </c>
      <c r="H2537" s="7">
        <f t="shared" si="141"/>
        <v>27</v>
      </c>
      <c r="I2537" s="7">
        <f>MAX(1, NETWORKDAYS(A2537, G2537,Table2[Dias no laborales]))</f>
        <v>1</v>
      </c>
      <c r="J2537" s="7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7" t="str">
        <f t="shared" si="142"/>
        <v>A tiempo</v>
      </c>
      <c r="L2537" s="11">
        <v>46209</v>
      </c>
      <c r="M2537" s="22">
        <f>MAX(1,NETWORKDAYS(A2537,L2537,Table2[Dias no laborales]))</f>
        <v>1</v>
      </c>
    </row>
    <row r="2538" spans="1:13" x14ac:dyDescent="0.3">
      <c r="A2538" s="11">
        <v>46209</v>
      </c>
      <c r="B2538" s="20" t="s">
        <v>5022</v>
      </c>
      <c r="C2538" s="7" t="s">
        <v>5073</v>
      </c>
      <c r="D2538" s="7" t="s">
        <v>504</v>
      </c>
      <c r="E2538" s="18">
        <v>46209.297222222223</v>
      </c>
      <c r="F2538" s="11">
        <f>IF(HOUR(Table1[[#This Row],[CORREO]])&gt;=11,WORKDAY(Table1[[#This Row],[CORREO]],1,Table2[Dias no laborales]),E2538)</f>
        <v>46209.297222222223</v>
      </c>
      <c r="G2538" s="11"/>
      <c r="H2538" s="7">
        <f t="shared" si="141"/>
        <v>27</v>
      </c>
      <c r="I2538" s="7">
        <f>MAX(1, NETWORKDAYS(A2538, G2538,Table2[Dias no laborales]))</f>
        <v>1</v>
      </c>
      <c r="J2538" s="7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7" t="str">
        <f t="shared" si="142"/>
        <v>A tiempo</v>
      </c>
      <c r="L2538" s="11">
        <v>46209</v>
      </c>
      <c r="M2538" s="22">
        <f>MAX(1,NETWORKDAYS(A2538,L2538,Table2[Dias no laborales]))</f>
        <v>1</v>
      </c>
    </row>
    <row r="2539" spans="1:13" hidden="1" x14ac:dyDescent="0.3">
      <c r="A2539" s="11">
        <v>46209</v>
      </c>
      <c r="B2539" s="20" t="s">
        <v>5023</v>
      </c>
      <c r="C2539" s="7" t="s">
        <v>5074</v>
      </c>
      <c r="D2539" s="7" t="s">
        <v>2963</v>
      </c>
      <c r="E2539" s="18">
        <v>46209.37777777778</v>
      </c>
      <c r="F2539" s="11">
        <f>IF(HOUR(Table1[[#This Row],[CORREO]])&gt;=11,WORKDAY(Table1[[#This Row],[CORREO]],1,Table2[Dias no laborales]),E2539)</f>
        <v>46209.37777777778</v>
      </c>
      <c r="G2539" s="11">
        <v>46209</v>
      </c>
      <c r="H2539" s="7">
        <f t="shared" si="141"/>
        <v>27</v>
      </c>
      <c r="I2539" s="7">
        <f>MAX(1, NETWORKDAYS(A2539, G2539,Table2[Dias no laborales]))</f>
        <v>1</v>
      </c>
      <c r="J2539" s="7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7" t="str">
        <f t="shared" si="142"/>
        <v>A tiempo</v>
      </c>
      <c r="L2539" s="11">
        <v>46209</v>
      </c>
      <c r="M2539" s="22">
        <f>MAX(1,NETWORKDAYS(A2539,L2539,Table2[Dias no laborales]))</f>
        <v>1</v>
      </c>
    </row>
    <row r="2540" spans="1:13" hidden="1" x14ac:dyDescent="0.3">
      <c r="A2540" s="11">
        <v>46209</v>
      </c>
      <c r="B2540" s="20" t="s">
        <v>5024</v>
      </c>
      <c r="C2540" s="7" t="s">
        <v>5075</v>
      </c>
      <c r="D2540" s="7" t="s">
        <v>133</v>
      </c>
      <c r="E2540" s="18">
        <v>46209.336805555555</v>
      </c>
      <c r="F2540" s="11">
        <f>IF(HOUR(Table1[[#This Row],[CORREO]])&gt;=11,WORKDAY(Table1[[#This Row],[CORREO]],1,Table2[Dias no laborales]),E2540)</f>
        <v>46209.336805555555</v>
      </c>
      <c r="G2540" s="11">
        <v>46211</v>
      </c>
      <c r="H2540" s="7">
        <f t="shared" si="141"/>
        <v>27</v>
      </c>
      <c r="I2540" s="7">
        <f>MAX(1, NETWORKDAYS(A2540, G2540,Table2[Dias no laborales]))</f>
        <v>3</v>
      </c>
      <c r="J2540" s="7" t="str">
        <f>IF(Table1[[#This Row],[FIN]]="","Acumulado",IF(ISNUMBER(SEARCH("ASAP",C2540)),"ASAP",IF(NETWORKDAYS.INTL(F2540,G2540,1,Table2[Dias no laborales]) &lt;= 7, "Dentro", IF(A2540&gt;F2540,"Programado","Fuera"))))</f>
        <v>Dentro</v>
      </c>
      <c r="K2540" s="7" t="str">
        <f t="shared" si="142"/>
        <v>A tiempo</v>
      </c>
      <c r="L2540" s="11">
        <v>46209</v>
      </c>
      <c r="M2540" s="22">
        <f>MAX(1,NETWORKDAYS(A2540,L2540,Table2[Dias no laborales]))</f>
        <v>1</v>
      </c>
    </row>
    <row r="2541" spans="1:13" hidden="1" x14ac:dyDescent="0.3">
      <c r="A2541" s="11">
        <v>46209</v>
      </c>
      <c r="B2541" s="20" t="s">
        <v>5025</v>
      </c>
      <c r="C2541" s="7" t="s">
        <v>4988</v>
      </c>
      <c r="D2541" s="7" t="s">
        <v>392</v>
      </c>
      <c r="E2541" s="18">
        <v>46209.337500000001</v>
      </c>
      <c r="F2541" s="11">
        <f>IF(HOUR(Table1[[#This Row],[CORREO]])&gt;=11,WORKDAY(Table1[[#This Row],[CORREO]],1,Table2[Dias no laborales]),E2541)</f>
        <v>46209.337500000001</v>
      </c>
      <c r="G2541" s="11">
        <v>46209</v>
      </c>
      <c r="H2541" s="7">
        <f t="shared" si="141"/>
        <v>27</v>
      </c>
      <c r="I2541" s="7">
        <f>MAX(1, NETWORKDAYS(A2541, G2541,Table2[Dias no laborales]))</f>
        <v>1</v>
      </c>
      <c r="J2541" s="7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7" t="str">
        <f t="shared" si="142"/>
        <v>A tiempo</v>
      </c>
      <c r="L2541" s="11">
        <v>46209</v>
      </c>
      <c r="M2541" s="22">
        <f>MAX(1,NETWORKDAYS(A2541,L2541,Table2[Dias no laborales]))</f>
        <v>1</v>
      </c>
    </row>
    <row r="2542" spans="1:13" hidden="1" x14ac:dyDescent="0.3">
      <c r="A2542" s="11">
        <v>46209</v>
      </c>
      <c r="B2542" s="20" t="s">
        <v>5026</v>
      </c>
      <c r="C2542" s="7" t="s">
        <v>5076</v>
      </c>
      <c r="D2542" s="7" t="s">
        <v>351</v>
      </c>
      <c r="E2542" s="18">
        <v>46209.347916666666</v>
      </c>
      <c r="F2542" s="11">
        <f>IF(HOUR(Table1[[#This Row],[CORREO]])&gt;=11,WORKDAY(Table1[[#This Row],[CORREO]],1,Table2[Dias no laborales]),E2542)</f>
        <v>46209.347916666666</v>
      </c>
      <c r="G2542" s="11">
        <v>46209</v>
      </c>
      <c r="H2542" s="7">
        <f t="shared" si="141"/>
        <v>27</v>
      </c>
      <c r="I2542" s="7">
        <f>MAX(1, NETWORKDAYS(A2542, G2542,Table2[Dias no laborales]))</f>
        <v>1</v>
      </c>
      <c r="J2542" s="7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7" t="str">
        <f t="shared" si="142"/>
        <v>A tiempo</v>
      </c>
      <c r="L2542" s="11">
        <v>46209</v>
      </c>
      <c r="M2542" s="22">
        <f>MAX(1,NETWORKDAYS(A2542,L2542,Table2[Dias no laborales]))</f>
        <v>1</v>
      </c>
    </row>
    <row r="2543" spans="1:13" hidden="1" x14ac:dyDescent="0.3">
      <c r="A2543" s="11">
        <v>46209</v>
      </c>
      <c r="B2543" s="20" t="s">
        <v>5027</v>
      </c>
      <c r="C2543" s="7" t="s">
        <v>5077</v>
      </c>
      <c r="D2543" s="7" t="s">
        <v>351</v>
      </c>
      <c r="E2543" s="18">
        <v>46209.415972222225</v>
      </c>
      <c r="F2543" s="11">
        <f>IF(HOUR(Table1[[#This Row],[CORREO]])&gt;=11,WORKDAY(Table1[[#This Row],[CORREO]],1,Table2[Dias no laborales]),E2543)</f>
        <v>46209.415972222225</v>
      </c>
      <c r="G2543" s="11">
        <v>46209</v>
      </c>
      <c r="H2543" s="7">
        <f t="shared" si="141"/>
        <v>27</v>
      </c>
      <c r="I2543" s="7">
        <f>MAX(1, NETWORKDAYS(A2543, G2543,Table2[Dias no laborales]))</f>
        <v>1</v>
      </c>
      <c r="J2543" s="7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7" t="str">
        <f t="shared" si="142"/>
        <v>A tiempo</v>
      </c>
      <c r="L2543" s="11">
        <v>46209</v>
      </c>
      <c r="M2543" s="22">
        <f>MAX(1,NETWORKDAYS(A2543,L2543,Table2[Dias no laborales]))</f>
        <v>1</v>
      </c>
    </row>
    <row r="2544" spans="1:13" hidden="1" x14ac:dyDescent="0.3">
      <c r="A2544" s="11">
        <v>46209</v>
      </c>
      <c r="B2544" s="20" t="s">
        <v>5028</v>
      </c>
      <c r="C2544" s="7" t="s">
        <v>5078</v>
      </c>
      <c r="D2544" s="7" t="s">
        <v>5079</v>
      </c>
      <c r="E2544" s="18">
        <v>46209.436111111114</v>
      </c>
      <c r="F2544" s="11">
        <f>IF(HOUR(Table1[[#This Row],[CORREO]])&gt;=11,WORKDAY(Table1[[#This Row],[CORREO]],1,Table2[Dias no laborales]),E2544)</f>
        <v>46209.436111111114</v>
      </c>
      <c r="G2544" s="11">
        <v>46209</v>
      </c>
      <c r="H2544" s="7">
        <f t="shared" si="141"/>
        <v>27</v>
      </c>
      <c r="I2544" s="7">
        <f>MAX(1, NETWORKDAYS(A2544, G2544,Table2[Dias no laborales]))</f>
        <v>1</v>
      </c>
      <c r="J2544" s="7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7" t="str">
        <f t="shared" si="142"/>
        <v>A tiempo</v>
      </c>
      <c r="L2544" s="11">
        <v>46209</v>
      </c>
      <c r="M2544" s="22">
        <f>MAX(1,NETWORKDAYS(A2544,L2544,Table2[Dias no laborales]))</f>
        <v>1</v>
      </c>
    </row>
    <row r="2545" spans="1:13" x14ac:dyDescent="0.3">
      <c r="A2545" s="11">
        <v>46209</v>
      </c>
      <c r="B2545" s="20" t="s">
        <v>5029</v>
      </c>
      <c r="C2545" s="7" t="s">
        <v>5080</v>
      </c>
      <c r="D2545" s="18" t="s">
        <v>5081</v>
      </c>
      <c r="E2545" s="18">
        <v>46209.412499999999</v>
      </c>
      <c r="F2545" s="11">
        <f>IF(HOUR(Table1[[#This Row],[CORREO]])&gt;=11,WORKDAY(Table1[[#This Row],[CORREO]],1,Table2[Dias no laborales]),E2545)</f>
        <v>46209.412499999999</v>
      </c>
      <c r="G2545" s="11"/>
      <c r="H2545" s="7">
        <f t="shared" si="141"/>
        <v>27</v>
      </c>
      <c r="I2545" s="7">
        <f>MAX(1, NETWORKDAYS(A2545, G2545,Table2[Dias no laborales]))</f>
        <v>1</v>
      </c>
      <c r="J2545" s="7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7" t="str">
        <f t="shared" si="142"/>
        <v>A tiempo</v>
      </c>
      <c r="L2545" s="11">
        <v>46209</v>
      </c>
      <c r="M2545" s="22">
        <f>MAX(1,NETWORKDAYS(A2545,L2545,Table2[Dias no laborales]))</f>
        <v>1</v>
      </c>
    </row>
    <row r="2546" spans="1:13" hidden="1" x14ac:dyDescent="0.3">
      <c r="A2546" s="11">
        <v>46209</v>
      </c>
      <c r="B2546" s="20" t="s">
        <v>5030</v>
      </c>
      <c r="C2546" s="7" t="s">
        <v>5082</v>
      </c>
      <c r="D2546" s="7" t="s">
        <v>108</v>
      </c>
      <c r="E2546" s="18">
        <v>46209.518750000003</v>
      </c>
      <c r="F2546" s="11">
        <f>IF(HOUR(Table1[[#This Row],[CORREO]])&gt;=11,WORKDAY(Table1[[#This Row],[CORREO]],1,Table2[Dias no laborales]),E2546)</f>
        <v>46210</v>
      </c>
      <c r="G2546" s="11">
        <v>46209</v>
      </c>
      <c r="H2546" s="7">
        <f t="shared" si="141"/>
        <v>27</v>
      </c>
      <c r="I2546" s="7">
        <f>MAX(1, NETWORKDAYS(A2546, G2546,Table2[Dias no laborales]))</f>
        <v>1</v>
      </c>
      <c r="J2546" s="7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7" t="str">
        <f t="shared" si="142"/>
        <v>Mismo día</v>
      </c>
      <c r="L2546" s="11">
        <v>46209</v>
      </c>
      <c r="M2546" s="22">
        <f>MAX(1,NETWORKDAYS(A2546,L2546,Table2[Dias no laborales]))</f>
        <v>1</v>
      </c>
    </row>
    <row r="2547" spans="1:13" hidden="1" x14ac:dyDescent="0.3">
      <c r="A2547" s="11">
        <v>46209</v>
      </c>
      <c r="B2547" s="20" t="s">
        <v>5031</v>
      </c>
      <c r="C2547" s="7" t="s">
        <v>5083</v>
      </c>
      <c r="D2547" s="7" t="s">
        <v>27</v>
      </c>
      <c r="E2547" s="18">
        <v>46209.612500000003</v>
      </c>
      <c r="F2547" s="11">
        <f>IF(HOUR(Table1[[#This Row],[CORREO]])&gt;=11,WORKDAY(Table1[[#This Row],[CORREO]],1,Table2[Dias no laborales]),E2547)</f>
        <v>46210</v>
      </c>
      <c r="G2547" s="11">
        <v>46209</v>
      </c>
      <c r="H2547" s="7">
        <f t="shared" si="141"/>
        <v>27</v>
      </c>
      <c r="I2547" s="7">
        <f>MAX(1, NETWORKDAYS(A2547, G2547,Table2[Dias no laborales]))</f>
        <v>1</v>
      </c>
      <c r="J2547" s="7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7" t="str">
        <f t="shared" si="142"/>
        <v>Mismo día</v>
      </c>
      <c r="L2547" s="11">
        <v>46209</v>
      </c>
      <c r="M2547" s="22">
        <f>MAX(1,NETWORKDAYS(A2547,L2547,Table2[Dias no laborales]))</f>
        <v>1</v>
      </c>
    </row>
    <row r="2548" spans="1:13" x14ac:dyDescent="0.3">
      <c r="A2548" s="11">
        <v>46209</v>
      </c>
      <c r="B2548" s="20" t="s">
        <v>5032</v>
      </c>
      <c r="C2548" s="7" t="s">
        <v>5084</v>
      </c>
      <c r="D2548" s="7" t="s">
        <v>24</v>
      </c>
      <c r="E2548" s="18"/>
      <c r="F2548" s="11">
        <f>IF(HOUR(Table1[[#This Row],[CORREO]])&gt;=11,WORKDAY(Table1[[#This Row],[CORREO]],1,Table2[Dias no laborales]),E2548)</f>
        <v>0</v>
      </c>
      <c r="G2548" s="11"/>
      <c r="H2548" s="7">
        <f t="shared" si="141"/>
        <v>27</v>
      </c>
      <c r="I2548" s="7">
        <f>MAX(1, NETWORKDAYS(A2548, G2548,Table2[Dias no laborales]))</f>
        <v>1</v>
      </c>
      <c r="J2548" s="7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7" t="str">
        <f t="shared" si="142"/>
        <v>Programados</v>
      </c>
      <c r="L2548" s="11">
        <v>46209</v>
      </c>
      <c r="M2548" s="22">
        <f>MAX(1,NETWORKDAYS(A2548,L2548,Table2[Dias no laborales]))</f>
        <v>1</v>
      </c>
    </row>
    <row r="2549" spans="1:13" hidden="1" x14ac:dyDescent="0.3">
      <c r="A2549" s="11">
        <v>46210</v>
      </c>
      <c r="B2549" s="20" t="s">
        <v>5033</v>
      </c>
      <c r="C2549" s="7" t="s">
        <v>3008</v>
      </c>
      <c r="D2549" s="7" t="s">
        <v>5085</v>
      </c>
      <c r="E2549" s="18">
        <v>46209.849305555559</v>
      </c>
      <c r="F2549" s="11">
        <f>IF(HOUR(Table1[[#This Row],[CORREO]])&gt;=11,WORKDAY(Table1[[#This Row],[CORREO]],1,Table2[Dias no laborales]),E2549)</f>
        <v>46210</v>
      </c>
      <c r="G2549" s="11">
        <v>46210</v>
      </c>
      <c r="H2549" s="7">
        <f t="shared" si="141"/>
        <v>27</v>
      </c>
      <c r="I2549" s="7">
        <f>MAX(1, NETWORKDAYS(A2549, G2549,Table2[Dias no laborales]))</f>
        <v>1</v>
      </c>
      <c r="J2549" s="7" t="str">
        <f>IF(Table1[[#This Row],[FIN]]="","Acumulado",IF(ISNUMBER(SEARCH("ASAP",C2549)),"ASAP",IF(NETWORKDAYS.INTL(F2549,G2549,1,Table2[Dias no laborales]) &lt;= 7, "Dentro", IF(A2549&gt;F2549,"Programado","Fuera"))))</f>
        <v>Dentro</v>
      </c>
      <c r="K2549" s="7" t="str">
        <f t="shared" si="142"/>
        <v>A tiempo</v>
      </c>
      <c r="L2549" s="11">
        <v>46210</v>
      </c>
      <c r="M2549" s="22">
        <f>MAX(1,NETWORKDAYS(A2549,L2549,Table2[Dias no laborales]))</f>
        <v>1</v>
      </c>
    </row>
    <row r="2550" spans="1:13" x14ac:dyDescent="0.3">
      <c r="A2550" s="11">
        <v>46210</v>
      </c>
      <c r="B2550" s="20" t="s">
        <v>5034</v>
      </c>
      <c r="C2550" s="7" t="s">
        <v>5086</v>
      </c>
      <c r="D2550" s="7" t="s">
        <v>24</v>
      </c>
      <c r="E2550" s="18">
        <v>46575.338888888888</v>
      </c>
      <c r="F2550" s="11">
        <f>IF(HOUR(Table1[[#This Row],[CORREO]])&gt;=11,WORKDAY(Table1[[#This Row],[CORREO]],1,Table2[Dias no laborales]),E2550)</f>
        <v>46575.338888888888</v>
      </c>
      <c r="G2550" s="11"/>
      <c r="H2550" s="7">
        <f t="shared" si="141"/>
        <v>27</v>
      </c>
      <c r="I2550" s="7">
        <f>MAX(1, NETWORKDAYS(A2550, G2550,Table2[Dias no laborales]))</f>
        <v>1</v>
      </c>
      <c r="J2550" s="7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7" t="str">
        <f t="shared" si="142"/>
        <v>Mismo día</v>
      </c>
      <c r="L2550" s="11">
        <v>46210</v>
      </c>
      <c r="M2550" s="22">
        <f>MAX(1,NETWORKDAYS(A2550,L2550,Table2[Dias no laborales]))</f>
        <v>1</v>
      </c>
    </row>
    <row r="2551" spans="1:13" x14ac:dyDescent="0.3">
      <c r="A2551" s="11">
        <v>46210</v>
      </c>
      <c r="B2551" s="20" t="s">
        <v>5035</v>
      </c>
      <c r="C2551" s="7" t="s">
        <v>5086</v>
      </c>
      <c r="D2551" s="7" t="s">
        <v>24</v>
      </c>
      <c r="E2551" s="18">
        <v>46210.338888888888</v>
      </c>
      <c r="F2551" s="11">
        <f>IF(HOUR(Table1[[#This Row],[CORREO]])&gt;=11,WORKDAY(Table1[[#This Row],[CORREO]],1,Table2[Dias no laborales]),E2551)</f>
        <v>46210.338888888888</v>
      </c>
      <c r="G2551" s="11"/>
      <c r="H2551" s="7">
        <f t="shared" si="141"/>
        <v>27</v>
      </c>
      <c r="I2551" s="7">
        <f>MAX(1, NETWORKDAYS(A2551, G2551,Table2[Dias no laborales]))</f>
        <v>1</v>
      </c>
      <c r="J2551" s="7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7" t="str">
        <f t="shared" si="142"/>
        <v>A tiempo</v>
      </c>
      <c r="L2551" s="11">
        <v>46210</v>
      </c>
      <c r="M2551" s="22">
        <f>MAX(1,NETWORKDAYS(A2551,L2551,Table2[Dias no laborales]))</f>
        <v>1</v>
      </c>
    </row>
    <row r="2552" spans="1:13" hidden="1" x14ac:dyDescent="0.3">
      <c r="A2552" s="11">
        <v>46210</v>
      </c>
      <c r="B2552" s="20" t="s">
        <v>5036</v>
      </c>
      <c r="C2552" s="7" t="s">
        <v>4988</v>
      </c>
      <c r="D2552" s="7" t="s">
        <v>392</v>
      </c>
      <c r="E2552" s="18">
        <v>46210.366666666669</v>
      </c>
      <c r="F2552" s="11">
        <f>IF(HOUR(Table1[[#This Row],[CORREO]])&gt;=11,WORKDAY(Table1[[#This Row],[CORREO]],1,Table2[Dias no laborales]),E2552)</f>
        <v>46210.366666666669</v>
      </c>
      <c r="G2552" s="11">
        <v>46210</v>
      </c>
      <c r="H2552" s="7">
        <f t="shared" si="141"/>
        <v>27</v>
      </c>
      <c r="I2552" s="7">
        <f>MAX(1, NETWORKDAYS(A2552, G2552,Table2[Dias no laborales]))</f>
        <v>1</v>
      </c>
      <c r="J2552" s="7" t="str">
        <f>IF(Table1[[#This Row],[FIN]]="","Acumulado",IF(ISNUMBER(SEARCH("ASAP",C2552)),"ASAP",IF(NETWORKDAYS.INTL(F2552,G2552,1,Table2[Dias no laborales]) &lt;= 7, "Dentro", IF(A2552&gt;F2552,"Programado","Fuera"))))</f>
        <v>Dentro</v>
      </c>
      <c r="K2552" s="7" t="str">
        <f t="shared" si="142"/>
        <v>A tiempo</v>
      </c>
      <c r="L2552" s="11">
        <v>46210</v>
      </c>
      <c r="M2552" s="22">
        <f>MAX(1,NETWORKDAYS(A2552,L2552,Table2[Dias no laborales]))</f>
        <v>1</v>
      </c>
    </row>
    <row r="2553" spans="1:13" x14ac:dyDescent="0.3">
      <c r="A2553" s="11">
        <v>46210</v>
      </c>
      <c r="B2553" s="20" t="s">
        <v>5037</v>
      </c>
      <c r="C2553" s="7" t="s">
        <v>5087</v>
      </c>
      <c r="D2553" s="7" t="s">
        <v>288</v>
      </c>
      <c r="E2553" s="18">
        <v>46210.411805555559</v>
      </c>
      <c r="F2553" s="11">
        <f>IF(HOUR(Table1[[#This Row],[CORREO]])&gt;=11,WORKDAY(Table1[[#This Row],[CORREO]],1,Table2[Dias no laborales]),E2553)</f>
        <v>46210.411805555559</v>
      </c>
      <c r="G2553" s="11"/>
      <c r="H2553" s="7">
        <f t="shared" si="141"/>
        <v>27</v>
      </c>
      <c r="I2553" s="7">
        <f>MAX(1, NETWORKDAYS(A2553, G2553,Table2[Dias no laborales]))</f>
        <v>1</v>
      </c>
      <c r="J2553" s="7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7" t="str">
        <f t="shared" si="142"/>
        <v>A tiempo</v>
      </c>
      <c r="L2553" s="11">
        <v>46210</v>
      </c>
      <c r="M2553" s="22">
        <f>MAX(1,NETWORKDAYS(A2553,L2553,Table2[Dias no laborales]))</f>
        <v>1</v>
      </c>
    </row>
    <row r="2554" spans="1:13" x14ac:dyDescent="0.3">
      <c r="A2554" s="11">
        <v>46210</v>
      </c>
      <c r="B2554" s="20" t="s">
        <v>5088</v>
      </c>
      <c r="C2554" s="7" t="s">
        <v>5101</v>
      </c>
      <c r="D2554" s="7" t="s">
        <v>24</v>
      </c>
      <c r="E2554" s="18"/>
      <c r="F2554" s="11">
        <f>IF(HOUR(Table1[[#This Row],[CORREO]])&gt;=11,WORKDAY(Table1[[#This Row],[CORREO]],1,Table2[Dias no laborales]),E2554)</f>
        <v>0</v>
      </c>
      <c r="G2554" s="11"/>
      <c r="H2554" s="7">
        <f t="shared" ref="H2554:H2566" si="143">INT((A2554-DATE(YEAR(A2554),1,1))/7) + 1</f>
        <v>27</v>
      </c>
      <c r="I2554" s="7">
        <f>MAX(1, NETWORKDAYS(A2554, G2554,Table2[Dias no laborales]))</f>
        <v>1</v>
      </c>
      <c r="J2554" s="7" t="str">
        <f>IF(Table1[[#This Row],[FIN]]="","Acumulado",IF(ISNUMBER(SEARCH("ASAP",C2554)),"ASAP",IF(NETWORKDAYS.INTL(F2554,G2554,1,Table2[Dias no laborales]) &lt;= 7, "Dentro", IF(A2554&gt;F2554,"Programado","Fuera"))))</f>
        <v>Acumulado</v>
      </c>
      <c r="K2554" s="7" t="str">
        <f t="shared" ref="K2554:K2566" si="144">IF(INT(A2554)=INT(F2554),"A tiempo", IF(A2554&lt;F2554,"Mismo día","Programados"))</f>
        <v>Programados</v>
      </c>
      <c r="L2554" s="11">
        <v>46210</v>
      </c>
      <c r="M2554" s="22">
        <f>MAX(1,NETWORKDAYS(A2554,L2554,Table2[Dias no laborales]))</f>
        <v>1</v>
      </c>
    </row>
    <row r="2555" spans="1:13" x14ac:dyDescent="0.3">
      <c r="A2555" s="11">
        <v>46211</v>
      </c>
      <c r="B2555" s="20" t="s">
        <v>5089</v>
      </c>
      <c r="C2555" s="7" t="s">
        <v>5102</v>
      </c>
      <c r="D2555" s="7" t="s">
        <v>3794</v>
      </c>
      <c r="E2555" s="18"/>
      <c r="F2555" s="11">
        <f>IF(HOUR(Table1[[#This Row],[CORREO]])&gt;=11,WORKDAY(Table1[[#This Row],[CORREO]],1,Table2[Dias no laborales]),E2555)</f>
        <v>0</v>
      </c>
      <c r="G2555" s="11"/>
      <c r="H2555" s="7">
        <f t="shared" si="143"/>
        <v>27</v>
      </c>
      <c r="I2555" s="7">
        <f>MAX(1, NETWORKDAYS(A2555, G2555,Table2[Dias no laborales]))</f>
        <v>1</v>
      </c>
      <c r="J2555" s="7" t="str">
        <f>IF(Table1[[#This Row],[FIN]]="","Acumulado",IF(ISNUMBER(SEARCH("ASAP",C2555)),"ASAP",IF(NETWORKDAYS.INTL(F2555,G2555,1,Table2[Dias no laborales]) &lt;= 7, "Dentro", IF(A2555&gt;F2555,"Programado","Fuera"))))</f>
        <v>Acumulado</v>
      </c>
      <c r="K2555" s="7" t="str">
        <f t="shared" si="144"/>
        <v>Programados</v>
      </c>
      <c r="L2555" s="11">
        <v>46211</v>
      </c>
      <c r="M2555" s="22">
        <f>MAX(1,NETWORKDAYS(A2555,L2555,Table2[Dias no laborales]))</f>
        <v>1</v>
      </c>
    </row>
    <row r="2556" spans="1:13" x14ac:dyDescent="0.3">
      <c r="A2556" s="11">
        <v>46211</v>
      </c>
      <c r="B2556" s="20" t="s">
        <v>5090</v>
      </c>
      <c r="C2556" s="7" t="s">
        <v>5102</v>
      </c>
      <c r="D2556" s="7" t="s">
        <v>3845</v>
      </c>
      <c r="E2556" s="18"/>
      <c r="F2556" s="11">
        <f>IF(HOUR(Table1[[#This Row],[CORREO]])&gt;=11,WORKDAY(Table1[[#This Row],[CORREO]],1,Table2[Dias no laborales]),E2556)</f>
        <v>0</v>
      </c>
      <c r="G2556" s="11"/>
      <c r="H2556" s="7">
        <f t="shared" si="143"/>
        <v>27</v>
      </c>
      <c r="I2556" s="7">
        <f>MAX(1, NETWORKDAYS(A2556, G2556,Table2[Dias no laborales]))</f>
        <v>1</v>
      </c>
      <c r="J2556" s="7" t="str">
        <f>IF(Table1[[#This Row],[FIN]]="","Acumulado",IF(ISNUMBER(SEARCH("ASAP",C2556)),"ASAP",IF(NETWORKDAYS.INTL(F2556,G2556,1,Table2[Dias no laborales]) &lt;= 7, "Dentro", IF(A2556&gt;F2556,"Programado","Fuera"))))</f>
        <v>Acumulado</v>
      </c>
      <c r="K2556" s="7" t="str">
        <f t="shared" si="144"/>
        <v>Programados</v>
      </c>
      <c r="L2556" s="11">
        <v>46211</v>
      </c>
      <c r="M2556" s="22">
        <f>MAX(1,NETWORKDAYS(A2556,L2556,Table2[Dias no laborales]))</f>
        <v>1</v>
      </c>
    </row>
    <row r="2557" spans="1:13" x14ac:dyDescent="0.3">
      <c r="A2557" s="11">
        <v>46211</v>
      </c>
      <c r="B2557" s="20" t="s">
        <v>5091</v>
      </c>
      <c r="C2557" s="7" t="s">
        <v>5102</v>
      </c>
      <c r="D2557" s="7" t="s">
        <v>4783</v>
      </c>
      <c r="E2557" s="18"/>
      <c r="F2557" s="11">
        <f>IF(HOUR(Table1[[#This Row],[CORREO]])&gt;=11,WORKDAY(Table1[[#This Row],[CORREO]],1,Table2[Dias no laborales]),E2557)</f>
        <v>0</v>
      </c>
      <c r="G2557" s="11"/>
      <c r="H2557" s="7">
        <f t="shared" si="143"/>
        <v>27</v>
      </c>
      <c r="I2557" s="7">
        <f>MAX(1, NETWORKDAYS(A2557, G2557,Table2[Dias no laborales]))</f>
        <v>1</v>
      </c>
      <c r="J2557" s="7" t="str">
        <f>IF(Table1[[#This Row],[FIN]]="","Acumulado",IF(ISNUMBER(SEARCH("ASAP",C2557)),"ASAP",IF(NETWORKDAYS.INTL(F2557,G2557,1,Table2[Dias no laborales]) &lt;= 7, "Dentro", IF(A2557&gt;F2557,"Programado","Fuera"))))</f>
        <v>Acumulado</v>
      </c>
      <c r="K2557" s="7" t="str">
        <f t="shared" si="144"/>
        <v>Programados</v>
      </c>
      <c r="L2557" s="11">
        <v>46211</v>
      </c>
      <c r="M2557" s="22">
        <f>MAX(1,NETWORKDAYS(A2557,L2557,Table2[Dias no laborales]))</f>
        <v>1</v>
      </c>
    </row>
    <row r="2558" spans="1:13" hidden="1" x14ac:dyDescent="0.3">
      <c r="A2558" s="11">
        <v>46211</v>
      </c>
      <c r="B2558" s="20" t="s">
        <v>5092</v>
      </c>
      <c r="C2558" s="7" t="s">
        <v>5103</v>
      </c>
      <c r="D2558" s="7" t="s">
        <v>2561</v>
      </c>
      <c r="E2558" s="18">
        <v>46210.475694444445</v>
      </c>
      <c r="F2558" s="11">
        <f>IF(HOUR(Table1[[#This Row],[CORREO]])&gt;=11,WORKDAY(Table1[[#This Row],[CORREO]],1,Table2[Dias no laborales]),E2558)</f>
        <v>46211</v>
      </c>
      <c r="G2558" s="11">
        <v>46211</v>
      </c>
      <c r="H2558" s="7">
        <f t="shared" si="143"/>
        <v>27</v>
      </c>
      <c r="I2558" s="7">
        <f>MAX(1, NETWORKDAYS(A2558, G2558,Table2[Dias no laborales]))</f>
        <v>1</v>
      </c>
      <c r="J2558" s="7" t="str">
        <f>IF(Table1[[#This Row],[FIN]]="","Acumulado",IF(ISNUMBER(SEARCH("ASAP",C2558)),"ASAP",IF(NETWORKDAYS.INTL(F2558,G2558,1,Table2[Dias no laborales]) &lt;= 7, "Dentro", IF(A2558&gt;F2558,"Programado","Fuera"))))</f>
        <v>Dentro</v>
      </c>
      <c r="K2558" s="7" t="str">
        <f t="shared" si="144"/>
        <v>A tiempo</v>
      </c>
      <c r="L2558" s="11">
        <v>46211</v>
      </c>
      <c r="M2558" s="22">
        <f>MAX(1,NETWORKDAYS(A2558,L2558,Table2[Dias no laborales]))</f>
        <v>1</v>
      </c>
    </row>
    <row r="2559" spans="1:13" x14ac:dyDescent="0.3">
      <c r="A2559" s="11">
        <v>46211</v>
      </c>
      <c r="B2559" s="20" t="s">
        <v>5093</v>
      </c>
      <c r="C2559" s="7" t="s">
        <v>5104</v>
      </c>
      <c r="D2559" s="7" t="s">
        <v>5105</v>
      </c>
      <c r="E2559" s="18">
        <v>46210.51458333333</v>
      </c>
      <c r="F2559" s="11">
        <f>IF(HOUR(Table1[[#This Row],[CORREO]])&gt;=11,WORKDAY(Table1[[#This Row],[CORREO]],1,Table2[Dias no laborales]),E2559)</f>
        <v>46211</v>
      </c>
      <c r="G2559" s="11"/>
      <c r="H2559" s="7">
        <f t="shared" si="143"/>
        <v>27</v>
      </c>
      <c r="I2559" s="7">
        <f>MAX(1, NETWORKDAYS(A2559, G2559,Table2[Dias no laborales]))</f>
        <v>1</v>
      </c>
      <c r="J2559" s="7" t="str">
        <f>IF(Table1[[#This Row],[FIN]]="","Acumulado",IF(ISNUMBER(SEARCH("ASAP",C2559)),"ASAP",IF(NETWORKDAYS.INTL(F2559,G2559,1,Table2[Dias no laborales]) &lt;= 7, "Dentro", IF(A2559&gt;F2559,"Programado","Fuera"))))</f>
        <v>Acumulado</v>
      </c>
      <c r="K2559" s="7" t="str">
        <f t="shared" si="144"/>
        <v>A tiempo</v>
      </c>
      <c r="L2559" s="11">
        <v>46211</v>
      </c>
      <c r="M2559" s="22">
        <f>MAX(1,NETWORKDAYS(A2559,L2559,Table2[Dias no laborales]))</f>
        <v>1</v>
      </c>
    </row>
    <row r="2560" spans="1:13" x14ac:dyDescent="0.3">
      <c r="A2560" s="11">
        <v>46211</v>
      </c>
      <c r="B2560" s="20" t="s">
        <v>5094</v>
      </c>
      <c r="C2560" s="7" t="s">
        <v>5106</v>
      </c>
      <c r="D2560" s="7" t="s">
        <v>5107</v>
      </c>
      <c r="E2560" s="18">
        <v>46210.629166666666</v>
      </c>
      <c r="F2560" s="11">
        <f>IF(HOUR(Table1[[#This Row],[CORREO]])&gt;=11,WORKDAY(Table1[[#This Row],[CORREO]],1,Table2[Dias no laborales]),E2560)</f>
        <v>46211</v>
      </c>
      <c r="G2560" s="11"/>
      <c r="H2560" s="7">
        <f t="shared" si="143"/>
        <v>27</v>
      </c>
      <c r="I2560" s="7">
        <f>MAX(1, NETWORKDAYS(A2560, G2560,Table2[Dias no laborales]))</f>
        <v>1</v>
      </c>
      <c r="J2560" s="7" t="str">
        <f>IF(Table1[[#This Row],[FIN]]="","Acumulado",IF(ISNUMBER(SEARCH("ASAP",C2560)),"ASAP",IF(NETWORKDAYS.INTL(F2560,G2560,1,Table2[Dias no laborales]) &lt;= 7, "Dentro", IF(A2560&gt;F2560,"Programado","Fuera"))))</f>
        <v>Acumulado</v>
      </c>
      <c r="K2560" s="7" t="str">
        <f t="shared" si="144"/>
        <v>A tiempo</v>
      </c>
      <c r="L2560" s="11">
        <v>46211</v>
      </c>
      <c r="M2560" s="22">
        <f>MAX(1,NETWORKDAYS(A2560,L2560,Table2[Dias no laborales]))</f>
        <v>1</v>
      </c>
    </row>
    <row r="2561" spans="1:13" x14ac:dyDescent="0.3">
      <c r="A2561" s="11">
        <v>46211</v>
      </c>
      <c r="B2561" s="20" t="s">
        <v>5095</v>
      </c>
      <c r="C2561" s="7" t="s">
        <v>5108</v>
      </c>
      <c r="D2561" s="7" t="s">
        <v>5107</v>
      </c>
      <c r="E2561" s="18">
        <v>46210.629861111112</v>
      </c>
      <c r="F2561" s="11">
        <f>IF(HOUR(Table1[[#This Row],[CORREO]])&gt;=11,WORKDAY(Table1[[#This Row],[CORREO]],1,Table2[Dias no laborales]),E2561)</f>
        <v>46211</v>
      </c>
      <c r="G2561" s="11"/>
      <c r="H2561" s="7">
        <f t="shared" si="143"/>
        <v>27</v>
      </c>
      <c r="I2561" s="7">
        <f>MAX(1, NETWORKDAYS(A2561, G2561,Table2[Dias no laborales]))</f>
        <v>1</v>
      </c>
      <c r="J2561" s="7" t="str">
        <f>IF(Table1[[#This Row],[FIN]]="","Acumulado",IF(ISNUMBER(SEARCH("ASAP",C2561)),"ASAP",IF(NETWORKDAYS.INTL(F2561,G2561,1,Table2[Dias no laborales]) &lt;= 7, "Dentro", IF(A2561&gt;F2561,"Programado","Fuera"))))</f>
        <v>Acumulado</v>
      </c>
      <c r="K2561" s="7" t="str">
        <f t="shared" si="144"/>
        <v>A tiempo</v>
      </c>
      <c r="L2561" s="11">
        <v>46211</v>
      </c>
      <c r="M2561" s="22">
        <f>MAX(1,NETWORKDAYS(A2561,L2561,Table2[Dias no laborales]))</f>
        <v>1</v>
      </c>
    </row>
    <row r="2562" spans="1:13" x14ac:dyDescent="0.3">
      <c r="A2562" s="11">
        <v>46211</v>
      </c>
      <c r="B2562" s="20" t="s">
        <v>5096</v>
      </c>
      <c r="C2562" s="7" t="s">
        <v>5116</v>
      </c>
      <c r="D2562" s="7" t="s">
        <v>839</v>
      </c>
      <c r="E2562" s="18">
        <v>46211.293749999997</v>
      </c>
      <c r="F2562" s="11">
        <f>IF(HOUR(Table1[[#This Row],[CORREO]])&gt;=11,WORKDAY(Table1[[#This Row],[CORREO]],1,Table2[Dias no laborales]),E2562)</f>
        <v>46211.293749999997</v>
      </c>
      <c r="G2562" s="11"/>
      <c r="H2562" s="7">
        <f t="shared" si="143"/>
        <v>27</v>
      </c>
      <c r="I2562" s="7">
        <f>MAX(1, NETWORKDAYS(A2562, G2562,Table2[Dias no laborales]))</f>
        <v>1</v>
      </c>
      <c r="J2562" s="7" t="str">
        <f>IF(Table1[[#This Row],[FIN]]="","Acumulado",IF(ISNUMBER(SEARCH("ASAP",C2562)),"ASAP",IF(NETWORKDAYS.INTL(F2562,G2562,1,Table2[Dias no laborales]) &lt;= 7, "Dentro", IF(A2562&gt;F2562,"Programado","Fuera"))))</f>
        <v>Acumulado</v>
      </c>
      <c r="K2562" s="7" t="str">
        <f t="shared" si="144"/>
        <v>A tiempo</v>
      </c>
      <c r="L2562" s="11">
        <v>46211</v>
      </c>
      <c r="M2562" s="22">
        <f>MAX(1,NETWORKDAYS(A2562,L2562,Table2[Dias no laborales]))</f>
        <v>1</v>
      </c>
    </row>
    <row r="2563" spans="1:13" hidden="1" x14ac:dyDescent="0.3">
      <c r="A2563" s="11">
        <v>46211</v>
      </c>
      <c r="B2563" s="20" t="s">
        <v>5097</v>
      </c>
      <c r="C2563" s="7" t="s">
        <v>5117</v>
      </c>
      <c r="D2563" s="18" t="s">
        <v>4346</v>
      </c>
      <c r="E2563" s="18">
        <v>46210.750694444447</v>
      </c>
      <c r="F2563" s="11">
        <f>IF(HOUR(Table1[[#This Row],[CORREO]])&gt;=11,WORKDAY(Table1[[#This Row],[CORREO]],1,Table2[Dias no laborales]),E2563)</f>
        <v>46211</v>
      </c>
      <c r="G2563" s="11">
        <v>46211</v>
      </c>
      <c r="H2563" s="7">
        <f t="shared" si="143"/>
        <v>27</v>
      </c>
      <c r="I2563" s="7">
        <f>MAX(1, NETWORKDAYS(A2563, G2563,Table2[Dias no laborales]))</f>
        <v>1</v>
      </c>
      <c r="J2563" s="7" t="str">
        <f>IF(Table1[[#This Row],[FIN]]="","Acumulado",IF(ISNUMBER(SEARCH("ASAP",C2563)),"ASAP",IF(NETWORKDAYS.INTL(F2563,G2563,1,Table2[Dias no laborales]) &lt;= 7, "Dentro", IF(A2563&gt;F2563,"Programado","Fuera"))))</f>
        <v>Dentro</v>
      </c>
      <c r="K2563" s="7" t="str">
        <f t="shared" si="144"/>
        <v>A tiempo</v>
      </c>
      <c r="L2563" s="11">
        <v>46211</v>
      </c>
      <c r="M2563" s="22">
        <f>MAX(1,NETWORKDAYS(A2563,L2563,Table2[Dias no laborales]))</f>
        <v>1</v>
      </c>
    </row>
    <row r="2564" spans="1:13" hidden="1" x14ac:dyDescent="0.3">
      <c r="A2564" s="11">
        <v>46211</v>
      </c>
      <c r="B2564" s="20" t="s">
        <v>5098</v>
      </c>
      <c r="C2564" s="7" t="s">
        <v>4988</v>
      </c>
      <c r="D2564" s="7" t="s">
        <v>392</v>
      </c>
      <c r="E2564" s="18">
        <v>46211.34652777778</v>
      </c>
      <c r="F2564" s="11">
        <f>IF(HOUR(Table1[[#This Row],[CORREO]])&gt;=11,WORKDAY(Table1[[#This Row],[CORREO]],1,Table2[Dias no laborales]),E2564)</f>
        <v>46211.34652777778</v>
      </c>
      <c r="G2564" s="11">
        <v>46211</v>
      </c>
      <c r="H2564" s="7">
        <f t="shared" si="143"/>
        <v>27</v>
      </c>
      <c r="I2564" s="7">
        <f>MAX(1, NETWORKDAYS(A2564, G2564,Table2[Dias no laborales]))</f>
        <v>1</v>
      </c>
      <c r="J2564" s="7" t="str">
        <f>IF(Table1[[#This Row],[FIN]]="","Acumulado",IF(ISNUMBER(SEARCH("ASAP",C2564)),"ASAP",IF(NETWORKDAYS.INTL(F2564,G2564,1,Table2[Dias no laborales]) &lt;= 7, "Dentro", IF(A2564&gt;F2564,"Programado","Fuera"))))</f>
        <v>Dentro</v>
      </c>
      <c r="K2564" s="7" t="str">
        <f t="shared" si="144"/>
        <v>A tiempo</v>
      </c>
      <c r="L2564" s="11">
        <v>46211</v>
      </c>
      <c r="M2564" s="22">
        <f>MAX(1,NETWORKDAYS(A2564,L2564,Table2[Dias no laborales]))</f>
        <v>1</v>
      </c>
    </row>
    <row r="2565" spans="1:13" x14ac:dyDescent="0.3">
      <c r="A2565" s="11">
        <v>46211</v>
      </c>
      <c r="B2565" s="20" t="s">
        <v>5099</v>
      </c>
      <c r="C2565" s="7" t="s">
        <v>5118</v>
      </c>
      <c r="D2565" s="7" t="s">
        <v>5107</v>
      </c>
      <c r="E2565" s="18">
        <v>46211.348611111112</v>
      </c>
      <c r="F2565" s="11">
        <f>IF(HOUR(Table1[[#This Row],[CORREO]])&gt;=11,WORKDAY(Table1[[#This Row],[CORREO]],1,Table2[Dias no laborales]),E2565)</f>
        <v>46211.348611111112</v>
      </c>
      <c r="G2565" s="11"/>
      <c r="H2565" s="7">
        <f t="shared" si="143"/>
        <v>27</v>
      </c>
      <c r="I2565" s="7">
        <f>MAX(1, NETWORKDAYS(A2565, G2565,Table2[Dias no laborales]))</f>
        <v>1</v>
      </c>
      <c r="J2565" s="7" t="str">
        <f>IF(Table1[[#This Row],[FIN]]="","Acumulado",IF(ISNUMBER(SEARCH("ASAP",C2565)),"ASAP",IF(NETWORKDAYS.INTL(F2565,G2565,1,Table2[Dias no laborales]) &lt;= 7, "Dentro", IF(A2565&gt;F2565,"Programado","Fuera"))))</f>
        <v>Acumulado</v>
      </c>
      <c r="K2565" s="7" t="str">
        <f t="shared" si="144"/>
        <v>A tiempo</v>
      </c>
      <c r="L2565" s="11">
        <v>46211</v>
      </c>
      <c r="M2565" s="22">
        <f>MAX(1,NETWORKDAYS(A2565,L2565,Table2[Dias no laborales]))</f>
        <v>1</v>
      </c>
    </row>
    <row r="2566" spans="1:13" x14ac:dyDescent="0.3">
      <c r="A2566" s="11">
        <v>46211</v>
      </c>
      <c r="B2566" s="20" t="s">
        <v>5100</v>
      </c>
      <c r="C2566" s="7" t="s">
        <v>5119</v>
      </c>
      <c r="D2566" s="7" t="s">
        <v>5071</v>
      </c>
      <c r="E2566" s="18">
        <v>46211.428472222222</v>
      </c>
      <c r="F2566" s="11">
        <f>IF(HOUR(Table1[[#This Row],[CORREO]])&gt;=11,WORKDAY(Table1[[#This Row],[CORREO]],1,Table2[Dias no laborales]),E2566)</f>
        <v>46211.428472222222</v>
      </c>
      <c r="G2566" s="11"/>
      <c r="H2566" s="7">
        <f t="shared" si="143"/>
        <v>27</v>
      </c>
      <c r="I2566" s="7">
        <f>MAX(1, NETWORKDAYS(A2566, G2566,Table2[Dias no laborales]))</f>
        <v>1</v>
      </c>
      <c r="J2566" s="7" t="str">
        <f>IF(Table1[[#This Row],[FIN]]="","Acumulado",IF(ISNUMBER(SEARCH("ASAP",C2566)),"ASAP",IF(NETWORKDAYS.INTL(F2566,G2566,1,Table2[Dias no laborales]) &lt;= 7, "Dentro", IF(A2566&gt;F2566,"Programado","Fuera"))))</f>
        <v>Acumulado</v>
      </c>
      <c r="K2566" s="7" t="str">
        <f t="shared" si="144"/>
        <v>A tiempo</v>
      </c>
      <c r="L2566" s="11">
        <v>46211</v>
      </c>
      <c r="M2566" s="22">
        <f>MAX(1,NETWORKDAYS(A2566,L2566,Table2[Dias no laborales]))</f>
        <v>1</v>
      </c>
    </row>
    <row r="2567" spans="1:13" x14ac:dyDescent="0.3">
      <c r="A2567" s="11">
        <v>46212</v>
      </c>
      <c r="B2567" s="20" t="s">
        <v>5109</v>
      </c>
      <c r="C2567" s="7" t="s">
        <v>5120</v>
      </c>
      <c r="D2567" s="7" t="s">
        <v>24</v>
      </c>
      <c r="E2567" s="18">
        <v>46212.372916666667</v>
      </c>
      <c r="F2567" s="11">
        <f>IF(HOUR(Table1[[#This Row],[CORREO]])&gt;=11,WORKDAY(Table1[[#This Row],[CORREO]],1,Table2[Dias no laborales]),E2567)</f>
        <v>46212.372916666667</v>
      </c>
      <c r="G2567" s="11"/>
      <c r="H2567" s="7">
        <f t="shared" ref="H2567:H2573" si="145">INT((A2567-DATE(YEAR(A2567),1,1))/7) + 1</f>
        <v>28</v>
      </c>
      <c r="I2567" s="7">
        <f>MAX(1, NETWORKDAYS(A2567, G2567,Table2[Dias no laborales]))</f>
        <v>1</v>
      </c>
      <c r="J2567" s="7" t="str">
        <f>IF(Table1[[#This Row],[FIN]]="","Acumulado",IF(ISNUMBER(SEARCH("ASAP",C2567)),"ASAP",IF(NETWORKDAYS.INTL(F2567,G2567,1,Table2[Dias no laborales]) &lt;= 7, "Dentro", IF(A2567&gt;F2567,"Programado","Fuera"))))</f>
        <v>Acumulado</v>
      </c>
      <c r="K2567" s="7" t="str">
        <f t="shared" ref="K2567:K2573" si="146">IF(INT(A2567)=INT(F2567),"A tiempo", IF(A2567&lt;F2567,"Mismo día","Programados"))</f>
        <v>A tiempo</v>
      </c>
      <c r="L2567" s="11">
        <v>46212</v>
      </c>
      <c r="M2567" s="22">
        <f>MAX(1,NETWORKDAYS(A2567,L2567,Table2[Dias no laborales]))</f>
        <v>1</v>
      </c>
    </row>
    <row r="2568" spans="1:13" x14ac:dyDescent="0.3">
      <c r="A2568" s="11">
        <v>46212</v>
      </c>
      <c r="B2568" s="20" t="s">
        <v>5110</v>
      </c>
      <c r="C2568" s="7" t="s">
        <v>5121</v>
      </c>
      <c r="D2568" s="7" t="s">
        <v>5105</v>
      </c>
      <c r="E2568" s="18">
        <v>46211.503472222219</v>
      </c>
      <c r="F2568" s="11">
        <f>IF(HOUR(Table1[[#This Row],[CORREO]])&gt;=11,WORKDAY(Table1[[#This Row],[CORREO]],1,Table2[Dias no laborales]),E2568)</f>
        <v>46212</v>
      </c>
      <c r="G2568" s="11"/>
      <c r="H2568" s="7">
        <f t="shared" si="145"/>
        <v>28</v>
      </c>
      <c r="I2568" s="7">
        <f>MAX(1, NETWORKDAYS(A2568, G2568,Table2[Dias no laborales]))</f>
        <v>1</v>
      </c>
      <c r="J2568" s="7" t="str">
        <f>IF(Table1[[#This Row],[FIN]]="","Acumulado",IF(ISNUMBER(SEARCH("ASAP",C2568)),"ASAP",IF(NETWORKDAYS.INTL(F2568,G2568,1,Table2[Dias no laborales]) &lt;= 7, "Dentro", IF(A2568&gt;F2568,"Programado","Fuera"))))</f>
        <v>Acumulado</v>
      </c>
      <c r="K2568" s="7" t="str">
        <f t="shared" si="146"/>
        <v>A tiempo</v>
      </c>
      <c r="L2568" s="11">
        <v>46212</v>
      </c>
      <c r="M2568" s="22">
        <f>MAX(1,NETWORKDAYS(A2568,L2568,Table2[Dias no laborales]))</f>
        <v>1</v>
      </c>
    </row>
    <row r="2569" spans="1:13" x14ac:dyDescent="0.3">
      <c r="A2569" s="11"/>
      <c r="B2569" s="20" t="s">
        <v>5111</v>
      </c>
      <c r="C2569" s="7"/>
      <c r="D2569" s="7"/>
      <c r="E2569" s="18"/>
      <c r="F2569" s="11">
        <f>IF(HOUR(Table1[[#This Row],[CORREO]])&gt;=11,WORKDAY(Table1[[#This Row],[CORREO]],1,Table2[Dias no laborales]),E2569)</f>
        <v>0</v>
      </c>
      <c r="G2569" s="11"/>
      <c r="H2569" s="7">
        <f t="shared" si="145"/>
        <v>0</v>
      </c>
      <c r="I2569" s="7">
        <f>MAX(1, NETWORKDAYS(A2569, G2569,Table2[Dias no laborales]))</f>
        <v>1</v>
      </c>
      <c r="J2569" s="7" t="str">
        <f>IF(Table1[[#This Row],[FIN]]="","Acumulado",IF(ISNUMBER(SEARCH("ASAP",C2569)),"ASAP",IF(NETWORKDAYS.INTL(F2569,G2569,1,Table2[Dias no laborales]) &lt;= 7, "Dentro", IF(A2569&gt;F2569,"Programado","Fuera"))))</f>
        <v>Acumulado</v>
      </c>
      <c r="K2569" s="7" t="str">
        <f t="shared" si="146"/>
        <v>A tiempo</v>
      </c>
      <c r="L2569" s="11"/>
      <c r="M2569" s="22">
        <f>MAX(1,NETWORKDAYS(A2569,L2569,Table2[Dias no laborales]))</f>
        <v>1</v>
      </c>
    </row>
    <row r="2570" spans="1:13" x14ac:dyDescent="0.3">
      <c r="A2570" s="11"/>
      <c r="B2570" s="20" t="s">
        <v>5112</v>
      </c>
      <c r="C2570" s="7"/>
      <c r="D2570" s="7"/>
      <c r="E2570" s="18"/>
      <c r="F2570" s="11">
        <f>IF(HOUR(Table1[[#This Row],[CORREO]])&gt;=11,WORKDAY(Table1[[#This Row],[CORREO]],1,Table2[Dias no laborales]),E2570)</f>
        <v>0</v>
      </c>
      <c r="G2570" s="11"/>
      <c r="H2570" s="7">
        <f t="shared" si="145"/>
        <v>0</v>
      </c>
      <c r="I2570" s="7">
        <f>MAX(1, NETWORKDAYS(A2570, G2570,Table2[Dias no laborales]))</f>
        <v>1</v>
      </c>
      <c r="J2570" s="7" t="str">
        <f>IF(Table1[[#This Row],[FIN]]="","Acumulado",IF(ISNUMBER(SEARCH("ASAP",C2570)),"ASAP",IF(NETWORKDAYS.INTL(F2570,G2570,1,Table2[Dias no laborales]) &lt;= 7, "Dentro", IF(A2570&gt;F2570,"Programado","Fuera"))))</f>
        <v>Acumulado</v>
      </c>
      <c r="K2570" s="7" t="str">
        <f t="shared" si="146"/>
        <v>A tiempo</v>
      </c>
      <c r="L2570" s="11"/>
      <c r="M2570" s="22">
        <f>MAX(1,NETWORKDAYS(A2570,L2570,Table2[Dias no laborales]))</f>
        <v>1</v>
      </c>
    </row>
    <row r="2571" spans="1:13" x14ac:dyDescent="0.3">
      <c r="A2571" s="11"/>
      <c r="B2571" s="20" t="s">
        <v>5113</v>
      </c>
      <c r="C2571" s="7"/>
      <c r="D2571" s="7"/>
      <c r="E2571" s="18"/>
      <c r="F2571" s="11">
        <f>IF(HOUR(Table1[[#This Row],[CORREO]])&gt;=11,WORKDAY(Table1[[#This Row],[CORREO]],1,Table2[Dias no laborales]),E2571)</f>
        <v>0</v>
      </c>
      <c r="G2571" s="11"/>
      <c r="H2571" s="7">
        <f t="shared" si="145"/>
        <v>0</v>
      </c>
      <c r="I2571" s="7">
        <f>MAX(1, NETWORKDAYS(A2571, G2571,Table2[Dias no laborales]))</f>
        <v>1</v>
      </c>
      <c r="J2571" s="7" t="str">
        <f>IF(Table1[[#This Row],[FIN]]="","Acumulado",IF(ISNUMBER(SEARCH("ASAP",C2571)),"ASAP",IF(NETWORKDAYS.INTL(F2571,G2571,1,Table2[Dias no laborales]) &lt;= 7, "Dentro", IF(A2571&gt;F2571,"Programado","Fuera"))))</f>
        <v>Acumulado</v>
      </c>
      <c r="K2571" s="7" t="str">
        <f t="shared" si="146"/>
        <v>A tiempo</v>
      </c>
      <c r="L2571" s="11"/>
      <c r="M2571" s="22">
        <f>MAX(1,NETWORKDAYS(A2571,L2571,Table2[Dias no laborales]))</f>
        <v>1</v>
      </c>
    </row>
    <row r="2572" spans="1:13" x14ac:dyDescent="0.3">
      <c r="A2572" s="11"/>
      <c r="B2572" s="20" t="s">
        <v>5114</v>
      </c>
      <c r="C2572" s="7"/>
      <c r="D2572" s="7"/>
      <c r="E2572" s="18"/>
      <c r="F2572" s="11">
        <f>IF(HOUR(Table1[[#This Row],[CORREO]])&gt;=11,WORKDAY(Table1[[#This Row],[CORREO]],1,Table2[Dias no laborales]),E2572)</f>
        <v>0</v>
      </c>
      <c r="G2572" s="11"/>
      <c r="H2572" s="7">
        <f t="shared" si="145"/>
        <v>0</v>
      </c>
      <c r="I2572" s="7">
        <f>MAX(1, NETWORKDAYS(A2572, G2572,Table2[Dias no laborales]))</f>
        <v>1</v>
      </c>
      <c r="J2572" s="7" t="str">
        <f>IF(Table1[[#This Row],[FIN]]="","Acumulado",IF(ISNUMBER(SEARCH("ASAP",C2572)),"ASAP",IF(NETWORKDAYS.INTL(F2572,G2572,1,Table2[Dias no laborales]) &lt;= 7, "Dentro", IF(A2572&gt;F2572,"Programado","Fuera"))))</f>
        <v>Acumulado</v>
      </c>
      <c r="K2572" s="7" t="str">
        <f t="shared" si="146"/>
        <v>A tiempo</v>
      </c>
      <c r="L2572" s="11"/>
      <c r="M2572" s="22">
        <f>MAX(1,NETWORKDAYS(A2572,L2572,Table2[Dias no laborales]))</f>
        <v>1</v>
      </c>
    </row>
    <row r="2573" spans="1:13" x14ac:dyDescent="0.3">
      <c r="A2573" s="11"/>
      <c r="B2573" s="20" t="s">
        <v>5115</v>
      </c>
      <c r="C2573" s="7"/>
      <c r="D2573" s="7"/>
      <c r="E2573" s="18"/>
      <c r="F2573" s="11">
        <f>IF(HOUR(Table1[[#This Row],[CORREO]])&gt;=11,WORKDAY(Table1[[#This Row],[CORREO]],1,Table2[Dias no laborales]),E2573)</f>
        <v>0</v>
      </c>
      <c r="G2573" s="11"/>
      <c r="H2573" s="7">
        <f t="shared" si="145"/>
        <v>0</v>
      </c>
      <c r="I2573" s="7">
        <f>MAX(1, NETWORKDAYS(A2573, G2573,Table2[Dias no laborales]))</f>
        <v>1</v>
      </c>
      <c r="J2573" s="7" t="str">
        <f>IF(Table1[[#This Row],[FIN]]="","Acumulado",IF(ISNUMBER(SEARCH("ASAP",C2573)),"ASAP",IF(NETWORKDAYS.INTL(F2573,G2573,1,Table2[Dias no laborales]) &lt;= 7, "Dentro", IF(A2573&gt;F2573,"Programado","Fuera"))))</f>
        <v>Acumulado</v>
      </c>
      <c r="K2573" s="7" t="str">
        <f t="shared" si="146"/>
        <v>A tiempo</v>
      </c>
      <c r="L2573" s="11"/>
      <c r="M2573" s="22">
        <f>MAX(1,NETWORKDAYS(A2573,L2573,Table2[Dias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8" customWidth="1"/>
  </cols>
  <sheetData>
    <row r="1" spans="1:1" x14ac:dyDescent="0.3">
      <c r="A1" s="28" t="s">
        <v>3340</v>
      </c>
    </row>
    <row r="2" spans="1:1" x14ac:dyDescent="0.3">
      <c r="A2" s="28">
        <v>45978</v>
      </c>
    </row>
    <row r="3" spans="1:1" x14ac:dyDescent="0.3">
      <c r="A3" s="28">
        <v>46015</v>
      </c>
    </row>
    <row r="4" spans="1:1" x14ac:dyDescent="0.3">
      <c r="A4" s="28">
        <v>46016</v>
      </c>
    </row>
    <row r="5" spans="1:1" x14ac:dyDescent="0.3">
      <c r="A5" s="28">
        <v>46022</v>
      </c>
    </row>
    <row r="6" spans="1:1" x14ac:dyDescent="0.3">
      <c r="A6" s="28">
        <v>46023</v>
      </c>
    </row>
    <row r="7" spans="1:1" x14ac:dyDescent="0.3">
      <c r="A7" s="28">
        <v>46055</v>
      </c>
    </row>
    <row r="8" spans="1:1" x14ac:dyDescent="0.3">
      <c r="A8" s="28">
        <v>46097</v>
      </c>
    </row>
    <row r="9" spans="1:1" x14ac:dyDescent="0.3">
      <c r="A9" s="28">
        <v>46114</v>
      </c>
    </row>
    <row r="10" spans="1:1" x14ac:dyDescent="0.3">
      <c r="A10" s="28">
        <v>46115</v>
      </c>
    </row>
    <row r="11" spans="1:1" x14ac:dyDescent="0.3">
      <c r="A11" s="28">
        <v>46143</v>
      </c>
    </row>
    <row r="12" spans="1:1" x14ac:dyDescent="0.3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2026-07-09T15:29:22Z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