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3FE08C0E-CE2A-485E-8102-B1A47AC3B334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55" i="1" l="1"/>
  <c r="K1655" i="1" s="1"/>
  <c r="F1656" i="1"/>
  <c r="F1657" i="1"/>
  <c r="K1657" i="1" s="1"/>
  <c r="F1658" i="1"/>
  <c r="F1659" i="1"/>
  <c r="K1659" i="1" s="1"/>
  <c r="F1660" i="1"/>
  <c r="K1660" i="1" s="1"/>
  <c r="F1661" i="1"/>
  <c r="F1662" i="1"/>
  <c r="K1662" i="1" s="1"/>
  <c r="F1663" i="1"/>
  <c r="J1663" i="1" s="1"/>
  <c r="F1664" i="1"/>
  <c r="F1665" i="1"/>
  <c r="F1666" i="1"/>
  <c r="K1666" i="1" s="1"/>
  <c r="F1667" i="1"/>
  <c r="K1667" i="1" s="1"/>
  <c r="F1668" i="1"/>
  <c r="K1668" i="1" s="1"/>
  <c r="F1669" i="1"/>
  <c r="F1670" i="1"/>
  <c r="K1670" i="1" s="1"/>
  <c r="F1671" i="1"/>
  <c r="K1671" i="1" s="1"/>
  <c r="F1672" i="1"/>
  <c r="F1673" i="1"/>
  <c r="K1673" i="1" s="1"/>
  <c r="F1674" i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F1681" i="1"/>
  <c r="K1681" i="1" s="1"/>
  <c r="F1682" i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J1661" i="1"/>
  <c r="J1664" i="1"/>
  <c r="J1665" i="1"/>
  <c r="J1666" i="1"/>
  <c r="J1667" i="1"/>
  <c r="J1668" i="1"/>
  <c r="J1669" i="1"/>
  <c r="J1671" i="1"/>
  <c r="J1672" i="1"/>
  <c r="J1673" i="1"/>
  <c r="J1674" i="1"/>
  <c r="J1675" i="1"/>
  <c r="J1676" i="1"/>
  <c r="J1677" i="1"/>
  <c r="J1678" i="1"/>
  <c r="J1680" i="1"/>
  <c r="J1681" i="1"/>
  <c r="J1682" i="1"/>
  <c r="J1683" i="1"/>
  <c r="J1684" i="1"/>
  <c r="J1685" i="1"/>
  <c r="J1686" i="1"/>
  <c r="J1687" i="1"/>
  <c r="J1688" i="1"/>
  <c r="J1689" i="1"/>
  <c r="K1656" i="1"/>
  <c r="K1658" i="1"/>
  <c r="K1661" i="1"/>
  <c r="K1663" i="1"/>
  <c r="K1664" i="1"/>
  <c r="K1665" i="1"/>
  <c r="K1669" i="1"/>
  <c r="K1672" i="1"/>
  <c r="K1674" i="1"/>
  <c r="K1680" i="1"/>
  <c r="K1682" i="1"/>
  <c r="K1689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3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19" i="1"/>
  <c r="J1146" i="1"/>
  <c r="J1167" i="1"/>
  <c r="J1168" i="1"/>
  <c r="J1199" i="1"/>
  <c r="J1211" i="1"/>
  <c r="J1213" i="1"/>
  <c r="J1221" i="1"/>
  <c r="J1222" i="1"/>
  <c r="J1233" i="1"/>
  <c r="J1242" i="1"/>
  <c r="J1243" i="1"/>
  <c r="J1245" i="1"/>
  <c r="J1246" i="1"/>
  <c r="J1272" i="1"/>
  <c r="J1284" i="1"/>
  <c r="J1306" i="1"/>
  <c r="J1330" i="1"/>
  <c r="J1331" i="1"/>
  <c r="J1342" i="1"/>
  <c r="J1343" i="1"/>
  <c r="J1345" i="1"/>
  <c r="J1347" i="1"/>
  <c r="J1348" i="1"/>
  <c r="J1359" i="1"/>
  <c r="J1364" i="1"/>
  <c r="J1372" i="1"/>
  <c r="J1373" i="1"/>
  <c r="J1374" i="1"/>
  <c r="J1413" i="1"/>
  <c r="J1421" i="1"/>
  <c r="J1433" i="1"/>
  <c r="J1477" i="1"/>
  <c r="J1490" i="1"/>
  <c r="J1493" i="1"/>
  <c r="J1499" i="1"/>
  <c r="J1509" i="1"/>
  <c r="J1512" i="1"/>
  <c r="J1517" i="1"/>
  <c r="J1531" i="1"/>
  <c r="J1549" i="1"/>
  <c r="J1558" i="1"/>
  <c r="J1562" i="1"/>
  <c r="J1574" i="1"/>
  <c r="J1575" i="1"/>
  <c r="J1578" i="1"/>
  <c r="J1591" i="1"/>
  <c r="J1592" i="1"/>
  <c r="J1593" i="1"/>
  <c r="J1596" i="1"/>
  <c r="J1601" i="1"/>
  <c r="J1603" i="1"/>
  <c r="J1613" i="1"/>
  <c r="J1614" i="1"/>
  <c r="J1615" i="1"/>
  <c r="J1618" i="1"/>
  <c r="J1621" i="1"/>
  <c r="J1623" i="1"/>
  <c r="J1625" i="1"/>
  <c r="J1634" i="1"/>
  <c r="J1635" i="1"/>
  <c r="J1636" i="1"/>
  <c r="J1637" i="1"/>
  <c r="J1646" i="1"/>
  <c r="J1649" i="1"/>
  <c r="F1599" i="1"/>
  <c r="K1599" i="1" s="1"/>
  <c r="H1599" i="1"/>
  <c r="J1679" i="1" l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K1613" i="1" s="1"/>
  <c r="F1614" i="1"/>
  <c r="K1614" i="1" s="1"/>
  <c r="F1615" i="1"/>
  <c r="K1615" i="1" s="1"/>
  <c r="F1616" i="1"/>
  <c r="F1617" i="1"/>
  <c r="F1618" i="1"/>
  <c r="K1618" i="1" s="1"/>
  <c r="F1619" i="1"/>
  <c r="F1620" i="1"/>
  <c r="F1621" i="1"/>
  <c r="K1621" i="1" s="1"/>
  <c r="F1622" i="1"/>
  <c r="F1623" i="1"/>
  <c r="K1623" i="1" s="1"/>
  <c r="F1624" i="1"/>
  <c r="F1625" i="1"/>
  <c r="K1625" i="1" s="1"/>
  <c r="F1626" i="1"/>
  <c r="F1627" i="1"/>
  <c r="F1628" i="1"/>
  <c r="F1629" i="1"/>
  <c r="F1630" i="1"/>
  <c r="F1631" i="1"/>
  <c r="F1632" i="1"/>
  <c r="F1633" i="1"/>
  <c r="F1634" i="1"/>
  <c r="K1634" i="1" s="1"/>
  <c r="F1635" i="1"/>
  <c r="K1635" i="1" s="1"/>
  <c r="F1636" i="1"/>
  <c r="K1636" i="1" s="1"/>
  <c r="F1637" i="1"/>
  <c r="K1637" i="1" s="1"/>
  <c r="F1638" i="1"/>
  <c r="F1639" i="1"/>
  <c r="F1640" i="1"/>
  <c r="F1641" i="1"/>
  <c r="F1642" i="1"/>
  <c r="F1643" i="1"/>
  <c r="F1644" i="1"/>
  <c r="F1645" i="1"/>
  <c r="F1646" i="1"/>
  <c r="K1646" i="1" s="1"/>
  <c r="F1647" i="1"/>
  <c r="F1648" i="1"/>
  <c r="F1649" i="1"/>
  <c r="K1649" i="1" s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F1567" i="1"/>
  <c r="F1568" i="1"/>
  <c r="F1569" i="1"/>
  <c r="F1570" i="1"/>
  <c r="F1571" i="1"/>
  <c r="F1572" i="1"/>
  <c r="F1573" i="1"/>
  <c r="F1574" i="1"/>
  <c r="K1574" i="1" s="1"/>
  <c r="F1575" i="1"/>
  <c r="K1575" i="1" s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K1591" i="1" s="1"/>
  <c r="F1592" i="1"/>
  <c r="K1592" i="1" s="1"/>
  <c r="F1593" i="1"/>
  <c r="K1593" i="1" s="1"/>
  <c r="F1594" i="1"/>
  <c r="F1595" i="1"/>
  <c r="F1596" i="1"/>
  <c r="K1596" i="1" s="1"/>
  <c r="F1597" i="1"/>
  <c r="F1598" i="1"/>
  <c r="F1600" i="1"/>
  <c r="F1601" i="1"/>
  <c r="K1601" i="1" s="1"/>
  <c r="F1602" i="1"/>
  <c r="F1603" i="1"/>
  <c r="K1603" i="1" s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F1529" i="1"/>
  <c r="F1530" i="1"/>
  <c r="F1531" i="1"/>
  <c r="K1531" i="1" s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K1549" i="1" s="1"/>
  <c r="F1550" i="1"/>
  <c r="F1551" i="1"/>
  <c r="F1552" i="1"/>
  <c r="F1553" i="1"/>
  <c r="F1554" i="1"/>
  <c r="F1555" i="1"/>
  <c r="F1556" i="1"/>
  <c r="F1557" i="1"/>
  <c r="F1558" i="1"/>
  <c r="K1558" i="1" s="1"/>
  <c r="F1559" i="1"/>
  <c r="F1560" i="1"/>
  <c r="F1561" i="1"/>
  <c r="F1562" i="1"/>
  <c r="K1562" i="1" s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F1528" i="1"/>
  <c r="H1528" i="1"/>
  <c r="M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M1521" i="1"/>
  <c r="M1522" i="1"/>
  <c r="M1523" i="1"/>
  <c r="M1524" i="1"/>
  <c r="M1525" i="1"/>
  <c r="M1526" i="1"/>
  <c r="M1527" i="1"/>
  <c r="F1520" i="1"/>
  <c r="H1520" i="1"/>
  <c r="M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K1477" i="1" s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K1490" i="1" s="1"/>
  <c r="F1491" i="1"/>
  <c r="F1492" i="1"/>
  <c r="F1493" i="1"/>
  <c r="K1493" i="1" s="1"/>
  <c r="F1494" i="1"/>
  <c r="F1495" i="1"/>
  <c r="F1496" i="1"/>
  <c r="F1497" i="1"/>
  <c r="F1498" i="1"/>
  <c r="F1499" i="1"/>
  <c r="K1499" i="1" s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K1512" i="1" s="1"/>
  <c r="F1513" i="1"/>
  <c r="F1514" i="1"/>
  <c r="F1515" i="1"/>
  <c r="F1516" i="1"/>
  <c r="F1517" i="1"/>
  <c r="K1517" i="1" s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K1561" i="1" l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M1414" i="1"/>
  <c r="F1403" i="1"/>
  <c r="H1403" i="1"/>
  <c r="M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M1359" i="1"/>
  <c r="F1401" i="1"/>
  <c r="H1401" i="1"/>
  <c r="M1401" i="1"/>
  <c r="F1400" i="1"/>
  <c r="H1400" i="1"/>
  <c r="M1400" i="1"/>
  <c r="F1399" i="1"/>
  <c r="H1399" i="1"/>
  <c r="M1399" i="1"/>
  <c r="F1398" i="1"/>
  <c r="H1398" i="1"/>
  <c r="M1398" i="1"/>
  <c r="F1397" i="1"/>
  <c r="H1397" i="1"/>
  <c r="M1397" i="1"/>
  <c r="F1396" i="1"/>
  <c r="H1396" i="1"/>
  <c r="M1396" i="1"/>
  <c r="F1395" i="1"/>
  <c r="H1395" i="1"/>
  <c r="M1395" i="1"/>
  <c r="F1394" i="1"/>
  <c r="H1394" i="1"/>
  <c r="M1394" i="1"/>
  <c r="F1393" i="1"/>
  <c r="H1393" i="1"/>
  <c r="M1393" i="1"/>
  <c r="F2" i="1"/>
  <c r="H2" i="1"/>
  <c r="M2" i="1"/>
  <c r="F1392" i="1"/>
  <c r="H1392" i="1"/>
  <c r="M1392" i="1"/>
  <c r="F1391" i="1"/>
  <c r="H1391" i="1"/>
  <c r="M1391" i="1"/>
  <c r="F1390" i="1"/>
  <c r="H1390" i="1"/>
  <c r="M1390" i="1"/>
  <c r="F1389" i="1"/>
  <c r="H1389" i="1"/>
  <c r="M1389" i="1"/>
  <c r="F1388" i="1"/>
  <c r="H1388" i="1"/>
  <c r="M1388" i="1"/>
  <c r="F1387" i="1"/>
  <c r="H1387" i="1"/>
  <c r="M1387" i="1"/>
  <c r="F1386" i="1"/>
  <c r="H1386" i="1"/>
  <c r="M1386" i="1"/>
  <c r="F1385" i="1"/>
  <c r="H1385" i="1"/>
  <c r="M1385" i="1"/>
  <c r="F1384" i="1"/>
  <c r="H1384" i="1"/>
  <c r="M1384" i="1"/>
  <c r="F1383" i="1"/>
  <c r="H1383" i="1"/>
  <c r="M1383" i="1"/>
  <c r="F1382" i="1"/>
  <c r="H1382" i="1"/>
  <c r="M1382" i="1"/>
  <c r="F1381" i="1"/>
  <c r="H1381" i="1"/>
  <c r="M1381" i="1"/>
  <c r="F1380" i="1"/>
  <c r="H1380" i="1"/>
  <c r="M1380" i="1"/>
  <c r="F1379" i="1"/>
  <c r="H1379" i="1"/>
  <c r="M1379" i="1"/>
  <c r="F277" i="1"/>
  <c r="K277" i="1" s="1"/>
  <c r="F428" i="1"/>
  <c r="F1334" i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M277" i="1"/>
  <c r="M428" i="1"/>
  <c r="M1334" i="1"/>
  <c r="M1345" i="1"/>
  <c r="M1342" i="1"/>
  <c r="M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K1432" i="1" l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M1292" i="1"/>
  <c r="F1297" i="1"/>
  <c r="H1297" i="1"/>
  <c r="M1297" i="1"/>
  <c r="F1298" i="1"/>
  <c r="H1298" i="1"/>
  <c r="M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K936" i="1" s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K1119" i="1" s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K1233" i="1" s="1"/>
  <c r="F1242" i="1"/>
  <c r="K1242" i="1" s="1"/>
  <c r="F1243" i="1"/>
  <c r="K1243" i="1" s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1042" i="1" l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<sst xmlns="http://schemas.openxmlformats.org/spreadsheetml/2006/main" count="5079" uniqueCount="3413">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</sst>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689" totalsRowShown="0" headerRowDxfId="22" dataDxfId="20" headerRowBorderDxfId="21" tableBorderDxfId="19" totalsRowBorderDxfId="18">
  <autoFilter ref="A1:M1689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7" totalsRowShown="0" headerRowDxfId="4" dataDxfId="3">
  <autoFilter ref="A1:A7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689"/>
  <sheetViews>
    <sheetView tabSelected="1" topLeftCell="C1" zoomScale="88" zoomScaleNormal="32" workbookViewId="0">
      <selection activeCell="F7" sqref="F7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 t="shared" ref="M2:M65" si="2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 t="shared" si="2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 t="shared" si="2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 t="shared" si="2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 t="shared" si="2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 t="shared" si="2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 t="shared" si="2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 t="shared" si="2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 t="shared" si="2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 t="shared" si="2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 t="shared" si="2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 t="shared" si="2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 t="shared" si="2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 t="shared" si="2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 t="shared" si="2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 t="shared" si="2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 t="shared" si="2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 t="shared" si="2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 t="shared" si="2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 t="shared" si="2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 t="shared" si="2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 t="shared" si="2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 t="shared" si="2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 t="shared" si="2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 t="shared" si="2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 t="shared" si="2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 t="shared" si="2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 t="shared" si="2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 t="shared" si="2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 t="shared" si="2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 t="shared" si="2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 t="shared" si="2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 t="shared" si="2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 t="shared" si="2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 t="shared" si="2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 t="shared" si="2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 t="shared" si="2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 t="shared" si="2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 t="shared" si="2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 t="shared" si="2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 t="shared" si="2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 t="shared" si="2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 t="shared" si="2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 t="shared" si="2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 t="shared" si="2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 t="shared" si="2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 t="shared" si="2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 t="shared" si="2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 t="shared" si="2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 t="shared" si="2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 t="shared" si="2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 t="shared" si="2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 t="shared" si="2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 t="shared" si="2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 t="shared" si="2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 t="shared" si="2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 t="shared" si="2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 t="shared" si="2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 t="shared" si="2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 t="shared" si="2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 t="shared" si="2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 t="shared" si="2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 t="shared" si="2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 t="shared" si="2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3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4">IF(INT(A66)=INT(F66),"A tiempo", IF(A66&lt;F66,"Mismo día","Programados"))</f>
        <v>A tiempo</v>
      </c>
      <c r="L66" s="11">
        <v>45673</v>
      </c>
      <c r="M66" s="22">
        <f t="shared" ref="M66:M129" si="5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3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4"/>
        <v>A tiempo</v>
      </c>
      <c r="L67" s="11">
        <v>45673</v>
      </c>
      <c r="M67" s="22">
        <f t="shared" si="5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3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4"/>
        <v>A tiempo</v>
      </c>
      <c r="L68" s="11">
        <v>45673</v>
      </c>
      <c r="M68" s="22">
        <f t="shared" si="5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3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4"/>
        <v>A tiempo</v>
      </c>
      <c r="L69" s="11">
        <v>45673</v>
      </c>
      <c r="M69" s="22">
        <f t="shared" si="5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3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4"/>
        <v>A tiempo</v>
      </c>
      <c r="L70" s="11">
        <v>45673</v>
      </c>
      <c r="M70" s="22">
        <f t="shared" si="5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3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4"/>
        <v>A tiempo</v>
      </c>
      <c r="L71" s="11">
        <v>45673</v>
      </c>
      <c r="M71" s="22">
        <f t="shared" si="5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3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4"/>
        <v>A tiempo</v>
      </c>
      <c r="L72" s="11">
        <v>45674</v>
      </c>
      <c r="M72" s="22">
        <f t="shared" si="5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3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4"/>
        <v>A tiempo</v>
      </c>
      <c r="L73" s="11">
        <v>45674</v>
      </c>
      <c r="M73" s="22">
        <f t="shared" si="5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3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4"/>
        <v>A tiempo</v>
      </c>
      <c r="L74" s="11">
        <v>45674</v>
      </c>
      <c r="M74" s="22">
        <f t="shared" si="5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3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4"/>
        <v>Programados</v>
      </c>
      <c r="L75" s="11">
        <v>45677</v>
      </c>
      <c r="M75" s="22">
        <f t="shared" si="5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3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4"/>
        <v>A tiempo</v>
      </c>
      <c r="L76" s="11">
        <v>45677</v>
      </c>
      <c r="M76" s="22">
        <f t="shared" si="5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3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4"/>
        <v>A tiempo</v>
      </c>
      <c r="L77" s="11">
        <v>45677</v>
      </c>
      <c r="M77" s="22">
        <f t="shared" si="5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3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4"/>
        <v>Mismo día</v>
      </c>
      <c r="L78" s="11">
        <v>45677</v>
      </c>
      <c r="M78" s="22">
        <f t="shared" si="5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3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4"/>
        <v>Programados</v>
      </c>
      <c r="L79" s="11">
        <v>45677</v>
      </c>
      <c r="M79" s="22">
        <f t="shared" si="5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3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4"/>
        <v>A tiempo</v>
      </c>
      <c r="L80" s="11">
        <v>45677</v>
      </c>
      <c r="M80" s="22">
        <f t="shared" si="5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3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4"/>
        <v>A tiempo</v>
      </c>
      <c r="L81" s="11">
        <v>45678</v>
      </c>
      <c r="M81" s="22">
        <f t="shared" si="5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3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4"/>
        <v>Programados</v>
      </c>
      <c r="L82" s="11">
        <v>45679</v>
      </c>
      <c r="M82" s="22">
        <f t="shared" si="5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3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4"/>
        <v>A tiempo</v>
      </c>
      <c r="L83" s="11">
        <v>45678</v>
      </c>
      <c r="M83" s="22">
        <f t="shared" si="5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3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4"/>
        <v>Mismo día</v>
      </c>
      <c r="L84" s="11">
        <v>45678</v>
      </c>
      <c r="M84" s="22">
        <f t="shared" si="5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3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4"/>
        <v>A tiempo</v>
      </c>
      <c r="L85" s="11">
        <v>45679</v>
      </c>
      <c r="M85" s="22">
        <f t="shared" si="5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3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4"/>
        <v>A tiempo</v>
      </c>
      <c r="L86" s="11">
        <v>45678</v>
      </c>
      <c r="M86" s="22">
        <f t="shared" si="5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3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4"/>
        <v>Mismo día</v>
      </c>
      <c r="L87" s="11">
        <v>45679</v>
      </c>
      <c r="M87" s="22">
        <f t="shared" si="5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3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4"/>
        <v>A tiempo</v>
      </c>
      <c r="L88" s="11">
        <v>45679</v>
      </c>
      <c r="M88" s="22">
        <f t="shared" si="5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3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4"/>
        <v>A tiempo</v>
      </c>
      <c r="L89" s="11">
        <v>45679</v>
      </c>
      <c r="M89" s="22">
        <f t="shared" si="5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3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4"/>
        <v>A tiempo</v>
      </c>
      <c r="L90" s="11">
        <v>45678</v>
      </c>
      <c r="M90" s="22">
        <f t="shared" si="5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3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4"/>
        <v>Mismo día</v>
      </c>
      <c r="L91" s="11">
        <v>45678</v>
      </c>
      <c r="M91" s="22">
        <f t="shared" si="5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3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4"/>
        <v>A tiempo</v>
      </c>
      <c r="L92" s="11">
        <v>45679</v>
      </c>
      <c r="M92" s="22">
        <f t="shared" si="5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3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4"/>
        <v>A tiempo</v>
      </c>
      <c r="L93" s="11">
        <v>45679</v>
      </c>
      <c r="M93" s="22">
        <f t="shared" si="5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3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4"/>
        <v>Mismo día</v>
      </c>
      <c r="L94" s="11">
        <v>45679</v>
      </c>
      <c r="M94" s="22">
        <f t="shared" si="5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3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4"/>
        <v>A tiempo</v>
      </c>
      <c r="L95" s="11">
        <v>45680</v>
      </c>
      <c r="M95" s="22">
        <f t="shared" si="5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3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4"/>
        <v>A tiempo</v>
      </c>
      <c r="L96" s="11">
        <v>45681</v>
      </c>
      <c r="M96" s="22">
        <f t="shared" si="5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3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4"/>
        <v>Mismo día</v>
      </c>
      <c r="L97" s="11">
        <v>45679</v>
      </c>
      <c r="M97" s="22">
        <f t="shared" si="5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3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4"/>
        <v>A tiempo</v>
      </c>
      <c r="L98" s="11">
        <v>45680</v>
      </c>
      <c r="M98" s="22">
        <f t="shared" si="5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3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4"/>
        <v>A tiempo</v>
      </c>
      <c r="L99" s="11">
        <v>45680</v>
      </c>
      <c r="M99" s="22">
        <f t="shared" si="5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3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4"/>
        <v>Programados</v>
      </c>
      <c r="L100" s="11">
        <v>45680</v>
      </c>
      <c r="M100" s="22">
        <f t="shared" si="5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3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4"/>
        <v>A tiempo</v>
      </c>
      <c r="L101" s="11">
        <v>45680</v>
      </c>
      <c r="M101" s="22">
        <f t="shared" si="5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3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4"/>
        <v>A tiempo</v>
      </c>
      <c r="L102" s="11">
        <v>45680</v>
      </c>
      <c r="M102" s="22">
        <f t="shared" si="5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3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4"/>
        <v>A tiempo</v>
      </c>
      <c r="L103" s="11">
        <v>45680</v>
      </c>
      <c r="M103" s="22">
        <f t="shared" si="5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3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4"/>
        <v>A tiempo</v>
      </c>
      <c r="L104" s="11">
        <v>45681</v>
      </c>
      <c r="M104" s="22">
        <f t="shared" si="5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3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4"/>
        <v>Programados</v>
      </c>
      <c r="L105" s="11">
        <v>45681</v>
      </c>
      <c r="M105" s="22">
        <f t="shared" si="5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3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4"/>
        <v>Programados</v>
      </c>
      <c r="L106" s="11">
        <v>45681</v>
      </c>
      <c r="M106" s="22">
        <f t="shared" si="5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3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4"/>
        <v>Programados</v>
      </c>
      <c r="L107" s="11">
        <v>45684</v>
      </c>
      <c r="M107" s="22">
        <f t="shared" si="5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3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4"/>
        <v>Programados</v>
      </c>
      <c r="L108" s="11">
        <v>45684</v>
      </c>
      <c r="M108" s="22">
        <f t="shared" si="5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3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4"/>
        <v>Programados</v>
      </c>
      <c r="L109" s="11">
        <v>45684</v>
      </c>
      <c r="M109" s="22">
        <f t="shared" si="5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3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4"/>
        <v>A tiempo</v>
      </c>
      <c r="L110" s="11">
        <v>45684</v>
      </c>
      <c r="M110" s="22">
        <f t="shared" si="5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3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4"/>
        <v>Programados</v>
      </c>
      <c r="L111" s="11">
        <v>45684</v>
      </c>
      <c r="M111" s="22">
        <f t="shared" si="5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3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4"/>
        <v>A tiempo</v>
      </c>
      <c r="L112" s="11">
        <v>45685</v>
      </c>
      <c r="M112" s="22">
        <f t="shared" si="5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3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4"/>
        <v>A tiempo</v>
      </c>
      <c r="L113" s="11">
        <v>45685</v>
      </c>
      <c r="M113" s="22">
        <f t="shared" si="5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3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4"/>
        <v>A tiempo</v>
      </c>
      <c r="L114" s="11">
        <v>45685</v>
      </c>
      <c r="M114" s="22">
        <f t="shared" si="5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3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4"/>
        <v>Programados</v>
      </c>
      <c r="L115" s="11">
        <v>45685</v>
      </c>
      <c r="M115" s="22">
        <f t="shared" si="5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3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4"/>
        <v>Programados</v>
      </c>
      <c r="L116" s="11">
        <v>45685</v>
      </c>
      <c r="M116" s="22">
        <f t="shared" si="5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3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4"/>
        <v>Programados</v>
      </c>
      <c r="L117" s="11">
        <v>45685</v>
      </c>
      <c r="M117" s="22">
        <f t="shared" si="5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3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4"/>
        <v>A tiempo</v>
      </c>
      <c r="L118" s="11">
        <v>45686</v>
      </c>
      <c r="M118" s="22">
        <f t="shared" si="5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3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4"/>
        <v>A tiempo</v>
      </c>
      <c r="L119" s="11">
        <v>45686</v>
      </c>
      <c r="M119" s="22">
        <f t="shared" si="5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3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4"/>
        <v>A tiempo</v>
      </c>
      <c r="L120" s="11">
        <v>45686</v>
      </c>
      <c r="M120" s="22">
        <f t="shared" si="5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3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4"/>
        <v>A tiempo</v>
      </c>
      <c r="L121" s="11">
        <v>45686</v>
      </c>
      <c r="M121" s="22">
        <f t="shared" si="5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3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4"/>
        <v>A tiempo</v>
      </c>
      <c r="L122" s="11">
        <v>45686</v>
      </c>
      <c r="M122" s="22">
        <f t="shared" si="5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3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4"/>
        <v>A tiempo</v>
      </c>
      <c r="L123" s="11">
        <v>45688</v>
      </c>
      <c r="M123" s="22">
        <f t="shared" si="5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3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4"/>
        <v>A tiempo</v>
      </c>
      <c r="L124" s="11">
        <v>45687</v>
      </c>
      <c r="M124" s="22">
        <f t="shared" si="5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3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4"/>
        <v>A tiempo</v>
      </c>
      <c r="L125" s="11">
        <v>45687</v>
      </c>
      <c r="M125" s="22">
        <f t="shared" si="5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3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4"/>
        <v>A tiempo</v>
      </c>
      <c r="L126" s="11">
        <v>45687</v>
      </c>
      <c r="M126" s="22">
        <f t="shared" si="5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3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4"/>
        <v>Programados</v>
      </c>
      <c r="L127" s="11">
        <v>45687</v>
      </c>
      <c r="M127" s="22">
        <f t="shared" si="5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3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4"/>
        <v>Programados</v>
      </c>
      <c r="L128" s="11">
        <v>45687</v>
      </c>
      <c r="M128" s="22">
        <f t="shared" si="5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3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4"/>
        <v>A tiempo</v>
      </c>
      <c r="L129" s="11">
        <v>45688</v>
      </c>
      <c r="M129" s="22">
        <f t="shared" si="5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6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7">IF(INT(A130)=INT(F130),"A tiempo", IF(A130&lt;F130,"Mismo día","Programados"))</f>
        <v>A tiempo</v>
      </c>
      <c r="L130" s="11">
        <v>45688</v>
      </c>
      <c r="M130" s="22">
        <f t="shared" ref="M130:M193" si="8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6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7"/>
        <v>Programados</v>
      </c>
      <c r="L131" s="11">
        <v>45692</v>
      </c>
      <c r="M131" s="22">
        <f t="shared" si="8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6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7"/>
        <v>Programados</v>
      </c>
      <c r="L132" s="11">
        <v>45692</v>
      </c>
      <c r="M132" s="22">
        <f t="shared" si="8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6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7"/>
        <v>Programados</v>
      </c>
      <c r="L133" s="11">
        <v>45692</v>
      </c>
      <c r="M133" s="22">
        <f t="shared" si="8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6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7"/>
        <v>A tiempo</v>
      </c>
      <c r="L134" s="11">
        <v>45692</v>
      </c>
      <c r="M134" s="22">
        <f t="shared" si="8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6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7"/>
        <v>A tiempo</v>
      </c>
      <c r="L135" s="11">
        <v>45692</v>
      </c>
      <c r="M135" s="22">
        <f t="shared" si="8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6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7"/>
        <v>A tiempo</v>
      </c>
      <c r="L136" s="11">
        <v>45692</v>
      </c>
      <c r="M136" s="22">
        <f t="shared" si="8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6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7"/>
        <v>Programados</v>
      </c>
      <c r="L137" s="11">
        <v>45692</v>
      </c>
      <c r="M137" s="22">
        <f t="shared" si="8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6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7"/>
        <v>Mismo día</v>
      </c>
      <c r="L138" s="11">
        <v>45693</v>
      </c>
      <c r="M138" s="22">
        <f t="shared" si="8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6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7"/>
        <v>A tiempo</v>
      </c>
      <c r="L139" s="11">
        <v>45693</v>
      </c>
      <c r="M139" s="22">
        <f t="shared" si="8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6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7"/>
        <v>Programados</v>
      </c>
      <c r="L140" s="11">
        <v>45693</v>
      </c>
      <c r="M140" s="22">
        <f t="shared" si="8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6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7"/>
        <v>Programados</v>
      </c>
      <c r="L141" s="11">
        <v>45693</v>
      </c>
      <c r="M141" s="22">
        <f t="shared" si="8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6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7"/>
        <v>Programados</v>
      </c>
      <c r="L142" s="11">
        <v>45693</v>
      </c>
      <c r="M142" s="22">
        <f t="shared" si="8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6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7"/>
        <v>Programados</v>
      </c>
      <c r="L143" s="11">
        <v>45693</v>
      </c>
      <c r="M143" s="22">
        <f t="shared" si="8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6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7"/>
        <v>Programados</v>
      </c>
      <c r="L144" s="11">
        <v>45693</v>
      </c>
      <c r="M144" s="22">
        <f t="shared" si="8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6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7"/>
        <v>A tiempo</v>
      </c>
      <c r="L145" s="11">
        <v>45694</v>
      </c>
      <c r="M145" s="22">
        <f t="shared" si="8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6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7"/>
        <v>A tiempo</v>
      </c>
      <c r="L146" s="11">
        <v>45699</v>
      </c>
      <c r="M146" s="22">
        <f t="shared" si="8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6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7"/>
        <v>A tiempo</v>
      </c>
      <c r="L147" s="11">
        <v>45694</v>
      </c>
      <c r="M147" s="22">
        <f t="shared" si="8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6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7"/>
        <v>A tiempo</v>
      </c>
      <c r="L148" s="11">
        <v>45694</v>
      </c>
      <c r="M148" s="22">
        <f t="shared" si="8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6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7"/>
        <v>A tiempo</v>
      </c>
      <c r="L149" s="11">
        <v>45695</v>
      </c>
      <c r="M149" s="22">
        <f t="shared" si="8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6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7"/>
        <v>A tiempo</v>
      </c>
      <c r="L150" s="11">
        <v>45694</v>
      </c>
      <c r="M150" s="22">
        <f t="shared" si="8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6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7"/>
        <v>A tiempo</v>
      </c>
      <c r="L151" s="11">
        <v>45694</v>
      </c>
      <c r="M151" s="22">
        <f t="shared" si="8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6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7"/>
        <v>Mismo día</v>
      </c>
      <c r="L152" s="11">
        <v>45695</v>
      </c>
      <c r="M152" s="22">
        <f t="shared" si="8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6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7"/>
        <v>A tiempo</v>
      </c>
      <c r="L153" s="11">
        <v>45695</v>
      </c>
      <c r="M153" s="22">
        <f t="shared" si="8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6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7"/>
        <v>A tiempo</v>
      </c>
      <c r="L154" s="11">
        <v>45709</v>
      </c>
      <c r="M154" s="22">
        <f t="shared" si="8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6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7"/>
        <v>Programados</v>
      </c>
      <c r="L155" s="11">
        <v>45698</v>
      </c>
      <c r="M155" s="22">
        <f t="shared" si="8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6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7"/>
        <v>A tiempo</v>
      </c>
      <c r="L156" s="11">
        <v>45698</v>
      </c>
      <c r="M156" s="22">
        <f t="shared" si="8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6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7"/>
        <v>A tiempo</v>
      </c>
      <c r="L157" s="11">
        <v>45698</v>
      </c>
      <c r="M157" s="22">
        <f t="shared" si="8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6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7"/>
        <v>A tiempo</v>
      </c>
      <c r="L158" s="11">
        <v>45702</v>
      </c>
      <c r="M158" s="22">
        <f t="shared" si="8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6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7"/>
        <v>A tiempo</v>
      </c>
      <c r="L159" s="11">
        <v>45699</v>
      </c>
      <c r="M159" s="22">
        <f t="shared" si="8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6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7"/>
        <v>A tiempo</v>
      </c>
      <c r="L160" s="11">
        <v>45699</v>
      </c>
      <c r="M160" s="22">
        <f t="shared" si="8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6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7"/>
        <v>A tiempo</v>
      </c>
      <c r="L161" s="11">
        <v>45699</v>
      </c>
      <c r="M161" s="22">
        <f t="shared" si="8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6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7"/>
        <v>A tiempo</v>
      </c>
      <c r="L162" s="11">
        <v>45699</v>
      </c>
      <c r="M162" s="22">
        <f t="shared" si="8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6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7"/>
        <v>A tiempo</v>
      </c>
      <c r="L163" s="11">
        <v>45699</v>
      </c>
      <c r="M163" s="22">
        <f t="shared" si="8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6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7"/>
        <v>A tiempo</v>
      </c>
      <c r="L164" s="11">
        <v>45699</v>
      </c>
      <c r="M164" s="22">
        <f t="shared" si="8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6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7"/>
        <v>A tiempo</v>
      </c>
      <c r="L165" s="11">
        <v>45699</v>
      </c>
      <c r="M165" s="22">
        <f t="shared" si="8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6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7"/>
        <v>A tiempo</v>
      </c>
      <c r="L166" s="11">
        <v>45701</v>
      </c>
      <c r="M166" s="22">
        <f t="shared" si="8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6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7"/>
        <v>A tiempo</v>
      </c>
      <c r="L167" s="11">
        <v>45702</v>
      </c>
      <c r="M167" s="22">
        <f t="shared" si="8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6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7"/>
        <v>A tiempo</v>
      </c>
      <c r="L168" s="11">
        <v>45700</v>
      </c>
      <c r="M168" s="22">
        <f t="shared" si="8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6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7"/>
        <v>A tiempo</v>
      </c>
      <c r="L169" s="11">
        <v>45700</v>
      </c>
      <c r="M169" s="22">
        <f t="shared" si="8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6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7"/>
        <v>A tiempo</v>
      </c>
      <c r="L170" s="11">
        <v>45700</v>
      </c>
      <c r="M170" s="22">
        <f t="shared" si="8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6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7"/>
        <v>Programados</v>
      </c>
      <c r="L171" s="11"/>
      <c r="M171" s="22">
        <f t="shared" si="8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6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7"/>
        <v>Mismo día</v>
      </c>
      <c r="L172" s="11"/>
      <c r="M172" s="22">
        <f t="shared" si="8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6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7"/>
        <v>Programados</v>
      </c>
      <c r="L173" s="11"/>
      <c r="M173" s="22">
        <f t="shared" si="8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6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7"/>
        <v>A tiempo</v>
      </c>
      <c r="L174" s="11"/>
      <c r="M174" s="22">
        <f t="shared" si="8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6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7"/>
        <v>A tiempo</v>
      </c>
      <c r="L175" s="11"/>
      <c r="M175" s="22">
        <f t="shared" si="8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6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7"/>
        <v>A tiempo</v>
      </c>
      <c r="L176" s="11"/>
      <c r="M176" s="22">
        <f t="shared" si="8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6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7"/>
        <v>A tiempo</v>
      </c>
      <c r="L177" s="11"/>
      <c r="M177" s="22">
        <f t="shared" si="8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6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7"/>
        <v>A tiempo</v>
      </c>
      <c r="L178" s="11"/>
      <c r="M178" s="22">
        <f t="shared" si="8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6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7"/>
        <v>A tiempo</v>
      </c>
      <c r="L179" s="11"/>
      <c r="M179" s="22">
        <f t="shared" si="8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6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7"/>
        <v>A tiempo</v>
      </c>
      <c r="L180" s="11"/>
      <c r="M180" s="22">
        <f t="shared" si="8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6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7"/>
        <v>A tiempo</v>
      </c>
      <c r="L181" s="11"/>
      <c r="M181" s="22">
        <f t="shared" si="8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6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7"/>
        <v>Programados</v>
      </c>
      <c r="L182" s="11"/>
      <c r="M182" s="22">
        <f t="shared" si="8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6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7"/>
        <v>A tiempo</v>
      </c>
      <c r="L183" s="11"/>
      <c r="M183" s="22">
        <f t="shared" si="8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6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7"/>
        <v>A tiempo</v>
      </c>
      <c r="L184" s="11"/>
      <c r="M184" s="22">
        <f t="shared" si="8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6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7"/>
        <v>A tiempo</v>
      </c>
      <c r="L185" s="11"/>
      <c r="M185" s="22">
        <f t="shared" si="8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6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7"/>
        <v>Programados</v>
      </c>
      <c r="L186" s="11"/>
      <c r="M186" s="22">
        <f t="shared" si="8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6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7"/>
        <v>A tiempo</v>
      </c>
      <c r="L187" s="11"/>
      <c r="M187" s="22">
        <f t="shared" si="8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6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7"/>
        <v>Mismo día</v>
      </c>
      <c r="L188" s="11"/>
      <c r="M188" s="22">
        <f t="shared" si="8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6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7"/>
        <v>Mismo día</v>
      </c>
      <c r="L189" s="11"/>
      <c r="M189" s="22">
        <f t="shared" si="8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6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7"/>
        <v>A tiempo</v>
      </c>
      <c r="L190" s="11"/>
      <c r="M190" s="22">
        <f t="shared" si="8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6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7"/>
        <v>A tiempo</v>
      </c>
      <c r="L191" s="11"/>
      <c r="M191" s="22">
        <f t="shared" si="8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6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7"/>
        <v>A tiempo</v>
      </c>
      <c r="L192" s="11"/>
      <c r="M192" s="22">
        <f t="shared" si="8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6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7"/>
        <v>A tiempo</v>
      </c>
      <c r="L193" s="11"/>
      <c r="M193" s="22">
        <f t="shared" si="8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9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10">IF(INT(A194)=INT(F194),"A tiempo", IF(A194&lt;F194,"Mismo día","Programados"))</f>
        <v>A tiempo</v>
      </c>
      <c r="L194" s="11"/>
      <c r="M194" s="22">
        <f t="shared" ref="M194:M257" si="11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9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10"/>
        <v>A tiempo</v>
      </c>
      <c r="L195" s="11"/>
      <c r="M195" s="22">
        <f t="shared" si="11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9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10"/>
        <v>A tiempo</v>
      </c>
      <c r="L196" s="11"/>
      <c r="M196" s="22">
        <f t="shared" si="11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9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10"/>
        <v>A tiempo</v>
      </c>
      <c r="L197" s="11"/>
      <c r="M197" s="22">
        <f t="shared" si="11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9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10"/>
        <v>A tiempo</v>
      </c>
      <c r="L198" s="11"/>
      <c r="M198" s="22">
        <f t="shared" si="11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9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10"/>
        <v>A tiempo</v>
      </c>
      <c r="L199" s="11"/>
      <c r="M199" s="22">
        <f t="shared" si="11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9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10"/>
        <v>A tiempo</v>
      </c>
      <c r="L200" s="11"/>
      <c r="M200" s="22">
        <f t="shared" si="11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9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10"/>
        <v>A tiempo</v>
      </c>
      <c r="L201" s="11"/>
      <c r="M201" s="22">
        <f t="shared" si="11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9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10"/>
        <v>A tiempo</v>
      </c>
      <c r="L202" s="11"/>
      <c r="M202" s="22">
        <f t="shared" si="11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9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10"/>
        <v>A tiempo</v>
      </c>
      <c r="L203" s="11"/>
      <c r="M203" s="22">
        <f t="shared" si="11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9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10"/>
        <v>A tiempo</v>
      </c>
      <c r="L204" s="11"/>
      <c r="M204" s="22">
        <f t="shared" si="11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9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10"/>
        <v>Mismo día</v>
      </c>
      <c r="L205" s="11"/>
      <c r="M205" s="22">
        <f t="shared" si="11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9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10"/>
        <v>A tiempo</v>
      </c>
      <c r="L206" s="11"/>
      <c r="M206" s="22">
        <f t="shared" si="11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9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10"/>
        <v>Programados</v>
      </c>
      <c r="L207" s="13">
        <v>45708</v>
      </c>
      <c r="M207" s="22">
        <f t="shared" si="11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9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10"/>
        <v>A tiempo</v>
      </c>
      <c r="L208" s="11"/>
      <c r="M208" s="22">
        <f t="shared" si="11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9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10"/>
        <v>Programados</v>
      </c>
      <c r="L209" s="13">
        <v>45708</v>
      </c>
      <c r="M209" s="22">
        <f t="shared" si="11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9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10"/>
        <v>Programados</v>
      </c>
      <c r="L210" s="13">
        <v>45748</v>
      </c>
      <c r="M210" s="22">
        <f t="shared" si="11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9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10"/>
        <v>A tiempo</v>
      </c>
      <c r="L211" s="11"/>
      <c r="M211" s="22">
        <f t="shared" si="11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9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10"/>
        <v>A tiempo</v>
      </c>
      <c r="L212" s="11"/>
      <c r="M212" s="22">
        <f t="shared" si="11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9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10"/>
        <v>Programados</v>
      </c>
      <c r="L213" s="11"/>
      <c r="M213" s="22">
        <f t="shared" si="11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9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10"/>
        <v>A tiempo</v>
      </c>
      <c r="L214" s="11"/>
      <c r="M214" s="22">
        <f t="shared" si="11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9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10"/>
        <v>A tiempo</v>
      </c>
      <c r="L215" s="11"/>
      <c r="M215" s="22">
        <f t="shared" si="11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9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10"/>
        <v>A tiempo</v>
      </c>
      <c r="L216" s="11"/>
      <c r="M216" s="22">
        <f t="shared" si="11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9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10"/>
        <v>A tiempo</v>
      </c>
      <c r="L217" s="11"/>
      <c r="M217" s="22">
        <f t="shared" si="11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9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10"/>
        <v>A tiempo</v>
      </c>
      <c r="L218" s="11"/>
      <c r="M218" s="22">
        <f t="shared" si="11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9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10"/>
        <v>A tiempo</v>
      </c>
      <c r="L219" s="16"/>
      <c r="M219" s="23">
        <f t="shared" si="11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9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10"/>
        <v>A tiempo</v>
      </c>
      <c r="L220" s="11"/>
      <c r="M220" s="22">
        <f t="shared" si="11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9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10"/>
        <v>A tiempo</v>
      </c>
      <c r="L221" s="11"/>
      <c r="M221" s="22">
        <f t="shared" si="11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9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10"/>
        <v>Programados</v>
      </c>
      <c r="L222" s="11"/>
      <c r="M222" s="22">
        <f t="shared" si="11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9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10"/>
        <v>Programados</v>
      </c>
      <c r="L223" s="11"/>
      <c r="M223" s="22">
        <f t="shared" si="11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9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10"/>
        <v>A tiempo</v>
      </c>
      <c r="L224" s="11"/>
      <c r="M224" s="22">
        <f t="shared" si="11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9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10"/>
        <v>A tiempo</v>
      </c>
      <c r="L225" s="11"/>
      <c r="M225" s="22">
        <f t="shared" si="11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9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10"/>
        <v>A tiempo</v>
      </c>
      <c r="L226" s="11"/>
      <c r="M226" s="22">
        <f t="shared" si="11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9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10"/>
        <v>A tiempo</v>
      </c>
      <c r="L227" s="11"/>
      <c r="M227" s="22">
        <f t="shared" si="11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9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10"/>
        <v>A tiempo</v>
      </c>
      <c r="L228" s="11"/>
      <c r="M228" s="22">
        <f t="shared" si="11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9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10"/>
        <v>A tiempo</v>
      </c>
      <c r="L229" s="11"/>
      <c r="M229" s="22">
        <f t="shared" si="11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9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10"/>
        <v>A tiempo</v>
      </c>
      <c r="L230" s="11"/>
      <c r="M230" s="22">
        <f t="shared" si="11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9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10"/>
        <v>A tiempo</v>
      </c>
      <c r="L231" s="11"/>
      <c r="M231" s="22">
        <f t="shared" si="11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9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10"/>
        <v>A tiempo</v>
      </c>
      <c r="L232" s="11"/>
      <c r="M232" s="22">
        <f t="shared" si="11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9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10"/>
        <v>A tiempo</v>
      </c>
      <c r="L233" s="11"/>
      <c r="M233" s="22">
        <f t="shared" si="11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9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10"/>
        <v>A tiempo</v>
      </c>
      <c r="L234" s="11"/>
      <c r="M234" s="22">
        <f t="shared" si="11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9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10"/>
        <v>A tiempo</v>
      </c>
      <c r="L235" s="11"/>
      <c r="M235" s="22">
        <f t="shared" si="11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9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10"/>
        <v>A tiempo</v>
      </c>
      <c r="L236" s="11"/>
      <c r="M236" s="22">
        <f t="shared" si="11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9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10"/>
        <v>A tiempo</v>
      </c>
      <c r="L237" s="11"/>
      <c r="M237" s="22">
        <f t="shared" si="11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9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10"/>
        <v>Programados</v>
      </c>
      <c r="L238" s="11"/>
      <c r="M238" s="22">
        <f t="shared" si="11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9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10"/>
        <v>A tiempo</v>
      </c>
      <c r="L239" s="11"/>
      <c r="M239" s="22">
        <f t="shared" si="11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9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10"/>
        <v>A tiempo</v>
      </c>
      <c r="L240" s="11"/>
      <c r="M240" s="22">
        <f t="shared" si="11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9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10"/>
        <v>A tiempo</v>
      </c>
      <c r="L241" s="11"/>
      <c r="M241" s="22">
        <f t="shared" si="11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9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10"/>
        <v>A tiempo</v>
      </c>
      <c r="L242" s="11"/>
      <c r="M242" s="22">
        <f t="shared" si="11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9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10"/>
        <v>Mismo día</v>
      </c>
      <c r="L243" s="11"/>
      <c r="M243" s="22">
        <f t="shared" si="11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9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10"/>
        <v>A tiempo</v>
      </c>
      <c r="L244" s="11"/>
      <c r="M244" s="22">
        <f t="shared" si="11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9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10"/>
        <v>A tiempo</v>
      </c>
      <c r="L245" s="11"/>
      <c r="M245" s="22">
        <f t="shared" si="11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9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10"/>
        <v>A tiempo</v>
      </c>
      <c r="L246" s="11"/>
      <c r="M246" s="22">
        <f t="shared" si="11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9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10"/>
        <v>A tiempo</v>
      </c>
      <c r="L247" s="11"/>
      <c r="M247" s="22">
        <f t="shared" si="11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9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10"/>
        <v>A tiempo</v>
      </c>
      <c r="L248" s="11"/>
      <c r="M248" s="22">
        <f t="shared" si="11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9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10"/>
        <v>Mismo día</v>
      </c>
      <c r="L249" s="11"/>
      <c r="M249" s="22">
        <f t="shared" si="11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9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10"/>
        <v>Programados</v>
      </c>
      <c r="L250" s="11"/>
      <c r="M250" s="22">
        <f t="shared" si="11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9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10"/>
        <v>Programados</v>
      </c>
      <c r="L251" s="11"/>
      <c r="M251" s="22">
        <f t="shared" si="11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9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10"/>
        <v>A tiempo</v>
      </c>
      <c r="L252" s="11"/>
      <c r="M252" s="22">
        <f t="shared" si="11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9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10"/>
        <v>A tiempo</v>
      </c>
      <c r="L253" s="11"/>
      <c r="M253" s="22">
        <f t="shared" si="11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9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10"/>
        <v>A tiempo</v>
      </c>
      <c r="L254" s="11"/>
      <c r="M254" s="22">
        <f t="shared" si="11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9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10"/>
        <v>A tiempo</v>
      </c>
      <c r="L255" s="11"/>
      <c r="M255" s="22">
        <f t="shared" si="11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9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10"/>
        <v>A tiempo</v>
      </c>
      <c r="L256" s="11"/>
      <c r="M256" s="22">
        <f t="shared" si="11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9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10"/>
        <v>A tiempo</v>
      </c>
      <c r="L257" s="11"/>
      <c r="M257" s="22">
        <f t="shared" si="11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12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13">IF(INT(A258)=INT(F258),"A tiempo", IF(A258&lt;F258,"Mismo día","Programados"))</f>
        <v>Programados</v>
      </c>
      <c r="L258" s="11"/>
      <c r="M258" s="22">
        <f t="shared" ref="M258:M321" si="1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12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13"/>
        <v>A tiempo</v>
      </c>
      <c r="L259" s="11"/>
      <c r="M259" s="22">
        <f t="shared" si="1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12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13"/>
        <v>Programados</v>
      </c>
      <c r="L260" s="11"/>
      <c r="M260" s="22">
        <f t="shared" si="1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12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13"/>
        <v>Programados</v>
      </c>
      <c r="L261" s="11"/>
      <c r="M261" s="22">
        <f t="shared" si="1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12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13"/>
        <v>Programados</v>
      </c>
      <c r="L262" s="11"/>
      <c r="M262" s="22">
        <f t="shared" si="1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12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13"/>
        <v>Programados</v>
      </c>
      <c r="L263" s="11"/>
      <c r="M263" s="22">
        <f t="shared" si="1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12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13"/>
        <v>Programados</v>
      </c>
      <c r="L264" s="11"/>
      <c r="M264" s="22">
        <f t="shared" si="1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12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13"/>
        <v>Programados</v>
      </c>
      <c r="L265" s="11"/>
      <c r="M265" s="22">
        <f t="shared" si="1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12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13"/>
        <v>Programados</v>
      </c>
      <c r="L266" s="11"/>
      <c r="M266" s="22">
        <f t="shared" si="1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12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13"/>
        <v>A tiempo</v>
      </c>
      <c r="L267" s="11"/>
      <c r="M267" s="22">
        <f t="shared" si="1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12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13"/>
        <v>A tiempo</v>
      </c>
      <c r="L268" s="11"/>
      <c r="M268" s="22">
        <f t="shared" si="1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12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13"/>
        <v>A tiempo</v>
      </c>
      <c r="L269" s="11"/>
      <c r="M269" s="22">
        <f t="shared" si="1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12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13"/>
        <v>A tiempo</v>
      </c>
      <c r="L270" s="11"/>
      <c r="M270" s="22">
        <f t="shared" si="1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12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13"/>
        <v>A tiempo</v>
      </c>
      <c r="L271" s="11"/>
      <c r="M271" s="22">
        <f t="shared" si="1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12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13"/>
        <v>A tiempo</v>
      </c>
      <c r="L272" s="11"/>
      <c r="M272" s="22">
        <f t="shared" si="1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12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13"/>
        <v>A tiempo</v>
      </c>
      <c r="L273" s="11"/>
      <c r="M273" s="22">
        <f t="shared" si="1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12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13"/>
        <v>A tiempo</v>
      </c>
      <c r="L274" s="11"/>
      <c r="M274" s="22">
        <f t="shared" si="1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12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13"/>
        <v>A tiempo</v>
      </c>
      <c r="L275" s="11"/>
      <c r="M275" s="22">
        <f t="shared" si="1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12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13"/>
        <v>A tiempo</v>
      </c>
      <c r="L276" s="11"/>
      <c r="M276" s="22">
        <f t="shared" si="14"/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/>
      <c r="H277" s="7">
        <f t="shared" si="12"/>
        <v>10</v>
      </c>
      <c r="I277" s="20">
        <f>MAX(1, NETWORKDAYS(A277, G277,Table2[Dias no laborales]))</f>
        <v>1</v>
      </c>
      <c r="J277" s="7" t="str">
        <f>IF(Table1[[#This Row],[FIN]]="","Acumulado",IF(ISNUMBER(SEARCH("ASAP",C277)),"ASAP",IF(NETWORKDAYS.INTL(F277,G277,1,Table2[Dias no laborales]) &lt;= 7, "Dentro", IF(A277&gt;F277,"Programado","Fuera"))))</f>
        <v>Acumulado</v>
      </c>
      <c r="K277" s="7" t="str">
        <f t="shared" si="13"/>
        <v>Programados</v>
      </c>
      <c r="L277" s="11">
        <v>45723</v>
      </c>
      <c r="M277" s="22">
        <f t="shared" si="1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12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13"/>
        <v>Programados</v>
      </c>
      <c r="L278" s="11"/>
      <c r="M278" s="22">
        <f t="shared" si="1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12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13"/>
        <v>Programados</v>
      </c>
      <c r="L279" s="11"/>
      <c r="M279" s="22">
        <f t="shared" si="1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12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13"/>
        <v>Programados</v>
      </c>
      <c r="L280" s="11"/>
      <c r="M280" s="22">
        <f t="shared" si="1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12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13"/>
        <v>A tiempo</v>
      </c>
      <c r="L281" s="11"/>
      <c r="M281" s="22">
        <f t="shared" si="1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12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13"/>
        <v>Programados</v>
      </c>
      <c r="L282" s="11"/>
      <c r="M282" s="22">
        <f t="shared" si="1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12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13"/>
        <v>Mismo día</v>
      </c>
      <c r="L283" s="11"/>
      <c r="M283" s="22">
        <f t="shared" si="1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12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13"/>
        <v>Programados</v>
      </c>
      <c r="L284" s="11"/>
      <c r="M284" s="22">
        <f t="shared" si="1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12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13"/>
        <v>A tiempo</v>
      </c>
      <c r="L285" s="11"/>
      <c r="M285" s="22">
        <f t="shared" si="1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12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13"/>
        <v>Programados</v>
      </c>
      <c r="L286" s="11"/>
      <c r="M286" s="22">
        <f t="shared" si="1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12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13"/>
        <v>A tiempo</v>
      </c>
      <c r="L287" s="11"/>
      <c r="M287" s="22">
        <f t="shared" si="1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12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13"/>
        <v>A tiempo</v>
      </c>
      <c r="L288" s="11"/>
      <c r="M288" s="22">
        <f t="shared" si="1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12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13"/>
        <v>A tiempo</v>
      </c>
      <c r="L289" s="11"/>
      <c r="M289" s="22">
        <f t="shared" si="1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12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13"/>
        <v>Programados</v>
      </c>
      <c r="L290" s="11"/>
      <c r="M290" s="22">
        <f t="shared" si="1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12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13"/>
        <v>A tiempo</v>
      </c>
      <c r="L291" s="11"/>
      <c r="M291" s="22">
        <f t="shared" si="1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12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13"/>
        <v>A tiempo</v>
      </c>
      <c r="L292" s="11"/>
      <c r="M292" s="22">
        <f t="shared" si="1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12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13"/>
        <v>Mismo día</v>
      </c>
      <c r="L293" s="13">
        <v>45793</v>
      </c>
      <c r="M293" s="22">
        <f t="shared" si="1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12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13"/>
        <v>A tiempo</v>
      </c>
      <c r="L294" s="11"/>
      <c r="M294" s="22">
        <f t="shared" si="1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12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13"/>
        <v>Mismo día</v>
      </c>
      <c r="L295" s="11"/>
      <c r="M295" s="22">
        <f t="shared" si="1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12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13"/>
        <v>A tiempo</v>
      </c>
      <c r="L296" s="11"/>
      <c r="M296" s="22">
        <f t="shared" si="1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12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13"/>
        <v>A tiempo</v>
      </c>
      <c r="L297" s="11"/>
      <c r="M297" s="22">
        <f t="shared" si="1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12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13"/>
        <v>A tiempo</v>
      </c>
      <c r="L298" s="11"/>
      <c r="M298" s="22">
        <f t="shared" si="1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12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13"/>
        <v>A tiempo</v>
      </c>
      <c r="L299" s="13">
        <v>45768</v>
      </c>
      <c r="M299" s="22">
        <f t="shared" si="1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12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13"/>
        <v>A tiempo</v>
      </c>
      <c r="L300" s="11"/>
      <c r="M300" s="22">
        <f t="shared" si="1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12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13"/>
        <v>A tiempo</v>
      </c>
      <c r="L301" s="11"/>
      <c r="M301" s="22">
        <f t="shared" si="1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12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13"/>
        <v>A tiempo</v>
      </c>
      <c r="L302" s="11"/>
      <c r="M302" s="22">
        <f t="shared" si="1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12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13"/>
        <v>A tiempo</v>
      </c>
      <c r="L303" s="11"/>
      <c r="M303" s="22">
        <f t="shared" si="1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12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13"/>
        <v>A tiempo</v>
      </c>
      <c r="L304" s="11"/>
      <c r="M304" s="22">
        <f t="shared" si="1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12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13"/>
        <v>A tiempo</v>
      </c>
      <c r="L305" s="11"/>
      <c r="M305" s="22">
        <f t="shared" si="1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12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13"/>
        <v>A tiempo</v>
      </c>
      <c r="L306" s="11"/>
      <c r="M306" s="22">
        <f t="shared" si="1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12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13"/>
        <v>A tiempo</v>
      </c>
      <c r="L307" s="11"/>
      <c r="M307" s="22">
        <f t="shared" si="1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12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13"/>
        <v>A tiempo</v>
      </c>
      <c r="L308" s="11"/>
      <c r="M308" s="22">
        <f t="shared" si="1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12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13"/>
        <v>A tiempo</v>
      </c>
      <c r="L309" s="11"/>
      <c r="M309" s="22">
        <f t="shared" si="1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12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13"/>
        <v>A tiempo</v>
      </c>
      <c r="L310" s="11"/>
      <c r="M310" s="22">
        <f t="shared" si="1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12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13"/>
        <v>A tiempo</v>
      </c>
      <c r="L311" s="11"/>
      <c r="M311" s="22">
        <f t="shared" si="1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12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13"/>
        <v>A tiempo</v>
      </c>
      <c r="L312" s="11"/>
      <c r="M312" s="22">
        <f t="shared" si="1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12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13"/>
        <v>A tiempo</v>
      </c>
      <c r="L313" s="11"/>
      <c r="M313" s="22">
        <f t="shared" si="1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12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13"/>
        <v>Mismo día</v>
      </c>
      <c r="L314" s="11"/>
      <c r="M314" s="22">
        <f t="shared" si="1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12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13"/>
        <v>Programados</v>
      </c>
      <c r="L315" s="11"/>
      <c r="M315" s="22">
        <f t="shared" si="1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12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13"/>
        <v>A tiempo</v>
      </c>
      <c r="L316" s="11"/>
      <c r="M316" s="22">
        <f t="shared" si="1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12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13"/>
        <v>A tiempo</v>
      </c>
      <c r="L317" s="11"/>
      <c r="M317" s="22">
        <f t="shared" si="1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12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13"/>
        <v>A tiempo</v>
      </c>
      <c r="L318" s="11"/>
      <c r="M318" s="22">
        <f t="shared" si="1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12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13"/>
        <v>A tiempo</v>
      </c>
      <c r="L319" s="11"/>
      <c r="M319" s="22">
        <f t="shared" si="1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12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13"/>
        <v>A tiempo</v>
      </c>
      <c r="L320" s="11"/>
      <c r="M320" s="22">
        <f t="shared" si="1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12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13"/>
        <v>Mismo día</v>
      </c>
      <c r="L321" s="11"/>
      <c r="M321" s="22">
        <f t="shared" si="1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5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6">IF(INT(A322)=INT(F322),"A tiempo", IF(A322&lt;F322,"Mismo día","Programados"))</f>
        <v>A tiempo</v>
      </c>
      <c r="L322" s="11"/>
      <c r="M322" s="22">
        <f t="shared" ref="M322:M385" si="17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5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6"/>
        <v>A tiempo</v>
      </c>
      <c r="L323" s="11"/>
      <c r="M323" s="22">
        <f t="shared" si="17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5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6"/>
        <v>A tiempo</v>
      </c>
      <c r="L324" s="11"/>
      <c r="M324" s="22">
        <f t="shared" si="17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5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6"/>
        <v>A tiempo</v>
      </c>
      <c r="L325" s="11"/>
      <c r="M325" s="22">
        <f t="shared" si="17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5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6"/>
        <v>Programados</v>
      </c>
      <c r="L326" s="16"/>
      <c r="M326" s="23">
        <f t="shared" si="17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5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6"/>
        <v>A tiempo</v>
      </c>
      <c r="L327" s="11"/>
      <c r="M327" s="22">
        <f t="shared" si="17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5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6"/>
        <v>A tiempo</v>
      </c>
      <c r="L328" s="11"/>
      <c r="M328" s="22">
        <f t="shared" si="17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5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6"/>
        <v>A tiempo</v>
      </c>
      <c r="L329" s="11"/>
      <c r="M329" s="22">
        <f t="shared" si="17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5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6"/>
        <v>Programados</v>
      </c>
      <c r="L330" s="11"/>
      <c r="M330" s="22">
        <f t="shared" si="17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5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6"/>
        <v>Programados</v>
      </c>
      <c r="L331" s="11"/>
      <c r="M331" s="22">
        <f t="shared" si="17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5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6"/>
        <v>A tiempo</v>
      </c>
      <c r="L332" s="11"/>
      <c r="M332" s="22">
        <f t="shared" si="17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5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6"/>
        <v>Programados</v>
      </c>
      <c r="L333" s="11"/>
      <c r="M333" s="22">
        <f t="shared" si="17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5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6"/>
        <v>Mismo día</v>
      </c>
      <c r="L334" s="11"/>
      <c r="M334" s="22">
        <f t="shared" si="17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5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6"/>
        <v>Mismo día</v>
      </c>
      <c r="L335" s="11"/>
      <c r="M335" s="22">
        <f t="shared" si="17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5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6"/>
        <v>A tiempo</v>
      </c>
      <c r="L336" s="11"/>
      <c r="M336" s="22">
        <f t="shared" si="17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5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6"/>
        <v>Programados</v>
      </c>
      <c r="L337" s="13">
        <v>45744</v>
      </c>
      <c r="M337" s="22">
        <f t="shared" si="17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5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6"/>
        <v>A tiempo</v>
      </c>
      <c r="L338" s="11"/>
      <c r="M338" s="22">
        <f t="shared" si="17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5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6"/>
        <v>Programados</v>
      </c>
      <c r="L339" s="11"/>
      <c r="M339" s="22">
        <f t="shared" si="17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5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6"/>
        <v>A tiempo</v>
      </c>
      <c r="L340" s="11"/>
      <c r="M340" s="22">
        <f t="shared" si="17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5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6"/>
        <v>A tiempo</v>
      </c>
      <c r="L341" s="11"/>
      <c r="M341" s="22">
        <f t="shared" si="17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5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6"/>
        <v>A tiempo</v>
      </c>
      <c r="L342" s="11"/>
      <c r="M342" s="22">
        <f t="shared" si="17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5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6"/>
        <v>A tiempo</v>
      </c>
      <c r="L343" s="11"/>
      <c r="M343" s="22">
        <f t="shared" si="17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5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6"/>
        <v>A tiempo</v>
      </c>
      <c r="L344" s="11"/>
      <c r="M344" s="22">
        <f t="shared" si="17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5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6"/>
        <v>A tiempo</v>
      </c>
      <c r="L345" s="11"/>
      <c r="M345" s="22">
        <f t="shared" si="17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5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6"/>
        <v>A tiempo</v>
      </c>
      <c r="L346" s="11"/>
      <c r="M346" s="22">
        <f t="shared" si="17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5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6"/>
        <v>A tiempo</v>
      </c>
      <c r="L347" s="11"/>
      <c r="M347" s="22">
        <f t="shared" si="17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5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6"/>
        <v>A tiempo</v>
      </c>
      <c r="L348" s="11"/>
      <c r="M348" s="22">
        <f t="shared" si="17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5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6"/>
        <v>A tiempo</v>
      </c>
      <c r="L349" s="11"/>
      <c r="M349" s="22">
        <f t="shared" si="17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5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6"/>
        <v>A tiempo</v>
      </c>
      <c r="L350" s="11"/>
      <c r="M350" s="22">
        <f t="shared" si="17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5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6"/>
        <v>Programados</v>
      </c>
      <c r="L351" s="11"/>
      <c r="M351" s="22">
        <f t="shared" si="17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5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6"/>
        <v>Programados</v>
      </c>
      <c r="L352" s="11"/>
      <c r="M352" s="22">
        <f t="shared" si="17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5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6"/>
        <v>A tiempo</v>
      </c>
      <c r="L353" s="11"/>
      <c r="M353" s="22">
        <f t="shared" si="17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5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6"/>
        <v>A tiempo</v>
      </c>
      <c r="L354" s="11"/>
      <c r="M354" s="22">
        <f t="shared" si="17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5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6"/>
        <v>A tiempo</v>
      </c>
      <c r="L355" s="11"/>
      <c r="M355" s="22">
        <f t="shared" si="17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5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6"/>
        <v>A tiempo</v>
      </c>
      <c r="L356" s="11"/>
      <c r="M356" s="22">
        <f t="shared" si="17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5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6"/>
        <v>A tiempo</v>
      </c>
      <c r="L357" s="11"/>
      <c r="M357" s="22">
        <f t="shared" si="17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5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6"/>
        <v>A tiempo</v>
      </c>
      <c r="L358" s="11"/>
      <c r="M358" s="22">
        <f t="shared" si="17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5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6"/>
        <v>A tiempo</v>
      </c>
      <c r="L359" s="11"/>
      <c r="M359" s="22">
        <f t="shared" si="17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5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6"/>
        <v>Mismo día</v>
      </c>
      <c r="L360" s="11"/>
      <c r="M360" s="22">
        <f t="shared" si="17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5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6"/>
        <v>A tiempo</v>
      </c>
      <c r="L361" s="11"/>
      <c r="M361" s="22">
        <f t="shared" si="17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5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6"/>
        <v>Programados</v>
      </c>
      <c r="L362" s="11"/>
      <c r="M362" s="22">
        <f t="shared" si="17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5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6"/>
        <v>Programados</v>
      </c>
      <c r="L363" s="11"/>
      <c r="M363" s="22">
        <f t="shared" si="17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5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6"/>
        <v>A tiempo</v>
      </c>
      <c r="L364" s="11"/>
      <c r="M364" s="22">
        <f t="shared" si="17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5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6"/>
        <v>A tiempo</v>
      </c>
      <c r="L365" s="11"/>
      <c r="M365" s="22">
        <f t="shared" si="17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5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6"/>
        <v>A tiempo</v>
      </c>
      <c r="L366" s="11"/>
      <c r="M366" s="22">
        <f t="shared" si="17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5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6"/>
        <v>Programados</v>
      </c>
      <c r="L367" s="11"/>
      <c r="M367" s="22">
        <f t="shared" si="17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5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6"/>
        <v>Programados</v>
      </c>
      <c r="L368" s="11"/>
      <c r="M368" s="22">
        <f t="shared" si="17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5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6"/>
        <v>Programados</v>
      </c>
      <c r="L369" s="11"/>
      <c r="M369" s="22">
        <f t="shared" si="17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5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6"/>
        <v>Programados</v>
      </c>
      <c r="L370" s="11"/>
      <c r="M370" s="22">
        <f t="shared" si="17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5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6"/>
        <v>Programados</v>
      </c>
      <c r="L371" s="11"/>
      <c r="M371" s="22">
        <f t="shared" si="17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5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6"/>
        <v>Programados</v>
      </c>
      <c r="L372" s="11"/>
      <c r="M372" s="22">
        <f t="shared" si="17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5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6"/>
        <v>A tiempo</v>
      </c>
      <c r="L373" s="11"/>
      <c r="M373" s="22">
        <f t="shared" si="17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5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6"/>
        <v>A tiempo</v>
      </c>
      <c r="L374" s="11"/>
      <c r="M374" s="22">
        <f t="shared" si="17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5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6"/>
        <v>A tiempo</v>
      </c>
      <c r="L375" s="11"/>
      <c r="M375" s="22">
        <f t="shared" si="17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5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6"/>
        <v>A tiempo</v>
      </c>
      <c r="L376" s="11"/>
      <c r="M376" s="22">
        <f t="shared" si="17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5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6"/>
        <v>A tiempo</v>
      </c>
      <c r="L377" s="11"/>
      <c r="M377" s="22">
        <f t="shared" si="17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5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6"/>
        <v>A tiempo</v>
      </c>
      <c r="L378" s="11"/>
      <c r="M378" s="22">
        <f t="shared" si="17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5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6"/>
        <v>A tiempo</v>
      </c>
      <c r="L379" s="11"/>
      <c r="M379" s="22">
        <f t="shared" si="17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5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6"/>
        <v>Programados</v>
      </c>
      <c r="L380" s="11"/>
      <c r="M380" s="22">
        <f t="shared" si="17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5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6"/>
        <v>A tiempo</v>
      </c>
      <c r="L381" s="11"/>
      <c r="M381" s="22">
        <f t="shared" si="17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5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6"/>
        <v>A tiempo</v>
      </c>
      <c r="L382" s="11"/>
      <c r="M382" s="22">
        <f t="shared" si="17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5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6"/>
        <v>A tiempo</v>
      </c>
      <c r="L383" s="11"/>
      <c r="M383" s="22">
        <f t="shared" si="17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5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6"/>
        <v>Programados</v>
      </c>
      <c r="L384" s="11"/>
      <c r="M384" s="22">
        <f t="shared" si="17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5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6"/>
        <v>A tiempo</v>
      </c>
      <c r="L385" s="11"/>
      <c r="M385" s="22">
        <f t="shared" si="17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8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9">IF(INT(A386)=INT(F386),"A tiempo", IF(A386&lt;F386,"Mismo día","Programados"))</f>
        <v>Mismo día</v>
      </c>
      <c r="L386" s="11"/>
      <c r="M386" s="22">
        <f t="shared" ref="M386:M449" si="20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8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9"/>
        <v>A tiempo</v>
      </c>
      <c r="L387" s="13">
        <v>45772</v>
      </c>
      <c r="M387" s="22">
        <f t="shared" si="20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8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9"/>
        <v>A tiempo</v>
      </c>
      <c r="L388" s="11"/>
      <c r="M388" s="22">
        <f t="shared" si="20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8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9"/>
        <v>Programados</v>
      </c>
      <c r="L389" s="11"/>
      <c r="M389" s="22">
        <f t="shared" si="20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8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9"/>
        <v>A tiempo</v>
      </c>
      <c r="L390" s="11"/>
      <c r="M390" s="22">
        <f t="shared" si="20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8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9"/>
        <v>A tiempo</v>
      </c>
      <c r="L391" s="11"/>
      <c r="M391" s="22">
        <f t="shared" si="20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8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9"/>
        <v>A tiempo</v>
      </c>
      <c r="L392" s="11"/>
      <c r="M392" s="22">
        <f t="shared" si="20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8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9"/>
        <v>A tiempo</v>
      </c>
      <c r="L393" s="11"/>
      <c r="M393" s="22">
        <f t="shared" si="20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8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9"/>
        <v>A tiempo</v>
      </c>
      <c r="L394" s="11"/>
      <c r="M394" s="22">
        <f t="shared" si="20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8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9"/>
        <v>A tiempo</v>
      </c>
      <c r="L395" s="13">
        <v>45762</v>
      </c>
      <c r="M395" s="22">
        <f t="shared" si="20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8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9"/>
        <v>A tiempo</v>
      </c>
      <c r="L396" s="11"/>
      <c r="M396" s="22">
        <f t="shared" si="20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8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9"/>
        <v>A tiempo</v>
      </c>
      <c r="L397" s="11"/>
      <c r="M397" s="22">
        <f t="shared" si="20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8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9"/>
        <v>A tiempo</v>
      </c>
      <c r="L398" s="11"/>
      <c r="M398" s="22">
        <f t="shared" si="20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8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9"/>
        <v>A tiempo</v>
      </c>
      <c r="L399" s="11"/>
      <c r="M399" s="22">
        <f t="shared" si="20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8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9"/>
        <v>A tiempo</v>
      </c>
      <c r="L400" s="11"/>
      <c r="M400" s="22">
        <f t="shared" si="20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8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9"/>
        <v>Mismo día</v>
      </c>
      <c r="L401" s="11"/>
      <c r="M401" s="22">
        <f t="shared" si="20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8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9"/>
        <v>A tiempo</v>
      </c>
      <c r="L402" s="11"/>
      <c r="M402" s="22">
        <f t="shared" si="20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8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9"/>
        <v>A tiempo</v>
      </c>
      <c r="L403" s="11"/>
      <c r="M403" s="22">
        <f t="shared" si="20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8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9"/>
        <v>A tiempo</v>
      </c>
      <c r="L404" s="11"/>
      <c r="M404" s="22">
        <f t="shared" si="20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8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9"/>
        <v>A tiempo</v>
      </c>
      <c r="L405" s="13">
        <v>45785</v>
      </c>
      <c r="M405" s="22">
        <f t="shared" si="20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8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9"/>
        <v>A tiempo</v>
      </c>
      <c r="L406" s="11"/>
      <c r="M406" s="22">
        <f t="shared" si="20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8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9"/>
        <v>Mismo día</v>
      </c>
      <c r="L407" s="11"/>
      <c r="M407" s="22">
        <f t="shared" si="20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8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9"/>
        <v>Mismo día</v>
      </c>
      <c r="L408" s="11"/>
      <c r="M408" s="22">
        <f t="shared" si="20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8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9"/>
        <v>A tiempo</v>
      </c>
      <c r="L409" s="11"/>
      <c r="M409" s="22">
        <f t="shared" si="20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8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9"/>
        <v>A tiempo</v>
      </c>
      <c r="L410" s="11"/>
      <c r="M410" s="22">
        <f t="shared" si="20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8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9"/>
        <v>A tiempo</v>
      </c>
      <c r="L411" s="13">
        <v>45790</v>
      </c>
      <c r="M411" s="22">
        <f t="shared" si="20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8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9"/>
        <v>A tiempo</v>
      </c>
      <c r="L412" s="11"/>
      <c r="M412" s="22">
        <f t="shared" si="20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8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9"/>
        <v>A tiempo</v>
      </c>
      <c r="L413" s="11"/>
      <c r="M413" s="22">
        <f t="shared" si="20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8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9"/>
        <v>Programados</v>
      </c>
      <c r="L414" s="11"/>
      <c r="M414" s="22">
        <f t="shared" si="20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8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9"/>
        <v>Programados</v>
      </c>
      <c r="L415" s="11"/>
      <c r="M415" s="22">
        <f t="shared" si="20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8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9"/>
        <v>A tiempo</v>
      </c>
      <c r="L416" s="11"/>
      <c r="M416" s="22">
        <f t="shared" si="20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8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9"/>
        <v>A tiempo</v>
      </c>
      <c r="L417" s="11"/>
      <c r="M417" s="22">
        <f t="shared" si="20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8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9"/>
        <v>A tiempo</v>
      </c>
      <c r="L418" s="13">
        <v>45771</v>
      </c>
      <c r="M418" s="22">
        <f t="shared" si="20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8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9"/>
        <v>A tiempo</v>
      </c>
      <c r="L419" s="11"/>
      <c r="M419" s="22">
        <f t="shared" si="20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8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9"/>
        <v>Mismo día</v>
      </c>
      <c r="L420" s="11"/>
      <c r="M420" s="22">
        <f t="shared" si="20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8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9"/>
        <v>Programados</v>
      </c>
      <c r="L421" s="13">
        <v>45789</v>
      </c>
      <c r="M421" s="22">
        <f t="shared" si="20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8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9"/>
        <v>A tiempo</v>
      </c>
      <c r="L422" s="11"/>
      <c r="M422" s="22">
        <f t="shared" si="20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8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9"/>
        <v>A tiempo</v>
      </c>
      <c r="L423" s="11"/>
      <c r="M423" s="22">
        <f t="shared" si="20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8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9"/>
        <v>A tiempo</v>
      </c>
      <c r="L424" s="11"/>
      <c r="M424" s="22">
        <f t="shared" si="20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8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9"/>
        <v>A tiempo</v>
      </c>
      <c r="L425" s="11"/>
      <c r="M425" s="22">
        <f t="shared" si="20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8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9"/>
        <v>A tiempo</v>
      </c>
      <c r="L426" s="11"/>
      <c r="M426" s="22">
        <f t="shared" si="20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8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9"/>
        <v>A tiempo</v>
      </c>
      <c r="L427" s="11"/>
      <c r="M427" s="22">
        <f t="shared" si="20"/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8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9"/>
        <v>A tiempo</v>
      </c>
      <c r="L428" s="11">
        <v>45763</v>
      </c>
      <c r="M428" s="22">
        <f t="shared" si="20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8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9"/>
        <v>A tiempo</v>
      </c>
      <c r="L429" s="11"/>
      <c r="M429" s="22">
        <f t="shared" si="20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8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9"/>
        <v>A tiempo</v>
      </c>
      <c r="L430" s="13">
        <v>45770</v>
      </c>
      <c r="M430" s="22">
        <f t="shared" si="20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8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9"/>
        <v>A tiempo</v>
      </c>
      <c r="L431" s="13">
        <v>45771</v>
      </c>
      <c r="M431" s="22">
        <f t="shared" si="20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8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9"/>
        <v>Programados</v>
      </c>
      <c r="L432" s="11"/>
      <c r="M432" s="22">
        <f t="shared" si="20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8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9"/>
        <v>Programados</v>
      </c>
      <c r="L433" s="11"/>
      <c r="M433" s="22">
        <f t="shared" si="20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8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9"/>
        <v>Programados</v>
      </c>
      <c r="L434" s="11"/>
      <c r="M434" s="22">
        <f t="shared" si="20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8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9"/>
        <v>Programados</v>
      </c>
      <c r="L435" s="11"/>
      <c r="M435" s="22">
        <f t="shared" si="20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8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9"/>
        <v>Programados</v>
      </c>
      <c r="L436" s="11"/>
      <c r="M436" s="22">
        <f t="shared" si="20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8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9"/>
        <v>Mismo día</v>
      </c>
      <c r="L437" s="13">
        <v>45768</v>
      </c>
      <c r="M437" s="22">
        <f t="shared" si="20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8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9"/>
        <v>A tiempo</v>
      </c>
      <c r="L438" s="11"/>
      <c r="M438" s="22">
        <f t="shared" si="20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8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9"/>
        <v>A tiempo</v>
      </c>
      <c r="L439" s="11"/>
      <c r="M439" s="22">
        <f t="shared" si="20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8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9"/>
        <v>Programados</v>
      </c>
      <c r="L440" s="13">
        <v>45769</v>
      </c>
      <c r="M440" s="22">
        <f t="shared" si="20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8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9"/>
        <v>A tiempo</v>
      </c>
      <c r="L441" s="13">
        <v>45771</v>
      </c>
      <c r="M441" s="22">
        <f t="shared" si="20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8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9"/>
        <v>A tiempo</v>
      </c>
      <c r="L442" s="11"/>
      <c r="M442" s="22">
        <f t="shared" si="20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8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9"/>
        <v>A tiempo</v>
      </c>
      <c r="L443" s="13">
        <v>45797</v>
      </c>
      <c r="M443" s="22">
        <f t="shared" si="20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8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9"/>
        <v>A tiempo</v>
      </c>
      <c r="L444" s="11"/>
      <c r="M444" s="22">
        <f t="shared" si="20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8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9"/>
        <v>A tiempo</v>
      </c>
      <c r="L445" s="13">
        <v>45770</v>
      </c>
      <c r="M445" s="22">
        <f t="shared" si="20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8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9"/>
        <v>A tiempo</v>
      </c>
      <c r="L446" s="11"/>
      <c r="M446" s="22">
        <f t="shared" si="20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8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9"/>
        <v>A tiempo</v>
      </c>
      <c r="L447" s="11"/>
      <c r="M447" s="22">
        <f t="shared" si="20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8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9"/>
        <v>A tiempo</v>
      </c>
      <c r="L448" s="13">
        <v>45770</v>
      </c>
      <c r="M448" s="22">
        <f t="shared" si="20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8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9"/>
        <v>A tiempo</v>
      </c>
      <c r="L449" s="27">
        <v>45771</v>
      </c>
      <c r="M449" s="23">
        <f t="shared" si="20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21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22">IF(INT(A450)=INT(F450),"A tiempo", IF(A450&lt;F450,"Mismo día","Programados"))</f>
        <v>A tiempo</v>
      </c>
      <c r="L450" s="11"/>
      <c r="M450" s="22">
        <f t="shared" ref="M450:M513" si="23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21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22"/>
        <v>A tiempo</v>
      </c>
      <c r="L451" s="11"/>
      <c r="M451" s="22">
        <f t="shared" si="23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21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22"/>
        <v>A tiempo</v>
      </c>
      <c r="L452" s="11"/>
      <c r="M452" s="22">
        <f t="shared" si="23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21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22"/>
        <v>A tiempo</v>
      </c>
      <c r="L453" s="13">
        <v>45770</v>
      </c>
      <c r="M453" s="22">
        <f t="shared" si="23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21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22"/>
        <v>Programados</v>
      </c>
      <c r="L454" s="13">
        <v>45772</v>
      </c>
      <c r="M454" s="22">
        <f t="shared" si="23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21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22"/>
        <v>A tiempo</v>
      </c>
      <c r="L455" s="11"/>
      <c r="M455" s="22">
        <f t="shared" si="23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21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22"/>
        <v>Programados</v>
      </c>
      <c r="L456" s="13">
        <v>45784</v>
      </c>
      <c r="M456" s="22">
        <f t="shared" si="23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21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22"/>
        <v>A tiempo</v>
      </c>
      <c r="L457" s="11"/>
      <c r="M457" s="22">
        <f t="shared" si="23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21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22"/>
        <v>A tiempo</v>
      </c>
      <c r="L458" s="11"/>
      <c r="M458" s="22">
        <f t="shared" si="23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21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22"/>
        <v>A tiempo</v>
      </c>
      <c r="L459" s="11"/>
      <c r="M459" s="22">
        <f t="shared" si="23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21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22"/>
        <v>A tiempo</v>
      </c>
      <c r="L460" s="11"/>
      <c r="M460" s="22">
        <f t="shared" si="23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21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22"/>
        <v>A tiempo</v>
      </c>
      <c r="L461" s="11"/>
      <c r="M461" s="22">
        <f t="shared" si="23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21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22"/>
        <v>A tiempo</v>
      </c>
      <c r="L462" s="13">
        <v>45772</v>
      </c>
      <c r="M462" s="22">
        <f t="shared" si="23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21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22"/>
        <v>A tiempo</v>
      </c>
      <c r="L463" s="11"/>
      <c r="M463" s="22">
        <f t="shared" si="23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21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22"/>
        <v>A tiempo</v>
      </c>
      <c r="L464" s="11"/>
      <c r="M464" s="22">
        <f t="shared" si="23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21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22"/>
        <v>Programados</v>
      </c>
      <c r="L465" s="11"/>
      <c r="M465" s="22">
        <f t="shared" si="23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21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22"/>
        <v>A tiempo</v>
      </c>
      <c r="L466" s="11"/>
      <c r="M466" s="22">
        <f t="shared" si="23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21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22"/>
        <v>A tiempo</v>
      </c>
      <c r="L467" s="13">
        <v>45772</v>
      </c>
      <c r="M467" s="22">
        <f t="shared" si="23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21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22"/>
        <v>A tiempo</v>
      </c>
      <c r="L468" s="11"/>
      <c r="M468" s="22">
        <f t="shared" si="23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21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22"/>
        <v>A tiempo</v>
      </c>
      <c r="L469" s="13">
        <v>45779</v>
      </c>
      <c r="M469" s="22">
        <f t="shared" si="23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21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22"/>
        <v>A tiempo</v>
      </c>
      <c r="L470" s="11"/>
      <c r="M470" s="22">
        <f t="shared" si="23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21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22"/>
        <v>A tiempo</v>
      </c>
      <c r="L471" s="11"/>
      <c r="M471" s="22">
        <f t="shared" si="23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21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22"/>
        <v>Programados</v>
      </c>
      <c r="L472" s="11"/>
      <c r="M472" s="22">
        <f t="shared" si="23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21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22"/>
        <v>Programados</v>
      </c>
      <c r="L473" s="13">
        <v>45775</v>
      </c>
      <c r="M473" s="22">
        <f t="shared" si="23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21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22"/>
        <v>A tiempo</v>
      </c>
      <c r="L474" s="13">
        <v>45775</v>
      </c>
      <c r="M474" s="22">
        <f t="shared" si="23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21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22"/>
        <v>A tiempo</v>
      </c>
      <c r="L475" s="11"/>
      <c r="M475" s="22">
        <f t="shared" si="23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21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22"/>
        <v>A tiempo</v>
      </c>
      <c r="L476" s="11"/>
      <c r="M476" s="22">
        <f t="shared" si="23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21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22"/>
        <v>A tiempo</v>
      </c>
      <c r="L477" s="11"/>
      <c r="M477" s="22">
        <f t="shared" si="23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21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22"/>
        <v>A tiempo</v>
      </c>
      <c r="L478" s="13">
        <v>45776</v>
      </c>
      <c r="M478" s="22">
        <f t="shared" si="23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21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22"/>
        <v>Mismo día</v>
      </c>
      <c r="L479" s="11"/>
      <c r="M479" s="22">
        <f t="shared" si="23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21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22"/>
        <v>A tiempo</v>
      </c>
      <c r="L480" s="13">
        <v>45790</v>
      </c>
      <c r="M480" s="22">
        <f t="shared" si="23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21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22"/>
        <v>A tiempo</v>
      </c>
      <c r="L481" s="11"/>
      <c r="M481" s="22">
        <f t="shared" si="23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21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22"/>
        <v>A tiempo</v>
      </c>
      <c r="L482" s="11"/>
      <c r="M482" s="22">
        <f t="shared" si="23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21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22"/>
        <v>Programados</v>
      </c>
      <c r="L483" s="13">
        <v>45779</v>
      </c>
      <c r="M483" s="22">
        <f t="shared" si="23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21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22"/>
        <v>A tiempo</v>
      </c>
      <c r="L484" s="11"/>
      <c r="M484" s="22">
        <f t="shared" si="23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21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22"/>
        <v>A tiempo</v>
      </c>
      <c r="L485" s="13">
        <v>45779</v>
      </c>
      <c r="M485" s="22">
        <f t="shared" si="23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21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22"/>
        <v>Mismo día</v>
      </c>
      <c r="L486" s="13">
        <v>45777</v>
      </c>
      <c r="M486" s="22">
        <f t="shared" si="23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21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22"/>
        <v>Programados</v>
      </c>
      <c r="L487" s="13">
        <v>45784</v>
      </c>
      <c r="M487" s="22">
        <f t="shared" si="23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21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22"/>
        <v>Programados</v>
      </c>
      <c r="L488" s="13">
        <v>45779</v>
      </c>
      <c r="M488" s="22">
        <f t="shared" si="23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21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22"/>
        <v>Programados</v>
      </c>
      <c r="L489" s="13">
        <v>45783</v>
      </c>
      <c r="M489" s="22">
        <f t="shared" si="23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21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22"/>
        <v>Mismo día</v>
      </c>
      <c r="L490" s="13">
        <v>45779</v>
      </c>
      <c r="M490" s="22">
        <f t="shared" si="23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21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22"/>
        <v>Programados</v>
      </c>
      <c r="L491" s="13">
        <v>45783</v>
      </c>
      <c r="M491" s="22">
        <f t="shared" si="23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21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22"/>
        <v>Programados</v>
      </c>
      <c r="L492" s="13">
        <v>45789</v>
      </c>
      <c r="M492" s="22">
        <f t="shared" si="23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21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22"/>
        <v>A tiempo</v>
      </c>
      <c r="L493" s="13">
        <v>45783</v>
      </c>
      <c r="M493" s="22">
        <f t="shared" si="23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21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22"/>
        <v>A tiempo</v>
      </c>
      <c r="L494" s="13">
        <v>45783</v>
      </c>
      <c r="M494" s="22">
        <f t="shared" si="23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21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22"/>
        <v>A tiempo</v>
      </c>
      <c r="L495" s="13">
        <v>45783</v>
      </c>
      <c r="M495" s="22">
        <f t="shared" si="23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21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22"/>
        <v>A tiempo</v>
      </c>
      <c r="L496" s="13">
        <v>45786</v>
      </c>
      <c r="M496" s="22">
        <f t="shared" si="23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21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22"/>
        <v>Programados</v>
      </c>
      <c r="L497" s="13">
        <v>45783</v>
      </c>
      <c r="M497" s="22">
        <f t="shared" si="23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21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22"/>
        <v>Programados</v>
      </c>
      <c r="L498" s="13">
        <v>45785</v>
      </c>
      <c r="M498" s="22">
        <f t="shared" si="23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21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22"/>
        <v>Programados</v>
      </c>
      <c r="L499" s="13">
        <v>45785</v>
      </c>
      <c r="M499" s="22">
        <f t="shared" si="23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21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22"/>
        <v>Programados</v>
      </c>
      <c r="L500" s="13">
        <v>45783</v>
      </c>
      <c r="M500" s="22">
        <f t="shared" si="23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21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22"/>
        <v>Programados</v>
      </c>
      <c r="L501" s="13">
        <v>45785</v>
      </c>
      <c r="M501" s="22">
        <f t="shared" si="23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21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22"/>
        <v>Programados</v>
      </c>
      <c r="L502" s="13">
        <v>45783</v>
      </c>
      <c r="M502" s="22">
        <f t="shared" si="23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21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22"/>
        <v>Programados</v>
      </c>
      <c r="L503" s="13">
        <v>45785</v>
      </c>
      <c r="M503" s="22">
        <f t="shared" si="23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21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22"/>
        <v>A tiempo</v>
      </c>
      <c r="L504" s="13">
        <v>45783</v>
      </c>
      <c r="M504" s="22">
        <f t="shared" si="23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21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22"/>
        <v>A tiempo</v>
      </c>
      <c r="L505" s="13">
        <v>45783</v>
      </c>
      <c r="M505" s="22">
        <f t="shared" si="23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21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22"/>
        <v>Programados</v>
      </c>
      <c r="L506" s="13">
        <v>45784</v>
      </c>
      <c r="M506" s="22">
        <f t="shared" si="23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21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22"/>
        <v>Programados</v>
      </c>
      <c r="L507" s="13">
        <v>45792</v>
      </c>
      <c r="M507" s="22">
        <f t="shared" si="23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21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22"/>
        <v>Programados</v>
      </c>
      <c r="L508" s="13">
        <v>45798</v>
      </c>
      <c r="M508" s="22">
        <f t="shared" si="23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21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22"/>
        <v>A tiempo</v>
      </c>
      <c r="L509" s="13">
        <v>45784</v>
      </c>
      <c r="M509" s="22">
        <f t="shared" si="23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21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22"/>
        <v>A tiempo</v>
      </c>
      <c r="L510" s="13">
        <v>45784</v>
      </c>
      <c r="M510" s="22">
        <f t="shared" si="23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21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22"/>
        <v>A tiempo</v>
      </c>
      <c r="L511" s="13">
        <v>45784</v>
      </c>
      <c r="M511" s="22">
        <f t="shared" si="23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21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22"/>
        <v>A tiempo</v>
      </c>
      <c r="L512" s="13">
        <v>45786</v>
      </c>
      <c r="M512" s="22">
        <f t="shared" si="23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21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22"/>
        <v>A tiempo</v>
      </c>
      <c r="L513" s="13">
        <v>45784</v>
      </c>
      <c r="M513" s="22">
        <f t="shared" si="23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24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25">IF(INT(A514)=INT(F514),"A tiempo", IF(A514&lt;F514,"Mismo día","Programados"))</f>
        <v>A tiempo</v>
      </c>
      <c r="L514" s="13">
        <v>45791</v>
      </c>
      <c r="M514" s="22">
        <f t="shared" ref="M514:M577" si="26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24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25"/>
        <v>Mismo día</v>
      </c>
      <c r="L515" s="13">
        <v>45784</v>
      </c>
      <c r="M515" s="22">
        <f t="shared" si="26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24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25"/>
        <v>Mismo día</v>
      </c>
      <c r="L516" s="13">
        <v>45784</v>
      </c>
      <c r="M516" s="22">
        <f t="shared" si="26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24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25"/>
        <v>Programados</v>
      </c>
      <c r="L517" s="13">
        <v>45786</v>
      </c>
      <c r="M517" s="22">
        <f t="shared" si="26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24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25"/>
        <v>A tiempo</v>
      </c>
      <c r="L518" s="13">
        <v>45785</v>
      </c>
      <c r="M518" s="22">
        <f t="shared" si="26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24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25"/>
        <v>A tiempo</v>
      </c>
      <c r="L519" s="13">
        <v>45790</v>
      </c>
      <c r="M519" s="22">
        <f t="shared" si="26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24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25"/>
        <v>Programados</v>
      </c>
      <c r="L520" s="13">
        <v>45785</v>
      </c>
      <c r="M520" s="22">
        <f t="shared" si="26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24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25"/>
        <v>A tiempo</v>
      </c>
      <c r="L521" s="13">
        <v>45785</v>
      </c>
      <c r="M521" s="22">
        <f t="shared" si="26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24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25"/>
        <v>Mismo día</v>
      </c>
      <c r="L522" s="13">
        <v>45797</v>
      </c>
      <c r="M522" s="22">
        <f t="shared" si="26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24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25"/>
        <v>A tiempo</v>
      </c>
      <c r="L523" s="13">
        <v>45785</v>
      </c>
      <c r="M523" s="22">
        <f t="shared" si="26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24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25"/>
        <v>A tiempo</v>
      </c>
      <c r="L524" s="13">
        <v>45786</v>
      </c>
      <c r="M524" s="22">
        <f t="shared" si="26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24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25"/>
        <v>Programados</v>
      </c>
      <c r="L525" s="13">
        <v>45789</v>
      </c>
      <c r="M525" s="22">
        <f t="shared" si="26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24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25"/>
        <v>A tiempo</v>
      </c>
      <c r="L526" s="13">
        <v>45786</v>
      </c>
      <c r="M526" s="22">
        <f t="shared" si="26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24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25"/>
        <v>A tiempo</v>
      </c>
      <c r="L527" s="13">
        <v>45787</v>
      </c>
      <c r="M527" s="22">
        <f t="shared" si="26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24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25"/>
        <v>Programados</v>
      </c>
      <c r="L528" s="13">
        <v>45786</v>
      </c>
      <c r="M528" s="22">
        <f t="shared" si="26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24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25"/>
        <v>A tiempo</v>
      </c>
      <c r="L529" s="13">
        <v>45786</v>
      </c>
      <c r="M529" s="22">
        <f t="shared" si="26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24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25"/>
        <v>A tiempo</v>
      </c>
      <c r="L530" s="13">
        <v>45786</v>
      </c>
      <c r="M530" s="22">
        <f t="shared" si="26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24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25"/>
        <v>A tiempo</v>
      </c>
      <c r="L531" s="13">
        <v>45786</v>
      </c>
      <c r="M531" s="22">
        <f t="shared" si="26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24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25"/>
        <v>A tiempo</v>
      </c>
      <c r="L532" s="13">
        <v>45797</v>
      </c>
      <c r="M532" s="22">
        <f t="shared" si="26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24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25"/>
        <v>A tiempo</v>
      </c>
      <c r="L533" s="13">
        <v>45789</v>
      </c>
      <c r="M533" s="22">
        <f t="shared" si="26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24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25"/>
        <v>A tiempo</v>
      </c>
      <c r="L534" s="13">
        <v>45793</v>
      </c>
      <c r="M534" s="22">
        <f t="shared" si="26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24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25"/>
        <v>A tiempo</v>
      </c>
      <c r="L535" s="13">
        <v>45789</v>
      </c>
      <c r="M535" s="22">
        <f t="shared" si="26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24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25"/>
        <v>Programados</v>
      </c>
      <c r="L536" s="13">
        <v>45804</v>
      </c>
      <c r="M536" s="22">
        <f t="shared" si="26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24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25"/>
        <v>Programados</v>
      </c>
      <c r="L537" s="13">
        <v>45790</v>
      </c>
      <c r="M537" s="22">
        <f t="shared" si="26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24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25"/>
        <v>Programados</v>
      </c>
      <c r="L538" s="13">
        <v>45790</v>
      </c>
      <c r="M538" s="22">
        <f t="shared" si="26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24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25"/>
        <v>A tiempo</v>
      </c>
      <c r="L539" s="13">
        <v>45789</v>
      </c>
      <c r="M539" s="22">
        <f t="shared" si="26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24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25"/>
        <v>Programados</v>
      </c>
      <c r="L540" s="13">
        <v>45789</v>
      </c>
      <c r="M540" s="22">
        <f t="shared" si="26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24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25"/>
        <v>Programados</v>
      </c>
      <c r="L541" s="13">
        <v>45791</v>
      </c>
      <c r="M541" s="22">
        <f t="shared" si="26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24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25"/>
        <v>A tiempo</v>
      </c>
      <c r="L542" s="13">
        <v>45790</v>
      </c>
      <c r="M542" s="22">
        <f t="shared" si="26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24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25"/>
        <v>A tiempo</v>
      </c>
      <c r="L543" s="13">
        <v>45791</v>
      </c>
      <c r="M543" s="22">
        <f t="shared" si="26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24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25"/>
        <v>A tiempo</v>
      </c>
      <c r="L544" s="13">
        <v>45790</v>
      </c>
      <c r="M544" s="22">
        <f t="shared" si="26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24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25"/>
        <v>A tiempo</v>
      </c>
      <c r="L545" s="13">
        <v>45791</v>
      </c>
      <c r="M545" s="22">
        <f t="shared" si="26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24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25"/>
        <v>A tiempo</v>
      </c>
      <c r="L546" s="13">
        <v>45798</v>
      </c>
      <c r="M546" s="22">
        <f t="shared" si="26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24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25"/>
        <v>A tiempo</v>
      </c>
      <c r="L547" s="13">
        <v>45790</v>
      </c>
      <c r="M547" s="22">
        <f t="shared" si="26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24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25"/>
        <v>A tiempo</v>
      </c>
      <c r="L548" s="13">
        <v>45790</v>
      </c>
      <c r="M548" s="22">
        <f t="shared" si="26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24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25"/>
        <v>A tiempo</v>
      </c>
      <c r="L549" s="13">
        <v>45798</v>
      </c>
      <c r="M549" s="22">
        <f t="shared" si="26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24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25"/>
        <v>A tiempo</v>
      </c>
      <c r="L550" s="13">
        <v>45791</v>
      </c>
      <c r="M550" s="22">
        <f t="shared" si="26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24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25"/>
        <v>A tiempo</v>
      </c>
      <c r="L551" s="13">
        <v>45791</v>
      </c>
      <c r="M551" s="22">
        <f t="shared" si="26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24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25"/>
        <v>A tiempo</v>
      </c>
      <c r="L552" s="13">
        <v>45798</v>
      </c>
      <c r="M552" s="22">
        <f t="shared" si="26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24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25"/>
        <v>A tiempo</v>
      </c>
      <c r="L553" s="13">
        <v>45792</v>
      </c>
      <c r="M553" s="22">
        <f t="shared" si="26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24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25"/>
        <v>A tiempo</v>
      </c>
      <c r="L554" s="13">
        <v>45796</v>
      </c>
      <c r="M554" s="22">
        <f t="shared" si="26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24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25"/>
        <v>A tiempo</v>
      </c>
      <c r="L555" s="13">
        <v>45793</v>
      </c>
      <c r="M555" s="22">
        <f t="shared" si="26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24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25"/>
        <v>A tiempo</v>
      </c>
      <c r="L556" s="13">
        <v>45792</v>
      </c>
      <c r="M556" s="22">
        <f t="shared" si="26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24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25"/>
        <v>A tiempo</v>
      </c>
      <c r="L557" s="13">
        <v>45799</v>
      </c>
      <c r="M557" s="22">
        <f t="shared" si="26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24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25"/>
        <v>A tiempo</v>
      </c>
      <c r="L558" s="13">
        <v>45793</v>
      </c>
      <c r="M558" s="22">
        <f t="shared" si="26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24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25"/>
        <v>A tiempo</v>
      </c>
      <c r="L559" s="13">
        <v>45796</v>
      </c>
      <c r="M559" s="22">
        <f t="shared" si="26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24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25"/>
        <v>A tiempo</v>
      </c>
      <c r="L560" s="13">
        <v>45793</v>
      </c>
      <c r="M560" s="22">
        <f t="shared" si="26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24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25"/>
        <v>A tiempo</v>
      </c>
      <c r="L561" s="13">
        <v>45798</v>
      </c>
      <c r="M561" s="22">
        <f t="shared" si="26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24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25"/>
        <v>Mismo día</v>
      </c>
      <c r="L562" s="13">
        <v>45793</v>
      </c>
      <c r="M562" s="22">
        <f t="shared" si="26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24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25"/>
        <v>A tiempo</v>
      </c>
      <c r="L563" s="13">
        <v>45793</v>
      </c>
      <c r="M563" s="22">
        <f t="shared" si="26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24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25"/>
        <v>A tiempo</v>
      </c>
      <c r="L564" s="13">
        <v>45797</v>
      </c>
      <c r="M564" s="22">
        <f t="shared" si="26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24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25"/>
        <v>A tiempo</v>
      </c>
      <c r="L565" s="13">
        <v>45798</v>
      </c>
      <c r="M565" s="22">
        <f t="shared" si="26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24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25"/>
        <v>A tiempo</v>
      </c>
      <c r="L566" s="13">
        <v>45796</v>
      </c>
      <c r="M566" s="22">
        <f t="shared" si="26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24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25"/>
        <v>A tiempo</v>
      </c>
      <c r="L567" s="13">
        <v>45798</v>
      </c>
      <c r="M567" s="22">
        <f t="shared" si="26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24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25"/>
        <v>Programados</v>
      </c>
      <c r="L568" s="13">
        <v>45796</v>
      </c>
      <c r="M568" s="22">
        <f t="shared" si="26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24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25"/>
        <v>A tiempo</v>
      </c>
      <c r="L569" s="13">
        <v>45796</v>
      </c>
      <c r="M569" s="22">
        <f t="shared" si="26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24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25"/>
        <v>A tiempo</v>
      </c>
      <c r="L570" s="13">
        <v>45796</v>
      </c>
      <c r="M570" s="22">
        <f t="shared" si="26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24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25"/>
        <v>A tiempo</v>
      </c>
      <c r="L571" s="13">
        <v>45797</v>
      </c>
      <c r="M571" s="22">
        <f t="shared" si="26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24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25"/>
        <v>Programados</v>
      </c>
      <c r="L572" s="13">
        <v>45796</v>
      </c>
      <c r="M572" s="22">
        <f t="shared" si="26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24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25"/>
        <v>A tiempo</v>
      </c>
      <c r="L573" s="13">
        <v>45797</v>
      </c>
      <c r="M573" s="22">
        <f t="shared" si="26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24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25"/>
        <v>A tiempo</v>
      </c>
      <c r="L574" s="13">
        <v>45798</v>
      </c>
      <c r="M574" s="22">
        <f t="shared" si="26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24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25"/>
        <v>Programados</v>
      </c>
      <c r="L575" s="13">
        <v>45805</v>
      </c>
      <c r="M575" s="22">
        <f t="shared" si="26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24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25"/>
        <v>Mismo día</v>
      </c>
      <c r="L576" s="13">
        <v>45799</v>
      </c>
      <c r="M576" s="22">
        <f t="shared" si="26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24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25"/>
        <v>A tiempo</v>
      </c>
      <c r="L577" s="13">
        <v>45798</v>
      </c>
      <c r="M577" s="22">
        <f t="shared" si="26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27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28">IF(INT(A578)=INT(F578),"A tiempo", IF(A578&lt;F578,"Mismo día","Programados"))</f>
        <v>A tiempo</v>
      </c>
      <c r="L578" s="13">
        <v>45799</v>
      </c>
      <c r="M578" s="22">
        <f t="shared" ref="M578:M641" si="2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27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28"/>
        <v>A tiempo</v>
      </c>
      <c r="L579" s="13">
        <v>45799</v>
      </c>
      <c r="M579" s="22">
        <f t="shared" si="2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27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28"/>
        <v>A tiempo</v>
      </c>
      <c r="L580" s="13">
        <v>45800</v>
      </c>
      <c r="M580" s="22">
        <f t="shared" si="2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27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28"/>
        <v>A tiempo</v>
      </c>
      <c r="L581" s="13">
        <v>45798</v>
      </c>
      <c r="M581" s="22">
        <f t="shared" si="2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27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28"/>
        <v>A tiempo</v>
      </c>
      <c r="L582" s="13">
        <v>45799</v>
      </c>
      <c r="M582" s="22">
        <f t="shared" si="2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27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28"/>
        <v>A tiempo</v>
      </c>
      <c r="L583" s="13">
        <v>45804</v>
      </c>
      <c r="M583" s="22">
        <f t="shared" si="2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27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28"/>
        <v>A tiempo</v>
      </c>
      <c r="L584" s="13">
        <v>45798</v>
      </c>
      <c r="M584" s="22">
        <f t="shared" si="2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27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28"/>
        <v>Mismo día</v>
      </c>
      <c r="L585" s="13">
        <v>45798</v>
      </c>
      <c r="M585" s="22">
        <f t="shared" si="2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27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28"/>
        <v>A tiempo</v>
      </c>
      <c r="L586" s="13">
        <v>45799</v>
      </c>
      <c r="M586" s="22">
        <f t="shared" si="2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27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28"/>
        <v>A tiempo</v>
      </c>
      <c r="L587" s="13">
        <v>45799</v>
      </c>
      <c r="M587" s="22">
        <f t="shared" si="2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27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28"/>
        <v>A tiempo</v>
      </c>
      <c r="L588" s="13">
        <v>45805</v>
      </c>
      <c r="M588" s="22">
        <f t="shared" si="2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27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28"/>
        <v>A tiempo</v>
      </c>
      <c r="L589" s="13">
        <v>45800</v>
      </c>
      <c r="M589" s="22">
        <f t="shared" si="2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27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28"/>
        <v>A tiempo</v>
      </c>
      <c r="L590" s="13">
        <v>45800</v>
      </c>
      <c r="M590" s="23">
        <f t="shared" si="2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27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28"/>
        <v>A tiempo</v>
      </c>
      <c r="L591" s="13">
        <v>45800</v>
      </c>
      <c r="M591" s="22">
        <f t="shared" si="2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27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28"/>
        <v>A tiempo</v>
      </c>
      <c r="L592" s="13">
        <v>45804</v>
      </c>
      <c r="M592" s="22">
        <f t="shared" si="2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27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28"/>
        <v>Mismo día</v>
      </c>
      <c r="L593" s="13">
        <v>45800</v>
      </c>
      <c r="M593" s="22">
        <f t="shared" si="2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27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28"/>
        <v>Programados</v>
      </c>
      <c r="L594" s="13">
        <v>45803</v>
      </c>
      <c r="M594" s="22">
        <f t="shared" si="2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27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28"/>
        <v>A tiempo</v>
      </c>
      <c r="L595" s="13">
        <v>45803</v>
      </c>
      <c r="M595" s="22">
        <f t="shared" si="2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27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28"/>
        <v>Programados</v>
      </c>
      <c r="L596" s="13">
        <v>45803</v>
      </c>
      <c r="M596" s="22">
        <f t="shared" si="2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27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28"/>
        <v>A tiempo</v>
      </c>
      <c r="L597" s="13">
        <v>45803</v>
      </c>
      <c r="M597" s="22">
        <f t="shared" si="2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27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28"/>
        <v>A tiempo</v>
      </c>
      <c r="L598" s="13">
        <v>45803</v>
      </c>
      <c r="M598" s="22">
        <f t="shared" si="2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27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28"/>
        <v>A tiempo</v>
      </c>
      <c r="L599" s="13">
        <v>45803</v>
      </c>
      <c r="M599" s="22">
        <f t="shared" si="2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27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28"/>
        <v>Mismo día</v>
      </c>
      <c r="L600" s="13">
        <v>45804</v>
      </c>
      <c r="M600" s="22">
        <f t="shared" si="2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27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28"/>
        <v>Mismo día</v>
      </c>
      <c r="L601" s="13">
        <v>45805</v>
      </c>
      <c r="M601" s="22">
        <f t="shared" si="2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27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28"/>
        <v>Mismo día</v>
      </c>
      <c r="L602" s="13">
        <v>45804</v>
      </c>
      <c r="M602" s="22">
        <f t="shared" si="2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27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28"/>
        <v>A tiempo</v>
      </c>
      <c r="L603" s="13">
        <v>45805</v>
      </c>
      <c r="M603" s="22">
        <f t="shared" si="2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27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28"/>
        <v>A tiempo</v>
      </c>
      <c r="L604" s="13">
        <v>45810</v>
      </c>
      <c r="M604" s="22">
        <f t="shared" si="2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27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28"/>
        <v>A tiempo</v>
      </c>
      <c r="L605" s="13">
        <v>45806</v>
      </c>
      <c r="M605" s="22">
        <f t="shared" si="2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27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28"/>
        <v>A tiempo</v>
      </c>
      <c r="L606" s="13">
        <v>45805</v>
      </c>
      <c r="M606" s="22">
        <f t="shared" si="2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27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28"/>
        <v>A tiempo</v>
      </c>
      <c r="L607" s="13">
        <v>45806</v>
      </c>
      <c r="M607" s="22">
        <f t="shared" si="2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27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28"/>
        <v>A tiempo</v>
      </c>
      <c r="L608" s="13">
        <v>45807</v>
      </c>
      <c r="M608" s="22">
        <f t="shared" si="2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27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28"/>
        <v>A tiempo</v>
      </c>
      <c r="L609" s="13">
        <v>45810</v>
      </c>
      <c r="M609" s="22">
        <f t="shared" si="2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27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28"/>
        <v>A tiempo</v>
      </c>
      <c r="L610" s="13">
        <v>45806</v>
      </c>
      <c r="M610" s="22">
        <f t="shared" si="2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27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28"/>
        <v>A tiempo</v>
      </c>
      <c r="L611" s="13">
        <v>45810</v>
      </c>
      <c r="M611" s="22">
        <f t="shared" si="2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27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28"/>
        <v>A tiempo</v>
      </c>
      <c r="L612" s="13">
        <v>45806</v>
      </c>
      <c r="M612" s="22">
        <f t="shared" si="2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27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28"/>
        <v>Mismo día</v>
      </c>
      <c r="L613" s="13">
        <v>45807</v>
      </c>
      <c r="M613" s="22">
        <f t="shared" si="2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27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28"/>
        <v>Programados</v>
      </c>
      <c r="L614" s="13">
        <v>45807</v>
      </c>
      <c r="M614" s="22">
        <f t="shared" si="2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27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28"/>
        <v>Programados</v>
      </c>
      <c r="L615" s="13">
        <v>45807</v>
      </c>
      <c r="M615" s="22">
        <f t="shared" si="2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27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28"/>
        <v>A tiempo</v>
      </c>
      <c r="L616" s="13">
        <v>45807</v>
      </c>
      <c r="M616" s="22">
        <f t="shared" si="2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27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28"/>
        <v>A tiempo</v>
      </c>
      <c r="L617" s="13">
        <v>45807</v>
      </c>
      <c r="M617" s="22">
        <f t="shared" si="2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27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28"/>
        <v>Programados</v>
      </c>
      <c r="L618" s="13">
        <v>45810</v>
      </c>
      <c r="M618" s="22">
        <f t="shared" si="2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27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28"/>
        <v>A tiempo</v>
      </c>
      <c r="L619" s="13">
        <v>45810</v>
      </c>
      <c r="M619" s="22">
        <f t="shared" si="2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27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28"/>
        <v>A tiempo</v>
      </c>
      <c r="L620" s="13">
        <v>45810</v>
      </c>
      <c r="M620" s="22">
        <f t="shared" si="2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27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28"/>
        <v>Programados</v>
      </c>
      <c r="L621" s="13">
        <v>45811</v>
      </c>
      <c r="M621" s="22">
        <f t="shared" si="2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27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28"/>
        <v>A tiempo</v>
      </c>
      <c r="L622" s="13">
        <v>45811</v>
      </c>
      <c r="M622" s="22">
        <f t="shared" si="2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27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28"/>
        <v>A tiempo</v>
      </c>
      <c r="L623" s="13">
        <v>45811</v>
      </c>
      <c r="M623" s="22">
        <f t="shared" si="2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27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28"/>
        <v>A tiempo</v>
      </c>
      <c r="L624" s="13">
        <v>45812</v>
      </c>
      <c r="M624" s="22">
        <f t="shared" si="2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27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28"/>
        <v>Programados</v>
      </c>
      <c r="L625" s="13">
        <v>45811</v>
      </c>
      <c r="M625" s="22">
        <f t="shared" si="2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27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28"/>
        <v>Mismo día</v>
      </c>
      <c r="L626" s="13">
        <v>45811</v>
      </c>
      <c r="M626" s="22">
        <f t="shared" si="2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27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28"/>
        <v>Programados</v>
      </c>
      <c r="L627" s="13">
        <v>45827</v>
      </c>
      <c r="M627" s="22">
        <f t="shared" si="2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27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28"/>
        <v>A tiempo</v>
      </c>
      <c r="L628" s="13">
        <v>45813</v>
      </c>
      <c r="M628" s="22">
        <f t="shared" si="2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27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28"/>
        <v>A tiempo</v>
      </c>
      <c r="L629" s="13">
        <v>45813</v>
      </c>
      <c r="M629" s="22">
        <f t="shared" si="2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27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28"/>
        <v>A tiempo</v>
      </c>
      <c r="L630" s="13">
        <v>45812</v>
      </c>
      <c r="M630" s="22">
        <f t="shared" si="2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27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28"/>
        <v>A tiempo</v>
      </c>
      <c r="L631" s="13">
        <v>45814</v>
      </c>
      <c r="M631" s="22">
        <f t="shared" si="2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27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28"/>
        <v>Programados</v>
      </c>
      <c r="L632" s="13">
        <v>45812</v>
      </c>
      <c r="M632" s="22">
        <f t="shared" si="2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27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28"/>
        <v>Mismo día</v>
      </c>
      <c r="L633" s="13">
        <v>45812</v>
      </c>
      <c r="M633" s="22">
        <f t="shared" si="2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27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28"/>
        <v>A tiempo</v>
      </c>
      <c r="L634" s="13">
        <v>45817</v>
      </c>
      <c r="M634" s="22">
        <f t="shared" si="2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27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28"/>
        <v>Programados</v>
      </c>
      <c r="L635" s="13">
        <v>45813</v>
      </c>
      <c r="M635" s="22">
        <f t="shared" si="2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27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28"/>
        <v>A tiempo</v>
      </c>
      <c r="L636" s="13">
        <v>45814</v>
      </c>
      <c r="M636" s="22">
        <f t="shared" si="2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27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28"/>
        <v>A tiempo</v>
      </c>
      <c r="L637" s="13">
        <v>45831</v>
      </c>
      <c r="M637" s="22">
        <f t="shared" si="2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27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28"/>
        <v>Programados</v>
      </c>
      <c r="L638" s="13">
        <v>45813</v>
      </c>
      <c r="M638" s="22">
        <f t="shared" si="2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27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28"/>
        <v>Programados</v>
      </c>
      <c r="L639" s="13">
        <v>45813</v>
      </c>
      <c r="M639" s="22">
        <f t="shared" si="2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27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28"/>
        <v>Programados</v>
      </c>
      <c r="L640" s="13">
        <v>45813</v>
      </c>
      <c r="M640" s="22">
        <f t="shared" si="2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27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28"/>
        <v>Programados</v>
      </c>
      <c r="L641" s="13">
        <v>45813</v>
      </c>
      <c r="M641" s="22">
        <f t="shared" si="2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3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31">IF(INT(A642)=INT(F642),"A tiempo", IF(A642&lt;F642,"Mismo día","Programados"))</f>
        <v>Programados</v>
      </c>
      <c r="L642" s="13">
        <v>45813</v>
      </c>
      <c r="M642" s="22">
        <f t="shared" ref="M642:M705" si="32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3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31"/>
        <v>Programados</v>
      </c>
      <c r="L643" s="13">
        <v>45813</v>
      </c>
      <c r="M643" s="22">
        <f t="shared" si="32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3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31"/>
        <v>A tiempo</v>
      </c>
      <c r="L644" s="13">
        <v>45813</v>
      </c>
      <c r="M644" s="22">
        <f t="shared" si="32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3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31"/>
        <v>A tiempo</v>
      </c>
      <c r="L645" s="13">
        <v>45817</v>
      </c>
      <c r="M645" s="22">
        <f t="shared" si="32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3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31"/>
        <v>A tiempo</v>
      </c>
      <c r="L646" s="13">
        <v>45814</v>
      </c>
      <c r="M646" s="22">
        <f t="shared" si="32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3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31"/>
        <v>Mismo día</v>
      </c>
      <c r="L647" s="13">
        <v>45814</v>
      </c>
      <c r="M647" s="22">
        <f t="shared" si="32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3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31"/>
        <v>Programados</v>
      </c>
      <c r="L648" s="13">
        <v>45814</v>
      </c>
      <c r="M648" s="22">
        <f t="shared" si="32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3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31"/>
        <v>Programados</v>
      </c>
      <c r="L649" s="13">
        <v>45817</v>
      </c>
      <c r="M649" s="22">
        <f t="shared" si="32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3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31"/>
        <v>A tiempo</v>
      </c>
      <c r="L650" s="13">
        <v>45817</v>
      </c>
      <c r="M650" s="22">
        <f t="shared" si="32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3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31"/>
        <v>A tiempo</v>
      </c>
      <c r="L651" s="13">
        <v>45819</v>
      </c>
      <c r="M651" s="22">
        <f t="shared" si="32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3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31"/>
        <v>Programados</v>
      </c>
      <c r="L652" s="13">
        <v>45817</v>
      </c>
      <c r="M652" s="22">
        <f t="shared" si="32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3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31"/>
        <v>A tiempo</v>
      </c>
      <c r="L653" s="13">
        <v>45817</v>
      </c>
      <c r="M653" s="22">
        <f t="shared" si="32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3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31"/>
        <v>Mismo día</v>
      </c>
      <c r="L654" s="13">
        <v>45818</v>
      </c>
      <c r="M654" s="22">
        <f t="shared" si="32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3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31"/>
        <v>Programados</v>
      </c>
      <c r="L655" s="13">
        <v>45817</v>
      </c>
      <c r="M655" s="22">
        <f t="shared" si="32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3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31"/>
        <v>Programados</v>
      </c>
      <c r="L656" s="13">
        <v>45818</v>
      </c>
      <c r="M656" s="22">
        <f t="shared" si="32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3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31"/>
        <v>A tiempo</v>
      </c>
      <c r="L657" s="13">
        <v>45826</v>
      </c>
      <c r="M657" s="22">
        <f t="shared" si="32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3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31"/>
        <v>A tiempo</v>
      </c>
      <c r="L658" s="13">
        <v>45818</v>
      </c>
      <c r="M658" s="22">
        <f t="shared" si="32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3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31"/>
        <v>A tiempo</v>
      </c>
      <c r="L659" s="13">
        <v>45819</v>
      </c>
      <c r="M659" s="22">
        <f t="shared" si="32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3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31"/>
        <v>A tiempo</v>
      </c>
      <c r="L660" s="13">
        <v>45819</v>
      </c>
      <c r="M660" s="22">
        <f t="shared" si="32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3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31"/>
        <v>Programados</v>
      </c>
      <c r="L661" s="13">
        <v>45820</v>
      </c>
      <c r="M661" s="22">
        <f t="shared" si="32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3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31"/>
        <v>Programados</v>
      </c>
      <c r="L662" s="13">
        <v>45820</v>
      </c>
      <c r="M662" s="22">
        <f t="shared" si="32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3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31"/>
        <v>A tiempo</v>
      </c>
      <c r="L663" s="13">
        <v>45820</v>
      </c>
      <c r="M663" s="22">
        <f t="shared" si="32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3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31"/>
        <v>A tiempo</v>
      </c>
      <c r="L664" s="13">
        <v>45820</v>
      </c>
      <c r="M664" s="22">
        <f t="shared" si="32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3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31"/>
        <v>Programados</v>
      </c>
      <c r="L665" s="13">
        <v>45820</v>
      </c>
      <c r="M665" s="22">
        <f t="shared" si="32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3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31"/>
        <v>A tiempo</v>
      </c>
      <c r="L666" s="13">
        <v>45820</v>
      </c>
      <c r="M666" s="22">
        <f t="shared" si="32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3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31"/>
        <v>A tiempo</v>
      </c>
      <c r="L667" s="13">
        <v>45820</v>
      </c>
      <c r="M667" s="22">
        <f t="shared" si="32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3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31"/>
        <v>A tiempo</v>
      </c>
      <c r="L668" s="13">
        <v>45821</v>
      </c>
      <c r="M668" s="22">
        <f t="shared" si="32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3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31"/>
        <v>A tiempo</v>
      </c>
      <c r="L669" s="13">
        <v>45820</v>
      </c>
      <c r="M669" s="22">
        <f t="shared" si="32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3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31"/>
        <v>Mismo día</v>
      </c>
      <c r="L670" s="13">
        <v>45820</v>
      </c>
      <c r="M670" s="22">
        <f t="shared" si="32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3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31"/>
        <v>Mismo día</v>
      </c>
      <c r="L671" s="13">
        <v>45820</v>
      </c>
      <c r="M671" s="22">
        <f t="shared" si="32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3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31"/>
        <v>A tiempo</v>
      </c>
      <c r="L672" s="13">
        <v>45826</v>
      </c>
      <c r="M672" s="22">
        <f t="shared" si="32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3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31"/>
        <v>A tiempo</v>
      </c>
      <c r="L673" s="13">
        <v>45821</v>
      </c>
      <c r="M673" s="22">
        <f t="shared" si="32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3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31"/>
        <v>Programados</v>
      </c>
      <c r="L674" s="13">
        <v>45822</v>
      </c>
      <c r="M674" s="22">
        <f t="shared" si="32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3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31"/>
        <v>Programados</v>
      </c>
      <c r="L675" s="13">
        <v>45823</v>
      </c>
      <c r="M675" s="22">
        <f t="shared" si="32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3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31"/>
        <v>Programados</v>
      </c>
      <c r="L676" s="13">
        <v>45826</v>
      </c>
      <c r="M676" s="22">
        <f t="shared" si="32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3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31"/>
        <v>Programados</v>
      </c>
      <c r="L677" s="13">
        <v>45831</v>
      </c>
      <c r="M677" s="22">
        <f t="shared" si="32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3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31"/>
        <v>Programados</v>
      </c>
      <c r="L678" s="13">
        <v>45825</v>
      </c>
      <c r="M678" s="22">
        <f t="shared" si="32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3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31"/>
        <v>Programados</v>
      </c>
      <c r="L679" s="13">
        <v>45827</v>
      </c>
      <c r="M679" s="22">
        <f t="shared" si="32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3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31"/>
        <v>Programados</v>
      </c>
      <c r="L680" s="13">
        <v>45828</v>
      </c>
      <c r="M680" s="22">
        <f t="shared" si="32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3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31"/>
        <v>Programados</v>
      </c>
      <c r="L681" s="13">
        <v>45825</v>
      </c>
      <c r="M681" s="22">
        <f t="shared" si="32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3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31"/>
        <v>A tiempo</v>
      </c>
      <c r="L682" s="13">
        <v>45827</v>
      </c>
      <c r="M682" s="22">
        <f t="shared" si="32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3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31"/>
        <v>A tiempo</v>
      </c>
      <c r="L683" s="13">
        <v>45825</v>
      </c>
      <c r="M683" s="22">
        <f t="shared" si="32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3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31"/>
        <v>Mismo día</v>
      </c>
      <c r="L684" s="13">
        <v>45827</v>
      </c>
      <c r="M684" s="22">
        <f t="shared" si="32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3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31"/>
        <v>A tiempo</v>
      </c>
      <c r="L685" s="13">
        <v>45826</v>
      </c>
      <c r="M685" s="22">
        <f t="shared" si="32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3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31"/>
        <v>A tiempo</v>
      </c>
      <c r="L686" s="13">
        <v>45826</v>
      </c>
      <c r="M686" s="22">
        <f t="shared" si="32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3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31"/>
        <v>A tiempo</v>
      </c>
      <c r="L687" s="13">
        <v>45826</v>
      </c>
      <c r="M687" s="22">
        <f t="shared" si="32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3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31"/>
        <v>A tiempo</v>
      </c>
      <c r="L688" s="13">
        <v>45826</v>
      </c>
      <c r="M688" s="22">
        <f t="shared" si="32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3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31"/>
        <v>A tiempo</v>
      </c>
      <c r="L689" s="13">
        <v>45827</v>
      </c>
      <c r="M689" s="22">
        <f t="shared" si="32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3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31"/>
        <v>Programados</v>
      </c>
      <c r="L690" s="13">
        <v>45827</v>
      </c>
      <c r="M690" s="22">
        <f t="shared" si="32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3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31"/>
        <v>A tiempo</v>
      </c>
      <c r="L691" s="13">
        <v>45827</v>
      </c>
      <c r="M691" s="22">
        <f t="shared" si="32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3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31"/>
        <v>A tiempo</v>
      </c>
      <c r="L692" s="13">
        <v>45827</v>
      </c>
      <c r="M692" s="23">
        <f t="shared" si="32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3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31"/>
        <v>Programados</v>
      </c>
      <c r="L693" s="13">
        <v>45827</v>
      </c>
      <c r="M693" s="22">
        <f t="shared" si="32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3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31"/>
        <v>Programados</v>
      </c>
      <c r="L694" s="13">
        <v>45827</v>
      </c>
      <c r="M694" s="22">
        <f t="shared" si="32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3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31"/>
        <v>Programados</v>
      </c>
      <c r="L695" s="13">
        <v>45828</v>
      </c>
      <c r="M695" s="22">
        <f t="shared" si="32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3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31"/>
        <v>Programados</v>
      </c>
      <c r="L696" s="13">
        <v>45828</v>
      </c>
      <c r="M696" s="22">
        <f t="shared" si="32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3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31"/>
        <v>A tiempo</v>
      </c>
      <c r="L697" s="13">
        <v>45832</v>
      </c>
      <c r="M697" s="22">
        <f t="shared" si="32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3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31"/>
        <v>Programados</v>
      </c>
      <c r="L698" s="13">
        <v>45831</v>
      </c>
      <c r="M698" s="22">
        <f t="shared" si="32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3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31"/>
        <v>A tiempo</v>
      </c>
      <c r="L699" s="13">
        <v>45831</v>
      </c>
      <c r="M699" s="22">
        <f t="shared" si="32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3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31"/>
        <v>A tiempo</v>
      </c>
      <c r="L700" s="13">
        <v>45832</v>
      </c>
      <c r="M700" s="22">
        <f t="shared" si="32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3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31"/>
        <v>A tiempo</v>
      </c>
      <c r="L701" s="13">
        <v>45831</v>
      </c>
      <c r="M701" s="22">
        <f t="shared" si="32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3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31"/>
        <v>A tiempo</v>
      </c>
      <c r="L702" s="13">
        <v>45834</v>
      </c>
      <c r="M702" s="22">
        <f t="shared" si="32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3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31"/>
        <v>Programados</v>
      </c>
      <c r="L703" s="13">
        <v>45831</v>
      </c>
      <c r="M703" s="22">
        <f t="shared" si="32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3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31"/>
        <v>A tiempo</v>
      </c>
      <c r="L704" s="13">
        <v>45832</v>
      </c>
      <c r="M704" s="22">
        <f t="shared" si="32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3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31"/>
        <v>Programados</v>
      </c>
      <c r="L705" s="13">
        <v>45833</v>
      </c>
      <c r="M705" s="22">
        <f t="shared" si="32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33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34">IF(INT(A706)=INT(F706),"A tiempo", IF(A706&lt;F706,"Mismo día","Programados"))</f>
        <v>A tiempo</v>
      </c>
      <c r="L706" s="13">
        <v>45845</v>
      </c>
      <c r="M706" s="22">
        <f t="shared" ref="M706:M769" si="35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33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34"/>
        <v>A tiempo</v>
      </c>
      <c r="L707" s="13">
        <v>45833</v>
      </c>
      <c r="M707" s="22">
        <f t="shared" si="35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33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34"/>
        <v>A tiempo</v>
      </c>
      <c r="L708" s="13">
        <v>45833</v>
      </c>
      <c r="M708" s="22">
        <f t="shared" si="35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33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34"/>
        <v>Mismo día</v>
      </c>
      <c r="L709" s="13">
        <v>45833</v>
      </c>
      <c r="M709" s="22">
        <f t="shared" si="35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33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34"/>
        <v>Programados</v>
      </c>
      <c r="L710" s="13">
        <v>45833</v>
      </c>
      <c r="M710" s="22">
        <f t="shared" si="35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33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34"/>
        <v>A tiempo</v>
      </c>
      <c r="L711" s="13">
        <v>45838</v>
      </c>
      <c r="M711" s="22">
        <f t="shared" si="35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33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34"/>
        <v>A tiempo</v>
      </c>
      <c r="L712" s="13">
        <v>45834</v>
      </c>
      <c r="M712" s="22">
        <f t="shared" si="35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33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34"/>
        <v>Mismo día</v>
      </c>
      <c r="L713" s="13">
        <v>45834</v>
      </c>
      <c r="M713" s="22">
        <f t="shared" si="35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33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34"/>
        <v>A tiempo</v>
      </c>
      <c r="L714" s="13">
        <v>45834</v>
      </c>
      <c r="M714" s="22">
        <f t="shared" si="35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33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34"/>
        <v>A tiempo</v>
      </c>
      <c r="L715" s="13">
        <v>45834</v>
      </c>
      <c r="M715" s="22">
        <f t="shared" si="35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33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34"/>
        <v>A tiempo</v>
      </c>
      <c r="L716" s="13">
        <v>45834</v>
      </c>
      <c r="M716" s="22">
        <f t="shared" si="35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33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34"/>
        <v>A tiempo</v>
      </c>
      <c r="L717" s="13">
        <v>45835</v>
      </c>
      <c r="M717" s="22">
        <f t="shared" si="35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33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34"/>
        <v>Mismo día</v>
      </c>
      <c r="L718" s="13">
        <v>45835</v>
      </c>
      <c r="M718" s="22">
        <f t="shared" si="35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33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34"/>
        <v>Mismo día</v>
      </c>
      <c r="L719" s="13">
        <v>45838</v>
      </c>
      <c r="M719" s="22">
        <f t="shared" si="35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33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34"/>
        <v>Programados</v>
      </c>
      <c r="L720" s="13">
        <v>45838</v>
      </c>
      <c r="M720" s="22">
        <f t="shared" si="35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33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34"/>
        <v>Programados</v>
      </c>
      <c r="L721" s="13">
        <v>45838</v>
      </c>
      <c r="M721" s="22">
        <f t="shared" si="35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33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34"/>
        <v>Mismo día</v>
      </c>
      <c r="L722" s="13">
        <v>45838</v>
      </c>
      <c r="M722" s="22">
        <f t="shared" si="35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33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34"/>
        <v>Programados</v>
      </c>
      <c r="L723" s="13">
        <v>45839</v>
      </c>
      <c r="M723" s="22">
        <f t="shared" si="35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33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34"/>
        <v>A tiempo</v>
      </c>
      <c r="L724" s="13">
        <v>45840</v>
      </c>
      <c r="M724" s="22">
        <f t="shared" si="35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33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34"/>
        <v>Programados</v>
      </c>
      <c r="L725" s="13">
        <v>45841</v>
      </c>
      <c r="M725" s="22">
        <f t="shared" si="35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33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34"/>
        <v>A tiempo</v>
      </c>
      <c r="L726" s="13">
        <v>45840</v>
      </c>
      <c r="M726" s="22">
        <f t="shared" si="35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33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34"/>
        <v>A tiempo</v>
      </c>
      <c r="L727" s="13">
        <v>45840</v>
      </c>
      <c r="M727" s="22">
        <f t="shared" si="35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33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34"/>
        <v>Programados</v>
      </c>
      <c r="L728" s="13">
        <v>45840</v>
      </c>
      <c r="M728" s="22">
        <f t="shared" si="35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33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34"/>
        <v>Programados</v>
      </c>
      <c r="L729" s="13">
        <v>45842</v>
      </c>
      <c r="M729" s="22">
        <f t="shared" si="35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33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34"/>
        <v>A tiempo</v>
      </c>
      <c r="L730" s="13">
        <v>45840</v>
      </c>
      <c r="M730" s="22">
        <f t="shared" si="35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33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34"/>
        <v>Programados</v>
      </c>
      <c r="L731" s="13">
        <v>45841</v>
      </c>
      <c r="M731" s="22">
        <f t="shared" si="35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33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34"/>
        <v>Programados</v>
      </c>
      <c r="L732" s="13">
        <v>45841</v>
      </c>
      <c r="M732" s="22">
        <f t="shared" si="35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33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34"/>
        <v>Programados</v>
      </c>
      <c r="L733" s="13">
        <v>45841</v>
      </c>
      <c r="M733" s="22">
        <f t="shared" si="35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33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34"/>
        <v>Programados</v>
      </c>
      <c r="L734" s="13">
        <v>45841</v>
      </c>
      <c r="M734" s="22">
        <f t="shared" si="35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33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34"/>
        <v>Programados</v>
      </c>
      <c r="L735" s="13">
        <v>45841</v>
      </c>
      <c r="M735" s="22">
        <f t="shared" si="35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33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34"/>
        <v>Programados</v>
      </c>
      <c r="L736" s="13">
        <v>45841</v>
      </c>
      <c r="M736" s="22">
        <f t="shared" si="35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33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34"/>
        <v>Programados</v>
      </c>
      <c r="L737" s="13">
        <v>45841</v>
      </c>
      <c r="M737" s="22">
        <f t="shared" si="35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33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34"/>
        <v>Programados</v>
      </c>
      <c r="L738" s="13">
        <v>45841</v>
      </c>
      <c r="M738" s="22">
        <f t="shared" si="35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33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34"/>
        <v>A tiempo</v>
      </c>
      <c r="L739" s="13">
        <v>45842</v>
      </c>
      <c r="M739" s="22">
        <f t="shared" si="35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33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34"/>
        <v>Programados</v>
      </c>
      <c r="L740" s="13">
        <v>45842</v>
      </c>
      <c r="M740" s="22">
        <f t="shared" si="35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33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34"/>
        <v>A tiempo</v>
      </c>
      <c r="L741" s="13">
        <v>45842</v>
      </c>
      <c r="M741" s="22">
        <f t="shared" si="35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33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34"/>
        <v>Programados</v>
      </c>
      <c r="L742" s="13">
        <v>45845</v>
      </c>
      <c r="M742" s="22">
        <f t="shared" si="35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33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34"/>
        <v>A tiempo</v>
      </c>
      <c r="L743" s="13">
        <v>45845</v>
      </c>
      <c r="M743" s="22">
        <f t="shared" si="35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33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34"/>
        <v>Programados</v>
      </c>
      <c r="L744" s="13">
        <v>45845</v>
      </c>
      <c r="M744" s="22">
        <f t="shared" si="35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33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34"/>
        <v>A tiempo</v>
      </c>
      <c r="L745" s="13">
        <v>45845</v>
      </c>
      <c r="M745" s="22">
        <f t="shared" si="35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33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34"/>
        <v>Mismo día</v>
      </c>
      <c r="L746" s="13">
        <v>45845</v>
      </c>
      <c r="M746" s="22">
        <f t="shared" si="35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33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34"/>
        <v>A tiempo</v>
      </c>
      <c r="L747" s="13">
        <v>45846</v>
      </c>
      <c r="M747" s="22">
        <f t="shared" si="35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33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34"/>
        <v>A tiempo</v>
      </c>
      <c r="L748" s="13">
        <v>45846</v>
      </c>
      <c r="M748" s="22">
        <f t="shared" si="35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33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34"/>
        <v>A tiempo</v>
      </c>
      <c r="L749" s="13">
        <v>45846</v>
      </c>
      <c r="M749" s="22">
        <f t="shared" si="35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33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34"/>
        <v>Programados</v>
      </c>
      <c r="L750" s="13">
        <v>45846</v>
      </c>
      <c r="M750" s="22">
        <f t="shared" si="35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33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34"/>
        <v>A tiempo</v>
      </c>
      <c r="L751" s="13">
        <v>45847</v>
      </c>
      <c r="M751" s="22">
        <f t="shared" si="35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33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34"/>
        <v>A tiempo</v>
      </c>
      <c r="L752" s="13">
        <v>45847</v>
      </c>
      <c r="M752" s="22">
        <f t="shared" si="35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33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34"/>
        <v>A tiempo</v>
      </c>
      <c r="L753" s="13">
        <v>45847</v>
      </c>
      <c r="M753" s="22">
        <f t="shared" si="35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33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34"/>
        <v>A tiempo</v>
      </c>
      <c r="L754" s="13">
        <v>45847</v>
      </c>
      <c r="M754" s="22">
        <f t="shared" si="35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33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34"/>
        <v>Programados</v>
      </c>
      <c r="L755" s="13">
        <v>45847</v>
      </c>
      <c r="M755" s="22">
        <f t="shared" si="35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33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34"/>
        <v>A tiempo</v>
      </c>
      <c r="L756" s="13">
        <v>45847</v>
      </c>
      <c r="M756" s="22">
        <f t="shared" si="35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33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34"/>
        <v>Programados</v>
      </c>
      <c r="L757" s="13">
        <v>45849</v>
      </c>
      <c r="M757" s="22">
        <f t="shared" si="35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33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34"/>
        <v>Mismo día</v>
      </c>
      <c r="L758" s="13">
        <v>45847</v>
      </c>
      <c r="M758" s="22">
        <f t="shared" si="35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33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34"/>
        <v>Programados</v>
      </c>
      <c r="L759" s="13">
        <v>45848</v>
      </c>
      <c r="M759" s="22">
        <f t="shared" si="35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33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34"/>
        <v>A tiempo</v>
      </c>
      <c r="L760" s="13">
        <v>45848</v>
      </c>
      <c r="M760" s="22">
        <f t="shared" si="35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33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34"/>
        <v>A tiempo</v>
      </c>
      <c r="L761" s="13">
        <v>45848</v>
      </c>
      <c r="M761" s="22">
        <f t="shared" si="35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33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34"/>
        <v>A tiempo</v>
      </c>
      <c r="L762" s="13">
        <v>45848</v>
      </c>
      <c r="M762" s="22">
        <f t="shared" si="35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33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34"/>
        <v>A tiempo</v>
      </c>
      <c r="L763" s="13">
        <v>45848</v>
      </c>
      <c r="M763" s="22">
        <f t="shared" si="35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33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34"/>
        <v>A tiempo</v>
      </c>
      <c r="L764" s="13">
        <v>45848</v>
      </c>
      <c r="M764" s="22">
        <f t="shared" si="35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33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34"/>
        <v>A tiempo</v>
      </c>
      <c r="L765" s="13">
        <v>45848</v>
      </c>
      <c r="M765" s="22">
        <f t="shared" si="35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33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34"/>
        <v>A tiempo</v>
      </c>
      <c r="L766" s="13">
        <v>45848</v>
      </c>
      <c r="M766" s="22">
        <f t="shared" si="35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33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34"/>
        <v>A tiempo</v>
      </c>
      <c r="L767" s="13">
        <v>45848</v>
      </c>
      <c r="M767" s="22">
        <f t="shared" si="35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33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34"/>
        <v>Mismo día</v>
      </c>
      <c r="L768" s="13">
        <v>45849</v>
      </c>
      <c r="M768" s="22">
        <f t="shared" si="35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33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34"/>
        <v>Mismo día</v>
      </c>
      <c r="L769" s="13">
        <v>45849</v>
      </c>
      <c r="M769" s="22">
        <f t="shared" si="35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36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37">IF(INT(A770)=INT(F770),"A tiempo", IF(A770&lt;F770,"Mismo día","Programados"))</f>
        <v>Programados</v>
      </c>
      <c r="L770" s="13">
        <v>45852</v>
      </c>
      <c r="M770" s="22">
        <f t="shared" ref="M770:M833" si="38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36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37"/>
        <v>A tiempo</v>
      </c>
      <c r="L771" s="13">
        <v>45852</v>
      </c>
      <c r="M771" s="22">
        <f t="shared" si="38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36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37"/>
        <v>A tiempo</v>
      </c>
      <c r="L772" s="13">
        <v>45852</v>
      </c>
      <c r="M772" s="22">
        <f t="shared" si="38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36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37"/>
        <v>A tiempo</v>
      </c>
      <c r="L773" s="13">
        <v>45852</v>
      </c>
      <c r="M773" s="22">
        <f t="shared" si="38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36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37"/>
        <v>Mismo día</v>
      </c>
      <c r="L774" s="13">
        <v>45883</v>
      </c>
      <c r="M774" s="22">
        <f t="shared" si="38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36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37"/>
        <v>Mismo día</v>
      </c>
      <c r="L775" s="13">
        <v>45852</v>
      </c>
      <c r="M775" s="22">
        <f t="shared" si="38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36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37"/>
        <v>Programados</v>
      </c>
      <c r="L776" s="13">
        <v>45853</v>
      </c>
      <c r="M776" s="22">
        <f t="shared" si="38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36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37"/>
        <v>A tiempo</v>
      </c>
      <c r="L777" s="13">
        <v>45853</v>
      </c>
      <c r="M777" s="22">
        <f t="shared" si="38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36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37"/>
        <v>A tiempo</v>
      </c>
      <c r="L778" s="13">
        <v>45853</v>
      </c>
      <c r="M778" s="22">
        <f t="shared" si="38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36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37"/>
        <v>A tiempo</v>
      </c>
      <c r="L779" s="13">
        <v>45853</v>
      </c>
      <c r="M779" s="22">
        <f t="shared" si="38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36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37"/>
        <v>A tiempo</v>
      </c>
      <c r="L780" s="13">
        <v>45853</v>
      </c>
      <c r="M780" s="22">
        <f t="shared" si="38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36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37"/>
        <v>A tiempo</v>
      </c>
      <c r="L781" s="13">
        <v>45853</v>
      </c>
      <c r="M781" s="22">
        <f t="shared" si="38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36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37"/>
        <v>A tiempo</v>
      </c>
      <c r="L782" s="13">
        <v>45854</v>
      </c>
      <c r="M782" s="22">
        <f t="shared" si="38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36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37"/>
        <v>A tiempo</v>
      </c>
      <c r="L783" s="13">
        <v>45854</v>
      </c>
      <c r="M783" s="22">
        <f t="shared" si="38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36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37"/>
        <v>Programados</v>
      </c>
      <c r="L784" s="13">
        <v>45910</v>
      </c>
      <c r="M784" s="22">
        <f t="shared" si="38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36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37"/>
        <v>A tiempo</v>
      </c>
      <c r="L785" s="13">
        <v>45854</v>
      </c>
      <c r="M785" s="22">
        <f t="shared" si="38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36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37"/>
        <v>A tiempo</v>
      </c>
      <c r="L786" s="13">
        <v>45854</v>
      </c>
      <c r="M786" s="22">
        <f t="shared" si="38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36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37"/>
        <v>A tiempo</v>
      </c>
      <c r="L787" s="13">
        <v>45854</v>
      </c>
      <c r="M787" s="22">
        <f t="shared" si="38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36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37"/>
        <v>A tiempo</v>
      </c>
      <c r="L788" s="13">
        <v>45854</v>
      </c>
      <c r="M788" s="22">
        <f t="shared" si="38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36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37"/>
        <v>A tiempo</v>
      </c>
      <c r="L789" s="13">
        <v>45856</v>
      </c>
      <c r="M789" s="22">
        <f t="shared" si="38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36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37"/>
        <v>A tiempo</v>
      </c>
      <c r="L790" s="13">
        <v>45854</v>
      </c>
      <c r="M790" s="22">
        <f t="shared" si="38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36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37"/>
        <v>Mismo día</v>
      </c>
      <c r="L791" s="13">
        <v>45854</v>
      </c>
      <c r="M791" s="22">
        <f t="shared" si="38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36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37"/>
        <v>A tiempo</v>
      </c>
      <c r="L792" s="13">
        <v>45866</v>
      </c>
      <c r="M792" s="22">
        <f t="shared" si="38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36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37"/>
        <v>A tiempo</v>
      </c>
      <c r="L793" s="13">
        <v>45856</v>
      </c>
      <c r="M793" s="22">
        <f t="shared" si="38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36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37"/>
        <v>A tiempo</v>
      </c>
      <c r="L794" s="13">
        <v>45860</v>
      </c>
      <c r="M794" s="22">
        <f t="shared" si="38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36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37"/>
        <v>Mismo día</v>
      </c>
      <c r="L795" s="13">
        <v>45859</v>
      </c>
      <c r="M795" s="22">
        <f t="shared" si="38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36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37"/>
        <v>Programados</v>
      </c>
      <c r="L796" s="13">
        <v>45856</v>
      </c>
      <c r="M796" s="22">
        <f t="shared" si="38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36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37"/>
        <v>Programados</v>
      </c>
      <c r="L797" s="13">
        <v>45856</v>
      </c>
      <c r="M797" s="22">
        <f t="shared" si="38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36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37"/>
        <v>Programados</v>
      </c>
      <c r="L798" s="13">
        <v>45859</v>
      </c>
      <c r="M798" s="22">
        <f t="shared" si="38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36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37"/>
        <v>Mismo día</v>
      </c>
      <c r="L799" s="13">
        <v>45859</v>
      </c>
      <c r="M799" s="22">
        <f t="shared" si="38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36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37"/>
        <v>A tiempo</v>
      </c>
      <c r="L800" s="13">
        <v>45861</v>
      </c>
      <c r="M800" s="22">
        <f t="shared" si="38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36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37"/>
        <v>A tiempo</v>
      </c>
      <c r="L801" s="13">
        <v>45860</v>
      </c>
      <c r="M801" s="22">
        <f t="shared" si="38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36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37"/>
        <v>Mismo día</v>
      </c>
      <c r="L802" s="13">
        <v>45860</v>
      </c>
      <c r="M802" s="22">
        <f t="shared" si="38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36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37"/>
        <v>A tiempo</v>
      </c>
      <c r="L803" s="13">
        <v>45861</v>
      </c>
      <c r="M803" s="22">
        <f t="shared" si="38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36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37"/>
        <v>A tiempo</v>
      </c>
      <c r="L804" s="13">
        <v>45861</v>
      </c>
      <c r="M804" s="22">
        <f t="shared" si="38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36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37"/>
        <v>A tiempo</v>
      </c>
      <c r="L805" s="13">
        <v>45861</v>
      </c>
      <c r="M805" s="22">
        <f t="shared" si="38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36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37"/>
        <v>A tiempo</v>
      </c>
      <c r="L806" s="13">
        <v>45861</v>
      </c>
      <c r="M806" s="22">
        <f t="shared" si="38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36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37"/>
        <v>A tiempo</v>
      </c>
      <c r="L807" s="13">
        <v>45861</v>
      </c>
      <c r="M807" s="22">
        <f t="shared" si="38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36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37"/>
        <v>A tiempo</v>
      </c>
      <c r="L808" s="13">
        <v>45861</v>
      </c>
      <c r="M808" s="22">
        <f t="shared" si="38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36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37"/>
        <v>A tiempo</v>
      </c>
      <c r="L809" s="13">
        <v>45861</v>
      </c>
      <c r="M809" s="22">
        <f t="shared" si="38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36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37"/>
        <v>Mismo día</v>
      </c>
      <c r="L810" s="13">
        <v>45861</v>
      </c>
      <c r="M810" s="22">
        <f t="shared" si="38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36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37"/>
        <v>A tiempo</v>
      </c>
      <c r="L811" s="13">
        <v>45862</v>
      </c>
      <c r="M811" s="22">
        <f t="shared" si="38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36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37"/>
        <v>Programados</v>
      </c>
      <c r="L812" s="13">
        <v>45862</v>
      </c>
      <c r="M812" s="22">
        <f t="shared" si="38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36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37"/>
        <v>A tiempo</v>
      </c>
      <c r="L813" s="13">
        <v>45863</v>
      </c>
      <c r="M813" s="22">
        <f t="shared" si="38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36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37"/>
        <v>A tiempo</v>
      </c>
      <c r="L814" s="13">
        <v>45863</v>
      </c>
      <c r="M814" s="22">
        <f t="shared" si="38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36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37"/>
        <v>A tiempo</v>
      </c>
      <c r="L815" s="13">
        <v>45863</v>
      </c>
      <c r="M815" s="22">
        <f t="shared" si="38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36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37"/>
        <v>Programados</v>
      </c>
      <c r="L816" s="13">
        <v>45863</v>
      </c>
      <c r="M816" s="22">
        <f t="shared" si="38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36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37"/>
        <v>Mismo día</v>
      </c>
      <c r="L817" s="13">
        <v>45863</v>
      </c>
      <c r="M817" s="22">
        <f t="shared" si="38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36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37"/>
        <v>Programados</v>
      </c>
      <c r="L818" s="13">
        <v>45866</v>
      </c>
      <c r="M818" s="22">
        <f t="shared" si="38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36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37"/>
        <v>A tiempo</v>
      </c>
      <c r="L819" s="13">
        <v>45866</v>
      </c>
      <c r="M819" s="22">
        <f t="shared" si="38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36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37"/>
        <v>A tiempo</v>
      </c>
      <c r="L820" s="13">
        <v>45866</v>
      </c>
      <c r="M820" s="22">
        <f t="shared" si="38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36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37"/>
        <v>A tiempo</v>
      </c>
      <c r="L821" s="13">
        <v>45866</v>
      </c>
      <c r="M821" s="23">
        <f t="shared" si="38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36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37"/>
        <v>A tiempo</v>
      </c>
      <c r="L822" s="13">
        <v>45866</v>
      </c>
      <c r="M822" s="22">
        <f t="shared" si="38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36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37"/>
        <v>A tiempo</v>
      </c>
      <c r="L823" s="13">
        <v>45867</v>
      </c>
      <c r="M823" s="22">
        <f t="shared" si="38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36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37"/>
        <v>A tiempo</v>
      </c>
      <c r="L824" s="13">
        <v>45867</v>
      </c>
      <c r="M824" s="22">
        <f t="shared" si="38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36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37"/>
        <v>A tiempo</v>
      </c>
      <c r="L825" s="13">
        <v>45867</v>
      </c>
      <c r="M825" s="22">
        <f t="shared" si="38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36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37"/>
        <v>Programados</v>
      </c>
      <c r="L826" s="13">
        <v>45868</v>
      </c>
      <c r="M826" s="22">
        <f t="shared" si="38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36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37"/>
        <v>Programados</v>
      </c>
      <c r="L827" s="13">
        <v>45868</v>
      </c>
      <c r="M827" s="22">
        <f t="shared" si="38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36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37"/>
        <v>Programados</v>
      </c>
      <c r="L828" s="13">
        <v>45869</v>
      </c>
      <c r="M828" s="22">
        <f t="shared" si="38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36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37"/>
        <v>Programados</v>
      </c>
      <c r="L829" s="13">
        <v>45869</v>
      </c>
      <c r="M829" s="22">
        <f t="shared" si="38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36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37"/>
        <v>Programados</v>
      </c>
      <c r="L830" s="13">
        <v>45868</v>
      </c>
      <c r="M830" s="22">
        <f t="shared" si="38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36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37"/>
        <v>A tiempo</v>
      </c>
      <c r="L831" s="13">
        <v>45868</v>
      </c>
      <c r="M831" s="22">
        <f t="shared" si="38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36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37"/>
        <v>A tiempo</v>
      </c>
      <c r="L832" s="13">
        <v>45868</v>
      </c>
      <c r="M832" s="22">
        <f t="shared" si="38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36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37"/>
        <v>A tiempo</v>
      </c>
      <c r="L833" s="13">
        <v>45868</v>
      </c>
      <c r="M833" s="22">
        <f t="shared" si="38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39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40">IF(INT(A834)=INT(F834),"A tiempo", IF(A834&lt;F834,"Mismo día","Programados"))</f>
        <v>Programados</v>
      </c>
      <c r="L834" s="13">
        <v>45868</v>
      </c>
      <c r="M834" s="22">
        <f t="shared" ref="M834:M897" si="41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39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40"/>
        <v>A tiempo</v>
      </c>
      <c r="L835" s="13">
        <v>45868</v>
      </c>
      <c r="M835" s="22">
        <f t="shared" si="41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39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40"/>
        <v>A tiempo</v>
      </c>
      <c r="L836" s="13">
        <v>45868</v>
      </c>
      <c r="M836" s="22">
        <f t="shared" si="41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39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40"/>
        <v>Programados</v>
      </c>
      <c r="L837" s="13">
        <v>45868</v>
      </c>
      <c r="M837" s="22">
        <f t="shared" si="41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39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40"/>
        <v>A tiempo</v>
      </c>
      <c r="L838" s="13">
        <v>45869</v>
      </c>
      <c r="M838" s="22">
        <f t="shared" si="41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39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40"/>
        <v>Programados</v>
      </c>
      <c r="L839" s="13">
        <v>45868</v>
      </c>
      <c r="M839" s="22">
        <f t="shared" si="41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39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40"/>
        <v>A tiempo</v>
      </c>
      <c r="L840" s="13">
        <v>45869</v>
      </c>
      <c r="M840" s="22">
        <f t="shared" si="41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39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40"/>
        <v>A tiempo</v>
      </c>
      <c r="L841" s="13">
        <v>45870</v>
      </c>
      <c r="M841" s="22">
        <f t="shared" si="41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39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40"/>
        <v>A tiempo</v>
      </c>
      <c r="L842" s="13">
        <v>45870</v>
      </c>
      <c r="M842" s="22">
        <f t="shared" si="41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39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40"/>
        <v>Programados</v>
      </c>
      <c r="L843" s="13">
        <v>45873</v>
      </c>
      <c r="M843" s="22">
        <f t="shared" si="41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39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40"/>
        <v>Programados</v>
      </c>
      <c r="L844" s="13">
        <v>45873</v>
      </c>
      <c r="M844" s="22">
        <f t="shared" si="41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39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40"/>
        <v>Programados</v>
      </c>
      <c r="L845" s="13">
        <v>45873</v>
      </c>
      <c r="M845" s="22">
        <f t="shared" si="41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39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40"/>
        <v>Programados</v>
      </c>
      <c r="L846" s="13">
        <v>45873</v>
      </c>
      <c r="M846" s="22">
        <f t="shared" si="41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39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40"/>
        <v>Programados</v>
      </c>
      <c r="L847" s="13">
        <v>45873</v>
      </c>
      <c r="M847" s="22">
        <f t="shared" si="41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39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40"/>
        <v>Programados</v>
      </c>
      <c r="L848" s="13">
        <v>45873</v>
      </c>
      <c r="M848" s="22">
        <f t="shared" si="41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39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40"/>
        <v>Programados</v>
      </c>
      <c r="L849" s="13">
        <v>45873</v>
      </c>
      <c r="M849" s="22">
        <f t="shared" si="41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39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40"/>
        <v>Mismo día</v>
      </c>
      <c r="L850" s="13">
        <v>45873</v>
      </c>
      <c r="M850" s="22">
        <f t="shared" si="41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39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40"/>
        <v>Programados</v>
      </c>
      <c r="L851" s="13">
        <v>45873</v>
      </c>
      <c r="M851" s="22">
        <f t="shared" si="41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39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40"/>
        <v>A tiempo</v>
      </c>
      <c r="L852" s="13">
        <v>45874</v>
      </c>
      <c r="M852" s="22">
        <f t="shared" si="41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39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40"/>
        <v>A tiempo</v>
      </c>
      <c r="L853" s="13">
        <v>45874</v>
      </c>
      <c r="M853" s="22">
        <f t="shared" si="41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39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40"/>
        <v>A tiempo</v>
      </c>
      <c r="L854" s="13">
        <v>45874</v>
      </c>
      <c r="M854" s="22">
        <f t="shared" si="41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39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40"/>
        <v>A tiempo</v>
      </c>
      <c r="L855" s="13">
        <v>45874</v>
      </c>
      <c r="M855" s="22">
        <f t="shared" si="41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39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40"/>
        <v>A tiempo</v>
      </c>
      <c r="L856" s="13">
        <v>45874</v>
      </c>
      <c r="M856" s="22">
        <f t="shared" si="41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39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40"/>
        <v>Mismo día</v>
      </c>
      <c r="L857" s="13">
        <v>45874</v>
      </c>
      <c r="M857" s="22">
        <f t="shared" si="41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39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40"/>
        <v>A tiempo</v>
      </c>
      <c r="L858" s="13">
        <v>45875</v>
      </c>
      <c r="M858" s="22">
        <f t="shared" si="41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39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40"/>
        <v>Programados</v>
      </c>
      <c r="L859" s="13">
        <v>45875</v>
      </c>
      <c r="M859" s="22">
        <f t="shared" si="41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39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40"/>
        <v>A tiempo</v>
      </c>
      <c r="L860" s="13">
        <v>45875</v>
      </c>
      <c r="M860" s="22">
        <f t="shared" si="41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39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40"/>
        <v>A tiempo</v>
      </c>
      <c r="L861" s="13">
        <v>45875</v>
      </c>
      <c r="M861" s="22">
        <f t="shared" si="41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39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40"/>
        <v>A tiempo</v>
      </c>
      <c r="L862" s="13">
        <v>45875</v>
      </c>
      <c r="M862" s="22">
        <f t="shared" si="41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39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40"/>
        <v>A tiempo</v>
      </c>
      <c r="L863" s="13">
        <v>45875</v>
      </c>
      <c r="M863" s="22">
        <f t="shared" si="41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39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40"/>
        <v>Mismo día</v>
      </c>
      <c r="L864" s="13">
        <v>45875</v>
      </c>
      <c r="M864" s="22">
        <f t="shared" si="41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39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40"/>
        <v>A tiempo</v>
      </c>
      <c r="L865" s="13">
        <v>45877</v>
      </c>
      <c r="M865" s="22">
        <f t="shared" si="41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39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40"/>
        <v>Mismo día</v>
      </c>
      <c r="L866" s="13">
        <v>45876</v>
      </c>
      <c r="M866" s="22">
        <f t="shared" si="41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39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40"/>
        <v>Programados</v>
      </c>
      <c r="L867" s="13">
        <v>45877</v>
      </c>
      <c r="M867" s="22">
        <f t="shared" si="41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39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40"/>
        <v>Programados</v>
      </c>
      <c r="L868" s="13">
        <v>45877</v>
      </c>
      <c r="M868" s="22">
        <f t="shared" si="41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39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40"/>
        <v>A tiempo</v>
      </c>
      <c r="L869" s="13">
        <v>45877</v>
      </c>
      <c r="M869" s="22">
        <f t="shared" si="41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39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40"/>
        <v>A tiempo</v>
      </c>
      <c r="L870" s="13">
        <v>45880</v>
      </c>
      <c r="M870" s="22">
        <f t="shared" si="41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39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40"/>
        <v>A tiempo</v>
      </c>
      <c r="L871" s="13">
        <v>45877</v>
      </c>
      <c r="M871" s="22">
        <f t="shared" si="41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39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40"/>
        <v>Programados</v>
      </c>
      <c r="L872" s="13">
        <v>45877</v>
      </c>
      <c r="M872" s="22">
        <f t="shared" si="41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39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40"/>
        <v>Programados</v>
      </c>
      <c r="L873" s="13">
        <v>45880</v>
      </c>
      <c r="M873" s="22">
        <f t="shared" si="41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39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40"/>
        <v>A tiempo</v>
      </c>
      <c r="L874" s="13">
        <v>45880</v>
      </c>
      <c r="M874" s="22">
        <f t="shared" si="41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39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40"/>
        <v>A tiempo</v>
      </c>
      <c r="L875" s="13">
        <v>45880</v>
      </c>
      <c r="M875" s="22">
        <f t="shared" si="41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39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40"/>
        <v>Programados</v>
      </c>
      <c r="L876" s="13">
        <v>45880</v>
      </c>
      <c r="M876" s="22">
        <f t="shared" si="41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39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40"/>
        <v>A tiempo</v>
      </c>
      <c r="L877" s="13">
        <v>45881</v>
      </c>
      <c r="M877" s="22">
        <f t="shared" si="41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39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40"/>
        <v>A tiempo</v>
      </c>
      <c r="L878" s="13">
        <v>45881</v>
      </c>
      <c r="M878" s="22">
        <f t="shared" si="41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39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40"/>
        <v>A tiempo</v>
      </c>
      <c r="L879" s="13">
        <v>45881</v>
      </c>
      <c r="M879" s="22">
        <f t="shared" si="41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39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40"/>
        <v>A tiempo</v>
      </c>
      <c r="L880" s="13">
        <v>45881</v>
      </c>
      <c r="M880" s="22">
        <f t="shared" si="41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39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40"/>
        <v>A tiempo</v>
      </c>
      <c r="L881" s="13">
        <v>45881</v>
      </c>
      <c r="M881" s="22">
        <f t="shared" si="41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39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40"/>
        <v>Mismo día</v>
      </c>
      <c r="L882" s="13">
        <v>45881</v>
      </c>
      <c r="M882" s="22">
        <f t="shared" si="41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39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40"/>
        <v>Mismo día</v>
      </c>
      <c r="L883" s="13">
        <v>45881</v>
      </c>
      <c r="M883" s="22">
        <f t="shared" si="41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39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40"/>
        <v>A tiempo</v>
      </c>
      <c r="L884" s="13">
        <v>45882</v>
      </c>
      <c r="M884" s="22">
        <f t="shared" si="41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39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40"/>
        <v>A tiempo</v>
      </c>
      <c r="L885" s="13">
        <v>45882</v>
      </c>
      <c r="M885" s="22">
        <f t="shared" si="41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39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40"/>
        <v>A tiempo</v>
      </c>
      <c r="L886" s="13">
        <v>45882</v>
      </c>
      <c r="M886" s="22">
        <f t="shared" si="41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39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40"/>
        <v>A tiempo</v>
      </c>
      <c r="L887" s="13">
        <v>45882</v>
      </c>
      <c r="M887" s="22">
        <f t="shared" si="41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39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40"/>
        <v>A tiempo</v>
      </c>
      <c r="L888" s="13">
        <v>45883</v>
      </c>
      <c r="M888" s="22">
        <f t="shared" si="41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39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40"/>
        <v>A tiempo</v>
      </c>
      <c r="L889" s="13">
        <v>45883</v>
      </c>
      <c r="M889" s="22">
        <f t="shared" si="41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39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40"/>
        <v>A tiempo</v>
      </c>
      <c r="L890" s="13">
        <v>45883</v>
      </c>
      <c r="M890" s="22">
        <f t="shared" si="41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39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40"/>
        <v>A tiempo</v>
      </c>
      <c r="L891" s="13">
        <v>45884</v>
      </c>
      <c r="M891" s="22">
        <f t="shared" si="41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39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40"/>
        <v>Programados</v>
      </c>
      <c r="L892" s="13">
        <v>45884</v>
      </c>
      <c r="M892" s="22">
        <f t="shared" si="41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39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40"/>
        <v>Mismo día</v>
      </c>
      <c r="L893" s="13">
        <v>45883</v>
      </c>
      <c r="M893" s="22">
        <f t="shared" si="41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39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40"/>
        <v>Programados</v>
      </c>
      <c r="L894" s="13">
        <v>45884</v>
      </c>
      <c r="M894" s="22">
        <f t="shared" si="41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39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40"/>
        <v>Programados</v>
      </c>
      <c r="L895" s="13">
        <v>45887</v>
      </c>
      <c r="M895" s="22">
        <f t="shared" si="41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39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40"/>
        <v>Programados</v>
      </c>
      <c r="L896" s="13">
        <v>45887</v>
      </c>
      <c r="M896" s="22">
        <f t="shared" si="41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39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40"/>
        <v>Programados</v>
      </c>
      <c r="L897" s="13">
        <v>45887</v>
      </c>
      <c r="M897" s="22">
        <f t="shared" si="41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42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43">IF(INT(A898)=INT(F898),"A tiempo", IF(A898&lt;F898,"Mismo día","Programados"))</f>
        <v>Programados</v>
      </c>
      <c r="L898" s="13">
        <v>45887</v>
      </c>
      <c r="M898" s="22">
        <f t="shared" ref="M898:M961" si="4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42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43"/>
        <v>A tiempo</v>
      </c>
      <c r="L899" s="13">
        <v>45887</v>
      </c>
      <c r="M899" s="22">
        <f t="shared" si="4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42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43"/>
        <v>A tiempo</v>
      </c>
      <c r="L900" s="13">
        <v>45887</v>
      </c>
      <c r="M900" s="22">
        <f t="shared" si="4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42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43"/>
        <v>Programados</v>
      </c>
      <c r="L901" s="13">
        <v>45887</v>
      </c>
      <c r="M901" s="22">
        <f t="shared" si="4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42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43"/>
        <v>Mismo día</v>
      </c>
      <c r="L902" s="13">
        <v>45887</v>
      </c>
      <c r="M902" s="22">
        <f t="shared" si="4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42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43"/>
        <v>A tiempo</v>
      </c>
      <c r="L903" s="13">
        <v>45888</v>
      </c>
      <c r="M903" s="22">
        <f t="shared" si="4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42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43"/>
        <v>A tiempo</v>
      </c>
      <c r="L904" s="13">
        <v>45888</v>
      </c>
      <c r="M904" s="22">
        <f t="shared" si="4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42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43"/>
        <v>A tiempo</v>
      </c>
      <c r="L905" s="13">
        <v>45888</v>
      </c>
      <c r="M905" s="22">
        <f t="shared" si="4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42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43"/>
        <v>A tiempo</v>
      </c>
      <c r="L906" s="13">
        <v>45889</v>
      </c>
      <c r="M906" s="22">
        <f t="shared" si="4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42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43"/>
        <v>A tiempo</v>
      </c>
      <c r="L907" s="13">
        <v>45888</v>
      </c>
      <c r="M907" s="22">
        <f t="shared" si="4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42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43"/>
        <v>A tiempo</v>
      </c>
      <c r="L908" s="13">
        <v>45888</v>
      </c>
      <c r="M908" s="22">
        <f t="shared" si="4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42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43"/>
        <v>Mismo día</v>
      </c>
      <c r="L909" s="13">
        <v>45888</v>
      </c>
      <c r="M909" s="22">
        <f t="shared" si="4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42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43"/>
        <v>A tiempo</v>
      </c>
      <c r="L910" s="13">
        <v>45889</v>
      </c>
      <c r="M910" s="22">
        <f t="shared" si="4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42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43"/>
        <v>A tiempo</v>
      </c>
      <c r="L911" s="13">
        <v>45889</v>
      </c>
      <c r="M911" s="22">
        <f t="shared" si="4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42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43"/>
        <v>A tiempo</v>
      </c>
      <c r="L912" s="13">
        <v>45889</v>
      </c>
      <c r="M912" s="22">
        <f t="shared" si="4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42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43"/>
        <v>A tiempo</v>
      </c>
      <c r="L913" s="13">
        <v>45890</v>
      </c>
      <c r="M913" s="22">
        <f t="shared" si="4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42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43"/>
        <v>A tiempo</v>
      </c>
      <c r="L914" s="13">
        <v>45889</v>
      </c>
      <c r="M914" s="22">
        <f t="shared" si="4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42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43"/>
        <v>A tiempo</v>
      </c>
      <c r="L915" s="13">
        <v>45890</v>
      </c>
      <c r="M915" s="22">
        <f t="shared" si="4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42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43"/>
        <v>Mismo día</v>
      </c>
      <c r="L916" s="13">
        <v>45890</v>
      </c>
      <c r="M916" s="22">
        <f t="shared" si="4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42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43"/>
        <v>Programados</v>
      </c>
      <c r="L917" s="13">
        <v>45891</v>
      </c>
      <c r="M917" s="22">
        <f t="shared" si="4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42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43"/>
        <v>Programados</v>
      </c>
      <c r="L918" s="13">
        <v>45891</v>
      </c>
      <c r="M918" s="22">
        <f t="shared" si="4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42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43"/>
        <v>Programados</v>
      </c>
      <c r="L919" s="13">
        <v>45891</v>
      </c>
      <c r="M919" s="22">
        <f t="shared" si="4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42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43"/>
        <v>A tiempo</v>
      </c>
      <c r="L920" s="13">
        <v>45894</v>
      </c>
      <c r="M920" s="22">
        <f t="shared" si="4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42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43"/>
        <v>Programados</v>
      </c>
      <c r="L921" s="13">
        <v>45894</v>
      </c>
      <c r="M921" s="22">
        <f t="shared" si="4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42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43"/>
        <v>A tiempo</v>
      </c>
      <c r="L922" s="13">
        <v>45894</v>
      </c>
      <c r="M922" s="22">
        <f t="shared" si="4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42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43"/>
        <v>A tiempo</v>
      </c>
      <c r="L923" s="13">
        <v>45894</v>
      </c>
      <c r="M923" s="22">
        <f t="shared" si="4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42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43"/>
        <v>A tiempo</v>
      </c>
      <c r="L924" s="13">
        <v>45894</v>
      </c>
      <c r="M924" s="22">
        <f t="shared" si="4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42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43"/>
        <v>Programados</v>
      </c>
      <c r="L925" s="13">
        <v>45894</v>
      </c>
      <c r="M925" s="22">
        <f t="shared" si="4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42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43"/>
        <v>A tiempo</v>
      </c>
      <c r="L926" s="13">
        <v>45895</v>
      </c>
      <c r="M926" s="22">
        <f t="shared" si="4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42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43"/>
        <v>A tiempo</v>
      </c>
      <c r="L927" s="13">
        <v>45895</v>
      </c>
      <c r="M927" s="22">
        <f t="shared" si="4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42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43"/>
        <v>A tiempo</v>
      </c>
      <c r="L928" s="13">
        <v>45895</v>
      </c>
      <c r="M928" s="22">
        <f t="shared" si="4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42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43"/>
        <v>A tiempo</v>
      </c>
      <c r="L929" s="13">
        <v>45895</v>
      </c>
      <c r="M929" s="22">
        <f t="shared" si="4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42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43"/>
        <v>A tiempo</v>
      </c>
      <c r="L930" s="13">
        <v>45896</v>
      </c>
      <c r="M930" s="22">
        <f t="shared" si="4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42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43"/>
        <v>A tiempo</v>
      </c>
      <c r="L931" s="13">
        <v>45896</v>
      </c>
      <c r="M931" s="22">
        <f t="shared" si="4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42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43"/>
        <v>A tiempo</v>
      </c>
      <c r="L932" s="13">
        <v>45896</v>
      </c>
      <c r="M932" s="22">
        <f t="shared" si="4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42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43"/>
        <v>Programados</v>
      </c>
      <c r="L933" s="13">
        <v>45896</v>
      </c>
      <c r="M933" s="22">
        <f t="shared" si="4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42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43"/>
        <v>A tiempo</v>
      </c>
      <c r="L934" s="13">
        <v>45896</v>
      </c>
      <c r="M934" s="22">
        <f t="shared" si="4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42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43"/>
        <v>A tiempo</v>
      </c>
      <c r="L935" s="13">
        <v>45897</v>
      </c>
      <c r="M935" s="22">
        <f t="shared" si="4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42"/>
        <v>35</v>
      </c>
      <c r="I936" s="20">
        <f>MAX(1, NETWORKDAYS(A936, G936,Table2[Dias no laborales]))</f>
        <v>1</v>
      </c>
      <c r="J936" s="7" t="str">
        <f>IF(Table1[[#This Row],[FIN]]="","Acumulado",IF(ISNUMBER(SEARCH("ASAP",C936)),"ASAP",IF(NETWORKDAYS.INTL(F936,G936,1,Table2[Dias no laborales]) &lt;= 7, "Dentro", IF(A936&gt;F936,"Programado","Fuera"))))</f>
        <v>Acumulado</v>
      </c>
      <c r="K936" s="7" t="str">
        <f t="shared" si="43"/>
        <v>A tiempo</v>
      </c>
      <c r="L936" s="13">
        <v>45897</v>
      </c>
      <c r="M936" s="22">
        <f t="shared" si="4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42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43"/>
        <v>A tiempo</v>
      </c>
      <c r="L937" s="13">
        <v>45897</v>
      </c>
      <c r="M937" s="22">
        <f t="shared" si="4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42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43"/>
        <v>A tiempo</v>
      </c>
      <c r="L938" s="13">
        <v>45897</v>
      </c>
      <c r="M938" s="22">
        <f t="shared" si="4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42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43"/>
        <v>A tiempo</v>
      </c>
      <c r="L939" s="13">
        <v>45897</v>
      </c>
      <c r="M939" s="22">
        <f t="shared" si="4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42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43"/>
        <v>A tiempo</v>
      </c>
      <c r="L940" s="13">
        <v>45898</v>
      </c>
      <c r="M940" s="22">
        <f t="shared" si="4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42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43"/>
        <v>A tiempo</v>
      </c>
      <c r="L941" s="13">
        <v>45898</v>
      </c>
      <c r="M941" s="23">
        <f t="shared" si="4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42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43"/>
        <v>Programados</v>
      </c>
      <c r="L942" s="13">
        <v>45875</v>
      </c>
      <c r="M942" s="22">
        <f t="shared" si="4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42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43"/>
        <v>A tiempo</v>
      </c>
      <c r="L943" s="13">
        <v>45901</v>
      </c>
      <c r="M943" s="22">
        <f t="shared" si="4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42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43"/>
        <v>Programados</v>
      </c>
      <c r="L944" s="13">
        <v>45901</v>
      </c>
      <c r="M944" s="22">
        <f t="shared" si="4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42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43"/>
        <v>Programados</v>
      </c>
      <c r="L945" s="13">
        <v>45901</v>
      </c>
      <c r="M945" s="22">
        <f t="shared" si="4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42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43"/>
        <v>Mismo día</v>
      </c>
      <c r="L946" s="13">
        <v>45901</v>
      </c>
      <c r="M946" s="22">
        <f t="shared" si="4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42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43"/>
        <v>A tiempo</v>
      </c>
      <c r="L947" s="13">
        <v>45902</v>
      </c>
      <c r="M947" s="22">
        <f t="shared" si="4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42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43"/>
        <v>Programados</v>
      </c>
      <c r="L948" s="13">
        <v>45902</v>
      </c>
      <c r="M948" s="22">
        <f t="shared" si="4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42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43"/>
        <v>Programados</v>
      </c>
      <c r="L949" s="13">
        <v>45902</v>
      </c>
      <c r="M949" s="22">
        <f t="shared" si="4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42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43"/>
        <v>Programados</v>
      </c>
      <c r="L950" s="13">
        <v>45902</v>
      </c>
      <c r="M950" s="22">
        <f t="shared" si="4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42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43"/>
        <v>Programados</v>
      </c>
      <c r="L951" s="13">
        <v>45902</v>
      </c>
      <c r="M951" s="22">
        <f t="shared" si="4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42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43"/>
        <v>Programados</v>
      </c>
      <c r="L952" s="13">
        <v>45902</v>
      </c>
      <c r="M952" s="22">
        <f t="shared" si="4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42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43"/>
        <v>Programados</v>
      </c>
      <c r="L953" s="13">
        <v>45902</v>
      </c>
      <c r="M953" s="22">
        <f t="shared" si="4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42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43"/>
        <v>A tiempo</v>
      </c>
      <c r="L954" s="13">
        <v>45903</v>
      </c>
      <c r="M954" s="22">
        <f t="shared" si="4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42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43"/>
        <v>A tiempo</v>
      </c>
      <c r="L955" s="13">
        <v>45903</v>
      </c>
      <c r="M955" s="22">
        <f t="shared" si="4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42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43"/>
        <v>A tiempo</v>
      </c>
      <c r="L956" s="13">
        <v>45903</v>
      </c>
      <c r="M956" s="22">
        <f t="shared" si="4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42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43"/>
        <v>Mismo día</v>
      </c>
      <c r="L957" s="13">
        <v>45903</v>
      </c>
      <c r="M957" s="22">
        <f t="shared" si="4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42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43"/>
        <v>A tiempo</v>
      </c>
      <c r="L958" s="13">
        <v>45904</v>
      </c>
      <c r="M958" s="22">
        <f t="shared" si="4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42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43"/>
        <v>A tiempo</v>
      </c>
      <c r="L959" s="13">
        <v>45904</v>
      </c>
      <c r="M959" s="22">
        <f t="shared" si="4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42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43"/>
        <v>A tiempo</v>
      </c>
      <c r="L960" s="13">
        <v>45904</v>
      </c>
      <c r="M960" s="22">
        <f t="shared" si="4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42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43"/>
        <v>A tiempo</v>
      </c>
      <c r="L961" s="13">
        <v>45905</v>
      </c>
      <c r="M961" s="22">
        <f t="shared" si="4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45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46">IF(INT(A962)=INT(F962),"A tiempo", IF(A962&lt;F962,"Mismo día","Programados"))</f>
        <v>A tiempo</v>
      </c>
      <c r="L962" s="13">
        <v>45905</v>
      </c>
      <c r="M962" s="22">
        <f t="shared" ref="M962:M1025" si="47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45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46"/>
        <v>A tiempo</v>
      </c>
      <c r="L963" s="13">
        <v>45905</v>
      </c>
      <c r="M963" s="22">
        <f t="shared" si="47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45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46"/>
        <v>Programados</v>
      </c>
      <c r="L964" s="13">
        <v>45905</v>
      </c>
      <c r="M964" s="22">
        <f t="shared" si="47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45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46"/>
        <v>A tiempo</v>
      </c>
      <c r="L965" s="13">
        <v>45908</v>
      </c>
      <c r="M965" s="22">
        <f t="shared" si="47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45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46"/>
        <v>Programados</v>
      </c>
      <c r="L966" s="13">
        <v>45908</v>
      </c>
      <c r="M966" s="22">
        <f t="shared" si="47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45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46"/>
        <v>A tiempo</v>
      </c>
      <c r="L967" s="13">
        <v>45908</v>
      </c>
      <c r="M967" s="22">
        <f t="shared" si="47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45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46"/>
        <v>A tiempo</v>
      </c>
      <c r="L968" s="13">
        <v>45908</v>
      </c>
      <c r="M968" s="22">
        <f t="shared" si="47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45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46"/>
        <v>Programados</v>
      </c>
      <c r="L969" s="13">
        <v>45908</v>
      </c>
      <c r="M969" s="22">
        <f t="shared" si="47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45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46"/>
        <v>A tiempo</v>
      </c>
      <c r="L970" s="13">
        <v>45908</v>
      </c>
      <c r="M970" s="22">
        <f t="shared" si="47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45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46"/>
        <v>A tiempo</v>
      </c>
      <c r="L971" s="13">
        <v>45908</v>
      </c>
      <c r="M971" s="22">
        <f t="shared" si="47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45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46"/>
        <v>A tiempo</v>
      </c>
      <c r="L972" s="13">
        <v>45909</v>
      </c>
      <c r="M972" s="22">
        <f t="shared" si="47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45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46"/>
        <v>A tiempo</v>
      </c>
      <c r="L973" s="13">
        <v>45908</v>
      </c>
      <c r="M973" s="22">
        <f t="shared" si="47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45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46"/>
        <v>A tiempo</v>
      </c>
      <c r="L974" s="13">
        <v>45908</v>
      </c>
      <c r="M974" s="22">
        <f t="shared" si="47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45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46"/>
        <v>A tiempo</v>
      </c>
      <c r="L975" s="13">
        <v>45908</v>
      </c>
      <c r="M975" s="22">
        <f t="shared" si="47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45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46"/>
        <v>Programados</v>
      </c>
      <c r="L976" s="13">
        <v>45910</v>
      </c>
      <c r="M976" s="22">
        <f t="shared" si="47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45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46"/>
        <v>Programados</v>
      </c>
      <c r="L977" s="13">
        <v>45864</v>
      </c>
      <c r="M977" s="22">
        <f t="shared" si="47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45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46"/>
        <v>A tiempo</v>
      </c>
      <c r="L978" s="13">
        <v>45909</v>
      </c>
      <c r="M978" s="22">
        <f t="shared" si="47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45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46"/>
        <v>Programados</v>
      </c>
      <c r="L979" s="13">
        <v>45910</v>
      </c>
      <c r="M979" s="22">
        <f t="shared" si="47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45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46"/>
        <v>Programados</v>
      </c>
      <c r="L980" s="13">
        <v>45910</v>
      </c>
      <c r="M980" s="22">
        <f t="shared" si="47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45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46"/>
        <v>A tiempo</v>
      </c>
      <c r="L981" s="13">
        <v>45910</v>
      </c>
      <c r="M981" s="22">
        <f t="shared" si="47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45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46"/>
        <v>A tiempo</v>
      </c>
      <c r="L982" s="13">
        <v>45910</v>
      </c>
      <c r="M982" s="22">
        <f t="shared" si="47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45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46"/>
        <v>A tiempo</v>
      </c>
      <c r="L983" s="13">
        <v>45910</v>
      </c>
      <c r="M983" s="22">
        <f t="shared" si="47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45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46"/>
        <v>A tiempo</v>
      </c>
      <c r="L984" s="13">
        <v>45910</v>
      </c>
      <c r="M984" s="22">
        <f t="shared" si="47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45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46"/>
        <v>A tiempo</v>
      </c>
      <c r="L985" s="13">
        <v>45910</v>
      </c>
      <c r="M985" s="22">
        <f t="shared" si="47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45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46"/>
        <v>Mismo día</v>
      </c>
      <c r="L986" s="13">
        <v>45910</v>
      </c>
      <c r="M986" s="22">
        <f t="shared" si="47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45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46"/>
        <v>Programados</v>
      </c>
      <c r="L987" s="13">
        <v>45911</v>
      </c>
      <c r="M987" s="22">
        <f t="shared" si="47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45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46"/>
        <v>Mismo día</v>
      </c>
      <c r="L988" s="13">
        <v>45911</v>
      </c>
      <c r="M988" s="22">
        <f t="shared" si="47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45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46"/>
        <v>A tiempo</v>
      </c>
      <c r="L989" s="13">
        <v>45912</v>
      </c>
      <c r="M989" s="22">
        <f t="shared" si="47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45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46"/>
        <v>A tiempo</v>
      </c>
      <c r="L990" s="13">
        <v>45912</v>
      </c>
      <c r="M990" s="22">
        <f t="shared" si="47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45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46"/>
        <v>A tiempo</v>
      </c>
      <c r="L991" s="13">
        <v>45912</v>
      </c>
      <c r="M991" s="22">
        <f t="shared" si="47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45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46"/>
        <v>A tiempo</v>
      </c>
      <c r="L992" s="13">
        <v>45912</v>
      </c>
      <c r="M992" s="22">
        <f t="shared" si="47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45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46"/>
        <v>A tiempo</v>
      </c>
      <c r="L993" s="13">
        <v>45912</v>
      </c>
      <c r="M993" s="22">
        <f t="shared" si="47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45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46"/>
        <v>Programados</v>
      </c>
      <c r="L994" s="13">
        <v>45909</v>
      </c>
      <c r="M994" s="22">
        <f t="shared" si="47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45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46"/>
        <v>Programados</v>
      </c>
      <c r="L995" s="13">
        <v>45915</v>
      </c>
      <c r="M995" s="22">
        <f t="shared" si="47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45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46"/>
        <v>A tiempo</v>
      </c>
      <c r="L996" s="13">
        <v>45915</v>
      </c>
      <c r="M996" s="22">
        <f t="shared" si="47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45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46"/>
        <v>Programados</v>
      </c>
      <c r="L997" s="13">
        <v>45917</v>
      </c>
      <c r="M997" s="22">
        <f t="shared" si="47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45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46"/>
        <v>A tiempo</v>
      </c>
      <c r="L998" s="13">
        <v>45917</v>
      </c>
      <c r="M998" s="22">
        <f t="shared" si="47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45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46"/>
        <v>Mismo día</v>
      </c>
      <c r="L999" s="13">
        <v>45917</v>
      </c>
      <c r="M999" s="22">
        <f t="shared" si="47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45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46"/>
        <v>A tiempo</v>
      </c>
      <c r="L1000" s="13">
        <v>45919</v>
      </c>
      <c r="M1000" s="22">
        <f t="shared" si="47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45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46"/>
        <v>A tiempo</v>
      </c>
      <c r="L1001" s="13">
        <v>45919</v>
      </c>
      <c r="M1001" s="22">
        <f t="shared" si="47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45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46"/>
        <v>A tiempo</v>
      </c>
      <c r="L1002" s="13">
        <v>45919</v>
      </c>
      <c r="M1002" s="22">
        <f t="shared" si="47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45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46"/>
        <v>A tiempo</v>
      </c>
      <c r="L1003" s="13">
        <v>45919</v>
      </c>
      <c r="M1003" s="22">
        <f t="shared" si="47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45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46"/>
        <v>A tiempo</v>
      </c>
      <c r="L1004" s="13">
        <v>45922</v>
      </c>
      <c r="M1004" s="22">
        <f t="shared" si="47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45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46"/>
        <v>A tiempo</v>
      </c>
      <c r="L1005" s="13">
        <v>45922</v>
      </c>
      <c r="M1005" s="22">
        <f t="shared" si="47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45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46"/>
        <v>A tiempo</v>
      </c>
      <c r="L1006" s="13">
        <v>45922</v>
      </c>
      <c r="M1006" s="22">
        <f t="shared" si="47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45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46"/>
        <v>A tiempo</v>
      </c>
      <c r="L1007" s="13">
        <v>45919</v>
      </c>
      <c r="M1007" s="22">
        <f t="shared" si="47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45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46"/>
        <v>A tiempo</v>
      </c>
      <c r="L1008" s="13">
        <v>45919</v>
      </c>
      <c r="M1008" s="22">
        <f t="shared" si="47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45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46"/>
        <v>Programados</v>
      </c>
      <c r="L1009" s="13">
        <v>45919</v>
      </c>
      <c r="M1009" s="22">
        <f t="shared" si="47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45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46"/>
        <v>Programados</v>
      </c>
      <c r="L1010" s="13">
        <v>45919</v>
      </c>
      <c r="M1010" s="22">
        <f t="shared" si="47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45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46"/>
        <v>Programados</v>
      </c>
      <c r="L1011" s="13">
        <v>45922</v>
      </c>
      <c r="M1011" s="22">
        <f t="shared" si="47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45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46"/>
        <v>Programados</v>
      </c>
      <c r="L1012" s="13">
        <v>45922</v>
      </c>
      <c r="M1012" s="22">
        <f t="shared" si="47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45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46"/>
        <v>Programados</v>
      </c>
      <c r="L1013" s="13">
        <v>45922</v>
      </c>
      <c r="M1013" s="22">
        <f t="shared" si="47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45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46"/>
        <v>A tiempo</v>
      </c>
      <c r="L1014" s="13">
        <v>45922</v>
      </c>
      <c r="M1014" s="22">
        <f t="shared" si="47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45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46"/>
        <v>A tiempo</v>
      </c>
      <c r="L1015" s="13">
        <v>45922</v>
      </c>
      <c r="M1015" s="22">
        <f t="shared" si="47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45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46"/>
        <v>A tiempo</v>
      </c>
      <c r="L1016" s="13">
        <v>45922</v>
      </c>
      <c r="M1016" s="22">
        <f t="shared" si="47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45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46"/>
        <v>A tiempo</v>
      </c>
      <c r="L1017" s="13">
        <v>45922</v>
      </c>
      <c r="M1017" s="22">
        <f t="shared" si="47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45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46"/>
        <v>A tiempo</v>
      </c>
      <c r="L1018" s="13">
        <v>45922</v>
      </c>
      <c r="M1018" s="22">
        <f t="shared" si="47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45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46"/>
        <v>Programados</v>
      </c>
      <c r="L1019" s="13">
        <v>45922</v>
      </c>
      <c r="M1019" s="22">
        <f t="shared" si="47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45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46"/>
        <v>Programados</v>
      </c>
      <c r="L1020" s="13">
        <v>45923</v>
      </c>
      <c r="M1020" s="22">
        <f t="shared" si="47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45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46"/>
        <v>A tiempo</v>
      </c>
      <c r="L1021" s="13">
        <v>45923</v>
      </c>
      <c r="M1021" s="22">
        <f t="shared" si="47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45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46"/>
        <v>A tiempo</v>
      </c>
      <c r="L1022" s="13">
        <v>45923</v>
      </c>
      <c r="M1022" s="22">
        <f t="shared" si="47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45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46"/>
        <v>A tiempo</v>
      </c>
      <c r="L1023" s="13">
        <v>45923</v>
      </c>
      <c r="M1023" s="22">
        <f t="shared" si="47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45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46"/>
        <v>A tiempo</v>
      </c>
      <c r="L1024" s="13">
        <v>45923</v>
      </c>
      <c r="M1024" s="22">
        <f t="shared" si="47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45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46"/>
        <v>Programados</v>
      </c>
      <c r="L1025" s="13">
        <v>45923</v>
      </c>
      <c r="M1025" s="22">
        <f t="shared" si="47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48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49">IF(INT(A1026)=INT(F1026),"A tiempo", IF(A1026&lt;F1026,"Mismo día","Programados"))</f>
        <v>A tiempo</v>
      </c>
      <c r="L1026" s="13">
        <v>45923</v>
      </c>
      <c r="M1026" s="22">
        <f t="shared" ref="M1026:M1089" si="50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48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49"/>
        <v>A tiempo</v>
      </c>
      <c r="L1027" s="13">
        <v>45924</v>
      </c>
      <c r="M1027" s="22">
        <f t="shared" si="50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48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49"/>
        <v>A tiempo</v>
      </c>
      <c r="L1028" s="13">
        <v>45924</v>
      </c>
      <c r="M1028" s="22">
        <f t="shared" si="50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48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49"/>
        <v>A tiempo</v>
      </c>
      <c r="L1029" s="13">
        <v>45924</v>
      </c>
      <c r="M1029" s="22">
        <f t="shared" si="50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48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49"/>
        <v>Mismo día</v>
      </c>
      <c r="L1030" s="13">
        <v>45924</v>
      </c>
      <c r="M1030" s="22">
        <f t="shared" si="50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48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49"/>
        <v>A tiempo</v>
      </c>
      <c r="L1031" s="13">
        <v>45925</v>
      </c>
      <c r="M1031" s="22">
        <f t="shared" si="50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48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49"/>
        <v>A tiempo</v>
      </c>
      <c r="L1032" s="13">
        <v>45925</v>
      </c>
      <c r="M1032" s="22">
        <f t="shared" si="50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48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49"/>
        <v>A tiempo</v>
      </c>
      <c r="L1033" s="13">
        <v>45925</v>
      </c>
      <c r="M1033" s="22">
        <f t="shared" si="50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48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49"/>
        <v>A tiempo</v>
      </c>
      <c r="L1034" s="13">
        <v>45925</v>
      </c>
      <c r="M1034" s="22">
        <f t="shared" si="50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48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49"/>
        <v>A tiempo</v>
      </c>
      <c r="L1035" s="13">
        <v>45925</v>
      </c>
      <c r="M1035" s="22">
        <f t="shared" si="50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48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49"/>
        <v>A tiempo</v>
      </c>
      <c r="L1036" s="13">
        <v>45925</v>
      </c>
      <c r="M1036" s="22">
        <f t="shared" si="50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48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49"/>
        <v>Mismo día</v>
      </c>
      <c r="L1037" s="13">
        <v>45925</v>
      </c>
      <c r="M1037" s="22">
        <f t="shared" si="50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48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49"/>
        <v>A tiempo</v>
      </c>
      <c r="L1038" s="13">
        <v>45926</v>
      </c>
      <c r="M1038" s="22">
        <f t="shared" si="50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48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49"/>
        <v>Programados</v>
      </c>
      <c r="L1039" s="13">
        <v>45929</v>
      </c>
      <c r="M1039" s="22">
        <f t="shared" si="50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48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49"/>
        <v>Programados</v>
      </c>
      <c r="L1040" s="13">
        <v>45929</v>
      </c>
      <c r="M1040" s="22">
        <f t="shared" si="50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48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49"/>
        <v>A tiempo</v>
      </c>
      <c r="L1041" s="13">
        <v>45929</v>
      </c>
      <c r="M1041" s="22">
        <f t="shared" si="50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48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49"/>
        <v>Programados</v>
      </c>
      <c r="L1042" s="13">
        <v>45929</v>
      </c>
      <c r="M1042" s="22">
        <f t="shared" si="50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48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49"/>
        <v>A tiempo</v>
      </c>
      <c r="L1043" s="13">
        <v>45929</v>
      </c>
      <c r="M1043" s="22">
        <f t="shared" si="50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48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49"/>
        <v>Mismo día</v>
      </c>
      <c r="L1044" s="13">
        <v>45929</v>
      </c>
      <c r="M1044" s="23">
        <f t="shared" si="50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48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49"/>
        <v>Programados</v>
      </c>
      <c r="L1045" s="13">
        <v>45929</v>
      </c>
      <c r="M1045" s="22">
        <f t="shared" si="50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48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49"/>
        <v>Mismo día</v>
      </c>
      <c r="L1046" s="13">
        <v>45930</v>
      </c>
      <c r="M1046" s="22">
        <f t="shared" si="50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48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49"/>
        <v>Programados</v>
      </c>
      <c r="L1047" s="13">
        <v>45930</v>
      </c>
      <c r="M1047" s="22">
        <f t="shared" si="50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48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49"/>
        <v>A tiempo</v>
      </c>
      <c r="L1048" s="13">
        <v>45931</v>
      </c>
      <c r="M1048" s="22">
        <f t="shared" si="50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48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49"/>
        <v>Programados</v>
      </c>
      <c r="L1049" s="13">
        <v>45931</v>
      </c>
      <c r="M1049" s="22">
        <f t="shared" si="50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48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49"/>
        <v>A tiempo</v>
      </c>
      <c r="L1050" s="13">
        <v>45931</v>
      </c>
      <c r="M1050" s="22">
        <f t="shared" si="50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48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49"/>
        <v>A tiempo</v>
      </c>
      <c r="L1051" s="13">
        <v>45931</v>
      </c>
      <c r="M1051" s="22">
        <f t="shared" si="50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48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49"/>
        <v>A tiempo</v>
      </c>
      <c r="L1052" s="13">
        <v>45932</v>
      </c>
      <c r="M1052" s="22">
        <f t="shared" si="50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48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49"/>
        <v>Programados</v>
      </c>
      <c r="L1053" s="13">
        <v>45932</v>
      </c>
      <c r="M1053" s="22">
        <f t="shared" si="50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48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49"/>
        <v>A tiempo</v>
      </c>
      <c r="L1054" s="13">
        <v>45932</v>
      </c>
      <c r="M1054" s="22">
        <f t="shared" si="50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48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49"/>
        <v>Programados</v>
      </c>
      <c r="L1055" s="13">
        <v>45938</v>
      </c>
      <c r="M1055" s="22">
        <f t="shared" si="50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48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49"/>
        <v>Programados</v>
      </c>
      <c r="L1056" s="13">
        <v>45933</v>
      </c>
      <c r="M1056" s="22">
        <f t="shared" si="50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48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49"/>
        <v>Programados</v>
      </c>
      <c r="L1057" s="13">
        <v>45933</v>
      </c>
      <c r="M1057" s="22">
        <f t="shared" si="50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48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49"/>
        <v>Programados</v>
      </c>
      <c r="L1058" s="13">
        <v>45933</v>
      </c>
      <c r="M1058" s="22">
        <f t="shared" si="50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48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49"/>
        <v>Programados</v>
      </c>
      <c r="L1059" s="13">
        <v>45933</v>
      </c>
      <c r="M1059" s="22">
        <f t="shared" si="50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48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49"/>
        <v>Programados</v>
      </c>
      <c r="L1060" s="13">
        <v>45933</v>
      </c>
      <c r="M1060" s="22">
        <f t="shared" si="50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48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49"/>
        <v>Programados</v>
      </c>
      <c r="L1061" s="13">
        <v>45933</v>
      </c>
      <c r="M1061" s="22">
        <f t="shared" si="50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48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49"/>
        <v>Programados</v>
      </c>
      <c r="L1062" s="13">
        <v>45936</v>
      </c>
      <c r="M1062" s="22">
        <f t="shared" si="50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48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49"/>
        <v>A tiempo</v>
      </c>
      <c r="L1063" s="13">
        <v>45936</v>
      </c>
      <c r="M1063" s="22">
        <f t="shared" si="50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48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49"/>
        <v>A tiempo</v>
      </c>
      <c r="L1064" s="13">
        <v>45936</v>
      </c>
      <c r="M1064" s="22">
        <f t="shared" si="50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48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49"/>
        <v>Programados</v>
      </c>
      <c r="L1065" s="13">
        <v>45936</v>
      </c>
      <c r="M1065" s="22">
        <f t="shared" si="50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48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49"/>
        <v>A tiempo</v>
      </c>
      <c r="L1066" s="13">
        <v>45936</v>
      </c>
      <c r="M1066" s="22">
        <f t="shared" si="50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48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49"/>
        <v>A tiempo</v>
      </c>
      <c r="L1067" s="13">
        <v>45936</v>
      </c>
      <c r="M1067" s="22">
        <f t="shared" si="50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48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49"/>
        <v>Programados</v>
      </c>
      <c r="L1068" s="13">
        <v>45937</v>
      </c>
      <c r="M1068" s="22">
        <f t="shared" si="50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48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49"/>
        <v>A tiempo</v>
      </c>
      <c r="L1069" s="13">
        <v>45938</v>
      </c>
      <c r="M1069" s="22">
        <f t="shared" si="50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48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49"/>
        <v>A tiempo</v>
      </c>
      <c r="L1070" s="13">
        <v>45936</v>
      </c>
      <c r="M1070" s="22">
        <f t="shared" si="50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48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49"/>
        <v>A tiempo</v>
      </c>
      <c r="L1071" s="13">
        <v>45936</v>
      </c>
      <c r="M1071" s="22">
        <f t="shared" si="50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48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49"/>
        <v>Mismo día</v>
      </c>
      <c r="L1072" s="13">
        <v>45936</v>
      </c>
      <c r="M1072" s="22">
        <f t="shared" si="50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48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49"/>
        <v>A tiempo</v>
      </c>
      <c r="L1073" s="13">
        <v>45936</v>
      </c>
      <c r="M1073" s="22">
        <f t="shared" si="50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48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49"/>
        <v>A tiempo</v>
      </c>
      <c r="L1074" s="13">
        <v>45936</v>
      </c>
      <c r="M1074" s="22">
        <f t="shared" si="50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48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49"/>
        <v>A tiempo</v>
      </c>
      <c r="L1075" s="13">
        <v>45937</v>
      </c>
      <c r="M1075" s="22">
        <f t="shared" si="50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48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49"/>
        <v>A tiempo</v>
      </c>
      <c r="L1076" s="13">
        <v>45937</v>
      </c>
      <c r="M1076" s="22">
        <f t="shared" si="50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48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49"/>
        <v>A tiempo</v>
      </c>
      <c r="L1077" s="13">
        <v>45937</v>
      </c>
      <c r="M1077" s="22">
        <f t="shared" si="50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48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49"/>
        <v>A tiempo</v>
      </c>
      <c r="L1078" s="13">
        <v>45938</v>
      </c>
      <c r="M1078" s="22">
        <f t="shared" si="50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48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49"/>
        <v>A tiempo</v>
      </c>
      <c r="L1079" s="13">
        <v>45937</v>
      </c>
      <c r="M1079" s="22">
        <f t="shared" si="50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48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49"/>
        <v>A tiempo</v>
      </c>
      <c r="L1080" s="13">
        <v>45937</v>
      </c>
      <c r="M1080" s="22">
        <f t="shared" si="50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48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49"/>
        <v>A tiempo</v>
      </c>
      <c r="L1081" s="13">
        <v>45937</v>
      </c>
      <c r="M1081" s="22">
        <f t="shared" si="50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48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49"/>
        <v>A tiempo</v>
      </c>
      <c r="L1082" s="13">
        <v>45937</v>
      </c>
      <c r="M1082" s="22">
        <f t="shared" si="50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48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49"/>
        <v>A tiempo</v>
      </c>
      <c r="L1083" s="13">
        <v>45937</v>
      </c>
      <c r="M1083" s="22">
        <f t="shared" si="50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48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49"/>
        <v>A tiempo</v>
      </c>
      <c r="L1084" s="13">
        <v>45938</v>
      </c>
      <c r="M1084" s="22">
        <f t="shared" si="50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48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49"/>
        <v>A tiempo</v>
      </c>
      <c r="L1085" s="13">
        <v>45938</v>
      </c>
      <c r="M1085" s="22">
        <f t="shared" si="50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48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49"/>
        <v>Programados</v>
      </c>
      <c r="L1086" s="13">
        <v>45938</v>
      </c>
      <c r="M1086" s="22">
        <f t="shared" si="50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48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49"/>
        <v>Programados</v>
      </c>
      <c r="L1087" s="13">
        <v>45938</v>
      </c>
      <c r="M1087" s="22">
        <f t="shared" si="50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48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49"/>
        <v>A tiempo</v>
      </c>
      <c r="L1088" s="13">
        <v>45939</v>
      </c>
      <c r="M1088" s="22">
        <f t="shared" si="50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48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49"/>
        <v>Programados</v>
      </c>
      <c r="L1089" s="13">
        <v>45939</v>
      </c>
      <c r="M1089" s="22">
        <f t="shared" si="50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51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52">IF(INT(A1090)=INT(F1090),"A tiempo", IF(A1090&lt;F1090,"Mismo día","Programados"))</f>
        <v>A tiempo</v>
      </c>
      <c r="L1090" s="13">
        <v>45939</v>
      </c>
      <c r="M1090" s="22">
        <f t="shared" ref="M1090:M1153" si="53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51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52"/>
        <v>A tiempo</v>
      </c>
      <c r="L1091" s="13">
        <v>45939</v>
      </c>
      <c r="M1091" s="22">
        <f t="shared" si="53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51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52"/>
        <v>A tiempo</v>
      </c>
      <c r="L1092" s="13">
        <v>45939</v>
      </c>
      <c r="M1092" s="22">
        <f t="shared" si="53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51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52"/>
        <v>A tiempo</v>
      </c>
      <c r="L1093" s="13">
        <v>45939</v>
      </c>
      <c r="M1093" s="22">
        <f t="shared" si="53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51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52"/>
        <v>A tiempo</v>
      </c>
      <c r="L1094" s="13">
        <v>45939</v>
      </c>
      <c r="M1094" s="22">
        <f t="shared" si="53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51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52"/>
        <v>Mismo día</v>
      </c>
      <c r="L1095" s="13">
        <v>45940</v>
      </c>
      <c r="M1095" s="22">
        <f t="shared" si="53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51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52"/>
        <v>Mismo día</v>
      </c>
      <c r="L1096" s="13">
        <v>45943</v>
      </c>
      <c r="M1096" s="22">
        <f t="shared" si="53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51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52"/>
        <v>Programados</v>
      </c>
      <c r="L1097" s="13">
        <v>45943</v>
      </c>
      <c r="M1097" s="22">
        <f t="shared" si="53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51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52"/>
        <v>A tiempo</v>
      </c>
      <c r="L1098" s="13">
        <v>45943</v>
      </c>
      <c r="M1098" s="22">
        <f t="shared" si="53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51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52"/>
        <v>A tiempo</v>
      </c>
      <c r="L1099" s="13">
        <v>45943</v>
      </c>
      <c r="M1099" s="22">
        <f t="shared" si="53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51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52"/>
        <v>Programados</v>
      </c>
      <c r="L1100" s="13">
        <v>45943</v>
      </c>
      <c r="M1100" s="22">
        <f t="shared" si="53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51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52"/>
        <v>A tiempo</v>
      </c>
      <c r="L1101" s="13">
        <v>45943</v>
      </c>
      <c r="M1101" s="22">
        <f t="shared" si="53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51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52"/>
        <v>A tiempo</v>
      </c>
      <c r="L1102" s="13">
        <v>45943</v>
      </c>
      <c r="M1102" s="22">
        <f t="shared" si="53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51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52"/>
        <v>A tiempo</v>
      </c>
      <c r="L1103" s="13">
        <v>45943</v>
      </c>
      <c r="M1103" s="22">
        <f t="shared" si="53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51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52"/>
        <v>A tiempo</v>
      </c>
      <c r="L1104" s="13">
        <v>45944</v>
      </c>
      <c r="M1104" s="22">
        <f t="shared" si="53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51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52"/>
        <v>Programados</v>
      </c>
      <c r="L1105" s="13">
        <v>45944</v>
      </c>
      <c r="M1105" s="22">
        <f t="shared" si="53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51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52"/>
        <v>A tiempo</v>
      </c>
      <c r="L1106" s="13">
        <v>45944</v>
      </c>
      <c r="M1106" s="22">
        <f t="shared" si="53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51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52"/>
        <v>Programados</v>
      </c>
      <c r="L1107" s="13">
        <v>45944</v>
      </c>
      <c r="M1107" s="22">
        <f t="shared" si="53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51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52"/>
        <v>Mismo día</v>
      </c>
      <c r="L1108" s="13">
        <v>45944</v>
      </c>
      <c r="M1108" s="22">
        <f t="shared" si="53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51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52"/>
        <v>Mismo día</v>
      </c>
      <c r="L1109" s="13">
        <v>45944</v>
      </c>
      <c r="M1109" s="22">
        <f t="shared" si="53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51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52"/>
        <v>A tiempo</v>
      </c>
      <c r="L1110" s="13">
        <v>45945</v>
      </c>
      <c r="M1110" s="22">
        <f t="shared" si="53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51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52"/>
        <v>A tiempo</v>
      </c>
      <c r="L1111" s="13">
        <v>45945</v>
      </c>
      <c r="M1111" s="22">
        <f t="shared" si="53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51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52"/>
        <v>Programados</v>
      </c>
      <c r="L1112" s="13">
        <v>45945</v>
      </c>
      <c r="M1112" s="22">
        <f t="shared" si="53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51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52"/>
        <v>Programados</v>
      </c>
      <c r="L1113" s="13">
        <v>45945</v>
      </c>
      <c r="M1113" s="22">
        <f t="shared" si="53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51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52"/>
        <v>Programados</v>
      </c>
      <c r="L1114" s="13">
        <v>45945</v>
      </c>
      <c r="M1114" s="22">
        <f t="shared" si="53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51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52"/>
        <v>A tiempo</v>
      </c>
      <c r="L1115" s="13">
        <v>45946</v>
      </c>
      <c r="M1115" s="22">
        <f t="shared" si="53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51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52"/>
        <v>A tiempo</v>
      </c>
      <c r="L1116" s="13">
        <v>45945</v>
      </c>
      <c r="M1116" s="22">
        <f t="shared" si="53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51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52"/>
        <v>A tiempo</v>
      </c>
      <c r="L1117" s="13">
        <v>45945</v>
      </c>
      <c r="M1117" s="22">
        <f t="shared" si="53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51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52"/>
        <v>Mismo día</v>
      </c>
      <c r="L1118" s="13">
        <v>45945</v>
      </c>
      <c r="M1118" s="22">
        <f t="shared" si="53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51"/>
        <v>42</v>
      </c>
      <c r="I1119" s="20">
        <f>MAX(1, NETWORKDAYS(A1119, G1119,Table2[Dias no laborales]))</f>
        <v>1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Acumulado</v>
      </c>
      <c r="K1119" s="7" t="str">
        <f t="shared" si="52"/>
        <v>Programados</v>
      </c>
      <c r="L1119" s="13">
        <v>45945</v>
      </c>
      <c r="M1119" s="22">
        <f t="shared" si="53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51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52"/>
        <v>A tiempo</v>
      </c>
      <c r="L1120" s="13">
        <v>45946</v>
      </c>
      <c r="M1120" s="22">
        <f t="shared" si="53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51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52"/>
        <v>A tiempo</v>
      </c>
      <c r="L1121" s="13">
        <v>45946</v>
      </c>
      <c r="M1121" s="22">
        <f t="shared" si="53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51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52"/>
        <v>A tiempo</v>
      </c>
      <c r="L1122" s="13">
        <v>45947</v>
      </c>
      <c r="M1122" s="22">
        <f t="shared" si="53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51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52"/>
        <v>A tiempo</v>
      </c>
      <c r="L1123" s="13">
        <v>45947</v>
      </c>
      <c r="M1123" s="22">
        <f t="shared" si="53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51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52"/>
        <v>Programados</v>
      </c>
      <c r="L1124" s="13">
        <v>45947</v>
      </c>
      <c r="M1124" s="22">
        <f t="shared" si="53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51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52"/>
        <v>A tiempo</v>
      </c>
      <c r="L1125" s="13">
        <v>45950</v>
      </c>
      <c r="M1125" s="22">
        <f t="shared" si="53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51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52"/>
        <v>A tiempo</v>
      </c>
      <c r="L1126" s="13">
        <v>45950</v>
      </c>
      <c r="M1126" s="22">
        <f t="shared" si="53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51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52"/>
        <v>A tiempo</v>
      </c>
      <c r="L1127" s="13">
        <v>45950</v>
      </c>
      <c r="M1127" s="22">
        <f t="shared" si="53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51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52"/>
        <v>Programados</v>
      </c>
      <c r="L1128" s="13">
        <v>45951</v>
      </c>
      <c r="M1128" s="22">
        <f t="shared" si="53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51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52"/>
        <v>Programados</v>
      </c>
      <c r="L1129" s="13">
        <v>45950</v>
      </c>
      <c r="M1129" s="22">
        <f t="shared" si="53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51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52"/>
        <v>A tiempo</v>
      </c>
      <c r="L1130" s="13">
        <v>45951</v>
      </c>
      <c r="M1130" s="22">
        <f t="shared" si="53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51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52"/>
        <v>A tiempo</v>
      </c>
      <c r="L1131" s="13">
        <v>45951</v>
      </c>
      <c r="M1131" s="22">
        <f t="shared" si="53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51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52"/>
        <v>A tiempo</v>
      </c>
      <c r="L1132" s="13">
        <v>45951</v>
      </c>
      <c r="M1132" s="22">
        <f t="shared" si="53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51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52"/>
        <v>A tiempo</v>
      </c>
      <c r="L1133" s="13">
        <v>45952</v>
      </c>
      <c r="M1133" s="22">
        <f t="shared" si="53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51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52"/>
        <v>A tiempo</v>
      </c>
      <c r="L1134" s="13">
        <v>45953</v>
      </c>
      <c r="M1134" s="22">
        <f t="shared" si="53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51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52"/>
        <v>A tiempo</v>
      </c>
      <c r="L1135" s="13">
        <v>45951</v>
      </c>
      <c r="M1135" s="22">
        <f t="shared" si="53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51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52"/>
        <v>A tiempo</v>
      </c>
      <c r="L1136" s="13">
        <v>45952</v>
      </c>
      <c r="M1136" s="22">
        <f t="shared" si="53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51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52"/>
        <v>Programados</v>
      </c>
      <c r="L1137" s="13">
        <v>45951</v>
      </c>
      <c r="M1137" s="22">
        <f t="shared" si="53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51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52"/>
        <v>Programados</v>
      </c>
      <c r="L1138" s="13">
        <v>45951</v>
      </c>
      <c r="M1138" s="22">
        <f t="shared" si="53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51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52"/>
        <v>A tiempo</v>
      </c>
      <c r="L1139" s="13">
        <v>45952</v>
      </c>
      <c r="M1139" s="22">
        <f t="shared" si="53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51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52"/>
        <v>A tiempo</v>
      </c>
      <c r="L1140" s="13">
        <v>45952</v>
      </c>
      <c r="M1140" s="22">
        <f t="shared" si="53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51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52"/>
        <v>A tiempo</v>
      </c>
      <c r="L1141" s="13">
        <v>45952</v>
      </c>
      <c r="M1141" s="22">
        <f t="shared" si="53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51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52"/>
        <v>A tiempo</v>
      </c>
      <c r="L1142" s="13">
        <v>45952</v>
      </c>
      <c r="M1142" s="22">
        <f t="shared" si="53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51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52"/>
        <v>A tiempo</v>
      </c>
      <c r="L1143" s="13">
        <v>45953</v>
      </c>
      <c r="M1143" s="22">
        <f t="shared" si="53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51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52"/>
        <v>Programados</v>
      </c>
      <c r="L1144" s="13">
        <v>45953</v>
      </c>
      <c r="M1144" s="22">
        <f t="shared" si="53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51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52"/>
        <v>A tiempo</v>
      </c>
      <c r="L1145" s="13">
        <v>45953</v>
      </c>
      <c r="M1145" s="22">
        <f t="shared" si="53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51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52"/>
        <v>A tiempo</v>
      </c>
      <c r="L1146" s="13">
        <v>45953</v>
      </c>
      <c r="M1146" s="22">
        <f t="shared" si="53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51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52"/>
        <v>A tiempo</v>
      </c>
      <c r="L1147" s="13">
        <v>45954</v>
      </c>
      <c r="M1147" s="22">
        <f t="shared" si="53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51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52"/>
        <v>A tiempo</v>
      </c>
      <c r="L1148" s="13">
        <v>45954</v>
      </c>
      <c r="M1148" s="22">
        <f t="shared" si="53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51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52"/>
        <v>A tiempo</v>
      </c>
      <c r="L1149" s="13">
        <v>45954</v>
      </c>
      <c r="M1149" s="22">
        <f t="shared" si="53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51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52"/>
        <v>A tiempo</v>
      </c>
      <c r="L1150" s="13">
        <v>45954</v>
      </c>
      <c r="M1150" s="22">
        <f t="shared" si="53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51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52"/>
        <v>A tiempo</v>
      </c>
      <c r="L1151" s="13">
        <v>45954</v>
      </c>
      <c r="M1151" s="22">
        <f t="shared" si="53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51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52"/>
        <v>A tiempo</v>
      </c>
      <c r="L1152" s="13">
        <v>45954</v>
      </c>
      <c r="M1152" s="22">
        <f t="shared" si="53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51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52"/>
        <v>Programados</v>
      </c>
      <c r="L1153" s="13">
        <v>45954</v>
      </c>
      <c r="M1153" s="22">
        <f t="shared" si="53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54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52"/>
        <v>Programados</v>
      </c>
      <c r="L1154" s="13">
        <v>45954</v>
      </c>
      <c r="M1154" s="22">
        <f t="shared" ref="M1154:M1217" si="55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54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52"/>
        <v>Programados</v>
      </c>
      <c r="L1155" s="13">
        <v>45954</v>
      </c>
      <c r="M1155" s="22">
        <f t="shared" si="55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54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52"/>
        <v>Programados</v>
      </c>
      <c r="L1156" s="13">
        <v>45954</v>
      </c>
      <c r="M1156" s="22">
        <f t="shared" si="55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54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 t="shared" si="55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54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56">IF(INT(A1158)=INT(F1158),"A tiempo", IF(A1158&lt;F1158,"Mismo día","Programados"))</f>
        <v>Programados</v>
      </c>
      <c r="L1158" s="13">
        <v>45957</v>
      </c>
      <c r="M1158" s="22">
        <f t="shared" si="55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54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56"/>
        <v>A tiempo</v>
      </c>
      <c r="L1159" s="13">
        <v>45959</v>
      </c>
      <c r="M1159" s="22">
        <f t="shared" si="55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54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56"/>
        <v>A tiempo</v>
      </c>
      <c r="L1160" s="13">
        <v>45958</v>
      </c>
      <c r="M1160" s="22">
        <f t="shared" si="55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54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56"/>
        <v>A tiempo</v>
      </c>
      <c r="L1161" s="13">
        <v>45957</v>
      </c>
      <c r="M1161" s="22">
        <f t="shared" si="55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54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56"/>
        <v>A tiempo</v>
      </c>
      <c r="L1162" s="13">
        <v>45957</v>
      </c>
      <c r="M1162" s="22">
        <f t="shared" si="55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54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56"/>
        <v>Programados</v>
      </c>
      <c r="L1163" s="13">
        <v>45959</v>
      </c>
      <c r="M1163" s="22">
        <f t="shared" si="55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54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56"/>
        <v>A tiempo</v>
      </c>
      <c r="L1164" s="13">
        <v>45958</v>
      </c>
      <c r="M1164" s="22">
        <f t="shared" si="55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54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56"/>
        <v>A tiempo</v>
      </c>
      <c r="L1165" s="13">
        <v>45958</v>
      </c>
      <c r="M1165" s="22">
        <f t="shared" si="55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54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56"/>
        <v>A tiempo</v>
      </c>
      <c r="L1166" s="13">
        <v>45958</v>
      </c>
      <c r="M1166" s="22">
        <f t="shared" si="55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54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56"/>
        <v>Mismo día</v>
      </c>
      <c r="L1167" s="13">
        <v>45958</v>
      </c>
      <c r="M1167" s="22">
        <f t="shared" si="55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54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56"/>
        <v>Programados</v>
      </c>
      <c r="L1168" s="13">
        <v>45960</v>
      </c>
      <c r="M1168" s="22">
        <f t="shared" si="55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54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56"/>
        <v>A tiempo</v>
      </c>
      <c r="L1169" s="13">
        <v>45960</v>
      </c>
      <c r="M1169" s="22">
        <f t="shared" si="55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54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56"/>
        <v>A tiempo</v>
      </c>
      <c r="L1170" s="13">
        <v>45959</v>
      </c>
      <c r="M1170" s="23">
        <f t="shared" si="55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54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56"/>
        <v>A tiempo</v>
      </c>
      <c r="L1171" s="13">
        <v>45959</v>
      </c>
      <c r="M1171" s="22">
        <f t="shared" si="55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54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56"/>
        <v>Programados</v>
      </c>
      <c r="L1172" s="13">
        <v>45960</v>
      </c>
      <c r="M1172" s="22">
        <f t="shared" si="55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54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56"/>
        <v>A tiempo</v>
      </c>
      <c r="L1173" s="13">
        <v>45960</v>
      </c>
      <c r="M1173" s="22">
        <f t="shared" si="55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54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56"/>
        <v>A tiempo</v>
      </c>
      <c r="L1174" s="13">
        <v>45961</v>
      </c>
      <c r="M1174" s="22">
        <f t="shared" si="55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54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56"/>
        <v>A tiempo</v>
      </c>
      <c r="L1175" s="13">
        <v>45960</v>
      </c>
      <c r="M1175" s="22">
        <f t="shared" si="55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54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56"/>
        <v>A tiempo</v>
      </c>
      <c r="L1176" s="13">
        <v>45960</v>
      </c>
      <c r="M1176" s="22">
        <f t="shared" si="55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54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56"/>
        <v>Mismo día</v>
      </c>
      <c r="L1177" s="13">
        <v>45961</v>
      </c>
      <c r="M1177" s="22">
        <f t="shared" si="55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54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56"/>
        <v>A tiempo</v>
      </c>
      <c r="L1178" s="13">
        <v>45961</v>
      </c>
      <c r="M1178" s="22">
        <f t="shared" si="55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54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56"/>
        <v>A tiempo</v>
      </c>
      <c r="L1179" s="13">
        <v>45964</v>
      </c>
      <c r="M1179" s="22">
        <f t="shared" si="55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54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56"/>
        <v>Programados</v>
      </c>
      <c r="L1180" s="13">
        <v>45961</v>
      </c>
      <c r="M1180" s="22">
        <f t="shared" si="55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54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56"/>
        <v>A tiempo</v>
      </c>
      <c r="L1181" s="13">
        <v>45961</v>
      </c>
      <c r="M1181" s="22">
        <f t="shared" si="55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54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56"/>
        <v>Programados</v>
      </c>
      <c r="L1182" s="13">
        <v>45964</v>
      </c>
      <c r="M1182" s="22">
        <f t="shared" si="55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54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56"/>
        <v>Programados</v>
      </c>
      <c r="L1183" s="13">
        <v>45965</v>
      </c>
      <c r="M1183" s="22">
        <f t="shared" si="55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54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56"/>
        <v>A tiempo</v>
      </c>
      <c r="L1184" s="13">
        <v>45965</v>
      </c>
      <c r="M1184" s="22">
        <f t="shared" si="55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54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56"/>
        <v>Programados</v>
      </c>
      <c r="L1185" s="13">
        <v>45966</v>
      </c>
      <c r="M1185" s="22">
        <f t="shared" si="55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54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56"/>
        <v>Programados</v>
      </c>
      <c r="L1186" s="13">
        <v>45965</v>
      </c>
      <c r="M1186" s="22">
        <f t="shared" si="55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54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56"/>
        <v>Programados</v>
      </c>
      <c r="L1187" s="13">
        <v>45965</v>
      </c>
      <c r="M1187" s="22">
        <f t="shared" si="55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54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56"/>
        <v>Programados</v>
      </c>
      <c r="L1188" s="13">
        <v>45965</v>
      </c>
      <c r="M1188" s="22">
        <f t="shared" si="55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54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56"/>
        <v>Programados</v>
      </c>
      <c r="L1189" s="13">
        <v>45965</v>
      </c>
      <c r="M1189" s="22">
        <f t="shared" si="55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54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57">IF(INT(A1190)=INT(F1190),"A tiempo", IF(A1190&lt;F1190,"Mismo día","Programados"))</f>
        <v>Programados</v>
      </c>
      <c r="L1190" s="13">
        <v>45965</v>
      </c>
      <c r="M1190" s="22">
        <f t="shared" si="55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54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57"/>
        <v>A tiempo</v>
      </c>
      <c r="L1191" s="13">
        <v>45966</v>
      </c>
      <c r="M1191" s="22">
        <f t="shared" si="55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54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57"/>
        <v>A tiempo</v>
      </c>
      <c r="L1192" s="13">
        <v>45966</v>
      </c>
      <c r="M1192" s="22">
        <f t="shared" si="55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54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57"/>
        <v>Programados</v>
      </c>
      <c r="L1193" s="13">
        <v>45966</v>
      </c>
      <c r="M1193" s="22">
        <f t="shared" si="55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54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57"/>
        <v>A tiempo</v>
      </c>
      <c r="L1194" s="13">
        <v>45966</v>
      </c>
      <c r="M1194" s="22">
        <f t="shared" si="55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54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57"/>
        <v>A tiempo</v>
      </c>
      <c r="L1195" s="13">
        <v>45966</v>
      </c>
      <c r="M1195" s="22">
        <f t="shared" si="55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54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57"/>
        <v>A tiempo</v>
      </c>
      <c r="L1196" s="13">
        <v>45966</v>
      </c>
      <c r="M1196" s="22">
        <f t="shared" si="55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54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57"/>
        <v>A tiempo</v>
      </c>
      <c r="L1197" s="13">
        <v>45966</v>
      </c>
      <c r="M1197" s="22">
        <f t="shared" si="55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54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57"/>
        <v>A tiempo</v>
      </c>
      <c r="L1198" s="13">
        <v>45967</v>
      </c>
      <c r="M1198" s="22">
        <f t="shared" si="55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54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57"/>
        <v>Programados</v>
      </c>
      <c r="L1199" s="13">
        <v>45968</v>
      </c>
      <c r="M1199" s="22">
        <f t="shared" si="55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54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57"/>
        <v>A tiempo</v>
      </c>
      <c r="L1200" s="13">
        <v>45971</v>
      </c>
      <c r="M1200" s="22">
        <f t="shared" si="55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54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57"/>
        <v>Mismo día</v>
      </c>
      <c r="L1201" s="13">
        <v>45967</v>
      </c>
      <c r="M1201" s="22">
        <f t="shared" si="55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54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57"/>
        <v>Programados</v>
      </c>
      <c r="L1202" s="13">
        <v>45967</v>
      </c>
      <c r="M1202" s="22">
        <f t="shared" si="55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54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57"/>
        <v>Programados</v>
      </c>
      <c r="L1203" s="13">
        <v>45968</v>
      </c>
      <c r="M1203" s="22">
        <f t="shared" si="55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54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57"/>
        <v>A tiempo</v>
      </c>
      <c r="L1204" s="13">
        <v>45968</v>
      </c>
      <c r="M1204" s="22">
        <f t="shared" si="55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54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57"/>
        <v>A tiempo</v>
      </c>
      <c r="L1205" s="13">
        <v>45968</v>
      </c>
      <c r="M1205" s="22">
        <f t="shared" si="55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54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57"/>
        <v>Programados</v>
      </c>
      <c r="L1206" s="13">
        <v>45972</v>
      </c>
      <c r="M1206" s="22">
        <f t="shared" si="55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54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57"/>
        <v>A tiempo</v>
      </c>
      <c r="L1207" s="13">
        <v>45971</v>
      </c>
      <c r="M1207" s="22">
        <f t="shared" si="55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54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57"/>
        <v>Programados</v>
      </c>
      <c r="L1208" s="13">
        <v>45971</v>
      </c>
      <c r="M1208" s="22">
        <f t="shared" si="55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54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57"/>
        <v>A tiempo</v>
      </c>
      <c r="L1209" s="13">
        <v>45971</v>
      </c>
      <c r="M1209" s="22">
        <f t="shared" si="55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54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57"/>
        <v>A tiempo</v>
      </c>
      <c r="L1210" s="13">
        <v>45971</v>
      </c>
      <c r="M1210" s="22">
        <f t="shared" si="55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54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57"/>
        <v>Programados</v>
      </c>
      <c r="L1211" s="13">
        <v>45973</v>
      </c>
      <c r="M1211" s="22">
        <f t="shared" si="55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54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57"/>
        <v>Programados</v>
      </c>
      <c r="L1212" s="13">
        <v>45972</v>
      </c>
      <c r="M1212" s="22">
        <f t="shared" si="55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54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57"/>
        <v>Mismo día</v>
      </c>
      <c r="L1213" s="13">
        <v>45972</v>
      </c>
      <c r="M1213" s="22">
        <f t="shared" si="55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54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57"/>
        <v>Programados</v>
      </c>
      <c r="L1214" s="13">
        <v>45971</v>
      </c>
      <c r="M1214" s="22">
        <f t="shared" si="55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54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57"/>
        <v>A tiempo</v>
      </c>
      <c r="L1215" s="13">
        <v>45971</v>
      </c>
      <c r="M1215" s="22">
        <f t="shared" si="55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54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57"/>
        <v>A tiempo</v>
      </c>
      <c r="L1216" s="13">
        <v>45971</v>
      </c>
      <c r="M1216" s="22">
        <f t="shared" si="55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54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57"/>
        <v>Programados</v>
      </c>
      <c r="L1217" s="13">
        <v>45971</v>
      </c>
      <c r="M1217" s="22">
        <f t="shared" si="55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58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59">IF(INT(A1218)=INT(F1218),"A tiempo", IF(A1218&lt;F1218,"Mismo día","Programados"))</f>
        <v>A tiempo</v>
      </c>
      <c r="L1218" s="13">
        <v>45972</v>
      </c>
      <c r="M1218" s="22">
        <f t="shared" ref="M1218:M1281" si="6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58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59"/>
        <v>A tiempo</v>
      </c>
      <c r="L1219" s="13">
        <v>45972</v>
      </c>
      <c r="M1219" s="22">
        <f t="shared" si="6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58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59"/>
        <v>Programados</v>
      </c>
      <c r="L1220" s="13">
        <v>45972</v>
      </c>
      <c r="M1220" s="22">
        <f t="shared" si="6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58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59"/>
        <v>Mismo día</v>
      </c>
      <c r="L1221" s="13">
        <v>45973</v>
      </c>
      <c r="M1221" s="22">
        <f t="shared" si="6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58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59"/>
        <v>Mismo día</v>
      </c>
      <c r="L1222" s="13">
        <v>45972</v>
      </c>
      <c r="M1222" s="22">
        <f t="shared" si="6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58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59"/>
        <v>A tiempo</v>
      </c>
      <c r="L1223" s="13">
        <v>45974</v>
      </c>
      <c r="M1223" s="22">
        <f t="shared" si="6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58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59"/>
        <v>A tiempo</v>
      </c>
      <c r="L1224" s="13">
        <v>45973</v>
      </c>
      <c r="M1224" s="22">
        <f t="shared" si="6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58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59"/>
        <v>Programados</v>
      </c>
      <c r="L1225" s="13">
        <v>45974</v>
      </c>
      <c r="M1225" s="22">
        <f t="shared" si="6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58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59"/>
        <v>A tiempo</v>
      </c>
      <c r="L1226" s="13">
        <v>45975</v>
      </c>
      <c r="M1226" s="22">
        <f t="shared" si="6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58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59"/>
        <v>A tiempo</v>
      </c>
      <c r="L1227" s="13">
        <v>45979</v>
      </c>
      <c r="M1227" s="22">
        <f t="shared" si="6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58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59"/>
        <v>A tiempo</v>
      </c>
      <c r="L1228" s="13">
        <v>45975</v>
      </c>
      <c r="M1228" s="22">
        <f t="shared" si="6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58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59"/>
        <v>A tiempo</v>
      </c>
      <c r="L1229" s="13">
        <v>45975</v>
      </c>
      <c r="M1229" s="22">
        <f t="shared" si="6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58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59"/>
        <v>Programados</v>
      </c>
      <c r="L1230" s="13">
        <v>45979</v>
      </c>
      <c r="M1230" s="22">
        <f t="shared" si="6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58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59"/>
        <v>A tiempo</v>
      </c>
      <c r="L1231" s="13">
        <v>45975</v>
      </c>
      <c r="M1231" s="22">
        <f t="shared" si="6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58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59"/>
        <v>Programados</v>
      </c>
      <c r="L1232" s="13">
        <v>45975</v>
      </c>
      <c r="M1232" s="22">
        <f t="shared" si="6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58"/>
        <v>46</v>
      </c>
      <c r="I1233" s="20">
        <f>MAX(1, NETWORKDAYS(A1233, G1233,Table2[Dias no laborales]))</f>
        <v>1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Acumulado</v>
      </c>
      <c r="K1233" s="7" t="str">
        <f t="shared" si="59"/>
        <v>Programados</v>
      </c>
      <c r="L1233" s="13">
        <v>45979</v>
      </c>
      <c r="M1233" s="22">
        <f t="shared" si="6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58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59"/>
        <v>Programados</v>
      </c>
      <c r="L1234" s="13">
        <v>45975</v>
      </c>
      <c r="M1234" s="22">
        <f t="shared" si="6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58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59"/>
        <v>Programados</v>
      </c>
      <c r="L1235" s="13">
        <v>45975</v>
      </c>
      <c r="M1235" s="22">
        <f t="shared" si="6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58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59"/>
        <v>Programados</v>
      </c>
      <c r="L1236" s="13">
        <v>45975</v>
      </c>
      <c r="M1236" s="22">
        <f t="shared" si="6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58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59"/>
        <v>Programados</v>
      </c>
      <c r="L1237" s="13">
        <v>45979</v>
      </c>
      <c r="M1237" s="22">
        <f t="shared" si="6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58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59"/>
        <v>Programados</v>
      </c>
      <c r="L1238" s="13">
        <v>45979</v>
      </c>
      <c r="M1238" s="22">
        <f t="shared" si="6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58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59"/>
        <v>A tiempo</v>
      </c>
      <c r="L1239" s="13">
        <v>45979</v>
      </c>
      <c r="M1239" s="22">
        <f t="shared" si="6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58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59"/>
        <v>Programados</v>
      </c>
      <c r="L1240" s="13">
        <v>45979</v>
      </c>
      <c r="M1240" s="22">
        <f t="shared" si="6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58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59"/>
        <v>Programados</v>
      </c>
      <c r="L1241" s="13">
        <v>45979</v>
      </c>
      <c r="M1241" s="22">
        <f t="shared" si="6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58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59"/>
        <v>A tiempo</v>
      </c>
      <c r="L1242" s="13">
        <v>45979</v>
      </c>
      <c r="M1242" s="22">
        <f t="shared" si="6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58"/>
        <v>46</v>
      </c>
      <c r="I1243" s="20">
        <f>MAX(1, NETWORKDAYS(A1243, G1243,Table2[Dias no laborales]))</f>
        <v>1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Acumulado</v>
      </c>
      <c r="K1243" s="7" t="str">
        <f t="shared" si="59"/>
        <v>Mismo día</v>
      </c>
      <c r="L1243" s="13">
        <v>45980</v>
      </c>
      <c r="M1243" s="22">
        <f t="shared" si="6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58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59"/>
        <v>Programados</v>
      </c>
      <c r="L1244" s="11">
        <v>45979</v>
      </c>
      <c r="M1244" s="22">
        <f t="shared" si="6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58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59"/>
        <v>Mismo día</v>
      </c>
      <c r="L1245" s="13">
        <v>45979</v>
      </c>
      <c r="M1245" s="22">
        <f t="shared" si="6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58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59"/>
        <v>Programados</v>
      </c>
      <c r="L1246" s="13">
        <v>45979</v>
      </c>
      <c r="M1246" s="22">
        <f t="shared" si="6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58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59"/>
        <v>A tiempo</v>
      </c>
      <c r="L1247" s="13">
        <v>45980</v>
      </c>
      <c r="M1247" s="22">
        <f t="shared" si="6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58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59"/>
        <v>A tiempo</v>
      </c>
      <c r="L1248" s="13">
        <v>45980</v>
      </c>
      <c r="M1248" s="22">
        <f t="shared" si="6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58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59"/>
        <v>Mismo día</v>
      </c>
      <c r="L1249" s="13">
        <v>45980</v>
      </c>
      <c r="M1249" s="22">
        <f t="shared" si="6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58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59"/>
        <v>A tiempo</v>
      </c>
      <c r="L1250" s="13">
        <v>45980</v>
      </c>
      <c r="M1250" s="22">
        <f t="shared" si="6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58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59"/>
        <v>A tiempo</v>
      </c>
      <c r="L1251" s="13">
        <v>45980</v>
      </c>
      <c r="M1251" s="22">
        <f t="shared" si="6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58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59"/>
        <v>Programados</v>
      </c>
      <c r="L1252" s="13">
        <v>45980</v>
      </c>
      <c r="M1252" s="22">
        <f t="shared" si="6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58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59"/>
        <v>Programados</v>
      </c>
      <c r="L1253" s="11">
        <v>45949</v>
      </c>
      <c r="M1253" s="22">
        <f t="shared" si="6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58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59"/>
        <v>A tiempo</v>
      </c>
      <c r="L1254" s="13">
        <v>45981</v>
      </c>
      <c r="M1254" s="22">
        <f t="shared" si="6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58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59"/>
        <v>A tiempo</v>
      </c>
      <c r="L1255" s="13">
        <v>45981</v>
      </c>
      <c r="M1255" s="22">
        <f t="shared" si="6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58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59"/>
        <v>A tiempo</v>
      </c>
      <c r="L1256" s="13">
        <v>45982</v>
      </c>
      <c r="M1256" s="22">
        <f t="shared" si="6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58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59"/>
        <v>A tiempo</v>
      </c>
      <c r="L1257" s="13">
        <v>45981</v>
      </c>
      <c r="M1257" s="22">
        <f t="shared" si="6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58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59"/>
        <v>A tiempo</v>
      </c>
      <c r="L1258" s="13">
        <v>45981</v>
      </c>
      <c r="M1258" s="22">
        <f t="shared" si="6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58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59"/>
        <v>A tiempo</v>
      </c>
      <c r="L1259" s="13">
        <v>45981</v>
      </c>
      <c r="M1259" s="22">
        <f t="shared" si="6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58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59"/>
        <v>A tiempo</v>
      </c>
      <c r="L1260" s="13">
        <v>45981</v>
      </c>
      <c r="M1260" s="22">
        <f t="shared" si="6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58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59"/>
        <v>Programados</v>
      </c>
      <c r="L1261" s="13">
        <v>45981</v>
      </c>
      <c r="M1261" s="22">
        <f t="shared" si="6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58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59"/>
        <v>A tiempo</v>
      </c>
      <c r="L1262" s="13">
        <v>45981</v>
      </c>
      <c r="M1262" s="22">
        <f t="shared" si="6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58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59"/>
        <v>Mismo día</v>
      </c>
      <c r="L1263" s="13">
        <v>45981</v>
      </c>
      <c r="M1263" s="22">
        <f t="shared" si="6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58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59"/>
        <v>A tiempo</v>
      </c>
      <c r="L1264" s="13">
        <v>45981</v>
      </c>
      <c r="M1264" s="22">
        <f t="shared" si="6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58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59"/>
        <v>A tiempo</v>
      </c>
      <c r="L1265" s="13">
        <v>45981</v>
      </c>
      <c r="M1265" s="22">
        <f t="shared" si="6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58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59"/>
        <v>A tiempo</v>
      </c>
      <c r="L1266" s="13">
        <v>45982</v>
      </c>
      <c r="M1266" s="22">
        <f t="shared" si="6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58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59"/>
        <v>A tiempo</v>
      </c>
      <c r="L1267" s="13">
        <v>45982</v>
      </c>
      <c r="M1267" s="22">
        <f t="shared" si="6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58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59"/>
        <v>A tiempo</v>
      </c>
      <c r="L1268" s="13">
        <v>45982</v>
      </c>
      <c r="M1268" s="22">
        <f t="shared" si="6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58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59"/>
        <v>Programados</v>
      </c>
      <c r="L1269" s="13">
        <v>45982</v>
      </c>
      <c r="M1269" s="22">
        <f t="shared" si="6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58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59"/>
        <v>Programados</v>
      </c>
      <c r="L1270" s="13">
        <v>45982</v>
      </c>
      <c r="M1270" s="22">
        <f t="shared" si="6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58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59"/>
        <v>Mismo día</v>
      </c>
      <c r="L1271" s="13">
        <v>45982</v>
      </c>
      <c r="M1271" s="22">
        <f t="shared" si="6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58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59"/>
        <v>Mismo día</v>
      </c>
      <c r="L1272" s="13">
        <v>45985</v>
      </c>
      <c r="M1272" s="22">
        <f t="shared" si="6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58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59"/>
        <v>Programados</v>
      </c>
      <c r="L1273" s="13">
        <v>45985</v>
      </c>
      <c r="M1273" s="22">
        <f t="shared" si="6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58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59"/>
        <v>A tiempo</v>
      </c>
      <c r="L1274" s="13">
        <v>45985</v>
      </c>
      <c r="M1274" s="22">
        <f t="shared" si="6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58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59"/>
        <v>A tiempo</v>
      </c>
      <c r="L1275" s="13">
        <v>45985</v>
      </c>
      <c r="M1275" s="22">
        <f t="shared" si="6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58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59"/>
        <v>A tiempo</v>
      </c>
      <c r="L1276" s="13">
        <v>45985</v>
      </c>
      <c r="M1276" s="22">
        <f t="shared" si="6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58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59"/>
        <v>A tiempo</v>
      </c>
      <c r="L1277" s="13">
        <v>45985</v>
      </c>
      <c r="M1277" s="22">
        <f t="shared" si="6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58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59"/>
        <v>A tiempo</v>
      </c>
      <c r="L1278" s="13">
        <v>45985</v>
      </c>
      <c r="M1278" s="22">
        <f t="shared" si="6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58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59"/>
        <v>A tiempo</v>
      </c>
      <c r="L1279" s="13">
        <v>45986</v>
      </c>
      <c r="M1279" s="22">
        <f t="shared" si="6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58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59"/>
        <v>A tiempo</v>
      </c>
      <c r="L1280" s="11">
        <v>45986</v>
      </c>
      <c r="M1280" s="22">
        <f t="shared" si="6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58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59"/>
        <v>A tiempo</v>
      </c>
      <c r="L1281" s="11">
        <v>45986</v>
      </c>
      <c r="M1281" s="22">
        <f t="shared" si="6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6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62">IF(INT(A1282)=INT(F1282),"A tiempo", IF(A1282&lt;F1282,"Mismo día","Programados"))</f>
        <v>A tiempo</v>
      </c>
      <c r="L1282" s="13">
        <v>45986</v>
      </c>
      <c r="M1282" s="22">
        <f t="shared" ref="M1282:M1293" si="63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6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62"/>
        <v>A tiempo</v>
      </c>
      <c r="L1283" s="13">
        <v>45986</v>
      </c>
      <c r="M1283" s="22">
        <f t="shared" si="63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6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62"/>
        <v>Programados</v>
      </c>
      <c r="L1284" s="13">
        <v>45987</v>
      </c>
      <c r="M1284" s="22">
        <f t="shared" si="63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6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62"/>
        <v>A tiempo</v>
      </c>
      <c r="L1285" s="13">
        <v>45987</v>
      </c>
      <c r="M1285" s="22">
        <f t="shared" si="63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6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62"/>
        <v>A tiempo</v>
      </c>
      <c r="L1286" s="13">
        <v>45987</v>
      </c>
      <c r="M1286" s="22">
        <f t="shared" si="63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6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62"/>
        <v>A tiempo</v>
      </c>
      <c r="L1287" s="13">
        <v>45987</v>
      </c>
      <c r="M1287" s="22">
        <f t="shared" si="63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6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62"/>
        <v>Programados</v>
      </c>
      <c r="L1288" s="13">
        <v>45987</v>
      </c>
      <c r="M1288" s="22">
        <f t="shared" si="63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6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62"/>
        <v>A tiempo</v>
      </c>
      <c r="L1289" s="13">
        <v>45988</v>
      </c>
      <c r="M1289" s="22">
        <f t="shared" si="63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6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62"/>
        <v>Programados</v>
      </c>
      <c r="L1290" s="11">
        <v>45988</v>
      </c>
      <c r="M1290" s="22">
        <f t="shared" si="63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6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62"/>
        <v>A tiempo</v>
      </c>
      <c r="L1291" s="13">
        <v>45988</v>
      </c>
      <c r="M1291" s="22">
        <f t="shared" si="63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6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62"/>
        <v>A tiempo</v>
      </c>
      <c r="L1292" s="11">
        <v>45988</v>
      </c>
      <c r="M1292" s="22">
        <f t="shared" si="63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6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62"/>
        <v>Programados</v>
      </c>
      <c r="L1293" s="13">
        <v>45989</v>
      </c>
      <c r="M1293" s="22">
        <f t="shared" si="63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64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65">IF(INT(A1294)=INT(F1294),"A tiempo", IF(A1294&lt;F1294,"Mismo día","Programados"))</f>
        <v>Programados</v>
      </c>
      <c r="L1294" s="11">
        <v>45989</v>
      </c>
      <c r="M1294" s="22">
        <f t="shared" ref="M1294:M1357" si="66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64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65"/>
        <v>A tiempo</v>
      </c>
      <c r="L1295" s="13">
        <v>45989</v>
      </c>
      <c r="M1295" s="22">
        <f t="shared" si="66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64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65"/>
        <v>A tiempo</v>
      </c>
      <c r="L1296" s="11">
        <v>45989</v>
      </c>
      <c r="M1296" s="22">
        <f t="shared" si="66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64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65"/>
        <v>A tiempo</v>
      </c>
      <c r="L1297" s="11">
        <v>45989</v>
      </c>
      <c r="M1297" s="22">
        <f t="shared" si="66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64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65"/>
        <v>A tiempo</v>
      </c>
      <c r="L1298" s="11">
        <v>45989</v>
      </c>
      <c r="M1298" s="22">
        <f t="shared" si="66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64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65"/>
        <v>Programados</v>
      </c>
      <c r="L1299" s="13">
        <v>45989</v>
      </c>
      <c r="M1299" s="22">
        <f t="shared" si="66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64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65"/>
        <v>A tiempo</v>
      </c>
      <c r="L1300" s="11">
        <v>45992</v>
      </c>
      <c r="M1300" s="22">
        <f t="shared" si="66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64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65"/>
        <v>A tiempo</v>
      </c>
      <c r="L1301" s="11">
        <v>45992</v>
      </c>
      <c r="M1301" s="22">
        <f t="shared" si="66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64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65"/>
        <v>A tiempo</v>
      </c>
      <c r="L1302" s="11">
        <v>45992</v>
      </c>
      <c r="M1302" s="22">
        <f t="shared" si="66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64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65"/>
        <v>A tiempo</v>
      </c>
      <c r="L1303" s="11">
        <v>45992</v>
      </c>
      <c r="M1303" s="22">
        <f t="shared" si="66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64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65"/>
        <v>A tiempo</v>
      </c>
      <c r="L1304" s="11">
        <v>45992</v>
      </c>
      <c r="M1304" s="22">
        <f t="shared" si="66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64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65"/>
        <v>A tiempo</v>
      </c>
      <c r="L1305" s="11">
        <v>45992</v>
      </c>
      <c r="M1305" s="22">
        <f t="shared" si="66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64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65"/>
        <v>Mismo día</v>
      </c>
      <c r="L1306" s="11">
        <v>45992</v>
      </c>
      <c r="M1306" s="22">
        <f t="shared" si="66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64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65"/>
        <v>A tiempo</v>
      </c>
      <c r="L1307" s="11">
        <v>45993</v>
      </c>
      <c r="M1307" s="22">
        <f t="shared" si="66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64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65"/>
        <v>A tiempo</v>
      </c>
      <c r="L1308" s="11">
        <v>45993</v>
      </c>
      <c r="M1308" s="22">
        <f t="shared" si="66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64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65"/>
        <v>Mismo día</v>
      </c>
      <c r="L1309" s="11">
        <v>45993</v>
      </c>
      <c r="M1309" s="22">
        <f t="shared" si="66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64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65"/>
        <v>A tiempo</v>
      </c>
      <c r="L1310" s="11">
        <v>45994</v>
      </c>
      <c r="M1310" s="22">
        <f t="shared" si="66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64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65"/>
        <v>A tiempo</v>
      </c>
      <c r="L1311" s="11">
        <v>45994</v>
      </c>
      <c r="M1311" s="22">
        <f t="shared" si="66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64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65"/>
        <v>A tiempo</v>
      </c>
      <c r="L1312" s="11">
        <v>45994</v>
      </c>
      <c r="M1312" s="22">
        <f t="shared" si="66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64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65"/>
        <v>A tiempo</v>
      </c>
      <c r="L1313" s="11">
        <v>45994</v>
      </c>
      <c r="M1313" s="22">
        <f t="shared" si="66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64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65"/>
        <v>A tiempo</v>
      </c>
      <c r="L1314" s="11">
        <v>45995</v>
      </c>
      <c r="M1314" s="22">
        <f t="shared" si="66"/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64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65"/>
        <v>A tiempo</v>
      </c>
      <c r="L1315" s="11">
        <v>45995</v>
      </c>
      <c r="M1315" s="22">
        <f t="shared" si="66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64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65"/>
        <v>A tiempo</v>
      </c>
      <c r="L1316" s="11">
        <v>45996</v>
      </c>
      <c r="M1316" s="22">
        <f t="shared" si="66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64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65"/>
        <v>A tiempo</v>
      </c>
      <c r="L1317" s="11">
        <v>45995</v>
      </c>
      <c r="M1317" s="22">
        <f t="shared" si="66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64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65"/>
        <v>A tiempo</v>
      </c>
      <c r="L1318" s="11">
        <v>45995</v>
      </c>
      <c r="M1318" s="22">
        <f t="shared" si="66"/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64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65"/>
        <v>Programados</v>
      </c>
      <c r="L1319" s="11">
        <v>45996</v>
      </c>
      <c r="M1319" s="22">
        <f t="shared" si="66"/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64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65"/>
        <v>Programados</v>
      </c>
      <c r="L1320" s="11">
        <v>45996</v>
      </c>
      <c r="M1320" s="22">
        <f t="shared" si="66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64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65"/>
        <v>Programados</v>
      </c>
      <c r="L1321" s="11">
        <v>45999</v>
      </c>
      <c r="M1321" s="22">
        <f t="shared" si="66"/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64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65"/>
        <v>A tiempo</v>
      </c>
      <c r="L1322" s="11">
        <v>45996</v>
      </c>
      <c r="M1322" s="22">
        <f t="shared" si="66"/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64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65"/>
        <v>Programados</v>
      </c>
      <c r="L1323" s="11">
        <v>45996</v>
      </c>
      <c r="M1323" s="22">
        <f t="shared" si="66"/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64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65"/>
        <v>Programados</v>
      </c>
      <c r="L1324" s="11">
        <v>45996</v>
      </c>
      <c r="M1324" s="22">
        <f t="shared" si="66"/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64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65"/>
        <v>Programados</v>
      </c>
      <c r="L1325" s="11">
        <v>45996</v>
      </c>
      <c r="M1325" s="22">
        <f t="shared" si="66"/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64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65"/>
        <v>Programados</v>
      </c>
      <c r="L1326" s="11">
        <v>45996</v>
      </c>
      <c r="M1326" s="22">
        <f t="shared" si="66"/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64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65"/>
        <v>Programados</v>
      </c>
      <c r="L1327" s="11">
        <v>45996</v>
      </c>
      <c r="M1327" s="22">
        <f t="shared" si="66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64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65"/>
        <v>A tiempo</v>
      </c>
      <c r="L1328" s="11">
        <v>45996</v>
      </c>
      <c r="M1328" s="22">
        <f t="shared" si="66"/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64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65"/>
        <v>Programados</v>
      </c>
      <c r="L1329" s="11">
        <v>45996</v>
      </c>
      <c r="M1329" s="22">
        <f t="shared" si="66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64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65"/>
        <v>Mismo día</v>
      </c>
      <c r="L1330" s="11">
        <v>45999</v>
      </c>
      <c r="M1330" s="22">
        <f t="shared" si="66"/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64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65"/>
        <v>Mismo día</v>
      </c>
      <c r="L1331" s="11">
        <v>45996</v>
      </c>
      <c r="M1331" s="22">
        <f t="shared" si="66"/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64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65"/>
        <v>Programados</v>
      </c>
      <c r="L1332" s="11">
        <v>45999</v>
      </c>
      <c r="M1332" s="22">
        <f t="shared" si="66"/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64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65"/>
        <v>A tiempo</v>
      </c>
      <c r="L1333" s="11">
        <v>45999</v>
      </c>
      <c r="M1333" s="22">
        <f t="shared" si="66"/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64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65"/>
        <v>A tiempo</v>
      </c>
      <c r="L1334" s="11">
        <v>45999</v>
      </c>
      <c r="M1334" s="22">
        <f t="shared" si="66"/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64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65"/>
        <v>A tiempo</v>
      </c>
      <c r="L1335" s="11">
        <v>45999</v>
      </c>
      <c r="M1335" s="22">
        <f t="shared" si="66"/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64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65"/>
        <v>A tiempo</v>
      </c>
      <c r="L1336" s="11">
        <v>45999</v>
      </c>
      <c r="M1336" s="22">
        <f t="shared" si="66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64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65"/>
        <v>A tiempo</v>
      </c>
      <c r="L1337" s="11">
        <v>45999</v>
      </c>
      <c r="M1337" s="22">
        <f t="shared" si="66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64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65"/>
        <v>A tiempo</v>
      </c>
      <c r="L1338" s="11">
        <v>45999</v>
      </c>
      <c r="M1338" s="22">
        <f t="shared" si="66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64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65"/>
        <v>A tiempo</v>
      </c>
      <c r="L1339" s="11">
        <v>45999</v>
      </c>
      <c r="M1339" s="22">
        <f t="shared" si="66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64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65"/>
        <v>A tiempo</v>
      </c>
      <c r="L1340" s="11">
        <v>45999</v>
      </c>
      <c r="M1340" s="22">
        <f t="shared" si="66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64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65"/>
        <v>A tiempo</v>
      </c>
      <c r="L1341" s="11">
        <v>45999</v>
      </c>
      <c r="M1341" s="22">
        <f t="shared" si="66"/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64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65"/>
        <v>Programados</v>
      </c>
      <c r="L1342" s="11">
        <v>46001</v>
      </c>
      <c r="M1342" s="22">
        <f t="shared" si="66"/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64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65"/>
        <v>Programados</v>
      </c>
      <c r="L1343" s="11">
        <v>46001</v>
      </c>
      <c r="M1343" s="22">
        <f t="shared" si="66"/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64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65"/>
        <v>A tiempo</v>
      </c>
      <c r="L1344" s="16">
        <v>46000</v>
      </c>
      <c r="M1344" s="23">
        <f t="shared" si="66"/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64"/>
        <v>49</v>
      </c>
      <c r="I1345" s="20">
        <f>MAX(1, NETWORKDAYS(A1345, G1345,Table2[Dias no laborales]))</f>
        <v>1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Acumulado</v>
      </c>
      <c r="K1345" s="7" t="str">
        <f t="shared" si="65"/>
        <v>A tiempo</v>
      </c>
      <c r="L1345" s="11">
        <v>46009</v>
      </c>
      <c r="M1345" s="22">
        <f t="shared" si="66"/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64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65"/>
        <v>A tiempo</v>
      </c>
      <c r="L1346" s="11">
        <v>46001</v>
      </c>
      <c r="M1346" s="22">
        <f t="shared" si="66"/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64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65"/>
        <v>Programados</v>
      </c>
      <c r="L1347" s="11">
        <v>46000</v>
      </c>
      <c r="M1347" s="22">
        <f t="shared" si="66"/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64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65"/>
        <v>Mismo día</v>
      </c>
      <c r="L1348" s="11">
        <v>46000</v>
      </c>
      <c r="M1348" s="22">
        <f t="shared" si="66"/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64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65"/>
        <v>A tiempo</v>
      </c>
      <c r="L1349" s="11">
        <v>46001</v>
      </c>
      <c r="M1349" s="22">
        <f t="shared" si="66"/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64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65"/>
        <v>A tiempo</v>
      </c>
      <c r="L1350" s="11">
        <v>46001</v>
      </c>
      <c r="M1350" s="22">
        <f t="shared" si="66"/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64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65"/>
        <v>A tiempo</v>
      </c>
      <c r="L1351" s="11">
        <v>46001</v>
      </c>
      <c r="M1351" s="22">
        <f t="shared" si="66"/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64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65"/>
        <v>A tiempo</v>
      </c>
      <c r="L1352" s="11">
        <v>46001</v>
      </c>
      <c r="M1352" s="22">
        <f t="shared" si="66"/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64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65"/>
        <v>A tiempo</v>
      </c>
      <c r="L1353" s="11">
        <v>46001</v>
      </c>
      <c r="M1353" s="22">
        <f t="shared" si="66"/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64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65"/>
        <v>A tiempo</v>
      </c>
      <c r="L1354" s="11">
        <v>46001</v>
      </c>
      <c r="M1354" s="22">
        <f t="shared" si="66"/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64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65"/>
        <v>A tiempo</v>
      </c>
      <c r="L1355" s="11">
        <v>46001</v>
      </c>
      <c r="M1355" s="22">
        <f t="shared" si="66"/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64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65"/>
        <v>Mismo día</v>
      </c>
      <c r="L1356" s="11">
        <v>46001</v>
      </c>
      <c r="M1356" s="22">
        <f t="shared" si="66"/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64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65"/>
        <v>Mismo día</v>
      </c>
      <c r="L1357" s="11">
        <v>46001</v>
      </c>
      <c r="M1357" s="22">
        <f t="shared" si="66"/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67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68">IF(INT(A1358)=INT(F1358),"A tiempo", IF(A1358&lt;F1358,"Mismo día","Programados"))</f>
        <v>A tiempo</v>
      </c>
      <c r="L1358" s="11">
        <v>46368</v>
      </c>
      <c r="M1358" s="22">
        <f t="shared" ref="M1358:M1421" si="69">MAX(1,NETWORKDAYS(A1358,L1358))</f>
        <v>262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67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68"/>
        <v>Programados</v>
      </c>
      <c r="L1359" s="11">
        <v>46006</v>
      </c>
      <c r="M1359" s="22">
        <f t="shared" si="69"/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67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68"/>
        <v>A tiempo</v>
      </c>
      <c r="L1360" s="11">
        <v>46006</v>
      </c>
      <c r="M1360" s="22">
        <f t="shared" si="69"/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67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68"/>
        <v>A tiempo</v>
      </c>
      <c r="L1361" s="11">
        <v>45972</v>
      </c>
      <c r="M1361" s="22">
        <f t="shared" si="69"/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67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68"/>
        <v>A tiempo</v>
      </c>
      <c r="L1362" s="11">
        <v>46002</v>
      </c>
      <c r="M1362" s="22">
        <f t="shared" si="69"/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67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68"/>
        <v>Programados</v>
      </c>
      <c r="L1363" s="11">
        <v>46002</v>
      </c>
      <c r="M1363" s="22">
        <f t="shared" si="69"/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67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68"/>
        <v>Mismo día</v>
      </c>
      <c r="L1364" s="11">
        <v>46003</v>
      </c>
      <c r="M1364" s="22">
        <f t="shared" si="69"/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67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68"/>
        <v>Programados</v>
      </c>
      <c r="L1365" s="11">
        <v>46003</v>
      </c>
      <c r="M1365" s="22">
        <f t="shared" si="69"/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67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68"/>
        <v>A tiempo</v>
      </c>
      <c r="L1366" s="11">
        <v>46003</v>
      </c>
      <c r="M1366" s="22">
        <f t="shared" si="69"/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67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68"/>
        <v>A tiempo</v>
      </c>
      <c r="L1367" s="16">
        <v>46003</v>
      </c>
      <c r="M1367" s="23">
        <f t="shared" si="69"/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67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68"/>
        <v>A tiempo</v>
      </c>
      <c r="L1368" s="16">
        <v>46006</v>
      </c>
      <c r="M1368" s="23">
        <f t="shared" si="69"/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67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68"/>
        <v>A tiempo</v>
      </c>
      <c r="L1369" s="16">
        <v>46006</v>
      </c>
      <c r="M1369" s="23">
        <f t="shared" si="69"/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67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68"/>
        <v>A tiempo</v>
      </c>
      <c r="L1370" s="16">
        <v>46006</v>
      </c>
      <c r="M1370" s="23">
        <f t="shared" si="69"/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67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68"/>
        <v>A tiempo</v>
      </c>
      <c r="L1371" s="16">
        <v>46006</v>
      </c>
      <c r="M1371" s="23">
        <f t="shared" si="69"/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67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68"/>
        <v>Programados</v>
      </c>
      <c r="L1372" s="16">
        <v>46006</v>
      </c>
      <c r="M1372" s="23">
        <f t="shared" si="69"/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67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68"/>
        <v>Mismo día</v>
      </c>
      <c r="L1373" s="16">
        <v>46006</v>
      </c>
      <c r="M1373" s="23">
        <f t="shared" si="69"/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67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68"/>
        <v>A tiempo</v>
      </c>
      <c r="L1374" s="16">
        <v>46007</v>
      </c>
      <c r="M1374" s="23">
        <f t="shared" si="69"/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67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68"/>
        <v>A tiempo</v>
      </c>
      <c r="L1375" s="16">
        <v>46007</v>
      </c>
      <c r="M1375" s="23">
        <f t="shared" si="69"/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67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68"/>
        <v>A tiempo</v>
      </c>
      <c r="L1376" s="16">
        <v>46007</v>
      </c>
      <c r="M1376" s="23">
        <f t="shared" si="69"/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67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68"/>
        <v>A tiempo</v>
      </c>
      <c r="L1377" s="16">
        <v>46007</v>
      </c>
      <c r="M1377" s="23">
        <f t="shared" si="69"/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67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68"/>
        <v>A tiempo</v>
      </c>
      <c r="L1378" s="16">
        <v>46007</v>
      </c>
      <c r="M1378" s="23">
        <f t="shared" si="69"/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67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68"/>
        <v>A tiempo</v>
      </c>
      <c r="L1379" s="16">
        <v>46007</v>
      </c>
      <c r="M1379" s="23">
        <f t="shared" si="69"/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67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68"/>
        <v>Programados</v>
      </c>
      <c r="L1380" s="16">
        <v>46008</v>
      </c>
      <c r="M1380" s="23">
        <f t="shared" si="69"/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67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68"/>
        <v>A tiempo</v>
      </c>
      <c r="L1381" s="16">
        <v>46008</v>
      </c>
      <c r="M1381" s="23">
        <f t="shared" si="69"/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67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68"/>
        <v>Programados</v>
      </c>
      <c r="L1382" s="16">
        <v>46009</v>
      </c>
      <c r="M1382" s="23">
        <f t="shared" si="69"/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67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68"/>
        <v>A tiempo</v>
      </c>
      <c r="L1383" s="16">
        <v>46008</v>
      </c>
      <c r="M1383" s="23">
        <f t="shared" si="69"/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67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68"/>
        <v>A tiempo</v>
      </c>
      <c r="L1384" s="16">
        <v>46008</v>
      </c>
      <c r="M1384" s="23">
        <f t="shared" si="69"/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67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68"/>
        <v>A tiempo</v>
      </c>
      <c r="L1385" s="16">
        <v>46009</v>
      </c>
      <c r="M1385" s="23">
        <f t="shared" si="69"/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67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68"/>
        <v>A tiempo</v>
      </c>
      <c r="L1386" s="16">
        <v>46009</v>
      </c>
      <c r="M1386" s="23">
        <f t="shared" si="69"/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67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68"/>
        <v>A tiempo</v>
      </c>
      <c r="L1387" s="16">
        <v>46009</v>
      </c>
      <c r="M1387" s="23">
        <f t="shared" si="69"/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67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68"/>
        <v>A tiempo</v>
      </c>
      <c r="L1388" s="16">
        <v>46009</v>
      </c>
      <c r="M1388" s="23">
        <f t="shared" si="69"/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67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68"/>
        <v>A tiempo</v>
      </c>
      <c r="L1389" s="16">
        <v>46010</v>
      </c>
      <c r="M1389" s="23">
        <f t="shared" si="69"/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67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68"/>
        <v>Programados</v>
      </c>
      <c r="L1390" s="16">
        <v>46010</v>
      </c>
      <c r="M1390" s="23">
        <f t="shared" si="69"/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67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68"/>
        <v>A tiempo</v>
      </c>
      <c r="L1391" s="11">
        <v>46010</v>
      </c>
      <c r="M1391" s="22">
        <f t="shared" si="69"/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67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68"/>
        <v>Programados</v>
      </c>
      <c r="L1392" s="11">
        <v>46020</v>
      </c>
      <c r="M1392" s="22">
        <f t="shared" si="69"/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67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68"/>
        <v>Programados</v>
      </c>
      <c r="L1393" s="11">
        <v>46020</v>
      </c>
      <c r="M1393" s="22">
        <f t="shared" si="69"/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67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68"/>
        <v>Programados</v>
      </c>
      <c r="L1394" s="11">
        <v>46024</v>
      </c>
      <c r="M1394" s="22">
        <f t="shared" si="69"/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67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68"/>
        <v>Programados</v>
      </c>
      <c r="L1395" s="11">
        <v>46027</v>
      </c>
      <c r="M1395" s="22">
        <f t="shared" si="69"/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67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68"/>
        <v>A tiempo</v>
      </c>
      <c r="L1396" s="11">
        <v>46027</v>
      </c>
      <c r="M1396" s="22">
        <f t="shared" si="69"/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67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68"/>
        <v>A tiempo</v>
      </c>
      <c r="L1397" s="11">
        <v>46027</v>
      </c>
      <c r="M1397" s="22">
        <f t="shared" si="69"/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67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68"/>
        <v>Programados</v>
      </c>
      <c r="L1398" s="11">
        <v>46027</v>
      </c>
      <c r="M1398" s="22">
        <f t="shared" si="69"/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67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68"/>
        <v>Programados</v>
      </c>
      <c r="L1399" s="11">
        <v>46027</v>
      </c>
      <c r="M1399" s="22">
        <f t="shared" si="69"/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67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68"/>
        <v>A tiempo</v>
      </c>
      <c r="L1400" s="16">
        <v>46027</v>
      </c>
      <c r="M1400" s="23">
        <f t="shared" si="69"/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67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68"/>
        <v>Programados</v>
      </c>
      <c r="L1401" s="11">
        <v>46027</v>
      </c>
      <c r="M1401" s="22">
        <f t="shared" si="69"/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67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68"/>
        <v>Programados</v>
      </c>
      <c r="L1402" s="11">
        <v>46027</v>
      </c>
      <c r="M1402" s="22">
        <f t="shared" si="69"/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67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68"/>
        <v>Programados</v>
      </c>
      <c r="L1403" s="11">
        <v>46028</v>
      </c>
      <c r="M1403" s="22">
        <f t="shared" si="69"/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67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68"/>
        <v>Programados</v>
      </c>
      <c r="L1404" s="11">
        <v>46028</v>
      </c>
      <c r="M1404" s="22">
        <f t="shared" si="69"/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67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68"/>
        <v>Programados</v>
      </c>
      <c r="L1405" s="11">
        <v>46028</v>
      </c>
      <c r="M1405" s="22">
        <f t="shared" si="69"/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67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68"/>
        <v>Programados</v>
      </c>
      <c r="L1406" s="11">
        <v>46028</v>
      </c>
      <c r="M1406" s="22">
        <f t="shared" si="69"/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67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68"/>
        <v>Programados</v>
      </c>
      <c r="L1407" s="11">
        <v>46028</v>
      </c>
      <c r="M1407" s="22">
        <f t="shared" si="69"/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67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68"/>
        <v>Programados</v>
      </c>
      <c r="L1408" s="11">
        <v>46028</v>
      </c>
      <c r="M1408" s="22">
        <f t="shared" si="69"/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67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68"/>
        <v>A tiempo</v>
      </c>
      <c r="L1409" s="11">
        <v>46029</v>
      </c>
      <c r="M1409" s="22">
        <f t="shared" si="69"/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67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68"/>
        <v>A tiempo</v>
      </c>
      <c r="L1410" s="11">
        <v>46029</v>
      </c>
      <c r="M1410" s="22">
        <f t="shared" si="69"/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67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68"/>
        <v>A tiempo</v>
      </c>
      <c r="L1411" s="11">
        <v>46029</v>
      </c>
      <c r="M1411" s="22">
        <f t="shared" si="69"/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67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68"/>
        <v>Programados</v>
      </c>
      <c r="L1412" s="11">
        <v>46030</v>
      </c>
      <c r="M1412" s="22">
        <f t="shared" si="69"/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67"/>
        <v>2</v>
      </c>
      <c r="I1413" s="20">
        <f>MAX(1, NETWORKDAYS(A1413, G1413,Table2[Dias no laborales]))</f>
        <v>1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Acumulado</v>
      </c>
      <c r="K1413" s="7" t="str">
        <f t="shared" si="68"/>
        <v>Programados</v>
      </c>
      <c r="L1413" s="11">
        <v>46031</v>
      </c>
      <c r="M1413" s="22">
        <f t="shared" si="69"/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67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68"/>
        <v>Mismo día</v>
      </c>
      <c r="L1414" s="11">
        <v>46027</v>
      </c>
      <c r="M1414" s="22">
        <f t="shared" si="69"/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67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68"/>
        <v>Programados</v>
      </c>
      <c r="L1415" s="11">
        <v>46030</v>
      </c>
      <c r="M1415" s="22">
        <f t="shared" si="69"/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67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68"/>
        <v>Programados</v>
      </c>
      <c r="L1416" s="11">
        <v>46030</v>
      </c>
      <c r="M1416" s="22">
        <f t="shared" si="69"/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67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68"/>
        <v>Programados</v>
      </c>
      <c r="L1417" s="11">
        <v>46030</v>
      </c>
      <c r="M1417" s="22">
        <f t="shared" si="69"/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67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68"/>
        <v>A tiempo</v>
      </c>
      <c r="L1418" s="11">
        <v>46030</v>
      </c>
      <c r="M1418" s="22">
        <f t="shared" si="69"/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67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68"/>
        <v>Programados</v>
      </c>
      <c r="L1419" s="11">
        <v>46031</v>
      </c>
      <c r="M1419" s="22">
        <f t="shared" si="69"/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67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68"/>
        <v>Programados</v>
      </c>
      <c r="L1420" s="11">
        <v>46031</v>
      </c>
      <c r="M1420" s="22">
        <f t="shared" si="69"/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67"/>
        <v>2</v>
      </c>
      <c r="I1421" s="20">
        <f>MAX(1, NETWORKDAYS(A1421, G1421,Table2[Dias no laborales]))</f>
        <v>1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Acumulado</v>
      </c>
      <c r="K1421" s="7" t="str">
        <f t="shared" si="68"/>
        <v>A tiempo</v>
      </c>
      <c r="L1421" s="11">
        <v>46031</v>
      </c>
      <c r="M1421" s="22">
        <f t="shared" si="69"/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70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71">IF(INT(A1422)=INT(F1422),"A tiempo", IF(A1422&lt;F1422,"Mismo día","Programados"))</f>
        <v>A tiempo</v>
      </c>
      <c r="L1422" s="11">
        <v>46031</v>
      </c>
      <c r="M1422" s="22">
        <f t="shared" ref="M1422:M1485" si="72">MAX(1,NETWORKDAYS(A1422,L1422))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70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71"/>
        <v>A tiempo</v>
      </c>
      <c r="L1423" s="11">
        <v>46031</v>
      </c>
      <c r="M1423" s="22">
        <f t="shared" si="72"/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70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71"/>
        <v>Programados</v>
      </c>
      <c r="L1424" s="11">
        <v>46034</v>
      </c>
      <c r="M1424" s="22">
        <f t="shared" si="72"/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70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71"/>
        <v>A tiempo</v>
      </c>
      <c r="L1425" s="11">
        <v>46034</v>
      </c>
      <c r="M1425" s="22">
        <f t="shared" si="72"/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70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71"/>
        <v>A tiempo</v>
      </c>
      <c r="L1426" s="11">
        <v>46034</v>
      </c>
      <c r="M1426" s="22">
        <f t="shared" si="72"/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70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71"/>
        <v>A tiempo</v>
      </c>
      <c r="L1427" s="11">
        <v>46035</v>
      </c>
      <c r="M1427" s="22">
        <f t="shared" si="72"/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70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71"/>
        <v>A tiempo</v>
      </c>
      <c r="L1428" s="11">
        <v>46035</v>
      </c>
      <c r="M1428" s="22">
        <f t="shared" si="72"/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70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71"/>
        <v>A tiempo</v>
      </c>
      <c r="L1429" s="11">
        <v>46035</v>
      </c>
      <c r="M1429" s="22">
        <f t="shared" si="72"/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70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71"/>
        <v>A tiempo</v>
      </c>
      <c r="L1430" s="11">
        <v>46035</v>
      </c>
      <c r="M1430" s="22">
        <f t="shared" si="72"/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70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71"/>
        <v>A tiempo</v>
      </c>
      <c r="L1431" s="11">
        <v>46035</v>
      </c>
      <c r="M1431" s="22">
        <f t="shared" si="72"/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70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71"/>
        <v>Programados</v>
      </c>
      <c r="L1432" s="11">
        <v>46035</v>
      </c>
      <c r="M1432" s="22">
        <f t="shared" si="72"/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70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71"/>
        <v>A tiempo</v>
      </c>
      <c r="L1433" s="11">
        <v>46035</v>
      </c>
      <c r="M1433" s="22">
        <f t="shared" si="72"/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70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71"/>
        <v>A tiempo</v>
      </c>
      <c r="L1434" s="11">
        <v>46035</v>
      </c>
      <c r="M1434" s="22">
        <f t="shared" si="72"/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70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71"/>
        <v>A tiempo</v>
      </c>
      <c r="L1435" s="11">
        <v>46036</v>
      </c>
      <c r="M1435" s="22">
        <f t="shared" si="72"/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70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71"/>
        <v>A tiempo</v>
      </c>
      <c r="L1436" s="11">
        <v>46036</v>
      </c>
      <c r="M1436" s="22">
        <f t="shared" si="72"/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70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71"/>
        <v>A tiempo</v>
      </c>
      <c r="L1437" s="11">
        <v>46037</v>
      </c>
      <c r="M1437" s="22">
        <f t="shared" si="72"/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70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71"/>
        <v>A tiempo</v>
      </c>
      <c r="L1438" s="11">
        <v>46037</v>
      </c>
      <c r="M1438" s="22">
        <f t="shared" si="72"/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70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71"/>
        <v>A tiempo</v>
      </c>
      <c r="L1439" s="11">
        <v>46038</v>
      </c>
      <c r="M1439" s="22">
        <f t="shared" si="72"/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70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71"/>
        <v>Programados</v>
      </c>
      <c r="L1440" s="11">
        <v>46041</v>
      </c>
      <c r="M1440" s="22">
        <f t="shared" si="72"/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70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71"/>
        <v>A tiempo</v>
      </c>
      <c r="L1441" s="11">
        <v>46041</v>
      </c>
      <c r="M1441" s="22">
        <f t="shared" si="72"/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70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71"/>
        <v>A tiempo</v>
      </c>
      <c r="L1442" s="11">
        <v>46041</v>
      </c>
      <c r="M1442" s="22">
        <f t="shared" si="72"/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70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71"/>
        <v>A tiempo</v>
      </c>
      <c r="L1443" s="11">
        <v>46041</v>
      </c>
      <c r="M1443" s="22">
        <f t="shared" si="72"/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70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71"/>
        <v>Programados</v>
      </c>
      <c r="L1444" s="11">
        <v>46041</v>
      </c>
      <c r="M1444" s="22">
        <f t="shared" si="72"/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70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71"/>
        <v>A tiempo</v>
      </c>
      <c r="L1445" s="11">
        <v>46042</v>
      </c>
      <c r="M1445" s="22">
        <f t="shared" si="72"/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70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71"/>
        <v>A tiempo</v>
      </c>
      <c r="L1446" s="11">
        <v>46044</v>
      </c>
      <c r="M1446" s="22">
        <f t="shared" si="72"/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70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71"/>
        <v>A tiempo</v>
      </c>
      <c r="L1447" s="11">
        <v>46042</v>
      </c>
      <c r="M1447" s="22">
        <f t="shared" si="72"/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70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71"/>
        <v>A tiempo</v>
      </c>
      <c r="L1448" s="11">
        <v>46042</v>
      </c>
      <c r="M1448" s="22">
        <f t="shared" si="72"/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70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71"/>
        <v>A tiempo</v>
      </c>
      <c r="L1449" s="11">
        <v>46043</v>
      </c>
      <c r="M1449" s="22">
        <f t="shared" si="72"/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70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71"/>
        <v>A tiempo</v>
      </c>
      <c r="L1450" s="11">
        <v>46043</v>
      </c>
      <c r="M1450" s="22">
        <f t="shared" si="72"/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70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71"/>
        <v>A tiempo</v>
      </c>
      <c r="L1451" s="11">
        <v>46042</v>
      </c>
      <c r="M1451" s="22">
        <f t="shared" si="72"/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70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71"/>
        <v>A tiempo</v>
      </c>
      <c r="L1452" s="11">
        <v>46042</v>
      </c>
      <c r="M1452" s="22">
        <f t="shared" si="72"/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70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71"/>
        <v>Programados</v>
      </c>
      <c r="L1453" s="11">
        <v>46042</v>
      </c>
      <c r="M1453" s="22">
        <f t="shared" si="72"/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70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71"/>
        <v>Programados</v>
      </c>
      <c r="L1454" s="11">
        <v>46044</v>
      </c>
      <c r="M1454" s="22">
        <f t="shared" si="72"/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70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71"/>
        <v>Programados</v>
      </c>
      <c r="L1455" s="11">
        <v>46042</v>
      </c>
      <c r="M1455" s="22">
        <f t="shared" si="72"/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70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71"/>
        <v>Programados</v>
      </c>
      <c r="L1456" s="11">
        <v>46042</v>
      </c>
      <c r="M1456" s="22">
        <f t="shared" si="72"/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70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71"/>
        <v>Mismo día</v>
      </c>
      <c r="L1457" s="11">
        <v>46042</v>
      </c>
      <c r="M1457" s="22">
        <f t="shared" si="72"/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70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71"/>
        <v>A tiempo</v>
      </c>
      <c r="L1458" s="11">
        <v>46043</v>
      </c>
      <c r="M1458" s="22">
        <f t="shared" si="72"/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70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71"/>
        <v>A tiempo</v>
      </c>
      <c r="L1459" s="11">
        <v>46043</v>
      </c>
      <c r="M1459" s="22">
        <f t="shared" si="72"/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70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71"/>
        <v>Programados</v>
      </c>
      <c r="L1460" s="11">
        <v>46043</v>
      </c>
      <c r="M1460" s="22">
        <f t="shared" si="72"/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70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71"/>
        <v>A tiempo</v>
      </c>
      <c r="L1461" s="11">
        <v>46043</v>
      </c>
      <c r="M1461" s="22">
        <f t="shared" si="72"/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70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71"/>
        <v>Mismo día</v>
      </c>
      <c r="L1462" s="11">
        <v>46043</v>
      </c>
      <c r="M1462" s="22">
        <f t="shared" si="72"/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70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71"/>
        <v>A tiempo</v>
      </c>
      <c r="L1463" s="16">
        <v>46044</v>
      </c>
      <c r="M1463" s="23">
        <f t="shared" si="72"/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70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71"/>
        <v>Programados</v>
      </c>
      <c r="L1464" s="16">
        <v>46044</v>
      </c>
      <c r="M1464" s="23">
        <f t="shared" si="72"/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70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71"/>
        <v>A tiempo</v>
      </c>
      <c r="L1465" s="16">
        <v>46044</v>
      </c>
      <c r="M1465" s="23">
        <f t="shared" si="72"/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70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71"/>
        <v>Mismo día</v>
      </c>
      <c r="L1466" s="11">
        <v>46044</v>
      </c>
      <c r="M1466" s="22">
        <f t="shared" si="72"/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70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71"/>
        <v>Programados</v>
      </c>
      <c r="L1467" s="11">
        <v>46044</v>
      </c>
      <c r="M1467" s="22">
        <f t="shared" si="72"/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70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71"/>
        <v>Programados</v>
      </c>
      <c r="L1468" s="11">
        <v>46044</v>
      </c>
      <c r="M1468" s="22">
        <f t="shared" si="72"/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70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71"/>
        <v>A tiempo</v>
      </c>
      <c r="L1469" s="11">
        <v>46045</v>
      </c>
      <c r="M1469" s="22">
        <f t="shared" si="72"/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70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71"/>
        <v>A tiempo</v>
      </c>
      <c r="L1470" s="11">
        <v>46048</v>
      </c>
      <c r="M1470" s="22">
        <f t="shared" si="72"/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70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71"/>
        <v>A tiempo</v>
      </c>
      <c r="L1471" s="11">
        <v>46048</v>
      </c>
      <c r="M1471" s="22">
        <f t="shared" si="72"/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70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71"/>
        <v>A tiempo</v>
      </c>
      <c r="L1472" s="11">
        <v>46045</v>
      </c>
      <c r="M1472" s="22">
        <f t="shared" si="72"/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70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71"/>
        <v>A tiempo</v>
      </c>
      <c r="L1473" s="11">
        <v>46045</v>
      </c>
      <c r="M1473" s="22">
        <f t="shared" si="72"/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70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71"/>
        <v>A tiempo</v>
      </c>
      <c r="L1474" s="11">
        <v>46048</v>
      </c>
      <c r="M1474" s="22">
        <f t="shared" si="72"/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70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71"/>
        <v>Programados</v>
      </c>
      <c r="L1475" s="11">
        <v>46045</v>
      </c>
      <c r="M1475" s="22">
        <f t="shared" si="72"/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70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71"/>
        <v>Programados</v>
      </c>
      <c r="L1476" s="11">
        <v>46045</v>
      </c>
      <c r="M1476" s="22">
        <f t="shared" si="72"/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70"/>
        <v>4</v>
      </c>
      <c r="I1477" s="20">
        <f>MAX(1, NETWORKDAYS(A1477, G1477,Table2[Dias no laborales]))</f>
        <v>1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Acumulado</v>
      </c>
      <c r="K1477" s="7" t="str">
        <f t="shared" si="71"/>
        <v>A tiempo</v>
      </c>
      <c r="L1477" s="11">
        <v>46048</v>
      </c>
      <c r="M1477" s="22">
        <f t="shared" si="72"/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70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71"/>
        <v>Mismo día</v>
      </c>
      <c r="L1478" s="11">
        <v>46045</v>
      </c>
      <c r="M1478" s="22">
        <f t="shared" si="72"/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70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71"/>
        <v>Programados</v>
      </c>
      <c r="L1479" s="11">
        <v>46045</v>
      </c>
      <c r="M1479" s="22">
        <f t="shared" si="72"/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70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71"/>
        <v>Programados</v>
      </c>
      <c r="L1480" s="11">
        <v>46048</v>
      </c>
      <c r="M1480" s="22">
        <f t="shared" si="72"/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70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71"/>
        <v>A tiempo</v>
      </c>
      <c r="L1481" s="11">
        <v>46048</v>
      </c>
      <c r="M1481" s="22">
        <f t="shared" si="72"/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70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71"/>
        <v>A tiempo</v>
      </c>
      <c r="L1482" s="11">
        <v>46048</v>
      </c>
      <c r="M1482" s="22">
        <f t="shared" si="72"/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70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71"/>
        <v>A tiempo</v>
      </c>
      <c r="L1483" s="11">
        <v>46048</v>
      </c>
      <c r="M1483" s="22">
        <f t="shared" si="72"/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70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71"/>
        <v>A tiempo</v>
      </c>
      <c r="L1484" s="11">
        <v>46049</v>
      </c>
      <c r="M1484" s="22">
        <f t="shared" si="72"/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70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71"/>
        <v>A tiempo</v>
      </c>
      <c r="L1485" s="11">
        <v>46049</v>
      </c>
      <c r="M1485" s="22">
        <f t="shared" si="72"/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73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74">IF(INT(A1486)=INT(F1486),"A tiempo", IF(A1486&lt;F1486,"Mismo día","Programados"))</f>
        <v>A tiempo</v>
      </c>
      <c r="L1486" s="11">
        <v>46048</v>
      </c>
      <c r="M1486" s="22">
        <f t="shared" ref="M1486:M1519" si="75">MAX(1,NETWORKDAYS(A1486,L1486))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73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74"/>
        <v>Mismo día</v>
      </c>
      <c r="L1487" s="11">
        <v>46048</v>
      </c>
      <c r="M1487" s="22">
        <f t="shared" si="75"/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73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74"/>
        <v>Mismo día</v>
      </c>
      <c r="L1488" s="11">
        <v>46048</v>
      </c>
      <c r="M1488" s="22">
        <f t="shared" si="75"/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73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74"/>
        <v>Mismo día</v>
      </c>
      <c r="L1489" s="11">
        <v>46049</v>
      </c>
      <c r="M1489" s="22">
        <f t="shared" si="75"/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/>
      <c r="H1490" s="7">
        <f t="shared" si="73"/>
        <v>4</v>
      </c>
      <c r="I1490" s="20">
        <f>MAX(1, NETWORKDAYS(A1490, G1490,Table2[Dias no laborales]))</f>
        <v>1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Acumulado</v>
      </c>
      <c r="K1490" s="7" t="str">
        <f t="shared" si="74"/>
        <v>A tiempo</v>
      </c>
      <c r="L1490" s="11">
        <v>46049</v>
      </c>
      <c r="M1490" s="22">
        <f t="shared" si="75"/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73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74"/>
        <v>A tiempo</v>
      </c>
      <c r="L1491" s="11">
        <v>46049</v>
      </c>
      <c r="M1491" s="22">
        <f t="shared" si="75"/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73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74"/>
        <v>A tiempo</v>
      </c>
      <c r="L1492" s="11">
        <v>46049</v>
      </c>
      <c r="M1492" s="22">
        <f t="shared" si="75"/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73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74"/>
        <v>A tiempo</v>
      </c>
      <c r="L1493" s="11">
        <v>46049</v>
      </c>
      <c r="M1493" s="22">
        <f t="shared" si="75"/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73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74"/>
        <v>A tiempo</v>
      </c>
      <c r="L1494" s="11">
        <v>46049</v>
      </c>
      <c r="M1494" s="22">
        <f t="shared" si="75"/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73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74"/>
        <v>A tiempo</v>
      </c>
      <c r="L1495" s="11">
        <v>46050</v>
      </c>
      <c r="M1495" s="22">
        <f t="shared" si="75"/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73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74"/>
        <v>A tiempo</v>
      </c>
      <c r="L1496" s="11">
        <v>46049</v>
      </c>
      <c r="M1496" s="22">
        <f t="shared" si="75"/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73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74"/>
        <v>A tiempo</v>
      </c>
      <c r="L1497" s="11">
        <v>46049</v>
      </c>
      <c r="M1497" s="22">
        <f t="shared" si="75"/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73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74"/>
        <v>A tiempo</v>
      </c>
      <c r="L1498" s="11">
        <v>46049</v>
      </c>
      <c r="M1498" s="22">
        <f t="shared" si="75"/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73"/>
        <v>4</v>
      </c>
      <c r="I1499" s="20">
        <f>MAX(1, NETWORKDAYS(A1499, G1499,Table2[Dias no laborales]))</f>
        <v>1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Acumulado</v>
      </c>
      <c r="K1499" s="7" t="str">
        <f t="shared" si="74"/>
        <v>Programados</v>
      </c>
      <c r="L1499" s="11">
        <v>46050</v>
      </c>
      <c r="M1499" s="22">
        <f t="shared" si="75"/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73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74"/>
        <v>Programados</v>
      </c>
      <c r="L1500" s="11">
        <v>46050</v>
      </c>
      <c r="M1500" s="22">
        <f t="shared" si="75"/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73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74"/>
        <v>Programados</v>
      </c>
      <c r="L1501" s="11">
        <v>46050</v>
      </c>
      <c r="M1501" s="22">
        <f t="shared" si="75"/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73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74"/>
        <v>A tiempo</v>
      </c>
      <c r="L1502" s="11">
        <v>46050</v>
      </c>
      <c r="M1502" s="22">
        <f t="shared" si="75"/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73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74"/>
        <v>A tiempo</v>
      </c>
      <c r="L1503" s="11">
        <v>46050</v>
      </c>
      <c r="M1503" s="22">
        <f t="shared" si="75"/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73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74"/>
        <v>A tiempo</v>
      </c>
      <c r="L1504" s="11">
        <v>46050</v>
      </c>
      <c r="M1504" s="22">
        <f t="shared" si="75"/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73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74"/>
        <v>A tiempo</v>
      </c>
      <c r="L1505" s="11">
        <v>46050</v>
      </c>
      <c r="M1505" s="22">
        <f t="shared" si="75"/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73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74"/>
        <v>A tiempo</v>
      </c>
      <c r="L1506" s="11">
        <v>46050</v>
      </c>
      <c r="M1506" s="22">
        <f t="shared" si="75"/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73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74"/>
        <v>A tiempo</v>
      </c>
      <c r="L1507" s="11">
        <v>46050</v>
      </c>
      <c r="M1507" s="22">
        <f t="shared" si="75"/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73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74"/>
        <v>A tiempo</v>
      </c>
      <c r="L1508" s="11">
        <v>46050</v>
      </c>
      <c r="M1508" s="22">
        <f t="shared" si="75"/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73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74"/>
        <v>Mismo día</v>
      </c>
      <c r="L1509" s="11">
        <v>46050</v>
      </c>
      <c r="M1509" s="22">
        <f t="shared" si="75"/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73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74"/>
        <v>A tiempo</v>
      </c>
      <c r="L1510" s="11">
        <v>46051</v>
      </c>
      <c r="M1510" s="22">
        <f t="shared" si="75"/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73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74"/>
        <v>A tiempo</v>
      </c>
      <c r="L1511" s="11">
        <v>46051</v>
      </c>
      <c r="M1511" s="22">
        <f t="shared" si="75"/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73"/>
        <v>5</v>
      </c>
      <c r="I1512" s="20">
        <f>MAX(1, NETWORKDAYS(A1512, G1512,Table2[Dias no laborales]))</f>
        <v>1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Acumulado</v>
      </c>
      <c r="K1512" s="7" t="str">
        <f t="shared" si="74"/>
        <v>A tiempo</v>
      </c>
      <c r="L1512" s="11">
        <v>46051</v>
      </c>
      <c r="M1512" s="22">
        <f t="shared" si="75"/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73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74"/>
        <v>A tiempo</v>
      </c>
      <c r="L1513" s="11">
        <v>46051</v>
      </c>
      <c r="M1513" s="22">
        <f t="shared" si="75"/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73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74"/>
        <v>A tiempo</v>
      </c>
      <c r="L1514" s="11">
        <v>46052</v>
      </c>
      <c r="M1514" s="22">
        <f t="shared" si="75"/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73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74"/>
        <v>A tiempo</v>
      </c>
      <c r="L1515" s="11">
        <v>46052</v>
      </c>
      <c r="M1515" s="22">
        <f t="shared" si="75"/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73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74"/>
        <v>A tiempo</v>
      </c>
      <c r="L1516" s="11">
        <v>46052</v>
      </c>
      <c r="M1516" s="22">
        <f t="shared" si="75"/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73"/>
        <v>5</v>
      </c>
      <c r="I1517" s="20">
        <f>MAX(1, NETWORKDAYS(A1517, G1517,Table2[Dias no laborales]))</f>
        <v>1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Acumulado</v>
      </c>
      <c r="K1517" s="7" t="str">
        <f t="shared" si="74"/>
        <v>A tiempo</v>
      </c>
      <c r="L1517" s="11">
        <v>46052</v>
      </c>
      <c r="M1517" s="22">
        <f t="shared" si="75"/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73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74"/>
        <v>Programados</v>
      </c>
      <c r="L1518" s="11">
        <v>46052</v>
      </c>
      <c r="M1518" s="22">
        <f t="shared" si="75"/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73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74"/>
        <v>Programados</v>
      </c>
      <c r="L1519" s="11">
        <v>46052</v>
      </c>
      <c r="M1519" s="22">
        <f t="shared" si="75"/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76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77">IF(INT(A1521)=INT(F1521),"A tiempo", IF(A1521&lt;F1521,"Mismo día","Programados"))</f>
        <v>A tiempo</v>
      </c>
      <c r="L1521" s="11">
        <v>46056</v>
      </c>
      <c r="M1521" s="22">
        <f t="shared" ref="M1521:M1527" si="78">MAX(1,NETWORKDAYS(A1521,L1521))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76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77"/>
        <v>A tiempo</v>
      </c>
      <c r="L1522" s="11">
        <v>46056</v>
      </c>
      <c r="M1522" s="22">
        <f t="shared" si="78"/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76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77"/>
        <v>A tiempo</v>
      </c>
      <c r="L1523" s="11">
        <v>46056</v>
      </c>
      <c r="M1523" s="22">
        <f t="shared" si="78"/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76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77"/>
        <v>A tiempo</v>
      </c>
      <c r="L1524" s="11">
        <v>46056</v>
      </c>
      <c r="M1524" s="22">
        <f t="shared" si="78"/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76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77"/>
        <v>A tiempo</v>
      </c>
      <c r="L1525" s="11">
        <v>46056</v>
      </c>
      <c r="M1525" s="22">
        <f t="shared" si="78"/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76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77"/>
        <v>A tiempo</v>
      </c>
      <c r="L1526" s="11">
        <v>46056</v>
      </c>
      <c r="M1526" s="22">
        <f t="shared" si="78"/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76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77"/>
        <v>Mismo día</v>
      </c>
      <c r="L1527" s="11">
        <v>46056</v>
      </c>
      <c r="M1527" s="22">
        <f t="shared" si="78"/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79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80">IF(INT(A1529)=INT(F1529),"A tiempo", IF(A1529&lt;F1529,"Mismo día","Programados"))</f>
        <v>Programados</v>
      </c>
      <c r="L1529" s="11">
        <v>46056</v>
      </c>
      <c r="M1529" s="22">
        <f t="shared" ref="M1529:M1566" si="81">MAX(1,NETWORKDAYS(A1529,L1529))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79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80"/>
        <v>A tiempo</v>
      </c>
      <c r="L1530" s="11">
        <v>46057</v>
      </c>
      <c r="M1530" s="22">
        <f t="shared" si="81"/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>
        <v>46056.473611111112</v>
      </c>
      <c r="F1531" s="11">
        <f>IF(HOUR(Table1[[#This Row],[CORREO]])&gt;=11,WORKDAY(Table1[[#This Row],[CORREO]],1),E1531)</f>
        <v>46057</v>
      </c>
      <c r="G1531" s="11"/>
      <c r="H1531" s="7">
        <f t="shared" si="79"/>
        <v>5</v>
      </c>
      <c r="I1531" s="20">
        <f>MAX(1, NETWORKDAYS(A1531, G1531,Table2[Dias no laborales]))</f>
        <v>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Acumulado</v>
      </c>
      <c r="K1531" s="7" t="str">
        <f t="shared" si="80"/>
        <v>A tiempo</v>
      </c>
      <c r="L1531" s="11">
        <v>46057</v>
      </c>
      <c r="M1531" s="22">
        <f t="shared" si="81"/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79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80"/>
        <v>Programados</v>
      </c>
      <c r="L1532" s="11">
        <v>46057</v>
      </c>
      <c r="M1532" s="22">
        <f t="shared" si="81"/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79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80"/>
        <v>A tiempo</v>
      </c>
      <c r="L1533" s="11">
        <v>46057</v>
      </c>
      <c r="M1533" s="22">
        <f t="shared" si="81"/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79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80"/>
        <v>A tiempo</v>
      </c>
      <c r="L1534" s="11">
        <v>46057</v>
      </c>
      <c r="M1534" s="22">
        <f t="shared" si="81"/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79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80"/>
        <v>A tiempo</v>
      </c>
      <c r="L1535" s="11">
        <v>46057</v>
      </c>
      <c r="M1535" s="22">
        <f t="shared" si="81"/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79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80"/>
        <v>A tiempo</v>
      </c>
      <c r="L1536" s="11">
        <v>46058</v>
      </c>
      <c r="M1536" s="22">
        <f t="shared" si="81"/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79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80"/>
        <v>A tiempo</v>
      </c>
      <c r="L1537" s="11">
        <v>46057</v>
      </c>
      <c r="M1537" s="22">
        <f t="shared" si="81"/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79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80"/>
        <v>A tiempo</v>
      </c>
      <c r="L1538" s="11">
        <v>46059</v>
      </c>
      <c r="M1538" s="22">
        <f t="shared" si="81"/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79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80"/>
        <v>Mismo día</v>
      </c>
      <c r="L1539" s="11">
        <v>46057</v>
      </c>
      <c r="M1539" s="22">
        <f t="shared" si="81"/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79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80"/>
        <v>Programados</v>
      </c>
      <c r="L1540" s="11">
        <v>46058</v>
      </c>
      <c r="M1540" s="22">
        <f t="shared" si="81"/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79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80"/>
        <v>A tiempo</v>
      </c>
      <c r="L1541" s="11">
        <v>46058</v>
      </c>
      <c r="M1541" s="22">
        <f t="shared" si="81"/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79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80"/>
        <v>A tiempo</v>
      </c>
      <c r="L1542" s="11">
        <v>46058</v>
      </c>
      <c r="M1542" s="22">
        <f t="shared" si="81"/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79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80"/>
        <v>A tiempo</v>
      </c>
      <c r="L1543" s="11">
        <v>46058</v>
      </c>
      <c r="M1543" s="22">
        <f t="shared" si="81"/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79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80"/>
        <v>A tiempo</v>
      </c>
      <c r="L1544" s="11">
        <v>46062</v>
      </c>
      <c r="M1544" s="22">
        <f t="shared" si="81"/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79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80"/>
        <v>A tiempo</v>
      </c>
      <c r="L1545" s="11">
        <v>46059</v>
      </c>
      <c r="M1545" s="22">
        <f t="shared" si="81"/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79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80"/>
        <v>A tiempo</v>
      </c>
      <c r="L1546" s="11">
        <v>46057.675694444442</v>
      </c>
      <c r="M1546" s="22">
        <f t="shared" si="81"/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79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80"/>
        <v>A tiempo</v>
      </c>
      <c r="L1547" s="11">
        <v>46058</v>
      </c>
      <c r="M1547" s="22">
        <f t="shared" si="81"/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79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80"/>
        <v>A tiempo</v>
      </c>
      <c r="L1548" s="11">
        <v>46058</v>
      </c>
      <c r="M1548" s="22">
        <f t="shared" si="81"/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/>
      <c r="H1549" s="7">
        <f t="shared" si="79"/>
        <v>6</v>
      </c>
      <c r="I1549" s="20">
        <f>MAX(1, NETWORKDAYS(A1549, G1549,Table2[Dias no laborales]))</f>
        <v>1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Acumulado</v>
      </c>
      <c r="K1549" s="7" t="str">
        <f t="shared" si="80"/>
        <v>A tiempo</v>
      </c>
      <c r="L1549" s="11">
        <v>46059</v>
      </c>
      <c r="M1549" s="22">
        <f t="shared" si="81"/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79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80"/>
        <v>A tiempo</v>
      </c>
      <c r="L1550" s="11">
        <v>46058</v>
      </c>
      <c r="M1550" s="22">
        <f t="shared" si="81"/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79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80"/>
        <v>Mismo día</v>
      </c>
      <c r="L1551" s="11">
        <v>46058</v>
      </c>
      <c r="M1551" s="22">
        <f t="shared" si="81"/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79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80"/>
        <v>Programados</v>
      </c>
      <c r="L1552" s="11">
        <v>46058</v>
      </c>
      <c r="M1552" s="22">
        <f t="shared" si="81"/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79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80"/>
        <v>Programados</v>
      </c>
      <c r="L1553" s="11">
        <v>46058</v>
      </c>
      <c r="M1553" s="22">
        <f t="shared" si="81"/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79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80"/>
        <v>Programados</v>
      </c>
      <c r="L1554" s="11">
        <v>46058</v>
      </c>
      <c r="M1554" s="22">
        <f t="shared" si="81"/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79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80"/>
        <v>Programados</v>
      </c>
      <c r="L1555" s="11">
        <v>46058</v>
      </c>
      <c r="M1555" s="22">
        <f t="shared" si="81"/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79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80"/>
        <v>Programados</v>
      </c>
      <c r="L1556" s="11">
        <v>46058</v>
      </c>
      <c r="M1556" s="22">
        <f t="shared" si="81"/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79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80"/>
        <v>Programados</v>
      </c>
      <c r="L1557" s="11">
        <v>46058</v>
      </c>
      <c r="M1557" s="22">
        <f t="shared" si="81"/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>
        <v>46058.465277777781</v>
      </c>
      <c r="F1558" s="11">
        <f>IF(HOUR(Table1[[#This Row],[CORREO]])&gt;=11,WORKDAY(Table1[[#This Row],[CORREO]],1),E1558)</f>
        <v>46059</v>
      </c>
      <c r="G1558" s="11"/>
      <c r="H1558" s="7">
        <f t="shared" si="79"/>
        <v>6</v>
      </c>
      <c r="I1558" s="20">
        <f>MAX(1, NETWORKDAYS(A1558, G1558,Table2[Dias no laborales]))</f>
        <v>1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Acumulado</v>
      </c>
      <c r="K1558" s="7" t="str">
        <f t="shared" si="80"/>
        <v>A tiempo</v>
      </c>
      <c r="L1558" s="11">
        <v>46059</v>
      </c>
      <c r="M1558" s="22">
        <f t="shared" si="81"/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79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80"/>
        <v>A tiempo</v>
      </c>
      <c r="L1559" s="11">
        <v>46059</v>
      </c>
      <c r="M1559" s="22">
        <f t="shared" si="81"/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79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80"/>
        <v>A tiempo</v>
      </c>
      <c r="L1560" s="11">
        <v>46059</v>
      </c>
      <c r="M1560" s="22">
        <f t="shared" si="81"/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79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80"/>
        <v>A tiempo</v>
      </c>
      <c r="L1561" s="11">
        <v>46059</v>
      </c>
      <c r="M1561" s="22">
        <f t="shared" si="81"/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/>
      <c r="H1562" s="7">
        <f t="shared" si="79"/>
        <v>6</v>
      </c>
      <c r="I1562" s="20">
        <f>MAX(1, NETWORKDAYS(A1562, G1562,Table2[Dias no laborales]))</f>
        <v>1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Acumulado</v>
      </c>
      <c r="K1562" s="7" t="str">
        <f t="shared" si="80"/>
        <v>Programados</v>
      </c>
      <c r="L1562" s="11">
        <v>46062</v>
      </c>
      <c r="M1562" s="22">
        <f t="shared" si="81"/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79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80"/>
        <v>A tiempo</v>
      </c>
      <c r="L1563" s="11">
        <v>46059</v>
      </c>
      <c r="M1563" s="22">
        <f t="shared" si="81"/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79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80"/>
        <v>A tiempo</v>
      </c>
      <c r="L1564" s="11">
        <v>46059</v>
      </c>
      <c r="M1564" s="22">
        <f t="shared" si="81"/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79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80"/>
        <v>A tiempo</v>
      </c>
      <c r="L1565" s="11">
        <v>46062</v>
      </c>
      <c r="M1565" s="22">
        <f t="shared" si="81"/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79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80"/>
        <v>Mismo día</v>
      </c>
      <c r="L1566" s="11">
        <v>46059</v>
      </c>
      <c r="M1566" s="22">
        <f t="shared" si="81"/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82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83">IF(INT(A1567)=INT(F1567),"A tiempo", IF(A1567&lt;F1567,"Mismo día","Programados"))</f>
        <v>Programados</v>
      </c>
      <c r="L1567" s="11">
        <v>46063</v>
      </c>
      <c r="M1567" s="22">
        <f t="shared" ref="M1567:M1605" si="84">MAX(1,NETWORKDAYS(A1567,L1567))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82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83"/>
        <v>Programados</v>
      </c>
      <c r="L1568" s="11">
        <v>46062</v>
      </c>
      <c r="M1568" s="22">
        <f t="shared" si="84"/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82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83"/>
        <v>A tiempo</v>
      </c>
      <c r="L1569" s="11">
        <v>46062</v>
      </c>
      <c r="M1569" s="22">
        <f t="shared" si="84"/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82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83"/>
        <v>A tiempo</v>
      </c>
      <c r="L1570" s="11">
        <v>46062</v>
      </c>
      <c r="M1570" s="22">
        <f t="shared" si="84"/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82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83"/>
        <v>A tiempo</v>
      </c>
      <c r="L1571" s="11">
        <v>46062</v>
      </c>
      <c r="M1571" s="22">
        <f t="shared" si="84"/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82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83"/>
        <v>A tiempo</v>
      </c>
      <c r="L1572" s="11">
        <v>46062</v>
      </c>
      <c r="M1572" s="22">
        <f t="shared" si="84"/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82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83"/>
        <v>A tiempo</v>
      </c>
      <c r="L1573" s="11">
        <v>46062</v>
      </c>
      <c r="M1573" s="22">
        <f t="shared" si="84"/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/>
      <c r="H1574" s="7">
        <f t="shared" si="82"/>
        <v>6</v>
      </c>
      <c r="I1574" s="20">
        <f>MAX(1, NETWORKDAYS(A1574, G1574,Table2[Dias no laborales]))</f>
        <v>1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Acumulado</v>
      </c>
      <c r="K1574" s="7" t="str">
        <f t="shared" si="83"/>
        <v>A tiempo</v>
      </c>
      <c r="L1574" s="11">
        <v>46063</v>
      </c>
      <c r="M1574" s="22">
        <f t="shared" si="84"/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/>
      <c r="H1575" s="7">
        <f t="shared" si="82"/>
        <v>6</v>
      </c>
      <c r="I1575" s="20">
        <f>MAX(1, NETWORKDAYS(A1575, G1575,Table2[Dias no laborales]))</f>
        <v>1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Acumulado</v>
      </c>
      <c r="K1575" s="7" t="str">
        <f t="shared" si="83"/>
        <v>A tiempo</v>
      </c>
      <c r="L1575" s="11">
        <v>46063</v>
      </c>
      <c r="M1575" s="22">
        <f t="shared" si="84"/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82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83"/>
        <v>A tiempo</v>
      </c>
      <c r="L1576" s="11">
        <v>46063</v>
      </c>
      <c r="M1576" s="22">
        <f t="shared" si="84"/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82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83"/>
        <v>Programados</v>
      </c>
      <c r="L1577" s="11">
        <v>46063</v>
      </c>
      <c r="M1577" s="22">
        <f t="shared" si="84"/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82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83"/>
        <v>Mismo día</v>
      </c>
      <c r="L1578" s="11">
        <v>46063</v>
      </c>
      <c r="M1578" s="22">
        <f t="shared" si="84"/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82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83"/>
        <v>Mismo día</v>
      </c>
      <c r="L1579" s="11">
        <v>46063</v>
      </c>
      <c r="M1579" s="22">
        <f t="shared" si="84"/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82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83"/>
        <v>Mismo día</v>
      </c>
      <c r="L1580" s="11">
        <v>46063</v>
      </c>
      <c r="M1580" s="22">
        <f t="shared" si="84"/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82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83"/>
        <v>A tiempo</v>
      </c>
      <c r="L1581" s="11">
        <v>46064</v>
      </c>
      <c r="M1581" s="22">
        <f t="shared" si="84"/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82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83"/>
        <v>A tiempo</v>
      </c>
      <c r="L1582" s="11">
        <v>46064</v>
      </c>
      <c r="M1582" s="22">
        <f t="shared" si="84"/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82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83"/>
        <v>A tiempo</v>
      </c>
      <c r="L1583" s="11">
        <v>46064</v>
      </c>
      <c r="M1583" s="22">
        <f t="shared" si="84"/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82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83"/>
        <v>A tiempo</v>
      </c>
      <c r="L1584" s="11">
        <v>46064</v>
      </c>
      <c r="M1584" s="22">
        <f t="shared" si="84"/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82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83"/>
        <v>A tiempo</v>
      </c>
      <c r="L1585" s="11">
        <v>46064</v>
      </c>
      <c r="M1585" s="22">
        <f t="shared" si="84"/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82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83"/>
        <v>A tiempo</v>
      </c>
      <c r="L1586" s="11">
        <v>46064</v>
      </c>
      <c r="M1586" s="22">
        <f t="shared" si="84"/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82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83"/>
        <v>A tiempo</v>
      </c>
      <c r="L1587" s="11">
        <v>46064</v>
      </c>
      <c r="M1587" s="22">
        <f t="shared" si="84"/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82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83"/>
        <v>A tiempo</v>
      </c>
      <c r="L1588" s="11">
        <v>46064</v>
      </c>
      <c r="M1588" s="22">
        <f t="shared" si="84"/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82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83"/>
        <v>Programados</v>
      </c>
      <c r="L1589" s="11">
        <v>46064</v>
      </c>
      <c r="M1589" s="22">
        <f t="shared" si="84"/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82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83"/>
        <v>Programados</v>
      </c>
      <c r="L1590" s="11">
        <v>46065</v>
      </c>
      <c r="M1590" s="22">
        <f t="shared" si="84"/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/>
      <c r="H1591" s="7">
        <f t="shared" si="82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83"/>
        <v>A tiempo</v>
      </c>
      <c r="L1591" s="11">
        <v>46064</v>
      </c>
      <c r="M1591" s="22">
        <f t="shared" si="84"/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82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83"/>
        <v>Mismo día</v>
      </c>
      <c r="L1592" s="11">
        <v>46064</v>
      </c>
      <c r="M1592" s="22">
        <f t="shared" si="84"/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/>
      <c r="H1593" s="7">
        <f t="shared" si="82"/>
        <v>7</v>
      </c>
      <c r="I1593" s="20">
        <f>MAX(1, NETWORKDAYS(A1593, G1593,Table2[Dias no laborales]))</f>
        <v>1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Acumulado</v>
      </c>
      <c r="K1593" s="7" t="str">
        <f t="shared" si="83"/>
        <v>Programados</v>
      </c>
      <c r="L1593" s="11">
        <v>46065</v>
      </c>
      <c r="M1593" s="22">
        <f t="shared" si="84"/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82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83"/>
        <v>A tiempo</v>
      </c>
      <c r="L1594" s="11">
        <v>46065</v>
      </c>
      <c r="M1594" s="22">
        <f t="shared" si="84"/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82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83"/>
        <v>A tiempo</v>
      </c>
      <c r="L1595" s="11">
        <v>46065</v>
      </c>
      <c r="M1595" s="22">
        <f t="shared" si="84"/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82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83"/>
        <v>A tiempo</v>
      </c>
      <c r="L1596" s="11">
        <v>46065</v>
      </c>
      <c r="M1596" s="22">
        <f t="shared" si="84"/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82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83"/>
        <v>A tiempo</v>
      </c>
      <c r="L1597" s="11">
        <v>46065</v>
      </c>
      <c r="M1597" s="22">
        <f t="shared" si="84"/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82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83"/>
        <v>A tiempo</v>
      </c>
      <c r="L1599" s="11">
        <v>46066</v>
      </c>
      <c r="M1599" s="22">
        <f>MAX(1,NETWORKDAYS(A1599,L1599))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82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83"/>
        <v>A tiempo</v>
      </c>
      <c r="L1600" s="11">
        <v>46066</v>
      </c>
      <c r="M1600" s="22">
        <f t="shared" si="84"/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/>
      <c r="H1601" s="7">
        <f t="shared" si="82"/>
        <v>7</v>
      </c>
      <c r="I1601" s="20">
        <f>MAX(1, NETWORKDAYS(A1601, G1601,Table2[Dias no laborales]))</f>
        <v>1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Acumulado</v>
      </c>
      <c r="K1601" s="7" t="str">
        <f t="shared" si="83"/>
        <v>Programados</v>
      </c>
      <c r="L1601" s="11">
        <v>46066</v>
      </c>
      <c r="M1601" s="22">
        <f t="shared" si="84"/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82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83"/>
        <v>A tiempo</v>
      </c>
      <c r="L1602" s="11">
        <v>46066</v>
      </c>
      <c r="M1602" s="22">
        <f t="shared" si="84"/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/>
      <c r="H1603" s="7">
        <f t="shared" si="82"/>
        <v>7</v>
      </c>
      <c r="I1603" s="20">
        <f>MAX(1, NETWORKDAYS(A1603, G1603,Table2[Dias no laborales]))</f>
        <v>1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Acumulado</v>
      </c>
      <c r="K1603" s="7" t="str">
        <f t="shared" si="83"/>
        <v>Programados</v>
      </c>
      <c r="L1603" s="11">
        <v>46066</v>
      </c>
      <c r="M1603" s="22">
        <f t="shared" si="84"/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82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83"/>
        <v>Programados</v>
      </c>
      <c r="L1604" s="11">
        <v>46066</v>
      </c>
      <c r="M1604" s="22">
        <f t="shared" si="84"/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82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83"/>
        <v>A tiempo</v>
      </c>
      <c r="L1605" s="11">
        <v>46066</v>
      </c>
      <c r="M1605" s="22">
        <f t="shared" si="84"/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85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86">IF(INT(A1606)=INT(F1606),"A tiempo", IF(A1606&lt;F1606,"Mismo día","Programados"))</f>
        <v>Mismo día</v>
      </c>
      <c r="L1606" s="11">
        <v>46066</v>
      </c>
      <c r="M1606" s="22">
        <f t="shared" ref="M1606:M1634" si="87">MAX(1,NETWORKDAYS(A1606,L1606))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85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86"/>
        <v>Programados</v>
      </c>
      <c r="L1607" s="11">
        <v>46066</v>
      </c>
      <c r="M1607" s="22">
        <f t="shared" si="87"/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85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86"/>
        <v>A tiempo</v>
      </c>
      <c r="L1608" s="11">
        <v>46069</v>
      </c>
      <c r="M1608" s="22">
        <f t="shared" si="87"/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85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86"/>
        <v>A tiempo</v>
      </c>
      <c r="L1609" s="11">
        <v>46069</v>
      </c>
      <c r="M1609" s="22">
        <f t="shared" si="87"/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85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86"/>
        <v>A tiempo</v>
      </c>
      <c r="L1610" s="11">
        <v>46069</v>
      </c>
      <c r="M1610" s="22">
        <f t="shared" si="87"/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85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86"/>
        <v>A tiempo</v>
      </c>
      <c r="L1611" s="11">
        <v>46069</v>
      </c>
      <c r="M1611" s="22">
        <f t="shared" si="87"/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85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86"/>
        <v>A tiempo</v>
      </c>
      <c r="L1612" s="11">
        <v>46069</v>
      </c>
      <c r="M1612" s="22">
        <f t="shared" si="87"/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/>
      <c r="H1613" s="7">
        <f t="shared" si="85"/>
        <v>7</v>
      </c>
      <c r="I1613" s="20">
        <f>MAX(1, NETWORKDAYS(A1613, G1613,Table2[Dias no laborales]))</f>
        <v>1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Acumulado</v>
      </c>
      <c r="K1613" s="7" t="str">
        <f t="shared" si="86"/>
        <v>A tiempo</v>
      </c>
      <c r="L1613" s="11">
        <v>46069</v>
      </c>
      <c r="M1613" s="22">
        <f t="shared" si="87"/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/>
      <c r="H1614" s="7">
        <f t="shared" si="85"/>
        <v>7</v>
      </c>
      <c r="I1614" s="20">
        <f>MAX(1, NETWORKDAYS(A1614, G1614,Table2[Dias no laborales]))</f>
        <v>1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Acumulado</v>
      </c>
      <c r="K1614" s="7" t="str">
        <f t="shared" si="86"/>
        <v>A tiempo</v>
      </c>
      <c r="L1614" s="11">
        <v>46069</v>
      </c>
      <c r="M1614" s="22">
        <f t="shared" si="87"/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85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86"/>
        <v>Programados</v>
      </c>
      <c r="L1615" s="11">
        <v>46069</v>
      </c>
      <c r="M1615" s="22">
        <f t="shared" si="87"/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85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86"/>
        <v>A tiempo</v>
      </c>
      <c r="L1616" s="11">
        <v>46069</v>
      </c>
      <c r="M1616" s="22">
        <f t="shared" si="87"/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85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86"/>
        <v>Mismo día</v>
      </c>
      <c r="L1617" s="11">
        <v>46070</v>
      </c>
      <c r="M1617" s="22">
        <f t="shared" si="87"/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/>
      <c r="H1618" s="7">
        <f t="shared" si="85"/>
        <v>7</v>
      </c>
      <c r="I1618" s="20">
        <f>MAX(1, NETWORKDAYS(A1618, G1618,Table2[Dias no laborales]))</f>
        <v>1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Acumulado</v>
      </c>
      <c r="K1618" s="7" t="str">
        <f t="shared" si="86"/>
        <v>Programados</v>
      </c>
      <c r="L1618" s="11">
        <v>46069</v>
      </c>
      <c r="M1618" s="22">
        <f t="shared" si="87"/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85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86"/>
        <v>A tiempo</v>
      </c>
      <c r="L1619" s="11">
        <v>46070</v>
      </c>
      <c r="M1619" s="22">
        <f t="shared" si="87"/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85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86"/>
        <v>A tiempo</v>
      </c>
      <c r="L1620" s="11">
        <v>46070</v>
      </c>
      <c r="M1620" s="22">
        <f t="shared" si="87"/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/>
      <c r="H1621" s="7">
        <f t="shared" si="85"/>
        <v>7</v>
      </c>
      <c r="I1621" s="20">
        <f>MAX(1, NETWORKDAYS(A1621, G1621,Table2[Dias no laborales]))</f>
        <v>1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Acumulado</v>
      </c>
      <c r="K1621" s="7" t="str">
        <f t="shared" si="86"/>
        <v>Programados</v>
      </c>
      <c r="L1621" s="11">
        <v>46071</v>
      </c>
      <c r="M1621" s="22">
        <f t="shared" si="87"/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85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86"/>
        <v>A tiempo</v>
      </c>
      <c r="L1622" s="11">
        <v>46070</v>
      </c>
      <c r="M1622" s="22">
        <f t="shared" si="87"/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/>
      <c r="H1623" s="7">
        <f t="shared" si="85"/>
        <v>7</v>
      </c>
      <c r="I1623" s="20">
        <f>MAX(1, NETWORKDAYS(A1623, G1623,Table2[Dias no laborales]))</f>
        <v>1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Acumulado</v>
      </c>
      <c r="K1623" s="7" t="str">
        <f t="shared" si="86"/>
        <v>A tiempo</v>
      </c>
      <c r="L1623" s="11">
        <v>46070</v>
      </c>
      <c r="M1623" s="22">
        <f t="shared" si="87"/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85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86"/>
        <v>A tiempo</v>
      </c>
      <c r="L1624" s="11">
        <v>46070</v>
      </c>
      <c r="M1624" s="22">
        <f t="shared" si="87"/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/>
      <c r="H1625" s="7">
        <f t="shared" si="85"/>
        <v>7</v>
      </c>
      <c r="I1625" s="20">
        <f>MAX(1, NETWORKDAYS(A1625, G1625,Table2[Dias no laborales]))</f>
        <v>1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Acumulado</v>
      </c>
      <c r="K1625" s="7" t="str">
        <f t="shared" si="86"/>
        <v>Mismo día</v>
      </c>
      <c r="L1625" s="11">
        <v>46070</v>
      </c>
      <c r="M1625" s="22">
        <f t="shared" si="87"/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85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86"/>
        <v>Mismo día</v>
      </c>
      <c r="L1626" s="11">
        <v>46070</v>
      </c>
      <c r="M1626" s="22">
        <f t="shared" si="87"/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85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86"/>
        <v>A tiempo</v>
      </c>
      <c r="L1627" s="11">
        <v>46071</v>
      </c>
      <c r="M1627" s="22">
        <f t="shared" si="87"/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85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86"/>
        <v>A tiempo</v>
      </c>
      <c r="L1628" s="11">
        <v>46071</v>
      </c>
      <c r="M1628" s="22">
        <f t="shared" si="87"/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85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86"/>
        <v>A tiempo</v>
      </c>
      <c r="L1629" s="11">
        <v>46071</v>
      </c>
      <c r="M1629" s="22">
        <f t="shared" si="87"/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85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86"/>
        <v>A tiempo</v>
      </c>
      <c r="L1630" s="11">
        <v>46071</v>
      </c>
      <c r="M1630" s="22">
        <f t="shared" si="87"/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85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86"/>
        <v>A tiempo</v>
      </c>
      <c r="L1631" s="11">
        <v>46071</v>
      </c>
      <c r="M1631" s="22">
        <f t="shared" si="87"/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85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86"/>
        <v>A tiempo</v>
      </c>
      <c r="L1632" s="11">
        <v>46071</v>
      </c>
      <c r="M1632" s="22">
        <f t="shared" si="87"/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85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86"/>
        <v>A tiempo</v>
      </c>
      <c r="L1633" s="11">
        <v>46071</v>
      </c>
      <c r="M1633" s="22">
        <f t="shared" si="87"/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/>
      <c r="H1634" s="7">
        <f t="shared" si="85"/>
        <v>7</v>
      </c>
      <c r="I1634" s="20">
        <f>MAX(1, NETWORKDAYS(A1634, G1634,Table2[Dias no laborales]))</f>
        <v>1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Acumulado</v>
      </c>
      <c r="K1634" s="7" t="str">
        <f t="shared" si="86"/>
        <v>A tiempo</v>
      </c>
      <c r="L1634" s="11">
        <v>46071</v>
      </c>
      <c r="M1634" s="22">
        <f t="shared" si="87"/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88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89">IF(INT(A1635)=INT(F1635),"A tiempo", IF(A1635&lt;F1635,"Mismo día","Programados"))</f>
        <v>Mismo día</v>
      </c>
      <c r="L1635" s="11">
        <v>46072</v>
      </c>
      <c r="M1635" s="22">
        <f t="shared" ref="M1635:M1654" si="90">MAX(1,NETWORKDAYS(A1635,L1635))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/>
      <c r="H1636" s="7">
        <f t="shared" si="88"/>
        <v>8</v>
      </c>
      <c r="I1636" s="20">
        <f>MAX(1, NETWORKDAYS(A1636, G1636,Table2[Dias no laborales]))</f>
        <v>1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Acumulado</v>
      </c>
      <c r="K1636" s="7" t="str">
        <f t="shared" si="89"/>
        <v>A tiempo</v>
      </c>
      <c r="L1636" s="11">
        <v>46072</v>
      </c>
      <c r="M1636" s="22">
        <f t="shared" si="90"/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/>
      <c r="H1637" s="7">
        <f t="shared" si="88"/>
        <v>8</v>
      </c>
      <c r="I1637" s="20">
        <f>MAX(1, NETWORKDAYS(A1637, G1637,Table2[Dias no laborales]))</f>
        <v>1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Acumulado</v>
      </c>
      <c r="K1637" s="7" t="str">
        <f t="shared" si="89"/>
        <v>Programados</v>
      </c>
      <c r="L1637" s="11">
        <v>46073</v>
      </c>
      <c r="M1637" s="22">
        <f t="shared" si="90"/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88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89"/>
        <v>A tiempo</v>
      </c>
      <c r="L1638" s="11">
        <v>46072</v>
      </c>
      <c r="M1638" s="22">
        <f t="shared" si="90"/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88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89"/>
        <v>A tiempo</v>
      </c>
      <c r="L1639" s="11">
        <v>46072</v>
      </c>
      <c r="M1639" s="22">
        <f t="shared" si="90"/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88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89"/>
        <v>A tiempo</v>
      </c>
      <c r="L1640" s="11">
        <v>46072</v>
      </c>
      <c r="M1640" s="22">
        <f t="shared" si="90"/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88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89"/>
        <v>Mismo día</v>
      </c>
      <c r="L1641" s="11">
        <v>46072</v>
      </c>
      <c r="M1641" s="22">
        <f t="shared" si="90"/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88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89"/>
        <v>Mismo día</v>
      </c>
      <c r="L1642" s="11">
        <v>46072</v>
      </c>
      <c r="M1642" s="22">
        <f t="shared" si="90"/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88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89"/>
        <v>Mismo día</v>
      </c>
      <c r="L1643" s="11">
        <v>46072</v>
      </c>
      <c r="M1643" s="22">
        <f t="shared" si="90"/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88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89"/>
        <v>A tiempo</v>
      </c>
      <c r="L1644" s="11">
        <v>46073</v>
      </c>
      <c r="M1644" s="22">
        <f t="shared" si="90"/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88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89"/>
        <v>A tiempo</v>
      </c>
      <c r="L1645" s="11">
        <v>46073</v>
      </c>
      <c r="M1645" s="22">
        <f t="shared" si="90"/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/>
      <c r="H1646" s="7">
        <f t="shared" si="88"/>
        <v>8</v>
      </c>
      <c r="I1646" s="20">
        <f>MAX(1, NETWORKDAYS(A1646, G1646,Table2[Dias no laborales]))</f>
        <v>1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Acumulado</v>
      </c>
      <c r="K1646" s="7" t="str">
        <f t="shared" si="89"/>
        <v>A tiempo</v>
      </c>
      <c r="L1646" s="11">
        <v>46073</v>
      </c>
      <c r="M1646" s="22">
        <f t="shared" si="90"/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88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89"/>
        <v>A tiempo</v>
      </c>
      <c r="L1647" s="11">
        <v>46073</v>
      </c>
      <c r="M1647" s="22">
        <f t="shared" si="90"/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88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89"/>
        <v>A tiempo</v>
      </c>
      <c r="L1648" s="11">
        <v>46073</v>
      </c>
      <c r="M1648" s="22">
        <f t="shared" si="90"/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/>
      <c r="H1649" s="7">
        <f t="shared" si="88"/>
        <v>8</v>
      </c>
      <c r="I1649" s="20">
        <f>MAX(1, NETWORKDAYS(A1649, G1649,Table2[Dias no laborales]))</f>
        <v>1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Acumulado</v>
      </c>
      <c r="K1649" s="7" t="str">
        <f t="shared" si="89"/>
        <v>Programados</v>
      </c>
      <c r="L1649" s="11">
        <v>46073</v>
      </c>
      <c r="M1649" s="22">
        <f t="shared" si="90"/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88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89"/>
        <v>Programados</v>
      </c>
      <c r="L1650" s="11">
        <v>46073</v>
      </c>
      <c r="M1650" s="22">
        <f t="shared" si="90"/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88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89"/>
        <v>Programados</v>
      </c>
      <c r="L1651" s="11">
        <v>46073</v>
      </c>
      <c r="M1651" s="22">
        <f t="shared" si="90"/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88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89"/>
        <v>Programados</v>
      </c>
      <c r="L1652" s="11">
        <v>46073</v>
      </c>
      <c r="M1652" s="22">
        <f t="shared" si="90"/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88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89"/>
        <v>Programados</v>
      </c>
      <c r="L1653" s="11">
        <v>46073</v>
      </c>
      <c r="M1653" s="22">
        <f t="shared" si="90"/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88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89"/>
        <v>Programados</v>
      </c>
      <c r="L1654" s="11">
        <v>46073</v>
      </c>
      <c r="M1654" s="22">
        <f t="shared" si="90"/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9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92">IF(INT(A1655)=INT(F1655),"A tiempo", IF(A1655&lt;F1655,"Mismo día","Programados"))</f>
        <v>Programados</v>
      </c>
      <c r="L1655" s="11">
        <v>46073</v>
      </c>
      <c r="M1655" s="22">
        <f t="shared" ref="M1655:M1689" si="93">MAX(1,NETWORKDAYS(A1655,L1655))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9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92"/>
        <v>Mismo día</v>
      </c>
      <c r="L1656" s="11">
        <v>46073</v>
      </c>
      <c r="M1656" s="22">
        <f t="shared" si="93"/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9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92"/>
        <v>Mismo día</v>
      </c>
      <c r="L1657" s="11">
        <v>46073</v>
      </c>
      <c r="M1657" s="22">
        <f t="shared" si="93"/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9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92"/>
        <v>Programados</v>
      </c>
      <c r="L1658" s="11">
        <v>46076</v>
      </c>
      <c r="M1658" s="22">
        <f t="shared" si="93"/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9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92"/>
        <v>A tiempo</v>
      </c>
      <c r="L1659" s="11">
        <v>46076</v>
      </c>
      <c r="M1659" s="22">
        <f t="shared" si="93"/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9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92"/>
        <v>A tiempo</v>
      </c>
      <c r="L1660" s="11">
        <v>46077</v>
      </c>
      <c r="M1660" s="22">
        <f t="shared" si="93"/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/>
      <c r="H1661" s="7">
        <f t="shared" si="91"/>
        <v>8</v>
      </c>
      <c r="I1661" s="7">
        <f>MAX(1, NETWORKDAYS(A1661, G1661,Table2[Dias no laborales]))</f>
        <v>1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Acumulado</v>
      </c>
      <c r="K1661" s="7" t="str">
        <f t="shared" si="92"/>
        <v>A tiempo</v>
      </c>
      <c r="L1661" s="11">
        <v>46077</v>
      </c>
      <c r="M1661" s="22">
        <f t="shared" si="93"/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9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92"/>
        <v>A tiempo</v>
      </c>
      <c r="L1662" s="11">
        <v>46077</v>
      </c>
      <c r="M1662" s="22">
        <f t="shared" si="93"/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9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92"/>
        <v>A tiempo</v>
      </c>
      <c r="L1663" s="11">
        <v>46077</v>
      </c>
      <c r="M1663" s="22">
        <f t="shared" si="93"/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9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92"/>
        <v>A tiempo</v>
      </c>
      <c r="L1664" s="11">
        <v>46077</v>
      </c>
      <c r="M1664" s="22">
        <f t="shared" si="93"/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9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92"/>
        <v>A tiempo</v>
      </c>
      <c r="L1665" s="11">
        <v>46078</v>
      </c>
      <c r="M1665" s="22">
        <f t="shared" si="93"/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/>
      <c r="H1666" s="7">
        <f t="shared" si="91"/>
        <v>8</v>
      </c>
      <c r="I1666" s="7">
        <f>MAX(1, NETWORKDAYS(A1666, G1666,Table2[Dias no laborales]))</f>
        <v>1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Acumulado</v>
      </c>
      <c r="K1666" s="7" t="str">
        <f t="shared" si="92"/>
        <v>A tiempo</v>
      </c>
      <c r="L1666" s="11">
        <v>46079</v>
      </c>
      <c r="M1666" s="22">
        <f t="shared" si="93"/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9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92"/>
        <v>A tiempo</v>
      </c>
      <c r="L1667" s="11">
        <v>46078</v>
      </c>
      <c r="M1667" s="22">
        <f t="shared" si="93"/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/>
      <c r="H1668" s="7">
        <f t="shared" si="91"/>
        <v>8</v>
      </c>
      <c r="I1668" s="7">
        <f>MAX(1, NETWORKDAYS(A1668, G1668,Table2[Dias no laborales]))</f>
        <v>1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Acumulado</v>
      </c>
      <c r="K1668" s="7" t="str">
        <f t="shared" si="92"/>
        <v>A tiempo</v>
      </c>
      <c r="L1668" s="11">
        <v>46078</v>
      </c>
      <c r="M1668" s="22">
        <f t="shared" si="93"/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9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92"/>
        <v>A tiempo</v>
      </c>
      <c r="L1669" s="11">
        <v>46078</v>
      </c>
      <c r="M1669" s="22">
        <f t="shared" si="93"/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9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92"/>
        <v>A tiempo</v>
      </c>
      <c r="L1670" s="11">
        <v>46078</v>
      </c>
      <c r="M1670" s="22">
        <f t="shared" si="93"/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/>
      <c r="H1671" s="7">
        <f t="shared" si="91"/>
        <v>8</v>
      </c>
      <c r="I1671" s="7">
        <f>MAX(1, NETWORKDAYS(A1671, G1671,Table2[Dias no laborales]))</f>
        <v>1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Acumulado</v>
      </c>
      <c r="K1671" s="7" t="str">
        <f t="shared" si="92"/>
        <v>A tiempo</v>
      </c>
      <c r="L1671" s="11">
        <v>46078</v>
      </c>
      <c r="M1671" s="22">
        <f t="shared" si="93"/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9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92"/>
        <v>A tiempo</v>
      </c>
      <c r="L1672" s="11">
        <v>46078</v>
      </c>
      <c r="M1672" s="22">
        <f t="shared" si="93"/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9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92"/>
        <v>A tiempo</v>
      </c>
      <c r="L1673" s="11">
        <v>46078</v>
      </c>
      <c r="M1673" s="22">
        <f t="shared" si="93"/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/>
      <c r="H1674" s="7">
        <f t="shared" si="91"/>
        <v>8</v>
      </c>
      <c r="I1674" s="7">
        <f>MAX(1, NETWORKDAYS(A1674, G1674,Table2[Dias no laborales]))</f>
        <v>1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Acumulado</v>
      </c>
      <c r="K1674" s="7" t="str">
        <f t="shared" si="92"/>
        <v>Programados</v>
      </c>
      <c r="L1674" s="11">
        <v>46078</v>
      </c>
      <c r="M1674" s="22">
        <f t="shared" si="93"/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/>
      <c r="H1675" s="7">
        <f t="shared" si="91"/>
        <v>8</v>
      </c>
      <c r="I1675" s="7">
        <f>MAX(1, NETWORKDAYS(A1675, G1675,Table2[Dias no laborales]))</f>
        <v>1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Acumulado</v>
      </c>
      <c r="K1675" s="7" t="str">
        <f t="shared" si="92"/>
        <v>Programados</v>
      </c>
      <c r="L1675" s="11">
        <v>46078</v>
      </c>
      <c r="M1675" s="22">
        <f t="shared" si="93"/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/>
      <c r="H1676" s="7">
        <f t="shared" si="91"/>
        <v>9</v>
      </c>
      <c r="I1676" s="7">
        <f>MAX(1, NETWORKDAYS(A1676, G1676,Table2[Dias no laborales]))</f>
        <v>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Acumulado</v>
      </c>
      <c r="K1676" s="7" t="str">
        <f t="shared" si="92"/>
        <v>Programados</v>
      </c>
      <c r="L1676" s="11">
        <v>46079</v>
      </c>
      <c r="M1676" s="22">
        <f t="shared" si="93"/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/>
      <c r="H1677" s="7">
        <f t="shared" si="91"/>
        <v>9</v>
      </c>
      <c r="I1677" s="7">
        <f>MAX(1, NETWORKDAYS(A1677, G1677,Table2[Dias no laborales]))</f>
        <v>1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Acumulado</v>
      </c>
      <c r="K1677" s="7" t="str">
        <f t="shared" si="92"/>
        <v>Programados</v>
      </c>
      <c r="L1677" s="11">
        <v>46079</v>
      </c>
      <c r="M1677" s="22">
        <f t="shared" si="93"/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/>
      <c r="H1678" s="7">
        <f t="shared" si="91"/>
        <v>9</v>
      </c>
      <c r="I1678" s="7">
        <f>MAX(1, NETWORKDAYS(A1678, G1678,Table2[Dias no laborales]))</f>
        <v>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Acumulado</v>
      </c>
      <c r="K1678" s="7" t="str">
        <f t="shared" si="92"/>
        <v>A tiempo</v>
      </c>
      <c r="L1678" s="11">
        <v>46079</v>
      </c>
      <c r="M1678" s="22">
        <f t="shared" si="93"/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9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92"/>
        <v>A tiempo</v>
      </c>
      <c r="L1679" s="11">
        <v>46079</v>
      </c>
      <c r="M1679" s="22">
        <f t="shared" si="93"/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9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92"/>
        <v>A tiempo</v>
      </c>
      <c r="L1680" s="11">
        <v>46079</v>
      </c>
      <c r="M1680" s="22">
        <f t="shared" si="93"/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/>
      <c r="H1681" s="7">
        <f t="shared" si="91"/>
        <v>9</v>
      </c>
      <c r="I1681" s="7">
        <f>MAX(1, NETWORKDAYS(A1681, G1681,Table2[Dias no laborales]))</f>
        <v>1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Acumulado</v>
      </c>
      <c r="K1681" s="7" t="str">
        <f t="shared" si="92"/>
        <v>A tiempo</v>
      </c>
      <c r="L1681" s="11">
        <v>46079</v>
      </c>
      <c r="M1681" s="22">
        <f t="shared" si="93"/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9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92"/>
        <v>A tiempo</v>
      </c>
      <c r="L1682" s="11">
        <v>46079</v>
      </c>
      <c r="M1682" s="22">
        <f t="shared" si="93"/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/>
      <c r="H1683" s="7">
        <f t="shared" si="91"/>
        <v>9</v>
      </c>
      <c r="I1683" s="7">
        <f>MAX(1, NETWORKDAYS(A1683, G1683,Table2[Dias no laborales]))</f>
        <v>1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Acumulado</v>
      </c>
      <c r="K1683" s="7" t="str">
        <f t="shared" si="92"/>
        <v>Programados</v>
      </c>
      <c r="L1683" s="11">
        <v>46079</v>
      </c>
      <c r="M1683" s="22">
        <f t="shared" si="93"/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/>
      <c r="H1684" s="7">
        <f t="shared" si="91"/>
        <v>9</v>
      </c>
      <c r="I1684" s="7">
        <f>MAX(1, NETWORKDAYS(A1684, G1684,Table2[Dias no laborales]))</f>
        <v>1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Acumulado</v>
      </c>
      <c r="K1684" s="7" t="str">
        <f t="shared" si="92"/>
        <v>A tiempo</v>
      </c>
      <c r="L1684" s="11">
        <v>46080</v>
      </c>
      <c r="M1684" s="22">
        <f t="shared" si="93"/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/>
      <c r="H1685" s="7">
        <f t="shared" si="91"/>
        <v>9</v>
      </c>
      <c r="I1685" s="7">
        <f>MAX(1, NETWORKDAYS(A1685, G1685,Table2[Dias no laborales]))</f>
        <v>1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Acumulado</v>
      </c>
      <c r="K1685" s="7" t="str">
        <f t="shared" si="92"/>
        <v>A tiempo</v>
      </c>
      <c r="L1685" s="11">
        <v>46080</v>
      </c>
      <c r="M1685" s="22">
        <f t="shared" si="93"/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/>
      <c r="H1686" s="7">
        <f t="shared" si="91"/>
        <v>9</v>
      </c>
      <c r="I1686" s="7">
        <f>MAX(1, NETWORKDAYS(A1686, G1686,Table2[Dias no laborales]))</f>
        <v>1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Acumulado</v>
      </c>
      <c r="K1686" s="7" t="str">
        <f t="shared" si="92"/>
        <v>A tiempo</v>
      </c>
      <c r="L1686" s="11">
        <v>46080</v>
      </c>
      <c r="M1686" s="22">
        <f t="shared" si="93"/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/>
      <c r="H1687" s="7">
        <f t="shared" si="91"/>
        <v>9</v>
      </c>
      <c r="I1687" s="7">
        <f>MAX(1, NETWORKDAYS(A1687, G1687,Table2[Dias no laborales]))</f>
        <v>1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Acumulado</v>
      </c>
      <c r="K1687" s="7" t="str">
        <f t="shared" si="92"/>
        <v>A tiempo</v>
      </c>
      <c r="L1687" s="11">
        <v>46080</v>
      </c>
      <c r="M1687" s="22">
        <f t="shared" si="93"/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9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92"/>
        <v>A tiempo</v>
      </c>
      <c r="L1688" s="11">
        <v>46080</v>
      </c>
      <c r="M1688" s="22">
        <f t="shared" si="93"/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9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92"/>
        <v>Programados</v>
      </c>
      <c r="L1689" s="11">
        <v>46080</v>
      </c>
      <c r="M1689" s="22">
        <f t="shared" si="93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7"/>
  <sheetViews>
    <sheetView workbookViewId="0">
      <selection activeCell="D6" sqref="D6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2026-02-27T23:54:15Z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